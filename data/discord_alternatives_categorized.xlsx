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accf1ebea842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 Directory" sheetId="1" r:id="Ref620568474843f1"/>
    <x:sheet xmlns:r="http://schemas.openxmlformats.org/officeDocument/2006/relationships" name="At a Glance" sheetId="2" r:id="Rcf5e13f2a8144fef"/>
    <x:sheet xmlns:r="http://schemas.openxmlformats.org/officeDocument/2006/relationships" name="Comparison Guide" sheetId="3" r:id="R863b056310ad4b94"/>
    <x:sheet xmlns:r="http://schemas.openxmlformats.org/officeDocument/2006/relationships" name="Core Features" sheetId="4" r:id="R3b3a7f7ba0a8488d"/>
    <x:sheet xmlns:r="http://schemas.openxmlformats.org/officeDocument/2006/relationships" name="Basic Features" sheetId="5" r:id="Ra736848c4a134d92"/>
    <x:sheet xmlns:r="http://schemas.openxmlformats.org/officeDocument/2006/relationships" name="Advanced Features" sheetId="6" r:id="R21e29241ae9b4a05"/>
    <x:sheet xmlns:r="http://schemas.openxmlformats.org/officeDocument/2006/relationships" name="Channel Types" sheetId="7" r:id="Rbc904d3ce8684906"/>
    <x:sheet xmlns:r="http://schemas.openxmlformats.org/officeDocument/2006/relationships" name="Extra Features" sheetId="8" r:id="Rfca7582bc72b4673"/>
    <x:sheet xmlns:r="http://schemas.openxmlformats.org/officeDocument/2006/relationships" name="Embedded Apps" sheetId="9" r:id="R961cd1c2e1bd4f72"/>
    <x:sheet xmlns:r="http://schemas.openxmlformats.org/officeDocument/2006/relationships" name="Community Limits" sheetId="10" r:id="Rc7b989ec4a1f4f0d"/>
    <x:sheet xmlns:r="http://schemas.openxmlformats.org/officeDocument/2006/relationships" name="Voice &amp; Audio" sheetId="11" r:id="Rdc76e343f1334457"/>
    <x:sheet xmlns:r="http://schemas.openxmlformats.org/officeDocument/2006/relationships" name="Voice Quality Detail" sheetId="12" r:id="Raad8d1f5d58e4986"/>
    <x:sheet xmlns:r="http://schemas.openxmlformats.org/officeDocument/2006/relationships" name="Video &amp; Screen Sharing" sheetId="13" r:id="R221675922b0a4ac0"/>
    <x:sheet xmlns:r="http://schemas.openxmlformats.org/officeDocument/2006/relationships" name="Screen Share Detail" sheetId="14" r:id="R4ca0d5efaed74a6d"/>
    <x:sheet xmlns:r="http://schemas.openxmlformats.org/officeDocument/2006/relationships" name="Media &amp; Limits" sheetId="15" r:id="R16d1ea17148548ec"/>
    <x:sheet xmlns:r="http://schemas.openxmlformats.org/officeDocument/2006/relationships" name="Files &amp; Storage" sheetId="16" r:id="R7edbc21794764d86"/>
    <x:sheet xmlns:r="http://schemas.openxmlformats.org/officeDocument/2006/relationships" name="Platform Model &amp; Ecosystem" sheetId="17" r:id="R046f282317954736"/>
    <x:sheet xmlns:r="http://schemas.openxmlformats.org/officeDocument/2006/relationships" name="Architecture &amp; Licensing" sheetId="18" r:id="R27f94add96d6463c"/>
    <x:sheet xmlns:r="http://schemas.openxmlformats.org/officeDocument/2006/relationships" name="Deployment Detail" sheetId="19" r:id="R269a52e7bbed47c4"/>
    <x:sheet xmlns:r="http://schemas.openxmlformats.org/officeDocument/2006/relationships" name="Client &amp; Distribution" sheetId="20" r:id="R6900ff13625c4987"/>
    <x:sheet xmlns:r="http://schemas.openxmlformats.org/officeDocument/2006/relationships" name="Performance &amp; Client Stack" sheetId="21" r:id="R0e21e5d742414734"/>
    <x:sheet xmlns:r="http://schemas.openxmlformats.org/officeDocument/2006/relationships" name="Accounts &amp; Identity" sheetId="22" r:id="R46ee88ba8aca495a"/>
    <x:sheet xmlns:r="http://schemas.openxmlformats.org/officeDocument/2006/relationships" name="Portability &amp; Bridging" sheetId="23" r:id="R6af7c55456fe4d91"/>
    <x:sheet xmlns:r="http://schemas.openxmlformats.org/officeDocument/2006/relationships" name="Interop &amp; Portability Details" sheetId="24" r:id="R5c88ac6ab31a4284"/>
    <x:sheet xmlns:r="http://schemas.openxmlformats.org/officeDocument/2006/relationships" name="Security &amp; Privacy" sheetId="25" r:id="Rd7b89f9ffdc64eee"/>
    <x:sheet xmlns:r="http://schemas.openxmlformats.org/officeDocument/2006/relationships" name="Encryption Details" sheetId="26" r:id="Rd9a4d28c25974ac2"/>
    <x:sheet xmlns:r="http://schemas.openxmlformats.org/officeDocument/2006/relationships" name="Security Matrix" sheetId="27" r:id="R8756ff453fa64344"/>
    <x:sheet xmlns:r="http://schemas.openxmlformats.org/officeDocument/2006/relationships" name="Security History &amp; Audits" sheetId="28" r:id="R0e90885af2ab4852"/>
    <x:sheet xmlns:r="http://schemas.openxmlformats.org/officeDocument/2006/relationships" name="Moderation &amp; Safety" sheetId="29" r:id="R5555369b016f46cc"/>
    <x:sheet xmlns:r="http://schemas.openxmlformats.org/officeDocument/2006/relationships" name="Moderation Detail" sheetId="30" r:id="R7c6e04c812f74db1"/>
    <x:sheet xmlns:r="http://schemas.openxmlformats.org/officeDocument/2006/relationships" name="Project Origin &amp; Longevity" sheetId="31" r:id="R4f68ce5d53d2461a"/>
    <x:sheet xmlns:r="http://schemas.openxmlformats.org/officeDocument/2006/relationships" name="Project &amp; Maintenance" sheetId="32" r:id="R3d98c5bddc4f4960"/>
    <x:sheet xmlns:r="http://schemas.openxmlformats.org/officeDocument/2006/relationships" name="Maintenance &amp; Updates" sheetId="33" r:id="R9bea44778f854889"/>
    <x:sheet xmlns:r="http://schemas.openxmlformats.org/officeDocument/2006/relationships" name="Developer Extensibility" sheetId="34" r:id="R3e7efa2194284139"/>
    <x:sheet xmlns:r="http://schemas.openxmlformats.org/officeDocument/2006/relationships" name="Developer API Detail" sheetId="35" r:id="Rebe41b600d77431a"/>
    <x:sheet xmlns:r="http://schemas.openxmlformats.org/officeDocument/2006/relationships" name="AI Policy &amp; Transparency" sheetId="36" r:id="Rdb1aaf2cd9334d6a"/>
    <x:sheet xmlns:r="http://schemas.openxmlformats.org/officeDocument/2006/relationships" name="AI &amp; Data Use Detail" sheetId="37" r:id="Re2f0e8e928a64085"/>
    <x:sheet xmlns:r="http://schemas.openxmlformats.org/officeDocument/2006/relationships" name="Business Model &amp; Sustainability" sheetId="38" r:id="Ra3ae9b4a6c734121"/>
    <x:sheet xmlns:r="http://schemas.openxmlformats.org/officeDocument/2006/relationships" name="Pricing Summary" sheetId="39" r:id="R58abbbc774294991"/>
    <x:sheet xmlns:r="http://schemas.openxmlformats.org/officeDocument/2006/relationships" name="Pricing &amp; Tiers" sheetId="40" r:id="Ra3e6cc2ba1b94fc8"/>
    <x:sheet xmlns:r="http://schemas.openxmlformats.org/officeDocument/2006/relationships" name="Feature Entitlements" sheetId="41" r:id="R312f5e237c844917"/>
    <x:sheet xmlns:r="http://schemas.openxmlformats.org/officeDocument/2006/relationships" name="Monetization Detail" sheetId="42" r:id="Rc5a9035ca34f4cde"/>
    <x:sheet xmlns:r="http://schemas.openxmlformats.org/officeDocument/2006/relationships" name="Terms &amp; Privacy" sheetId="43" r:id="Ra00a12cb3072468c"/>
    <x:sheet xmlns:r="http://schemas.openxmlformats.org/officeDocument/2006/relationships" name="Discord Sources" sheetId="44" r:id="R1f0318691bc8444e"/>
    <x:sheet xmlns:r="http://schemas.openxmlformats.org/officeDocument/2006/relationships" name="Research Sources" sheetId="45" r:id="Rcbd847e442de4d09"/>
    <x:sheet xmlns:r="http://schemas.openxmlformats.org/officeDocument/2006/relationships" name="Website Links" sheetId="46" r:id="R068583d0f08e449a"/>
    <x:sheet xmlns:r="http://schemas.openxmlformats.org/officeDocument/2006/relationships" name="Verification Coverage" sheetId="47" r:id="Rf5397684b7a64fe4"/>
    <x:sheet xmlns:r="http://schemas.openxmlformats.org/officeDocument/2006/relationships" name="Subreddit Discovery" sheetId="48" r:id="R5323b0f508294bbd"/>
    <x:sheet xmlns:r="http://schemas.openxmlformats.org/officeDocument/2006/relationships" name="Master" sheetId="49" r:id="Rd3af671d05904bfc"/>
  </x:sheets>
</x:workbook>
</file>

<file path=xl/sharedStrings.xml><?xml version="1.0" encoding="utf-8"?>
<x:sst xmlns:x="http://schemas.openxmlformats.org/spreadsheetml/2006/main">
  <x:si>
    <x:t xml:space="preserve">Workbook Sheet Directory</x:t>
  </x:si>
  <x:si>
    <x:t xml:space="preserve">Category</x:t>
  </x:si>
  <x:si>
    <x:t xml:space="preserve">Sheet</x:t>
  </x:si>
  <x:si>
    <x:t xml:space="preserve">Purpose</x:t>
  </x:si>
  <x:si>
    <x:t xml:space="preserve">Tab Position</x:t>
  </x:si>
  <x:si>
    <x:t xml:space="preserve">Quick Jump</x:t>
  </x:si>
  <x:si>
    <x:t xml:space="preserve">00 — Navigation &amp; Summary</x:t>
  </x:si>
  <x:si>
    <x:t xml:space="preserve">Sheet Directory</x:t>
  </x:si>
  <x:si>
    <x:t xml:space="preserve">Categorical navigation map for the workbook.</x:t>
  </x:si>
  <x:si>
    <x:t xml:space="preserve">At a Glance</x:t>
  </x:si>
  <x:si>
    <x:t xml:space="preserve">Executive snapshot of major platform differences.</x:t>
  </x:si>
  <x:si>
    <x:t xml:space="preserve">Comparison Guide</x:t>
  </x:si>
  <x:si>
    <x:t xml:space="preserve">Definitions, evidence rules and comparison conventions.</x:t>
  </x:si>
  <x:si>
    <x:t xml:space="preserve">01 — Messaging &amp; Features</x:t>
  </x:si>
  <x:si>
    <x:t xml:space="preserve">Core Features</x:t>
  </x:si>
  <x:si>
    <x:t xml:space="preserve">Comparison/detail sheet.</x:t>
  </x:si>
  <x:si>
    <x:t xml:space="preserve">Basic Features</x:t>
  </x:si>
  <x:si>
    <x:t xml:space="preserve">Advanced Features</x:t>
  </x:si>
  <x:si>
    <x:t xml:space="preserve">Channel Types</x:t>
  </x:si>
  <x:si>
    <x:t xml:space="preserve">Extra Features</x:t>
  </x:si>
  <x:si>
    <x:t xml:space="preserve">Embedded Apps</x:t>
  </x:si>
  <x:si>
    <x:t xml:space="preserve">Community Limits</x:t>
  </x:si>
  <x:si>
    <x:t xml:space="preserve">02 — Voice, Video, Media &amp; Files</x:t>
  </x:si>
  <x:si>
    <x:t xml:space="preserve">Voice &amp; Audio</x:t>
  </x:si>
  <x:si>
    <x:t xml:space="preserve">Voice Quality Detail</x:t>
  </x:si>
  <x:si>
    <x:t xml:space="preserve">Video &amp; Screen Sharing</x:t>
  </x:si>
  <x:si>
    <x:t xml:space="preserve">Screen Share Detail</x:t>
  </x:si>
  <x:si>
    <x:t xml:space="preserve">Media &amp; Limits</x:t>
  </x:si>
  <x:si>
    <x:t xml:space="preserve">Files &amp; Storage</x:t>
  </x:si>
  <x:si>
    <x:t xml:space="preserve">03 — Architecture, Clients &amp; Interoperability</x:t>
  </x:si>
  <x:si>
    <x:t xml:space="preserve">Platform Model &amp; Ecosystem</x:t>
  </x:si>
  <x:si>
    <x:t xml:space="preserve">Architecture &amp; Licensing</x:t>
  </x:si>
  <x:si>
    <x:t xml:space="preserve">Deployment Detail</x:t>
  </x:si>
  <x:si>
    <x:t xml:space="preserve">Client &amp; Distribution</x:t>
  </x:si>
  <x:si>
    <x:t xml:space="preserve">Performance &amp; Client Stack</x:t>
  </x:si>
  <x:si>
    <x:t xml:space="preserve">Accounts &amp; Identity</x:t>
  </x:si>
  <x:si>
    <x:t xml:space="preserve">Portability &amp; Bridging</x:t>
  </x:si>
  <x:si>
    <x:t xml:space="preserve">Interop &amp; Portability Details</x:t>
  </x:si>
  <x:si>
    <x:t xml:space="preserve">04 — Security, Privacy &amp; Moderation</x:t>
  </x:si>
  <x:si>
    <x:t xml:space="preserve">Security &amp; Privacy</x:t>
  </x:si>
  <x:si>
    <x:t xml:space="preserve">Encryption Details</x:t>
  </x:si>
  <x:si>
    <x:t xml:space="preserve">Security Matrix</x:t>
  </x:si>
  <x:si>
    <x:t xml:space="preserve">Security History &amp; Audits</x:t>
  </x:si>
  <x:si>
    <x:t xml:space="preserve">Moderation &amp; Safety</x:t>
  </x:si>
  <x:si>
    <x:t xml:space="preserve">Moderation Detail</x:t>
  </x:si>
  <x:si>
    <x:t xml:space="preserve">05 — Project, Developer &amp; AI</x:t>
  </x:si>
  <x:si>
    <x:t xml:space="preserve">Project Origin &amp; Longevity</x:t>
  </x:si>
  <x:si>
    <x:t xml:space="preserve">Project &amp; Maintenance</x:t>
  </x:si>
  <x:si>
    <x:t xml:space="preserve">Maintenance &amp; Updates</x:t>
  </x:si>
  <x:si>
    <x:t xml:space="preserve">Developer Extensibility</x:t>
  </x:si>
  <x:si>
    <x:t xml:space="preserve">Developer API Detail</x:t>
  </x:si>
  <x:si>
    <x:t xml:space="preserve">AI Policy &amp; Transparency</x:t>
  </x:si>
  <x:si>
    <x:t xml:space="preserve">AI &amp; Data Use Detail</x:t>
  </x:si>
  <x:si>
    <x:t xml:space="preserve">06 — Business, Pricing &amp; Legal</x:t>
  </x:si>
  <x:si>
    <x:t xml:space="preserve">Business Model &amp; Sustainability</x:t>
  </x:si>
  <x:si>
    <x:t xml:space="preserve">Pricing Summary</x:t>
  </x:si>
  <x:si>
    <x:t xml:space="preserve">Pricing &amp; Tiers</x:t>
  </x:si>
  <x:si>
    <x:t xml:space="preserve">Feature Entitlements</x:t>
  </x:si>
  <x:si>
    <x:t xml:space="preserve">Monetization Detail</x:t>
  </x:si>
  <x:si>
    <x:t xml:space="preserve">Terms &amp; Privacy</x:t>
  </x:si>
  <x:si>
    <x:t xml:space="preserve">07 — Research &amp; Sources</x:t>
  </x:si>
  <x:si>
    <x:t xml:space="preserve">Discord Sources</x:t>
  </x:si>
  <x:si>
    <x:t xml:space="preserve">Discord-specific first-party evidence.</x:t>
  </x:si>
  <x:si>
    <x:t xml:space="preserve">Research Sources</x:t>
  </x:si>
  <x:si>
    <x:t xml:space="preserve">Detailed first-party/project evidence used across comparison rows.</x:t>
  </x:si>
  <x:si>
    <x:t xml:space="preserve">Website Links</x:t>
  </x:si>
  <x:si>
    <x:t xml:space="preserve">Official/project links grouped by source-page language; English default.</x:t>
  </x:si>
  <x:si>
    <x:t xml:space="preserve">Verification Coverage</x:t>
  </x:si>
  <x:si>
    <x:t xml:space="preserve">Before/after unknown counts for this first-party verification pass.</x:t>
  </x:si>
  <x:si>
    <x:t xml:space="preserve">Subreddit Discovery</x:t>
  </x:si>
  <x:si>
    <x:t xml:space="preserve">Term / Rule</x:t>
  </x:si>
  <x:si>
    <x:t xml:space="preserve">Meaning</x:t>
  </x:si>
  <x:si>
    <x:t xml:space="preserve">How it is used in this workbook</x:t>
  </x:si>
  <x:si>
    <x:t xml:space="preserve">U/K</x:t>
  </x:si>
  <x:si>
    <x:t xml:space="preserve">Unknown / not sufficiently publicly verifiable</x:t>
  </x:si>
  <x:si>
    <x:t xml:space="preserve">Used instead of guessing. A project may support the feature, but there was not enough reliable public evidence to state it.</x:t>
  </x:si>
  <x:si>
    <x:t xml:space="preserve">N/A</x:t>
  </x:si>
  <x:si>
    <x:t xml:space="preserve">Not applicable / feature or tier does not exist</x:t>
  </x:si>
  <x:si>
    <x:t xml:space="preserve">Used when the category genuinely does not apply, such as 4K access on a voice-only platform or paid-tier rows for a platform with no fixed paid tier.</x:t>
  </x:si>
  <x:si>
    <x:t xml:space="preserve">Yes</x:t>
  </x:si>
  <x:si>
    <x:t xml:space="preserve">Verified available</x:t>
  </x:si>
  <x:si>
    <x:t xml:space="preserve">May still have plan, client, deployment, or implementation qualifiers in adjacent rows.</x:t>
  </x:si>
  <x:si>
    <x:t xml:space="preserve">No</x:t>
  </x:si>
  <x:si>
    <x:t xml:space="preserve">Verified unavailable / not supported</x:t>
  </x:si>
  <x:si>
    <x:t xml:space="preserve">Different from U/K.</x:t>
  </x:si>
  <x:si>
    <x:t xml:space="preserve">Free</x:t>
  </x:si>
  <x:si>
    <x:t xml:space="preserve">Available without a paid subscription</x:t>
  </x:si>
  <x:si>
    <x:t xml:space="preserve">Self-host infrastructure costs are separate from software subscription price.</x:t>
  </x:si>
  <x:si>
    <x:t xml:space="preserve">Paid</x:t>
  </x:si>
  <x:si>
    <x:t xml:space="preserve">Requires a named paid entitlement</x:t>
  </x:si>
  <x:si>
    <x:t xml:space="preserve">The corresponding tier name and price should be listed in Pricing &amp; Tiers when public.</x:t>
  </x:si>
  <x:si>
    <x:t xml:space="preserve">Configurable</x:t>
  </x:si>
  <x:si>
    <x:t xml:space="preserve">Operator/server/provider controls the value</x:t>
  </x:si>
  <x:si>
    <x:t xml:space="preserve">Common for self-hosted platforms.</x:t>
  </x:si>
  <x:si>
    <x:t xml:space="preserve">Provider-dependent / Client-dependent</x:t>
  </x:si>
  <x:si>
    <x:t xml:space="preserve">No single platform-wide answer</x:t>
  </x:si>
  <x:si>
    <x:t xml:space="preserve">Especially important for Matrix and other ecosystems with multiple clients/providers.</x:t>
  </x:si>
  <x:si>
    <x:t xml:space="preserve">Matrix</x:t>
  </x:si>
  <x:si>
    <x:t xml:space="preserve">Matrix is the protocol/ecosystem, not Element</x:t>
  </x:si>
  <x:si>
    <x:t xml:space="preserve">Element/Element X are example clients. Client limits and provider pricing are not attributed to Matrix itself.</x:t>
  </x:si>
  <x:si>
    <x:t xml:space="preserve">Harmony / Fermi</x:t>
  </x:si>
  <x:si>
    <x:t xml:space="preserve">Harmony is the platform/server; Fermi is a client</x:t>
  </x:si>
  <x:si>
    <x:t xml:space="preserve">The workbook keeps platform and client identities separate.</x:t>
  </x:si>
  <x:si>
    <x:t xml:space="preserve">Self-hosting vs Federation</x:t>
  </x:si>
  <x:si>
    <x:t xml:space="preserve">Independent self-hosted copies do not automatically interoperate</x:t>
  </x:si>
  <x:si>
    <x:t xml:space="preserve">A platform can be self-hostable and still be non-federated.</x:t>
  </x:si>
  <x:si>
    <x:t xml:space="preserve">Open Source vs Federation</x:t>
  </x:si>
  <x:si>
    <x:t xml:space="preserve">Open source does not imply a shared network</x:t>
  </x:si>
  <x:si>
    <x:t xml:space="preserve">Licensing and network topology are tracked separately.</x:t>
  </x:si>
  <x:si>
    <x:t xml:space="preserve">Paid Tier Count</x:t>
  </x:si>
  <x:si>
    <x:t xml:space="preserve">Counts public fixed-price subscription/service tiers</x:t>
  </x:si>
  <x:si>
    <x:t xml:space="preserve">Enterprise/custom-quote tiers are tracked separately and not silently counted as a fixed-price tier.</x:t>
  </x:si>
  <x:si>
    <x:t xml:space="preserve">Contact Sales</x:t>
  </x:si>
  <x:si>
    <x:t xml:space="preserve">A paid tier exists but no public fixed price is published</x:t>
  </x:si>
  <x:si>
    <x:t xml:space="preserve">This is not U/K: the pricing model itself is known to be quote-based.</x:t>
  </x:si>
  <x:si>
    <x:t xml:space="preserve">Monthly vs Annual</x:t>
  </x:si>
  <x:si>
    <x:t xml:space="preserve">Monthly and annual prices are separate fields</x:t>
  </x:si>
  <x:si>
    <x:t xml:space="preserve">Annual price is not guessed from monthly price unless the provider publishes it.</x:t>
  </x:si>
  <x:si>
    <x:t xml:space="preserve">Server-Wide vs Per-User</x:t>
  </x:si>
  <x:si>
    <x:t xml:space="preserve">Who pays and who receives the entitlement</x:t>
  </x:si>
  <x:si>
    <x:t xml:space="preserve">Examples: Discord Nitro is personal; Server Boosts are server-wide. GameVox paid tiers are server-wide.</x:t>
  </x:si>
  <x:si>
    <x:t xml:space="preserve">Primary Sources</x:t>
  </x:si>
  <x:si>
    <x:t xml:space="preserve">Official site, docs, pricing page, privacy policy, or source repository</x:t>
  </x:si>
  <x:si>
    <x:t xml:space="preserve">Primary sources are preferred for facts and current limits.</x:t>
  </x:si>
  <x:si>
    <x:t xml:space="preserve">Subreddit Use</x:t>
  </x:si>
  <x:si>
    <x:t xml:space="preserve">r/discordalternatives is used for discovery and community context</x:t>
  </x:si>
  <x:si>
    <x:t xml:space="preserve">Subreddit claims are not treated as technical facts unless independently verified.</x:t>
  </x:si>
  <x:si>
    <x:t xml:space="preserve">Unknown Handling</x:t>
  </x:si>
  <x:si>
    <x:t xml:space="preserve">No unsupported inference</x:t>
  </x:si>
  <x:si>
    <x:t xml:space="preserve">If a technical limit, price, audit, or policy is not verifiable, the cell remains U/K.</x:t>
  </x:si>
  <x:si>
    <x:t xml:space="preserve">As-of Date</x:t>
  </x:si>
  <x:si>
    <x:t xml:space="preserve">2026-09-15</x:t>
  </x:si>
  <x:si>
    <x:t xml:space="preserve">Pricing, product status, and limits are time-sensitive and should be rechecked when used later.</x:t>
  </x:si>
  <x:si>
    <x:t xml:space="preserve">Partial</x:t>
  </x:si>
  <x:si>
    <x:t xml:space="preserve">The feature exists but does not match the full comparison concept</x:t>
  </x:si>
  <x:si>
    <x:t xml:space="preserve">Used when a platform has an adjacent capability (for example Discord Forum Gallery View instead of a dedicated Gallery channel).</x:t>
  </x:si>
  <x:si>
    <x:t xml:space="preserve">Experimental</x:t>
  </x:si>
  <x:si>
    <x:t xml:space="preserve">Feature is publicly available or documented as experimental/testing</x:t>
  </x:si>
  <x:si>
    <x:t xml:space="preserve">Kept distinct from stable Yes so maturity is not overstated.</x:t>
  </x:si>
  <x:si>
    <x:t xml:space="preserve">Planned / Soon</x:t>
  </x:si>
  <x:si>
    <x:t xml:space="preserve">Provider publicly documents the feature but it is not generally available yet</x:t>
  </x:si>
  <x:si>
    <x:t xml:space="preserve">Not counted as currently available.</x:t>
  </x:si>
  <x:si>
    <x:t xml:space="preserve">Native / Built-in</x:t>
  </x:si>
  <x:si>
    <x:t xml:space="preserve">Implemented by the platform itself without requiring an external bot or integration</x:t>
  </x:si>
  <x:si>
    <x:t xml:space="preserve">Used heavily in Channel Types and Extra Features.</x:t>
  </x:si>
  <x:si>
    <x:t xml:space="preserve">App / Bot / Integration</x:t>
  </x:si>
  <x:si>
    <x:t xml:space="preserve">Capability can be added through an extension rather than being native</x:t>
  </x:si>
  <x:si>
    <x:t xml:space="preserve">Not treated as equivalent to a native channel type unless explicitly stated.</x:t>
  </x:si>
  <x:si>
    <x:t xml:space="preserve">Embedded App</x:t>
  </x:si>
  <x:si>
    <x:t xml:space="preserve">An interactive UI/app that runs inside or alongside the chat client</x:t>
  </x:si>
  <x:si>
    <x:t xml:space="preserve">Separated into its own Embedded Apps sheet; distinct from message-only bots/webhooks.</x:t>
  </x:si>
  <x:si>
    <x:t xml:space="preserve">Channel Type vs Feature</x:t>
  </x:si>
  <x:si>
    <x:t xml:space="preserve">A channel type is a persistent structured space represented in the channel/navigation model</x:t>
  </x:si>
  <x:si>
    <x:t xml:space="preserve">Poll messages, scheduled events, widgets, or bot workflows are not automatically counted as channel types.</x:t>
  </x:si>
  <x:si>
    <x:t xml:space="preserve">Client-dependent</x:t>
  </x:si>
  <x:si>
    <x:t xml:space="preserve">Feature is implemented by particular clients rather than guaranteed by the protocol/platform</x:t>
  </x:si>
  <x:si>
    <x:t xml:space="preserve">Especially important for Matrix widgets, media capabilities, and UI features.</x:t>
  </x:si>
  <x:si>
    <x:t xml:space="preserve">Provider-dependent</x:t>
  </x:si>
  <x:si>
    <x:t xml:space="preserve">Feature varies by hosted provider or self-host operator</x:t>
  </x:si>
  <x:si>
    <x:t xml:space="preserve">Used for federated/self-host ecosystems where no single platform-wide value exists.</x:t>
  </x:si>
  <x:si>
    <x:t xml:space="preserve">Blank / unresolved</x:t>
  </x:si>
  <x:si>
    <x:t xml:space="preserve">Reviewed but not safely resolved from first-party sources</x:t>
  </x:si>
  <x:si>
    <x:t xml:space="preserve">After this pass, blank comparison cells mean the reviewed official/project sources did not establish the answer. Do not interpret blank as No.</x:t>
  </x:si>
  <x:si>
    <x:t xml:space="preserve">Source Language</x:t>
  </x:si>
  <x:si>
    <x:t xml:space="preserve">Language of the cited webpage, not the product UI</x:t>
  </x:si>
  <x:si>
    <x:t xml:space="preserve">English is the default. Localized pages are tagged separately in Website Links and the source sheets.</x:t>
  </x:si>
  <x:si>
    <x:t xml:space="preserve">Developer-Provided First-Party Statement</x:t>
  </x:si>
  <x:si>
    <x:t xml:space="preserve">Direct statement from a project developer/maintainer supplied for this comparison</x:t>
  </x:si>
  <x:si>
    <x:t xml:space="preserve">Used when public docs do not expose the value. If public docs conflict with a developer-supplied operational claim, the workbook records the current public docs in the comparison cell and preserves the developer claim in source notes.</x:t>
  </x:si>
  <x:si>
    <x:t xml:space="preserve">Platform</x:t>
  </x:si>
  <x:si>
    <x:t xml:space="preserve">Policy Scope / Service Model</x:t>
  </x:si>
  <x:si>
    <x:t xml:space="preserve">Terms / Legal URL</x:t>
  </x:si>
  <x:si>
    <x:t xml:space="preserve">Terms Status / Effective</x:t>
  </x:si>
  <x:si>
    <x:t xml:space="preserve">Minimum Age</x:t>
  </x:si>
  <x:si>
    <x:t xml:space="preserve">User Owns Content?</x:t>
  </x:si>
  <x:si>
    <x:t xml:space="preserve">License Granted to Platform</x:t>
  </x:si>
  <x:si>
    <x:t xml:space="preserve">Platform Can Suspend / Terminate?</x:t>
  </x:si>
  <x:si>
    <x:t xml:space="preserve">Arbitration / Class Waiver</x:t>
  </x:si>
  <x:si>
    <x:t xml:space="preserve">Governing Law / Jurisdiction</x:t>
  </x:si>
  <x:si>
    <x:t xml:space="preserve">Paid Auto-Renew / Refund Terms</x:t>
  </x:si>
  <x:si>
    <x:t xml:space="preserve">Privacy Policy URL</x:t>
  </x:si>
  <x:si>
    <x:t xml:space="preserve">Privacy Status / Effective</x:t>
  </x:si>
  <x:si>
    <x:t xml:space="preserve">Data Collected — General</x:t>
  </x:si>
  <x:si>
    <x:t xml:space="preserve">Sells Personal Data?</x:t>
  </x:si>
  <x:si>
    <x:t xml:space="preserve">Ads / Behavioral Tracking?</x:t>
  </x:si>
  <x:si>
    <x:t xml:space="preserve">AI / Model Training Policy</x:t>
  </x:si>
  <x:si>
    <x:t xml:space="preserve">Can Service Read Stored Message Text?</x:t>
  </x:si>
  <x:si>
    <x:t xml:space="preserve">IP Address Handling</x:t>
  </x:si>
  <x:si>
    <x:t xml:space="preserve">Deletion / Retention Summary</x:t>
  </x:si>
  <x:si>
    <x:t xml:space="preserve">Third-Party Processors / Hosting</x:t>
  </x:si>
  <x:si>
    <x:t xml:space="preserve">Self-Hosted Policy Applicability</x:t>
  </x:si>
  <x:si>
    <x:t xml:space="preserve">General Policy Notes</x:t>
  </x:si>
  <x:si>
    <x:t xml:space="preserve">Last Checked</x:t>
  </x:si>
  <x:si>
    <x:t xml:space="preserve">Evidence Status</x:t>
  </x:si>
  <x:si>
    <x:t xml:space="preserve">Discord</x:t>
  </x:si>
  <x:si>
    <x:t xml:space="preserve">Discord-operated centralized service</x:t>
  </x:si>
  <x:si>
    <x:t xml:space="preserve">https://discord.com/terms</x:t>
  </x:si>
  <x:si>
    <x:t xml:space="preserve">Current terms effective 2025-09-29</x:t>
  </x:si>
  <x:si>
    <x:t xml:space="preserve">13+ and local minimum age; guardian consent where required</x:t>
  </x:si>
  <x:si>
    <x:t xml:space="preserve">Broad non-exclusive license to operate, develop and improve services</x:t>
  </x:si>
  <x:si>
    <x:t xml:space="preserve">Yes for U.S. users; arbitration/class-action waiver with opt-out process</x:t>
  </x:si>
  <x:si>
    <x:t xml:space="preserve">Subscriptions auto-renew; refund eligibility depends on product/policy and may be case-by-case</x:t>
  </x:si>
  <x:si>
    <x:t xml:space="preserve">https://discord.com/privacy</x:t>
  </x:si>
  <x:si>
    <x:t xml:space="preserve">Effective 2025-09-29</x:t>
  </x:si>
  <x:si>
    <x:t xml:space="preserve">Account, content, activity, device, payment and network/use information</x:t>
  </x:si>
  <x:si>
    <x:t xml:space="preserve">Sponsored content exists; Discord says it does not sell personal information</x:t>
  </x:si>
  <x:si>
    <x:t xml:space="preserve">May use content in larger spaces to improve services incl. ML; Discord says AI companies may not train on user messages</x:t>
  </x:si>
  <x:si>
    <x:t xml:space="preserve">Yes for text; voice/video generally transient and DAVE-E2EE except Stage cases</x:t>
  </x:si>
  <x:si>
    <x:t xml:space="preserve">IP/device/network information collected</x:t>
  </x:si>
  <x:si>
    <x:t xml:space="preserve">Retention varies by data type; deletion subject to legal/safety exceptions</x:t>
  </x:si>
  <x:si>
    <x:t xml:space="preserve">Cloud, payments, safety, analytics and other service providers</x:t>
  </x:si>
  <x:si>
    <x:t xml:space="preserve">N/A — no official self-hosting</x:t>
  </x:si>
  <x:si>
    <x:t xml:space="preserve">Paid Services and Monetization Terms additionally govern purchases/sales.</x:t>
  </x:si>
  <x:si>
    <x:t xml:space="preserve">Primary / first-party policy or project source recorded</x:t>
  </x:si>
  <x:si>
    <x:t xml:space="preserve">Stoat</x:t>
  </x:si>
  <x:si>
    <x:t xml:space="preserve">Stoat-hosted service; self-host instances are separate operators</x:t>
  </x:si>
  <x:si>
    <x:t xml:space="preserve">https://stoat.chat/legal/terms</x:t>
  </x:si>
  <x:si>
    <x:t xml:space="preserve">Updated 2026-06-30; Stoat supplement effective 2026-07-30</x:t>
  </x:si>
  <x:si>
    <x:t xml:space="preserve">Jurisdiction-dependent minimum-age list</x:t>
  </x:si>
  <x:si>
    <x:t xml:space="preserve">Limited rights needed to host/distribute content; supplement applies</x:t>
  </x:si>
  <x:si>
    <x:t xml:space="preserve">Revolt Platforms Ltd is an England &amp; Wales company; check full Terms for governing-law clause</x:t>
  </x:si>
  <x:si>
    <x:t xml:space="preserve">No public fixed-price paid subscription verified</x:t>
  </x:si>
  <x:si>
    <x:t xml:space="preserve">https://stoat.chat/legal/privacy</x:t>
  </x:si>
  <x:si>
    <x:t xml:space="preserve">Updated 2026-06-30; service supplement applies</x:t>
  </x:si>
  <x:si>
    <x:t xml:space="preserve">Limited account/service data; categories listed in service supplement</x:t>
  </x:si>
  <x:si>
    <x:t xml:space="preserve">No data-sale model; advertising model not identified</x:t>
  </x:si>
  <x:si>
    <x:t xml:space="preserve">Yes for ordinary hosted text unless an encrypted mode states otherwise</x:t>
  </x:si>
  <x:si>
    <x:t xml:space="preserve">Deletion requests supported; EU/UK storage emphasized</x:t>
  </x:si>
  <x:si>
    <x:t xml:space="preserve">Cloudflare and service-specific providers</x:t>
  </x:si>
  <x:si>
    <x:t xml:space="preserve">Hosted Terms/Privacy do not govern independently operated self-host instances</x:t>
  </x:si>
  <x:si>
    <x:t xml:space="preserve">Read shared policies together with Stoat-specific supplements.</x:t>
  </x:si>
  <x:si>
    <x:t xml:space="preserve">Fenrid</x:t>
  </x:si>
  <x:si>
    <x:t xml:space="preserve">Pre-launch waitlist policies; full production policy not yet verified</x:t>
  </x:si>
  <x:si>
    <x:t xml:space="preserve">https://fenrid.com/terms</x:t>
  </x:si>
  <x:si>
    <x:t xml:space="preserve">Waitlist Terms updated 2026-04-01</x:t>
  </x:si>
  <x:si>
    <x:t xml:space="preserve">13+ for waitlist</x:t>
  </x:si>
  <x:si>
    <x:t xml:space="preserve">Yes for waitlist/referral abuse</x:t>
  </x:si>
  <x:si>
    <x:t xml:space="preserve">Planned subscriptions disclosed; production billing terms U/K</x:t>
  </x:si>
  <x:si>
    <x:t xml:space="preserve">https://fenrid.com/privacy</x:t>
  </x:si>
  <x:si>
    <x:t xml:space="preserve">Waitlist Privacy updated 2026-05-22</x:t>
  </x:si>
  <x:si>
    <x:t xml:space="preserve">Email, referral IDs, browser/device IDs, approximate country, hashed IP/fraud signals</x:t>
  </x:si>
  <x:si>
    <x:t xml:space="preserve">Waitlist data not used for advertising</x:t>
  </x:si>
  <x:si>
    <x:t xml:space="preserve">IP stored hashed for waitlist anti-fraud</x:t>
  </x:si>
  <x:si>
    <x:t xml:space="preserve">Waitlist data retained through launch/initial period then deleted/anonymized unless required</x:t>
  </x:si>
  <x:si>
    <x:t xml:space="preserve">Cloudflare Turnstile and trusted providers</x:t>
  </x:si>
  <x:si>
    <x:t xml:space="preserve">N/A currently</x:t>
  </x:si>
  <x:si>
    <x:t xml:space="preserve">Treat these as waitlist policies, not a complete production-service legal package.</x:t>
  </x:si>
  <x:si>
    <x:t xml:space="preserve">Fluxer</x:t>
  </x:si>
  <x:si>
    <x:t xml:space="preserve">fluxer.app hosted service; self-host operators may have separate policies</x:t>
  </x:si>
  <x:si>
    <x:t xml:space="preserve">https://fluxer.app/terms</x:t>
  </x:si>
  <x:si>
    <x:t xml:space="preserve">Effective 2026-09-13</x:t>
  </x:si>
  <x:si>
    <x:t xml:space="preserve">Must meet minimum age where user lives</x:t>
  </x:si>
  <x:si>
    <x:t xml:space="preserve">Only permissions needed to operate chosen features</x:t>
  </x:si>
  <x:si>
    <x:t xml:space="preserve">Fluxer Platform AB, Sweden; see full Terms</x:t>
  </x:si>
  <x:si>
    <x:t xml:space="preserve">Plutonium auto-renews; cancel anytime; unused time generally not refunded unless law/terms require</x:t>
  </x:si>
  <x:si>
    <x:t xml:space="preserve">https://fluxer.app/privacy</x:t>
  </x:si>
  <x:si>
    <x:t xml:space="preserve">Account, content, device/use, payment and security/operational data</x:t>
  </x:si>
  <x:si>
    <x:t xml:space="preserve">No advertising partners or data brokers</x:t>
  </x:si>
  <x:si>
    <x:t xml:space="preserve">No AI/LLM inference over messages/files/calls; content not used to train/evaluate AI models</x:t>
  </x:si>
  <x:si>
    <x:t xml:space="preserve">Yes — nothing on Fluxer is E2EE yet</x:t>
  </x:si>
  <x:si>
    <x:t xml:space="preserve">Export/delete controls and retention schedules documented</x:t>
  </x:si>
  <x:si>
    <x:t xml:space="preserve">Stripe plus infrastructure/service vendors</x:t>
  </x:si>
  <x:si>
    <x:t xml:space="preserve">Hosted policy applies to fluxer.app; self-host operator controls local deployment</x:t>
  </x:si>
  <x:si>
    <x:t xml:space="preserve">Voice/video/screen E2EE is in development, not current.</x:t>
  </x:si>
  <x:si>
    <x:t xml:space="preserve">Root</x:t>
  </x:si>
  <x:si>
    <x:t xml:space="preserve">Root-operated centralized service</x:t>
  </x:si>
  <x:si>
    <x:t xml:space="preserve">https://www.rootapp.com/terms-of-use</x:t>
  </x:si>
  <x:si>
    <x:t xml:space="preserve">Effective 2026-02-19</x:t>
  </x:si>
  <x:si>
    <x:t xml:space="preserve">Yes / exact clause U/K</x:t>
  </x:si>
  <x:si>
    <x:t xml:space="preserve">Root Communications, Inc., United States; exact venue clause in Terms</x:t>
  </x:si>
  <x:si>
    <x:t xml:space="preserve">Sudo auto-renews; cancel from settings; price increases require notice</x:t>
  </x:si>
  <x:si>
    <x:t xml:space="preserve">https://www.rootapp.com/privacy-policy</x:t>
  </x:si>
  <x:si>
    <x:t xml:space="preserve">Account, content, device/network, payments and service-use data</x:t>
  </x:si>
  <x:si>
    <x:t xml:space="preserve">No user data/content used to train AI models</x:t>
  </x:si>
  <x:si>
    <x:t xml:space="preserve">Yes for text; calls are real-time and not stored by default</x:t>
  </x:si>
  <x:si>
    <x:t xml:space="preserve">IP/network data processed</x:t>
  </x:si>
  <x:si>
    <x:t xml:space="preserve">Payments, hosting and service providers</x:t>
  </x:si>
  <x:si>
    <x:t xml:space="preserve">N/A — no self-hosting</x:t>
  </x:si>
  <x:si>
    <x:t xml:space="preserve">Developer Terms separately govern Apps/Bots and hosted runtime.</x:t>
  </x:si>
  <x:si>
    <x:t xml:space="preserve">No Matrix-wide ToS; these links apply only to the matrix.org homeserver</x:t>
  </x:si>
  <x:si>
    <x:t xml:space="preserve">https://matrix.org/legal/terms-and-conditions/</x:t>
  </x:si>
  <x:si>
    <x:t xml:space="preserve">Existing users effective 2025-08-14</x:t>
  </x:si>
  <x:si>
    <x:t xml:space="preserve">Yes / protocol content remains user-generated</x:t>
  </x:si>
  <x:si>
    <x:t xml:space="preserve">Limited license to use matrix.org service</x:t>
  </x:si>
  <x:si>
    <x:t xml:space="preserve">Yes for matrix.org access/moderation</x:t>
  </x:si>
  <x:si>
    <x:t xml:space="preserve">Matrix.org Foundation, UK; see Homeserver Terms</x:t>
  </x:si>
  <x:si>
    <x:t xml:space="preserve">Usage-plan fees generally non-refundable; planned pricing can change with notice</x:t>
  </x:si>
  <x:si>
    <x:t xml:space="preserve">https://matrix.org/legal/privacy-notice/</x:t>
  </x:si>
  <x:si>
    <x:t xml:space="preserve">Effective 2025-08-25</x:t>
  </x:si>
  <x:si>
    <x:t xml:space="preserve">matrix.org account/history, federation metadata, bots/bridges and operational data</x:t>
  </x:si>
  <x:si>
    <x:t xml:space="preserve">Provider-specific</x:t>
  </x:si>
  <x:si>
    <x:t xml:space="preserve">Provider/client-specific; no protocol-wide policy</x:t>
  </x:si>
  <x:si>
    <x:t xml:space="preserve">Homeservers can read unencrypted rooms; E2EE rooms store ciphertext</x:t>
  </x:si>
  <x:si>
    <x:t xml:space="preserve">Homeserver/provider sees network metadata</x:t>
  </x:si>
  <x:si>
    <x:t xml:space="preserve">Federated copies may exist on multiple homeservers</x:t>
  </x:si>
  <x:si>
    <x:t xml:space="preserve">Element acts as processor for matrix.org hosting/management; other providers vary</x:t>
  </x:si>
  <x:si>
    <x:t xml:space="preserve">Other homeservers have their own terms/privacy; matrix.org policies do not govern them</x:t>
  </x:si>
  <x:si>
    <x:t xml:space="preserve">Keep Matrix protocol, matrix.org homeserver and Element client separate.</x:t>
  </x:si>
  <x:si>
    <x:t xml:space="preserve">Spacebar</x:t>
  </x:si>
  <x:si>
    <x:t xml:space="preserve">Self-hosted open-source Discord-compatible software</x:t>
  </x:si>
  <x:si>
    <x:t xml:space="preserve">https://spacebar.chat/</x:t>
  </x:si>
  <x:si>
    <x:t xml:space="preserve">Software/project or provider/operator-specific; standalone service terms U/K</x:t>
  </x:si>
  <x:si>
    <x:t xml:space="preserve">Provider/operator-specific or U/K</x:t>
  </x:si>
  <x:si>
    <x:t xml:space="preserve">Operator/provider policy applies where self-hosted</x:t>
  </x:si>
  <x:si>
    <x:t xml:space="preserve">No central consumer service policy; operator policies apply.</x:t>
  </x:si>
  <x:si>
    <x:t xml:space="preserve">Mumble</x:t>
  </x:si>
  <x:si>
    <x:t xml:space="preserve">Open-source self-hosted voice software</x:t>
  </x:si>
  <x:si>
    <x:t xml:space="preserve">https://www.mumble.info/</x:t>
  </x:si>
  <x:si>
    <x:t xml:space="preserve">No central hosted-service ToS; third-party host/operator policies apply.</x:t>
  </x:si>
  <x:si>
    <x:t xml:space="preserve">TeamSpeak</x:t>
  </x:si>
  <x:si>
    <x:t xml:space="preserve">Software, accounts, hosted communities, licenses and related services</x:t>
  </x:si>
  <x:si>
    <x:t xml:space="preserve">https://www.teamspeak.com/en/terms-and-conditions</x:t>
  </x:si>
  <x:si>
    <x:t xml:space="preserve">Effective 2026-06-22</x:t>
  </x:si>
  <x:si>
    <x:t xml:space="preserve">TeamSpeak USA / TeamSpeak DE depending product/order</x:t>
  </x:si>
  <x:si>
    <x:t xml:space="preserve">Product/order-specific hosted-plan and licensing terms</x:t>
  </x:si>
  <x:si>
    <x:t xml:space="preserve">https://www.teamspeak.com/en/privacy-policy</x:t>
  </x:si>
  <x:si>
    <x:t xml:space="preserve">Account, licensing, device/service-use and support data</x:t>
  </x:si>
  <x:si>
    <x:t xml:space="preserve">Self-host server operator controls server-side data; TeamSpeak-controlled data varies</x:t>
  </x:si>
  <x:si>
    <x:t xml:space="preserve">Server operator controls community content; TeamSpeak account/licensing policies still apply</x:t>
  </x:si>
  <x:si>
    <x:t xml:space="preserve">Authorized third-party hosts may impose additional policies.</x:t>
  </x:si>
  <x:si>
    <x:t xml:space="preserve">Zulip</x:t>
  </x:si>
  <x:si>
    <x:t xml:space="preserve">Zulip Cloud plus subscriptions; self-host operator policies also matter</x:t>
  </x:si>
  <x:si>
    <x:t xml:space="preserve">https://zulip.com/policies/terms</x:t>
  </x:si>
  <x:si>
    <x:t xml:space="preserve">Effective 2022-02-07</x:t>
  </x:si>
  <x:si>
    <x:t xml:space="preserve">See Zulip Age of Consent policy; jurisdiction-dependent</x:t>
  </x:si>
  <x:si>
    <x:t xml:space="preserve">Kandra Labs, Inc., California; see Terms</x:t>
  </x:si>
  <x:si>
    <x:t xml:space="preserve">Cloud/self-host subscriptions are plan-specific; Enterprise is contract-based</x:t>
  </x:si>
  <x:si>
    <x:t xml:space="preserve">https://zulip.com/policies/privacy</x:t>
  </x:si>
  <x:si>
    <x:t xml:space="preserve">Current policy page</x:t>
  </x:si>
  <x:si>
    <x:t xml:space="preserve">Account, organization content, device/use and payment/support data</x:t>
  </x:si>
  <x:si>
    <x:t xml:space="preserve">No data-sale business model</x:t>
  </x:si>
  <x:si>
    <x:t xml:space="preserve">Yes on Zulip Cloud/server-stored history; self-host operator controls own server</x:t>
  </x:si>
  <x:si>
    <x:t xml:space="preserve">Exports and admin retention policies exist</x:t>
  </x:si>
  <x:si>
    <x:t xml:space="preserve">Self-host organization/operator is responsible for its deployment and local policy</x:t>
  </x:si>
  <x:si>
    <x:t xml:space="preserve">Treat Zulip Cloud and self-hosted Zulip separately.</x:t>
  </x:si>
  <x:si>
    <x:t xml:space="preserve">Mattermost</x:t>
  </x:si>
  <x:si>
    <x:t xml:space="preserve">Cloud and self-hosted enterprise collaboration; local org terms may apply</x:t>
  </x:si>
  <x:si>
    <x:t xml:space="preserve">https://docs.mattermost.com/product-overview/faq-license</x:t>
  </x:si>
  <x:si>
    <x:t xml:space="preserve">Legal/licensing hub; terms vary by edition/subscription</x:t>
  </x:si>
  <x:si>
    <x:t xml:space="preserve">Customer/operator content</x:t>
  </x:si>
  <x:si>
    <x:t xml:space="preserve">Yes / self-host admin also controls users</x:t>
  </x:si>
  <x:si>
    <x:t xml:space="preserve">Annual seat licenses/enterprise contracts</x:t>
  </x:si>
  <x:si>
    <x:t xml:space="preserve">https://mattermost.com/privacy-policy/</x:t>
  </x:si>
  <x:si>
    <x:t xml:space="preserve">Effective 2024-12-30</x:t>
  </x:si>
  <x:si>
    <x:t xml:space="preserve">Self-host users expose limited Mattermost-collected data; cloud/services collect more</x:t>
  </x:si>
  <x:si>
    <x:t xml:space="preserve">No consumer ad-driven model</x:t>
  </x:si>
  <x:si>
    <x:t xml:space="preserve">Depends on deployment/integration/provider</x:t>
  </x:si>
  <x:si>
    <x:t xml:space="preserve">Self-host operator can read ordinary server-stored content</x:t>
  </x:si>
  <x:si>
    <x:t xml:space="preserve">Customer infrastructure plus Mattermost subprocessors for cloud/services</x:t>
  </x:si>
  <x:si>
    <x:t xml:space="preserve">Self-host operator is primary privacy actor; org may publish local terms subject to Mattermost requirements</x:t>
  </x:si>
  <x:si>
    <x:t xml:space="preserve">Obligations differ by Team Edition, Enterprise and Cloud.</x:t>
  </x:si>
  <x:si>
    <x:t xml:space="preserve">Rocket.Chat</x:t>
  </x:si>
  <x:si>
    <x:t xml:space="preserve">Cloud and self-managed deployments; offering-specific terms</x:t>
  </x:si>
  <x:si>
    <x:t xml:space="preserve">https://docs.rocket.chat/docs/legal-center</x:t>
  </x:si>
  <x:si>
    <x:t xml:space="preserve">Legal center / offering-specific agreements</x:t>
  </x:si>
  <x:si>
    <x:t xml:space="preserve">Commercial/Government/Defense are sales-led contracts</x:t>
  </x:si>
  <x:si>
    <x:t xml:space="preserve">https://docs.rocket.chat/docs/privacy-policy</x:t>
  </x:si>
  <x:si>
    <x:t xml:space="preserve">Effective 2025-08-11</x:t>
  </x:si>
  <x:si>
    <x:t xml:space="preserve">Website/cloud/app/service data; self-host deployment data can remain customer-controlled</x:t>
  </x:si>
  <x:si>
    <x:t xml:space="preserve">No consumer ad-driven model identified</x:t>
  </x:si>
  <x:si>
    <x:t xml:space="preserve">Depends on deployment/integration</x:t>
  </x:si>
  <x:si>
    <x:t xml:space="preserve">Self-host operator can read unencrypted content; E2EE has feature limitations</x:t>
  </x:si>
  <x:si>
    <x:t xml:space="preserve">Self-managed operator is responsible for workspace data/local terms</x:t>
  </x:si>
  <x:si>
    <x:t xml:space="preserve">Use Legal Center for current agreements and archived versions.</x:t>
  </x:si>
  <x:si>
    <x:t xml:space="preserve">GameVox</x:t>
  </x:si>
  <x:si>
    <x:t xml:space="preserve">Cloud account/service plus cloud-hosted or self-hosted community servers</x:t>
  </x:si>
  <x:si>
    <x:t xml:space="preserve">https://gamevox.com/terms/</x:t>
  </x:si>
  <x:si>
    <x:t xml:space="preserve">Effective 2026-03-23; updated 2026-06-07</x:t>
  </x:si>
  <x:si>
    <x:t xml:space="preserve">13+; guardian permission represented for users under 18</x:t>
  </x:si>
  <x:si>
    <x:t xml:space="preserve">Server tiers and self-host licenses have purchase-specific terms</x:t>
  </x:si>
  <x:si>
    <x:t xml:space="preserve">https://gamevox.com/privacy/</x:t>
  </x:si>
  <x:si>
    <x:t xml:space="preserve">Effective 2026-03-23; updated 2026-08-06</x:t>
  </x:si>
  <x:si>
    <x:t xml:space="preserve">Account/profile, communications, support and usage data; self-host content remains local</x:t>
  </x:si>
  <x:si>
    <x:t xml:space="preserve">No ads/data sale business model</x:t>
  </x:si>
  <x:si>
    <x:t xml:space="preserve">Cloud-hosted text is stored by GameVox; self-host community content stays local</x:t>
  </x:si>
  <x:si>
    <x:t xml:space="preserve">Hosting/SMS/payments/operational vendors</x:t>
  </x:si>
  <x:si>
    <x:t xml:space="preserve">Self-host community data/voice/files live on operator hardware; cloud auth/account services still apply</x:t>
  </x:si>
  <x:si>
    <x:t xml:space="preserve">No data sale or advertising stated.</x:t>
  </x:si>
  <x:si>
    <x:t xml:space="preserve">Nerimity</x:t>
  </x:si>
  <x:si>
    <x:t xml:space="preserve">Nerimity-hosted service; open-source code</x:t>
  </x:si>
  <x:si>
    <x:t xml:space="preserve">https://nerimity.com/</x:t>
  </x:si>
  <x:si>
    <x:t xml:space="preserve">Homepage links Terms and Privacy; exact standalone URLs were not indexed.</x:t>
  </x:si>
  <x:si>
    <x:t xml:space="preserve">Osmium</x:t>
  </x:si>
  <x:si>
    <x:t xml:space="preserve">Osmium-hosted centralized service</x:t>
  </x:si>
  <x:si>
    <x:t xml:space="preserve">https://osmium.chat/terms/</x:t>
  </x:si>
  <x:si>
    <x:t xml:space="preserve">Last updated 2026-02-10</x:t>
  </x:si>
  <x:si>
    <x:t xml:space="preserve">Minimum age varies; EU stated as 16 unless consent rules allow otherwise</x:t>
  </x:si>
  <x:si>
    <x:t xml:space="preserve">https://osmium.chat/privacy/</x:t>
  </x:si>
  <x:si>
    <x:t xml:space="preserve">Account/profile, stored messages/files/media and operational data</x:t>
  </x:si>
  <x:si>
    <x:t xml:space="preserve">Yes; voice/video transmitted over encrypted connections</x:t>
  </x:si>
  <x:si>
    <x:t xml:space="preserve">N/A — no self-hosting verified</x:t>
  </x:si>
  <x:si>
    <x:t xml:space="preserve">Encrypted transport does not itself mean E2EE.</x:t>
  </x:si>
  <x:si>
    <x:t xml:space="preserve">Loqa</x:t>
  </x:si>
  <x:si>
    <x:t xml:space="preserve">Loqa-operated service plus evolving federation/self-host features</x:t>
  </x:si>
  <x:si>
    <x:t xml:space="preserve">https://loqa.chat/terms/</x:t>
  </x:si>
  <x:si>
    <x:t xml:space="preserve">13+; guardian consent for users under 18</x:t>
  </x:si>
  <x:si>
    <x:t xml:space="preserve">Limited non-exclusive license to store/transmit/display as needed</x:t>
  </x:si>
  <x:si>
    <x:t xml:space="preserve">Yes — AAA binding arbitration and class-action waiver</x:t>
  </x:si>
  <x:si>
    <x:t xml:space="preserve">Delaware law; Delaware courts for specified court actions</x:t>
  </x:si>
  <x:si>
    <x:t xml:space="preserve">Paid subscriptions/features supported; exact catalog/prices vary</x:t>
  </x:si>
  <x:si>
    <x:t xml:space="preserve">https://loqa.chat/privacy/</x:t>
  </x:si>
  <x:si>
    <x:t xml:space="preserve">Last updated 2026-07-10</x:t>
  </x:si>
  <x:si>
    <x:t xml:space="preserve">Account/profile, messages/files, call-control data, diagnostics and purchases/subscriptions</x:t>
  </x:si>
  <x:si>
    <x:t xml:space="preserve">No targeted advertising/third-party ad trackers</x:t>
  </x:si>
  <x:si>
    <x:t xml:space="preserve">Eligible E2EE content is ciphertext; other channels/features may be readable</x:t>
  </x:si>
  <x:si>
    <x:t xml:space="preserve">Raw IP used for rate limiting/security; sessions retain keyed hash</x:t>
  </x:si>
  <x:si>
    <x:t xml:space="preserve">Deletion supported; moderation snapshots may persist up to 90 days</x:t>
  </x:si>
  <x:si>
    <x:t xml:space="preserve">Federated/self-host policy boundaries still evolving</x:t>
  </x:si>
  <x:si>
    <x:t xml:space="preserve">E2EE coverage varies by content type.</x:t>
  </x:si>
  <x:si>
    <x:t xml:space="preserve">Venta</x:t>
  </x:si>
  <x:si>
    <x:t xml:space="preserve">Early hosted project moving toward self-host/federation</x:t>
  </x:si>
  <x:si>
    <x:t xml:space="preserve">Formal public legal policy coverage is incomplete.</x:t>
  </x:si>
  <x:si>
    <x:t xml:space="preserve">Policy page not verified / operator-specific</x:t>
  </x:si>
  <x:si>
    <x:t xml:space="preserve">Mezon</x:t>
  </x:si>
  <x:si>
    <x:t xml:space="preserve">Mezon communication service plus Mezon Dong payment ecosystem</x:t>
  </x:si>
  <x:si>
    <x:t xml:space="preserve">https://dong.mezon.ai/</x:t>
  </x:si>
  <x:si>
    <x:t xml:space="preserve">Legal links are exposed on Mezon Dong; exact normalized URLs U/K.</x:t>
  </x:si>
  <x:si>
    <x:t xml:space="preserve">Kloak</x:t>
  </x:si>
  <x:si>
    <x:t xml:space="preserve">Kloak-hosted privacy-focused service</x:t>
  </x:si>
  <x:si>
    <x:t xml:space="preserve">https://kloak.app/terms</x:t>
  </x:si>
  <x:si>
    <x:t xml:space="preserve">Last updated January 2025</x:t>
  </x:si>
  <x:si>
    <x:t xml:space="preserve">No subscriptions; self-funding + donations</x:t>
  </x:si>
  <x:si>
    <x:t xml:space="preserve">https://kloak.app/privacy</x:t>
  </x:si>
  <x:si>
    <x:t xml:space="preserve">Current privacy page / exact update U/K</x:t>
  </x:si>
  <x:si>
    <x:t xml:space="preserve">No / project says no data harvesting</x:t>
  </x:si>
  <x:si>
    <x:t xml:space="preserve">No ads</x:t>
  </x:si>
  <x:si>
    <x:t xml:space="preserve">Current server-readable model until planned zero-knowledge strategy is deployed</x:t>
  </x:si>
  <x:si>
    <x:t xml:space="preserve">Kloak states no subscriptions, ads or data harvesting.</x:t>
  </x:si>
  <x:si>
    <x:t xml:space="preserve">Yapper</x:t>
  </x:si>
  <x:si>
    <x:t xml:space="preserve">yapper.gg account/license service plus self-host or managed server</x:t>
  </x:si>
  <x:si>
    <x:t xml:space="preserve">No standalone Terms page verified</x:t>
  </x:si>
  <x:si>
    <x:t xml:space="preserve">Operator/user content ownership</x:t>
  </x:si>
  <x:si>
    <x:t xml:space="preserve">Self-host license $0; managed hosting €90/yr regular, €45 promo through 2027-01-31</x:t>
  </x:si>
  <x:si>
    <x:t xml:space="preserve">https://yapper.gg/privacy-policy</x:t>
  </x:si>
  <x:si>
    <x:t xml:space="preserve">Last updated 2026-06-30</x:t>
  </x:si>
  <x:si>
    <x:t xml:space="preserve">Email, username and account/license-validation data; self-host content stays on operator server</x:t>
  </x:si>
  <x:si>
    <x:t xml:space="preserve">No surveillance/ad model stated</x:t>
  </x:si>
  <x:si>
    <x:t xml:space="preserve">No model-training use stated</x:t>
  </x:si>
  <x:si>
    <x:t xml:space="preserve">yapper.gg cannot access self-hosted chat/voice/screen content</x:t>
  </x:si>
  <x:si>
    <x:t xml:space="preserve">Google Sign-In, optional tools and hosting/payment services</x:t>
  </x:si>
  <x:si>
    <x:t xml:space="preserve">Self-host operator is responsible for server content/data</x:t>
  </x:si>
  <x:si>
    <x:t xml:space="preserve">Managed hosting and self-host privacy responsibilities differ.</x:t>
  </x:si>
  <x:si>
    <x:t xml:space="preserve">Harmony</x:t>
  </x:si>
  <x:si>
    <x:t xml:space="preserve">Open-source Harmony platform/server; Fermi is a client</x:t>
  </x:si>
  <x:si>
    <x:t xml:space="preserve">No central consumer service policy verified; self-host operator policy applies.</x:t>
  </x:si>
  <x:si>
    <x:t xml:space="preserve">Roomy</x:t>
  </x:si>
  <x:si>
    <x:t xml:space="preserve">Open-source ATProto application/appserver</x:t>
  </x:si>
  <x:si>
    <x:t xml:space="preserve">Provider/PDS/appserver policies apply; no Roomy consumer policy verified.</x:t>
  </x:si>
  <x:si>
    <x:t xml:space="preserve">Armada</x:t>
  </x:si>
  <x:si>
    <x:t xml:space="preserve">Open-source Nostr/Concord client/relay ecosystem</x:t>
  </x:si>
  <x:si>
    <x:t xml:space="preserve">https://github.com/soapbox-pub/armada</x:t>
  </x:si>
  <x:si>
    <x:t xml:space="preserve">No central consumer service terms; relay/provider policies apply.</x:t>
  </x:si>
  <x:si>
    <x:t xml:space="preserve">Hollow</x:t>
  </x:si>
  <x:si>
    <x:t xml:space="preserve">Local-first distributed app with optional relays</x:t>
  </x:si>
  <x:si>
    <x:t xml:space="preserve">https://github.com/VitalikPro13/HOLLOW</x:t>
  </x:si>
  <x:si>
    <x:t xml:space="preserve">Repository contains Terms/Privacy docs; exact file URLs not normalized here.</x:t>
  </x:si>
  <x:si>
    <x:t xml:space="preserve">DCTS</x:t>
  </x:si>
  <x:si>
    <x:t xml:space="preserve">Self-host-first open-source platform</x:t>
  </x:si>
  <x:si>
    <x:t xml:space="preserve">No centralized consumer ToS/privacy verified; instance operator policies apply.</x:t>
  </x:si>
  <x:si>
    <x:t xml:space="preserve">Rift</x:t>
  </x:si>
  <x:si>
    <x:t xml:space="preserve">Rift-operated centralized service</x:t>
  </x:si>
  <x:si>
    <x:t xml:space="preserve">https://therift.chat/terms/</x:t>
  </x:si>
  <x:si>
    <x:t xml:space="preserve">Last updated August 2026</x:t>
  </x:si>
  <x:si>
    <x:t xml:space="preserve">18+ or age of majority, whichever is higher</x:t>
  </x:si>
  <x:si>
    <x:t xml:space="preserve">Subscriptions auto-renew; cancel anytime; generally no partial refunds except law/case-by-case</x:t>
  </x:si>
  <x:si>
    <x:t xml:space="preserve">https://therift.chat/privacy/</x:t>
  </x:si>
  <x:si>
    <x:t xml:space="preserve">Username/public key, age attestation, payment status, limited diagnostics/media metadata</x:t>
  </x:si>
  <x:si>
    <x:t xml:space="preserve">No behavioral advertising/tracking</x:t>
  </x:si>
  <x:si>
    <x:t xml:space="preserve">No messages/media/profile data used to train AI models</x:t>
  </x:si>
  <x:si>
    <x:t xml:space="preserve">Cannot read E2EE DM plaintext; can process non-E2EE community text</x:t>
  </x:si>
  <x:si>
    <x:t xml:space="preserve">Rift says it does not store IP addresses</x:t>
  </x:si>
  <x:si>
    <x:t xml:space="preserve">Hard-delete/account-deletion claims with legal exceptions</x:t>
  </x:si>
  <x:si>
    <x:t xml:space="preserve">Stripe, Cloudflare R2, optional Sentry; self-hosted voice/video infra</x:t>
  </x:si>
  <x:si>
    <x:t xml:space="preserve">No email, phone or government ID required.</x:t>
  </x:si>
  <x:si>
    <x:t xml:space="preserve">Echon</x:t>
  </x:si>
  <x:si>
    <x:t xml:space="preserve">Echon-hosted centralized service</x:t>
  </x:si>
  <x:si>
    <x:t xml:space="preserve">13+ per signup/privacy policy</x:t>
  </x:si>
  <x:si>
    <x:t xml:space="preserve">LJAN Enterprises LLC (U.S.); team in Canada; exact law clause U/K</x:t>
  </x:si>
  <x:si>
    <x:t xml:space="preserve">Privacy policy references Stripe and premium/boost tiers when active</x:t>
  </x:si>
  <x:si>
    <x:t xml:space="preserve">https://echon-voice.com/privacy</x:t>
  </x:si>
  <x:si>
    <x:t xml:space="preserve">Last updated 2026-06-10</x:t>
  </x:si>
  <x:si>
    <x:t xml:space="preserve">Email, username/handle, DOB, profile, stored text/uploads, IP/user-agent, device IDs, diagnostics</x:t>
  </x:si>
  <x:si>
    <x:t xml:space="preserve">No third-party tracking/advertising IDs</x:t>
  </x:si>
  <x:si>
    <x:t xml:space="preserve">Messages/voice not used to train ML models</x:t>
  </x:si>
  <x:si>
    <x:t xml:space="preserve">Yes for text; voice/screen through LiveKit Cloud are not recorded</x:t>
  </x:si>
  <x:si>
    <x:t xml:space="preserve">Raw IP short-lived in access logs; hashed form used for analytics/security</x:t>
  </x:si>
  <x:si>
    <x:t xml:space="preserve">LiveKit Cloud, Stripe, SendGrid, Sentry, AWS</x:t>
  </x:si>
  <x:si>
    <x:t xml:space="preserve">Premium/boost amounts and exact scope are not public.</x:t>
  </x:si>
  <x:si>
    <x:t xml:space="preserve">Valour</x:t>
  </x:si>
  <x:si>
    <x:t xml:space="preserve">Valour-hosted service plus AGPL self-host/federated nodes</x:t>
  </x:si>
  <x:si>
    <x:t xml:space="preserve">No standalone current Terms page verified</x:t>
  </x:si>
  <x:si>
    <x:t xml:space="preserve">Optional Stargazer subscription; price U/K</x:t>
  </x:si>
  <x:si>
    <x:t xml:space="preserve">No standalone current Privacy page verified</x:t>
  </x:si>
  <x:si>
    <x:t xml:space="preserve">Email/account and hosted community data; exact categories U/K</x:t>
  </x:si>
  <x:si>
    <x:t xml:space="preserve">Official hosted service can read ordinary stored text unless encrypted feature says otherwise</x:t>
  </x:si>
  <x:si>
    <x:t xml:space="preserve">Self-host node operator sets local policy; official/federated nodes may differ</x:t>
  </x:si>
  <x:si>
    <x:t xml:space="preserve">FAQ says no phone/ID, no ads, no data selling; AGPL client/server.</x:t>
  </x:si>
  <x:si>
    <x:t xml:space="preserve">Weered</x:t>
  </x:si>
  <x:si>
    <x:t xml:space="preserve">Weered-hosted lobby/community service</x:t>
  </x:si>
  <x:si>
    <x:t xml:space="preserve">No standalone public Terms page verified</x:t>
  </x:si>
  <x:si>
    <x:t xml:space="preserve">Hosted in Canada</x:t>
  </x:si>
  <x:si>
    <x:t xml:space="preserve">$6/mo own lobby; custom builds quoted by size; builds are month-to-month/no contract</x:t>
  </x:si>
  <x:si>
    <x:t xml:space="preserve">No standalone public Privacy page verified</x:t>
  </x:si>
  <x:si>
    <x:t xml:space="preserve">Hosted account/community data; exact categories U/K</x:t>
  </x:si>
  <x:si>
    <x:t xml:space="preserve">Hosted service can process stored lobby/chat content</x:t>
  </x:si>
  <x:si>
    <x:t xml:space="preserve">Custom-build member data exportable at any time</x:t>
  </x:si>
  <x:si>
    <x:t xml:space="preserve">Canada-hosted infrastructure</x:t>
  </x:si>
  <x:si>
    <x:t xml:space="preserve">N/A — no self-host product described</x:t>
  </x:si>
  <x:si>
    <x:t xml:space="preserve">No seat limits/boosts; paid model is lobby ownership/custom builds.</x:t>
  </x:si>
  <x:si>
    <x:t xml:space="preserve">As of 2026-09-15</x:t>
  </x:si>
  <x:si>
    <x:t xml:space="preserve">Area</x:t>
  </x:si>
  <x:si>
    <x:t xml:space="preserve">Source URL</x:t>
  </x:si>
  <x:si>
    <x:t xml:space="preserve">What it supports</x:t>
  </x:si>
  <x:si>
    <x:t xml:space="preserve">Notes</x:t>
  </x:si>
  <x:si>
    <x:t xml:space="preserve">Source Type</x:t>
  </x:si>
  <x:si>
    <x:t xml:space="preserve">Evidence Level</x:t>
  </x:si>
  <x:si>
    <x:t xml:space="preserve">Applies To</x:t>
  </x:si>
  <x:si>
    <x:t xml:space="preserve">Language</x:t>
  </x:si>
  <x:si>
    <x:t xml:space="preserve">Project history / launch</x:t>
  </x:si>
  <x:si>
    <x:t xml:space="preserve">https://discord.com/company</x:t>
  </x:si>
  <x:si>
    <x:t xml:space="preserve">Official Discord company history; first Discord release in May 2015.</x:t>
  </x:si>
  <x:si>
    <x:t xml:space="preserve">U/K means unknown / not publicly verifiable enough to state confidently.</x:t>
  </x:si>
  <x:si>
    <x:t xml:space="preserve">First-party / official</x:t>
  </x:si>
  <x:si>
    <x:t xml:space="preserve">Primary</x:t>
  </x:si>
  <x:si>
    <x:t xml:space="preserve">Multiple</x:t>
  </x:si>
  <x:si>
    <x:t xml:space="preserve">English</x:t>
  </x:si>
  <x:si>
    <x:t xml:space="preserve">Exact launch anniversary</x:t>
  </x:si>
  <x:si>
    <x:t xml:space="preserve">https://discord.com/blog/thank-you-for-ten-years</x:t>
  </x:si>
  <x:si>
    <x:t xml:space="preserve">Official 10th birthday on May 13, 2025 confirms May 13, 2015 launch.</x:t>
  </x:si>
  <x:si>
    <x:t xml:space="preserve">Company size</x:t>
  </x:si>
  <x:si>
    <x:t xml:space="preserve">https://www.linkedin.com/company/discord</x:t>
  </x:si>
  <x:si>
    <x:t xml:space="preserve">Public company-size range: 501–1,000 employees; engineering subset remains U/K.</x:t>
  </x:si>
  <x:si>
    <x:t xml:space="preserve">Privacy / encryption / IP / business model</x:t>
  </x:si>
  <x:si>
    <x:t xml:space="preserve">Current privacy policy: TLS in transit, data collection/retention, IP collection, business funding, controllers.</x:t>
  </x:si>
  <x:si>
    <x:t xml:space="preserve">Retention</x:t>
  </x:si>
  <x:si>
    <x:t xml:space="preserve">https://support.discord.com/hc/en-us/articles/5431812448791-How-long-Discord-keeps-your-information</x:t>
  </x:si>
  <x:si>
    <x:t xml:space="preserve">Retention policy details, including inactive-account handling.</x:t>
  </x:si>
  <x:si>
    <x:t xml:space="preserve">Voice/video E2EE status</x:t>
  </x:si>
  <x:si>
    <x:t xml:space="preserve">https://discord.com/blog/every-voice-and-video-call-on-discord-is-now-end-to-end-encrypted</x:t>
  </x:si>
  <x:si>
    <x:t xml:space="preserve">DAVE is standard for Discord calls as of March 2026; Stage is a special case.</x:t>
  </x:si>
  <x:si>
    <x:t xml:space="preserve">DAVE design / text not E2EE</x:t>
  </x:si>
  <x:si>
    <x:t xml:space="preserve">https://discord.com/blog/meet-dave-e2ee-for-audio-video</x:t>
  </x:si>
  <x:si>
    <x:t xml:space="preserve">Explains DAVE, Trail of Bits audit, and that Discord messages remain non-E2EE.</x:t>
  </x:si>
  <x:si>
    <x:t xml:space="preserve">DAVE 2025 audit / platform rollout</x:t>
  </x:si>
  <x:si>
    <x:t xml:space="preserve">https://discord.com/blog/bringing-dave-to-all-discord-platforms</x:t>
  </x:si>
  <x:si>
    <x:t xml:space="preserve">All-platform DAVE rollout and follow-up Trail of Bits audit.</x:t>
  </x:si>
  <x:si>
    <x:t xml:space="preserve">Free / Nitro upload limits</x:t>
  </x:si>
  <x:si>
    <x:t xml:space="preserve">https://support.discord.com/hc/en-us/articles/25444343291031-File-Attachments-FAQ</x:t>
  </x:si>
  <x:si>
    <x:t xml:space="preserve">Current 2026 limits: 20 MB free, 50 MB Nitro Basic, up to 500 MB Nitro.</x:t>
  </x:si>
  <x:si>
    <x:t xml:space="preserve">Screen share / audio capture</x:t>
  </x:si>
  <x:si>
    <x:t xml:space="preserve">https://support.discord.com/hc/en-us/articles/360040816151-Go-Live-and-Screen-Share</x:t>
  </x:si>
  <x:si>
    <x:t xml:space="preserve">Free 720p/30; Nitro up to 4K/60; supported audio-capture platforms.</x:t>
  </x:si>
  <x:si>
    <x:t xml:space="preserve">Voice bitrate</x:t>
  </x:si>
  <x:si>
    <x:t xml:space="preserve">https://support.discord.com/hc/en-us/articles/11635925354775-Audio-Bitrate-FAQ</x:t>
  </x:si>
  <x:si>
    <x:t xml:space="preserve">96 kbps base; boosted caps up to 384 kbps.</x:t>
  </x:si>
  <x:si>
    <x:t xml:space="preserve">Krisp</x:t>
  </x:si>
  <x:si>
    <x:t xml:space="preserve">https://support.discord.com/hc/en-us/articles/360040843952-Krisp-FAQ</x:t>
  </x:si>
  <x:si>
    <x:t xml:space="preserve">Krisp noise suppression support.</x:t>
  </x:si>
  <x:si>
    <x:t xml:space="preserve">Stage channels</x:t>
  </x:si>
  <x:si>
    <x:t xml:space="preserve">https://support.discord.com/hc/en-us/articles/1500005513722-Stage-Channels-FAQ</x:t>
  </x:si>
  <x:si>
    <x:t xml:space="preserve">Speaker/audience model, request-to-speak, screen share/video.</x:t>
  </x:si>
  <x:si>
    <x:t xml:space="preserve">Account / server caps</x:t>
  </x:si>
  <x:si>
    <x:t xml:space="preserve">https://support.discord.com/hc/en-us/articles/33694251638295-Discord-Account-Caps-Server-Caps-and-More</x:t>
  </x:si>
  <x:si>
    <x:t xml:space="preserve">Audit-log retention and various channel/stage caps.</x:t>
  </x:si>
  <x:si>
    <x:t xml:space="preserve">Account registration</x:t>
  </x:si>
  <x:si>
    <x:t xml:space="preserve">https://support.discord.com/hc/en-us/articles/31676852332439-Discord-Sign-Up-and-Registration-Guide</x:t>
  </x:si>
  <x:si>
    <x:t xml:space="preserve">Registration requirements and phone/email options.</x:t>
  </x:si>
  <x:si>
    <x:t xml:space="preserve">AutoMod</x:t>
  </x:si>
  <x:si>
    <x:t xml:space="preserve">https://support.discord.com/hc/en-us/articles/4421269296535-AutoMod-FAQ</x:t>
  </x:si>
  <x:si>
    <x:t xml:space="preserve">Native AutoMod, keyword and spam filters.</x:t>
  </x:si>
  <x:si>
    <x:t xml:space="preserve">AutoMod regex</x:t>
  </x:si>
  <x:si>
    <x:t xml:space="preserve">https://support.discord.com/hc/en-us/articles/10069840290711-Filter-Messages-Using-Regular-Expressions-Regex</x:t>
  </x:si>
  <x:si>
    <x:t xml:space="preserve">Custom keyword rules support Rust-flavor regex.</x:t>
  </x:si>
  <x:si>
    <x:t xml:space="preserve">Raid protection</x:t>
  </x:si>
  <x:si>
    <x:t xml:space="preserve">https://support.discord.com/hc/en-us/articles/10989121220631-How-to-Protect-Your-Server-from-Raids-101</x:t>
  </x:si>
  <x:si>
    <x:t xml:space="preserve">ML-based Raid Protection, CAPTCHA, verification recommendations.</x:t>
  </x:si>
  <x:si>
    <x:t xml:space="preserve">Rules screening</x:t>
  </x:si>
  <x:si>
    <x:t xml:space="preserve">https://support.discord.com/hc/en-us/articles/1500000466882-Rules-Screening-FAQ</x:t>
  </x:si>
  <x:si>
    <x:t xml:space="preserve">Native join rules screening.</x:t>
  </x:si>
  <x:si>
    <x:t xml:space="preserve">Server member applications</x:t>
  </x:si>
  <x:si>
    <x:t xml:space="preserve">https://support.discord.com/hc/en-us/articles/29729107418519-Server-Member-Applications</x:t>
  </x:si>
  <x:si>
    <x:t xml:space="preserve">Apply-to-join and application review tools.</x:t>
  </x:si>
  <x:si>
    <x:t xml:space="preserve">Audit logs</x:t>
  </x:si>
  <x:si>
    <x:t xml:space="preserve">https://docs.discord.com/developers/resources/audit-log</x:t>
  </x:si>
  <x:si>
    <x:t xml:space="preserve">Audit log API and 45-day retention.</x:t>
  </x:si>
  <x:si>
    <x:t xml:space="preserve">Bug bounty</x:t>
  </x:si>
  <x:si>
    <x:t xml:space="preserve">https://discord.com/security</x:t>
  </x:si>
  <x:si>
    <x:t xml:space="preserve">Private Bugcrowd program; usual response target around 24 hours.</x:t>
  </x:si>
  <x:si>
    <x:t xml:space="preserve">2025 support-vendor incident</x:t>
  </x:si>
  <x:si>
    <x:t xml:space="preserve">https://discord.com/press-releases/update-on-security-incident-involving-third-party-customer-service</x:t>
  </x:si>
  <x:si>
    <x:t xml:space="preserve">Official incident disclosure and affected-data scope.</x:t>
  </x:si>
  <x:si>
    <x:t xml:space="preserve">Desktop/mobile stack</x:t>
  </x:si>
  <x:si>
    <x:t xml:space="preserve">https://discord.com/blog/discord-patch-notes-september-8-2026</x:t>
  </x:si>
  <x:si>
    <x:t xml:space="preserve">Electron 42 desktop; React Native 0.86 mobile; 20 MB free upload change.</x:t>
  </x:si>
  <x:si>
    <x:t xml:space="preserve">Platform downloads</x:t>
  </x:si>
  <x:si>
    <x:t xml:space="preserve">https://discord.com/download</x:t>
  </x:si>
  <x:si>
    <x:t xml:space="preserve">Official Windows, macOS, Linux package formats, iOS and Android distribution.</x:t>
  </x:si>
  <x:si>
    <x:t xml:space="preserve">Account switching</x:t>
  </x:si>
  <x:si>
    <x:t xml:space="preserve">https://support.discord.com/hc/en-us/articles/4412732047127-Discord-Account-Switcher-FAQ</x:t>
  </x:si>
  <x:si>
    <x:t xml:space="preserve">Desktop account switcher supports up to five accounts.</x:t>
  </x:si>
  <x:si>
    <x:t xml:space="preserve">Data export</x:t>
  </x:si>
  <x:si>
    <x:t xml:space="preserve">https://support.discord.com/hc/en-us/articles/360004957991-Your-Discord-Data-Package</x:t>
  </x:si>
  <x:si>
    <x:t xml:space="preserve">Account data-package export.</x:t>
  </x:si>
  <x:si>
    <x:t xml:space="preserve">Gateway / WebSocket API</x:t>
  </x:si>
  <x:si>
    <x:t xml:space="preserve">https://docs.discord.com/developers/events/gateway</x:t>
  </x:si>
  <x:si>
    <x:t xml:space="preserve">Gateway is WebSocket-based; documents Gateway event rate limit.</x:t>
  </x:si>
  <x:si>
    <x:t xml:space="preserve">API rate limits</x:t>
  </x:si>
  <x:si>
    <x:t xml:space="preserve">https://docs.discord.com/developers/topics/rate-limits</x:t>
  </x:si>
  <x:si>
    <x:t xml:space="preserve">Per-route and global API rate limiting.</x:t>
  </x:si>
  <x:si>
    <x:t xml:space="preserve">Interactions / slash commands</x:t>
  </x:si>
  <x:si>
    <x:t xml:space="preserve">https://docs.discord.com/developers/platform/interactions</x:t>
  </x:si>
  <x:si>
    <x:t xml:space="preserve">Slash commands, components, modals, Gateway/HTTP interactions.</x:t>
  </x:si>
  <x:si>
    <x:t xml:space="preserve">Rich Presence</x:t>
  </x:si>
  <x:si>
    <x:t xml:space="preserve">https://docs.discord.com/developers/platform/rich-presence</x:t>
  </x:si>
  <x:si>
    <x:t xml:space="preserve">Official Rich Presence platform documentation.</x:t>
  </x:si>
  <x:si>
    <x:t xml:space="preserve">Activities / embedded apps</x:t>
  </x:si>
  <x:si>
    <x:t xml:space="preserve">https://docs.discord.com/developers/platform/activities</x:t>
  </x:si>
  <x:si>
    <x:t xml:space="preserve">Activities are embedded games/social apps within Discord.</x:t>
  </x:si>
  <x:si>
    <x:t xml:space="preserve">Embedded App SDK</x:t>
  </x:si>
  <x:si>
    <x:t xml:space="preserve">https://docs.discord.com/developers/developer-tools/embedded-app-sdk</x:t>
  </x:si>
  <x:si>
    <x:t xml:space="preserve">Official JavaScript/TypeScript SDK for Discord Activities.</x:t>
  </x:si>
  <x:si>
    <x:t xml:space="preserve">Conversation Summaries</x:t>
  </x:si>
  <x:si>
    <x:t xml:space="preserve">https://support.discord.com/hc/en-us/articles/12926016807575-In-Channel-Conversation-Summaries</x:t>
  </x:si>
  <x:si>
    <x:t xml:space="preserve">2026 experiment for AI-generated channel conversation summaries.</x:t>
  </x:si>
  <x:si>
    <x:t xml:space="preserve">AI model-training policy</x:t>
  </x:si>
  <x:si>
    <x:t xml:space="preserve">https://discord.com/safety/important-policy-updates</x:t>
  </x:si>
  <x:si>
    <x:t xml:space="preserve">Discord says AI companies are not allowed to train models using user messages.</x:t>
  </x:si>
  <x:si>
    <x:t xml:space="preserve">Nitro perks</x:t>
  </x:si>
  <x:si>
    <x:t xml:space="preserve">https://support.discord.com/hc/en-us/articles/115000435108-What-are-Nitro-Nitro-Basic</x:t>
  </x:si>
  <x:si>
    <x:t xml:space="preserve">Nitro perks including uploads, HD streaming, cosmetics, Soundboard.</x:t>
  </x:si>
  <x:si>
    <x:t xml:space="preserve">Forum / Gallery view</x:t>
  </x:si>
  <x:si>
    <x:t xml:space="preserve">https://support.discord.com/hc/en-us/articles/6208479917079-Forum-Channels-FAQ</x:t>
  </x:si>
  <x:si>
    <x:t xml:space="preserve">Forum channels and Gallery View.</x:t>
  </x:si>
  <x:si>
    <x:t xml:space="preserve">Embedded Apps / Activities</x:t>
  </x:si>
  <x:si>
    <x:t xml:space="preserve">Activities are multiplayer/social experiences embedded directly in Discord; can launch in channels/DMs/App Launcher.</x:t>
  </x:si>
  <x:si>
    <x:t xml:space="preserve">Official developer platform documentation.</x:t>
  </x:si>
  <x:si>
    <x:t xml:space="preserve">Embedded Apps; Developer API Detail</x:t>
  </x:si>
  <x:si>
    <x:t xml:space="preserve">Official SDK for communication between embedded web apps and Discord clients; supports web/iOS/Android methods.</x:t>
  </x:si>
  <x:si>
    <x:t xml:space="preserve">Official SDK reference.</x:t>
  </x:si>
  <x:si>
    <x:t xml:space="preserve">App platform overview</x:t>
  </x:si>
  <x:si>
    <x:t xml:space="preserve">https://docs.discord.com/developers/quick-start/overview-of-apps</x:t>
  </x:si>
  <x:si>
    <x:t xml:space="preserve">Defines bots, Activities and Social SDK integrations and installation scopes.</x:t>
  </x:si>
  <x:si>
    <x:t xml:space="preserve">Official app model overview.</x:t>
  </x:si>
  <x:si>
    <x:t xml:space="preserve">Embedded Apps; Developer Extensibility</x:t>
  </x:si>
  <x:si>
    <x:t xml:space="preserve">URL</x:t>
  </x:si>
  <x:si>
    <x:t xml:space="preserve">Checked</x:t>
  </x:si>
  <x:si>
    <x:t xml:space="preserve">Self-hosting</x:t>
  </x:si>
  <x:si>
    <x:t xml:space="preserve">https://github.com/stoatchat/self-hosted</x:t>
  </x:si>
  <x:si>
    <x:t xml:space="preserve">Official Docker self-host stack; notes that most official clients do not yet support custom instances well.</x:t>
  </x:si>
  <x:si>
    <x:t xml:space="preserve">First-party / official or project repository</x:t>
  </x:si>
  <x:si>
    <x:t xml:space="preserve">Backend / licensing</x:t>
  </x:si>
  <x:si>
    <x:t xml:space="preserve">https://github.com/stoatchat/stoatchat</x:t>
  </x:si>
  <x:si>
    <x:t xml:space="preserve">Rust backend, AGPL-3.0, MongoDB/Redis/RabbitMQ/MinIO, LiveKit config.</x:t>
  </x:si>
  <x:si>
    <x:t xml:space="preserve">Client ecosystem</x:t>
  </x:si>
  <x:si>
    <x:t xml:space="preserve">https://github.com/stoatchat/</x:t>
  </x:si>
  <x:si>
    <x:t xml:space="preserve">Web PWA, Electron desktop, Android, iOS project and community clients.</x:t>
  </x:si>
  <x:si>
    <x:t xml:space="preserve">Current product scope</x:t>
  </x:si>
  <x:si>
    <x:t xml:space="preserve">https://stoat.chat/legal/terms-stoat-supplement</x:t>
  </x:si>
  <x:si>
    <x:t xml:space="preserve">Stoat is chat with messaging, voice/video and recognizes self-hosted instances.</x:t>
  </x:si>
  <x:si>
    <x:t xml:space="preserve">Current status/features</x:t>
  </x:si>
  <x:si>
    <x:t xml:space="preserve">https://fenrid.com/</x:t>
  </x:si>
  <x:si>
    <x:t xml:space="preserve">Alpha; channels, roles, voice/video/screen share, E2EE direct messages.</x:t>
  </x:si>
  <x:si>
    <x:t xml:space="preserve">Architecture / E2EE disclosure</x:t>
  </x:si>
  <x:si>
    <x:t xml:space="preserve">https://blog.fenrid.com/fenrids-story</x:t>
  </x:si>
  <x:si>
    <x:t xml:space="preserve">Founder details centralized hosted architecture, E2EE boundaries, tech stack and open-source plan.</x:t>
  </x:si>
  <x:si>
    <x:t xml:space="preserve">E2EE / roadmap</x:t>
  </x:si>
  <x:si>
    <x:t xml:space="preserve">https://fenrid.com/waitlist</x:t>
  </x:si>
  <x:si>
    <x:t xml:space="preserve">Published DM encryption flow and planned launch features.</x:t>
  </x:si>
  <x:si>
    <x:t xml:space="preserve">Privacy / E2EE / AI</x:t>
  </x:si>
  <x:si>
    <x:t xml:space="preserve">No AI training; no E2EE yet; hosting jurisdiction/data practices.</x:t>
  </x:si>
  <x:si>
    <x:t xml:space="preserve">Client distribution</x:t>
  </x:si>
  <x:si>
    <x:t xml:space="preserve">https://fluxer.app/download</x:t>
  </x:si>
  <x:si>
    <x:t xml:space="preserve">Web/desktop, Linux packages, Android/iOS beta status.</x:t>
  </x:si>
  <x:si>
    <x:t xml:space="preserve">Roadmap / self-host/federation</x:t>
  </x:si>
  <x:si>
    <x:t xml:space="preserve">https://fluxer.app/blog/roadmap-2026</x:t>
  </x:si>
  <x:si>
    <x:t xml:space="preserve">Public beta, self-host architecture, mobile, voice/video E2EE and federation roadmap.</x:t>
  </x:si>
  <x:si>
    <x:t xml:space="preserve">Privacy / AI</x:t>
  </x:si>
  <x:si>
    <x:t xml:space="preserve">Closed centralized service; stored message/file data, real-time calls, no AI training, IP collection.</x:t>
  </x:si>
  <x:si>
    <x:t xml:space="preserve">Discord import</x:t>
  </x:si>
  <x:si>
    <x:t xml:space="preserve">https://support.rootapp.com/docs/leader/community/import-discord-template/</x:t>
  </x:si>
  <x:si>
    <x:t xml:space="preserve">Exactly what Discord template import does and does not migrate.</x:t>
  </x:si>
  <x:si>
    <x:t xml:space="preserve">Screen share</x:t>
  </x:si>
  <x:si>
    <x:t xml:space="preserve">https://support.rootapp.com/docs/member/voice-video/share-screen/</x:t>
  </x:si>
  <x:si>
    <x:t xml:space="preserve">720p30 game mode, Source@5fps, audio capture, no mobile sharing.</x:t>
  </x:si>
  <x:si>
    <x:t xml:space="preserve">Apps/Bots</x:t>
  </x:si>
  <x:si>
    <x:t xml:space="preserve">https://docs.rootapp.com/docs/overview/choose-app-or-bot/</x:t>
  </x:si>
  <x:si>
    <x:t xml:space="preserve">Hosted Root Apps with GUIs vs Bots, API access and hosted runtime model.</x:t>
  </x:si>
  <x:si>
    <x:t xml:space="preserve">File limits</x:t>
  </x:si>
  <x:si>
    <x:t xml:space="preserve">https://support.rootapp.com/docs/leader/channel-files/overview/</x:t>
  </x:si>
  <x:si>
    <x:t xml:space="preserve">25 MB max file and 10 files/upload.</x:t>
  </x:si>
  <x:si>
    <x:t xml:space="preserve">Platform model</x:t>
  </x:si>
  <x:si>
    <x:t xml:space="preserve">https://matrix.org/docs/matrix-concepts/elements-of-matrix/</x:t>
  </x:si>
  <x:si>
    <x:t xml:space="preserve">Separates homeservers, clients and federation; Matrix is not Element.</x:t>
  </x:si>
  <x:si>
    <x:t xml:space="preserve">Specification</x:t>
  </x:si>
  <x:si>
    <x:t xml:space="preserve">https://spec.matrix.org/unstable/</x:t>
  </x:si>
  <x:si>
    <x:t xml:space="preserve">Open client-server/server-server architecture and federation.</x:t>
  </x:si>
  <x:si>
    <x:t xml:space="preserve">Homeserver network</x:t>
  </x:si>
  <x:si>
    <x:t xml:space="preserve">https://matrix.org/homeserver/about/</x:t>
  </x:si>
  <x:si>
    <x:t xml:space="preserve">matrix.org is one homeserver in the federated network, not Matrix itself.</x:t>
  </x:si>
  <x:si>
    <x:t xml:space="preserve">Project definition</x:t>
  </x:si>
  <x:si>
    <x:t xml:space="preserve">https://docs.spacebar.chat/</x:t>
  </x:si>
  <x:si>
    <x:t xml:space="preserve">FOSS Discord API reimplementation; self-hosted, separate from Discord.</x:t>
  </x:si>
  <x:si>
    <x:t xml:space="preserve">Server model</x:t>
  </x:si>
  <x:si>
    <x:t xml:space="preserve">https://docs.spacebar.chat/setup/server/</x:t>
  </x:si>
  <x:si>
    <x:t xml:space="preserve">API, Gateway and CDN service layout.</x:t>
  </x:si>
  <x:si>
    <x:t xml:space="preserve">Voice</x:t>
  </x:si>
  <x:si>
    <x:t xml:space="preserve">https://docs.spacebar.chat/setup/server/installation/generic/voice/</x:t>
  </x:si>
  <x:si>
    <x:t xml:space="preserve">Optional WebRTC media implementations, audio/video/Go Live capability.</x:t>
  </x:si>
  <x:si>
    <x:t xml:space="preserve">Core project</x:t>
  </x:si>
  <x:si>
    <x:t xml:space="preserve">https://github.com/mumble-voip/mumble</x:t>
  </x:si>
  <x:si>
    <x:t xml:space="preserve">Open-source voice client/server, active development and BSD-style license.</x:t>
  </x:si>
  <x:si>
    <x:t xml:space="preserve">Official site</x:t>
  </x:si>
  <x:si>
    <x:t xml:space="preserve">https://www.teamspeak.com/</x:t>
  </x:si>
  <x:si>
    <x:t xml:space="preserve">Commercial TeamSpeak client/server ecosystem; TS6 generation.</x:t>
  </x:si>
  <x:si>
    <x:t xml:space="preserve">Core project / license</x:t>
  </x:si>
  <x:si>
    <x:t xml:space="preserve">https://github.com/zulip/zulip</x:t>
  </x:si>
  <x:si>
    <x:t xml:space="preserve">Apache-2.0 open-source server/web app and active project.</x:t>
  </x:si>
  <x:si>
    <x:t xml:space="preserve">Licensing</x:t>
  </x:si>
  <x:si>
    <x:t xml:space="preserve">Team Edition/open-source and commercial licensing model.</x:t>
  </x:si>
  <x:si>
    <x:t xml:space="preserve">https://github.com/mattermost/mattermost</x:t>
  </x:si>
  <x:si>
    <x:t xml:space="preserve">Go/React self-host platform, monthly release model and deployment model.</x:t>
  </x:si>
  <x:si>
    <x:t xml:space="preserve">https://github.com/RocketChat/Rocket.Chat</x:t>
  </x:si>
  <x:si>
    <x:t xml:space="preserve">Open-source core, active releases, self-host/cloud platform.</x:t>
  </x:si>
  <x:si>
    <x:t xml:space="preserve">Federation</x:t>
  </x:si>
  <x:si>
    <x:t xml:space="preserve">https://docs.rocket.chat/docs/federation-architecture-and-capabilities</x:t>
  </x:si>
  <x:si>
    <x:t xml:space="preserve">Federation support and explicit limitations, including no E2EE or calls in federated rooms.</x:t>
  </x:si>
  <x:si>
    <x:t xml:space="preserve">Product / importer</x:t>
  </x:si>
  <x:si>
    <x:t xml:space="preserve">https://gamevox.com/</x:t>
  </x:si>
  <x:si>
    <x:t xml:space="preserve">Voice/text/screen, self-hosting, Discord importer, 1080p30 free, 500 MB uploads</x:t>
  </x:si>
  <x:si>
    <x:t xml:space="preserve">Press / stack</x:t>
  </x:si>
  <x:si>
    <x:t xml:space="preserve">https://www.gamevox.com/press/</x:t>
  </x:si>
  <x:si>
    <x:t xml:space="preserve">2026 launch, Wails v3 native apps, self-funded</x:t>
  </x:si>
  <x:si>
    <x:t xml:space="preserve">Product</x:t>
  </x:si>
  <x:si>
    <x:t xml:space="preserve">Platforms, open source, community chat</x:t>
  </x:si>
  <x:si>
    <x:t xml:space="preserve">Source</x:t>
  </x:si>
  <x:si>
    <x:t xml:space="preserve">https://github.com/Nerimity</x:t>
  </x:si>
  <x:si>
    <x:t xml:space="preserve">GPL server/web, Electron desktop, Android, API library</x:t>
  </x:si>
  <x:si>
    <x:t xml:space="preserve">https://osmium.chat/</x:t>
  </x:si>
  <x:si>
    <x:t xml:space="preserve">Public community platform, regional/global infrastructure, voice/video</x:t>
  </x:si>
  <x:si>
    <x:t xml:space="preserve">Privacy</x:t>
  </x:si>
  <x:si>
    <x:t xml:space="preserve">Stored content, encrypted real-time calls, account data</x:t>
  </x:si>
  <x:si>
    <x:t xml:space="preserve">https://loqa.chat/</x:t>
  </x:si>
  <x:si>
    <x:t xml:space="preserve">Open beta features, LiveKit voice/video, importer, Discord API compatibility</x:t>
  </x:si>
  <x:si>
    <x:t xml:space="preserve">Developer announcement</x:t>
  </x:si>
  <x:si>
    <x:t xml:space="preserve">https://www.reddit.com/r/DiscordAlternatives/comments/1thyt1p/change_of_direction_for_our_discord_alternative/</x:t>
  </x:si>
  <x:si>
    <x:t xml:space="preserve">Open-source backend, self-host/federation direction, E2EE default status</x:t>
  </x:si>
  <x:si>
    <x:t xml:space="preserve">Docs</x:t>
  </x:si>
  <x:si>
    <x:t xml:space="preserve">https://mezon.ai/docs/user/resources/FAQ/</x:t>
  </x:si>
  <x:si>
    <x:t xml:space="preserve">Free voice/video/screen share and community feature claims</x:t>
  </x:si>
  <x:si>
    <x:t xml:space="preserve">https://github.com/mezonai/mezon</x:t>
  </x:si>
  <x:si>
    <x:t xml:space="preserve">Native Rust desktop, native mobile, C media/backend stack, AI features</x:t>
  </x:si>
  <x:si>
    <x:t xml:space="preserve">https://kloak.app/</x:t>
  </x:si>
  <x:si>
    <x:t xml:space="preserve">No email/phone, voice/forums/tasks/media/calendars</x:t>
  </x:si>
  <x:si>
    <x:t xml:space="preserve">Minimal-data privacy policy</x:t>
  </x:si>
  <x:si>
    <x:t xml:space="preserve">https://yapper.gg/</x:t>
  </x:si>
  <x:si>
    <x:t xml:space="preserve">Self-hosted voice/chat/screen/file/spatial audio</x:t>
  </x:si>
  <x:si>
    <x:t xml:space="preserve">Self-host content remains on operator server</x:t>
  </x:si>
  <x:si>
    <x:t xml:space="preserve">Harmony/Fermi</x:t>
  </x:si>
  <x:si>
    <x:t xml:space="preserve">Client source</x:t>
  </x:si>
  <x:si>
    <x:t xml:space="preserve">https://github.com/MathMan05/Fermi</x:t>
  </x:si>
  <x:si>
    <x:t xml:space="preserve">Fermi is a Harmony client, AGPL, instance selector, no AI-generated code policy</x:t>
  </x:si>
  <x:si>
    <x:t xml:space="preserve">https://github.com/muni-town/roomy</x:t>
  </x:si>
  <x:si>
    <x:t xml:space="preserve">ATProto group chat, Discord bridge, MPL-2.0</x:t>
  </x:si>
  <x:si>
    <x:t xml:space="preserve">Nostr/Concord serverless E2EE communities</x:t>
  </x:si>
  <x:si>
    <x:t xml:space="preserve">Local-first distributed encrypted messenger</x:t>
  </x:si>
  <x:si>
    <x:t xml:space="preserve">Developer update</x:t>
  </x:si>
  <x:si>
    <x:t xml:space="preserve">https://www.reddit.com/r/DiscordAlternatives/comments/1uaztpl/hollow_opensource_selfhostable_signed_winmac/</x:t>
  </x:si>
  <x:si>
    <x:t xml:space="preserve">Flutter/Rust, multi-device, local storage, relay model</x:t>
  </x:si>
  <x:si>
    <x:t xml:space="preserve">Features</x:t>
  </x:si>
  <x:si>
    <x:t xml:space="preserve">https://dcts.community/features.html</x:t>
  </x:si>
  <x:si>
    <x:t xml:space="preserve">Self-hosting, E2EE messenger, voice/screen, apps</x:t>
  </x:si>
  <x:si>
    <x:t xml:space="preserve">Messenger docs</x:t>
  </x:si>
  <x:si>
    <x:t xml:space="preserve">https://docs.dcts.community/Messenger/Introduction</x:t>
  </x:si>
  <x:si>
    <x:t xml:space="preserve">Key-based E2EE cross-home-server messenger</x:t>
  </x:si>
  <x:si>
    <x:t xml:space="preserve">https://therift.chat/</x:t>
  </x:si>
  <x:si>
    <x:t xml:space="preserve">No email/phone/ID, EXIF stripping, at-rest encryption, no AI training</x:t>
  </x:si>
  <x:si>
    <x:t xml:space="preserve">https://echon-voice.com/</x:t>
  </x:si>
  <x:si>
    <x:t xml:space="preserve">LiveKit voice, channels/roles/DMs, screen share, cross-platform clients</x:t>
  </x:si>
  <x:si>
    <x:t xml:space="preserve">FAQ</x:t>
  </x:si>
  <x:si>
    <x:t xml:space="preserve">https://valour.gg/FAQ</x:t>
  </x:si>
  <x:si>
    <x:t xml:space="preserve">Open source, self-host, Discord importer, email-only signup</x:t>
  </x:si>
  <x:si>
    <x:t xml:space="preserve">https://github.com/Valour-Software/Valour</x:t>
  </x:si>
  <x:si>
    <x:t xml:space="preserve">AGPL client/server, Blazor, LiveKit, bots/themes/automod</x:t>
  </x:si>
  <x:si>
    <x:t xml:space="preserve">https://weered.ca/alternatives/discord</x:t>
  </x:si>
  <x:si>
    <x:t xml:space="preserve">Lobby-first platform, LiveKit voice, Tauri desktop, free/paid model</x:t>
  </x:si>
  <x:si>
    <x:t xml:space="preserve">https://github.com/Weeredjs/Weered</x:t>
  </x:si>
  <x:si>
    <x:t xml:space="preserve">Public beta/source-available status</x:t>
  </x:si>
  <x:si>
    <x:t xml:space="preserve">Current Nitro pricing</x:t>
  </x:si>
  <x:si>
    <x:t xml:space="preserve">https://support.discord.com/hc/en-us/articles/4407269525911-Nitro-Localized-Pricing-FAQ</x:t>
  </x:si>
  <x:si>
    <x:t xml:space="preserve">Nitro $9.99/mo or $99.99/yr; Nitro Basic $2.99/mo or $29.99/yr; Server Boost $4.99/mo or $49.99/yr.</x:t>
  </x:si>
  <x:si>
    <x:t xml:space="preserve">Current Nitro product</x:t>
  </x:si>
  <x:si>
    <x:t xml:space="preserve">Current Nitro/Nitro Basic availability and benefits.</x:t>
  </x:si>
  <x:si>
    <x:t xml:space="preserve">Planned paid tiers</x:t>
  </x:si>
  <x:si>
    <x:t xml:space="preserve">Free; Surge $4.99/mo; Flare $9.99/mo; Prime $24.99/mo.</x:t>
  </x:si>
  <x:si>
    <x:t xml:space="preserve">Plutonium pricing / limits</x:t>
  </x:si>
  <x:si>
    <x:t xml:space="preserve">https://fluxer.app/plutonium</x:t>
  </x:si>
  <x:si>
    <x:t xml:space="preserve">$4.99/mo, $49.99/yr; 500 MB uploads; up to 4K60; higher community/message limits.</x:t>
  </x:si>
  <x:si>
    <x:t xml:space="preserve">Sudo billing / streaming</x:t>
  </x:si>
  <x:si>
    <x:t xml:space="preserve">https://support.rootapp.com/docs/sudo/get-started/sudo-faqs/</x:t>
  </x:si>
  <x:si>
    <x:t xml:space="preserve">Monthly/yearly Sudo billing, up to 1440p60; price is shown in-app rather than public help page.</x:t>
  </x:si>
  <x:si>
    <x:t xml:space="preserve">Hosted Community pricing</x:t>
  </x:si>
  <x:si>
    <x:t xml:space="preserve">https://support.teamspeak.com/hc/en-us/articles/26033099878045-Current-Community-Options</x:t>
  </x:si>
  <x:si>
    <x:t xml:space="preserve">Crew $4.99/mo, Team $8.99/mo, Faction $17.99/mo with annual pricing and slot counts.</x:t>
  </x:si>
  <x:si>
    <x:t xml:space="preserve">Self-host licensing</x:t>
  </x:si>
  <x:si>
    <x:t xml:space="preserve">https://support.teamspeak.com/hc/en-us/articles/26269724033181-Current-License-Options</x:t>
  </x:si>
  <x:si>
    <x:t xml:space="preserve">Paid self-host gamer/server slot licensing through 1024 slots.</x:t>
  </x:si>
  <x:si>
    <x:t xml:space="preserve">Cloud / self-host pricing</x:t>
  </x:si>
  <x:si>
    <x:t xml:space="preserve">https://zulip.com/plans/</x:t>
  </x:si>
  <x:si>
    <x:t xml:space="preserve">Cloud Free/Standard/Plus and self-host Free/Basic/Business/Enterprise pricing and storage/history entitlements.</x:t>
  </x:si>
  <x:si>
    <x:t xml:space="preserve">Current pricing tiers</x:t>
  </x:si>
  <x:si>
    <x:t xml:space="preserve">https://mattermost.com/pricing/</x:t>
  </x:si>
  <x:si>
    <x:t xml:space="preserve">Professional, Enterprise, Enterprise Advanced are contact-sales; limited Entry evaluation exists.</x:t>
  </x:si>
  <x:si>
    <x:t xml:space="preserve">Current plans</x:t>
  </x:si>
  <x:si>
    <x:t xml:space="preserve">https://docs.rocket.chat/our-plans</x:t>
  </x:si>
  <x:si>
    <x:t xml:space="preserve">Starter and Community free entry plans; Commercial/Government/Defense sales-led paid plans.</x:t>
  </x:si>
  <x:si>
    <x:t xml:space="preserve">Server tier pricing</x:t>
  </x:si>
  <x:si>
    <x:t xml:space="preserve">https://gamevox.com/blog/gamevox-vs-discord/</x:t>
  </x:si>
  <x:si>
    <x:t xml:space="preserve">Standard free; Silver $4.99, Gold $9.99, Diamond $19.99; member/channel/upload/media limits.</x:t>
  </x:si>
  <x:si>
    <x:t xml:space="preserve">Self-host price</x:t>
  </x:si>
  <x:si>
    <x:t xml:space="preserve">https://gamevox.com/self-host/</x:t>
  </x:si>
  <x:si>
    <x:t xml:space="preserve">Self-host license $2/month or $15/year after July 1, 2026.</x:t>
  </x:si>
  <x:si>
    <x:t xml:space="preserve">No-premium policy / file limits</x:t>
  </x:si>
  <x:si>
    <x:t xml:space="preserve">All communication features free; no premium plan; images 50 MB, video/other files 100 MB.</x:t>
  </x:si>
  <x:si>
    <x:t xml:space="preserve">Current plans / limits</x:t>
  </x:si>
  <x:si>
    <x:t xml:space="preserve">https://therift.chat/plans/</x:t>
  </x:si>
  <x:si>
    <x:t xml:space="preserve">Rift+ $7/mo or $70/yr; Ember $10/mo; Forge $25/mo; upload, bitrate, streaming, emoji, soundboard and webhook limits.</x:t>
  </x:si>
  <x:si>
    <x:t xml:space="preserve">Company funding</x:t>
  </x:si>
  <x:si>
    <x:t xml:space="preserve">https://therift.chat/about/</x:t>
  </x:si>
  <x:si>
    <x:t xml:space="preserve">Three-person team, no investors, subscriptions fund operations.</x:t>
  </x:si>
  <x:si>
    <x:t xml:space="preserve">Current pricing</x:t>
  </x:si>
  <x:si>
    <x:t xml:space="preserve">https://weered.ca/pricing</x:t>
  </x:si>
  <x:si>
    <x:t xml:space="preserve">Use public lobbies free; run own lobby $6/month; custom community builds quoted.</x:t>
  </x:si>
  <x:si>
    <x:t xml:space="preserve">E2EE / privacy</x:t>
  </x:si>
  <x:si>
    <x:t xml:space="preserve">DM text is client-side E2EE using Signal-style X3DH/Double Ratchet; Shard messages are encrypted at rest but not E2EE.</x:t>
  </x:si>
  <x:si>
    <x:t xml:space="preserve">Features / encrypted calls</x:t>
  </x:si>
  <x:si>
    <x:t xml:space="preserve">https://therift.chat/features/</x:t>
  </x:si>
  <x:si>
    <x:t xml:space="preserve">Encrypted DMs, E2EE direct voice/video/screen calls, Rift Key, and distinction from Splinters/Shard messages.</x:t>
  </x:si>
  <x:si>
    <x:t xml:space="preserve">FAQ / AI development</x:t>
  </x:si>
  <x:si>
    <x:t xml:space="preserve">https://therift.chat/faq/</x:t>
  </x:si>
  <x:si>
    <x:t xml:space="preserve">Three-person team; AI used for parts of code with developer review; security audits planned.</x:t>
  </x:si>
  <x:si>
    <x:t xml:space="preserve">Features / channel types / Portals</x:t>
  </x:si>
  <x:si>
    <x:t xml:space="preserve">Current first-party list of channel types, Portals, voice launchers, moderation, giveaways, webhooks, Discord import, Studio/Arcade/Tabletop.</x:t>
  </x:si>
  <x:si>
    <x:t xml:space="preserve">Channel Types; Extra Features; Embedded Apps; Moderation; Interop</x:t>
  </x:si>
  <x:si>
    <x:t xml:space="preserve">FAQ / product model</x:t>
  </x:si>
  <x:si>
    <x:t xml:space="preserve">Defines Shards and Portals and current privacy/product positioning.</x:t>
  </x:si>
  <x:si>
    <x:t xml:space="preserve">At a Glance; Embedded Apps</x:t>
  </x:si>
  <x:si>
    <x:t xml:space="preserve">Web app plugins</x:t>
  </x:si>
  <x:si>
    <x:t xml:space="preserve">https://developers.mattermost.com/integrate/plugins/components/webapp/</x:t>
  </x:si>
  <x:si>
    <x:t xml:space="preserve">Plugins can add React components, root components and custom post types inside the web/desktop client.</x:t>
  </x:si>
  <x:si>
    <x:t xml:space="preserve">First-party developer docs</x:t>
  </x:si>
  <x:si>
    <x:t xml:space="preserve">Apps framework / Marketplace</x:t>
  </x:si>
  <x:si>
    <x:t xml:space="preserve">https://docs.rocket.chat/docs/rocketchat-apps-faq</x:t>
  </x:si>
  <x:si>
    <x:t xml:space="preserve">Apps-Engine, marketplace and private app model; apps install directly into a workspace.</x:t>
  </x:si>
  <x:si>
    <x:t xml:space="preserve">Integrations overview</x:t>
  </x:si>
  <x:si>
    <x:t xml:space="preserve">https://zulip.com/help/integrations-overview</x:t>
  </x:si>
  <x:si>
    <x:t xml:space="preserve">120+ native integrations plus bots/webhooks; strong integration ecosystem but not an embedded-app workspace.</x:t>
  </x:si>
  <x:si>
    <x:t xml:space="preserve">First-party help/docs</x:t>
  </x:si>
  <x:si>
    <x:t xml:space="preserve">Matrix / Element</x:t>
  </x:si>
  <x:si>
    <x:t xml:space="preserve">Custom widgets / integration manager</x:t>
  </x:si>
  <x:si>
    <x:t xml:space="preserve">https://docs.element.io/latest/element-server-suite-classic/installation-of-core-components/integrator-section/</x:t>
  </x:si>
  <x:si>
    <x:t xml:space="preserve">Element deployments can enable custom widgets that embed web pages; treated as client-dependent rather than Matrix-wide.</x:t>
  </x:si>
  <x:si>
    <x:t xml:space="preserve">First-party Element docs</x:t>
  </x:si>
  <x:si>
    <x:t xml:space="preserve">Current free upload</x:t>
  </x:si>
  <x:si>
    <x:t xml:space="preserve">Non-Nitro baseline currently 20 MB; Discord notes experiments may vary.</x:t>
  </x:si>
  <x:si>
    <x:t xml:space="preserve">First-party official</x:t>
  </x:si>
  <x:si>
    <x:t xml:space="preserve">Files &amp; Storage; At a Glance</x:t>
  </x:si>
  <x:si>
    <x:t xml:space="preserve">Product/features</x:t>
  </x:si>
  <x:si>
    <x:t xml:space="preserve">https://stoat.chat/</x:t>
  </x:si>
  <x:si>
    <x:t xml:space="preserve">Free/open source; self-host; 20 MB uploads; custom emoji; free server profiles; desktop/mobile/web.</x:t>
  </x:si>
  <x:si>
    <x:t xml:space="preserve">Alpha; channels, voice/video/screen share, roles/permissions/events/giveaways and E2EE DMs.</x:t>
  </x:si>
  <x:si>
    <x:t xml:space="preserve">Privacy/AI/E2EE</x:t>
  </x:si>
  <x:si>
    <x:t xml:space="preserve">No ads/data sale; no AI/LLM training; no E2EE yet; transit/at-rest encryption.</x:t>
  </x:si>
  <x:si>
    <x:t xml:space="preserve">Security; AI; Business</x:t>
  </x:si>
  <x:si>
    <x:t xml:space="preserve">Element capabilities</x:t>
  </x:si>
  <x:si>
    <x:t xml:space="preserve">https://matrix.org/ecosystem/clients/element/</x:t>
  </x:si>
  <x:si>
    <x:t xml:space="preserve">Element stable: E2EE, Spaces, threads, 1:1 calls, Jitsi, multi-account, emoji/image packs.</x:t>
  </x:si>
  <x:si>
    <x:t xml:space="preserve">First-party ecosystem</x:t>
  </x:si>
  <x:si>
    <x:t xml:space="preserve">Features/plans</x:t>
  </x:si>
  <x:si>
    <x:t xml:space="preserve">Channels, topic threading, file storage, call providers, integrations, clients and cloud/self-host plans.</x:t>
  </x:si>
  <x:si>
    <x:t xml:space="preserve">Plans/features</x:t>
  </x:si>
  <x:si>
    <x:t xml:space="preserve">https://docs.mattermost.com/product-overview/plans</x:t>
  </x:si>
  <x:si>
    <x:t xml:space="preserve">Channels/DMs/files, 1:1 audio+screen share, threads, search, custom emoji and cross-platform clients.</x:t>
  </x:si>
  <x:si>
    <x:t xml:space="preserve">First-party docs</x:t>
  </x:si>
  <x:si>
    <x:t xml:space="preserve">Current plans/features</x:t>
  </x:si>
  <x:si>
    <x:t xml:space="preserve">Starter/Community/premium plans; messaging, E2EE, Marketplace and federation scope.</x:t>
  </x:si>
  <x:si>
    <x:t xml:space="preserve">https://gamevox.com/self-hosted/</x:t>
  </x:si>
  <x:si>
    <x:t xml:space="preserve">Self-host voice/video/screen/chat/files; local media traffic; self-host pricing and desktop platforms.</x:t>
  </x:si>
  <x:si>
    <x:t xml:space="preserve">Architecture; Media; Pricing</x:t>
  </x:si>
  <x:si>
    <x:t xml:space="preserve">Feature checklist</x:t>
  </x:si>
  <x:si>
    <x:t xml:space="preserve">https://github.com/Nerimity/nerimity-web/blob/main/README.md</x:t>
  </x:si>
  <x:si>
    <x:t xml:space="preserve">DM/server channels, notifications, presence, edit, Markdown, emoji/custom emoji and kick/ban.</x:t>
  </x:si>
  <x:si>
    <x:t xml:space="preserve">Verified project repository</x:t>
  </x:si>
  <x:si>
    <x:t xml:space="preserve">Core; Basic; Moderation</x:t>
  </x:si>
  <x:si>
    <x:t xml:space="preserve">Product/API</x:t>
  </x:si>
  <x:si>
    <x:t xml:space="preserve">Custom emoji/stickers, voice infrastructure, zero ads/no third-party sharing and public API.</x:t>
  </x:si>
  <x:si>
    <x:t xml:space="preserve">Open beta: text/voice/video/screen, DMs, reactions, threads/forums, polls/events, search/pins, self-host/federation.</x:t>
  </x:si>
  <x:si>
    <x:t xml:space="preserve">Voice/screen, forums/threads, announcements, tasks, media channels, calendars; no email/phone/tracking.</x:t>
  </x:si>
  <x:si>
    <x:t xml:space="preserve">https://soapbox.pub/armada</x:t>
  </x:si>
  <x:si>
    <x:t xml:space="preserve">E2EE Nostr/Concord communities, self-host client/relay/voice, chat/threads/voice/video; free AGPL.</x:t>
  </x:si>
  <x:si>
    <x:t xml:space="preserve">Project/features</x:t>
  </x:si>
  <x:si>
    <x:t xml:space="preserve">E2EE DM/server media, P2P voice/video/screen, roles/permissions, files, self-host relay and native clients.</x:t>
  </x:si>
  <x:si>
    <x:t xml:space="preserve">Project repository</x:t>
  </x:si>
  <x:si>
    <x:t xml:space="preserve">Open-source/free, self-hosted/decentralized, voice and screen share up to theoretical 4K60.</x:t>
  </x:si>
  <x:si>
    <x:t xml:space="preserve">Plans/limits</x:t>
  </x:si>
  <x:si>
    <x:t xml:space="preserve">English canonical plans page for upload, streaming, bitrate, saved-layout and pricing limits.</x:t>
  </x:si>
  <x:si>
    <x:t xml:space="preserve">Pricing; Limits; Media</x:t>
  </x:si>
  <x:si>
    <x:t xml:space="preserve">Channel types, Portals, voice, moderation, identity/privacy and community tools.</x:t>
  </x:si>
  <x:si>
    <x:t xml:space="preserve">https://github.com/Valour-Software/Valour/blob/main/FAQ.md</x:t>
  </x:si>
  <x:si>
    <x:t xml:space="preserve">Planets with chat/thread feed/wiki/voice/roles; importer; self-host/federation; bots/API; no ads/data sale.</x:t>
  </x:si>
  <x:si>
    <x:t xml:space="preserve">Lobbies/crews/forums/events, messaging, LiveKit voice, camera/screen share, automod/audit and clients.</x:t>
  </x:si>
  <x:si>
    <x:t xml:space="preserve">Kaede Chat</x:t>
  </x:si>
  <x:si>
    <x:t xml:space="preserve">Homepage</x:t>
  </x:si>
  <x:si>
    <x:t xml:space="preserve">https://kaede.chat/</x:t>
  </x:si>
  <x:si>
    <x:t xml:space="preserve">Official Kaede website / hosted instance.</x:t>
  </x:si>
  <x:si>
    <x:t xml:space="preserve">At a Glance; Website Links</x:t>
  </x:si>
  <x:si>
    <x:t xml:space="preserve">Repository / overview</x:t>
  </x:si>
  <x:si>
    <x:t xml:space="preserve">https://github.com/CookieNom/KaedeChat</x:t>
  </x:si>
  <x:si>
    <x:t xml:space="preserve">MIT repo; self-host/federation overview; web/Tauri/Flutter clients; LiveKit; search; app/bot model; setup docs; current public commit activity.</x:t>
  </x:si>
  <x:si>
    <x:t xml:space="preserve">First-party project repository</x:t>
  </x:si>
  <x:si>
    <x:t xml:space="preserve">Architecture</x:t>
  </x:si>
  <x:si>
    <x:t xml:space="preserve">https://github.com/CookieNom/KaedeChat/blob/main/docs/architecture.md</x:t>
  </x:si>
  <x:si>
    <x:t xml:space="preserve">FastAPI + WebSocket gateway + PostgreSQL + Dragonfly + S3-compatible media + LiveKit; data ownership/federation/search/metrics details.</x:t>
  </x:si>
  <x:si>
    <x:t xml:space="preserve">First-party project docs</x:t>
  </x:si>
  <x:si>
    <x:t xml:space="preserve">Architecture; Deployment; Search; Files</x:t>
  </x:si>
  <x:si>
    <x:t xml:space="preserve">E2EE</x:t>
  </x:si>
  <x:si>
    <x:t xml:space="preserve">https://github.com/CookieNom/KaedeChat/blob/main/docs/e2ee.md</x:t>
  </x:si>
  <x:si>
    <x:t xml:space="preserve">MLS 1.0 mandatory cipher suite; optional room E2EE for messages/files/voice/video/screen; safety-number verification; bounded recovery cache; metadata limitations.</x:t>
  </x:si>
  <x:si>
    <x:t xml:space="preserve">Security; Encryption</x:t>
  </x:si>
  <x:si>
    <x:t xml:space="preserve">Media quality</x:t>
  </x:si>
  <x:si>
    <x:t xml:space="preserve">https://github.com/CookieNom/KaedeChat/blob/main/docs/screen-sharing-quality.md</x:t>
  </x:si>
  <x:si>
    <x:t xml:space="preserve">Current documented presets top out at Source 4K native / 30 FPS; browser bound 8K; Opus 24/48/96/128; platform-specific screen-audio behavior.</x:t>
  </x:si>
  <x:si>
    <x:t xml:space="preserve">Voice; Video; Screen Share</x:t>
  </x:si>
  <x:si>
    <x:t xml:space="preserve">Operator/deployment</x:t>
  </x:si>
  <x:si>
    <x:t xml:space="preserve">https://github.com/CookieNom/KaedeChat/blob/main/docs/operator.md</x:t>
  </x:si>
  <x:si>
    <x:t xml:space="preserve">Docker setup, optional email, S3/Garage storage, LiveKit ports, backups, updates, metrics, retention/legal/account limitations.</x:t>
  </x:si>
  <x:si>
    <x:t xml:space="preserve">Deployment; Accounts; Operations</x:t>
  </x:si>
  <x:si>
    <x:t xml:space="preserve">Developer API / SDK</x:t>
  </x:si>
  <x:si>
    <x:t xml:space="preserve">https://github.com/CookieNom/KaedeChat/blob/main/docs/bot-api-quickstart.md</x:t>
  </x:si>
  <x:si>
    <x:t xml:space="preserve">Python kaede-bot SDK, REST/Gateway, buttons/modals, polls, webhooks, scheduled events, soundboard and media APIs.</x:t>
  </x:si>
  <x:si>
    <x:t xml:space="preserve">Developer; Apps; Voice</x:t>
  </x:si>
  <x:si>
    <x:t xml:space="preserve">Administration / App Directory</x:t>
  </x:si>
  <x:si>
    <x:t xml:space="preserve">https://github.com/CookieNom/KaedeChat/blob/main/docs/administration-and-developer-portals.md</x:t>
  </x:si>
  <x:si>
    <x:t xml:space="preserve">Admin roles, reports/audit, federated application teams, App Directory, scoped installs/worker keys/permissions.</x:t>
  </x:si>
  <x:si>
    <x:t xml:space="preserve">Moderation; Developer</x:t>
  </x:si>
  <x:si>
    <x:t xml:space="preserve">Discord bridge</x:t>
  </x:si>
  <x:si>
    <x:t xml:space="preserve">https://github.com/CookieNom/KaedeChat/tree/main/official-bots/discord-bridge</x:t>
  </x:si>
  <x:si>
    <x:t xml:space="preserve">Official live-message bridge between paired Discord and Kaede plaintext channels.</x:t>
  </x:si>
  <x:si>
    <x:t xml:space="preserve">Developer questionnaire</x:t>
  </x:si>
  <x:si>
    <x:t xml:space="preserve">Developer-provided details in this comparison request: 15 MB official upload cap, 78 MB Windows initial RAM, current hosting providers, 2 CPU/4 GB small-instance estimate, AI-development stance, current release cadence, solo-dev status, 4K60/audio-capture claim. Where public docs conflict, workbook uses the public docs for current behavior and notes the developer claim.</x:t>
  </x:si>
  <x:si>
    <x:t xml:space="preserve">Developer-provided first-party statement</x:t>
  </x:si>
  <x:si>
    <x:t xml:space="preserve">Link Type</x:t>
  </x:si>
  <x:si>
    <x:t xml:space="preserve">Status</x:t>
  </x:si>
  <x:si>
    <x:t xml:space="preserve">Verified</x:t>
  </x:si>
  <x:si>
    <x:t xml:space="preserve">Official Soapbox Armada page</x:t>
  </x:si>
  <x:si>
    <x:t xml:space="preserve">Official project site</x:t>
  </x:si>
  <x:si>
    <x:t xml:space="preserve">https://discord.com/</x:t>
  </x:si>
  <x:si>
    <x:t xml:space="preserve">Primary official website</x:t>
  </x:si>
  <x:si>
    <x:t xml:space="preserve">Official website</x:t>
  </x:si>
  <x:si>
    <x:t xml:space="preserve">https://fluxer.app/</x:t>
  </x:si>
  <x:si>
    <x:t xml:space="preserve">Official source/project description</x:t>
  </x:si>
  <x:si>
    <x:t xml:space="preserve">Official Kaede website / hosted instance</x:t>
  </x:si>
  <x:si>
    <x:t xml:space="preserve">Project</x:t>
  </x:si>
  <x:si>
    <x:t xml:space="preserve">MIT source, deployment docs and protocol/API documentation</x:t>
  </x:si>
  <x:si>
    <x:t xml:space="preserve">https://matrix.org/</x:t>
  </x:si>
  <x:si>
    <x:t xml:space="preserve">Protocol/Ecosystem</x:t>
  </x:si>
  <x:si>
    <x:t xml:space="preserve">Matrix protocol/ecosystem; client capabilities vary</x:t>
  </x:si>
  <x:si>
    <x:t xml:space="preserve">https://mattermost.com/</x:t>
  </x:si>
  <x:si>
    <x:t xml:space="preserve">Documentation</x:t>
  </x:si>
  <x:si>
    <x:t xml:space="preserve">Official FAQ/docs</x:t>
  </x:si>
  <x:si>
    <x:t xml:space="preserve">Official project website</x:t>
  </x:si>
  <x:si>
    <x:t xml:space="preserve">GitHub org is domain-verified</x:t>
  </x:si>
  <x:si>
    <x:t xml:space="preserve">Primary English site</x:t>
  </x:si>
  <x:si>
    <x:t xml:space="preserve">https://www.rocket.chat/</x:t>
  </x:si>
  <x:si>
    <x:t xml:space="preserve">Official Roomy project/source</x:t>
  </x:si>
  <x:si>
    <x:t xml:space="preserve">https://www.rootapp.com/</x:t>
  </x:si>
  <x:si>
    <x:t xml:space="preserve">Official project documentation</x:t>
  </x:si>
  <x:si>
    <x:t xml:space="preserve">https://valour.gg/</x:t>
  </x:si>
  <x:si>
    <x:t xml:space="preserve">Official website/project</x:t>
  </x:si>
  <x:si>
    <x:t xml:space="preserve">Sparse first-party coverage</x:t>
  </x:si>
  <x:si>
    <x:t xml:space="preserve">No stable official website/docs located in this pass</x:t>
  </x:si>
  <x:si>
    <x:t xml:space="preserve">https://weered.ca/</x:t>
  </x:si>
  <x:si>
    <x:t xml:space="preserve">https://zulip.com/</x:t>
  </x:si>
  <x:si>
    <x:t xml:space="preserve">German</x:t>
  </x:si>
  <x:si>
    <x:t xml:space="preserve">https://gamevox.com/de/</x:t>
  </x:si>
  <x:si>
    <x:t xml:space="preserve">Localized homepage</x:t>
  </x:si>
  <x:si>
    <x:t xml:space="preserve">German localized site</x:t>
  </x:si>
  <x:si>
    <x:t xml:space="preserve">https://therift.chat/de/plans/</x:t>
  </x:si>
  <x:si>
    <x:t xml:space="preserve">Localized plans</x:t>
  </x:si>
  <x:si>
    <x:t xml:space="preserve">Pricing</x:t>
  </x:si>
  <x:si>
    <x:t xml:space="preserve">Localized Rift plans; English page remains default source</x:t>
  </x:si>
  <x:si>
    <x:t xml:space="preserve">Polish</x:t>
  </x:si>
  <x:si>
    <x:t xml:space="preserve">https://gamevox.com/pl/</x:t>
  </x:si>
  <x:si>
    <x:t xml:space="preserve">Polish localized site</x:t>
  </x:si>
  <x:si>
    <x:t xml:space="preserve">Portuguese (Brazil)</x:t>
  </x:si>
  <x:si>
    <x:t xml:space="preserve">https://gamevox.com/br/</x:t>
  </x:si>
  <x:si>
    <x:t xml:space="preserve">Brazilian Portuguese localized site</x:t>
  </x:si>
  <x:si>
    <x:t xml:space="preserve">Spanish</x:t>
  </x:si>
  <x:si>
    <x:t xml:space="preserve">https://gamevox.com/es/</x:t>
  </x:si>
  <x:si>
    <x:t xml:space="preserve">Spanish localized site</x:t>
  </x:si>
  <x:si>
    <x:t xml:space="preserve">https://therift.chat/es/</x:t>
  </x:si>
  <x:si>
    <x:t xml:space="preserve">Localized Rift site</x:t>
  </x:si>
  <x:si>
    <x:t xml:space="preserve">Unknowns Before</x:t>
  </x:si>
  <x:si>
    <x:t xml:space="preserve">Unknowns After</x:t>
  </x:si>
  <x:si>
    <x:t xml:space="preserve">Verification Status</x:t>
  </x:si>
  <x:si>
    <x:t xml:space="preserve">pqp.gg</x:t>
  </x:si>
  <x:si>
    <x:t xml:space="preserve">Included?</x:t>
  </x:si>
  <x:si>
    <x:t xml:space="preserve">r/discordalternatives evidence</x:t>
  </x:si>
  <x:si>
    <x:t xml:space="preserve">Official / primary source</x:t>
  </x:si>
  <x:si>
    <x:t xml:space="preserve">Status note</x:t>
  </x:si>
  <x:si>
    <x:t xml:space="preserve">Research treatment</x:t>
  </x:si>
  <x:si>
    <x:t xml:space="preserve">https://www.reddit.com/r/DiscordAlternatives/comments/1tn1js3/discord_alternatives_comparison_sheet/</x:t>
  </x:si>
  <x:si>
    <x:t xml:space="preserve">Open beta</x:t>
  </x:si>
  <x:si>
    <x:t xml:space="preserve">Filled from official site; U/K where unpublished</x:t>
  </x:si>
  <x:si>
    <x:t xml:space="preserve">Primary source verified</x:t>
  </x:si>
  <x:si>
    <x:t xml:space="preserve">https://www.reddit.com/r/DiscordAlternatives/comments/1u916jj/70_of_these_alternatives_are_trash_99_arent_even/</x:t>
  </x:si>
  <x:si>
    <x:t xml:space="preserve">Active</x:t>
  </x:si>
  <x:si>
    <x:t xml:space="preserve">Official site/GitHub</x:t>
  </x:si>
  <x:si>
    <x:t xml:space="preserve">https://www.reddit.com/r/DiscordAlternatives/comments/1tlqhnd/this_sub_is_full_of_vibecoded_clones_osmium_isnt/</x:t>
  </x:si>
  <x:si>
    <x:t xml:space="preserve">Public beta</x:t>
  </x:si>
  <x:si>
    <x:t xml:space="preserve">Official site/privacy + Reddit discovery</x:t>
  </x:si>
  <x:si>
    <x:t xml:space="preserve">https://venta.gg/</x:t>
  </x:si>
  <x:si>
    <x:t xml:space="preserve">Alpha/Beta</x:t>
  </x:si>
  <x:si>
    <x:t xml:space="preserve">Developer post + public backend</x:t>
  </x:si>
  <x:si>
    <x:t xml:space="preserve">https://mezon.ai/</x:t>
  </x:si>
  <x:si>
    <x:t xml:space="preserve">Official docs/GitHub</x:t>
  </x:si>
  <x:si>
    <x:t xml:space="preserve">https://www.reddit.com/r/DiscordAlternatives/comments/1sbzjsx/ive_spent_9_years_on_discord_the_next_best_option/</x:t>
  </x:si>
  <x:si>
    <x:t xml:space="preserve">Alpha</x:t>
  </x:si>
  <x:si>
    <x:t xml:space="preserve">Official privacy/product pages</x:t>
  </x:si>
  <x:si>
    <x:t xml:space="preserve">https://www.reddit.com/r/DiscordAlternatives/comments/1tlkuxw/title_ive_been_building_a_selfhosted/</x:t>
  </x:si>
  <x:si>
    <x:t xml:space="preserve">Beta/new</x:t>
  </x:si>
  <x:si>
    <x:t xml:space="preserve">Official site/privacy</x:t>
  </x:si>
  <x:si>
    <x:t xml:space="preserve">https://www.reddit.com/r/DiscordAlternatives/</x:t>
  </x:si>
  <x:si>
    <x:t xml:space="preserve">https://codeberg.org/MelodyChat/Harmony</x:t>
  </x:si>
  <x:si>
    <x:t xml:space="preserve">Early</x:t>
  </x:si>
  <x:si>
    <x:t xml:space="preserve">Platform is Harmony; Fermi is a client</x:t>
  </x:si>
  <x:si>
    <x:t xml:space="preserve">https://www.reddit.com/r/DiscordAlternatives/comments/1v1ljw0/is_there_any_good_discord_alternative_nowdays/</x:t>
  </x:si>
  <x:si>
    <x:t xml:space="preserve">ATProto-based app</x:t>
  </x:si>
  <x:si>
    <x:t xml:space="preserve">https://www.reddit.com/r/DiscordAlternatives/comments/1wa1q1w/my_personal_list_of_alternatives_i_reccomend_for/</x:t>
  </x:si>
  <x:si>
    <x:t xml:space="preserve">Beta/dev</x:t>
  </x:si>
  <x:si>
    <x:t xml:space="preserve">Nostr/Concord architecture</x:t>
  </x:si>
  <x:si>
    <x:t xml:space="preserve">Developer post + public source/whitepaper</x:t>
  </x:si>
  <x:si>
    <x:t xml:space="preserve">https://www.reddit.com/r/DiscordAlternatives/comments/1uyf7jm/adding_a_discord_bridge_to_dcts_work_in_progress/</x:t>
  </x:si>
  <x:si>
    <x:t xml:space="preserve">https://dcts.community/</x:t>
  </x:si>
  <x:si>
    <x:t xml:space="preserve">Public</x:t>
  </x:si>
  <x:si>
    <x:t xml:space="preserve">https://pqp.gg/</x:t>
  </x:si>
  <x:si>
    <x:t xml:space="preserve">Beta</x:t>
  </x:si>
  <x:si>
    <x:t xml:space="preserve">https://www.reddit.com/r/DiscordAlternatives/comments/1sdj5ki/warning_about_echon_app_and_its_creator/</x:t>
  </x:si>
  <x:si>
    <x:t xml:space="preserve">Public/new</x:t>
  </x:si>
  <x:si>
    <x:t xml:space="preserve">Official site; Reddit claims not treated as facts</x:t>
  </x:si>
  <x:si>
    <x:t xml:space="preserve">Official site/source-available repo</x:t>
  </x:si>
  <x:si>
    <x:t xml:space="preserve">Nexoria.Chat</x:t>
  </x:si>
  <x:si>
    <x:t xml:space="preserve">Candidate</x:t>
  </x:si>
  <x:si>
    <x:t xml:space="preserve">Not included in 30 because public technical documentation is sparse</x:t>
  </x:si>
  <x:si>
    <x:t xml:space="preserve">Discovery only / needs primary source</x:t>
  </x:si>
  <x:si>
    <x:t xml:space="preserve">Faction</x:t>
  </x:si>
  <x:si>
    <x:t xml:space="preserve">Project reportedly restarting</x:t>
  </x:si>
  <x:si>
    <x:t xml:space="preserve">Not included; insufficient current primary-source verification</x:t>
  </x:si>
  <x:si>
    <x:t xml:space="preserve">Guilded</x:t>
  </x:si>
  <x:si>
    <x:t xml:space="preserve">Historical</x:t>
  </x:si>
  <x:si>
    <x:t xml:space="preserve">https://www.guilded.gg/</x:t>
  </x:si>
  <x:si>
    <x:t xml:space="preserve">Discontinued 2025</x:t>
  </x:si>
  <x:si>
    <x:t xml:space="preserve">Not a current alternative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</x:si>
</x:sst>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B57"/>
      <x:name val="Carlito"/>
    </x:font>
    <x:font>
      <x:b/>
      <x:sz val="15"/>
      <x:color rgb="FFFFFFFF"/>
      <x:name val="Carlito"/>
    </x:font>
    <x:font>
      <x:sz val="10"/>
      <x:color rgb="FF17212B"/>
      <x:name val="Aptos"/>
    </x:font>
    <x:font>
      <x:b/>
      <x:sz val="10"/>
      <x:color rgb="FF17212B"/>
      <x:name val="Aptos"/>
    </x:font>
    <x:font>
      <x:b/>
      <x:sz val="10"/>
      <x:color rgb="FF173B57"/>
      <x:name val="Aptos"/>
    </x:font>
    <x:font>
      <x:sz val="11"/>
      <x:color rgb="FF0563C1"/>
      <x:name val="Carlito"/>
    </x:font>
    <x:font>
      <x:b/>
      <x:sz val="11"/>
      <x:color rgb="FF0563C1"/>
      <x:name val="Carlito"/>
    </x:font>
    <x:font>
      <x:b/>
      <x:sz val="13"/>
      <x:color rgb="FFFFFFFF"/>
      <x:name val="Carlito"/>
    </x:font>
    <x:font>
      <x:b/>
      <x:sz val="11"/>
      <x:color rgb="FF123247"/>
      <x:name val="Carlito"/>
    </x:font>
    <x:font>
      <x:b/>
      <x:sz val="11"/>
      <x:color rgb="FF1F2933"/>
      <x:name val="Carlito"/>
    </x:font>
    <x:font>
      <x:sz val="11"/>
      <x:color rgb="FF5B6B7A"/>
      <x:name val="Carlito"/>
    </x:font>
    <x:font>
      <x:b/>
      <x:sz val="10"/>
      <x:color rgb="FF1F2933"/>
      <x:name val="Aptos"/>
    </x:font>
  </x:fonts>
  <x:fills count="2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E7F1FF"/>
      </x:patternFill>
    </x:fill>
    <x:fill>
      <x:patternFill patternType="solid">
        <x:fgColor rgb="FFE6F4EA"/>
      </x:patternFill>
    </x:fill>
    <x:fill>
      <x:patternFill patternType="solid">
        <x:fgColor rgb="FFF2E8FF"/>
      </x:patternFill>
    </x:fill>
    <x:fill>
      <x:patternFill patternType="solid">
        <x:fgColor rgb="FFFDECEC"/>
      </x:patternFill>
    </x:fill>
    <x:fill>
      <x:patternFill patternType="solid">
        <x:fgColor rgb="FFFFF4DE"/>
      </x:patternFill>
    </x:fill>
    <x:fill>
      <x:patternFill patternType="solid">
        <x:fgColor rgb="FFE8F5F5"/>
      </x:patternFill>
    </x:fill>
    <x:fill>
      <x:patternFill patternType="solid">
        <x:fgColor rgb="FFEEF0F3"/>
      </x:patternFill>
    </x:fill>
    <x:fill>
      <x:patternFill patternType="solid">
        <x:fgColor rgb="FFEEF7FA"/>
      </x:patternFill>
    </x:fill>
    <x:fill>
      <x:patternFill patternType="solid">
        <x:fgColor rgb="FF2A8C9F"/>
      </x:patternFill>
    </x:fill>
    <x:fill>
      <x:patternFill patternType="solid">
        <x:fgColor rgb="FF4F81B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EAF2F8"/>
      </x:patternFill>
    </x:fill>
    <x:fill>
      <x:patternFill patternType="solid">
        <x:fgColor rgb="FF102A3A"/>
      </x:patternFill>
    </x:fill>
    <x:fill>
      <x:patternFill patternType="solid">
        <x:fgColor rgb="FF1E465C"/>
      </x:patternFill>
    </x:fill>
    <x:fill>
      <x:patternFill patternType="solid">
        <x:fgColor rgb="FFD9EEF7"/>
      </x:patternFill>
    </x:fill>
    <x:fill>
      <x:patternFill patternType="solid">
        <x:fgColor rgb="FF17324D"/>
      </x:patternFill>
    </x:fill>
    <x:fill>
      <x:patternFill patternType="solid">
        <x:fgColor rgb="FF244A68"/>
      </x:patternFill>
    </x:fill>
    <x:fill>
      <x:patternFill patternType="solid">
        <x:fgColor rgb="FFDCEAF4"/>
      </x:patternFill>
    </x:fill>
    <x:fill>
      <x:patternFill patternType="solid">
        <x:fgColor rgb="FFF5F7FA"/>
      </x:patternFill>
    </x:fill>
  </x:fills>
  <x:borders count="2">
    <x:border/>
    <x:border/>
  </x:borders>
  <x:cellStyleXfs count="1">
    <x:xf numFmtId="0" fontId="0" fillId="0" borderId="0"/>
  </x:cellStyleXfs>
  <x:cellXfs count="167">
    <x:xf numFmtId="0" fontId="0" fillId="0" borderId="0" xfId="0"/>
    <x:xf numFmtId="0" fontId="2" fillId="3" borderId="0" xfId="0" applyFont="1" applyFill="1" applyAlignment="1">
      <x:alignment horizontal="center"/>
    </x:xf>
    <x:xf numFmtId="0" fontId="0" fillId="0" borderId="0" xfId="0" applyAlignment="1">
      <x:alignment wrapText="1"/>
    </x:xf>
    <x:xf numFmtId="0" fontId="3" fillId="4" borderId="0" xfId="0" applyFont="1" applyFill="1" applyAlignment="1">
      <x:alignment wrapText="1"/>
    </x:xf>
    <x:xf numFmtId="0" fontId="3" fillId="5" borderId="0" xfId="0" applyFont="1" applyFill="1" applyAlignment="1">
      <x:alignment wrapText="1"/>
    </x:xf>
    <x:xf numFmtId="0" fontId="3" fillId="6" borderId="0" xfId="0" applyFont="1" applyFill="1" applyAlignment="1">
      <x:alignment wrapText="1"/>
    </x:xf>
    <x:xf numFmtId="0" fontId="3" fillId="7" borderId="0" xfId="0" applyFont="1" applyFill="1" applyAlignment="1">
      <x:alignment wrapText="1"/>
    </x:xf>
    <x:xf numFmtId="0" fontId="3" fillId="8" borderId="0" xfId="0" applyFont="1" applyFill="1" applyAlignment="1">
      <x:alignment wrapText="1"/>
    </x:xf>
    <x:xf numFmtId="0" fontId="3" fillId="9" borderId="0" xfId="0" applyFont="1" applyFill="1" applyAlignment="1">
      <x:alignment wrapText="1"/>
    </x:xf>
    <x:xf numFmtId="0" fontId="3" fillId="10" borderId="0" xfId="0" applyFont="1" applyFill="1" applyAlignment="1">
      <x:alignment wrapText="1"/>
    </x:xf>
    <x:xf numFmtId="0" fontId="3" fillId="11" borderId="0" xfId="0" applyFont="1" applyFill="1" applyAlignment="1">
      <x:alignment wrapText="1"/>
    </x:xf>
    <x:xf numFmtId="0" fontId="2" fillId="3" borderId="0" xfId="0" applyFont="1" applyFill="1" applyAlignment="1">
      <x:alignment horizontal="center" wrapText="1"/>
    </x:xf>
    <x:xf numFmtId="0" fontId="2" fillId="3" borderId="0" xfId="0" applyFont="1" applyFill="1" applyAlignment="1">
      <x:alignment horizontal="center" vertical="center" wrapText="1"/>
    </x:xf>
    <x:xf numFmtId="0" fontId="5" fillId="0" borderId="0" xfId="0" applyFont="1" applyAlignment="1">
      <x:alignment vertical="top" wrapText="1"/>
    </x:xf>
    <x:xf numFmtId="0" fontId="6" fillId="0" borderId="0" xfId="0" applyFont="1" applyAlignment="1">
      <x:alignment vertical="top" wrapText="1"/>
    </x:xf>
    <x:xf numFmtId="0" fontId="7" fillId="4" borderId="0" xfId="0" applyFont="1" applyFill="1" applyAlignment="1">
      <x:alignment vertical="top" wrapText="1"/>
    </x:xf>
    <x:xf numFmtId="0" fontId="7" fillId="12" borderId="0" xfId="0" applyFont="1" applyFill="1" applyAlignment="1">
      <x:alignment vertical="top" wrapText="1"/>
    </x:xf>
    <x:xf numFmtId="0" fontId="5" fillId="12" borderId="0" xfId="0" applyFont="1" applyFill="1" applyAlignment="1">
      <x:alignment vertical="top" wrapText="1"/>
    </x:xf>
    <x:xf numFmtId="0" fontId="2" fillId="13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wrapText="1"/>
    </x:xf>
    <x:xf numFmtId="0" fontId="2" fillId="14" borderId="0" xfId="0" applyFont="1" applyFill="1" applyAlignment="1">
      <x:alignment horizontal="center" vertical="center" wrapText="1"/>
    </x:xf>
    <x:xf numFmtId="0" fontId="3" fillId="15" borderId="0" xfId="0" applyFont="1" applyFill="1" applyAlignment="1">
      <x:alignment wrapText="1"/>
    </x:xf>
    <x:xf numFmtId="0" fontId="2" fillId="16" borderId="0" xfId="0" applyFont="1" applyFill="1" applyAlignment="1">
      <x:alignment horizontal="center" vertical="center"/>
    </x:xf>
    <x:xf numFmtId="0" fontId="8" fillId="0" borderId="0" xfId="0" applyFont="1" applyAlignment="1">
      <x:alignment horizontal="center" vertical="center" wrapText="1"/>
    </x:xf>
    <x:xf numFmtId="0" fontId="9" fillId="17" borderId="0" xfId="0" applyFont="1" applyFill="1" applyAlignment="1">
      <x:alignment horizontal="center" vertical="center"/>
    </x:xf>
    <x:xf numFmtId="0" fontId="1" fillId="2" borderId="0" xfId="0" applyFont="1" applyFill="1"/>
    <x:xf numFmtId="0" fontId="4" fillId="2" borderId="0" xfId="0" applyFont="1" applyFill="1" applyAlignment="1">
      <x:alignment vertical="center"/>
    </x:xf>
    <x:xf numFmtId="0" fontId="0" fillId="0" borderId="0" xfId="0"/>
    <x:xf numFmtId="0" fontId="4" fillId="2" borderId="0" xfId="0" applyFont="1" applyFill="1"/>
    <x:xf numFmtId="0" fontId="0" fillId="0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wrapText="1"/>
    </x:xf>
    <x:xf numFmtId="0" fontId="3" fillId="9" borderId="1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wrapText="1"/>
    </x:xf>
    <x:xf numFmtId="0" fontId="3" fillId="11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4" borderId="1" xfId="0" applyNumberFormat="1" applyFont="1" applyFill="1" applyBorder="1" applyAlignment="1">
      <x:alignment vertical="top" wrapText="1"/>
    </x:xf>
    <x:xf numFmtId="0" fontId="7" fillId="12" borderId="1" xfId="0" applyNumberFormat="1" applyFont="1" applyFill="1" applyBorder="1" applyAlignment="1">
      <x:alignment vertical="top" wrapText="1"/>
    </x:xf>
    <x:xf numFmtId="0" fontId="5" fillId="12" borderId="1" xfId="0" applyNumberFormat="1" applyFont="1" applyFill="1" applyBorder="1" applyAlignment="1">
      <x:alignment vertical="top" wrapText="1"/>
    </x:xf>
    <x:xf numFmtId="0" fontId="2" fillId="13" borderId="1" xfId="0" applyNumberFormat="1" applyFont="1" applyFill="1" applyBorder="1" applyAlignment="1">
      <x:alignment horizontal="center" vertical="center" wrapText="1"/>
    </x:xf>
    <x:xf numFmtId="164" fontId="0" fillId="0" borderId="1" xfId="0" applyNumberFormat="1" applyFont="1" applyFill="1" applyBorder="1" applyAlignment="1">
      <x:alignment wrapText="1"/>
    </x:xf>
    <x:xf numFmtId="0" fontId="2" fillId="14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/>
    </x:xf>
    <x:xf numFmtId="0" fontId="8" fillId="0" borderId="1" xfId="0" applyNumberFormat="1" applyFont="1" applyFill="1" applyBorder="1" applyAlignment="1">
      <x:alignment horizontal="center" vertical="center" wrapText="1"/>
    </x:xf>
    <x:xf numFmtId="0" fontId="9" fillId="17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/>
    <x:xf numFmtId="0" fontId="4" fillId="2" borderId="1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/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left"/>
    </x:xf>
    <x:xf numFmtId="0" fontId="1" fillId="18" borderId="0" xfId="0" applyNumberFormat="1" applyFont="1" applyFill="1" applyBorder="1" applyAlignment="1">
      <x:alignment horizontal="left" vertical="center"/>
    </x:xf>
    <x:xf numFmtId="0" fontId="0" fillId="18" borderId="1" xfId="0" applyNumberFormat="1" applyFont="1" applyFill="1" applyBorder="1"/>
    <x:xf numFmtId="0" fontId="1" fillId="18" borderId="1" xfId="0" applyNumberFormat="1" applyFont="1" applyFill="1" applyBorder="1"/>
    <x:xf numFmtId="0" fontId="1" fillId="18" borderId="1" xfId="0" applyNumberFormat="1" applyFont="1" applyFill="1" applyBorder="1" applyAlignment="1">
      <x:alignment horizontal="left"/>
    </x:xf>
    <x:xf numFmtId="0" fontId="1" fillId="18" borderId="1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2" fillId="19" borderId="0" xfId="0" applyNumberFormat="1" applyFont="1" applyFill="1" applyBorder="1"/>
    <x:xf numFmtId="0" fontId="2" fillId="19" borderId="0" xfId="0" applyNumberFormat="1" applyFont="1" applyFill="1" applyBorder="1" applyAlignment="1">
      <x:alignment wrapText="1"/>
    </x:xf>
    <x:xf numFmtId="0" fontId="2" fillId="19" borderId="0" xfId="0" applyNumberFormat="1" applyFont="1" applyFill="1" applyBorder="1" applyAlignment="1">
      <x:alignment horizontal="center" wrapText="1"/>
    </x:xf>
    <x:xf numFmtId="0" fontId="2" fillId="19" borderId="0" xfId="0" applyNumberFormat="1" applyFont="1" applyFill="1" applyBorder="1" applyAlignment="1">
      <x:alignment horizontal="center" vertical="center" wrapText="1"/>
    </x:xf>
    <x:xf numFmtId="0" fontId="0" fillId="19" borderId="1" xfId="0" applyNumberFormat="1" applyFont="1" applyFill="1" applyBorder="1"/>
    <x:xf numFmtId="0" fontId="2" fillId="19" borderId="1" xfId="0" applyNumberFormat="1" applyFont="1" applyFill="1" applyBorder="1"/>
    <x:xf numFmtId="0" fontId="2" fillId="19" borderId="1" xfId="0" applyNumberFormat="1" applyFont="1" applyFill="1" applyBorder="1" applyAlignment="1">
      <x:alignment wrapText="1"/>
    </x:xf>
    <x:xf numFmtId="0" fontId="2" fillId="19" borderId="1" xfId="0" applyNumberFormat="1" applyFont="1" applyFill="1" applyBorder="1" applyAlignment="1">
      <x:alignment horizontal="center" wrapText="1"/>
    </x:xf>
    <x:xf numFmtId="0" fontId="2" fillId="19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0" borderId="0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 applyAlignment="1">
      <x:alignment vertical="top" wrapText="1"/>
    </x:xf>
    <x:xf numFmtId="0" fontId="2" fillId="20" borderId="1" xfId="0" applyNumberFormat="1" applyFont="1" applyFill="1" applyBorder="1" applyAlignment="1">
      <x:alignment horizontal="center" vertical="center" wrapText="1"/>
    </x:xf>
    <x:xf numFmtId="0" fontId="0" fillId="20" borderId="1" xfId="0" applyNumberFormat="1" applyFont="1" applyFill="1" applyBorder="1" applyAlignment="1">
      <x:alignment vertical="top" wrapText="1"/>
    </x:xf>
    <x:xf numFmtId="0" fontId="10" fillId="18" borderId="0" xfId="0" applyNumberFormat="1" applyFont="1" applyFill="1" applyBorder="1"/>
    <x:xf numFmtId="0" fontId="10" fillId="18" borderId="0" xfId="0" applyNumberFormat="1" applyFont="1" applyFill="1" applyBorder="1" applyAlignment="1">
      <x:alignment vertical="center"/>
    </x:xf>
    <x:xf numFmtId="0" fontId="10" fillId="18" borderId="1" xfId="0" applyNumberFormat="1" applyFont="1" applyFill="1" applyBorder="1"/>
    <x:xf numFmtId="0" fontId="10" fillId="18" borderId="1" xfId="0" applyNumberFormat="1" applyFont="1" applyFill="1" applyBorder="1" applyAlignment="1">
      <x:alignment vertical="center"/>
    </x:xf>
    <x:xf numFmtId="0" fontId="2" fillId="19" borderId="0" xfId="0" applyNumberFormat="1" applyFont="1" applyFill="1" applyBorder="1" applyAlignment="1">
      <x:alignment vertical="center" wrapText="1"/>
    </x:xf>
    <x:xf numFmtId="0" fontId="2" fillId="19" borderId="1" xfId="0" applyNumberFormat="1" applyFont="1" applyFill="1" applyBorder="1" applyAlignment="1">
      <x:alignment vertical="center" wrapText="1"/>
    </x:xf>
    <x:xf numFmtId="0" fontId="11" fillId="2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12" borderId="0" xfId="0" applyNumberFormat="1" applyFont="1" applyFill="1" applyBorder="1" applyAlignment="1">
      <x:alignment vertical="top" wrapText="1"/>
    </x:xf>
    <x:xf numFmtId="0" fontId="5" fillId="12" borderId="0" xfId="0" applyNumberFormat="1" applyFont="1" applyFill="1" applyBorder="1" applyAlignment="1">
      <x:alignment vertical="top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horizontal="center" vertical="center" wrapText="1"/>
    </x:xf>
    <x:xf numFmtId="0" fontId="9" fillId="17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1" fillId="21" borderId="0" xfId="0" applyNumberFormat="1" applyFont="1" applyFill="1" applyBorder="1" applyAlignment="1">
      <x:alignment horizontal="left" vertical="center"/>
    </x:xf>
    <x:xf numFmtId="0" fontId="1" fillId="21" borderId="0" xfId="0" applyNumberFormat="1" applyFont="1" applyFill="1" applyBorder="1" applyAlignment="1">
      <x:alignment horizontal="left" vertical="center" wrapText="1"/>
    </x:xf>
    <x:xf numFmtId="0" fontId="2" fillId="22" borderId="0" xfId="0" applyNumberFormat="1" applyFont="1" applyFill="1" applyBorder="1" applyAlignment="1">
      <x:alignment horizontal="center" vertical="center" wrapText="1"/>
    </x:xf>
    <x:xf numFmtId="0" fontId="11" fillId="22" borderId="0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 applyAlignment="1">
      <x:alignment vertical="top" wrapText="1"/>
    </x:xf>
    <x:xf numFmtId="0" fontId="12" fillId="23" borderId="0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 applyAlignment="1">
      <x:alignment vertical="top" wrapText="1"/>
    </x:xf>
    <x:xf numFmtId="0" fontId="12" fillId="2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0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horizontal="center" vertical="top" wrapText="1"/>
    </x:xf>
    <x:xf numFmtId="0" fontId="4" fillId="21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2" fillId="21" borderId="0" xfId="0" applyNumberFormat="1" applyFont="1" applyFill="1" applyBorder="1"/>
    <x:xf numFmtId="0" fontId="4" fillId="21" borderId="0" xfId="0" applyNumberFormat="1" applyFont="1" applyFill="1" applyBorder="1" applyAlignment="1">
      <x:alignment vertical="center" wrapText="1"/>
    </x:xf>
    <x:xf numFmtId="0" fontId="2" fillId="21" borderId="0" xfId="0" applyNumberFormat="1" applyFont="1" applyFill="1" applyBorder="1" applyAlignment="1">
      <x:alignment wrapText="1"/>
    </x:xf>
    <x:xf numFmtId="0" fontId="2" fillId="21" borderId="0" xfId="0" applyNumberFormat="1" applyFont="1" applyFill="1" applyBorder="1" applyAlignment="1">
      <x:alignment vertical="center" wrapText="1"/>
    </x:xf>
    <x:xf numFmtId="0" fontId="7" fillId="24" borderId="0" xfId="0" applyNumberFormat="1" applyFont="1" applyFill="1" applyBorder="1" applyAlignment="1">
      <x:alignment vertical="top" wrapText="1"/>
    </x:xf>
    <x:xf numFmtId="0" fontId="6" fillId="24" borderId="0" xfId="0" applyNumberFormat="1" applyFont="1" applyFill="1" applyBorder="1" applyAlignment="1">
      <x:alignment vertical="top" wrapText="1"/>
    </x:xf>
    <x:xf numFmtId="0" fontId="14" fillId="24" borderId="0" xfId="0" applyNumberFormat="1" applyFont="1" applyFill="1" applyBorder="1" applyAlignment="1">
      <x:alignment vertical="top" wrapText="1"/>
    </x:xf>
    <x:xf numFmtId="0" fontId="14" fillId="23" borderId="0" xfId="0" applyNumberFormat="1" applyFont="1" applyFill="1" applyBorder="1" applyAlignment="1">
      <x:alignment vertical="top" wrapText="1"/>
    </x:xf>
    <x:xf numFmtId="0" fontId="7" fillId="23" borderId="0" xfId="0" applyNumberFormat="1" applyFont="1" applyFill="1" applyBorder="1" applyAlignment="1">
      <x:alignment vertical="top" wrapText="1"/>
    </x:xf>
    <x:xf numFmtId="0" fontId="14" fillId="23" borderId="0" xfId="0" applyNumberFormat="1" applyFont="1" applyFill="1" applyBorder="1" applyAlignment="1">
      <x:alignment vertical="center" wrapText="1"/>
    </x:xf>
    <x:xf numFmtId="0" fontId="12" fillId="23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/>
    <x:xf numFmtId="0" fontId="1" fillId="21" borderId="0" xfId="0" applyNumberFormat="1" applyFont="1" applyFill="1" applyBorder="1" applyAlignment="1">
      <x:alignment wrapText="1"/>
    </x:xf>
    <x:xf numFmtId="0" fontId="1" fillId="21" borderId="0" xfId="0" applyNumberFormat="1" applyFont="1" applyFill="1" applyBorder="1" applyAlignment="1">
      <x:alignment vertical="center" wrapText="1"/>
    </x:xf>
    <x:xf numFmtId="0" fontId="2" fillId="22" borderId="0" xfId="0" applyNumberFormat="1" applyFont="1" applyFill="1" applyBorder="1" applyAlignment="1">
      <x:alignment horizontal="center"/>
    </x:xf>
    <x:xf numFmtId="0" fontId="2" fillId="22" borderId="0" xfId="0" applyNumberFormat="1" applyFont="1" applyFill="1" applyBorder="1" applyAlignment="1">
      <x:alignment horizontal="center" vertical="center"/>
    </x:xf>
    <x:xf numFmtId="0" fontId="2" fillId="22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horizontal="center"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3" fillId="9" borderId="0" xfId="0" applyNumberFormat="1" applyFont="1" applyFill="1" applyBorder="1" applyAlignment="1">
      <x:alignment vertical="top" wrapText="1"/>
    </x:xf>
    <x:xf numFmtId="0" fontId="3" fillId="10" borderId="0" xfId="0" applyNumberFormat="1" applyFont="1" applyFill="1" applyBorder="1" applyAlignment="1">
      <x:alignment vertical="top" wrapText="1"/>
    </x:xf>
    <x:xf numFmtId="0" fontId="3" fillId="11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4" fillId="21" borderId="0" xfId="0" applyNumberFormat="1" applyFont="1" applyFill="1" applyBorder="1"/>
    <x:xf numFmtId="0" fontId="4" fillId="21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vertical="top" wrapText="1"/>
    </x:xf>
    <x:xf numFmtId="0" fontId="2" fillId="21" borderId="0" xfId="0" applyNumberFormat="1" applyFont="1" applyFill="1" applyBorder="1" applyAlignment="1">
      <x:alignment horizontal="center" wrapText="1"/>
    </x:xf>
    <x:xf numFmtId="0" fontId="9" fillId="21" borderId="0" xfId="0" applyNumberFormat="1" applyFont="1" applyFill="1" applyBorder="1" applyAlignment="1">
      <x:alignment horizontal="center" vertical="center"/>
    </x:xf>
    <x:xf numFmtId="0" fontId="2" fillId="21" borderId="0" xfId="0" applyNumberFormat="1" applyFont="1" applyFill="1" applyBorder="1" applyAlignment="1">
      <x:alignment horizontal="center" vertical="center"/>
    </x:xf>
    <x:xf numFmtId="0" fontId="2" fillId="21" borderId="0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 applyAlignment="1">
      <x:alignment wrapText="1"/>
    </x:xf>
    <x:xf numFmtId="0" fontId="0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06fac158324041" /><Relationship Type="http://schemas.openxmlformats.org/officeDocument/2006/relationships/theme" Target="/xl/theme/theme1.xml" Id="Rc8b38e662dac48e3" /><Relationship Type="http://schemas.openxmlformats.org/officeDocument/2006/relationships/sharedStrings" Target="/xl/sharedStrings.xml" Id="R413213f9b82e426d" /><Relationship Type="http://schemas.openxmlformats.org/officeDocument/2006/relationships/worksheet" Target="/xl/worksheets/sheet1.xml" Id="Ref620568474843f1" /><Relationship Type="http://schemas.openxmlformats.org/officeDocument/2006/relationships/worksheet" Target="/xl/worksheets/sheet2.xml" Id="Rcf5e13f2a8144fef" /><Relationship Type="http://schemas.openxmlformats.org/officeDocument/2006/relationships/worksheet" Target="/xl/worksheets/sheet3.xml" Id="R863b056310ad4b94" /><Relationship Type="http://schemas.openxmlformats.org/officeDocument/2006/relationships/worksheet" Target="/xl/worksheets/sheet4.xml" Id="R3b3a7f7ba0a8488d" /><Relationship Type="http://schemas.openxmlformats.org/officeDocument/2006/relationships/worksheet" Target="/xl/worksheets/sheet5.xml" Id="Ra736848c4a134d92" /><Relationship Type="http://schemas.openxmlformats.org/officeDocument/2006/relationships/worksheet" Target="/xl/worksheets/sheet6.xml" Id="R21e29241ae9b4a05" /><Relationship Type="http://schemas.openxmlformats.org/officeDocument/2006/relationships/worksheet" Target="/xl/worksheets/sheet7.xml" Id="Rbc904d3ce8684906" /><Relationship Type="http://schemas.openxmlformats.org/officeDocument/2006/relationships/worksheet" Target="/xl/worksheets/sheet8.xml" Id="Rfca7582bc72b4673" /><Relationship Type="http://schemas.openxmlformats.org/officeDocument/2006/relationships/worksheet" Target="/xl/worksheets/sheet9.xml" Id="R961cd1c2e1bd4f72" /><Relationship Type="http://schemas.openxmlformats.org/officeDocument/2006/relationships/worksheet" Target="/xl/worksheets/sheet10.xml" Id="Rc7b989ec4a1f4f0d" /><Relationship Type="http://schemas.openxmlformats.org/officeDocument/2006/relationships/worksheet" Target="/xl/worksheets/sheet11.xml" Id="Rdc76e343f1334457" /><Relationship Type="http://schemas.openxmlformats.org/officeDocument/2006/relationships/worksheet" Target="/xl/worksheets/sheet12.xml" Id="Raad8d1f5d58e4986" /><Relationship Type="http://schemas.openxmlformats.org/officeDocument/2006/relationships/worksheet" Target="/xl/worksheets/sheet13.xml" Id="R221675922b0a4ac0" /><Relationship Type="http://schemas.openxmlformats.org/officeDocument/2006/relationships/worksheet" Target="/xl/worksheets/sheet14.xml" Id="R4ca0d5efaed74a6d" /><Relationship Type="http://schemas.openxmlformats.org/officeDocument/2006/relationships/worksheet" Target="/xl/worksheets/sheet15.xml" Id="R16d1ea17148548ec" /><Relationship Type="http://schemas.openxmlformats.org/officeDocument/2006/relationships/worksheet" Target="/xl/worksheets/sheet16.xml" Id="R7edbc21794764d86" /><Relationship Type="http://schemas.openxmlformats.org/officeDocument/2006/relationships/worksheet" Target="/xl/worksheets/sheet17.xml" Id="R046f282317954736" /><Relationship Type="http://schemas.openxmlformats.org/officeDocument/2006/relationships/worksheet" Target="/xl/worksheets/sheet18.xml" Id="R27f94add96d6463c" /><Relationship Type="http://schemas.openxmlformats.org/officeDocument/2006/relationships/worksheet" Target="/xl/worksheets/sheet19.xml" Id="R269a52e7bbed47c4" /><Relationship Type="http://schemas.openxmlformats.org/officeDocument/2006/relationships/worksheet" Target="/xl/worksheets/sheet20.xml" Id="R6900ff13625c4987" /><Relationship Type="http://schemas.openxmlformats.org/officeDocument/2006/relationships/worksheet" Target="/xl/worksheets/sheet21.xml" Id="R0e21e5d742414734" /><Relationship Type="http://schemas.openxmlformats.org/officeDocument/2006/relationships/worksheet" Target="/xl/worksheets/sheet22.xml" Id="R46ee88ba8aca495a" /><Relationship Type="http://schemas.openxmlformats.org/officeDocument/2006/relationships/worksheet" Target="/xl/worksheets/sheet23.xml" Id="R6af7c55456fe4d91" /><Relationship Type="http://schemas.openxmlformats.org/officeDocument/2006/relationships/worksheet" Target="/xl/worksheets/sheet24.xml" Id="R5c88ac6ab31a4284" /><Relationship Type="http://schemas.openxmlformats.org/officeDocument/2006/relationships/worksheet" Target="/xl/worksheets/sheet25.xml" Id="Rd7b89f9ffdc64eee" /><Relationship Type="http://schemas.openxmlformats.org/officeDocument/2006/relationships/worksheet" Target="/xl/worksheets/sheet26.xml" Id="Rd9a4d28c25974ac2" /><Relationship Type="http://schemas.openxmlformats.org/officeDocument/2006/relationships/worksheet" Target="/xl/worksheets/sheet27.xml" Id="R8756ff453fa64344" /><Relationship Type="http://schemas.openxmlformats.org/officeDocument/2006/relationships/worksheet" Target="/xl/worksheets/sheet28.xml" Id="R0e90885af2ab4852" /><Relationship Type="http://schemas.openxmlformats.org/officeDocument/2006/relationships/worksheet" Target="/xl/worksheets/sheet29.xml" Id="R5555369b016f46cc" /><Relationship Type="http://schemas.openxmlformats.org/officeDocument/2006/relationships/worksheet" Target="/xl/worksheets/sheet30.xml" Id="R7c6e04c812f74db1" /><Relationship Type="http://schemas.openxmlformats.org/officeDocument/2006/relationships/worksheet" Target="/xl/worksheets/sheet31.xml" Id="R4f68ce5d53d2461a" /><Relationship Type="http://schemas.openxmlformats.org/officeDocument/2006/relationships/worksheet" Target="/xl/worksheets/sheet32.xml" Id="R3d98c5bddc4f4960" /><Relationship Type="http://schemas.openxmlformats.org/officeDocument/2006/relationships/worksheet" Target="/xl/worksheets/sheet33.xml" Id="R9bea44778f854889" /><Relationship Type="http://schemas.openxmlformats.org/officeDocument/2006/relationships/worksheet" Target="/xl/worksheets/sheet34.xml" Id="R3e7efa2194284139" /><Relationship Type="http://schemas.openxmlformats.org/officeDocument/2006/relationships/worksheet" Target="/xl/worksheets/sheet35.xml" Id="Rebe41b600d77431a" /><Relationship Type="http://schemas.openxmlformats.org/officeDocument/2006/relationships/worksheet" Target="/xl/worksheets/sheet36.xml" Id="Rdb1aaf2cd9334d6a" /><Relationship Type="http://schemas.openxmlformats.org/officeDocument/2006/relationships/worksheet" Target="/xl/worksheets/sheet37.xml" Id="Re2f0e8e928a64085" /><Relationship Type="http://schemas.openxmlformats.org/officeDocument/2006/relationships/worksheet" Target="/xl/worksheets/sheet38.xml" Id="Ra3ae9b4a6c734121" /><Relationship Type="http://schemas.openxmlformats.org/officeDocument/2006/relationships/worksheet" Target="/xl/worksheets/sheet39.xml" Id="R58abbbc774294991" /><Relationship Type="http://schemas.openxmlformats.org/officeDocument/2006/relationships/worksheet" Target="/xl/worksheets/sheet40.xml" Id="Ra3e6cc2ba1b94fc8" /><Relationship Type="http://schemas.openxmlformats.org/officeDocument/2006/relationships/worksheet" Target="/xl/worksheets/sheet41.xml" Id="R312f5e237c844917" /><Relationship Type="http://schemas.openxmlformats.org/officeDocument/2006/relationships/worksheet" Target="/xl/worksheets/sheet42.xml" Id="Rc5a9035ca34f4cde" /><Relationship Type="http://schemas.openxmlformats.org/officeDocument/2006/relationships/worksheet" Target="/xl/worksheets/sheet43.xml" Id="Ra00a12cb3072468c" /><Relationship Type="http://schemas.openxmlformats.org/officeDocument/2006/relationships/worksheet" Target="/xl/worksheets/sheet44.xml" Id="R1f0318691bc8444e" /><Relationship Type="http://schemas.openxmlformats.org/officeDocument/2006/relationships/worksheet" Target="/xl/worksheets/sheet45.xml" Id="Rcbd847e442de4d09" /><Relationship Type="http://schemas.openxmlformats.org/officeDocument/2006/relationships/worksheet" Target="/xl/worksheets/sheet46.xml" Id="R068583d0f08e449a" /><Relationship Type="http://schemas.openxmlformats.org/officeDocument/2006/relationships/worksheet" Target="/xl/worksheets/sheet47.xml" Id="Rf5397684b7a64fe4" /><Relationship Type="http://schemas.openxmlformats.org/officeDocument/2006/relationships/worksheet" Target="/xl/worksheets/sheet48.xml" Id="R5323b0f508294bbd" /><Relationship Type="http://schemas.openxmlformats.org/officeDocument/2006/relationships/worksheet" Target="/xl/worksheets/sheet49.xml" Id="Rd3af671d05904bf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36" hidden="0" customWidth="1"/>
    <x:col min="4" max="5" width="16" customWidth="1"/>
    <x:col min="4" max="4" width="15" hidden="0" customWidth="1"/>
    <x:col min="5" max="5" width="18" hidden="0" customWidth="1"/>
  </x:cols>
  <x:sheetData>
    <x:row r="1" ht="28" customHeight="1">
      <x:c r="A1" s="142" t="s">
        <x:v>0</x:v>
      </x:c>
      <x:c r="B1" s="142"/>
      <x:c r="C1" s="142"/>
      <x:c r="D1" s="142"/>
      <x:c r="E1" s="142"/>
    </x:row>
    <x:row r="2" ht="32" customHeight="1">
      <x:c r="A2" s="116" t="s">
        <x:v>1</x:v>
      </x:c>
      <x:c r="B2" s="116" t="s">
        <x:v>2</x:v>
      </x:c>
      <x:c r="C2" s="116" t="s">
        <x:v>3</x:v>
      </x:c>
      <x:c r="D2" s="116" t="s">
        <x:v>4</x:v>
      </x:c>
      <x:c r="E2" s="116" t="s">
        <x:v>5</x:v>
      </x:c>
    </x:row>
    <x:row r="3" ht="22" customHeight="1">
      <x:c r="A3" s="139" t="s">
        <x:v>6</x:v>
      </x:c>
      <x:c r="B3" s="139"/>
      <x:c r="C3" s="139"/>
      <x:c r="D3" s="139"/>
      <x:c r="E3" s="139"/>
    </x:row>
    <x:row r="4">
      <x:c r="A4" s="75"/>
      <x:c r="B4" s="75" t="s">
        <x:v>7</x:v>
      </x:c>
      <x:c r="C4" s="75" t="s">
        <x:v>8</x:v>
      </x:c>
      <x:c r="D4" s="75">
        <x:v>1</x:v>
      </x:c>
      <x:c r="E4" s="147" t="str">
        <x:f>IFERROR(HYPERLINK("#'Sheet Directory'!A1","Open"),"Open")</x:f>
        <x:v>Open</x:v>
      </x:c>
    </x:row>
    <x:row r="5">
      <x:c r="A5" s="75"/>
      <x:c r="B5" s="75" t="s">
        <x:v>9</x:v>
      </x:c>
      <x:c r="C5" s="75" t="s">
        <x:v>10</x:v>
      </x:c>
      <x:c r="D5" s="75">
        <x:v>2</x:v>
      </x:c>
      <x:c r="E5" s="147" t="str">
        <x:f>IFERROR(HYPERLINK("#'At a Glance'!A1","Open"),"Open")</x:f>
        <x:v>Open</x:v>
      </x:c>
    </x:row>
    <x:row r="6">
      <x:c r="A6" s="75"/>
      <x:c r="B6" s="75" t="s">
        <x:v>11</x:v>
      </x:c>
      <x:c r="C6" s="75" t="s">
        <x:v>12</x:v>
      </x:c>
      <x:c r="D6" s="75">
        <x:v>3</x:v>
      </x:c>
      <x:c r="E6" s="147" t="str">
        <x:f>IFERROR(HYPERLINK("#'Comparison Guide'!A1","Open"),"Open")</x:f>
        <x:v>Open</x:v>
      </x:c>
    </x:row>
    <x:row r="7" ht="22" customHeight="1">
      <x:c r="A7" s="139" t="s">
        <x:v>13</x:v>
      </x:c>
      <x:c r="B7" s="139"/>
      <x:c r="C7" s="139"/>
      <x:c r="D7" s="139"/>
      <x:c r="E7" s="139"/>
    </x:row>
    <x:row r="8">
      <x:c r="A8" s="75"/>
      <x:c r="B8" s="75" t="s">
        <x:v>14</x:v>
      </x:c>
      <x:c r="C8" s="75" t="s">
        <x:v>15</x:v>
      </x:c>
      <x:c r="D8" s="75">
        <x:v>4</x:v>
      </x:c>
      <x:c r="E8" s="147" t="str">
        <x:f>IFERROR(HYPERLINK("#'Core Features'!A1","Open"),"Open")</x:f>
        <x:v>Open</x:v>
      </x:c>
    </x:row>
    <x:row r="9">
      <x:c r="A9" s="75"/>
      <x:c r="B9" s="75" t="s">
        <x:v>16</x:v>
      </x:c>
      <x:c r="C9" s="75" t="s">
        <x:v>15</x:v>
      </x:c>
      <x:c r="D9" s="75">
        <x:v>5</x:v>
      </x:c>
      <x:c r="E9" s="147" t="str">
        <x:f>IFERROR(HYPERLINK("#'Basic Features'!A1","Open"),"Open")</x:f>
        <x:v>Open</x:v>
      </x:c>
    </x:row>
    <x:row r="10">
      <x:c r="A10" s="75"/>
      <x:c r="B10" s="75" t="s">
        <x:v>17</x:v>
      </x:c>
      <x:c r="C10" s="75" t="s">
        <x:v>15</x:v>
      </x:c>
      <x:c r="D10" s="75">
        <x:v>6</x:v>
      </x:c>
      <x:c r="E10" s="147" t="str">
        <x:f>IFERROR(HYPERLINK("#'Advanced Features'!A1","Open"),"Open")</x:f>
        <x:v>Open</x:v>
      </x:c>
    </x:row>
    <x:row r="11">
      <x:c r="A11" s="75"/>
      <x:c r="B11" s="75" t="s">
        <x:v>18</x:v>
      </x:c>
      <x:c r="C11" s="75" t="s">
        <x:v>15</x:v>
      </x:c>
      <x:c r="D11" s="75">
        <x:v>7</x:v>
      </x:c>
      <x:c r="E11" s="147" t="str">
        <x:f>IFERROR(HYPERLINK("#'Channel Types'!A1","Open"),"Open")</x:f>
        <x:v>Open</x:v>
      </x:c>
    </x:row>
    <x:row r="12">
      <x:c r="A12" s="75"/>
      <x:c r="B12" s="75" t="s">
        <x:v>19</x:v>
      </x:c>
      <x:c r="C12" s="75" t="s">
        <x:v>15</x:v>
      </x:c>
      <x:c r="D12" s="75">
        <x:v>8</x:v>
      </x:c>
      <x:c r="E12" s="147" t="str">
        <x:f>IFERROR(HYPERLINK("#'Extra Features'!A1","Open"),"Open")</x:f>
        <x:v>Open</x:v>
      </x:c>
    </x:row>
    <x:row r="13">
      <x:c r="A13" s="75"/>
      <x:c r="B13" s="75" t="s">
        <x:v>20</x:v>
      </x:c>
      <x:c r="C13" s="75" t="s">
        <x:v>15</x:v>
      </x:c>
      <x:c r="D13" s="75">
        <x:v>9</x:v>
      </x:c>
      <x:c r="E13" s="147" t="str">
        <x:f>IFERROR(HYPERLINK("#'Embedded Apps'!A1","Open"),"Open")</x:f>
        <x:v>Open</x:v>
      </x:c>
    </x:row>
    <x:row r="14">
      <x:c r="A14" s="75"/>
      <x:c r="B14" s="75" t="s">
        <x:v>21</x:v>
      </x:c>
      <x:c r="C14" s="75" t="s">
        <x:v>15</x:v>
      </x:c>
      <x:c r="D14" s="75">
        <x:v>10</x:v>
      </x:c>
      <x:c r="E14" s="147" t="str">
        <x:f>IFERROR(HYPERLINK("#'Community Limits'!A1","Open"),"Open")</x:f>
        <x:v>Open</x:v>
      </x:c>
    </x:row>
    <x:row r="15" ht="22" customHeight="1">
      <x:c r="A15" s="139" t="s">
        <x:v>22</x:v>
      </x:c>
      <x:c r="B15" s="139"/>
      <x:c r="C15" s="139"/>
      <x:c r="D15" s="139"/>
      <x:c r="E15" s="139"/>
    </x:row>
    <x:row r="16">
      <x:c r="A16" s="75"/>
      <x:c r="B16" s="75" t="s">
        <x:v>23</x:v>
      </x:c>
      <x:c r="C16" s="75" t="s">
        <x:v>15</x:v>
      </x:c>
      <x:c r="D16" s="75">
        <x:v>11</x:v>
      </x:c>
      <x:c r="E16" s="147" t="str">
        <x:f>IFERROR(HYPERLINK("#'Voice &amp; Audio'!A1","Open"),"Open")</x:f>
        <x:v>Open</x:v>
      </x:c>
    </x:row>
    <x:row r="17">
      <x:c r="A17" s="75"/>
      <x:c r="B17" s="75" t="s">
        <x:v>24</x:v>
      </x:c>
      <x:c r="C17" s="75" t="s">
        <x:v>15</x:v>
      </x:c>
      <x:c r="D17" s="75">
        <x:v>12</x:v>
      </x:c>
      <x:c r="E17" s="147" t="str">
        <x:f>IFERROR(HYPERLINK("#'Voice Quality Detail'!A1","Open"),"Open")</x:f>
        <x:v>Open</x:v>
      </x:c>
    </x:row>
    <x:row r="18">
      <x:c r="A18" s="75"/>
      <x:c r="B18" s="75" t="s">
        <x:v>25</x:v>
      </x:c>
      <x:c r="C18" s="75" t="s">
        <x:v>15</x:v>
      </x:c>
      <x:c r="D18" s="75">
        <x:v>13</x:v>
      </x:c>
      <x:c r="E18" s="147" t="str">
        <x:f>IFERROR(HYPERLINK("#'Video &amp; Screen Sharing'!A1","Open"),"Open")</x:f>
        <x:v>Open</x:v>
      </x:c>
    </x:row>
    <x:row r="19">
      <x:c r="A19" s="75"/>
      <x:c r="B19" s="75" t="s">
        <x:v>26</x:v>
      </x:c>
      <x:c r="C19" s="75" t="s">
        <x:v>15</x:v>
      </x:c>
      <x:c r="D19" s="75">
        <x:v>14</x:v>
      </x:c>
      <x:c r="E19" s="147" t="str">
        <x:f>IFERROR(HYPERLINK("#'Screen Share Detail'!A1","Open"),"Open")</x:f>
        <x:v>Open</x:v>
      </x:c>
    </x:row>
    <x:row r="20">
      <x:c r="A20" s="75"/>
      <x:c r="B20" s="75" t="s">
        <x:v>27</x:v>
      </x:c>
      <x:c r="C20" s="75" t="s">
        <x:v>15</x:v>
      </x:c>
      <x:c r="D20" s="75">
        <x:v>15</x:v>
      </x:c>
      <x:c r="E20" s="147" t="str">
        <x:f>IFERROR(HYPERLINK("#'Media &amp; Limits'!A1","Open"),"Open")</x:f>
        <x:v>Open</x:v>
      </x:c>
    </x:row>
    <x:row r="21">
      <x:c r="A21" s="75"/>
      <x:c r="B21" s="75" t="s">
        <x:v>28</x:v>
      </x:c>
      <x:c r="C21" s="75" t="s">
        <x:v>15</x:v>
      </x:c>
      <x:c r="D21" s="75">
        <x:v>16</x:v>
      </x:c>
      <x:c r="E21" s="147" t="str">
        <x:f>IFERROR(HYPERLINK("#'Files &amp; Storage'!A1","Open"),"Open")</x:f>
        <x:v>Open</x:v>
      </x:c>
    </x:row>
    <x:row r="22" ht="22" customHeight="1">
      <x:c r="A22" s="139" t="s">
        <x:v>29</x:v>
      </x:c>
      <x:c r="B22" s="139"/>
      <x:c r="C22" s="139"/>
      <x:c r="D22" s="139"/>
      <x:c r="E22" s="139"/>
    </x:row>
    <x:row r="23">
      <x:c r="A23" s="75"/>
      <x:c r="B23" s="75" t="s">
        <x:v>30</x:v>
      </x:c>
      <x:c r="C23" s="75" t="s">
        <x:v>15</x:v>
      </x:c>
      <x:c r="D23" s="75">
        <x:v>17</x:v>
      </x:c>
      <x:c r="E23" s="147" t="str">
        <x:f>IFERROR(HYPERLINK("#'Platform Model &amp; Ecosystem'!A1","Open"),"Open")</x:f>
        <x:v>Open</x:v>
      </x:c>
    </x:row>
    <x:row r="24">
      <x:c r="A24" s="75"/>
      <x:c r="B24" s="75" t="s">
        <x:v>31</x:v>
      </x:c>
      <x:c r="C24" s="75" t="s">
        <x:v>15</x:v>
      </x:c>
      <x:c r="D24" s="75">
        <x:v>18</x:v>
      </x:c>
      <x:c r="E24" s="147" t="str">
        <x:f>IFERROR(HYPERLINK("#'Architecture &amp; Licensing'!A1","Open"),"Open")</x:f>
        <x:v>Open</x:v>
      </x:c>
    </x:row>
    <x:row r="25">
      <x:c r="A25" s="75"/>
      <x:c r="B25" s="75" t="s">
        <x:v>32</x:v>
      </x:c>
      <x:c r="C25" s="75" t="s">
        <x:v>15</x:v>
      </x:c>
      <x:c r="D25" s="75">
        <x:v>19</x:v>
      </x:c>
      <x:c r="E25" s="147" t="str">
        <x:f>IFERROR(HYPERLINK("#'Deployment Detail'!A1","Open"),"Open")</x:f>
        <x:v>Open</x:v>
      </x:c>
    </x:row>
    <x:row r="26">
      <x:c r="A26" s="75"/>
      <x:c r="B26" s="75" t="s">
        <x:v>33</x:v>
      </x:c>
      <x:c r="C26" s="75" t="s">
        <x:v>15</x:v>
      </x:c>
      <x:c r="D26" s="75">
        <x:v>20</x:v>
      </x:c>
      <x:c r="E26" s="147" t="str">
        <x:f>IFERROR(HYPERLINK("#'Client &amp; Distribution'!A1","Open"),"Open")</x:f>
        <x:v>Open</x:v>
      </x:c>
    </x:row>
    <x:row r="27">
      <x:c r="A27" s="75"/>
      <x:c r="B27" s="75" t="s">
        <x:v>34</x:v>
      </x:c>
      <x:c r="C27" s="75" t="s">
        <x:v>15</x:v>
      </x:c>
      <x:c r="D27" s="75">
        <x:v>21</x:v>
      </x:c>
      <x:c r="E27" s="147" t="str">
        <x:f>IFERROR(HYPERLINK("#'Performance &amp; Client Stack'!A1","Open"),"Open")</x:f>
        <x:v>Open</x:v>
      </x:c>
    </x:row>
    <x:row r="28">
      <x:c r="A28" s="75"/>
      <x:c r="B28" s="75" t="s">
        <x:v>35</x:v>
      </x:c>
      <x:c r="C28" s="75" t="s">
        <x:v>15</x:v>
      </x:c>
      <x:c r="D28" s="75">
        <x:v>22</x:v>
      </x:c>
      <x:c r="E28" s="147" t="str">
        <x:f>IFERROR(HYPERLINK("#'Accounts &amp; Identity'!A1","Open"),"Open")</x:f>
        <x:v>Open</x:v>
      </x:c>
    </x:row>
    <x:row r="29">
      <x:c r="A29" s="75"/>
      <x:c r="B29" s="75" t="s">
        <x:v>36</x:v>
      </x:c>
      <x:c r="C29" s="75" t="s">
        <x:v>15</x:v>
      </x:c>
      <x:c r="D29" s="75">
        <x:v>23</x:v>
      </x:c>
      <x:c r="E29" s="147" t="str">
        <x:f>IFERROR(HYPERLINK("#'Portability &amp; Bridging'!A1","Open"),"Open")</x:f>
        <x:v>Open</x:v>
      </x:c>
    </x:row>
    <x:row r="30">
      <x:c r="A30" s="75"/>
      <x:c r="B30" s="75" t="s">
        <x:v>37</x:v>
      </x:c>
      <x:c r="C30" s="75" t="s">
        <x:v>15</x:v>
      </x:c>
      <x:c r="D30" s="75">
        <x:v>24</x:v>
      </x:c>
      <x:c r="E30" s="147" t="str">
        <x:f>IFERROR(HYPERLINK("#'Interop &amp; Portability Details'!A1","Open"),"Open")</x:f>
        <x:v>Open</x:v>
      </x:c>
    </x:row>
    <x:row r="31" ht="22" customHeight="1">
      <x:c r="A31" s="139" t="s">
        <x:v>38</x:v>
      </x:c>
      <x:c r="B31" s="139"/>
      <x:c r="C31" s="139"/>
      <x:c r="D31" s="139"/>
      <x:c r="E31" s="139"/>
    </x:row>
    <x:row r="32">
      <x:c r="A32" s="75"/>
      <x:c r="B32" s="75" t="s">
        <x:v>39</x:v>
      </x:c>
      <x:c r="C32" s="75" t="s">
        <x:v>15</x:v>
      </x:c>
      <x:c r="D32" s="75">
        <x:v>25</x:v>
      </x:c>
      <x:c r="E32" s="147" t="str">
        <x:f>IFERROR(HYPERLINK("#'Security &amp; Privacy'!A1","Open"),"Open")</x:f>
        <x:v>Open</x:v>
      </x:c>
    </x:row>
    <x:row r="33">
      <x:c r="A33" s="75"/>
      <x:c r="B33" s="75" t="s">
        <x:v>40</x:v>
      </x:c>
      <x:c r="C33" s="75" t="s">
        <x:v>15</x:v>
      </x:c>
      <x:c r="D33" s="75">
        <x:v>26</x:v>
      </x:c>
      <x:c r="E33" s="147" t="str">
        <x:f>IFERROR(HYPERLINK("#'Encryption Details'!A1","Open"),"Open")</x:f>
        <x:v>Open</x:v>
      </x:c>
    </x:row>
    <x:row r="34">
      <x:c r="A34" s="75"/>
      <x:c r="B34" s="75" t="s">
        <x:v>41</x:v>
      </x:c>
      <x:c r="C34" s="75" t="s">
        <x:v>15</x:v>
      </x:c>
      <x:c r="D34" s="75">
        <x:v>27</x:v>
      </x:c>
      <x:c r="E34" s="147" t="str">
        <x:f>IFERROR(HYPERLINK("#'Security Matrix'!A1","Open"),"Open")</x:f>
        <x:v>Open</x:v>
      </x:c>
    </x:row>
    <x:row r="35">
      <x:c r="A35" s="75"/>
      <x:c r="B35" s="75" t="s">
        <x:v>42</x:v>
      </x:c>
      <x:c r="C35" s="75" t="s">
        <x:v>15</x:v>
      </x:c>
      <x:c r="D35" s="75">
        <x:v>28</x:v>
      </x:c>
      <x:c r="E35" s="147" t="str">
        <x:f>IFERROR(HYPERLINK("#'Security History &amp; Audits'!A1","Open"),"Open")</x:f>
        <x:v>Open</x:v>
      </x:c>
    </x:row>
    <x:row r="36">
      <x:c r="A36" s="75"/>
      <x:c r="B36" s="75" t="s">
        <x:v>43</x:v>
      </x:c>
      <x:c r="C36" s="75" t="s">
        <x:v>15</x:v>
      </x:c>
      <x:c r="D36" s="75">
        <x:v>29</x:v>
      </x:c>
      <x:c r="E36" s="147" t="str">
        <x:f>IFERROR(HYPERLINK("#'Moderation &amp; Safety'!A1","Open"),"Open")</x:f>
        <x:v>Open</x:v>
      </x:c>
    </x:row>
    <x:row r="37">
      <x:c r="A37" s="75"/>
      <x:c r="B37" s="75" t="s">
        <x:v>44</x:v>
      </x:c>
      <x:c r="C37" s="75" t="s">
        <x:v>15</x:v>
      </x:c>
      <x:c r="D37" s="75">
        <x:v>30</x:v>
      </x:c>
      <x:c r="E37" s="147" t="str">
        <x:f>IFERROR(HYPERLINK("#'Moderation Detail'!A1","Open"),"Open")</x:f>
        <x:v>Open</x:v>
      </x:c>
    </x:row>
    <x:row r="38" ht="22" customHeight="1">
      <x:c r="A38" s="139" t="s">
        <x:v>45</x:v>
      </x:c>
      <x:c r="B38" s="139"/>
      <x:c r="C38" s="139"/>
      <x:c r="D38" s="139"/>
      <x:c r="E38" s="139"/>
    </x:row>
    <x:row r="39">
      <x:c r="A39" s="75"/>
      <x:c r="B39" s="75" t="s">
        <x:v>46</x:v>
      </x:c>
      <x:c r="C39" s="75" t="s">
        <x:v>15</x:v>
      </x:c>
      <x:c r="D39" s="75">
        <x:v>31</x:v>
      </x:c>
      <x:c r="E39" s="147" t="str">
        <x:f>IFERROR(HYPERLINK("#'Project Origin &amp; Longevity'!A1","Open"),"Open")</x:f>
        <x:v>Open</x:v>
      </x:c>
    </x:row>
    <x:row r="40">
      <x:c r="A40" s="75"/>
      <x:c r="B40" s="75" t="s">
        <x:v>47</x:v>
      </x:c>
      <x:c r="C40" s="75" t="s">
        <x:v>15</x:v>
      </x:c>
      <x:c r="D40" s="75">
        <x:v>32</x:v>
      </x:c>
      <x:c r="E40" s="147" t="str">
        <x:f>IFERROR(HYPERLINK("#'Project &amp; Maintenance'!A1","Open"),"Open")</x:f>
        <x:v>Open</x:v>
      </x:c>
    </x:row>
    <x:row r="41">
      <x:c r="A41" s="75"/>
      <x:c r="B41" s="75" t="s">
        <x:v>48</x:v>
      </x:c>
      <x:c r="C41" s="75" t="s">
        <x:v>15</x:v>
      </x:c>
      <x:c r="D41" s="75">
        <x:v>33</x:v>
      </x:c>
      <x:c r="E41" s="147" t="str">
        <x:f>IFERROR(HYPERLINK("#'Maintenance &amp; Updates'!A1","Open"),"Open")</x:f>
        <x:v>Open</x:v>
      </x:c>
    </x:row>
    <x:row r="42">
      <x:c r="A42" s="75"/>
      <x:c r="B42" s="75" t="s">
        <x:v>49</x:v>
      </x:c>
      <x:c r="C42" s="75" t="s">
        <x:v>15</x:v>
      </x:c>
      <x:c r="D42" s="75">
        <x:v>34</x:v>
      </x:c>
      <x:c r="E42" s="147" t="str">
        <x:f>IFERROR(HYPERLINK("#'Developer Extensibility'!A1","Open"),"Open")</x:f>
        <x:v>Open</x:v>
      </x:c>
    </x:row>
    <x:row r="43">
      <x:c r="A43" s="75"/>
      <x:c r="B43" s="75" t="s">
        <x:v>50</x:v>
      </x:c>
      <x:c r="C43" s="75" t="s">
        <x:v>15</x:v>
      </x:c>
      <x:c r="D43" s="75">
        <x:v>35</x:v>
      </x:c>
      <x:c r="E43" s="147" t="str">
        <x:f>IFERROR(HYPERLINK("#'Developer API Detail'!A1","Open"),"Open")</x:f>
        <x:v>Open</x:v>
      </x:c>
    </x:row>
    <x:row r="44">
      <x:c r="A44" s="75"/>
      <x:c r="B44" s="75" t="s">
        <x:v>51</x:v>
      </x:c>
      <x:c r="C44" s="75" t="s">
        <x:v>15</x:v>
      </x:c>
      <x:c r="D44" s="75">
        <x:v>36</x:v>
      </x:c>
      <x:c r="E44" s="147" t="str">
        <x:f>IFERROR(HYPERLINK("#'AI Policy &amp; Transparency'!A1","Open"),"Open")</x:f>
        <x:v>Open</x:v>
      </x:c>
    </x:row>
    <x:row r="45">
      <x:c r="A45" s="75"/>
      <x:c r="B45" s="75" t="s">
        <x:v>52</x:v>
      </x:c>
      <x:c r="C45" s="75" t="s">
        <x:v>15</x:v>
      </x:c>
      <x:c r="D45" s="75">
        <x:v>37</x:v>
      </x:c>
      <x:c r="E45" s="147" t="str">
        <x:f>IFERROR(HYPERLINK("#'AI &amp; Data Use Detail'!A1","Open"),"Open")</x:f>
        <x:v>Open</x:v>
      </x:c>
    </x:row>
    <x:row r="46" ht="22" customHeight="1">
      <x:c r="A46" s="139" t="s">
        <x:v>53</x:v>
      </x:c>
      <x:c r="B46" s="139"/>
      <x:c r="C46" s="139"/>
      <x:c r="D46" s="139"/>
      <x:c r="E46" s="139"/>
    </x:row>
    <x:row r="47">
      <x:c r="A47" s="75"/>
      <x:c r="B47" s="75" t="s">
        <x:v>54</x:v>
      </x:c>
      <x:c r="C47" s="75" t="s">
        <x:v>15</x:v>
      </x:c>
      <x:c r="D47" s="75">
        <x:v>38</x:v>
      </x:c>
      <x:c r="E47" s="147" t="str">
        <x:f>IFERROR(HYPERLINK("#'Business Model &amp; Sustainability'!A1","Open"),"Open")</x:f>
        <x:v>Open</x:v>
      </x:c>
    </x:row>
    <x:row r="48">
      <x:c r="A48" s="75"/>
      <x:c r="B48" s="75" t="s">
        <x:v>55</x:v>
      </x:c>
      <x:c r="C48" s="75" t="s">
        <x:v>15</x:v>
      </x:c>
      <x:c r="D48" s="75">
        <x:v>39</x:v>
      </x:c>
      <x:c r="E48" s="147" t="str">
        <x:f>IFERROR(HYPERLINK("#'Pricing Summary'!A1","Open"),"Open")</x:f>
        <x:v>Open</x:v>
      </x:c>
    </x:row>
    <x:row r="49">
      <x:c r="A49" s="75"/>
      <x:c r="B49" s="75" t="s">
        <x:v>56</x:v>
      </x:c>
      <x:c r="C49" s="75" t="s">
        <x:v>15</x:v>
      </x:c>
      <x:c r="D49" s="75">
        <x:v>40</x:v>
      </x:c>
      <x:c r="E49" s="147" t="str">
        <x:f>IFERROR(HYPERLINK("#'Pricing &amp; Tiers'!A1","Open"),"Open")</x:f>
        <x:v>Open</x:v>
      </x:c>
    </x:row>
    <x:row r="50">
      <x:c r="A50" s="75"/>
      <x:c r="B50" s="75" t="s">
        <x:v>57</x:v>
      </x:c>
      <x:c r="C50" s="75" t="s">
        <x:v>15</x:v>
      </x:c>
      <x:c r="D50" s="75">
        <x:v>41</x:v>
      </x:c>
      <x:c r="E50" s="147" t="str">
        <x:f>IFERROR(HYPERLINK("#'Feature Entitlements'!A1","Open"),"Open")</x:f>
        <x:v>Open</x:v>
      </x:c>
    </x:row>
    <x:row r="51">
      <x:c r="A51" s="75"/>
      <x:c r="B51" s="75" t="s">
        <x:v>58</x:v>
      </x:c>
      <x:c r="C51" s="75" t="s">
        <x:v>15</x:v>
      </x:c>
      <x:c r="D51" s="75">
        <x:v>42</x:v>
      </x:c>
      <x:c r="E51" s="147" t="str">
        <x:f>IFERROR(HYPERLINK("#'Monetization Detail'!A1","Open"),"Open")</x:f>
        <x:v>Open</x:v>
      </x:c>
    </x:row>
    <x:row r="52">
      <x:c r="A52" s="75"/>
      <x:c r="B52" s="75" t="s">
        <x:v>59</x:v>
      </x:c>
      <x:c r="C52" s="75" t="s">
        <x:v>15</x:v>
      </x:c>
      <x:c r="D52" s="75">
        <x:v>43</x:v>
      </x:c>
      <x:c r="E52" s="147" t="str">
        <x:f>IFERROR(HYPERLINK("#'Terms &amp; Privacy'!A1","Open"),"Open")</x:f>
        <x:v>Open</x:v>
      </x:c>
    </x:row>
    <x:row r="53" ht="22" customHeight="1">
      <x:c r="A53" s="139" t="s">
        <x:v>60</x:v>
      </x:c>
      <x:c r="B53" s="139"/>
      <x:c r="C53" s="139"/>
      <x:c r="D53" s="139"/>
      <x:c r="E53" s="139"/>
    </x:row>
    <x:row r="54">
      <x:c r="A54" s="75"/>
      <x:c r="B54" s="75" t="s">
        <x:v>61</x:v>
      </x:c>
      <x:c r="C54" s="75" t="s">
        <x:v>62</x:v>
      </x:c>
      <x:c r="D54" s="75">
        <x:v>44</x:v>
      </x:c>
      <x:c r="E54" s="147" t="str">
        <x:f>IFERROR(HYPERLINK("#'Discord Sources'!A1","Open"),"Open")</x:f>
        <x:v>Open</x:v>
      </x:c>
    </x:row>
    <x:row r="55">
      <x:c r="A55" s="75"/>
      <x:c r="B55" s="75" t="s">
        <x:v>63</x:v>
      </x:c>
      <x:c r="C55" s="75" t="s">
        <x:v>64</x:v>
      </x:c>
      <x:c r="D55" s="75">
        <x:v>45</x:v>
      </x:c>
      <x:c r="E55" s="147" t="str">
        <x:f>IFERROR(HYPERLINK("#'Research Sources'!A1","Open"),"Open")</x:f>
        <x:v>Open</x:v>
      </x:c>
    </x:row>
    <x:row r="56">
      <x:c r="A56" s="75"/>
      <x:c r="B56" s="75" t="s">
        <x:v>65</x:v>
      </x:c>
      <x:c r="C56" s="75" t="s">
        <x:v>66</x:v>
      </x:c>
      <x:c r="D56" s="75">
        <x:v>46</x:v>
      </x:c>
      <x:c r="E56" s="147" t="str">
        <x:f>IFERROR(HYPERLINK("#'Website Links'!A1","Open"),"Open")</x:f>
        <x:v>Open</x:v>
      </x:c>
    </x:row>
    <x:row r="57">
      <x:c r="A57" s="75"/>
      <x:c r="B57" s="75" t="s">
        <x:v>67</x:v>
      </x:c>
      <x:c r="C57" s="75" t="s">
        <x:v>68</x:v>
      </x:c>
      <x:c r="D57" s="75">
        <x:v>47</x:v>
      </x:c>
      <x:c r="E57" s="147" t="str">
        <x:f>IFERROR(HYPERLINK("#'Verification Coverage'!A1","Open"),"Open")</x:f>
        <x:v>Open</x:v>
      </x:c>
    </x:row>
    <x:row r="58">
      <x:c r="A58" s="75"/>
      <x:c r="B58" s="75" t="s">
        <x:v>69</x:v>
      </x:c>
      <x:c r="C58" s="75" t="s">
        <x:v>15</x:v>
      </x:c>
      <x:c r="D58" s="75">
        <x:v>48</x:v>
      </x:c>
      <x:c r="E58" s="147" t="str">
        <x:f>IFERROR(HYPERLINK("#'Subreddit Discovery'!A1","Open"),"Open")</x:f>
        <x:v>Open</x:v>
      </x:c>
    </x:row>
    <x:row r="59" ht="22" customHeight="1">
      <x:c r="A59" s="139" t="str">
        <x:v>08 — Canonical Data</x:v>
      </x:c>
      <x:c r="B59" s="139"/>
      <x:c r="C59" s="139"/>
      <x:c r="D59" s="139"/>
      <x:c r="E59" s="139"/>
    </x:row>
    <x:row r="60">
      <x:c r="A60" s="75"/>
      <x:c r="B60" s="75" t="str">
        <x:v>Master</x:v>
      </x:c>
      <x:c r="C60" s="75" t="str">
        <x:v>Canonical source-of-truth responses used by the comparison sheets.</x:v>
      </x:c>
      <x:c r="D60" s="75" t="n">
        <x:v>49</x:v>
      </x:c>
      <x:c r="E60" s="75" t="str">
        <x:f>IFERROR(HYPERLINK("#'Master'!A1","Open"),"Open")</x:f>
        <x:v>Open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4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v>At a Glance — Last verified: 2026-09-16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3.100000381469727" customHeight="1">
      <x:c r="A3" s="135" t="str">
        <x:v>Executive Summary</x:v>
      </x:c>
      <x:c r="B3" s="102" t="str">
        <x:f>IF('Master'!C3="","",'Master'!C3)</x:f>
      </x:c>
      <x:c r="C3" s="102" t="str">
        <x:f>IF('Master'!D3="","",'Master'!D3)</x:f>
      </x:c>
      <x:c r="D3" s="102" t="str">
        <x:f>IF('Master'!E3="","",'Master'!E3)</x:f>
      </x:c>
      <x:c r="E3" s="102" t="str">
        <x:f>IF('Master'!F3="","",'Master'!F3)</x:f>
      </x:c>
      <x:c r="F3" s="102" t="str">
        <x:f>IF('Master'!G3="","",'Master'!G3)</x:f>
      </x:c>
      <x:c r="G3" s="102" t="str">
        <x:f>IF('Master'!H3="","",'Master'!H3)</x:f>
      </x:c>
      <x:c r="H3" s="102" t="str">
        <x:f>IF('Master'!I3="","",'Master'!I3)</x:f>
      </x:c>
      <x:c r="I3" s="102" t="str">
        <x:f>IF('Master'!J3="","",'Master'!J3)</x:f>
      </x:c>
      <x:c r="J3" s="102" t="str">
        <x:f>IF('Master'!K3="","",'Master'!K3)</x:f>
      </x:c>
      <x:c r="K3" s="102" t="str">
        <x:f>IF('Master'!L3="","",'Master'!L3)</x:f>
        <x:v>Core Discord-style messaging is implemented; public docs add federation-aware search, private media storage and moderation/audit behavior</x:v>
      </x:c>
      <x:c r="L3" s="102" t="str">
        <x:f>IF('Master'!M3="","",'Master'!M3)</x:f>
      </x:c>
      <x:c r="M3" s="102" t="str">
        <x:f>IF('Master'!N3="","",'Master'!N3)</x:f>
      </x:c>
      <x:c r="N3" s="102" t="str">
        <x:f>IF('Master'!O3="","",'Master'!O3)</x:f>
      </x:c>
      <x:c r="O3" s="102" t="str">
        <x:f>IF('Master'!P3="","",'Master'!P3)</x:f>
      </x:c>
      <x:c r="P3" s="102" t="str">
        <x:f>IF('Master'!Q3="","",'Master'!Q3)</x:f>
      </x:c>
      <x:c r="Q3" s="102" t="str">
        <x:f>IF('Master'!R3="","",'Master'!R3)</x:f>
      </x:c>
      <x:c r="R3" s="102" t="str">
        <x:f>IF('Master'!S3="","",'Master'!S3)</x:f>
      </x:c>
      <x:c r="S3" s="102" t="str">
        <x:f>IF('Master'!T3="","",'Master'!T3)</x:f>
      </x:c>
      <x:c r="T3" s="102" t="str">
        <x:f>IF('Master'!U3="","",'Master'!U3)</x:f>
      </x:c>
      <x:c r="U3" s="102" t="str">
        <x:f>IF('Master'!V3="","",'Master'!V3)</x:f>
      </x:c>
      <x:c r="V3" s="102" t="str">
        <x:f>IF('Master'!W3="","",'Master'!W3)</x:f>
      </x:c>
      <x:c r="W3" s="102" t="str">
        <x:f>IF('Master'!X3="","",'Master'!X3)</x:f>
      </x:c>
      <x:c r="X3" s="102" t="str">
        <x:f>IF('Master'!Y3="","",'Master'!Y3)</x:f>
      </x:c>
      <x:c r="Y3" s="102" t="str">
        <x:f>IF('Master'!Z3="","",'Master'!Z3)</x:f>
      </x:c>
      <x:c r="Z3" s="102" t="str">
        <x:f>IF('Master'!AA3="","",'Master'!AA3)</x:f>
      </x:c>
      <x:c r="AA3" s="103" t="str">
        <x:f>IF('Master'!AB3="","",'Master'!AB3)</x:f>
      </x:c>
      <x:c r="AB3" s="102" t="str">
        <x:f>IF('Master'!AC3="","",'Master'!AC3)</x:f>
      </x:c>
      <x:c r="AC3" s="102" t="str">
        <x:f>IF('Master'!AD3="","",'Master'!AD3)</x:f>
      </x:c>
      <x:c r="AD3" s="102" t="str">
        <x:f>IF('Master'!AE3="","",'Master'!AE3)</x:f>
      </x:c>
      <x:c r="AE3" s="102" t="str">
        <x:f>IF('Master'!AF3="","",'Master'!AF3)</x:f>
      </x:c>
      <x:c r="AF3" s="75" t="str">
        <x:f>IF('Master'!AG3="","",'Master'!AG3)</x:f>
      </x:c>
    </x:row>
    <x:row r="4" ht="36" customHeight="1">
      <x:c r="A4" s="135" t="str">
        <x:v>Inception Date</x:v>
      </x:c>
      <x:c r="B4" s="100" t="str">
        <x:f>IF('Master'!C580="","",'Master'!C580)</x:f>
        <x:v>May 2015</x:v>
      </x:c>
      <x:c r="C4" s="100" t="str">
        <x:f>IF('Master'!D580="","",'Master'!D580)</x:f>
        <x:v>2026-era project</x:v>
      </x:c>
      <x:c r="D4" s="100" t="str">
        <x:f>IF('Master'!E580="","",'Master'!E580)</x:f>
        <x:v>2023</x:v>
      </x:c>
      <x:c r="E4" s="100" t="str">
        <x:f>IF('Master'!F580="","",'Master'!F580)</x:f>
        <x:v>2026</x:v>
      </x:c>
      <x:c r="F4" s="100" t="str">
        <x:f>IF('Master'!G580="","",'Master'!G580)</x:f>
        <x:v>November 2025</x:v>
      </x:c>
      <x:c r="G4" s="100" t="str">
        <x:f>IF('Master'!H580="","",'Master'!H580)</x:f>
        <x:v>2020</x:v>
      </x:c>
      <x:c r="H4" s="100" t="str">
        <x:f>IF('Master'!I580="","",'Master'!I580)</x:f>
        <x:v>2026 ground-up rebuild</x:v>
      </x:c>
      <x:c r="I4" s="100" t="str">
        <x:f>IF('Master'!J580="","",'Master'!J580)</x:f>
        <x:v>2026 fork era</x:v>
      </x:c>
      <x:c r="J4" s="100" t="str">
        <x:f>IF('Master'!K580="","",'Master'!K580)</x:f>
        <x:v>2026-era public project</x:v>
      </x:c>
      <x:c r="K4" s="100" t="str">
        <x:f>IF('Master'!L580="","",'Master'!L580)</x:f>
        <x:v>≈ late 2025 (developer report: private use for nearly a year as of Sep 2026)</x:v>
      </x:c>
      <x:c r="L4" s="100" t="str">
        <x:f>IF('Master'!M580="","",'Master'!M580)</x:f>
      </x:c>
      <x:c r="M4" s="100" t="str">
        <x:f>IF('Master'!N580="","",'Master'!N580)</x:f>
        <x:v>2026-era project</x:v>
      </x:c>
      <x:c r="N4" s="100" t="str">
        <x:f>IF('Master'!O580="","",'Master'!O580)</x:f>
        <x:v>2014</x:v>
      </x:c>
      <x:c r="O4" s="100" t="str">
        <x:f>IF('Master'!P580="","",'Master'!P580)</x:f>
        <x:v>2015</x:v>
      </x:c>
      <x:c r="P4" s="100" t="str">
        <x:f>IF('Master'!Q580="","",'Master'!Q580)</x:f>
      </x:c>
      <x:c r="Q4" s="100" t="str">
        <x:f>IF('Master'!R580="","",'Master'!R580)</x:f>
        <x:v>2005</x:v>
      </x:c>
      <x:c r="R4" s="100" t="str">
        <x:f>IF('Master'!S580="","",'Master'!S580)</x:f>
      </x:c>
      <x:c r="S4" s="100" t="str">
        <x:f>IF('Master'!T580="","",'Master'!T580)</x:f>
        <x:v>Summer 2024</x:v>
      </x:c>
      <x:c r="T4" s="100" t="str">
        <x:f>IF('Master'!U580="","",'Master'!U580)</x:f>
        <x:v>Young open beta; exact first-commit date is available in the GitHub history</x:v>
      </x:c>
      <x:c r="U4" s="100" t="str">
        <x:f>IF('Master'!V580="","",'Master'!V580)</x:f>
        <x:v>2026</x:v>
      </x:c>
      <x:c r="V4" s="100" t="str">
        <x:f>IF('Master'!W580="","",'Master'!W580)</x:f>
        <x:v>2015</x:v>
      </x:c>
      <x:c r="W4" s="100" t="str">
        <x:f>IF('Master'!X580="","",'Master'!X580)</x:f>
      </x:c>
      <x:c r="X4" s="100" t="str">
        <x:f>IF('Master'!Y580="","",'Master'!Y580)</x:f>
      </x:c>
      <x:c r="Y4" s="100" t="str">
        <x:f>IF('Master'!Z580="","",'Master'!Z580)</x:f>
        <x:v>2021 (as Fosscord/Spacebar project era)</x:v>
      </x:c>
      <x:c r="Z4" s="100" t="str">
        <x:f>IF('Master'!AA580="","",'Master'!AA580)</x:f>
        <x:v>2021 (as Revolt; rebranded Stoat in 2025)</x:v>
      </x:c>
      <x:c r="AA4" s="104" t="str">
        <x:f>IF('Master'!AB580="","",'Master'!AB580)</x:f>
        <x:v>1999 project origin</x:v>
      </x:c>
      <x:c r="AB4" s="100" t="str">
        <x:f>IF('Master'!AC580="","",'Master'!AC580)</x:f>
      </x:c>
      <x:c r="AC4" s="100" t="str">
        <x:f>IF('Master'!AD580="","",'Master'!AD580)</x:f>
        <x:v>Early 2026</x:v>
      </x:c>
      <x:c r="AD4" s="100" t="str">
        <x:f>IF('Master'!AE580="","",'Master'!AE580)</x:f>
        <x:v>~2025</x:v>
      </x:c>
      <x:c r="AE4" s="100" t="str">
        <x:f>IF('Master'!AF580="","",'Master'!AF580)</x:f>
        <x:v>2026-era project</x:v>
      </x:c>
      <x:c r="AF4" s="75" t="str">
        <x:f>IF('Master'!AG580="","",'Master'!AG580)</x:f>
        <x:v>2012</x:v>
      </x:c>
    </x:row>
    <x:row r="5" ht="36" customHeight="1">
      <x:c r="A5" s="135" t="str">
        <x:v>Current State (α / β / Stable)</x:v>
      </x:c>
      <x:c r="B5" s="100" t="str">
        <x:f>IF('Master'!C583="","",'Master'!C583)</x:f>
        <x:v>Stable</x:v>
      </x:c>
      <x:c r="C5" s="100" t="str">
        <x:f>IF('Master'!D583="","",'Master'!D583)</x:f>
        <x:v>Beta / active development</x:v>
      </x:c>
      <x:c r="D5" s="100" t="str">
        <x:f>IF('Master'!E583="","",'Master'!E583)</x:f>
        <x:v>Beta / active development</x:v>
      </x:c>
      <x:c r="E5" s="100" t="str">
        <x:f>IF('Master'!F583="","",'Master'!F583)</x:f>
        <x:v>Beta / public</x:v>
      </x:c>
      <x:c r="F5" s="100" t="str">
        <x:f>IF('Master'!G583="","",'Master'!G583)</x:f>
        <x:v>Alpha</x:v>
      </x:c>
      <x:c r="G5" s="100" t="str">
        <x:f>IF('Master'!H583="","",'Master'!H583)</x:f>
        <x:v>Public Beta</x:v>
      </x:c>
      <x:c r="H5" s="100" t="str">
        <x:f>IF('Master'!I583="","",'Master'!I583)</x:f>
        <x:v>Open Beta</x:v>
      </x:c>
      <x:c r="I5" s="100" t="str">
        <x:f>IF('Master'!J583="","",'Master'!J583)</x:f>
        <x:v>Active development; core text/voice/DMs/roles/moderation live</x:v>
      </x:c>
      <x:c r="J5" s="100" t="str">
        <x:f>IF('Master'!K583="","",'Master'!K583)</x:f>
        <x:v>Alpha / Beta</x:v>
      </x:c>
      <x:c r="K5" s="100" t="str">
        <x:f>IF('Master'!L583="","",'Master'!L583)</x:f>
        <x:v>Pre-launch / active development</x:v>
      </x:c>
      <x:c r="L5" s="100" t="str">
        <x:f>IF('Master'!M583="","",'Master'!M583)</x:f>
        <x:v>Alpha</x:v>
      </x:c>
      <x:c r="M5" s="100" t="str">
        <x:f>IF('Master'!N583="","",'Master'!N583)</x:f>
        <x:v>Open Beta</x:v>
      </x:c>
      <x:c r="N5" s="100" t="str">
        <x:f>IF('Master'!O583="","",'Master'!O583)</x:f>
        <x:v>Stable open standard (spec v1.x)</x:v>
      </x:c>
      <x:c r="O5" s="100" t="str">
        <x:f>IF('Master'!P583="","",'Master'!P583)</x:f>
        <x:v>Stable</x:v>
      </x:c>
      <x:c r="P5" s="100" t="str">
        <x:f>IF('Master'!Q583="","",'Master'!Q583)</x:f>
        <x:v>Stable/public</x:v>
      </x:c>
      <x:c r="Q5" s="100" t="str">
        <x:f>IF('Master'!R583="","",'Master'!R583)</x:f>
        <x:v>Stable</x:v>
      </x:c>
      <x:c r="R5" s="100" t="str">
        <x:f>IF('Master'!S583="","",'Master'!S583)</x:f>
        <x:v>Stable/public</x:v>
      </x:c>
      <x:c r="S5" s="100" t="str">
        <x:f>IF('Master'!T583="","",'Master'!T583)</x:f>
        <x:v>Public Beta</x:v>
      </x:c>
      <x:c r="T5" s="100" t="str">
        <x:f>IF('Master'!U583="","",'Master'!U583)</x:f>
        <x:v>Open beta</x:v>
      </x:c>
      <x:c r="U5" s="100" t="str">
        <x:f>IF('Master'!V583="","",'Master'!V583)</x:f>
        <x:v>Stable/public</x:v>
      </x:c>
      <x:c r="V5" s="100" t="str">
        <x:f>IF('Master'!W583="","",'Master'!W583)</x:f>
        <x:v>Stable</x:v>
      </x:c>
      <x:c r="W5" s="100" t="str">
        <x:f>IF('Master'!X583="","",'Master'!X583)</x:f>
        <x:v>Alpha / experimental</x:v>
      </x:c>
      <x:c r="X5" s="100" t="str">
        <x:f>IF('Master'!Y583="","",'Master'!Y583)</x:f>
        <x:v>Beta</x:v>
      </x:c>
      <x:c r="Y5" s="100" t="str">
        <x:f>IF('Master'!Z583="","",'Master'!Z583)</x:f>
        <x:v>Alpha / WIP</x:v>
      </x:c>
      <x:c r="Z5" s="100" t="str">
        <x:f>IF('Master'!AA583="","",'Master'!AA583)</x:f>
        <x:v>Beta / pre-1.0</x:v>
      </x:c>
      <x:c r="AA5" s="104" t="str">
        <x:f>IF('Master'!AB583="","",'Master'!AB583)</x:f>
        <x:v>TS6 Beta; TS3 stable</x:v>
      </x:c>
      <x:c r="AB5" s="100" t="str">
        <x:f>IF('Master'!AC583="","",'Master'!AC583)</x:f>
        <x:v>Alpha</x:v>
      </x:c>
      <x:c r="AC5" s="100" t="str">
        <x:f>IF('Master'!AD583="","",'Master'!AD583)</x:f>
        <x:v>Alpha / Beta</x:v>
      </x:c>
      <x:c r="AD5" s="100" t="str">
        <x:f>IF('Master'!AE583="","",'Master'!AE583)</x:f>
        <x:v>Public Beta</x:v>
      </x:c>
      <x:c r="AE5" s="100" t="str">
        <x:f>IF('Master'!AF583="","",'Master'!AF583)</x:f>
        <x:v>Beta</x:v>
      </x:c>
      <x:c r="AF5" s="75" t="str">
        <x:f>IF('Master'!AG583="","",'Master'!AG583)</x:f>
        <x:v>Stable</x:v>
      </x:c>
    </x:row>
    <x:row r="6" ht="36" customHeight="1">
      <x:c r="A6" s="135" t="str">
        <x:v>Hosting Architecture</x:v>
      </x:c>
      <x:c r="B6" s="100" t="str">
        <x:f>IF('Master'!C340="","",'Master'!C340)</x:f>
        <x:v>Centralized cloud service</x:v>
      </x:c>
      <x:c r="C6" s="100" t="str">
        <x:f>IF('Master'!D340="","",'Master'!D340)</x:f>
        <x:v>Decentralized Nostr-based communities; hosted app available; client, relay and LiveKit voice are self-hostable</x:v>
      </x:c>
      <x:c r="D6" s="100" t="str">
        <x:f>IF('Master'!E340="","",'Master'!E340)</x:f>
        <x:v>Self-hosted only; decentralized home-server messenger</x:v>
      </x:c>
      <x:c r="E6" s="100" t="str">
        <x:f>IF('Master'!F340="","",'Master'!F340)</x:f>
        <x:v>Centralized hosted service</x:v>
      </x:c>
      <x:c r="F6" s="100" t="str">
        <x:f>IF('Master'!G340="","",'Master'!G340)</x:f>
        <x:v>Centralized hosted-first service</x:v>
      </x:c>
      <x:c r="G6" s="100" t="str">
        <x:f>IF('Master'!H340="","",'Master'!H340)</x:f>
        <x:v>Hosted service + self-hostable independent instances</x:v>
      </x:c>
      <x:c r="H6" s="100" t="str">
        <x:f>IF('Master'!I340="","",'Master'!I340)</x:f>
        <x:v>Hosted + self-hosted</x:v>
      </x:c>
      <x:c r="I6" s="100" t="str">
        <x:f>IF('Master'!J340="","",'Master'!J340)</x:f>
        <x:v>Hosted service + self-hostable open-source deployment</x:v>
      </x:c>
      <x:c r="J6" s="100" t="str">
        <x:f>IF('Master'!K340="","",'Master'!K340)</x:f>
        <x:v>Distributed local-first relay-based; self-hostable relay</x:v>
      </x:c>
      <x:c r="K6" s="100" t="str">
        <x:f>IF('Master'!L340="","",'Master'!L340)</x:f>
        <x:v>Federated + self-hosted; official kaede.chat home instance also exists</x:v>
      </x:c>
      <x:c r="L6" s="100" t="str">
        <x:f>IF('Master'!M340="","",'Master'!M340)</x:f>
        <x:v>Centralized hosted service</x:v>
      </x:c>
      <x:c r="M6" s="100" t="str">
        <x:f>IF('Master'!N340="","",'Master'!N340)</x:f>
        <x:v>Hosted + self-hosting option; federation-oriented</x:v>
      </x:c>
      <x:c r="N6" s="100" t="str">
        <x:f>IF('Master'!O340="","",'Master'!O340)</x:f>
        <x:v>Federated protocol/ecosystem; self-hosted or hosted homeservers</x:v>
      </x:c>
      <x:c r="O6" s="100" t="str">
        <x:f>IF('Master'!P340="","",'Master'!P340)</x:f>
        <x:v>Cloud + self-hosted/on-prem standalone workspaces</x:v>
      </x:c>
      <x:c r="P6" s="100" t="str">
        <x:f>IF('Master'!Q340="","",'Master'!Q340)</x:f>
      </x:c>
      <x:c r="Q6" s="100" t="str">
        <x:f>IF('Master'!R340="","",'Master'!R340)</x:f>
        <x:v>Self-hosted client-server; third-party hosted servers available</x:v>
      </x:c>
      <x:c r="R6" s="100" t="str">
        <x:f>IF('Master'!S340="","",'Master'!S340)</x:f>
        <x:v>Centralized hosted service; technically self-hostable but not intended/supported</x:v>
      </x:c>
      <x:c r="S6" s="100" t="str">
        <x:f>IF('Master'!T340="","",'Master'!T340)</x:f>
        <x:v>Centralized globally distributed/regional service</x:v>
      </x:c>
      <x:c r="T6" s="100" t="str">
        <x:f>IF('Master'!U340="","",'Master'!U340)</x:f>
        <x:v>Centralized hosted (Fly.io API in São Paulo + Cloudflare Pages SPA) + self-hostable</x:v>
      </x:c>
      <x:c r="U6" s="100" t="str">
        <x:f>IF('Master'!V340="","",'Master'!V340)</x:f>
        <x:v>Centralized hosted service</x:v>
      </x:c>
      <x:c r="V6" s="100" t="str">
        <x:f>IF('Master'!W340="","",'Master'!W340)</x:f>
        <x:v>Cloud + self-hosted/on-prem; optional federation</x:v>
      </x:c>
      <x:c r="W6" s="100" t="str">
        <x:f>IF('Master'!X340="","",'Master'!X340)</x:f>
        <x:v>ATProto/Bluesky-connected distributed application</x:v>
      </x:c>
      <x:c r="X6" s="100" t="str">
        <x:f>IF('Master'!Y340="","",'Master'!Y340)</x:f>
        <x:v>Centralized hosted service</x:v>
      </x:c>
      <x:c r="Y6" s="100" t="str">
        <x:f>IF('Master'!Z340="","",'Master'!Z340)</x:f>
        <x:v>Self-hosted independent Discord-compatible service</x:v>
      </x:c>
      <x:c r="Z6" s="100" t="str">
        <x:f>IF('Master'!AA340="","",'Master'!AA340)</x:f>
        <x:v>Hosted service + self-hostable independent instances</x:v>
      </x:c>
      <x:c r="AA6" s="104" t="str">
        <x:f>IF('Master'!AB340="","",'Master'!AB340)</x:f>
        <x:v>Self-hosted/hosted client-server</x:v>
      </x:c>
      <x:c r="AB6" s="100" t="str">
        <x:f>IF('Master'!AC340="","",'Master'!AC340)</x:f>
        <x:v>Hosted + self-hostable node-based platform</x:v>
      </x:c>
      <x:c r="AC6" s="100" t="str">
        <x:f>IF('Master'!AD340="","",'Master'!AD340)</x:f>
        <x:v>Hosted now; self-hosting/federation being built</x:v>
      </x:c>
      <x:c r="AD6" s="100" t="str">
        <x:f>IF('Master'!AE340="","",'Master'!AE340)</x:f>
        <x:v>Centralized hosted platform</x:v>
      </x:c>
      <x:c r="AE6" s="100" t="str">
        <x:f>IF('Master'!AF340="","",'Master'!AF340)</x:f>
        <x:v>Self-hosted first + optional managed hosting</x:v>
      </x:c>
      <x:c r="AF6" s="75" t="str">
        <x:f>IF('Master'!AG340="","",'Master'!AG340)</x:f>
        <x:v>Hosted cloud + self-hosted standalone servers</x:v>
      </x:c>
    </x:row>
    <x:row r="7" ht="36" customHeight="1">
      <x:c r="A7" s="135" t="str">
        <x:v>Client / Server License</x:v>
      </x:c>
      <x:c r="B7" s="100" t="str">
        <x:f>IF('Master'!C4="","",'Master'!C4)</x:f>
        <x:v>Proprietary / Proprietary</x:v>
      </x:c>
      <x:c r="C7" s="100" t="str">
        <x:f>IF('Master'!D4="","",'Master'!D4)</x:f>
        <x:v>FOSS (AGPL-3.0) / FOSS (AGPL-3.0 components)</x:v>
      </x:c>
      <x:c r="D7" s="100" t="str">
        <x:f>IF('Master'!E4="","",'Master'!E4)</x:f>
        <x:v>FOSS AGPL-3.0 / FOSS AGPL-3.0</x:v>
      </x:c>
      <x:c r="E7" s="100" t="str">
        <x:f>IF('Master'!F4="","",'Master'!F4)</x:f>
        <x:v>Proprietary / Proprietary Rust backend</x:v>
      </x:c>
      <x:c r="F7" s="100" t="str">
        <x:f>IF('Master'!G4="","",'Master'!G4)</x:f>
        <x:v>Proprietary during alpha; open-source release planned / Proprietary during alpha; open-source release planned</x:v>
      </x:c>
      <x:c r="G7" s="100" t="str">
        <x:f>IF('Master'!H4="","",'Master'!H4)</x:f>
        <x:v>FOSS (AGPL-3.0) / FOSS (AGPL-3.0)</x:v>
      </x:c>
      <x:c r="H7" s="100" t="str">
        <x:f>IF('Master'!I4="","",'Master'!I4)</x:f>
        <x:v>Proprietary / Proprietary</x:v>
      </x:c>
      <x:c r="I7" s="100" t="str">
        <x:f>IF('Master'!J4="","",'Master'!J4)</x:f>
        <x:v>FOSS (AGPL-3.0) / FOSS (AGPL-3.0)</x:v>
      </x:c>
      <x:c r="J7" s="100" t="str">
        <x:f>IF('Master'!K4="","",'Master'!K4)</x:f>
        <x:v>Open source / Open source relay/server</x:v>
      </x:c>
      <x:c r="K7" s="100" t="str">
        <x:f>IF('Master'!L4="","",'Master'!L4)</x:f>
        <x:v>MIT</x:v>
      </x:c>
      <x:c r="L7" s="100" t="str">
        <x:f>IF('Master'!M4="","",'Master'!M4)</x:f>
        <x:v>Proprietary / Proprietary</x:v>
      </x:c>
      <x:c r="M7" s="100" t="str">
        <x:f>IF('Master'!N4="","",'Master'!N4)</x:f>
      </x:c>
      <x:c r="N7" s="100" t="str">
        <x:f>IF('Master'!O4="","",'Master'!O4)</x:f>
        <x:v>Varies by client; many FOSS (e.g., Element, Element X, Cinny) / Varies by homeserver; Synapse is AGPLv3/commercial dual model</x:v>
      </x:c>
      <x:c r="O7" s="100" t="str">
        <x:f>IF('Master'!P4="","",'Master'!P4)</x:f>
        <x:v>FOSS/open-source clients; exact repo license varies / Open source Team Edition / AGPL-source plus commercial Enterprise editions</x:v>
      </x:c>
      <x:c r="P7" s="100" t="str">
        <x:f>IF('Master'!Q4="","",'Master'!Q4)</x:f>
        <x:v>Open-source client code / Open-source server stack/components</x:v>
      </x:c>
      <x:c r="Q7" s="100" t="str">
        <x:f>IF('Master'!R4="","",'Master'!R4)</x:f>
        <x:v>FOSS (BSD-style / BSD-3-Clause) / FOSS (BSD-style / BSD-3-Clause)</x:v>
      </x:c>
      <x:c r="R7" s="100" t="str">
        <x:f>IF('Master'!S4="","",'Master'!S4)</x:f>
        <x:v>FOSS GPL-family components / FOSS GPL-3.0 server/web components</x:v>
      </x:c>
      <x:c r="S7" s="100" t="str">
        <x:f>IF('Master'!T4="","",'Master'!T4)</x:f>
      </x:c>
      <x:c r="T7" s="100" t="str">
        <x:f>IF('Master'!U4="","",'Master'!U4)</x:f>
        <x:v>AGPL-3.0 / AGPL-3.0</x:v>
      </x:c>
      <x:c r="U7" s="100" t="str">
        <x:f>IF('Master'!V4="","",'Master'!V4)</x:f>
        <x:v>Proprietary / Proprietary</x:v>
      </x:c>
      <x:c r="V7" s="100" t="str">
        <x:f>IF('Master'!W4="","",'Master'!W4)</x:f>
        <x:v>FOSS core client; MIT components / enterprise extensions / FOSS core (MIT) + enterprise-licensed portions</x:v>
      </x:c>
      <x:c r="W7" s="100" t="str">
        <x:f>IF('Master'!X4="","",'Master'!X4)</x:f>
        <x:v>MPL-2.0 project / MPL-2.0 project/server components</x:v>
      </x:c>
      <x:c r="X7" s="100" t="str">
        <x:f>IF('Master'!Y4="","",'Master'!Y4)</x:f>
        <x:v>Proprietary / Proprietary</x:v>
      </x:c>
      <x:c r="Y7" s="100" t="str">
        <x:f>IF('Master'!Z4="","",'Master'!Z4)</x:f>
        <x:v>FOSS (AGPL-3.0 project components) / FOSS (AGPL-3.0)</x:v>
      </x:c>
      <x:c r="Z7" s="100" t="str">
        <x:f>IF('Master'!AA4="","",'Master'!AA4)</x:f>
        <x:v>FOSS (web client AGPL-3.0; clients vary) / FOSS (backend generally AGPL-3.0)</x:v>
      </x:c>
      <x:c r="AA7" s="104" t="str">
        <x:f>IF('Master'!AB4="","",'Master'!AB4)</x:f>
        <x:v>Proprietary / Proprietary</x:v>
      </x:c>
      <x:c r="AB7" s="100" t="str">
        <x:f>IF('Master'!AC4="","",'Master'!AC4)</x:f>
        <x:v>AGPL-3.0 / AGPL-3.0</x:v>
      </x:c>
      <x:c r="AC7" s="100" t="str">
        <x:f>IF('Master'!AD4="","",'Master'!AD4)</x:f>
        <x:v>Client source planned; not yet fully public / Backend source public</x:v>
      </x:c>
      <x:c r="AD7" s="100" t="str">
        <x:f>IF('Master'!AE4="","",'Master'!AE4)</x:f>
        <x:v>Source-available (Elastic 2.0); self-host allowed subject to license</x:v>
      </x:c>
      <x:c r="AE7" s="100" t="str">
        <x:f>IF('Master'!AF4="","",'Master'!AF4)</x:f>
      </x:c>
      <x:c r="AF7" s="75" t="str">
        <x:f>IF('Master'!AG4="","",'Master'!AG4)</x:f>
        <x:v>FOSS (Apache-2.0) / FOSS (Apache-2.0 server/web app)</x:v>
      </x:c>
    </x:row>
    <x:row r="8" ht="36" customHeight="1">
      <x:c r="A8" s="135" t="str">
        <x:v>Default E2EE (DMs)</x:v>
      </x:c>
      <x:c r="B8" s="100" t="str">
        <x:f>IF('Master'!C5="","",'Master'!C5)</x:f>
        <x:v>No for text DMs; DM voice/video calls are E2EE</x:v>
      </x:c>
      <x:c r="C8" s="100" t="str">
        <x:f>IF('Master'!D5="","",'Master'!D5)</x:f>
        <x:v>Yes — E2EE community/DM design</x:v>
      </x:c>
      <x:c r="D8" s="100" t="str">
        <x:f>IF('Master'!E5="","",'Master'!E5)</x:f>
        <x:v>Yes — desktop server DMs can be E2EE; decentralized messenger always E2EE</x:v>
      </x:c>
      <x:c r="E8" s="100" t="str">
        <x:f>IF('Master'!F5="","",'Master'!F5)</x:f>
        <x:v>No E2EE text claim</x:v>
      </x:c>
      <x:c r="F8" s="100" t="str">
        <x:f>IF('Master'!G5="","",'Master'!G5)</x:f>
        <x:v>Yes — DM text E2EE by default</x:v>
      </x:c>
      <x:c r="G8" s="100" t="str">
        <x:f>IF('Master'!H5="","",'Master'!H5)</x:f>
        <x:v>No — latest 2026 privacy policy says nothing is E2EE yet</x:v>
      </x:c>
      <x:c r="H8" s="100" t="str">
        <x:f>IF('Master'!I5="","",'Master'!I5)</x:f>
        <x:v>No text E2EE claim</x:v>
      </x:c>
      <x:c r="I8" s="100" t="str">
        <x:f>IF('Master'!J5="","",'Master'!J5)</x:f>
        <x:v>Yes — direct-message E2EE live (vodozemac)</x:v>
      </x:c>
      <x:c r="J8" s="100" t="str">
        <x:f>IF('Master'!K5="","",'Master'!K5)</x:f>
        <x:v>Yes</x:v>
      </x:c>
      <x:c r="K8" s="100" t="str">
        <x:f>IF('Master'!L5="","",'Master'!L5)</x:f>
        <x:v>Optional MLS 1.0; not default</x:v>
      </x:c>
      <x:c r="L8" s="100" t="str">
        <x:f>IF('Master'!M5="","",'Master'!M5)</x:f>
        <x:v>E2EE not yet verified/currently WIP</x:v>
      </x:c>
      <x:c r="M8" s="100" t="str">
        <x:f>IF('Master'!N5="","",'Master'!N5)</x:f>
        <x:v>Eligible content only — app displays E2EE status</x:v>
      </x:c>
      <x:c r="N8" s="100" t="str">
        <x:f>IF('Master'!O5="","",'Master'!O5)</x:f>
        <x:v>Supported by Matrix E2EE; default behavior is client-dependent</x:v>
      </x:c>
      <x:c r="O8" s="100" t="str">
        <x:f>IF('Master'!P5="","",'Master'!P5)</x:f>
        <x:v>No native E2EE for server-stored messages</x:v>
      </x:c>
      <x:c r="P8" s="100" t="str">
        <x:f>IF('Master'!Q5="","",'Master'!Q5)</x:f>
        <x:v>E2EE claimed</x:v>
      </x:c>
      <x:c r="Q8" s="100" t="str">
        <x:f>IF('Master'!R5="","",'Master'!R5)</x:f>
        <x:v>N/A — not a Discord-style persistent DM platform</x:v>
      </x:c>
      <x:c r="R8" s="100" t="str">
        <x:f>IF('Master'!S5="","",'Master'!S5)</x:f>
        <x:v>No public default E2EE verified</x:v>
      </x:c>
      <x:c r="S8" s="100" t="str">
        <x:f>IF('Master'!T5="","",'Master'!T5)</x:f>
        <x:v>No E2EE text claim</x:v>
      </x:c>
      <x:c r="T8" s="100" t="str">
        <x:f>IF('Master'!U5="","",'Master'!U5)</x:f>
        <x:v>No — not marketed as an E2EE product feature</x:v>
      </x:c>
      <x:c r="U8" s="100" t="str">
        <x:f>IF('Master'!V5="","",'Master'!V5)</x:f>
        <x:v>Yes — DM text E2EE (Signal-style X3DH/Double Ratchet)</x:v>
      </x:c>
      <x:c r="V8" s="100" t="str">
        <x:f>IF('Master'!W5="","",'Master'!W5)</x:f>
        <x:v>E2EE available for certain conversations but deployment/client constraints apply</x:v>
      </x:c>
      <x:c r="W8" s="100" t="str">
        <x:f>IF('Master'!X5="","",'Master'!X5)</x:f>
        <x:v>No E2EE chat claim verified</x:v>
      </x:c>
      <x:c r="X8" s="100" t="str">
        <x:f>IF('Master'!Y5="","",'Master'!Y5)</x:f>
        <x:v>No text E2EE disclosed</x:v>
      </x:c>
      <x:c r="Y8" s="100" t="str">
        <x:f>IF('Master'!Z5="","",'Master'!Z5)</x:f>
        <x:v>No documented default text E2EE</x:v>
      </x:c>
      <x:c r="Z8" s="100" t="str">
        <x:f>IF('Master'!AA5="","",'Master'!AA5)</x:f>
        <x:v>No default text E2EE verified</x:v>
      </x:c>
      <x:c r="AA8" s="104" t="str">
        <x:f>IF('Master'!AB5="","",'Master'!AB5)</x:f>
      </x:c>
      <x:c r="AB8" s="100" t="str">
        <x:f>IF('Master'!AC5="","",'Master'!AC5)</x:f>
        <x:v>No default E2EE claim</x:v>
      </x:c>
      <x:c r="AC8" s="100" t="str">
        <x:f>IF('Master'!AD5="","",'Master'!AD5)</x:f>
        <x:v>Default unencrypted; per-conversation E2EE planned/opt-in</x:v>
      </x:c>
      <x:c r="AD8" s="100" t="str">
        <x:f>IF('Master'!AE5="","",'Master'!AE5)</x:f>
        <x:v>No E2EE text claim</x:v>
      </x:c>
      <x:c r="AE8" s="100" t="str">
        <x:f>IF('Master'!AF5="","",'Master'!AF5)</x:f>
        <x:v>Server/operator controlled; E2EE not claimed</x:v>
      </x:c>
      <x:c r="AF8" s="75" t="str">
        <x:f>IF('Master'!AG5="","",'Master'!AG5)</x:f>
        <x:v>No native E2EE for server-stored chat</x:v>
      </x:c>
    </x:row>
    <x:row r="9" ht="36" customHeight="1">
      <x:c r="A9" s="135" t="str">
        <x:v>Default E2EE (Channels)</x:v>
      </x:c>
      <x:c r="B9" s="100" t="str">
        <x:f>IF('Master'!C6="","",'Master'!C6)</x:f>
        <x:v>No for text channels/rooms; voice/video channels are E2EE except Stage</x:v>
      </x:c>
      <x:c r="C9" s="100" t="str">
        <x:f>IF('Master'!D6="","",'Master'!D6)</x:f>
        <x:v>Yes — encrypted communities</x:v>
      </x:c>
      <x:c r="D9" s="100" t="str">
        <x:f>IF('Master'!E6="","",'Master'!E6)</x:f>
        <x:v>Server channels generally not E2EE</x:v>
      </x:c>
      <x:c r="E9" s="100" t="str">
        <x:f>IF('Master'!F6="","",'Master'!F6)</x:f>
        <x:v>No</x:v>
      </x:c>
      <x:c r="F9" s="100" t="str">
        <x:f>IF('Master'!G6="","",'Master'!G6)</x:f>
        <x:v>No — server/community text channels are plaintext to server</x:v>
      </x:c>
      <x:c r="G9" s="100" t="str">
        <x:f>IF('Master'!H6="","",'Master'!H6)</x:f>
        <x:v>No</x:v>
      </x:c>
      <x:c r="H9" s="100" t="str">
        <x:f>IF('Master'!I6="","",'Master'!I6)</x:f>
        <x:v>No channel text E2EE claim</x:v>
      </x:c>
      <x:c r="I9" s="100" t="str">
        <x:f>IF('Master'!J6="","",'Master'!J6)</x:f>
        <x:v>No channel E2EE claim; published E2EE is for DMs</x:v>
      </x:c>
      <x:c r="J9" s="100" t="str">
        <x:f>IF('Master'!K6="","",'Master'!K6)</x:f>
        <x:v>Encrypted private channels; public channels intentionally unencrypted</x:v>
      </x:c>
      <x:c r="K9" s="100" t="str">
        <x:f>IF('Master'!L6="","",'Master'!L6)</x:f>
        <x:v>Optional MLS 1.0; not default</x:v>
      </x:c>
      <x:c r="L9" s="100" t="str">
        <x:f>IF('Master'!M6="","",'Master'!M6)</x:f>
      </x:c>
      <x:c r="M9" s="100" t="str">
        <x:f>IF('Master'!N6="","",'Master'!N6)</x:f>
        <x:v>Eligible content only</x:v>
      </x:c>
      <x:c r="N9" s="100" t="str">
        <x:f>IF('Master'!O6="","",'Master'!O6)</x:f>
        <x:v>Supported for encrypted rooms; not every room is encrypted</x:v>
      </x:c>
      <x:c r="O9" s="100" t="str">
        <x:f>IF('Master'!P6="","",'Master'!P6)</x:f>
        <x:v>No</x:v>
      </x:c>
      <x:c r="P9" s="100" t="str">
        <x:f>IF('Master'!Q6="","",'Master'!Q6)</x:f>
      </x:c>
      <x:c r="Q9" s="100" t="str">
        <x:f>IF('Master'!R6="","",'Master'!R6)</x:f>
        <x:v>N/A</x:v>
      </x:c>
      <x:c r="R9" s="100" t="str">
        <x:f>IF('Master'!S6="","",'Master'!S6)</x:f>
        <x:v>No</x:v>
      </x:c>
      <x:c r="S9" s="100" t="str">
        <x:f>IF('Master'!T6="","",'Master'!T6)</x:f>
        <x:v>No</x:v>
      </x:c>
      <x:c r="T9" s="100" t="str">
        <x:f>IF('Master'!U6="","",'Master'!U6)</x:f>
        <x:v>No — not marketed as an E2EE product feature</x:v>
      </x:c>
      <x:c r="U9" s="100" t="str">
        <x:f>IF('Master'!V6="","",'Master'!V6)</x:f>
        <x:v>No — Shard/community channel text is encrypted at rest, not E2EE</x:v>
      </x:c>
      <x:c r="V9" s="100" t="str">
        <x:f>IF('Master'!W6="","",'Master'!W6)</x:f>
        <x:v>Encrypted rooms supported locally; federation docs note E2EE is not supported across federated servers</x:v>
      </x:c>
      <x:c r="W9" s="100" t="str">
        <x:f>IF('Master'!X6="","",'Master'!X6)</x:f>
        <x:v>No</x:v>
      </x:c>
      <x:c r="X9" s="100" t="str">
        <x:f>IF('Master'!Y6="","",'Master'!Y6)</x:f>
        <x:v>No text E2EE disclosed</x:v>
      </x:c>
      <x:c r="Y9" s="100" t="str">
        <x:f>IF('Master'!Z6="","",'Master'!Z6)</x:f>
        <x:v>No documented channel E2EE</x:v>
      </x:c>
      <x:c r="Z9" s="100" t="str">
        <x:f>IF('Master'!AA6="","",'Master'!AA6)</x:f>
        <x:v>No default channel E2EE</x:v>
      </x:c>
      <x:c r="AA9" s="104" t="str">
        <x:f>IF('Master'!AB6="","",'Master'!AB6)</x:f>
      </x:c>
      <x:c r="AB9" s="100" t="str">
        <x:f>IF('Master'!AC6="","",'Master'!AC6)</x:f>
        <x:v>No</x:v>
      </x:c>
      <x:c r="AC9" s="100" t="str">
        <x:f>IF('Master'!AD6="","",'Master'!AD6)</x:f>
      </x:c>
      <x:c r="AD9" s="100" t="str">
        <x:f>IF('Master'!AE6="","",'Master'!AE6)</x:f>
        <x:v>No</x:v>
      </x:c>
      <x:c r="AE9" s="100" t="str">
        <x:f>IF('Master'!AF6="","",'Master'!AF6)</x:f>
      </x:c>
      <x:c r="AF9" s="75" t="str">
        <x:f>IF('Master'!AG6="","",'Master'!AG6)</x:f>
        <x:v>No</x:v>
      </x:c>
    </x:row>
    <x:row r="10" ht="36" customHeight="1">
      <x:c r="A10" s="135" t="str">
        <x:v>Max Screen Share (Free Res/FPS)</x:v>
      </x:c>
      <x:c r="B10" s="100" t="str">
        <x:f>IF('Master'!C7="","",'Master'!C7)</x:f>
        <x:v>720p / 30 fps</x:v>
      </x:c>
      <x:c r="C10" s="100" t="str">
        <x:f>IF('Master'!D7="","",'Master'!D7)</x:f>
      </x:c>
      <x:c r="D10" s="100" t="str">
        <x:f>IF('Master'!E7="","",'Master'!E7)</x:f>
        <x:v>Up to 4K theoretical/configurable / Up to 60/120 depending docs/version</x:v>
      </x:c>
      <x:c r="E10" s="100" t="str">
        <x:f>IF('Master'!F7="","",'Master'!F7)</x:f>
      </x:c>
      <x:c r="F10" s="100" t="str">
        <x:f>IF('Master'!G7="","",'Master'!G7)</x:f>
      </x:c>
      <x:c r="G10" s="100" t="str">
        <x:f>IF('Master'!H7="","",'Master'!H7)</x:f>
        <x:v>720p / 30 fps</x:v>
      </x:c>
      <x:c r="H10" s="100" t="str">
        <x:f>IF('Master'!I7="","",'Master'!I7)</x:f>
        <x:v>1080p / 30 fps</x:v>
      </x:c>
      <x:c r="I10" s="100" t="str">
        <x:f>IF('Master'!J7="","",'Master'!J7)</x:f>
        <x:v>Not publicly claimed</x:v>
      </x:c>
      <x:c r="J10" s="100" t="str">
        <x:f>IF('Master'!K7="","",'Master'!K7)</x:f>
      </x:c>
      <x:c r="K10" s="100" t="str">
        <x:f>IF('Master'!L7="","",'Master'!L7)</x:f>
        <x:v>4K native Source preset at 30 FPS is publicly documented; browser Source has an 8K defensive bound. Developer questionnaire reported 4K60.</x:v>
      </x:c>
      <x:c r="L10" s="100" t="str">
        <x:f>IF('Master'!M7="","",'Master'!M7)</x:f>
      </x:c>
      <x:c r="M10" s="100" t="str">
        <x:f>IF('Master'!N7="","",'Master'!N7)</x:f>
      </x:c>
      <x:c r="N10" s="100" t="str">
        <x:f>IF('Master'!O7="","",'Master'!O7)</x:f>
        <x:v>Varies by client / Varies by client</x:v>
      </x:c>
      <x:c r="O10" s="100" t="str">
        <x:f>IF('Master'!P7="","",'Master'!P7)</x:f>
      </x:c>
      <x:c r="P10" s="100" t="str">
        <x:f>IF('Master'!Q7="","",'Master'!Q7)</x:f>
      </x:c>
      <x:c r="Q10" s="100" t="str">
        <x:f>IF('Master'!R7="","",'Master'!R7)</x:f>
        <x:v>N/A / N/A</x:v>
      </x:c>
      <x:c r="R10" s="100" t="str">
        <x:f>IF('Master'!S7="","",'Master'!S7)</x:f>
      </x:c>
      <x:c r="S10" s="100" t="str">
        <x:f>IF('Master'!T7="","",'Master'!T7)</x:f>
      </x:c>
      <x:c r="T10" s="100" t="str">
        <x:f>IF('Master'!U7="","",'Master'!U7)</x:f>
        <x:v>360p–1080p free; FPS not publicly claimed; browser tab audio; up to 4 presenters in big rooms</x:v>
      </x:c>
      <x:c r="U10" s="100" t="str">
        <x:f>IF('Master'!V7="","",'Master'!V7)</x:f>
        <x:v>1080p60 free; 1440p60 with Rift+</x:v>
      </x:c>
      <x:c r="V10" s="100" t="str">
        <x:f>IF('Master'!W7="","",'Master'!W7)</x:f>
      </x:c>
      <x:c r="W10" s="100" t="str">
        <x:f>IF('Master'!X7="","",'Master'!X7)</x:f>
      </x:c>
      <x:c r="X10" s="100" t="str">
        <x:f>IF('Master'!Y7="","",'Master'!Y7)</x:f>
        <x:v>720p Game Mode / Source mode / 30 fps Game Mode / 5 fps Source mode</x:v>
      </x:c>
      <x:c r="Y10" s="100" t="str">
        <x:f>IF('Master'!Z7="","",'Master'!Z7)</x:f>
      </x:c>
      <x:c r="Z10" s="100" t="str">
        <x:f>IF('Master'!AA7="","",'Master'!AA7)</x:f>
        <x:v>720p / 30 fps</x:v>
      </x:c>
      <x:c r="AA10" s="104" t="str">
        <x:f>IF('Master'!AB7="","",'Master'!AB7)</x:f>
      </x:c>
      <x:c r="AB10" s="100" t="str">
        <x:f>IF('Master'!AC7="","",'Master'!AC7)</x:f>
      </x:c>
      <x:c r="AC10" s="100" t="str">
        <x:f>IF('Master'!AD7="","",'Master'!AD7)</x:f>
      </x:c>
      <x:c r="AD10" s="100" t="str">
        <x:f>IF('Master'!AE7="","",'Master'!AE7)</x:f>
      </x:c>
      <x:c r="AE10" s="100" t="str">
        <x:f>IF('Master'!AF7="","",'Master'!AF7)</x:f>
        <x:v>Up to 1440p included</x:v>
      </x:c>
      <x:c r="AF10" s="75" t="str">
        <x:f>IF('Master'!AG7="","",'Master'!AG7)</x:f>
        <x:v>External call provider-dependent / Provider-dependent</x:v>
      </x:c>
    </x:row>
    <x:row r="11" ht="36" customHeight="1">
      <x:c r="A11" s="135" t="str">
        <x:v>Max Free File Upload Size (MB unless noted)</x:v>
      </x:c>
      <x:c r="B11" s="100" t="n">
        <x:f>IF('Master'!C291="","",'Master'!C291)</x:f>
        <x:v>20</x:v>
      </x:c>
      <x:c r="C11" s="100" t="str">
        <x:f>IF('Master'!D291="","",'Master'!D291)</x:f>
      </x:c>
      <x:c r="D11" s="100" t="str">
        <x:f>IF('Master'!E291="","",'Master'!E291)</x:f>
      </x:c>
      <x:c r="E11" s="100" t="str">
        <x:f>IF('Master'!F291="","",'Master'!F291)</x:f>
      </x:c>
      <x:c r="F11" s="100" t="str">
        <x:f>IF('Master'!G291="","",'Master'!G291)</x:f>
      </x:c>
      <x:c r="G11" s="100" t="str">
        <x:f>IF('Master'!H291="","",'Master'!H291)</x:f>
        <x:v>25</x:v>
      </x:c>
      <x:c r="H11" s="100" t="str">
        <x:f>IF('Master'!I291="","",'Master'!I291)</x:f>
        <x:v>500</x:v>
      </x:c>
      <x:c r="I11" s="100" t="n">
        <x:f>IF('Master'!J291="","",'Master'!J291)</x:f>
        <x:v>8</x:v>
      </x:c>
      <x:c r="J11" s="100" t="str">
        <x:f>IF('Master'!K291="","",'Master'!K291)</x:f>
      </x:c>
      <x:c r="K11" s="100" t="str">
        <x:f>IF('Master'!L291="","",'Master'!L291)</x:f>
        <x:v>15</x:v>
      </x:c>
      <x:c r="L11" s="100" t="str">
        <x:f>IF('Master'!M291="","",'Master'!M291)</x:f>
      </x:c>
      <x:c r="M11" s="100" t="str">
        <x:f>IF('Master'!N291="","",'Master'!N291)</x:f>
      </x:c>
      <x:c r="N11" s="100" t="str">
        <x:f>IF('Master'!O291="","",'Master'!O291)</x:f>
      </x:c>
      <x:c r="O11" s="100" t="str">
        <x:f>IF('Master'!P291="","",'Master'!P291)</x:f>
        <x:v>100 MB hard limit; configurable</x:v>
      </x:c>
      <x:c r="P11" s="100" t="str">
        <x:f>IF('Master'!Q291="","",'Master'!Q291)</x:f>
        <x:v>100 for video/other; images 50</x:v>
      </x:c>
      <x:c r="Q11" s="100" t="str">
        <x:f>IF('Master'!R291="","",'Master'!R291)</x:f>
      </x:c>
      <x:c r="R11" s="100" t="str">
        <x:f>IF('Master'!S291="","",'Master'!S291)</x:f>
      </x:c>
      <x:c r="S11" s="100" t="str">
        <x:f>IF('Master'!T291="","",'Master'!T291)</x:f>
      </x:c>
      <x:c r="T11" s="100" t="str">
        <x:f>IF('Master'!U291="","",'Master'!U291)</x:f>
        <x:v>Not publicly claimed</x:v>
      </x:c>
      <x:c r="U11" s="100" t="str">
        <x:f>IF('Master'!V291="","",'Master'!V291)</x:f>
        <x:v>50</x:v>
      </x:c>
      <x:c r="V11" s="100" t="str">
        <x:f>IF('Master'!W291="","",'Master'!W291)</x:f>
        <x:v>Configurable by workspace; self-managed can use -1 for no app-level limit</x:v>
      </x:c>
      <x:c r="W11" s="100" t="str">
        <x:f>IF('Master'!X291="","",'Master'!X291)</x:f>
      </x:c>
      <x:c r="X11" s="100" t="str">
        <x:f>IF('Master'!Y291="","",'Master'!Y291)</x:f>
        <x:v>25</x:v>
      </x:c>
      <x:c r="Y11" s="100" t="str">
        <x:f>IF('Master'!Z291="","",'Master'!Z291)</x:f>
      </x:c>
      <x:c r="Z11" s="100" t="str">
        <x:f>IF('Master'!AA291="","",'Master'!AA291)</x:f>
      </x:c>
      <x:c r="AA11" s="104" t="n">
        <x:f>IF('Master'!AB291="","",'Master'!AB291)</x:f>
        <x:v>10</x:v>
      </x:c>
      <x:c r="AB11" s="100" t="str">
        <x:f>IF('Master'!AC291="","",'Master'!AC291)</x:f>
      </x:c>
      <x:c r="AC11" s="100" t="str">
        <x:f>IF('Master'!AD291="","",'Master'!AD291)</x:f>
      </x:c>
      <x:c r="AD11" s="100" t="str">
        <x:f>IF('Master'!AE291="","",'Master'!AE291)</x:f>
      </x:c>
      <x:c r="AE11" s="100" t="str">
        <x:f>IF('Master'!AF291="","",'Master'!AF291)</x:f>
        <x:v>Configurable by server operator</x:v>
      </x:c>
      <x:c r="AF11" s="75" t="str">
        <x:f>IF('Master'!AG291="","",'Master'!AG291)</x:f>
      </x:c>
    </x:row>
    <x:row r="12" ht="36" customHeight="1">
      <x:c r="A12" s="135" t="str">
        <x:v>Persistent Voice Rooms</x:v>
      </x:c>
      <x:c r="B12" s="100" t="str">
        <x:f>IF('Master'!C266="","",'Master'!C266)</x:f>
        <x:v>Yes — persistent server voice channels</x:v>
      </x:c>
      <x:c r="C12" s="100" t="str">
        <x:f>IF('Master'!D266="","",'Master'!D266)</x:f>
        <x:v>Yes</x:v>
      </x:c>
      <x:c r="D12" s="100" t="str">
        <x:f>IF('Master'!E266="","",'Master'!E266)</x:f>
        <x:v>Yes</x:v>
      </x:c>
      <x:c r="E12" s="100" t="str">
        <x:f>IF('Master'!F266="","",'Master'!F266)</x:f>
        <x:v>Yes</x:v>
      </x:c>
      <x:c r="F12" s="100" t="str">
        <x:f>IF('Master'!G266="","",'Master'!G266)</x:f>
        <x:v>Yes</x:v>
      </x:c>
      <x:c r="G12" s="100" t="str">
        <x:f>IF('Master'!H266="","",'Master'!H266)</x:f>
        <x:v>Yes</x:v>
      </x:c>
      <x:c r="H12" s="100" t="str">
        <x:f>IF('Master'!I266="","",'Master'!I266)</x:f>
        <x:v>Yes</x:v>
      </x:c>
      <x:c r="I12" s="100" t="str">
        <x:f>IF('Master'!J266="","",'Master'!J266)</x:f>
        <x:v>Yes — LiveKit voice channels</x:v>
      </x:c>
      <x:c r="J12" s="100" t="str">
        <x:f>IF('Master'!K266="","",'Master'!K266)</x:f>
        <x:v>No persistent voice-room model verified</x:v>
      </x:c>
      <x:c r="K12" s="100" t="str">
        <x:f>IF('Master'!L266="","",'Master'!L266)</x:f>
        <x:v>Yes</x:v>
      </x:c>
      <x:c r="L12" s="100" t="str">
        <x:f>IF('Master'!M266="","",'Master'!M266)</x:f>
        <x:v>Yes</x:v>
      </x:c>
      <x:c r="M12" s="100" t="str">
        <x:f>IF('Master'!N266="","",'Master'!N266)</x:f>
        <x:v>Yes</x:v>
      </x:c>
      <x:c r="N12" s="100" t="str">
        <x:f>IF('Master'!O266="","",'Master'!O266)</x:f>
        <x:v>Client-dependent; many clients support calls/rooms</x:v>
      </x:c>
      <x:c r="O12" s="100" t="str">
        <x:f>IF('Master'!P266="","",'Master'!P266)</x:f>
        <x:v>Calls available; not Discord-style always-on voice-first UX</x:v>
      </x:c>
      <x:c r="P12" s="100" t="str">
        <x:f>IF('Master'!Q266="","",'Master'!Q266)</x:f>
        <x:v>Yes</x:v>
      </x:c>
      <x:c r="Q12" s="100" t="str">
        <x:f>IF('Master'!R266="","",'Master'!R266)</x:f>
        <x:v>Yes — voice channels are the core product</x:v>
      </x:c>
      <x:c r="R12" s="100" t="str">
        <x:f>IF('Master'!S266="","",'Master'!S266)</x:f>
      </x:c>
      <x:c r="S12" s="100" t="str">
        <x:f>IF('Master'!T266="","",'Master'!T266)</x:f>
        <x:v>Yes</x:v>
      </x:c>
      <x:c r="T12" s="100" t="str">
        <x:f>IF('Master'!U266="","",'Master'!U266)</x:f>
        <x:v>Yes</x:v>
      </x:c>
      <x:c r="U12" s="100" t="str">
        <x:f>IF('Master'!V266="","",'Master'!V266)</x:f>
        <x:v>Yes</x:v>
      </x:c>
      <x:c r="V12" s="100" t="str">
        <x:f>IF('Master'!W266="","",'Master'!W266)</x:f>
        <x:v>Voice/video deployment/provider-dependent</x:v>
      </x:c>
      <x:c r="W12" s="100" t="str">
        <x:f>IF('Master'!X266="","",'Master'!X266)</x:f>
        <x:v>No mature voice verified</x:v>
      </x:c>
      <x:c r="X12" s="100" t="str">
        <x:f>IF('Master'!Y266="","",'Master'!Y266)</x:f>
        <x:v>Yes</x:v>
      </x:c>
      <x:c r="Y12" s="100" t="str">
        <x:f>IF('Master'!Z266="","",'Master'!Z266)</x:f>
        <x:v>Yes when optional voice package is installed</x:v>
      </x:c>
      <x:c r="Z12" s="100" t="str">
        <x:f>IF('Master'!AA266="","",'Master'!AA266)</x:f>
        <x:v>Yes — persistent server voice channels</x:v>
      </x:c>
      <x:c r="AA12" s="104" t="str">
        <x:f>IF('Master'!AB266="","",'Master'!AB266)</x:f>
        <x:v>Yes</x:v>
      </x:c>
      <x:c r="AB12" s="100" t="str">
        <x:f>IF('Master'!AC266="","",'Master'!AC266)</x:f>
        <x:v>Yes</x:v>
      </x:c>
      <x:c r="AC12" s="100" t="str">
        <x:f>IF('Master'!AD266="","",'Master'!AD266)</x:f>
      </x:c>
      <x:c r="AD12" s="100" t="str">
        <x:f>IF('Master'!AE266="","",'Master'!AE266)</x:f>
        <x:v>Yes — voice in rooms</x:v>
      </x:c>
      <x:c r="AE12" s="100" t="str">
        <x:f>IF('Master'!AF266="","",'Master'!AF266)</x:f>
        <x:v>Yes</x:v>
      </x:c>
      <x:c r="AF12" s="75" t="str">
        <x:f>IF('Master'!AG266="","",'Master'!AG266)</x:f>
        <x:v>No native persistent voice rooms</x:v>
      </x:c>
    </x:row>
    <x:row r="13" ht="36" customHeight="1">
      <x:c r="A13" s="135" t="str">
        <x:v>Native AI Features</x:v>
      </x:c>
      <x:c r="B13" s="100" t="str">
        <x:f>IF('Master'!C666="","",'Master'!C666)</x:f>
        <x:v>Limited — experimental Conversation Summaries + AI/ML safety features</x:v>
      </x:c>
      <x:c r="C13" s="100" t="str">
        <x:f>IF('Master'!D666="","",'Master'!D666)</x:f>
        <x:v>None</x:v>
      </x:c>
      <x:c r="D13" s="100" t="str">
        <x:f>IF('Master'!E666="","",'Master'!E666)</x:f>
        <x:v>None</x:v>
      </x:c>
      <x:c r="E13" s="100" t="str">
        <x:f>IF('Master'!F666="","",'Master'!F666)</x:f>
        <x:v>No native AI advertised</x:v>
      </x:c>
      <x:c r="F13" s="100" t="str">
        <x:f>IF('Master'!G666="","",'Master'!G666)</x:f>
        <x:v>No prominent native generative AI</x:v>
      </x:c>
      <x:c r="G13" s="100" t="str">
        <x:f>IF('Master'!H666="","",'Master'!H666)</x:f>
        <x:v>No native AI/LLM inference over content</x:v>
      </x:c>
      <x:c r="H13" s="100" t="str">
        <x:f>IF('Master'!I666="","",'Master'!I666)</x:f>
        <x:v>No prominent native generative AI verified</x:v>
      </x:c>
      <x:c r="I13" s="100" t="str">
        <x:f>IF('Master'!J666="","",'Master'!J666)</x:f>
        <x:v>None advertised</x:v>
      </x:c>
      <x:c r="J13" s="100" t="str">
        <x:f>IF('Master'!K666="","",'Master'!K666)</x:f>
        <x:v>None</x:v>
      </x:c>
      <x:c r="K13" s="100" t="str">
        <x:f>IF('Master'!L666="","",'Master'!L666)</x:f>
        <x:v>No</x:v>
      </x:c>
      <x:c r="L13" s="100" t="str">
        <x:f>IF('Master'!M666="","",'Master'!M666)</x:f>
        <x:v>No prominent native AI verified</x:v>
      </x:c>
      <x:c r="M13" s="100" t="str">
        <x:f>IF('Master'!N666="","",'Master'!N666)</x:f>
        <x:v>Translation + transcription</x:v>
      </x:c>
      <x:c r="N13" s="100" t="str">
        <x:f>IF('Master'!O666="","",'Master'!O666)</x:f>
        <x:v>No Matrix-wide native AI; provider/client-specific</x:v>
      </x:c>
      <x:c r="O13" s="100" t="str">
        <x:f>IF('Master'!P666="","",'Master'!P666)</x:f>
        <x:v>Optional enterprise/integration AI</x:v>
      </x:c>
      <x:c r="P13" s="100" t="str">
        <x:f>IF('Master'!Q666="","",'Master'!Q666)</x:f>
        <x:v>Yes — moderation/translation/summaries</x:v>
      </x:c>
      <x:c r="Q13" s="100" t="str">
        <x:f>IF('Master'!R666="","",'Master'!R666)</x:f>
        <x:v>None</x:v>
      </x:c>
      <x:c r="R13" s="100" t="str">
        <x:f>IF('Master'!S666="","",'Master'!S666)</x:f>
        <x:v>No native AI verified</x:v>
      </x:c>
      <x:c r="S13" s="100" t="str">
        <x:f>IF('Master'!T666="","",'Master'!T666)</x:f>
        <x:v>No prominent native AI verified</x:v>
      </x:c>
      <x:c r="T13" s="100" t="str">
        <x:f>IF('Master'!U666="","",'Master'!U666)</x:f>
        <x:v>No native AI channel tools pitched</x:v>
      </x:c>
      <x:c r="U13" s="100" t="str">
        <x:f>IF('Master'!V666="","",'Master'!V666)</x:f>
        <x:v>No AI reading/training</x:v>
      </x:c>
      <x:c r="V13" s="100" t="str">
        <x:f>IF('Master'!W666="","",'Master'!W666)</x:f>
        <x:v>Optional apps/integrations</x:v>
      </x:c>
      <x:c r="W13" s="100" t="str">
        <x:f>IF('Master'!X666="","",'Master'!X666)</x:f>
        <x:v>None</x:v>
      </x:c>
      <x:c r="X13" s="100" t="str">
        <x:f>IF('Master'!Y666="","",'Master'!Y666)</x:f>
        <x:v>No prominent generative AI feature</x:v>
      </x:c>
      <x:c r="Y13" s="100" t="str">
        <x:f>IF('Master'!Z666="","",'Master'!Z666)</x:f>
        <x:v>None</x:v>
      </x:c>
      <x:c r="Z13" s="100" t="str">
        <x:f>IF('Master'!AA666="","",'Master'!AA666)</x:f>
        <x:v>No prominent native generative-AI feature verified</x:v>
      </x:c>
      <x:c r="AA13" s="104" t="str">
        <x:f>IF('Master'!AB666="","",'Master'!AB666)</x:f>
        <x:v>No prominent native generative AI verified</x:v>
      </x:c>
      <x:c r="AB13" s="100" t="str">
        <x:f>IF('Master'!AC666="","",'Master'!AC666)</x:f>
        <x:v>None verified</x:v>
      </x:c>
      <x:c r="AC13" s="100" t="str">
        <x:f>IF('Master'!AD666="","",'Master'!AD666)</x:f>
        <x:v>No native AI verified</x:v>
      </x:c>
      <x:c r="AD13" s="100" t="str">
        <x:f>IF('Master'!AE666="","",'Master'!AE666)</x:f>
        <x:v>Game-specific AI features</x:v>
      </x:c>
      <x:c r="AE13" s="100" t="str">
        <x:f>IF('Master'!AF666="","",'Master'!AF666)</x:f>
        <x:v>None</x:v>
      </x:c>
      <x:c r="AF13" s="75" t="str">
        <x:f>IF('Master'!AG666="","",'Master'!AG666)</x:f>
        <x:v>None required</x:v>
      </x:c>
    </x:row>
    <x:row r="14" ht="36" customHeight="1">
      <x:c r="A14" s="135" t="str">
        <x:v>User Data Scraped for AI Training?</x:v>
      </x:c>
      <x:c r="B14" s="100" t="str">
        <x:f>IF('Master'!C8="","",'Master'!C8)</x:f>
        <x:v>No — Discord states AI companies may not train models using user messages</x:v>
      </x:c>
      <x:c r="C14" s="100" t="str">
        <x:f>IF('Master'!D8="","",'Master'!D8)</x:f>
        <x:v>Encrypted/no central host</x:v>
      </x:c>
      <x:c r="D14" s="100" t="str">
        <x:f>IF('Master'!E8="","",'Master'!E8)</x:f>
        <x:v>Self-host controlled</x:v>
      </x:c>
      <x:c r="E14" s="100" t="str">
        <x:f>IF('Master'!F8="","",'Master'!F8)</x:f>
        <x:v>No — privacy policy says content not used for AI training</x:v>
      </x:c>
      <x:c r="F14" s="100" t="str">
        <x:f>IF('Master'!G8="","",'Master'!G8)</x:f>
      </x:c>
      <x:c r="G14" s="100" t="str">
        <x:f>IF('Master'!H8="","",'Master'!H8)</x:f>
        <x:v>No — explicit privacy policy</x:v>
      </x:c>
      <x:c r="H14" s="100" t="str">
        <x:f>IF('Master'!I8="","",'Master'!I8)</x:f>
      </x:c>
      <x:c r="I14" s="100" t="str">
        <x:f>IF('Master'!J8="","",'Master'!J8)</x:f>
        <x:v>No — official site says no AI training on chats; self-host sends no telemetry</x:v>
      </x:c>
      <x:c r="J14" s="100" t="str">
        <x:f>IF('Master'!K8="","",'Master'!K8)</x:f>
        <x:v>No central plaintext service</x:v>
      </x:c>
      <x:c r="K14" s="100" t="str">
        <x:f>IF('Master'!L8="","",'Master'!L8)</x:f>
        <x:v>No — developer states user data is not used for AI training</x:v>
      </x:c>
      <x:c r="L14" s="100" t="str">
        <x:f>IF('Master'!M8="","",'Master'!M8)</x:f>
        <x:v>No behavioral tracking; AI training not specifically documented</x:v>
      </x:c>
      <x:c r="M14" s="100" t="str">
        <x:f>IF('Master'!N8="","",'Master'!N8)</x:f>
      </x:c>
      <x:c r="N14" s="100" t="str">
        <x:f>IF('Master'!O8="","",'Master'!O8)</x:f>
        <x:v>Provider-specific — Matrix has no single data controller</x:v>
      </x:c>
      <x:c r="O14" s="100" t="str">
        <x:f>IF('Master'!P8="","",'Master'!P8)</x:f>
        <x:v>Deployment/provider-specific</x:v>
      </x:c>
      <x:c r="P14" s="100" t="str">
        <x:f>IF('Master'!Q8="","",'Master'!Q8)</x:f>
      </x:c>
      <x:c r="Q14" s="100" t="str">
        <x:f>IF('Master'!R8="","",'Master'!R8)</x:f>
        <x:v>N/A — no central hosted content service</x:v>
      </x:c>
      <x:c r="R14" s="100" t="str">
        <x:f>IF('Master'!S8="","",'Master'!S8)</x:f>
      </x:c>
      <x:c r="S14" s="100" t="str">
        <x:f>IF('Master'!T8="","",'Master'!T8)</x:f>
      </x:c>
      <x:c r="T14" s="100" t="str">
        <x:f>IF('Master'!U8="","",'Master'!U8)</x:f>
        <x:v>No user-content training claim provided; robots.txt Content Signal includes ai-train=no</x:v>
      </x:c>
      <x:c r="U14" s="100" t="str">
        <x:f>IF('Master'!V8="","",'Master'!V8)</x:f>
        <x:v>No — explicit no-training statement</x:v>
      </x:c>
      <x:c r="V14" s="100" t="str">
        <x:f>IF('Master'!W8="","",'Master'!W8)</x:f>
        <x:v>Deployment/provider-specific</x:v>
      </x:c>
      <x:c r="W14" s="100" t="str">
        <x:f>IF('Master'!X8="","",'Master'!X8)</x:f>
        <x:v>Provider-dependent</x:v>
      </x:c>
      <x:c r="X14" s="100" t="str">
        <x:f>IF('Master'!Y8="","",'Master'!Y8)</x:f>
        <x:v>No — privacy policy says no model training</x:v>
      </x:c>
      <x:c r="Y14" s="100" t="str">
        <x:f>IF('Master'!Z8="","",'Master'!Z8)</x:f>
        <x:v>Self-host operator-controlled</x:v>
      </x:c>
      <x:c r="Z14" s="100" t="str">
        <x:f>IF('Master'!AA8="","",'Master'!AA8)</x:f>
      </x:c>
      <x:c r="AA14" s="104" t="str">
        <x:f>IF('Master'!AB8="","",'Master'!AB8)</x:f>
      </x:c>
      <x:c r="AB14" s="100" t="str">
        <x:f>IF('Master'!AC8="","",'Master'!AC8)</x:f>
      </x:c>
      <x:c r="AC14" s="100" t="str">
        <x:f>IF('Master'!AD8="","",'Master'!AD8)</x:f>
      </x:c>
      <x:c r="AD14" s="100" t="str">
        <x:f>IF('Master'!AE8="","",'Master'!AE8)</x:f>
      </x:c>
      <x:c r="AE14" s="100" t="str">
        <x:f>IF('Master'!AF8="","",'Master'!AF8)</x:f>
        <x:v>No central training of self-host content</x:v>
      </x:c>
      <x:c r="AF14" s="75" t="str">
        <x:f>IF('Master'!AG8="","",'Master'!AG8)</x:f>
      </x:c>
    </x:row>
    <x:row r="15" ht="36" customHeight="1">
      <x:c r="A15" s="135" t="str">
        <x:v>Primary Business Model</x:v>
      </x:c>
      <x:c r="B15" s="100" t="str">
        <x:f>IF('Master'!C9="","",'Master'!C9)</x:f>
        <x:v>Freemium — Nitro/paid products + sponsored content</x:v>
      </x:c>
      <x:c r="C15" s="100" t="str">
        <x:f>IF('Master'!D9="","",'Master'!D9)</x:f>
        <x:v>Free/open source; community/grant/donation funded; no ads or data sales</x:v>
      </x:c>
      <x:c r="D15" s="100" t="str">
        <x:f>IF('Master'!E9="","",'Master'!E9)</x:f>
        <x:v>Free AGPL self-hosting/donations</x:v>
      </x:c>
      <x:c r="E15" s="100" t="str">
        <x:f>IF('Master'!F9="","",'Master'!F9)</x:f>
        <x:v>Free/private early product</x:v>
      </x:c>
      <x:c r="F15" s="100" t="str">
        <x:f>IF('Master'!G9="","",'Master'!G9)</x:f>
        <x:v>Freemium/subscription plans; alpha</x:v>
      </x:c>
      <x:c r="G15" s="100" t="str">
        <x:f>IF('Master'!H9="","",'Master'!H9)</x:f>
        <x:v>Subscriber/donor-funded freemium; no VC</x:v>
      </x:c>
      <x:c r="H15" s="100" t="str">
        <x:f>IF('Master'!I9="","",'Master'!I9)</x:f>
        <x:v>Free + self-host/server licensing</x:v>
      </x:c>
      <x:c r="I15" s="100" t="str">
        <x:f>IF('Master'!J9="","",'Master'!J9)</x:f>
        <x:v>Free hosted tier + paid hosting plans/early access; AGPL self-hosting is free</x:v>
      </x:c>
      <x:c r="J15" s="100" t="str">
        <x:f>IF('Master'!K9="","",'Master'!K9)</x:f>
        <x:v>Free open source / solo project</x:v>
      </x:c>
      <x:c r="K15" s="100" t="str">
        <x:f>IF('Master'!L9="","",'Master'!L9)</x:f>
        <x:v>Free/currently unmonetized; future monetization planned but not yet defined</x:v>
      </x:c>
      <x:c r="L15" s="100" t="str">
        <x:f>IF('Master'!M9="","",'Master'!M9)</x:f>
        <x:v>Free/community project</x:v>
      </x:c>
      <x:c r="M15" s="100" t="str">
        <x:f>IF('Master'!N9="","",'Master'!N9)</x:f>
        <x:v>Free core; optional managed self-hosting/premium planned</x:v>
      </x:c>
      <x:c r="N15" s="100" t="str">
        <x:f>IF('Master'!O9="","",'Master'!O9)</x:f>
        <x:v>Open protocol/foundation ecosystem + commercial providers</x:v>
      </x:c>
      <x:c r="O15" s="100" t="str">
        <x:f>IF('Master'!P9="","",'Master'!P9)</x:f>
        <x:v>Enterprise subscriptions + open-source/self-hosted editions</x:v>
      </x:c>
      <x:c r="P15" s="100" t="str">
        <x:f>IF('Master'!Q9="","",'Master'!Q9)</x:f>
        <x:v>Free platform / company-backed</x:v>
      </x:c>
      <x:c r="Q15" s="100" t="str">
        <x:f>IF('Master'!R9="","",'Master'!R9)</x:f>
        <x:v>Free open source; third-party hosting</x:v>
      </x:c>
      <x:c r="R15" s="100" t="str">
        <x:f>IF('Master'!S9="","",'Master'!S9)</x:f>
        <x:v>Donation-funded free service</x:v>
      </x:c>
      <x:c r="S15" s="100" t="str">
        <x:f>IF('Master'!T9="","",'Master'!T9)</x:f>
        <x:v>Free core + Premium subscriptions; zero ads/no third-party data sharing</x:v>
      </x:c>
      <x:c r="T15" s="100" t="str">
        <x:f>IF('Master'!U9="","",'Master'!U9)</x:f>
        <x:v>Free hosted + optional donations + AGPL self-host; donations unlock nothing; not VC-backed</x:v>
      </x:c>
      <x:c r="U15" s="100" t="str">
        <x:f>IF('Master'!V9="","",'Master'!V9)</x:f>
        <x:v>Subscriptions, not advertising; no investors</x:v>
      </x:c>
      <x:c r="V15" s="100" t="str">
        <x:f>IF('Master'!W9="","",'Master'!W9)</x:f>
        <x:v>Cloud/enterprise subscriptions + open-source core</x:v>
      </x:c>
      <x:c r="W15" s="100" t="str">
        <x:f>IF('Master'!X9="","",'Master'!X9)</x:f>
        <x:v>Open-source community project</x:v>
      </x:c>
      <x:c r="X15" s="100" t="str">
        <x:f>IF('Master'!Y9="","",'Master'!Y9)</x:f>
        <x:v>Private freemium + Sudo subscription</x:v>
      </x:c>
      <x:c r="Y15" s="100" t="str">
        <x:f>IF('Master'!Z9="","",'Master'!Z9)</x:f>
        <x:v>Free open-source self-hosting</x:v>
      </x:c>
      <x:c r="Z15" s="100" t="str">
        <x:f>IF('Master'!AA9="","",'Master'!AA9)</x:f>
        <x:v>Free and open source; no ads/data sales</x:v>
      </x:c>
      <x:c r="AA15" s="104" t="str">
        <x:f>IF('Master'!AB9="","",'Master'!AB9)</x:f>
        <x:v>Commercial licenses/hosting</x:v>
      </x:c>
      <x:c r="AB15" s="100" t="str">
        <x:f>IF('Master'!AC9="","",'Master'!AC9)</x:f>
        <x:v>Free + Stargazer subscriptions/Patreon</x:v>
      </x:c>
      <x:c r="AC15" s="100" t="str">
        <x:f>IF('Master'!AD9="","",'Master'!AD9)</x:f>
        <x:v>Early open-source/community project</x:v>
      </x:c>
      <x:c r="AD15" s="100" t="str">
        <x:f>IF('Master'!AE9="","",'Master'!AE9)</x:f>
        <x:v>Free core + paid custom/private lobby tiers</x:v>
      </x:c>
      <x:c r="AE15" s="100" t="str">
        <x:f>IF('Master'!AF9="","",'Master'!AF9)</x:f>
        <x:v>Paid self-host license + managed hosting</x:v>
      </x:c>
      <x:c r="AF15" s="75" t="str">
        <x:f>IF('Master'!AG9="","",'Master'!AG9)</x:f>
        <x:v>Cloud subscriptions + open-source self-hosting</x:v>
      </x:c>
    </x:row>
    <x:row r="16" ht="36" customHeight="1">
      <x:c r="A16" s="135" t="str">
        <x:v>Discord Server Importer</x:v>
      </x:c>
      <x:c r="B16" s="100" t="str">
        <x:f>IF('Master'!C438="","",'Master'!C438)</x:f>
        <x:v>N/A — Discord is the source platform</x:v>
      </x:c>
      <x:c r="C16" s="100" t="str">
        <x:f>IF('Master'!D438="","",'Master'!D438)</x:f>
        <x:v>Yes — channels, roles, emoji and up to 10,000 messages/channel; optional live two-way bridge</x:v>
      </x:c>
      <x:c r="D16" s="100" t="str">
        <x:f>IF('Master'!E438="","",'Master'!E438)</x:f>
        <x:v>No template importer verified</x:v>
      </x:c>
      <x:c r="E16" s="100" t="str">
        <x:f>IF('Master'!F438="","",'Master'!F438)</x:f>
        <x:v>No Discord importer verified</x:v>
      </x:c>
      <x:c r="F16" s="100" t="str">
        <x:f>IF('Master'!G438="","",'Master'!G438)</x:f>
        <x:v>Planned/advertised Discord server template import</x:v>
      </x:c>
      <x:c r="G16" s="100" t="str">
        <x:f>IF('Master'!H438="","",'Master'!H438)</x:f>
        <x:v>No full Discord importer verified</x:v>
      </x:c>
      <x:c r="H16" s="100" t="str">
        <x:f>IF('Master'!I438="","",'Master'!I438)</x:f>
        <x:v>Yes — channels/roles/permissions/emojis/soundboard/events/assets</x:v>
      </x:c>
      <x:c r="I16" s="100" t="str">
        <x:f>IF('Master'!J438="","",'Master'!J438)</x:f>
        <x:v>No self-service importer verified; Creator plan advertises white-glove Discord migration</x:v>
      </x:c>
      <x:c r="J16" s="100" t="str">
        <x:f>IF('Master'!K438="","",'Master'!K438)</x:f>
        <x:v>No Discord importer verified</x:v>
      </x:c>
      <x:c r="K16" s="100" t="str">
        <x:f>IF('Master'!L438="","",'Master'!L438)</x:f>
        <x:v>No dedicated importer; official live Discord bridge exists</x:v>
      </x:c>
      <x:c r="L16" s="100" t="str">
        <x:f>IF('Master'!M438="","",'Master'!M438)</x:f>
        <x:v>No importer verified</x:v>
      </x:c>
      <x:c r="M16" s="100" t="str">
        <x:f>IF('Master'!N438="","",'Master'!N438)</x:f>
        <x:v>Yes — broad structural importer</x:v>
      </x:c>
      <x:c r="N16" s="100" t="str">
        <x:f>IF('Master'!O438="","",'Master'!O438)</x:f>
        <x:v>No protocol-level Discord importer; tools/clients may provide migration</x:v>
      </x:c>
      <x:c r="O16" s="100" t="str">
        <x:f>IF('Master'!P438="","",'Master'!P438)</x:f>
        <x:v>No native Discord importer</x:v>
      </x:c>
      <x:c r="P16" s="100" t="str">
        <x:f>IF('Master'!Q438="","",'Master'!Q438)</x:f>
      </x:c>
      <x:c r="Q16" s="100" t="str">
        <x:f>IF('Master'!R438="","",'Master'!R438)</x:f>
        <x:v>No</x:v>
      </x:c>
      <x:c r="R16" s="100" t="str">
        <x:f>IF('Master'!S438="","",'Master'!S438)</x:f>
        <x:v>No importer verified</x:v>
      </x:c>
      <x:c r="S16" s="100" t="str">
        <x:f>IF('Master'!T438="","",'Master'!T438)</x:f>
        <x:v>Partial/template migration reported</x:v>
      </x:c>
      <x:c r="T16" s="100" t="str">
        <x:f>IF('Master'!U438="","",'Master'!U438)</x:f>
        <x:v>Layout only — categories, channels and main permissions; no messages or members</x:v>
      </x:c>
      <x:c r="U16" s="100" t="str">
        <x:f>IF('Master'!V438="","",'Master'!V438)</x:f>
        <x:v>Yes — Discord template structure import: categories, channels, forum tags, roles/order/colors, equivalent permissions; no messages/members</x:v>
      </x:c>
      <x:c r="V16" s="100" t="str">
        <x:f>IF('Master'!W438="","",'Master'!W438)</x:f>
        <x:v>No first-party Discord importer verified</x:v>
      </x:c>
      <x:c r="W16" s="100" t="str">
        <x:f>IF('Master'!X438="","",'Master'!X438)</x:f>
        <x:v>Discord bridge/import component exists</x:v>
      </x:c>
      <x:c r="X16" s="100" t="str">
        <x:f>IF('Master'!Y438="","",'Master'!Y438)</x:f>
        <x:v>Yes — Discord server template import (roles/channels/groups/permissions)</x:v>
      </x:c>
      <x:c r="Y16" s="100" t="str">
        <x:f>IF('Master'!Z438="","",'Master'!Z438)</x:f>
        <x:v>Not an importer; aims for Discord client/bot API compatibility</x:v>
      </x:c>
      <x:c r="Z16" s="100" t="str">
        <x:f>IF('Master'!AA438="","",'Master'!AA438)</x:f>
        <x:v>No first-party Discord importer verified</x:v>
      </x:c>
      <x:c r="AA16" s="104" t="str">
        <x:f>IF('Master'!AB438="","",'Master'!AB438)</x:f>
        <x:v>No</x:v>
      </x:c>
      <x:c r="AB16" s="100" t="str">
        <x:f>IF('Master'!AC438="","",'Master'!AC438)</x:f>
        <x:v>Yes — built-in Discord importer</x:v>
      </x:c>
      <x:c r="AC16" s="100" t="str">
        <x:f>IF('Master'!AD438="","",'Master'!AD438)</x:f>
        <x:v>No Discord importer verified</x:v>
      </x:c>
      <x:c r="AD16" s="100" t="str">
        <x:f>IF('Master'!AE438="","",'Master'!AE438)</x:f>
        <x:v>No — design intentionally differs from Discord</x:v>
      </x:c>
      <x:c r="AE16" s="100" t="str">
        <x:f>IF('Master'!AF438="","",'Master'!AF438)</x:f>
        <x:v>No importer verified</x:v>
      </x:c>
      <x:c r="AF16" s="75" t="str">
        <x:f>IF('Master'!AG438="","",'Master'!AG438)</x:f>
        <x:v>No Discord importer; imports Slack/Mattermost/Rocket.Chat supported</x:v>
      </x:c>
    </x:row>
    <x:row r="17" ht="36" customHeight="1">
      <x:c r="A17" s="135" t="str">
        <x:v>Standout Advantage vs. Discord</x:v>
      </x:c>
      <x:c r="B17" s="100" t="str">
        <x:f>IF('Master'!C10="","",'Master'!C10)</x:f>
        <x:v>Baseline/reference platform — N/A</x:v>
      </x:c>
      <x:c r="C17" s="100" t="str">
        <x:f>IF('Master'!D10="","",'Master'!D10)</x:f>
        <x:v>Portable key identity + E2EE + no central host required</x:v>
      </x:c>
      <x:c r="D17" s="100" t="str">
        <x:f>IF('Master'!E10="","",'Master'!E10)</x:f>
        <x:v>Self-host-only + cross-server E2EE messenger + high configurable screen share</x:v>
      </x:c>
      <x:c r="E17" s="100" t="str">
        <x:f>IF('Master'!F10="","",'Master'!F10)</x:f>
        <x:v>Cross-platform LiveKit voice/chat/screen with Discord-like UX</x:v>
      </x:c>
      <x:c r="F17" s="100" t="str">
        <x:f>IF('Master'!G10="","",'Master'!G10)</x:f>
        <x:v>Default E2EE private DMs + built-in community/events focus</x:v>
      </x:c>
      <x:c r="G17" s="100" t="str">
        <x:f>IF('Master'!H10="","",'Master'!H10)</x:f>
        <x:v>Open source + self-hosting + Discord-like UX</x:v>
      </x:c>
      <x:c r="H17" s="100" t="str">
        <x:f>IF('Master'!I10="","",'Master'!I10)</x:f>
        <x:v>Strong Discord migration tooling + self-hosting + voice focus</x:v>
      </x:c>
      <x:c r="I17" s="100" t="str">
        <x:f>IF('Master'!J10="","",'Master'!J10)</x:f>
        <x:v>AGPL self-hosting + E2EE DMs + lightweight Tauri desktop + simple PostgreSQL deployment</x:v>
      </x:c>
      <x:c r="J17" s="100" t="str">
        <x:f>IF('Master'!K10="","",'Master'!K10)</x:f>
        <x:v>Local-first E2EE + portable key identity + self-host relay</x:v>
      </x:c>
      <x:c r="K17" s="100" t="str">
        <x:f>IF('Master'!L10="","",'Master'!L10)</x:f>
        <x:v>Federation that feels like email, optional MLS E2EE, self-hosting, custom CSS/theme support</x:v>
      </x:c>
      <x:c r="L17" s="100" t="str">
        <x:f>IF('Master'!M10="","",'Master'!M10)</x:f>
        <x:v>No-email/phone identity + privacy focus + rich channel types</x:v>
      </x:c>
      <x:c r="M17" s="100" t="str">
        <x:f>IF('Master'!N10="","",'Master'!N10)</x:f>
        <x:v>Discord-like API compatibility + federation/self-hosting direction</x:v>
      </x:c>
      <x:c r="N17" s="100" t="str">
        <x:f>IF('Master'!O10="","",'Master'!O10)</x:f>
        <x:v>Open federated protocol, self-hosting, client choice, E2EE-capable rooms</x:v>
      </x:c>
      <x:c r="O17" s="100" t="str">
        <x:f>IF('Master'!P10="","",'Master'!P10)</x:f>
        <x:v>Enterprise self-hosting/data sovereignty + mature admin tooling</x:v>
      </x:c>
      <x:c r="P17" s="100" t="str">
        <x:f>IF('Master'!Q10="","",'Master'!Q10)</x:f>
        <x:v>Native high-performance clients + no-paywall media + built-in AI</x:v>
      </x:c>
      <x:c r="Q17" s="100" t="str">
        <x:f>IF('Master'!R10="","",'Master'!R10)</x:f>
        <x:v>Mature low-latency self-hosted voice + positional audio</x:v>
      </x:c>
      <x:c r="R17" s="100" t="str">
        <x:f>IF('Master'!S10="","",'Master'!S10)</x:f>
        <x:v>Open source, lightweight Discord-like community chat</x:v>
      </x:c>
      <x:c r="S17" s="100" t="str">
        <x:f>IF('Master'!T10="","",'Master'!T10)</x:f>
        <x:v>Regional data placement + broad native client support</x:v>
      </x:c>
      <x:c r="T17" s="100" t="str">
        <x:f>IF('Master'!U10="","",'Master'!U10)</x:f>
        <x:v>Browser screen share works in Brazil; AGPL/self-hostable; Portuguese-first</x:v>
      </x:c>
      <x:c r="U17" s="100" t="str">
        <x:f>IF('Master'!V10="","",'Master'!V10)</x:f>
        <x:v>No email/phone/ID + EXIF stripping + no AI training + portal workspace</x:v>
      </x:c>
      <x:c r="V17" s="100" t="str">
        <x:f>IF('Master'!W10="","",'Master'!W10)</x:f>
        <x:v>Self-hosting + enterprise collaboration + federation options</x:v>
      </x:c>
      <x:c r="W17" s="100" t="str">
        <x:f>IF('Master'!X10="","",'Master'!X10)</x:f>
        <x:v>ATProto identity/data model + bidirectional Discord bridge + docs/gardening features</x:v>
      </x:c>
      <x:c r="X17" s="100" t="str">
        <x:f>IF('Master'!Y10="","",'Master'!Y10)</x:f>
        <x:v>Very Discord-like migration path + integrated hosted Apps/Bots</x:v>
      </x:c>
      <x:c r="Y17" s="100" t="str">
        <x:f>IF('Master'!Z10="","",'Master'!Z10)</x:f>
        <x:v>Discord API compatibility + complete operator control</x:v>
      </x:c>
      <x:c r="Z17" s="100" t="str">
        <x:f>IF('Master'!AA10="","",'Master'!AA10)</x:f>
        <x:v>FOSS + self-hosting with Discord-like UX</x:v>
      </x:c>
      <x:c r="AA17" s="104" t="str">
        <x:f>IF('Master'!AB10="","",'Master'!AB10)</x:f>
        <x:v>Mature low-latency voice and self-hosted server control</x:v>
      </x:c>
      <x:c r="AB17" s="100" t="str">
        <x:f>IF('Master'!AC10="","",'Master'!AC10)</x:f>
        <x:v>Fully open-source + self-host + importer + rich community features</x:v>
      </x:c>
      <x:c r="AC17" s="100" t="str">
        <x:f>IF('Master'!AD10="","",'Master'!AD10)</x:f>
        <x:v>Open-source/self-host/federation direction</x:v>
      </x:c>
      <x:c r="AD17" s="100" t="str">
        <x:f>IF('Master'!AE10="","",'Master'!AE10)</x:f>
        <x:v>Game-native lobbies with deep API integrations and built-in voice/video</x:v>
      </x:c>
      <x:c r="AE17" s="100" t="str">
        <x:f>IF('Master'!AF10="","",'Master'!AF10)</x:f>
        <x:v>Self-hosted voice/chat/screen + spatial audio</x:v>
      </x:c>
      <x:c r="AF17" s="75" t="str">
        <x:f>IF('Master'!AG10="","",'Master'!AG10)</x:f>
        <x:v>Exceptional topic-based organized text + open source/self-hosting</x:v>
      </x:c>
    </x:row>
    <x:row r="18" ht="36" customHeight="1">
      <x:c r="A18" s="135" t="str">
        <x:v>Biggest Current Limitation</x:v>
      </x:c>
      <x:c r="B18" s="100" t="str">
        <x:f>IF('Master'!C11="","",'Master'!C11)</x:f>
        <x:v>Text messages are not E2EE; no self-hosting/federation; centralized proprietary service</x:v>
      </x:c>
      <x:c r="C18" s="100" t="str">
        <x:f>IF('Master'!D11="","",'Master'!D11)</x:f>
        <x:v>Young ecosystem; setup/relay/bot UX still maturing</x:v>
      </x:c>
      <x:c r="D18" s="100" t="str">
        <x:f>IF('Master'!E11="","",'Master'!E11)</x:f>
      </x:c>
      <x:c r="E18" s="100" t="str">
        <x:f>IF('Master'!F11="","",'Master'!F11)</x:f>
        <x:v>Centralized/closed source; privacy/crypto/audit details sparse</x:v>
      </x:c>
      <x:c r="F18" s="100" t="str">
        <x:f>IF('Master'!G11="","",'Master'!G11)</x:f>
        <x:v>Alpha; proprietary today; no self-hosting/federation; cryptography still maturing</x:v>
      </x:c>
      <x:c r="G18" s="100" t="str">
        <x:f>IF('Master'!H11="","",'Master'!H11)</x:f>
        <x:v>Public beta; no text E2EE yet; federation not yet available</x:v>
      </x:c>
      <x:c r="H18" s="100" t="str">
        <x:f>IF('Master'!I11="","",'Master'!I11)</x:f>
        <x:v>Proprietary; federation/text E2EE not verified</x:v>
      </x:c>
      <x:c r="I18" s="100" t="str">
        <x:f>IF('Master'!J11="","",'Master'!J11)</x:f>
        <x:v>Daily-driver polish is still in progress; mobile apps, discovery and bot API are next/in development</x:v>
      </x:c>
      <x:c r="J18" s="100" t="str">
        <x:f>IF('Master'!K11="","",'Master'!K11)</x:f>
        <x:v>Very early/solo; no mature Discord migration or persistent voice-room ecosystem</x:v>
      </x:c>
      <x:c r="K18" s="100" t="str">
        <x:f>IF('Master'!L11="","",'Master'!L11)</x:f>
        <x:v>Solo developer; developer reports brief backend downtime on some releases while zero-downtime work is in progress</x:v>
      </x:c>
      <x:c r="L18" s="100" t="str">
        <x:f>IF('Master'!M11="","",'Master'!M11)</x:f>
        <x:v>Centralized/closed source; E2EE deployment/audits not mature</x:v>
      </x:c>
      <x:c r="M18" s="100" t="str">
        <x:f>IF('Master'!N11="","",'Master'!N11)</x:f>
        <x:v>Early beta; mobile/export/federation details still evolving</x:v>
      </x:c>
      <x:c r="N18" s="100" t="str">
        <x:f>IF('Master'!O11="","",'Master'!O11)</x:f>
        <x:v>UX/features vary substantially by client/homeserver; no single Matrix app</x:v>
      </x:c>
      <x:c r="O18" s="100" t="str">
        <x:f>IF('Master'!P11="","",'Master'!P11)</x:f>
        <x:v>Not gaming/community-first; no native E2EE for server-stored messages</x:v>
      </x:c>
      <x:c r="P18" s="100" t="str">
        <x:f>IF('Master'!Q11="","",'Master'!Q11)</x:f>
      </x:c>
      <x:c r="Q18" s="100" t="str">
        <x:f>IF('Master'!R11="","",'Master'!R11)</x:f>
        <x:v>Voice-first, not a full Discord community/text replacement</x:v>
      </x:c>
      <x:c r="R18" s="100" t="str">
        <x:f>IF('Master'!S11="","",'Master'!S11)</x:f>
        <x:v>No federation; self-hosting unsupported as a normal use case; limited media documentation</x:v>
      </x:c>
      <x:c r="S18" s="100" t="str">
        <x:f>IF('Master'!T11="","",'Master'!T11)</x:f>
        <x:v>Centralized/proprietary model; text E2EE/self-hosting not verified</x:v>
      </x:c>
      <x:c r="T18" s="100" t="str">
        <x:f>IF('Master'!U11="","",'Master'!U11)</x:f>
        <x:v>Young beta; no public bot API; mobile via TestFlight/APK; Discord import is layout-only; QoL still catching up</x:v>
      </x:c>
      <x:c r="U18" s="100" t="str">
        <x:f>IF('Master'!V11="","",'Master'!V11)</x:f>
        <x:v>Centralized/closed source; E2EE and detailed media limits not published</x:v>
      </x:c>
      <x:c r="V18" s="100" t="str">
        <x:f>IF('Master'!W11="","",'Master'!W11)</x:f>
        <x:v>Media/federation/E2EE behavior is deployment/version dependent; less Discord-like voice UX</x:v>
      </x:c>
      <x:c r="W18" s="100" t="str">
        <x:f>IF('Master'!X11="","",'Master'!X11)</x:f>
        <x:v>Early and text-focused; not yet a full Discord media replacement</x:v>
      </x:c>
      <x:c r="X18" s="100" t="str">
        <x:f>IF('Master'!Y11="","",'Master'!Y11)</x:f>
        <x:v>Closed source, centralized, no text E2EE/self-hosting</x:v>
      </x:c>
      <x:c r="Y18" s="100" t="str">
        <x:f>IF('Master'!Z11="","",'Master'!Z11)</x:f>
        <x:v>Alpha/WIP; separate instances do not federate; setup is technical</x:v>
      </x:c>
      <x:c r="Z18" s="100" t="str">
        <x:f>IF('Master'!AA11="","",'Master'!AA11)</x:f>
        <x:v>No federation; text E2EE not verified/default; feature completeness still maturing</x:v>
      </x:c>
      <x:c r="AA18" s="104" t="str">
        <x:f>IF('Master'!AB11="","",'Master'!AB11)</x:f>
        <x:v>Less Discord-like community/text ecosystem; TS6 is still beta</x:v>
      </x:c>
      <x:c r="AB18" s="100" t="str">
        <x:f>IF('Master'!AC11="","",'Master'!AC11)</x:f>
        <x:v>Alpha; iOS/media/E2EE details incomplete</x:v>
      </x:c>
      <x:c r="AC18" s="100" t="str">
        <x:f>IF('Master'!AD11="","",'Master'!AD11)</x:f>
        <x:v>Experimental; federation/E2EE/client source are still in progress</x:v>
      </x:c>
      <x:c r="AD18" s="100" t="str">
        <x:f>IF('Master'!AE11="","",'Master'!AE11)</x:f>
        <x:v>Centralized/solo beta; no E2EE, self-hosting, federation or Discord migration</x:v>
      </x:c>
      <x:c r="AE18" s="100" t="str">
        <x:f>IF('Master'!AF11="","",'Master'!AF11)</x:f>
        <x:v>Proprietary and non-federated; smaller ecosystem</x:v>
      </x:c>
      <x:c r="AF18" s="75" t="str">
        <x:f>IF('Master'!AG11="","",'Master'!AG11)</x:f>
        <x:v>Voice/video depend on external providers; less gaming/community oriented</x:v>
      </x:c>
    </x:row>
    <x:row r="19" ht="23.100000381469727" customHeight="1">
      <x:c r="A19" s="135" t="str">
        <x:v>Platform Model Snapshot</x:v>
      </x:c>
      <x:c r="B19" s="102" t="str">
        <x:f>IF('Master'!C12="","",'Master'!C12)</x:f>
      </x:c>
      <x:c r="C19" s="102" t="str">
        <x:f>IF('Master'!D12="","",'Master'!D12)</x:f>
      </x:c>
      <x:c r="D19" s="102" t="str">
        <x:f>IF('Master'!E12="","",'Master'!E12)</x:f>
      </x:c>
      <x:c r="E19" s="102" t="str">
        <x:f>IF('Master'!F12="","",'Master'!F12)</x:f>
      </x:c>
      <x:c r="F19" s="102" t="str">
        <x:f>IF('Master'!G12="","",'Master'!G12)</x:f>
      </x:c>
      <x:c r="G19" s="102" t="str">
        <x:f>IF('Master'!H12="","",'Master'!H12)</x:f>
      </x:c>
      <x:c r="H19" s="102" t="str">
        <x:f>IF('Master'!I12="","",'Master'!I12)</x:f>
      </x:c>
      <x:c r="I19" s="102" t="str">
        <x:f>IF('Master'!J12="","",'Master'!J12)</x:f>
      </x:c>
      <x:c r="J19" s="102" t="str">
        <x:f>IF('Master'!K12="","",'Master'!K12)</x:f>
      </x:c>
      <x:c r="K19" s="102" t="str">
        <x:f>IF('Master'!L12="","",'Master'!L12)</x:f>
        <x:v>Federated home-instance model with one account usable across other Kaede homes</x:v>
      </x:c>
      <x:c r="L19" s="102" t="str">
        <x:f>IF('Master'!M12="","",'Master'!M12)</x:f>
      </x:c>
      <x:c r="M19" s="102" t="str">
        <x:f>IF('Master'!N12="","",'Master'!N12)</x:f>
      </x:c>
      <x:c r="N19" s="102" t="str">
        <x:f>IF('Master'!O12="","",'Master'!O12)</x:f>
      </x:c>
      <x:c r="O19" s="102" t="str">
        <x:f>IF('Master'!P12="","",'Master'!P12)</x:f>
      </x:c>
      <x:c r="P19" s="102" t="str">
        <x:f>IF('Master'!Q12="","",'Master'!Q12)</x:f>
      </x:c>
      <x:c r="Q19" s="102" t="str">
        <x:f>IF('Master'!R12="","",'Master'!R12)</x:f>
      </x:c>
      <x:c r="R19" s="102" t="str">
        <x:f>IF('Master'!S12="","",'Master'!S12)</x:f>
      </x:c>
      <x:c r="S19" s="102" t="str">
        <x:f>IF('Master'!T12="","",'Master'!T12)</x:f>
      </x:c>
      <x:c r="T19" s="102" t="str">
        <x:f>IF('Master'!U12="","",'Master'!U12)</x:f>
      </x:c>
      <x:c r="U19" s="102" t="str">
        <x:f>IF('Master'!V12="","",'Master'!V12)</x:f>
      </x:c>
      <x:c r="V19" s="102" t="str">
        <x:f>IF('Master'!W12="","",'Master'!W12)</x:f>
      </x:c>
      <x:c r="W19" s="102" t="str">
        <x:f>IF('Master'!X12="","",'Master'!X12)</x:f>
      </x:c>
      <x:c r="X19" s="102" t="str">
        <x:f>IF('Master'!Y12="","",'Master'!Y12)</x:f>
      </x:c>
      <x:c r="Y19" s="102" t="str">
        <x:f>IF('Master'!Z12="","",'Master'!Z12)</x:f>
      </x:c>
      <x:c r="Z19" s="102" t="str">
        <x:f>IF('Master'!AA12="","",'Master'!AA12)</x:f>
      </x:c>
      <x:c r="AA19" s="103" t="str">
        <x:f>IF('Master'!AB12="","",'Master'!AB12)</x:f>
      </x:c>
      <x:c r="AB19" s="102" t="str">
        <x:f>IF('Master'!AC12="","",'Master'!AC12)</x:f>
      </x:c>
      <x:c r="AC19" s="102" t="str">
        <x:f>IF('Master'!AD12="","",'Master'!AD12)</x:f>
      </x:c>
      <x:c r="AD19" s="102" t="str">
        <x:f>IF('Master'!AE12="","",'Master'!AE12)</x:f>
      </x:c>
      <x:c r="AE19" s="102" t="str">
        <x:f>IF('Master'!AF12="","",'Master'!AF12)</x:f>
      </x:c>
      <x:c r="AF19" s="75" t="str">
        <x:f>IF('Master'!AG12="","",'Master'!AG12)</x:f>
      </x:c>
    </x:row>
    <x:row r="20" ht="36" customHeight="1">
      <x:c r="A20" s="135" t="str">
        <x:v>Product Type</x:v>
      </x:c>
      <x:c r="B20" s="100" t="str">
        <x:f>IF('Master'!C319="","",'Master'!C319)</x:f>
        <x:v>Centralized proprietary communication service</x:v>
      </x:c>
      <x:c r="C20" s="100" t="str">
        <x:f>IF('Master'!D319="","",'Master'!D319)</x:f>
        <x:v>Serverless/federated-style E2EE community client built on Nostr</x:v>
      </x:c>
      <x:c r="D20" s="100" t="str">
        <x:f>IF('Master'!E319="","",'Master'!E319)</x:f>
        <x:v>Self-hosted-only decentralized chat software + key-based messenger</x:v>
      </x:c>
      <x:c r="E20" s="100" t="str">
        <x:f>IF('Master'!F319="","",'Master'!F319)</x:f>
        <x:v>Centralized Discord-like voice/chat service</x:v>
      </x:c>
      <x:c r="F20" s="100" t="str">
        <x:f>IF('Master'!G319="","",'Master'!G319)</x:f>
        <x:v>Centralized hosted community platform</x:v>
      </x:c>
      <x:c r="G20" s="100" t="str">
        <x:f>IF('Master'!H319="","",'Master'!H319)</x:f>
        <x:v>Hosted + self-hostable Discord-like service</x:v>
      </x:c>
      <x:c r="H20" s="100" t="str">
        <x:f>IF('Master'!I319="","",'Master'!I319)</x:f>
        <x:v>Hosted + self-hostable gaming community platform</x:v>
      </x:c>
      <x:c r="I20" s="100" t="str">
        <x:f>IF('Master'!J319="","",'Master'!J319)</x:f>
        <x:v>Hosted + self-hostable open-source community/chat platform</x:v>
      </x:c>
      <x:c r="J20" s="100" t="str">
        <x:f>IF('Master'!K319="","",'Master'!K319)</x:f>
        <x:v>Local-first distributed encrypted messenger/community app</x:v>
      </x:c>
      <x:c r="K20" s="100" t="str">
        <x:f>IF('Master'!L319="","",'Master'!L319)</x:f>
        <x:v>Federated self-hosted chat application</x:v>
      </x:c>
      <x:c r="L20" s="100" t="str">
        <x:f>IF('Master'!M319="","",'Master'!M319)</x:f>
        <x:v>Centralized privacy-focused community platform</x:v>
      </x:c>
      <x:c r="M20" s="100" t="str">
        <x:f>IF('Master'!N319="","",'Master'!N319)</x:f>
        <x:v>Discord-like hosted/self-host/federation-oriented community platform</x:v>
      </x:c>
      <x:c r="N20" s="100" t="str">
        <x:f>IF('Master'!O319="","",'Master'!O319)</x:f>
        <x:v>Open federated communication protocol/ecosystem</x:v>
      </x:c>
      <x:c r="O20" s="100" t="str">
        <x:f>IF('Master'!P319="","",'Master'!P319)</x:f>
        <x:v>Enterprise collaboration application; cloud or self-host</x:v>
      </x:c>
      <x:c r="P20" s="100" t="str">
        <x:f>IF('Master'!Q319="","",'Master'!Q319)</x:f>
        <x:v>Hosted all-in-one community/work platform</x:v>
      </x:c>
      <x:c r="Q20" s="100" t="str">
        <x:f>IF('Master'!R319="","",'Master'!R319)</x:f>
        <x:v>Self-hosted low-latency voice protocol/application</x:v>
      </x:c>
      <x:c r="R20" s="100" t="str">
        <x:f>IF('Master'!S319="","",'Master'!S319)</x:f>
        <x:v>Open-source centralized community chat application</x:v>
      </x:c>
      <x:c r="S20" s="100" t="str">
        <x:f>IF('Master'!T319="","",'Master'!T319)</x:f>
        <x:v>Centralized distributed-region community platform</x:v>
      </x:c>
      <x:c r="T20" s="100" t="str">
        <x:f>IF('Master'!U319="","",'Master'!U319)</x:f>
        <x:v>Centralized hosted service + self-hostable AGPL community chat</x:v>
      </x:c>
      <x:c r="U20" s="100" t="str">
        <x:f>IF('Master'!V319="","",'Master'!V319)</x:f>
        <x:v>Centralized proprietary community/chat platform</x:v>
      </x:c>
      <x:c r="V20" s="100" t="str">
        <x:f>IF('Master'!W319="","",'Master'!W319)</x:f>
        <x:v>Collaboration platform; cloud/self-host with optional federation</x:v>
      </x:c>
      <x:c r="W20" s="100" t="str">
        <x:f>IF('Master'!X319="","",'Master'!X319)</x:f>
        <x:v>ATProto-based group chat/community app</x:v>
      </x:c>
      <x:c r="X20" s="100" t="str">
        <x:f>IF('Master'!Y319="","",'Master'!Y319)</x:f>
        <x:v>Centralized proprietary community platform</x:v>
      </x:c>
      <x:c r="Y20" s="100" t="str">
        <x:f>IF('Master'!Z319="","",'Master'!Z319)</x:f>
        <x:v>Self-hosted Discord-compatible service implementation</x:v>
      </x:c>
      <x:c r="Z20" s="100" t="str">
        <x:f>IF('Master'!AA319="","",'Master'!AA319)</x:f>
        <x:v>Hosted + self-hostable Discord-like service</x:v>
      </x:c>
      <x:c r="AA20" s="104" t="str">
        <x:f>IF('Master'!AB319="","",'Master'!AB319)</x:f>
        <x:v>Commercial self-hosted/hosted voice communication platform</x:v>
      </x:c>
      <x:c r="AB20" s="100" t="str">
        <x:f>IF('Master'!AC319="","",'Master'!AC319)</x:f>
        <x:v>Open-source community platform with hosted + self-host nodes</x:v>
      </x:c>
      <x:c r="AC20" s="100" t="str">
        <x:f>IF('Master'!AD319="","",'Master'!AD319)</x:f>
        <x:v>Discord-like platform moving from centralized to open-source/self-host/federated</x:v>
      </x:c>
      <x:c r="AD20" s="100" t="str">
        <x:f>IF('Master'!AE319="","",'Master'!AE319)</x:f>
        <x:v>Centralized lobby-first gaming social platform</x:v>
      </x:c>
      <x:c r="AE20" s="100" t="str">
        <x:f>IF('Master'!AF319="","",'Master'!AF319)</x:f>
        <x:v>Self-hosted voice/chat collaboration platform</x:v>
      </x:c>
      <x:c r="AF20" s="75" t="str">
        <x:f>IF('Master'!AG319="","",'Master'!AG319)</x:f>
        <x:v>Hosted + self-hosted team chat application</x:v>
      </x:c>
    </x:row>
    <x:row r="21" ht="36" customHeight="1">
      <x:c r="A21" s="135" t="str">
        <x:v>Reference / First-Party Client(s)</x:v>
      </x:c>
      <x:c r="B21" s="100" t="str">
        <x:f>IF('Master'!C320="","",'Master'!C320)</x:f>
        <x:v>Discord official web/desktop/mobile clients</x:v>
      </x:c>
      <x:c r="C21" s="100" t="str">
        <x:f>IF('Master'!D320="","",'Master'!D320)</x:f>
        <x:v>Armada client</x:v>
      </x:c>
      <x:c r="D21" s="100" t="str">
        <x:f>IF('Master'!E320="","",'Master'!E320)</x:f>
        <x:v>DCTS web/desktop/Android clients</x:v>
      </x:c>
      <x:c r="E21" s="100" t="str">
        <x:f>IF('Master'!F320="","",'Master'!F320)</x:f>
        <x:v>Echon web/native clients</x:v>
      </x:c>
      <x:c r="F21" s="100" t="str">
        <x:f>IF('Master'!G320="","",'Master'!G320)</x:f>
        <x:v>Fenrid web/PWA alpha</x:v>
      </x:c>
      <x:c r="G21" s="100" t="str">
        <x:f>IF('Master'!H320="","",'Master'!H320)</x:f>
        <x:v>Fluxer Web/PWA, Electron desktop, Flutter mobile beta</x:v>
      </x:c>
      <x:c r="H21" s="100" t="str">
        <x:f>IF('Master'!I320="","",'Master'!I320)</x:f>
        <x:v>GameVox native/web clients</x:v>
      </x:c>
      <x:c r="I21" s="100" t="str">
        <x:f>IF('Master'!J320="","",'Master'!J320)</x:f>
        <x:v>Fermi is the current primary client</x:v>
      </x:c>
      <x:c r="J21" s="100" t="str">
        <x:f>IF('Master'!K320="","",'Master'!K320)</x:f>
        <x:v>Hollow native client</x:v>
      </x:c>
      <x:c r="K21" s="100" t="str">
        <x:f>IF('Master'!L320="","",'Master'!L320)</x:f>
        <x:v>Web (SvelteKit), Tauri desktop, Flutter mobile</x:v>
      </x:c>
      <x:c r="L21" s="100" t="str">
        <x:f>IF('Master'!M320="","",'Master'!M320)</x:f>
        <x:v>Kloak web/client</x:v>
      </x:c>
      <x:c r="M21" s="100" t="str">
        <x:f>IF('Master'!N320="","",'Master'!N320)</x:f>
        <x:v>Loqa web client</x:v>
      </x:c>
      <x:c r="N21" s="100" t="str">
        <x:f>IF('Master'!O320="","",'Master'!O320)</x:f>
        <x:v>No single official client. Element/Element X are example clients, not Matrix itself.</x:v>
      </x:c>
      <x:c r="O21" s="100" t="str">
        <x:f>IF('Master'!P320="","",'Master'!P320)</x:f>
        <x:v>Mattermost web/desktop/mobile</x:v>
      </x:c>
      <x:c r="P21" s="100" t="str">
        <x:f>IF('Master'!Q320="","",'Master'!Q320)</x:f>
        <x:v>Mezon web/desktop/mobile</x:v>
      </x:c>
      <x:c r="Q21" s="100" t="str">
        <x:f>IF('Master'!R320="","",'Master'!R320)</x:f>
        <x:v>Mumble desktop client</x:v>
      </x:c>
      <x:c r="R21" s="100" t="str">
        <x:f>IF('Master'!S320="","",'Master'!S320)</x:f>
        <x:v>Nerimity Web/Desktop/Android</x:v>
      </x:c>
      <x:c r="S21" s="100" t="str">
        <x:f>IF('Master'!T320="","",'Master'!T320)</x:f>
        <x:v>Osmium web/desktop/mobile</x:v>
      </x:c>
      <x:c r="T21" s="100" t="str">
        <x:f>IF('Master'!U320="","",'Master'!U320)</x:f>
        <x:v>Web React/Vite; desktop Electron; iOS TestFlight; Android APK</x:v>
      </x:c>
      <x:c r="U21" s="100" t="str">
        <x:f>IF('Master'!V320="","",'Master'!V320)</x:f>
        <x:v>Rift client/web</x:v>
      </x:c>
      <x:c r="V21" s="100" t="str">
        <x:f>IF('Master'!W320="","",'Master'!W320)</x:f>
        <x:v>Rocket.Chat web/desktop/mobile</x:v>
      </x:c>
      <x:c r="W21" s="100" t="str">
        <x:f>IF('Master'!X320="","",'Master'!X320)</x:f>
        <x:v>Roomy web app</x:v>
      </x:c>
      <x:c r="X21" s="100" t="str">
        <x:f>IF('Master'!Y320="","",'Master'!Y320)</x:f>
        <x:v>Root desktop/mobile/web surfaces</x:v>
      </x:c>
      <x:c r="Y21" s="100" t="str">
        <x:f>IF('Master'!Z320="","",'Master'!Z320)</x:f>
        <x:v>Spacebar-aware client(s); compatibility with Discord-style clients is a project goal</x:v>
      </x:c>
      <x:c r="Z21" s="100" t="str">
        <x:f>IF('Master'!AA320="","",'Master'!AA320)</x:f>
        <x:v>Stoat Web/PWA, Desktop, Android; iOS project</x:v>
      </x:c>
      <x:c r="AA21" s="104" t="str">
        <x:f>IF('Master'!AB320="","",'Master'!AB320)</x:f>
        <x:v>TeamSpeak official clients</x:v>
      </x:c>
      <x:c r="AB21" s="100" t="str">
        <x:f>IF('Master'!AC320="","",'Master'!AC320)</x:f>
        <x:v>Valour web/Windows/Android</x:v>
      </x:c>
      <x:c r="AC21" s="100" t="str">
        <x:f>IF('Master'!AD320="","",'Master'!AD320)</x:f>
        <x:v>Venta client</x:v>
      </x:c>
      <x:c r="AD21" s="100" t="str">
        <x:f>IF('Master'!AE320="","",'Master'!AE320)</x:f>
        <x:v>Weered web/Tauri client</x:v>
      </x:c>
      <x:c r="AE21" s="100" t="str">
        <x:f>IF('Master'!AF320="","",'Master'!AF320)</x:f>
        <x:v>Yapper browser/client</x:v>
      </x:c>
      <x:c r="AF21" s="75" t="str">
        <x:f>IF('Master'!AG320="","",'Master'!AG320)</x:f>
        <x:v>Zulip web/desktop/mobile</x:v>
      </x:c>
    </x:row>
    <x:row r="22" ht="36" customHeight="1">
      <x:c r="A22" s="135" t="str">
        <x:v>Client Interchangeability</x:v>
      </x:c>
      <x:c r="B22" s="100" t="str">
        <x:f>IF('Master'!C322="","",'Master'!C322)</x:f>
        <x:v>No</x:v>
      </x:c>
      <x:c r="C22" s="100" t="str">
        <x:f>IF('Master'!D322="","",'Master'!D322)</x:f>
        <x:v>Partial</x:v>
      </x:c>
      <x:c r="D22" s="100" t="str">
        <x:f>IF('Master'!E322="","",'Master'!E322)</x:f>
        <x:v>Yes for messenger/home server identity</x:v>
      </x:c>
      <x:c r="E22" s="100" t="str">
        <x:f>IF('Master'!F322="","",'Master'!F322)</x:f>
        <x:v>No</x:v>
      </x:c>
      <x:c r="F22" s="100" t="str">
        <x:f>IF('Master'!G322="","",'Master'!G322)</x:f>
        <x:v>No</x:v>
      </x:c>
      <x:c r="G22" s="100" t="str">
        <x:f>IF('Master'!H322="","",'Master'!H322)</x:f>
        <x:v>Limited</x:v>
      </x:c>
      <x:c r="H22" s="100" t="str">
        <x:f>IF('Master'!I322="","",'Master'!I322)</x:f>
        <x:v>No</x:v>
      </x:c>
      <x:c r="I22" s="100" t="str">
        <x:f>IF('Master'!J322="","",'Master'!J322)</x:f>
        <x:v>Yes in principle</x:v>
      </x:c>
      <x:c r="J22" s="100" t="str">
        <x:f>IF('Master'!K322="","",'Master'!K322)</x:f>
        <x:v>Identity portable across relays</x:v>
      </x:c>
      <x:c r="K22" s="100" t="str">
        <x:f>IF('Master'!L322="","",'Master'!L322)</x:f>
        <x:v>Possible through documented APIs/protocol; no established third-party client ecosystem yet</x:v>
      </x:c>
      <x:c r="L22" s="100" t="str">
        <x:f>IF('Master'!M322="","",'Master'!M322)</x:f>
        <x:v>No</x:v>
      </x:c>
      <x:c r="M22" s="100" t="str">
        <x:f>IF('Master'!N322="","",'Master'!N322)</x:f>
      </x:c>
      <x:c r="N22" s="100" t="str">
        <x:f>IF('Master'!O322="","",'Master'!O322)</x:f>
        <x:v>Yes — core architectural feature</x:v>
      </x:c>
      <x:c r="O22" s="100" t="str">
        <x:f>IF('Master'!P322="","",'Master'!P322)</x:f>
        <x:v>Limited</x:v>
      </x:c>
      <x:c r="P22" s="100" t="str">
        <x:f>IF('Master'!Q322="","",'Master'!Q322)</x:f>
      </x:c>
      <x:c r="Q22" s="100" t="str">
        <x:f>IF('Master'!R322="","",'Master'!R322)</x:f>
        <x:v>Yes within Mumble protocol compatibility</x:v>
      </x:c>
      <x:c r="R22" s="100" t="str">
        <x:f>IF('Master'!S322="","",'Master'!S322)</x:f>
        <x:v>Limited</x:v>
      </x:c>
      <x:c r="S22" s="100" t="str">
        <x:f>IF('Master'!T322="","",'Master'!T322)</x:f>
        <x:v>No</x:v>
      </x:c>
      <x:c r="T22" s="100" t="str">
        <x:f>IF('Master'!U322="","",'Master'!U322)</x:f>
        <x:v>Limited</x:v>
      </x:c>
      <x:c r="U22" s="100" t="str">
        <x:f>IF('Master'!V322="","",'Master'!V322)</x:f>
        <x:v>No</x:v>
      </x:c>
      <x:c r="V22" s="100" t="str">
        <x:f>IF('Master'!W322="","",'Master'!W322)</x:f>
        <x:v>Limited</x:v>
      </x:c>
      <x:c r="W22" s="100" t="str">
        <x:f>IF('Master'!X322="","",'Master'!X322)</x:f>
        <x:v>Partial</x:v>
      </x:c>
      <x:c r="X22" s="100" t="str">
        <x:f>IF('Master'!Y322="","",'Master'!Y322)</x:f>
        <x:v>No</x:v>
      </x:c>
      <x:c r="Y22" s="100" t="str">
        <x:f>IF('Master'!Z322="","",'Master'!Z322)</x:f>
        <x:v>Potentially, within compatibility limits</x:v>
      </x:c>
      <x:c r="Z22" s="100" t="str">
        <x:f>IF('Master'!AA322="","",'Master'!AA322)</x:f>
        <x:v>Limited — official clients do not all support arbitrary self-hosted instances</x:v>
      </x:c>
      <x:c r="AA22" s="104" t="str">
        <x:f>IF('Master'!AB322="","",'Master'!AB322)</x:f>
        <x:v>Limited</x:v>
      </x:c>
      <x:c r="AB22" s="100" t="str">
        <x:f>IF('Master'!AC322="","",'Master'!AC322)</x:f>
        <x:v>Partial</x:v>
      </x:c>
      <x:c r="AC22" s="100" t="str">
        <x:f>IF('Master'!AD322="","",'Master'!AD322)</x:f>
      </x:c>
      <x:c r="AD22" s="100" t="str">
        <x:f>IF('Master'!AE322="","",'Master'!AE322)</x:f>
        <x:v>No</x:v>
      </x:c>
      <x:c r="AE22" s="100" t="str">
        <x:f>IF('Master'!AF322="","",'Master'!AF322)</x:f>
        <x:v>No</x:v>
      </x:c>
      <x:c r="AF22" s="75" t="str">
        <x:f>IF('Master'!AG322="","",'Master'!AG322)</x:f>
        <x:v>Limited</x:v>
      </x:c>
    </x:row>
    <x:row r="23" ht="36" customHeight="1">
      <x:c r="A23" s="135" t="str">
        <x:v>Self-Hosting Supported</x:v>
      </x:c>
      <x:c r="B23" s="100" t="str">
        <x:f>IF('Master'!C326="","",'Master'!C326)</x:f>
        <x:v>No</x:v>
      </x:c>
      <x:c r="C23" s="100" t="str">
        <x:f>IF('Master'!D326="","",'Master'!D326)</x:f>
        <x:v>Yes — relays/self-host</x:v>
      </x:c>
      <x:c r="D23" s="100" t="str">
        <x:f>IF('Master'!E326="","",'Master'!E326)</x:f>
        <x:v>Yes</x:v>
      </x:c>
      <x:c r="E23" s="100" t="str">
        <x:f>IF('Master'!F326="","",'Master'!F326)</x:f>
        <x:v>No</x:v>
      </x:c>
      <x:c r="F23" s="100" t="str">
        <x:f>IF('Master'!G326="","",'Master'!G326)</x:f>
        <x:v>No currently</x:v>
      </x:c>
      <x:c r="G23" s="100" t="str">
        <x:f>IF('Master'!H326="","",'Master'!H326)</x:f>
        <x:v>Yes</x:v>
      </x:c>
      <x:c r="H23" s="100" t="str">
        <x:f>IF('Master'!I326="","",'Master'!I326)</x:f>
        <x:v>Yes</x:v>
      </x:c>
      <x:c r="I23" s="100" t="str">
        <x:f>IF('Master'!J326="","",'Master'!J326)</x:f>
        <x:v>Yes</x:v>
      </x:c>
      <x:c r="J23" s="100" t="str">
        <x:f>IF('Master'!K326="","",'Master'!K326)</x:f>
        <x:v>Yes</x:v>
      </x:c>
      <x:c r="K23" s="100" t="str">
        <x:f>IF('Master'!L326="","",'Master'!L326)</x:f>
        <x:v>Yes</x:v>
      </x:c>
      <x:c r="L23" s="100" t="str">
        <x:f>IF('Master'!M326="","",'Master'!M326)</x:f>
        <x:v>No</x:v>
      </x:c>
      <x:c r="M23" s="100" t="str">
        <x:f>IF('Master'!N326="","",'Master'!N326)</x:f>
        <x:v>Yes</x:v>
      </x:c>
      <x:c r="N23" s="100" t="str">
        <x:f>IF('Master'!O326="","",'Master'!O326)</x:f>
        <x:v>Yes</x:v>
      </x:c>
      <x:c r="O23" s="100" t="str">
        <x:f>IF('Master'!P326="","",'Master'!P326)</x:f>
        <x:v>Yes</x:v>
      </x:c>
      <x:c r="P23" s="100" t="str">
        <x:f>IF('Master'!Q326="","",'Master'!Q326)</x:f>
      </x:c>
      <x:c r="Q23" s="100" t="str">
        <x:f>IF('Master'!R326="","",'Master'!R326)</x:f>
        <x:v>Yes</x:v>
      </x:c>
      <x:c r="R23" s="100" t="str">
        <x:f>IF('Master'!S326="","",'Master'!S326)</x:f>
        <x:v>Technically possible but explicitly not intended/supported</x:v>
      </x:c>
      <x:c r="S23" s="100" t="str">
        <x:f>IF('Master'!T326="","",'Master'!T326)</x:f>
        <x:v>No</x:v>
      </x:c>
      <x:c r="T23" s="100" t="str">
        <x:f>IF('Master'!U326="","",'Master'!U326)</x:f>
        <x:v>Yes — AGPL-3.0; docs in repository</x:v>
      </x:c>
      <x:c r="U23" s="100" t="str">
        <x:f>IF('Master'!V326="","",'Master'!V326)</x:f>
        <x:v>No</x:v>
      </x:c>
      <x:c r="V23" s="100" t="str">
        <x:f>IF('Master'!W326="","",'Master'!W326)</x:f>
        <x:v>Yes</x:v>
      </x:c>
      <x:c r="W23" s="100" t="str">
        <x:f>IF('Master'!X326="","",'Master'!X326)</x:f>
        <x:v>Partially via ATProto/PDS model</x:v>
      </x:c>
      <x:c r="X23" s="100" t="str">
        <x:f>IF('Master'!Y326="","",'Master'!Y326)</x:f>
        <x:v>No</x:v>
      </x:c>
      <x:c r="Y23" s="100" t="str">
        <x:f>IF('Master'!Z326="","",'Master'!Z326)</x:f>
        <x:v>Yes</x:v>
      </x:c>
      <x:c r="Z23" s="100" t="str">
        <x:f>IF('Master'!AA326="","",'Master'!AA326)</x:f>
        <x:v>Yes</x:v>
      </x:c>
      <x:c r="AA23" s="104" t="str">
        <x:f>IF('Master'!AB326="","",'Master'!AB326)</x:f>
        <x:v>Yes</x:v>
      </x:c>
      <x:c r="AB23" s="100" t="str">
        <x:f>IF('Master'!AC326="","",'Master'!AC326)</x:f>
        <x:v>Yes</x:v>
      </x:c>
      <x:c r="AC23" s="100" t="str">
        <x:f>IF('Master'!AD326="","",'Master'!AD326)</x:f>
        <x:v>In development</x:v>
      </x:c>
      <x:c r="AD23" s="100" t="str">
        <x:f>IF('Master'!AE326="","",'Master'!AE326)</x:f>
        <x:v>No</x:v>
      </x:c>
      <x:c r="AE23" s="100" t="str">
        <x:f>IF('Master'!AF326="","",'Master'!AF326)</x:f>
        <x:v>Yes</x:v>
      </x:c>
      <x:c r="AF23" s="75" t="str">
        <x:f>IF('Master'!AG326="","",'Master'!AG326)</x:f>
        <x:v>Yes</x:v>
      </x:c>
    </x:row>
    <x:row r="24" ht="36" customHeight="1">
      <x:c r="A24" s="135" t="str">
        <x:v>Federation Between Independent Instances</x:v>
      </x:c>
      <x:c r="B24" s="100" t="str">
        <x:f>IF('Master'!C328="","",'Master'!C328)</x:f>
        <x:v>No</x:v>
      </x:c>
      <x:c r="C24" s="100" t="str">
        <x:f>IF('Master'!D328="","",'Master'!D328)</x:f>
        <x:v>Nostr relay interoperability</x:v>
      </x:c>
      <x:c r="D24" s="100" t="str">
        <x:f>IF('Master'!E328="","",'Master'!E328)</x:f>
        <x:v>Yes for messenger/server communication features; full federation evolving</x:v>
      </x:c>
      <x:c r="E24" s="100" t="str">
        <x:f>IF('Master'!F328="","",'Master'!F328)</x:f>
        <x:v>No</x:v>
      </x:c>
      <x:c r="F24" s="100" t="str">
        <x:f>IF('Master'!G328="","",'Master'!G328)</x:f>
        <x:v>No</x:v>
      </x:c>
      <x:c r="G24" s="100" t="str">
        <x:f>IF('Master'!H328="","",'Master'!H328)</x:f>
        <x:v>Not yet — on roadmap</x:v>
      </x:c>
      <x:c r="H24" s="100" t="str">
        <x:f>IF('Master'!I328="","",'Master'!I328)</x:f>
        <x:v>No federation verified</x:v>
      </x:c>
      <x:c r="I24" s="100" t="str">
        <x:f>IF('Master'!J328="","",'Master'!J328)</x:f>
        <x:v>Federation planned</x:v>
      </x:c>
      <x:c r="J24" s="100" t="str">
        <x:f>IF('Master'!K328="","",'Master'!K328)</x:f>
        <x:v>Relay choice but not Matrix-style federated server state</x:v>
      </x:c>
      <x:c r="K24" s="100" t="str">
        <x:f>IF('Master'!L328="","",'Master'!L328)</x:f>
        <x:v>Yes — kaede-fed/1</x:v>
      </x:c>
      <x:c r="L24" s="100" t="str">
        <x:f>IF('Master'!M328="","",'Master'!M328)</x:f>
        <x:v>No</x:v>
      </x:c>
      <x:c r="M24" s="100" t="str">
        <x:f>IF('Master'!N328="","",'Master'!N328)</x:f>
        <x:v>Federation advertised</x:v>
      </x:c>
      <x:c r="N24" s="100" t="str">
        <x:f>IF('Master'!O328="","",'Master'!O328)</x:f>
        <x:v>Yes — core feature</x:v>
      </x:c>
      <x:c r="O24" s="100" t="str">
        <x:f>IF('Master'!P328="","",'Master'!P328)</x:f>
        <x:v>No general federation</x:v>
      </x:c>
      <x:c r="P24" s="100" t="str">
        <x:f>IF('Master'!Q328="","",'Master'!Q328)</x:f>
        <x:v>No federation verified</x:v>
      </x:c>
      <x:c r="Q24" s="100" t="str">
        <x:f>IF('Master'!R328="","",'Master'!R328)</x:f>
        <x:v>No</x:v>
      </x:c>
      <x:c r="R24" s="100" t="str">
        <x:f>IF('Master'!S328="","",'Master'!S328)</x:f>
        <x:v>No</x:v>
      </x:c>
      <x:c r="S24" s="100" t="str">
        <x:f>IF('Master'!T328="","",'Master'!T328)</x:f>
        <x:v>No</x:v>
      </x:c>
      <x:c r="T24" s="100" t="str">
        <x:f>IF('Master'!U328="","",'Master'!U328)</x:f>
        <x:v>No federation</x:v>
      </x:c>
      <x:c r="U24" s="100" t="str">
        <x:f>IF('Master'!V328="","",'Master'!V328)</x:f>
        <x:v>No</x:v>
      </x:c>
      <x:c r="V24" s="100" t="str">
        <x:f>IF('Master'!W328="","",'Master'!W328)</x:f>
        <x:v>Yes — Matrix-based federation feature set, with limitations</x:v>
      </x:c>
      <x:c r="W24" s="100" t="str">
        <x:f>IF('Master'!X328="","",'Master'!X328)</x:f>
        <x:v>ATProto federation ecosystem</x:v>
      </x:c>
      <x:c r="X24" s="100" t="str">
        <x:f>IF('Master'!Y328="","",'Master'!Y328)</x:f>
        <x:v>No</x:v>
      </x:c>
      <x:c r="Y24" s="100" t="str">
        <x:f>IF('Master'!Z328="","",'Master'!Z328)</x:f>
        <x:v>No</x:v>
      </x:c>
      <x:c r="Z24" s="100" t="str">
        <x:f>IF('Master'!AA328="","",'Master'!AA328)</x:f>
        <x:v>No</x:v>
      </x:c>
      <x:c r="AA24" s="104" t="str">
        <x:f>IF('Master'!AB328="","",'Master'!AB328)</x:f>
        <x:v>No</x:v>
      </x:c>
      <x:c r="AB24" s="100" t="str">
        <x:f>IF('Master'!AC328="","",'Master'!AC328)</x:f>
        <x:v>Node/federation model for migrating communities; exact cross-instance federation scope evolving</x:v>
      </x:c>
      <x:c r="AC24" s="100" t="str">
        <x:f>IF('Master'!AD328="","",'Master'!AD328)</x:f>
        <x:v>Planned/in development</x:v>
      </x:c>
      <x:c r="AD24" s="100" t="str">
        <x:f>IF('Master'!AE328="","",'Master'!AE328)</x:f>
        <x:v>No</x:v>
      </x:c>
      <x:c r="AE24" s="100" t="str">
        <x:f>IF('Master'!AF328="","",'Master'!AF328)</x:f>
        <x:v>No</x:v>
      </x:c>
      <x:c r="AF24" s="75" t="str">
        <x:f>IF('Master'!AG328="","",'Master'!AG328)</x:f>
        <x:v>No</x:v>
      </x:c>
    </x:row>
    <x:row r="25" ht="36" customHeight="1">
      <x:c r="A25" s="135" t="str">
        <x:v>Public Protocol / Standard</x:v>
      </x:c>
      <x:c r="B25" s="100" t="str">
        <x:f>IF('Master'!C331="","",'Master'!C331)</x:f>
        <x:v>Proprietary public developer APIs, not an open protocol</x:v>
      </x:c>
      <x:c r="C25" s="100" t="str">
        <x:f>IF('Master'!D331="","",'Master'!D331)</x:f>
        <x:v>Nostr + Concord/NIP-29</x:v>
      </x:c>
      <x:c r="D25" s="100" t="str">
        <x:f>IF('Master'!E331="","",'Master'!E331)</x:f>
        <x:v>Custom protocol</x:v>
      </x:c>
      <x:c r="E25" s="100" t="str">
        <x:f>IF('Master'!F331="","",'Master'!F331)</x:f>
        <x:v>Proprietary</x:v>
      </x:c>
      <x:c r="F25" s="100" t="str">
        <x:f>IF('Master'!G331="","",'Master'!G331)</x:f>
        <x:v>No open interoperability standard</x:v>
      </x:c>
      <x:c r="G25" s="100" t="str">
        <x:f>IF('Master'!H331="","",'Master'!H331)</x:f>
        <x:v>Public API/Gateway inspired by Discord; not a federation standard</x:v>
      </x:c>
      <x:c r="H25" s="100" t="str">
        <x:f>IF('Master'!I331="","",'Master'!I331)</x:f>
        <x:v>Proprietary API/service</x:v>
      </x:c>
      <x:c r="I25" s="100" t="str">
        <x:f>IF('Master'!J331="","",'Master'!J331)</x:f>
        <x:v>Discord-compatible API</x:v>
      </x:c>
      <x:c r="J25" s="100" t="str">
        <x:f>IF('Master'!K331="","",'Master'!K331)</x:f>
        <x:v>Custom open protocol/code</x:v>
      </x:c>
      <x:c r="K25" s="100" t="str">
        <x:f>IF('Master'!L331="","",'Master'!L331)</x:f>
        <x:v>Public project protocol: kaede-fed/1</x:v>
      </x:c>
      <x:c r="L25" s="100" t="str">
        <x:f>IF('Master'!M331="","",'Master'!M331)</x:f>
        <x:v>Proprietary</x:v>
      </x:c>
      <x:c r="M25" s="100" t="str">
        <x:f>IF('Master'!N331="","",'Master'!N331)</x:f>
        <x:v>Discord-compatible API + federation work</x:v>
      </x:c>
      <x:c r="N25" s="100" t="str">
        <x:f>IF('Master'!O331="","",'Master'!O331)</x:f>
        <x:v>Open Matrix specification: Client-Server + Server-Server/Federation APIs</x:v>
      </x:c>
      <x:c r="O25" s="100" t="str">
        <x:f>IF('Master'!P331="","",'Master'!P331)</x:f>
        <x:v>Open APIs, not a general federation standard</x:v>
      </x:c>
      <x:c r="P25" s="100" t="str">
        <x:f>IF('Master'!Q331="","",'Master'!Q331)</x:f>
        <x:v>Custom APIs</x:v>
      </x:c>
      <x:c r="Q25" s="100" t="str">
        <x:f>IF('Master'!R331="","",'Master'!R331)</x:f>
        <x:v>Open Mumble protocol/source</x:v>
      </x:c>
      <x:c r="R25" s="100" t="str">
        <x:f>IF('Master'!S331="","",'Master'!S331)</x:f>
        <x:v>Public app/API code, not a federation standard</x:v>
      </x:c>
      <x:c r="S25" s="100" t="str">
        <x:f>IF('Master'!T331="","",'Master'!T331)</x:f>
        <x:v>Proprietary service APIs</x:v>
      </x:c>
      <x:c r="T25" s="100" t="str">
        <x:f>IF('Master'!U331="","",'Master'!U331)</x:f>
        <x:v>Session-only application API; Discord-compatible incoming webhooks; no public bot/third-party API</x:v>
      </x:c>
      <x:c r="U25" s="100" t="str">
        <x:f>IF('Master'!V331="","",'Master'!V331)</x:f>
        <x:v>Proprietary</x:v>
      </x:c>
      <x:c r="V25" s="100" t="str">
        <x:f>IF('Master'!W331="","",'Master'!W331)</x:f>
        <x:v>REST/realtime APIs + federation components</x:v>
      </x:c>
      <x:c r="W25" s="100" t="str">
        <x:f>IF('Master'!X331="","",'Master'!X331)</x:f>
        <x:v>AT Protocol</x:v>
      </x:c>
      <x:c r="X25" s="100" t="str">
        <x:f>IF('Master'!Y331="","",'Master'!Y331)</x:f>
        <x:v>Proprietary Root APIs/SDK</x:v>
      </x:c>
      <x:c r="Y25" s="100" t="str">
        <x:f>IF('Master'!Z331="","",'Master'!Z331)</x:f>
        <x:v>Discord-compatible REST/Gateway reimplementation</x:v>
      </x:c>
      <x:c r="Z25" s="100" t="str">
        <x:f>IF('Master'!AA331="","",'Master'!AA331)</x:f>
        <x:v>Public REST/WebSocket API, but not a federation standard</x:v>
      </x:c>
      <x:c r="AA25" s="104" t="str">
        <x:f>IF('Master'!AB331="","",'Master'!AB331)</x:f>
        <x:v>Proprietary protocol/API</x:v>
      </x:c>
      <x:c r="AB25" s="100" t="str">
        <x:f>IF('Master'!AC331="","",'Master'!AC331)</x:f>
        <x:v>Valour API/node protocol</x:v>
      </x:c>
      <x:c r="AC25" s="100" t="str">
        <x:f>IF('Master'!AD331="","",'Master'!AD331)</x:f>
        <x:v>Custom open-source federation protocol</x:v>
      </x:c>
      <x:c r="AD25" s="100" t="str">
        <x:f>IF('Master'!AE331="","",'Master'!AE331)</x:f>
        <x:v>Proprietary/application API</x:v>
      </x:c>
      <x:c r="AE25" s="100" t="str">
        <x:f>IF('Master'!AF331="","",'Master'!AF331)</x:f>
      </x:c>
      <x:c r="AF25" s="75" t="str">
        <x:f>IF('Master'!AG331="","",'Master'!AG331)</x:f>
        <x:v>Open REST/realtime APIs</x:v>
      </x:c>
    </x:row>
    <x:row r="26" ht="36" customHeight="1">
      <x:c r="A26" s="135" t="str">
        <x:v>Open-Source Scope</x:v>
      </x:c>
      <x:c r="B26" s="100" t="str">
        <x:f>IF('Master'!C333="","",'Master'!C333)</x:f>
        <x:v>Closed-source core service/client</x:v>
      </x:c>
      <x:c r="C26" s="100" t="str">
        <x:f>IF('Master'!D333="","",'Master'!D333)</x:f>
        <x:v>Open source</x:v>
      </x:c>
      <x:c r="D26" s="100" t="str">
        <x:f>IF('Master'!E333="","",'Master'!E333)</x:f>
        <x:v>AGPL-3.0 open source</x:v>
      </x:c>
      <x:c r="E26" s="100" t="str">
        <x:f>IF('Master'!F333="","",'Master'!F333)</x:f>
        <x:v>Closed source currently</x:v>
      </x:c>
      <x:c r="F26" s="100" t="str">
        <x:f>IF('Master'!G333="","",'Master'!G333)</x:f>
        <x:v>Closed source during alpha; full source release planned</x:v>
      </x:c>
      <x:c r="G26" s="100" t="str">
        <x:f>IF('Master'!H333="","",'Master'!H333)</x:f>
        <x:v>AGPL-3.0 open-source stack</x:v>
      </x:c>
      <x:c r="H26" s="100" t="str">
        <x:f>IF('Master'!I333="","",'Master'!I333)</x:f>
        <x:v>Closed source</x:v>
      </x:c>
      <x:c r="I26" s="100" t="str">
        <x:f>IF('Master'!J333="","",'Master'!J333)</x:f>
        <x:v>Open source</x:v>
      </x:c>
      <x:c r="J26" s="100" t="str">
        <x:f>IF('Master'!K333="","",'Master'!K333)</x:f>
        <x:v>Open source</x:v>
      </x:c>
      <x:c r="K26" s="100" t="str">
        <x:f>IF('Master'!L333="","",'Master'!L333)</x:f>
        <x:v>MIT original code</x:v>
      </x:c>
      <x:c r="L26" s="100" t="str">
        <x:f>IF('Master'!M333="","",'Master'!M333)</x:f>
        <x:v>Closed source</x:v>
      </x:c>
      <x:c r="M26" s="100" t="str">
        <x:f>IF('Master'!N333="","",'Master'!N333)</x:f>
      </x:c>
      <x:c r="N26" s="100" t="str">
        <x:f>IF('Master'!O333="","",'Master'!O333)</x:f>
        <x:v>Protocol/spec open; implementations vary; many are FOSS</x:v>
      </x:c>
      <x:c r="O26" s="100" t="str">
        <x:f>IF('Master'!P333="","",'Master'!P333)</x:f>
        <x:v>Open-source/community code plus commercial editions</x:v>
      </x:c>
      <x:c r="P26" s="100" t="str">
        <x:f>IF('Master'!Q333="","",'Master'!Q333)</x:f>
        <x:v>Open-source repository</x:v>
      </x:c>
      <x:c r="Q26" s="100" t="str">
        <x:f>IF('Master'!R333="","",'Master'!R333)</x:f>
        <x:v>BSD-style open source</x:v>
      </x:c>
      <x:c r="R26" s="100" t="str">
        <x:f>IF('Master'!S333="","",'Master'!S333)</x:f>
        <x:v>Open-source client/server</x:v>
      </x:c>
      <x:c r="S26" s="100" t="str">
        <x:f>IF('Master'!T333="","",'Master'!T333)</x:f>
        <x:v>Mixed/partial open source</x:v>
      </x:c>
      <x:c r="T26" s="100" t="str">
        <x:f>IF('Master'!U333="","",'Master'!U333)</x:f>
        <x:v>AGPL-3.0</x:v>
      </x:c>
      <x:c r="U26" s="100" t="str">
        <x:f>IF('Master'!V333="","",'Master'!V333)</x:f>
        <x:v>Closed source</x:v>
      </x:c>
      <x:c r="V26" s="100" t="str">
        <x:f>IF('Master'!W333="","",'Master'!W333)</x:f>
        <x:v>MIT/open-source core + enterprise portions</x:v>
      </x:c>
      <x:c r="W26" s="100" t="str">
        <x:f>IF('Master'!X333="","",'Master'!X333)</x:f>
        <x:v>MPL-2.0 open source</x:v>
      </x:c>
      <x:c r="X26" s="100" t="str">
        <x:f>IF('Master'!Y333="","",'Master'!Y333)</x:f>
        <x:v>Closed-source core platform; developer SDK/API public</x:v>
      </x:c>
      <x:c r="Y26" s="100" t="str">
        <x:f>IF('Master'!Z333="","",'Master'!Z333)</x:f>
        <x:v>FOSS / AGPL-3.0 project</x:v>
      </x:c>
      <x:c r="Z26" s="100" t="str">
        <x:f>IF('Master'!AA333="","",'Master'!AA333)</x:f>
        <x:v>Backend/web/self-host stack largely FOSS (AGPL-3.0; components vary)</x:v>
      </x:c>
      <x:c r="AA26" s="104" t="str">
        <x:f>IF('Master'!AB333="","",'Master'!AB333)</x:f>
        <x:v>Proprietary core</x:v>
      </x:c>
      <x:c r="AB26" s="100" t="str">
        <x:f>IF('Master'!AC333="","",'Master'!AC333)</x:f>
        <x:v>AGPL-3.0 client/server</x:v>
      </x:c>
      <x:c r="AC26" s="100" t="str">
        <x:f>IF('Master'!AD333="","",'Master'!AD333)</x:f>
        <x:v>Backend open; client planned</x:v>
      </x:c>
      <x:c r="AD26" s="100" t="str">
        <x:f>IF('Master'!AE333="","",'Master'!AE333)</x:f>
        <x:v>Source-available</x:v>
      </x:c>
      <x:c r="AE26" s="100" t="str">
        <x:f>IF('Master'!AF333="","",'Master'!AF333)</x:f>
      </x:c>
      <x:c r="AF26" s="75" t="str">
        <x:f>IF('Master'!AG333="","",'Master'!AG333)</x:f>
        <x:v>Apache-2.0 open source</x:v>
      </x:c>
    </x:row>
    <x:row r="27" ht="36" customHeight="1">
      <x:c r="A27" s="135" t="str">
        <x:v>Important Model Distinction</x:v>
      </x:c>
      <x:c r="B27" s="100" t="str">
        <x:f>IF('Master'!C335="","",'Master'!C335)</x:f>
        <x:v>One vendor controls service, accounts, official clients, and server backend.</x:v>
      </x:c>
      <x:c r="C27" s="100" t="str">
        <x:f>IF('Master'!D335="","",'Master'!D335)</x:f>
        <x:v>Armada separates identity/content from a single platform host: keys are the account and relays are replaceable transport.</x:v>
      </x:c>
      <x:c r="D27" s="100" t="str">
        <x:f>IF('Master'!E335="","",'Master'!E335)</x:f>
        <x:v>DCTS combines island-like community servers with a separate cross-server encrypted messenger.</x:v>
      </x:c>
      <x:c r="E27" s="100" t="str">
        <x:f>IF('Master'!F335="","",'Master'!F335)</x:f>
        <x:v>Familiar Discord-style UX on a centralized service.</x:v>
      </x:c>
      <x:c r="F27" s="100" t="str">
        <x:f>IF('Master'!G335="","",'Master'!G335)</x:f>
        <x:v>Privacy features are product-level, but it is currently a centralized service rather than a federated protocol.</x:v>
      </x:c>
      <x:c r="G27" s="100" t="str">
        <x:f>IF('Master'!H335="","",'Master'!H335)</x:f>
        <x:v>Self-hosting exists now; federation is a separate roadmap item and should not be assumed.</x:v>
      </x:c>
      <x:c r="H27" s="100" t="str">
        <x:f>IF('Master'!I335="","",'Master'!I335)</x:f>
        <x:v>Self-hosting exists, but instances are not documented as one federated network.</x:v>
      </x:c>
      <x:c r="I27" s="100" t="str">
        <x:f>IF('Master'!J335="","",'Master'!J335)</x:f>
        <x:v>Harmony is the platform/API; Fermi is a client. This mirrors the Matrix/Element distinction conceptually, though Harmony is not Matrix.</x:v>
      </x:c>
      <x:c r="J27" s="100" t="str">
        <x:f>IF('Master'!K335="","",'Master'!K335)</x:f>
        <x:v>There is no central account database: the user's keypair is the identity and message history lives locally.</x:v>
      </x:c>
      <x:c r="K27" s="100" t="str">
        <x:f>IF('Master'!L335="","",'Master'!L335)</x:f>
        <x:v>Guild/conversation authority stays on its home instance; other homes replicate only permitted data</x:v>
      </x:c>
      <x:c r="L27" s="100" t="str">
        <x:f>IF('Master'!M335="","",'Master'!M335)</x:f>
        <x:v>Privacy-minimal account design is distinct from decentralization/self-hosting.</x:v>
      </x:c>
      <x:c r="M27" s="100" t="str">
        <x:f>IF('Master'!N335="","",'Master'!N335)</x:f>
        <x:v>Unlike a purely centralized clone, Loqa explicitly targets federation/self-hosting, but the architecture is still evolving.</x:v>
      </x:c>
      <x:c r="N27" s="100" t="str">
        <x:f>IF('Master'!O335="","",'Master'!O335)</x:f>
        <x:v>Element is a Matrix client/vendor product. Matrix itself is the protocol and federated ecosystem.</x:v>
      </x:c>
      <x:c r="O27" s="100" t="str">
        <x:f>IF('Master'!P335="","",'Master'!P335)</x:f>
        <x:v>Self-hosting gives data control, but separate Mattermost deployments are not one interoperable federation.</x:v>
      </x:c>
      <x:c r="P27" s="100" t="str">
        <x:f>IF('Master'!Q335="","",'Master'!Q335)</x:f>
        <x:v>Open source code does not by itself make Mezon a federated protocol like Matrix.</x:v>
      </x:c>
      <x:c r="Q27" s="100" t="str">
        <x:f>IF('Master'!R335="","",'Master'!R335)</x:f>
        <x:v>A voice-first client/server system, not a Discord-style social platform.</x:v>
      </x:c>
      <x:c r="R27" s="100" t="str">
        <x:f>IF('Master'!S335="","",'Master'!S335)</x:f>
        <x:v>Open source does not imply federation; the official project discourages self-hosting as a normal deployment model.</x:v>
      </x:c>
      <x:c r="S27" s="100" t="str">
        <x:f>IF('Master'!T335="","",'Master'!T335)</x:f>
        <x:v>Regional distribution is not federation or self-hosting.</x:v>
      </x:c>
      <x:c r="T27" s="100" t="str">
        <x:f>IF('Master'!U335="","",'Master'!U335)</x:f>
        <x:v>Self-hosting provides ownership, but instances are not one federated network.</x:v>
      </x:c>
      <x:c r="U27" s="100" t="str">
        <x:f>IF('Master'!V335="","",'Master'!V335)</x:f>
        <x:v>Privacy policy choices (no email/phone/ID, EXIF stripping, no AI training) operate within a centralized service model.</x:v>
      </x:c>
      <x:c r="V27" s="100" t="str">
        <x:f>IF('Master'!W335="","",'Master'!W335)</x:f>
        <x:v>Federation exists, but its feature set is narrower than local rooms and differs from Matrix-as-a-platform.</x:v>
      </x:c>
      <x:c r="W27" s="100" t="str">
        <x:f>IF('Master'!X335="","",'Master'!X335)</x:f>
        <x:v>Roomy is an ATProto application, not a generic centralized Discord clone.</x:v>
      </x:c>
      <x:c r="X27" s="100" t="str">
        <x:f>IF('Master'!Y335="","",'Master'!Y335)</x:f>
        <x:v>Apps/Bots are hosted inside Root; they extend Root but do not make it self-hosted/federated.</x:v>
      </x:c>
      <x:c r="Y27" s="100" t="str">
        <x:f>IF('Master'!Z335="","",'Master'!Z335)</x:f>
        <x:v>Spacebar reproduces Discord's client-server API model; it is not a federated network.</x:v>
      </x:c>
      <x:c r="Z27" s="100" t="str">
        <x:f>IF('Master'!AA335="","",'Master'!AA335)</x:f>
        <x:v>Self-hostable does not mean federated: separate Stoat instances do not automatically interoperate.</x:v>
      </x:c>
      <x:c r="AA27" s="104" t="str">
        <x:f>IF('Master'!AB335="","",'Master'!AB335)</x:f>
        <x:v>Server ownership can be independent, but TeamSpeak servers do not federate into one network.</x:v>
      </x:c>
      <x:c r="AB27" s="100" t="str">
        <x:f>IF('Master'!AC335="","",'Master'!AC335)</x:f>
        <x:v>Valour is one open-source platform/client-server stack, not a general protocol ecosystem like Matrix.</x:v>
      </x:c>
      <x:c r="AC27" s="100" t="str">
        <x:f>IF('Master'!AD335="","",'Master'!AD335)</x:f>
        <x:v>Current product and intended future architecture differ; federation/self-hosting should be marked in-progress, not assumed complete.</x:v>
      </x:c>
      <x:c r="AD27" s="100" t="str">
        <x:f>IF('Master'!AE335="","",'Master'!AE335)</x:f>
        <x:v>Weered intentionally uses game lobbies/rooms rather than cloning Discord's server/channel information architecture.</x:v>
      </x:c>
      <x:c r="AE27" s="100" t="str">
        <x:f>IF('Master'!AF335="","",'Master'!AF335)</x:f>
        <x:v>Like TeamSpeak, operator owns the server; unlike Matrix, servers are not documented as federated.</x:v>
      </x:c>
      <x:c r="AF27" s="75" t="str">
        <x:f>IF('Master'!AG335="","",'Master'!AG335)</x:f>
        <x:v>Multiple deployments are independent; Zulip is an application, not a federated protocol.</x:v>
      </x:c>
    </x:row>
    <x:row r="28" ht="22" customHeight="1">
      <x:c r="A28" s="138" t="str">
        <x:v>Commercial / Granular Snapshot</x:v>
      </x:c>
      <x:c r="B28" s="138" t="str">
        <x:f>IF(""="","","")</x:f>
      </x:c>
      <x:c r="C28" s="138" t="str">
        <x:f>IF(""="","","")</x:f>
      </x:c>
      <x:c r="D28" s="138" t="str">
        <x:f>IF(""="","","")</x:f>
      </x:c>
      <x:c r="E28" s="138" t="str">
        <x:f>IF(""="","","")</x:f>
      </x:c>
      <x:c r="F28" s="138" t="str">
        <x:f>IF(""="","","")</x:f>
      </x:c>
      <x:c r="G28" s="138" t="str">
        <x:f>IF(""="","","")</x:f>
      </x:c>
      <x:c r="H28" s="138" t="str">
        <x:f>IF(""="","","")</x:f>
      </x:c>
      <x:c r="I28" s="138" t="str">
        <x:f>IF(""="","","")</x:f>
      </x:c>
      <x:c r="J28" s="138" t="str">
        <x:f>IF(""="","","")</x:f>
      </x:c>
      <x:c r="K28" s="138" t="str">
        <x:f>IF(""="","","")</x:f>
      </x:c>
      <x:c r="L28" s="138" t="str">
        <x:f>IF(""="","","")</x:f>
      </x:c>
      <x:c r="M28" s="138" t="str">
        <x:f>IF(""="","","")</x:f>
      </x:c>
      <x:c r="N28" s="138" t="str">
        <x:f>IF(""="","","")</x:f>
      </x:c>
      <x:c r="O28" s="138" t="str">
        <x:f>IF(""="","","")</x:f>
      </x:c>
      <x:c r="P28" s="138" t="str">
        <x:f>IF(""="","","")</x:f>
      </x:c>
      <x:c r="Q28" s="138" t="str">
        <x:f>IF(""="","","")</x:f>
      </x:c>
      <x:c r="R28" s="138" t="str">
        <x:f>IF(""="","","")</x:f>
      </x:c>
      <x:c r="S28" s="138" t="str">
        <x:f>IF(""="","","")</x:f>
      </x:c>
      <x:c r="T28" s="138" t="str">
        <x:f>IF(""="","","")</x:f>
      </x:c>
      <x:c r="U28" s="138" t="str">
        <x:f>IF(""="","","")</x:f>
      </x:c>
      <x:c r="V28" s="138" t="str">
        <x:f>IF(""="","","")</x:f>
      </x:c>
      <x:c r="W28" s="138" t="str">
        <x:f>IF(""="","","")</x:f>
      </x:c>
      <x:c r="X28" s="138" t="str">
        <x:f>IF(""="","","")</x:f>
      </x:c>
      <x:c r="Y28" s="138" t="str">
        <x:f>IF(""="","","")</x:f>
      </x:c>
      <x:c r="Z28" s="138" t="str">
        <x:f>IF(""="","","")</x:f>
      </x:c>
      <x:c r="AA28" s="138" t="str">
        <x:f>IF(""="","","")</x:f>
      </x:c>
      <x:c r="AB28" s="138" t="str">
        <x:f>IF(""="","","")</x:f>
      </x:c>
      <x:c r="AC28" s="138" t="str">
        <x:f>IF(""="","","")</x:f>
      </x:c>
      <x:c r="AD28" s="138" t="str">
        <x:f>IF(""="","","")</x:f>
      </x:c>
      <x:c r="AE28" s="138" t="str">
        <x:f>IF(""="","","")</x:f>
      </x:c>
      <x:c r="AF28" s="139" t="str">
        <x:f>IF(""="","","")</x:f>
      </x:c>
    </x:row>
    <x:row r="29" ht="36" customHeight="1">
      <x:c r="A29" s="135" t="str">
        <x:v>Free Plan?</x:v>
      </x:c>
      <x:c r="B29" s="100" t="str">
        <x:f>IF('Master'!C13="","",'Master'!C13)</x:f>
        <x:v>Yes</x:v>
      </x:c>
      <x:c r="C29" s="100" t="str">
        <x:f>IF('Master'!D13="","",'Master'!D13)</x:f>
        <x:v>Yes</x:v>
      </x:c>
      <x:c r="D29" s="100" t="str">
        <x:f>IF('Master'!E13="","",'Master'!E13)</x:f>
        <x:v>Yes</x:v>
      </x:c>
      <x:c r="E29" s="100" t="str">
        <x:f>IF('Master'!F13="","",'Master'!F13)</x:f>
      </x:c>
      <x:c r="F29" s="100" t="str">
        <x:f>IF('Master'!G13="","",'Master'!G13)</x:f>
        <x:v>Yes</x:v>
      </x:c>
      <x:c r="G29" s="100" t="str">
        <x:f>IF('Master'!H13="","",'Master'!H13)</x:f>
        <x:v>Yes</x:v>
      </x:c>
      <x:c r="H29" s="100" t="str">
        <x:f>IF('Master'!I13="","",'Master'!I13)</x:f>
        <x:v>Yes</x:v>
      </x:c>
      <x:c r="I29" s="100" t="str">
        <x:f>IF('Master'!J13="","",'Master'!J13)</x:f>
        <x:v>Yes</x:v>
      </x:c>
      <x:c r="J29" s="100" t="str">
        <x:f>IF('Master'!K13="","",'Master'!K13)</x:f>
        <x:v>Yes</x:v>
      </x:c>
      <x:c r="K29" s="100" t="str">
        <x:f>IF('Master'!L13="","",'Master'!L13)</x:f>
        <x:v>Yes — official instance currently free; MIT self-hosting is free</x:v>
      </x:c>
      <x:c r="L29" s="100" t="str">
        <x:f>IF('Master'!M13="","",'Master'!M13)</x:f>
        <x:v>Yes</x:v>
      </x:c>
      <x:c r="M29" s="100" t="str">
        <x:f>IF('Master'!N13="","",'Master'!N13)</x:f>
        <x:v>Yes</x:v>
      </x:c>
      <x:c r="N29" s="100" t="str">
        <x:f>IF('Master'!O13="","",'Master'!O13)</x:f>
        <x:v>Yes</x:v>
      </x:c>
      <x:c r="O29" s="100" t="str">
        <x:f>IF('Master'!P13="","",'Master'!P13)</x:f>
        <x:v>Yes</x:v>
      </x:c>
      <x:c r="P29" s="100" t="str">
        <x:f>IF('Master'!Q13="","",'Master'!Q13)</x:f>
        <x:v>Yes</x:v>
      </x:c>
      <x:c r="Q29" s="100" t="str">
        <x:f>IF('Master'!R13="","",'Master'!R13)</x:f>
        <x:v>Yes</x:v>
      </x:c>
      <x:c r="R29" s="100" t="str">
        <x:f>IF('Master'!S13="","",'Master'!S13)</x:f>
        <x:v>Yes</x:v>
      </x:c>
      <x:c r="S29" s="100" t="str">
        <x:f>IF('Master'!T13="","",'Master'!T13)</x:f>
      </x:c>
      <x:c r="T29" s="100" t="str">
        <x:f>IF('Master'!U13="","",'Master'!U13)</x:f>
        <x:v>Yes — hosted service is free</x:v>
      </x:c>
      <x:c r="U29" s="100" t="str">
        <x:f>IF('Master'!V13="","",'Master'!V13)</x:f>
        <x:v>Yes</x:v>
      </x:c>
      <x:c r="V29" s="100" t="str">
        <x:f>IF('Master'!W13="","",'Master'!W13)</x:f>
        <x:v>Yes</x:v>
      </x:c>
      <x:c r="W29" s="100" t="str">
        <x:f>IF('Master'!X13="","",'Master'!X13)</x:f>
        <x:v>Yes</x:v>
      </x:c>
      <x:c r="X29" s="100" t="str">
        <x:f>IF('Master'!Y13="","",'Master'!Y13)</x:f>
        <x:v>Yes</x:v>
      </x:c>
      <x:c r="Y29" s="100" t="str">
        <x:f>IF('Master'!Z13="","",'Master'!Z13)</x:f>
        <x:v>Yes</x:v>
      </x:c>
      <x:c r="Z29" s="100" t="str">
        <x:f>IF('Master'!AA13="","",'Master'!AA13)</x:f>
        <x:v>Yes</x:v>
      </x:c>
      <x:c r="AA29" s="104" t="str">
        <x:f>IF('Master'!AB13="","",'Master'!AB13)</x:f>
        <x:v>Yes</x:v>
      </x:c>
      <x:c r="AB29" s="100" t="str">
        <x:f>IF('Master'!AC13="","",'Master'!AC13)</x:f>
        <x:v>Yes</x:v>
      </x:c>
      <x:c r="AC29" s="100" t="str">
        <x:f>IF('Master'!AD13="","",'Master'!AD13)</x:f>
      </x:c>
      <x:c r="AD29" s="100" t="str">
        <x:f>IF('Master'!AE13="","",'Master'!AE13)</x:f>
        <x:v>Yes</x:v>
      </x:c>
      <x:c r="AE29" s="100" t="str">
        <x:f>IF('Master'!AF13="","",'Master'!AF13)</x:f>
      </x:c>
      <x:c r="AF29" s="75" t="str">
        <x:f>IF('Master'!AG13="","",'Master'!AG13)</x:f>
        <x:v>Yes</x:v>
      </x:c>
    </x:row>
    <x:row r="30" ht="36" customHeight="1">
      <x:c r="A30" s="135" t="str">
        <x:v># Public Paid Options</x:v>
      </x:c>
      <x:c r="B30" s="100" t="str">
        <x:f>IF('Master'!C14="","",'Master'!C14)</x:f>
        <x:v>4</x:v>
      </x:c>
      <x:c r="C30" s="100" t="str">
        <x:f>IF('Master'!D14="","",'Master'!D14)</x:f>
      </x:c>
      <x:c r="D30" s="100" t="str">
        <x:f>IF('Master'!E14="","",'Master'!E14)</x:f>
      </x:c>
      <x:c r="E30" s="100" t="str">
        <x:f>IF('Master'!F14="","",'Master'!F14)</x:f>
      </x:c>
      <x:c r="F30" s="100" t="str">
        <x:f>IF('Master'!G14="","",'Master'!G14)</x:f>
        <x:v>3</x:v>
      </x:c>
      <x:c r="G30" s="100" t="str">
        <x:f>IF('Master'!H14="","",'Master'!H14)</x:f>
        <x:v>1</x:v>
      </x:c>
      <x:c r="H30" s="100" t="str">
        <x:f>IF('Master'!I14="","",'Master'!I14)</x:f>
        <x:v>4</x:v>
      </x:c>
      <x:c r="I30" s="100" t="str">
        <x:f>IF('Master'!J14="","",'Master'!J14)</x:f>
      </x:c>
      <x:c r="J30" s="100" t="str">
        <x:f>IF('Master'!K14="","",'Master'!K14)</x:f>
      </x:c>
      <x:c r="K30" s="100" t="str">
        <x:f>IF('Master'!L14="","",'Master'!L14)</x:f>
      </x:c>
      <x:c r="L30" s="100" t="str">
        <x:f>IF('Master'!M14="","",'Master'!M14)</x:f>
      </x:c>
      <x:c r="M30" s="100" t="str">
        <x:f>IF('Master'!N14="","",'Master'!N14)</x:f>
      </x:c>
      <x:c r="N30" s="100" t="str">
        <x:f>IF('Master'!O14="","",'Master'!O14)</x:f>
      </x:c>
      <x:c r="O30" s="100" t="str">
        <x:f>IF('Master'!P14="","",'Master'!P14)</x:f>
        <x:v>4</x:v>
      </x:c>
      <x:c r="P30" s="100" t="str">
        <x:f>IF('Master'!Q14="","",'Master'!Q14)</x:f>
      </x:c>
      <x:c r="Q30" s="100" t="str">
        <x:f>IF('Master'!R14="","",'Master'!R14)</x:f>
      </x:c>
      <x:c r="R30" s="100" t="str">
        <x:f>IF('Master'!S14="","",'Master'!S14)</x:f>
      </x:c>
      <x:c r="S30" s="100" t="str">
        <x:f>IF('Master'!T14="","",'Master'!T14)</x:f>
      </x:c>
      <x:c r="T30" s="100" t="str">
        <x:f>IF('Master'!U14="","",'Master'!U14)</x:f>
      </x:c>
      <x:c r="U30" s="100" t="str">
        <x:f>IF('Master'!V14="","",'Master'!V14)</x:f>
        <x:v>3</x:v>
      </x:c>
      <x:c r="V30" s="100" t="str">
        <x:f>IF('Master'!W14="","",'Master'!W14)</x:f>
        <x:v>3</x:v>
      </x:c>
      <x:c r="W30" s="100" t="str">
        <x:f>IF('Master'!X14="","",'Master'!X14)</x:f>
      </x:c>
      <x:c r="X30" s="100" t="str">
        <x:f>IF('Master'!Y14="","",'Master'!Y14)</x:f>
        <x:v>1</x:v>
      </x:c>
      <x:c r="Y30" s="100" t="str">
        <x:f>IF('Master'!Z14="","",'Master'!Z14)</x:f>
      </x:c>
      <x:c r="Z30" s="100" t="str">
        <x:f>IF('Master'!AA14="","",'Master'!AA14)</x:f>
      </x:c>
      <x:c r="AA30" s="104" t="str">
        <x:f>IF('Master'!AB14="","",'Master'!AB14)</x:f>
        <x:v>10</x:v>
      </x:c>
      <x:c r="AB30" s="100" t="str">
        <x:f>IF('Master'!AC14="","",'Master'!AC14)</x:f>
        <x:v>1</x:v>
      </x:c>
      <x:c r="AC30" s="100" t="str">
        <x:f>IF('Master'!AD14="","",'Master'!AD14)</x:f>
      </x:c>
      <x:c r="AD30" s="100" t="str">
        <x:f>IF('Master'!AE14="","",'Master'!AE14)</x:f>
        <x:v>5</x:v>
      </x:c>
      <x:c r="AE30" s="100" t="str">
        <x:f>IF('Master'!AF14="","",'Master'!AF14)</x:f>
        <x:v>1</x:v>
      </x:c>
      <x:c r="AF30" s="75" t="str">
        <x:f>IF('Master'!AG14="","",'Master'!AG14)</x:f>
        <x:v>5</x:v>
      </x:c>
    </x:row>
    <x:row r="31" ht="36" customHeight="1">
      <x:c r="A31" s="135" t="str">
        <x:v>Paid Options / Tiers</x:v>
      </x:c>
      <x:c r="B31" s="100" t="str">
        <x:f>IF('Master'!C15="","",'Master'!C15)</x:f>
        <x:v>Nitro Basic; Nitro; Server Boost; Nitro Classic</x:v>
      </x:c>
      <x:c r="C31" s="100" t="str">
        <x:f>IF('Master'!D15="","",'Master'!D15)</x:f>
        <x:v>No public paid tier verified</x:v>
      </x:c>
      <x:c r="D31" s="100" t="str">
        <x:f>IF('Master'!E15="","",'Master'!E15)</x:f>
        <x:v>No public paid tier verified</x:v>
      </x:c>
      <x:c r="E31" s="100" t="str">
        <x:f>IF('Master'!F15="","",'Master'!F15)</x:f>
        <x:v>No public paid tier verified</x:v>
      </x:c>
      <x:c r="F31" s="100" t="str">
        <x:f>IF('Master'!G15="","",'Master'!G15)</x:f>
        <x:v>Surge; Flare; Prime</x:v>
      </x:c>
      <x:c r="G31" s="100" t="str">
        <x:f>IF('Master'!H15="","",'Master'!H15)</x:f>
        <x:v>Plutonium</x:v>
      </x:c>
      <x:c r="H31" s="100" t="str">
        <x:f>IF('Master'!I15="","",'Master'!I15)</x:f>
        <x:v>Silver; Gold; Diamond; Self-Hosted Server License</x:v>
      </x:c>
      <x:c r="I31" s="100" t="str">
        <x:f>IF('Master'!J15="","",'Master'!J15)</x:f>
        <x:v>No public paid tier verified</x:v>
      </x:c>
      <x:c r="J31" s="100" t="str">
        <x:f>IF('Master'!K15="","",'Master'!K15)</x:f>
        <x:v>No public paid tier verified</x:v>
      </x:c>
      <x:c r="K31" s="100" t="str">
        <x:f>IF('Master'!L15="","",'Master'!L15)</x:f>
        <x:v>None</x:v>
      </x:c>
      <x:c r="L31" s="100" t="str">
        <x:f>IF('Master'!M15="","",'Master'!M15)</x:f>
        <x:v>No public paid tier verified</x:v>
      </x:c>
      <x:c r="M31" s="100" t="str">
        <x:f>IF('Master'!N15="","",'Master'!N15)</x:f>
        <x:v>No public paid tier verified</x:v>
      </x:c>
      <x:c r="N31" s="100" t="str">
        <x:f>IF('Master'!O15="","",'Master'!O15)</x:f>
        <x:v>No public paid tier verified</x:v>
      </x:c>
      <x:c r="O31" s="100" t="str">
        <x:f>IF('Master'!P15="","",'Master'!P15)</x:f>
        <x:v>Professional; Enterprise; Enterprise Advanced; Premier Support</x:v>
      </x:c>
      <x:c r="P31" s="100" t="str">
        <x:f>IF('Master'!Q15="","",'Master'!Q15)</x:f>
        <x:v>No public paid tier verified</x:v>
      </x:c>
      <x:c r="Q31" s="100" t="str">
        <x:f>IF('Master'!R15="","",'Master'!R15)</x:f>
        <x:v>No public paid tier verified</x:v>
      </x:c>
      <x:c r="R31" s="100" t="str">
        <x:f>IF('Master'!S15="","",'Master'!S15)</x:f>
        <x:v>No public paid tier verified</x:v>
      </x:c>
      <x:c r="S31" s="100" t="str">
        <x:f>IF('Master'!T15="","",'Master'!T15)</x:f>
        <x:v>No public paid tier verified</x:v>
      </x:c>
      <x:c r="T31" s="100" t="str">
        <x:f>IF('Master'!U15="","",'Master'!U15)</x:f>
        <x:v>None — donations unlock nothing</x:v>
      </x:c>
      <x:c r="U31" s="100" t="str">
        <x:f>IF('Master'!V15="","",'Master'!V15)</x:f>
        <x:v>Rift+; Shard Ember; Shard Forge</x:v>
      </x:c>
      <x:c r="V31" s="100" t="str">
        <x:f>IF('Master'!W15="","",'Master'!W15)</x:f>
        <x:v>Commercial; Government; Defense</x:v>
      </x:c>
      <x:c r="W31" s="100" t="str">
        <x:f>IF('Master'!X15="","",'Master'!X15)</x:f>
        <x:v>No public paid tier verified</x:v>
      </x:c>
      <x:c r="X31" s="100" t="str">
        <x:f>IF('Master'!Y15="","",'Master'!Y15)</x:f>
        <x:v>Sudo</x:v>
      </x:c>
      <x:c r="Y31" s="100" t="str">
        <x:f>IF('Master'!Z15="","",'Master'!Z15)</x:f>
        <x:v>No public paid tier verified</x:v>
      </x:c>
      <x:c r="Z31" s="100" t="str">
        <x:f>IF('Master'!AA15="","",'Master'!AA15)</x:f>
        <x:v>No public paid tier verified</x:v>
      </x:c>
      <x:c r="AA31" s="104" t="str">
        <x:f>IF('Master'!AB15="","",'Master'!AB15)</x:f>
        <x:v>Crew; Team; Faction; Gamer / Activation 64 slots; Gamer / Activation 128 slots; Gamer / Activation 256 slots; Gamer / Activation 512 slots; Gamer / Activation 1024 slots; Commercial License; TeamSpeak SDK License</x:v>
      </x:c>
      <x:c r="AB31" s="100" t="str">
        <x:f>IF('Master'!AC15="","",'Master'!AC15)</x:f>
        <x:v>Stargazer</x:v>
      </x:c>
      <x:c r="AC31" s="100" t="str">
        <x:f>IF('Master'!AD15="","",'Master'!AD15)</x:f>
        <x:v>No public paid tier verified</x:v>
      </x:c>
      <x:c r="AD31" s="100" t="str">
        <x:f>IF('Master'!AE15="","",'Master'!AE15)</x:f>
        <x:v>Run your own; Have it built — Crew; Have it built — League; Have it built — Network; Have it built — Larger</x:v>
      </x:c>
      <x:c r="AE31" s="100" t="str">
        <x:f>IF('Master'!AF15="","",'Master'!AF15)</x:f>
        <x:v>Yapper Hosting — 1 Year</x:v>
      </x:c>
      <x:c r="AF31" s="75" t="str">
        <x:f>IF('Master'!AG15="","",'Master'!AG15)</x:f>
        <x:v>Cloud Standard; Cloud Plus; Self-hosted Basic; Self-hosted Business; Self-hosted Enterprise</x:v>
      </x:c>
    </x:row>
    <x:row r="32" ht="36" customHeight="1">
      <x:c r="A32" s="135" t="str">
        <x:v>Self-Hosting?</x:v>
      </x:c>
      <x:c r="B32" s="100" t="str">
        <x:f>IF('Master'!C16="","",'Master'!C16)</x:f>
        <x:v>No</x:v>
      </x:c>
      <x:c r="C32" s="100" t="str">
        <x:f>IF('Master'!D16="","",'Master'!D16)</x:f>
        <x:v>Yes — relays/self-host</x:v>
      </x:c>
      <x:c r="D32" s="100" t="str">
        <x:f>IF('Master'!E16="","",'Master'!E16)</x:f>
        <x:v>Yes</x:v>
      </x:c>
      <x:c r="E32" s="100" t="str">
        <x:f>IF('Master'!F16="","",'Master'!F16)</x:f>
        <x:v>No</x:v>
      </x:c>
      <x:c r="F32" s="100" t="str">
        <x:f>IF('Master'!G16="","",'Master'!G16)</x:f>
        <x:v>No currently</x:v>
      </x:c>
      <x:c r="G32" s="100" t="str">
        <x:f>IF('Master'!H16="","",'Master'!H16)</x:f>
        <x:v>Yes</x:v>
      </x:c>
      <x:c r="H32" s="100" t="str">
        <x:f>IF('Master'!I16="","",'Master'!I16)</x:f>
        <x:v>Yes</x:v>
      </x:c>
      <x:c r="I32" s="100" t="str">
        <x:f>IF('Master'!J16="","",'Master'!J16)</x:f>
        <x:v>Yes</x:v>
      </x:c>
      <x:c r="J32" s="100" t="str">
        <x:f>IF('Master'!K16="","",'Master'!K16)</x:f>
        <x:v>Yes</x:v>
      </x:c>
      <x:c r="K32" s="100" t="str">
        <x:f>IF('Master'!L16="","",'Master'!L16)</x:f>
        <x:v>Yes</x:v>
      </x:c>
      <x:c r="L32" s="100" t="str">
        <x:f>IF('Master'!M16="","",'Master'!M16)</x:f>
        <x:v>No</x:v>
      </x:c>
      <x:c r="M32" s="100" t="str">
        <x:f>IF('Master'!N16="","",'Master'!N16)</x:f>
        <x:v>Yes</x:v>
      </x:c>
      <x:c r="N32" s="100" t="str">
        <x:f>IF('Master'!O16="","",'Master'!O16)</x:f>
        <x:v>Yes</x:v>
      </x:c>
      <x:c r="O32" s="100" t="str">
        <x:f>IF('Master'!P16="","",'Master'!P16)</x:f>
        <x:v>Yes</x:v>
      </x:c>
      <x:c r="P32" s="100" t="str">
        <x:f>IF('Master'!Q16="","",'Master'!Q16)</x:f>
      </x:c>
      <x:c r="Q32" s="100" t="str">
        <x:f>IF('Master'!R16="","",'Master'!R16)</x:f>
        <x:v>Yes</x:v>
      </x:c>
      <x:c r="R32" s="100" t="str">
        <x:f>IF('Master'!S16="","",'Master'!S16)</x:f>
        <x:v>Technically possible but explicitly not intended/supported</x:v>
      </x:c>
      <x:c r="S32" s="100" t="str">
        <x:f>IF('Master'!T16="","",'Master'!T16)</x:f>
        <x:v>No</x:v>
      </x:c>
      <x:c r="T32" s="100" t="str">
        <x:f>IF('Master'!U16="","",'Master'!U16)</x:f>
        <x:v>Yes</x:v>
      </x:c>
      <x:c r="U32" s="100" t="str">
        <x:f>IF('Master'!V16="","",'Master'!V16)</x:f>
        <x:v>No</x:v>
      </x:c>
      <x:c r="V32" s="100" t="str">
        <x:f>IF('Master'!W16="","",'Master'!W16)</x:f>
        <x:v>Yes</x:v>
      </x:c>
      <x:c r="W32" s="100" t="str">
        <x:f>IF('Master'!X16="","",'Master'!X16)</x:f>
        <x:v>Partially via ATProto/PDS model</x:v>
      </x:c>
      <x:c r="X32" s="100" t="str">
        <x:f>IF('Master'!Y16="","",'Master'!Y16)</x:f>
        <x:v>No</x:v>
      </x:c>
      <x:c r="Y32" s="100" t="str">
        <x:f>IF('Master'!Z16="","",'Master'!Z16)</x:f>
        <x:v>Yes</x:v>
      </x:c>
      <x:c r="Z32" s="100" t="str">
        <x:f>IF('Master'!AA16="","",'Master'!AA16)</x:f>
        <x:v>Yes</x:v>
      </x:c>
      <x:c r="AA32" s="104" t="str">
        <x:f>IF('Master'!AB16="","",'Master'!AB16)</x:f>
        <x:v>Yes</x:v>
      </x:c>
      <x:c r="AB32" s="100" t="str">
        <x:f>IF('Master'!AC16="","",'Master'!AC16)</x:f>
        <x:v>Yes</x:v>
      </x:c>
      <x:c r="AC32" s="100" t="str">
        <x:f>IF('Master'!AD16="","",'Master'!AD16)</x:f>
        <x:v>In development</x:v>
      </x:c>
      <x:c r="AD32" s="100" t="str">
        <x:f>IF('Master'!AE16="","",'Master'!AE16)</x:f>
        <x:v>No</x:v>
      </x:c>
      <x:c r="AE32" s="100" t="str">
        <x:f>IF('Master'!AF16="","",'Master'!AF16)</x:f>
        <x:v>Yes</x:v>
      </x:c>
      <x:c r="AF32" s="75" t="str">
        <x:f>IF('Master'!AG16="","",'Master'!AG16)</x:f>
        <x:v>Yes</x:v>
      </x:c>
    </x:row>
    <x:row r="33" ht="36" customHeight="1">
      <x:c r="A33" s="135" t="str">
        <x:v>Federated?</x:v>
      </x:c>
      <x:c r="B33" s="100" t="str">
        <x:f>IF('Master'!C351="","",'Master'!C351)</x:f>
        <x:v>No</x:v>
      </x:c>
      <x:c r="C33" s="100" t="str">
        <x:f>IF('Master'!D351="","",'Master'!D351)</x:f>
        <x:v>Nostr relay interoperability</x:v>
      </x:c>
      <x:c r="D33" s="100" t="str">
        <x:f>IF('Master'!E351="","",'Master'!E351)</x:f>
        <x:v>Yes for messenger/server communication features; full federation evolving</x:v>
      </x:c>
      <x:c r="E33" s="100" t="str">
        <x:f>IF('Master'!F351="","",'Master'!F351)</x:f>
        <x:v>No</x:v>
      </x:c>
      <x:c r="F33" s="100" t="str">
        <x:f>IF('Master'!G351="","",'Master'!G351)</x:f>
        <x:v>No</x:v>
      </x:c>
      <x:c r="G33" s="100" t="str">
        <x:f>IF('Master'!H351="","",'Master'!H351)</x:f>
        <x:v>Not yet — on roadmap</x:v>
      </x:c>
      <x:c r="H33" s="100" t="str">
        <x:f>IF('Master'!I351="","",'Master'!I351)</x:f>
        <x:v>No federation verified</x:v>
      </x:c>
      <x:c r="I33" s="100" t="str">
        <x:f>IF('Master'!J351="","",'Master'!J351)</x:f>
        <x:v>Federation planned</x:v>
      </x:c>
      <x:c r="J33" s="100" t="str">
        <x:f>IF('Master'!K351="","",'Master'!K351)</x:f>
        <x:v>Relay choice but not Matrix-style federated server state</x:v>
      </x:c>
      <x:c r="K33" s="100" t="str">
        <x:f>IF('Master'!L351="","",'Master'!L351)</x:f>
        <x:v>Yes</x:v>
      </x:c>
      <x:c r="L33" s="100" t="str">
        <x:f>IF('Master'!M351="","",'Master'!M351)</x:f>
        <x:v>No</x:v>
      </x:c>
      <x:c r="M33" s="100" t="str">
        <x:f>IF('Master'!N351="","",'Master'!N351)</x:f>
        <x:v>Federation advertised</x:v>
      </x:c>
      <x:c r="N33" s="100" t="str">
        <x:f>IF('Master'!O351="","",'Master'!O351)</x:f>
        <x:v>Yes — core feature</x:v>
      </x:c>
      <x:c r="O33" s="100" t="str">
        <x:f>IF('Master'!P351="","",'Master'!P351)</x:f>
        <x:v>No general federation</x:v>
      </x:c>
      <x:c r="P33" s="100" t="str">
        <x:f>IF('Master'!Q351="","",'Master'!Q351)</x:f>
        <x:v>No federation verified</x:v>
      </x:c>
      <x:c r="Q33" s="100" t="str">
        <x:f>IF('Master'!R351="","",'Master'!R351)</x:f>
        <x:v>No</x:v>
      </x:c>
      <x:c r="R33" s="100" t="str">
        <x:f>IF('Master'!S351="","",'Master'!S351)</x:f>
        <x:v>No</x:v>
      </x:c>
      <x:c r="S33" s="100" t="str">
        <x:f>IF('Master'!T351="","",'Master'!T351)</x:f>
        <x:v>No</x:v>
      </x:c>
      <x:c r="T33" s="100" t="str">
        <x:f>IF('Master'!U351="","",'Master'!U351)</x:f>
        <x:v>No federation</x:v>
      </x:c>
      <x:c r="U33" s="100" t="str">
        <x:f>IF('Master'!V351="","",'Master'!V351)</x:f>
        <x:v>No</x:v>
      </x:c>
      <x:c r="V33" s="100" t="str">
        <x:f>IF('Master'!W351="","",'Master'!W351)</x:f>
        <x:v>Yes — Matrix-based federation feature set, with limitations</x:v>
      </x:c>
      <x:c r="W33" s="100" t="str">
        <x:f>IF('Master'!X351="","",'Master'!X351)</x:f>
        <x:v>ATProto federation ecosystem</x:v>
      </x:c>
      <x:c r="X33" s="100" t="str">
        <x:f>IF('Master'!Y351="","",'Master'!Y351)</x:f>
        <x:v>No</x:v>
      </x:c>
      <x:c r="Y33" s="100" t="str">
        <x:f>IF('Master'!Z351="","",'Master'!Z351)</x:f>
        <x:v>No</x:v>
      </x:c>
      <x:c r="Z33" s="100" t="str">
        <x:f>IF('Master'!AA351="","",'Master'!AA351)</x:f>
        <x:v>No</x:v>
      </x:c>
      <x:c r="AA33" s="104" t="str">
        <x:f>IF('Master'!AB351="","",'Master'!AB351)</x:f>
        <x:v>No</x:v>
      </x:c>
      <x:c r="AB33" s="100" t="str">
        <x:f>IF('Master'!AC351="","",'Master'!AC351)</x:f>
        <x:v>Node/federation model for migrating communities; exact cross-instance federation scope evolving</x:v>
      </x:c>
      <x:c r="AC33" s="100" t="str">
        <x:f>IF('Master'!AD351="","",'Master'!AD351)</x:f>
        <x:v>Planned/in development</x:v>
      </x:c>
      <x:c r="AD33" s="100" t="str">
        <x:f>IF('Master'!AE351="","",'Master'!AE351)</x:f>
        <x:v>No</x:v>
      </x:c>
      <x:c r="AE33" s="100" t="str">
        <x:f>IF('Master'!AF351="","",'Master'!AF351)</x:f>
        <x:v>No</x:v>
      </x:c>
      <x:c r="AF33" s="75" t="str">
        <x:f>IF('Master'!AG351="","",'Master'!AG351)</x:f>
        <x:v>No</x:v>
      </x:c>
    </x:row>
    <x:row r="34" ht="36" customHeight="1">
      <x:c r="A34" s="135" t="str">
        <x:v>DM Text E2EE?</x:v>
      </x:c>
      <x:c r="B34" s="100" t="str">
        <x:f>IF('Master'!C17="","",'Master'!C17)</x:f>
        <x:v>No (text)</x:v>
      </x:c>
      <x:c r="C34" s="100" t="str">
        <x:f>IF('Master'!D17="","",'Master'!D17)</x:f>
        <x:v>Yes</x:v>
      </x:c>
      <x:c r="D34" s="100" t="str">
        <x:f>IF('Master'!E17="","",'Master'!E17)</x:f>
        <x:v>Yes for desktop server DMs when enabled; messenger always yes</x:v>
      </x:c>
      <x:c r="E34" s="100" t="str">
        <x:f>IF('Master'!F17="","",'Master'!F17)</x:f>
        <x:v>No default text E2EE verified</x:v>
      </x:c>
      <x:c r="F34" s="100" t="str">
        <x:f>IF('Master'!G17="","",'Master'!G17)</x:f>
        <x:v>Yes</x:v>
      </x:c>
      <x:c r="G34" s="100" t="str">
        <x:f>IF('Master'!H17="","",'Master'!H17)</x:f>
        <x:v>No</x:v>
      </x:c>
      <x:c r="H34" s="100" t="str">
        <x:f>IF('Master'!I17="","",'Master'!I17)</x:f>
        <x:v>No</x:v>
      </x:c>
      <x:c r="I34" s="100" t="str">
        <x:f>IF('Master'!J17="","",'Master'!J17)</x:f>
        <x:v>No</x:v>
      </x:c>
      <x:c r="J34" s="100" t="str">
        <x:f>IF('Master'!K17="","",'Master'!K17)</x:f>
        <x:v>Yes</x:v>
      </x:c>
      <x:c r="K34" s="100" t="str">
        <x:f>IF('Master'!L17="","",'Master'!L17)</x:f>
        <x:v>Optional MLS 1.0</x:v>
      </x:c>
      <x:c r="L34" s="100" t="str">
        <x:f>IF('Master'!M17="","",'Master'!M17)</x:f>
      </x:c>
      <x:c r="M34" s="100" t="str">
        <x:f>IF('Master'!N17="","",'Master'!N17)</x:f>
        <x:v>Eligible content only — app displays E2EE status</x:v>
      </x:c>
      <x:c r="N34" s="100" t="str">
        <x:f>IF('Master'!O17="","",'Master'!O17)</x:f>
        <x:v>Supported; default depends on client/room</x:v>
      </x:c>
      <x:c r="O34" s="100" t="str">
        <x:f>IF('Master'!P17="","",'Master'!P17)</x:f>
        <x:v>No</x:v>
      </x:c>
      <x:c r="P34" s="100" t="str">
        <x:f>IF('Master'!Q17="","",'Master'!Q17)</x:f>
        <x:v>E2EE claimed</x:v>
      </x:c>
      <x:c r="Q34" s="100" t="str">
        <x:f>IF('Master'!R17="","",'Master'!R17)</x:f>
        <x:v>N/A</x:v>
      </x:c>
      <x:c r="R34" s="100" t="str">
        <x:f>IF('Master'!S17="","",'Master'!S17)</x:f>
        <x:v>No default E2EE verified</x:v>
      </x:c>
      <x:c r="S34" s="100" t="str">
        <x:f>IF('Master'!T17="","",'Master'!T17)</x:f>
        <x:v>No</x:v>
      </x:c>
      <x:c r="T34" s="100" t="str">
        <x:f>IF('Master'!U17="","",'Master'!U17)</x:f>
        <x:v>No E2EE claim</x:v>
      </x:c>
      <x:c r="U34" s="100" t="str">
        <x:f>IF('Master'!V17="","",'Master'!V17)</x:f>
        <x:v>Yes — Signal-style X3DH/Double Ratchet</x:v>
      </x:c>
      <x:c r="V34" s="100" t="str">
        <x:f>IF('Master'!W17="","",'Master'!W17)</x:f>
        <x:v>Available in supported E2EE conversations</x:v>
      </x:c>
      <x:c r="W34" s="100" t="str">
        <x:f>IF('Master'!X17="","",'Master'!X17)</x:f>
        <x:v>No default E2EE verified</x:v>
      </x:c>
      <x:c r="X34" s="100" t="str">
        <x:f>IF('Master'!Y17="","",'Master'!Y17)</x:f>
        <x:v>No claim / treated as server-readable</x:v>
      </x:c>
      <x:c r="Y34" s="100" t="str">
        <x:f>IF('Master'!Z17="","",'Master'!Z17)</x:f>
        <x:v>No documented default</x:v>
      </x:c>
      <x:c r="Z34" s="100" t="str">
        <x:f>IF('Master'!AA17="","",'Master'!AA17)</x:f>
        <x:v>No default E2EE verified</x:v>
      </x:c>
      <x:c r="AA34" s="104" t="str">
        <x:f>IF('Master'!AB17="","",'Master'!AB17)</x:f>
      </x:c>
      <x:c r="AB34" s="100" t="str">
        <x:f>IF('Master'!AC17="","",'Master'!AC17)</x:f>
        <x:v>No default E2EE claim</x:v>
      </x:c>
      <x:c r="AC34" s="100" t="str">
        <x:f>IF('Master'!AD17="","",'Master'!AD17)</x:f>
        <x:v>No by default</x:v>
      </x:c>
      <x:c r="AD34" s="100" t="str">
        <x:f>IF('Master'!AE17="","",'Master'!AE17)</x:f>
        <x:v>No</x:v>
      </x:c>
      <x:c r="AE34" s="100" t="str">
        <x:f>IF('Master'!AF17="","",'Master'!AF17)</x:f>
      </x:c>
      <x:c r="AF34" s="75" t="str">
        <x:f>IF('Master'!AG17="","",'Master'!AG17)</x:f>
        <x:v>No</x:v>
      </x:c>
    </x:row>
    <x:row r="35" ht="36" customHeight="1">
      <x:c r="A35" s="135" t="str">
        <x:v>Free Max Upload</x:v>
      </x:c>
      <x:c r="B35" s="100" t="str">
        <x:f>IF('Master'!C18="","",'Master'!C18)</x:f>
        <x:v>20</x:v>
      </x:c>
      <x:c r="C35" s="100" t="str">
        <x:f>IF('Master'!D18="","",'Master'!D18)</x:f>
      </x:c>
      <x:c r="D35" s="100" t="str">
        <x:f>IF('Master'!E18="","",'Master'!E18)</x:f>
      </x:c>
      <x:c r="E35" s="100" t="str">
        <x:f>IF('Master'!F18="","",'Master'!F18)</x:f>
      </x:c>
      <x:c r="F35" s="100" t="str">
        <x:f>IF('Master'!G18="","",'Master'!G18)</x:f>
      </x:c>
      <x:c r="G35" s="100" t="str">
        <x:f>IF('Master'!H18="","",'Master'!H18)</x:f>
        <x:v>25</x:v>
      </x:c>
      <x:c r="H35" s="100" t="str">
        <x:f>IF('Master'!I18="","",'Master'!I18)</x:f>
        <x:v>500</x:v>
      </x:c>
      <x:c r="I35" s="100" t="str">
        <x:f>IF('Master'!J18="","",'Master'!J18)</x:f>
      </x:c>
      <x:c r="J35" s="100" t="str">
        <x:f>IF('Master'!K18="","",'Master'!K18)</x:f>
        <x:v>34 MB direct P2P; larger via Hollow Share</x:v>
      </x:c>
      <x:c r="K35" s="100" t="str">
        <x:f>IF('Master'!L18="","",'Master'!L18)</x:f>
        <x:v>15 MB official instance; self-host configurable</x:v>
      </x:c>
      <x:c r="L35" s="100" t="str">
        <x:f>IF('Master'!M18="","",'Master'!M18)</x:f>
      </x:c>
      <x:c r="M35" s="100" t="str">
        <x:f>IF('Master'!N18="","",'Master'!N18)</x:f>
      </x:c>
      <x:c r="N35" s="100" t="str">
        <x:f>IF('Master'!O18="","",'Master'!O18)</x:f>
      </x:c>
      <x:c r="O35" s="100" t="str">
        <x:f>IF('Master'!P18="","",'Master'!P18)</x:f>
      </x:c>
      <x:c r="P35" s="100" t="str">
        <x:f>IF('Master'!Q18="","",'Master'!Q18)</x:f>
        <x:v>100 for video/other; images 50</x:v>
      </x:c>
      <x:c r="Q35" s="100" t="str">
        <x:f>IF('Master'!R18="","",'Master'!R18)</x:f>
      </x:c>
      <x:c r="R35" s="100" t="str">
        <x:f>IF('Master'!S18="","",'Master'!S18)</x:f>
      </x:c>
      <x:c r="S35" s="100" t="str">
        <x:f>IF('Master'!T18="","",'Master'!T18)</x:f>
      </x:c>
      <x:c r="T35" s="100" t="str">
        <x:f>IF('Master'!U18="","",'Master'!U18)</x:f>
        <x:v>Not publicly claimed</x:v>
      </x:c>
      <x:c r="U35" s="100" t="str">
        <x:f>IF('Master'!V18="","",'Master'!V18)</x:f>
        <x:v>50</x:v>
      </x:c>
      <x:c r="V35" s="100" t="str">
        <x:f>IF('Master'!W18="","",'Master'!W18)</x:f>
        <x:v>Yes — multimedia/file sharing; plan/config limits vary</x:v>
      </x:c>
      <x:c r="W35" s="100" t="str">
        <x:f>IF('Master'!X18="","",'Master'!X18)</x:f>
      </x:c>
      <x:c r="X35" s="100" t="str">
        <x:f>IF('Master'!Y18="","",'Master'!Y18)</x:f>
        <x:v>25</x:v>
      </x:c>
      <x:c r="Y35" s="100" t="str">
        <x:f>IF('Master'!Z18="","",'Master'!Z18)</x:f>
      </x:c>
      <x:c r="Z35" s="100" t="str">
        <x:f>IF('Master'!AA18="","",'Master'!AA18)</x:f>
        <x:v>20 MB</x:v>
      </x:c>
      <x:c r="AA35" s="104" t="str">
        <x:f>IF('Master'!AB18="","",'Master'!AB18)</x:f>
      </x:c>
      <x:c r="AB35" s="100" t="str">
        <x:f>IF('Master'!AC18="","",'Master'!AC18)</x:f>
      </x:c>
      <x:c r="AC35" s="100" t="str">
        <x:f>IF('Master'!AD18="","",'Master'!AD18)</x:f>
      </x:c>
      <x:c r="AD35" s="100" t="str">
        <x:f>IF('Master'!AE18="","",'Master'!AE18)</x:f>
      </x:c>
      <x:c r="AE35" s="100" t="str">
        <x:f>IF('Master'!AF18="","",'Master'!AF18)</x:f>
        <x:v>Configurable by server operator</x:v>
      </x:c>
      <x:c r="AF35" s="75" t="str">
        <x:f>IF('Master'!AG18="","",'Master'!AG18)</x:f>
        <x:v>5 GB total cloud storage on Free plan</x:v>
      </x:c>
    </x:row>
    <x:row r="36" ht="36" customHeight="1">
      <x:c r="A36" s="135" t="str">
        <x:v>Free Max Screen Share</x:v>
      </x:c>
      <x:c r="B36" s="100" t="str">
        <x:f>IF('Master'!C19="","",'Master'!C19)</x:f>
        <x:v>720p / 30 FPS</x:v>
      </x:c>
      <x:c r="C36" s="100" t="str">
        <x:f>IF('Master'!D19="","",'Master'!D19)</x:f>
      </x:c>
      <x:c r="D36" s="100" t="str">
        <x:f>IF('Master'!E19="","",'Master'!E19)</x:f>
        <x:v>Up to 4K / Up to 60/120 by version/config FPS</x:v>
      </x:c>
      <x:c r="E36" s="100" t="str">
        <x:f>IF('Master'!F19="","",'Master'!F19)</x:f>
      </x:c>
      <x:c r="F36" s="100" t="str">
        <x:f>IF('Master'!G19="","",'Master'!G19)</x:f>
      </x:c>
      <x:c r="G36" s="100" t="str">
        <x:f>IF('Master'!H19="","",'Master'!H19)</x:f>
        <x:v>720p / 30 FPS</x:v>
      </x:c>
      <x:c r="H36" s="100" t="str">
        <x:f>IF('Master'!I19="","",'Master'!I19)</x:f>
        <x:v>1080p / 30 FPS</x:v>
      </x:c>
      <x:c r="I36" s="100" t="str">
        <x:f>IF('Master'!J19="","",'Master'!J19)</x:f>
        <x:v>N/A / N/A FPS</x:v>
      </x:c>
      <x:c r="J36" s="100" t="str">
        <x:f>IF('Master'!K19="","",'Master'!K19)</x:f>
      </x:c>
      <x:c r="K36" s="100" t="str">
        <x:f>IF('Master'!L19="","",'Master'!L19)</x:f>
        <x:v>4K30 native documented; developer questionnaire reported 4K60</x:v>
      </x:c>
      <x:c r="L36" s="100" t="str">
        <x:f>IF('Master'!M19="","",'Master'!M19)</x:f>
      </x:c>
      <x:c r="M36" s="100" t="str">
        <x:f>IF('Master'!N19="","",'Master'!N19)</x:f>
      </x:c>
      <x:c r="N36" s="100" t="str">
        <x:f>IF('Master'!O19="","",'Master'!O19)</x:f>
        <x:v>Client-dependent / Client-dependent FPS</x:v>
      </x:c>
      <x:c r="O36" s="100" t="str">
        <x:f>IF('Master'!P19="","",'Master'!P19)</x:f>
        <x:v>Deployment/plan dependent / Deployment/plan dependent FPS</x:v>
      </x:c>
      <x:c r="P36" s="100" t="str">
        <x:f>IF('Master'!Q19="","",'Master'!Q19)</x:f>
      </x:c>
      <x:c r="Q36" s="100" t="str">
        <x:f>IF('Master'!R19="","",'Master'!R19)</x:f>
        <x:v>N/A / N/A FPS</x:v>
      </x:c>
      <x:c r="R36" s="100" t="str">
        <x:f>IF('Master'!S19="","",'Master'!S19)</x:f>
      </x:c>
      <x:c r="S36" s="100" t="str">
        <x:f>IF('Master'!T19="","",'Master'!T19)</x:f>
      </x:c>
      <x:c r="T36" s="100" t="str">
        <x:f>IF('Master'!U19="","",'Master'!U19)</x:f>
        <x:v>1080p</x:v>
      </x:c>
      <x:c r="U36" s="100" t="str">
        <x:f>IF('Master'!V19="","",'Master'!V19)</x:f>
        <x:v>720p / 60 FPS</x:v>
      </x:c>
      <x:c r="V36" s="100" t="str">
        <x:f>IF('Master'!W19="","",'Master'!W19)</x:f>
        <x:v>Provider-dependent / Provider-dependent FPS</x:v>
      </x:c>
      <x:c r="W36" s="100" t="str">
        <x:f>IF('Master'!X19="","",'Master'!X19)</x:f>
        <x:v>N/A / N/A FPS</x:v>
      </x:c>
      <x:c r="X36" s="100" t="str">
        <x:f>IF('Master'!Y19="","",'Master'!Y19)</x:f>
        <x:v>720p game / Source text mode / 30 game / 5 source FPS</x:v>
      </x:c>
      <x:c r="Y36" s="100" t="str">
        <x:f>IF('Master'!Z19="","",'Master'!Z19)</x:f>
        <x:v>Operator/config dependent</x:v>
      </x:c>
      <x:c r="Z36" s="100" t="str">
        <x:f>IF('Master'!AA19="","",'Master'!AA19)</x:f>
      </x:c>
      <x:c r="AA36" s="104" t="str">
        <x:f>IF('Master'!AB19="","",'Master'!AB19)</x:f>
      </x:c>
      <x:c r="AB36" s="100" t="str">
        <x:f>IF('Master'!AC19="","",'Master'!AC19)</x:f>
      </x:c>
      <x:c r="AC36" s="100" t="str">
        <x:f>IF('Master'!AD19="","",'Master'!AD19)</x:f>
      </x:c>
      <x:c r="AD36" s="100" t="str">
        <x:f>IF('Master'!AE19="","",'Master'!AE19)</x:f>
      </x:c>
      <x:c r="AE36" s="100" t="str">
        <x:f>IF('Master'!AF19="","",'Master'!AF19)</x:f>
        <x:v>Up to 1440p</x:v>
      </x:c>
      <x:c r="AF36" s="75" t="str">
        <x:f>IF('Master'!AG19="","",'Master'!AG19)</x:f>
        <x:v>Provider-dependent / Provider-dependent FPS</x:v>
      </x:c>
    </x:row>
    <x:row r="37" ht="36" customHeight="1">
      <x:c r="A37" s="135" t="str">
        <x:v>1080p Access</x:v>
      </x:c>
      <x:c r="B37" s="100" t="str">
        <x:f>IF('Master'!C20="","",'Master'!C20)</x:f>
        <x:v>Paid — Nitro</x:v>
      </x:c>
      <x:c r="C37" s="100" t="str">
        <x:f>IF('Master'!D20="","",'Master'!D20)</x:f>
      </x:c>
      <x:c r="D37" s="100" t="str">
        <x:f>IF('Master'!E20="","",'Master'!E20)</x:f>
      </x:c>
      <x:c r="E37" s="100" t="str">
        <x:f>IF('Master'!F20="","",'Master'!F20)</x:f>
      </x:c>
      <x:c r="F37" s="100" t="str">
        <x:f>IF('Master'!G20="","",'Master'!G20)</x:f>
      </x:c>
      <x:c r="G37" s="100" t="str">
        <x:f>IF('Master'!H20="","",'Master'!H20)</x:f>
        <x:v>Paid — Plutonium</x:v>
      </x:c>
      <x:c r="H37" s="100" t="str">
        <x:f>IF('Master'!I20="","",'Master'!I20)</x:f>
        <x:v>Free 30 FPS; Gold+ 60 FPS</x:v>
      </x:c>
      <x:c r="I37" s="100" t="str">
        <x:f>IF('Master'!J20="","",'Master'!J20)</x:f>
      </x:c>
      <x:c r="J37" s="100" t="str">
        <x:f>IF('Master'!K20="","",'Master'!K20)</x:f>
      </x:c>
      <x:c r="K37" s="100" t="str">
        <x:f>IF('Master'!L20="","",'Master'!L20)</x:f>
        <x:v>Free/current</x:v>
      </x:c>
      <x:c r="L37" s="100" t="str">
        <x:f>IF('Master'!M20="","",'Master'!M20)</x:f>
      </x:c>
      <x:c r="M37" s="100" t="str">
        <x:f>IF('Master'!N20="","",'Master'!N20)</x:f>
      </x:c>
      <x:c r="N37" s="100" t="str">
        <x:f>IF('Master'!O20="","",'Master'!O20)</x:f>
      </x:c>
      <x:c r="O37" s="100" t="str">
        <x:f>IF('Master'!P20="","",'Master'!P20)</x:f>
      </x:c>
      <x:c r="P37" s="100" t="str">
        <x:f>IF('Master'!Q20="","",'Master'!Q20)</x:f>
        <x:v>Free</x:v>
      </x:c>
      <x:c r="Q37" s="100" t="str">
        <x:f>IF('Master'!R20="","",'Master'!R20)</x:f>
      </x:c>
      <x:c r="R37" s="100" t="str">
        <x:f>IF('Master'!S20="","",'Master'!S20)</x:f>
      </x:c>
      <x:c r="S37" s="100" t="str">
        <x:f>IF('Master'!T20="","",'Master'!T20)</x:f>
      </x:c>
      <x:c r="T37" s="100" t="str">
        <x:f>IF('Master'!U20="","",'Master'!U20)</x:f>
        <x:v>Free</x:v>
      </x:c>
      <x:c r="U37" s="100" t="str">
        <x:f>IF('Master'!V20="","",'Master'!V20)</x:f>
        <x:v>Paid — Rift+ or Shard Ember</x:v>
      </x:c>
      <x:c r="V37" s="100" t="str">
        <x:f>IF('Master'!W20="","",'Master'!W20)</x:f>
      </x:c>
      <x:c r="W37" s="100" t="str">
        <x:f>IF('Master'!X20="","",'Master'!X20)</x:f>
      </x:c>
      <x:c r="X37" s="100" t="str">
        <x:f>IF('Master'!Y20="","",'Master'!Y20)</x:f>
        <x:v>Paid — Sudo</x:v>
      </x:c>
      <x:c r="Y37" s="100" t="str">
        <x:f>IF('Master'!Z20="","",'Master'!Z20)</x:f>
      </x:c>
      <x:c r="Z37" s="100" t="str">
        <x:f>IF('Master'!AA20="","",'Master'!AA20)</x:f>
      </x:c>
      <x:c r="AA37" s="104" t="str">
        <x:f>IF('Master'!AB20="","",'Master'!AB20)</x:f>
        <x:v>Configurable/P2P</x:v>
      </x:c>
      <x:c r="AB37" s="100" t="str">
        <x:f>IF('Master'!AC20="","",'Master'!AC20)</x:f>
      </x:c>
      <x:c r="AC37" s="100" t="str">
        <x:f>IF('Master'!AD20="","",'Master'!AD20)</x:f>
      </x:c>
      <x:c r="AD37" s="100" t="str">
        <x:f>IF('Master'!AE20="","",'Master'!AE20)</x:f>
        <x:v>Free if supported</x:v>
      </x:c>
      <x:c r="AE37" s="100" t="str">
        <x:f>IF('Master'!AF20="","",'Master'!AF20)</x:f>
      </x:c>
      <x:c r="AF37" s="75" t="str">
        <x:f>IF('Master'!AG20="","",'Master'!AG20)</x:f>
      </x:c>
    </x:row>
    <x:row r="38" ht="36" customHeight="1">
      <x:c r="A38" s="135" t="str">
        <x:v>1440p Access</x:v>
      </x:c>
      <x:c r="B38" s="100" t="str">
        <x:f>IF('Master'!C21="","",'Master'!C21)</x:f>
      </x:c>
      <x:c r="C38" s="100" t="str">
        <x:f>IF('Master'!D21="","",'Master'!D21)</x:f>
      </x:c>
      <x:c r="D38" s="100" t="str">
        <x:f>IF('Master'!E21="","",'Master'!E21)</x:f>
      </x:c>
      <x:c r="E38" s="100" t="str">
        <x:f>IF('Master'!F21="","",'Master'!F21)</x:f>
      </x:c>
      <x:c r="F38" s="100" t="str">
        <x:f>IF('Master'!G21="","",'Master'!G21)</x:f>
      </x:c>
      <x:c r="G38" s="100" t="str">
        <x:f>IF('Master'!H21="","",'Master'!H21)</x:f>
        <x:v>Paid — Plutonium</x:v>
      </x:c>
      <x:c r="H38" s="100" t="str">
        <x:f>IF('Master'!I21="","",'Master'!I21)</x:f>
        <x:v>Paid — Diamond</x:v>
      </x:c>
      <x:c r="I38" s="100" t="str">
        <x:f>IF('Master'!J21="","",'Master'!J21)</x:f>
      </x:c>
      <x:c r="J38" s="100" t="str">
        <x:f>IF('Master'!K21="","",'Master'!K21)</x:f>
      </x:c>
      <x:c r="K38" s="100" t="str">
        <x:f>IF('Master'!L21="","",'Master'!L21)</x:f>
        <x:v>Free/current</x:v>
      </x:c>
      <x:c r="L38" s="100" t="str">
        <x:f>IF('Master'!M21="","",'Master'!M21)</x:f>
      </x:c>
      <x:c r="M38" s="100" t="str">
        <x:f>IF('Master'!N21="","",'Master'!N21)</x:f>
      </x:c>
      <x:c r="N38" s="100" t="str">
        <x:f>IF('Master'!O21="","",'Master'!O21)</x:f>
      </x:c>
      <x:c r="O38" s="100" t="str">
        <x:f>IF('Master'!P21="","",'Master'!P21)</x:f>
      </x:c>
      <x:c r="P38" s="100" t="str">
        <x:f>IF('Master'!Q21="","",'Master'!Q21)</x:f>
        <x:v>Free if supported; no paywall</x:v>
      </x:c>
      <x:c r="Q38" s="100" t="str">
        <x:f>IF('Master'!R21="","",'Master'!R21)</x:f>
      </x:c>
      <x:c r="R38" s="100" t="str">
        <x:f>IF('Master'!S21="","",'Master'!S21)</x:f>
      </x:c>
      <x:c r="S38" s="100" t="str">
        <x:f>IF('Master'!T21="","",'Master'!T21)</x:f>
      </x:c>
      <x:c r="T38" s="100" t="str">
        <x:f>IF('Master'!U21="","",'Master'!U21)</x:f>
        <x:v>No — current published hosted range tops out at 1080p</x:v>
      </x:c>
      <x:c r="U38" s="100" t="str">
        <x:f>IF('Master'!V21="","",'Master'!V21)</x:f>
        <x:v>Paid — Shard Forge</x:v>
      </x:c>
      <x:c r="V38" s="100" t="str">
        <x:f>IF('Master'!W21="","",'Master'!W21)</x:f>
      </x:c>
      <x:c r="W38" s="100" t="str">
        <x:f>IF('Master'!X21="","",'Master'!X21)</x:f>
      </x:c>
      <x:c r="X38" s="100" t="str">
        <x:f>IF('Master'!Y21="","",'Master'!Y21)</x:f>
        <x:v>Paid — Sudo</x:v>
      </x:c>
      <x:c r="Y38" s="100" t="str">
        <x:f>IF('Master'!Z21="","",'Master'!Z21)</x:f>
      </x:c>
      <x:c r="Z38" s="100" t="str">
        <x:f>IF('Master'!AA21="","",'Master'!AA21)</x:f>
      </x:c>
      <x:c r="AA38" s="104" t="str">
        <x:f>IF('Master'!AB21="","",'Master'!AB21)</x:f>
      </x:c>
      <x:c r="AB38" s="100" t="str">
        <x:f>IF('Master'!AC21="","",'Master'!AC21)</x:f>
      </x:c>
      <x:c r="AC38" s="100" t="str">
        <x:f>IF('Master'!AD21="","",'Master'!AD21)</x:f>
      </x:c>
      <x:c r="AD38" s="100" t="str">
        <x:f>IF('Master'!AE21="","",'Master'!AE21)</x:f>
        <x:v>Free if supported</x:v>
      </x:c>
      <x:c r="AE38" s="100" t="str">
        <x:f>IF('Master'!AF21="","",'Master'!AF21)</x:f>
      </x:c>
      <x:c r="AF38" s="75" t="str">
        <x:f>IF('Master'!AG21="","",'Master'!AG21)</x:f>
      </x:c>
    </x:row>
    <x:row r="39" ht="36" customHeight="1">
      <x:c r="A39" s="135" t="str">
        <x:v>4K Access</x:v>
      </x:c>
      <x:c r="B39" s="100" t="str">
        <x:f>IF('Master'!C22="","",'Master'!C22)</x:f>
        <x:v>Paid — Nitro</x:v>
      </x:c>
      <x:c r="C39" s="100" t="str">
        <x:f>IF('Master'!D22="","",'Master'!D22)</x:f>
      </x:c>
      <x:c r="D39" s="100" t="str">
        <x:f>IF('Master'!E22="","",'Master'!E22)</x:f>
      </x:c>
      <x:c r="E39" s="100" t="str">
        <x:f>IF('Master'!F22="","",'Master'!F22)</x:f>
      </x:c>
      <x:c r="F39" s="100" t="str">
        <x:f>IF('Master'!G22="","",'Master'!G22)</x:f>
      </x:c>
      <x:c r="G39" s="100" t="str">
        <x:f>IF('Master'!H22="","",'Master'!H22)</x:f>
        <x:v>Paid — Plutonium</x:v>
      </x:c>
      <x:c r="H39" s="100" t="str">
        <x:f>IF('Master'!I22="","",'Master'!I22)</x:f>
        <x:v>Paid — Diamond</x:v>
      </x:c>
      <x:c r="I39" s="100" t="str">
        <x:f>IF('Master'!J22="","",'Master'!J22)</x:f>
      </x:c>
      <x:c r="J39" s="100" t="str">
        <x:f>IF('Master'!K22="","",'Master'!K22)</x:f>
      </x:c>
      <x:c r="K39" s="100" t="str">
        <x:f>IF('Master'!L22="","",'Master'!L22)</x:f>
        <x:v>Free/current</x:v>
      </x:c>
      <x:c r="L39" s="100" t="str">
        <x:f>IF('Master'!M22="","",'Master'!M22)</x:f>
      </x:c>
      <x:c r="M39" s="100" t="str">
        <x:f>IF('Master'!N22="","",'Master'!N22)</x:f>
      </x:c>
      <x:c r="N39" s="100" t="str">
        <x:f>IF('Master'!O22="","",'Master'!O22)</x:f>
      </x:c>
      <x:c r="O39" s="100" t="str">
        <x:f>IF('Master'!P22="","",'Master'!P22)</x:f>
      </x:c>
      <x:c r="P39" s="100" t="str">
        <x:f>IF('Master'!Q22="","",'Master'!Q22)</x:f>
        <x:v>Free if supported; no paywall</x:v>
      </x:c>
      <x:c r="Q39" s="100" t="str">
        <x:f>IF('Master'!R22="","",'Master'!R22)</x:f>
      </x:c>
      <x:c r="R39" s="100" t="str">
        <x:f>IF('Master'!S22="","",'Master'!S22)</x:f>
      </x:c>
      <x:c r="S39" s="100" t="str">
        <x:f>IF('Master'!T22="","",'Master'!T22)</x:f>
      </x:c>
      <x:c r="T39" s="100" t="str">
        <x:f>IF('Master'!U22="","",'Master'!U22)</x:f>
        <x:v>No — current published hosted range tops out at 1080p</x:v>
      </x:c>
      <x:c r="U39" s="100" t="str">
        <x:f>IF('Master'!V22="","",'Master'!V22)</x:f>
        <x:v>N/A</x:v>
      </x:c>
      <x:c r="V39" s="100" t="str">
        <x:f>IF('Master'!W22="","",'Master'!W22)</x:f>
      </x:c>
      <x:c r="W39" s="100" t="str">
        <x:f>IF('Master'!X22="","",'Master'!X22)</x:f>
      </x:c>
      <x:c r="X39" s="100" t="str">
        <x:f>IF('Master'!Y22="","",'Master'!Y22)</x:f>
        <x:v>N/A</x:v>
      </x:c>
      <x:c r="Y39" s="100" t="str">
        <x:f>IF('Master'!Z22="","",'Master'!Z22)</x:f>
      </x:c>
      <x:c r="Z39" s="100" t="str">
        <x:f>IF('Master'!AA22="","",'Master'!AA22)</x:f>
      </x:c>
      <x:c r="AA39" s="104" t="str">
        <x:f>IF('Master'!AB22="","",'Master'!AB22)</x:f>
      </x:c>
      <x:c r="AB39" s="100" t="str">
        <x:f>IF('Master'!AC22="","",'Master'!AC22)</x:f>
      </x:c>
      <x:c r="AC39" s="100" t="str">
        <x:f>IF('Master'!AD22="","",'Master'!AD22)</x:f>
      </x:c>
      <x:c r="AD39" s="100" t="str">
        <x:f>IF('Master'!AE22="","",'Master'!AE22)</x:f>
        <x:v>Free if supported</x:v>
      </x:c>
      <x:c r="AE39" s="100" t="str">
        <x:f>IF('Master'!AF22="","",'Master'!AF22)</x:f>
      </x:c>
      <x:c r="AF39" s="75" t="str">
        <x:f>IF('Master'!AG22="","",'Master'!AG22)</x:f>
      </x:c>
    </x:row>
    <x:row r="40" ht="36" customHeight="1">
      <x:c r="A40" s="135" t="str">
        <x:v>Voice Bitrate: Base → Max</x:v>
      </x:c>
      <x:c r="B40" s="100" t="str">
        <x:f>IF('Master'!C23="","",'Master'!C23)</x:f>
        <x:v>96 → 384 kbps</x:v>
      </x:c>
      <x:c r="C40" s="100" t="str">
        <x:f>IF('Master'!D23="","",'Master'!D23)</x:f>
      </x:c>
      <x:c r="D40" s="100" t="str">
        <x:f>IF('Master'!E23="","",'Master'!E23)</x:f>
      </x:c>
      <x:c r="E40" s="100" t="str">
        <x:f>IF('Master'!F23="","",'Master'!F23)</x:f>
      </x:c>
      <x:c r="F40" s="100" t="str">
        <x:f>IF('Master'!G23="","",'Master'!G23)</x:f>
      </x:c>
      <x:c r="G40" s="100" t="str">
        <x:f>IF('Master'!H23="","",'Master'!H23)</x:f>
      </x:c>
      <x:c r="H40" s="100" t="str">
        <x:f>IF('Master'!I23="","",'Master'!I23)</x:f>
        <x:v>64 → 256 kbps</x:v>
      </x:c>
      <x:c r="I40" s="100" t="str">
        <x:f>IF('Master'!J23="","",'Master'!J23)</x:f>
      </x:c>
      <x:c r="J40" s="100" t="str">
        <x:f>IF('Master'!K23="","",'Master'!K23)</x:f>
      </x:c>
      <x:c r="K40" s="100" t="str">
        <x:f>IF('Master'!L23="","",'Master'!L23)</x:f>
        <x:v>24/48/96/128 kbps → 128 kbps</x:v>
      </x:c>
      <x:c r="L40" s="100" t="str">
        <x:f>IF('Master'!M23="","",'Master'!M23)</x:f>
      </x:c>
      <x:c r="M40" s="100" t="str">
        <x:f>IF('Master'!N23="","",'Master'!N23)</x:f>
      </x:c>
      <x:c r="N40" s="100" t="str">
        <x:f>IF('Master'!O23="","",'Master'!O23)</x:f>
      </x:c>
      <x:c r="O40" s="100" t="str">
        <x:f>IF('Master'!P23="","",'Master'!P23)</x:f>
      </x:c>
      <x:c r="P40" s="100" t="str">
        <x:f>IF('Master'!Q23="","",'Master'!Q23)</x:f>
      </x:c>
      <x:c r="Q40" s="100" t="str">
        <x:f>IF('Master'!R23="","",'Master'!R23)</x:f>
      </x:c>
      <x:c r="R40" s="100" t="str">
        <x:f>IF('Master'!S23="","",'Master'!S23)</x:f>
      </x:c>
      <x:c r="S40" s="100" t="str">
        <x:f>IF('Master'!T23="","",'Master'!T23)</x:f>
      </x:c>
      <x:c r="T40" s="100" t="str">
        <x:f>IF('Master'!U23="","",'Master'!U23)</x:f>
        <x:v>Not publicly claimed</x:v>
      </x:c>
      <x:c r="U40" s="100" t="str">
        <x:f>IF('Master'!V23="","",'Master'!V23)</x:f>
        <x:v>96 → 192 kbps</x:v>
      </x:c>
      <x:c r="V40" s="100" t="str">
        <x:f>IF('Master'!W23="","",'Master'!W23)</x:f>
      </x:c>
      <x:c r="W40" s="100" t="str">
        <x:f>IF('Master'!X23="","",'Master'!X23)</x:f>
      </x:c>
      <x:c r="X40" s="100" t="str">
        <x:f>IF('Master'!Y23="","",'Master'!Y23)</x:f>
      </x:c>
      <x:c r="Y40" s="100" t="str">
        <x:f>IF('Master'!Z23="","",'Master'!Z23)</x:f>
      </x:c>
      <x:c r="Z40" s="100" t="str">
        <x:f>IF('Master'!AA23="","",'Master'!AA23)</x:f>
      </x:c>
      <x:c r="AA40" s="104" t="str">
        <x:f>IF('Master'!AB23="","",'Master'!AB23)</x:f>
      </x:c>
      <x:c r="AB40" s="100" t="str">
        <x:f>IF('Master'!AC23="","",'Master'!AC23)</x:f>
      </x:c>
      <x:c r="AC40" s="100" t="str">
        <x:f>IF('Master'!AD23="","",'Master'!AD23)</x:f>
      </x:c>
      <x:c r="AD40" s="100" t="str">
        <x:f>IF('Master'!AE23="","",'Master'!AE23)</x:f>
      </x:c>
      <x:c r="AE40" s="100" t="str">
        <x:f>IF('Master'!AF23="","",'Master'!AF23)</x:f>
      </x:c>
      <x:c r="AF40" s="75" t="str">
        <x:f>IF('Master'!AG23="","",'Master'!AG23)</x:f>
      </x:c>
    </x:row>
    <x:row r="41" ht="36" customHeight="1">
      <x:c r="A41" s="135" t="str">
        <x:v>Primary Pricing Model</x:v>
      </x:c>
      <x:c r="B41" s="100" t="str">
        <x:f>IF('Master'!C24="","",'Master'!C24)</x:f>
        <x:v>Per user; Per boost</x:v>
      </x:c>
      <x:c r="C41" s="100" t="str">
        <x:f>IF('Master'!D24="","",'Master'!D24)</x:f>
        <x:v>Free/open source; no ads and no paid tier</x:v>
      </x:c>
      <x:c r="D41" s="100" t="str">
        <x:f>IF('Master'!E24="","",'Master'!E24)</x:f>
        <x:v>Free/open-source self-hosted/decentralized project</x:v>
      </x:c>
      <x:c r="E41" s="100" t="str">
        <x:f>IF('Master'!F24="","",'Master'!F24)</x:f>
        <x:v>Free core with Premium/Boost tiers when active</x:v>
      </x:c>
      <x:c r="F41" s="100" t="str">
        <x:f>IF('Master'!G24="","",'Master'!G24)</x:f>
        <x:v>Subscription</x:v>
      </x:c>
      <x:c r="G41" s="100" t="str">
        <x:f>IF('Master'!H24="","",'Master'!H24)</x:f>
        <x:v>Per user</x:v>
      </x:c>
      <x:c r="H41" s="100" t="str">
        <x:f>IF('Master'!I24="","",'Master'!I24)</x:f>
        <x:v>Per server; Per self-hosted server</x:v>
      </x:c>
      <x:c r="I41" s="100" t="str">
        <x:f>IF('Master'!J24="","",'Master'!J24)</x:f>
        <x:v>Open-source client ecosystem; platform monetization not established</x:v>
      </x:c>
      <x:c r="J41" s="100" t="str">
        <x:f>IF('Master'!K24="","",'Master'!K24)</x:f>
        <x:v>Open-source distributed/self-hostable messenger</x:v>
      </x:c>
      <x:c r="K41" s="100" t="str">
        <x:f>IF('Master'!L24="","",'Master'!L24)</x:f>
        <x:v>Free/currently unmonetized; self-funded</x:v>
      </x:c>
      <x:c r="L41" s="100" t="str">
        <x:f>IF('Master'!M24="","",'Master'!M24)</x:f>
        <x:v>Self-funded/donation-supported passion project; no ads/subscriptions/data harvesting</x:v>
      </x:c>
      <x:c r="M41" s="100" t="str">
        <x:f>IF('Master'!N24="","",'Master'!N24)</x:f>
        <x:v>Free core; optional managed self-hosting/premium planned</x:v>
      </x:c>
      <x:c r="N41" s="100" t="str">
        <x:f>IF('Master'!O24="","",'Master'!O24)</x:f>
      </x:c>
      <x:c r="O41" s="100" t="str">
        <x:f>IF('Master'!P24="","",'Master'!P24)</x:f>
        <x:v>Annual seat license; Add-on</x:v>
      </x:c>
      <x:c r="P41" s="100" t="str">
        <x:f>IF('Master'!Q24="","",'Master'!Q24)</x:f>
        <x:v>Free platform; no premium communication tier documented</x:v>
      </x:c>
      <x:c r="Q41" s="100" t="str">
        <x:f>IF('Master'!R24="","",'Master'!R24)</x:f>
        <x:v>Free/open-source self-hosted voice platform</x:v>
      </x:c>
      <x:c r="R41" s="100" t="str">
        <x:f>IF('Master'!S24="","",'Master'!S24)</x:f>
        <x:v>Open-source community chat</x:v>
      </x:c>
      <x:c r="S41" s="100" t="str">
        <x:f>IF('Master'!T24="","",'Master'!T24)</x:f>
        <x:v>Free core + Premium subscriptions; zero ads/no third-party data sharing</x:v>
      </x:c>
      <x:c r="T41" s="100" t="str">
        <x:f>IF('Master'!U24="","",'Master'!U24)</x:f>
        <x:v>Free hosted; optional donations; free AGPL self-hosting</x:v>
      </x:c>
      <x:c r="U41" s="100" t="str">
        <x:f>IF('Master'!V24="","",'Master'!V24)</x:f>
        <x:v>Per user; Per community / Shard</x:v>
      </x:c>
      <x:c r="V41" s="100" t="str">
        <x:f>IF('Master'!W24="","",'Master'!W24)</x:f>
        <x:v>Organization / deployment</x:v>
      </x:c>
      <x:c r="W41" s="100" t="str">
        <x:f>IF('Master'!X24="","",'Master'!X24)</x:f>
        <x:v>Open-source project</x:v>
      </x:c>
      <x:c r="X41" s="100" t="str">
        <x:f>IF('Master'!Y24="","",'Master'!Y24)</x:f>
        <x:v>Per user</x:v>
      </x:c>
      <x:c r="Y41" s="100" t="str">
        <x:f>IF('Master'!Z24="","",'Master'!Z24)</x:f>
        <x:v>Self-hosted open-source project</x:v>
      </x:c>
      <x:c r="Z41" s="100" t="str">
        <x:f>IF('Master'!AA24="","",'Master'!AA24)</x:f>
        <x:v>Free and open source; no ads/data sales</x:v>
      </x:c>
      <x:c r="AA41" s="104" t="str">
        <x:f>IF('Master'!AB24="","",'Master'!AB24)</x:f>
        <x:v>Per hosted community; Per self-host license; Custom</x:v>
      </x:c>
      <x:c r="AB41" s="100" t="str">
        <x:f>IF('Master'!AC24="","",'Master'!AC24)</x:f>
        <x:v>Per supporter</x:v>
      </x:c>
      <x:c r="AC41" s="100" t="str">
        <x:f>IF('Master'!AD24="","",'Master'!AD24)</x:f>
        <x:v>Early-stage open-source Discord alternative; monetization not clearly documented</x:v>
      </x:c>
      <x:c r="AD41" s="100" t="str">
        <x:f>IF('Master'!AE24="","",'Master'!AE24)</x:f>
        <x:v>Per lobby; Per community build</x:v>
      </x:c>
      <x:c r="AE41" s="100" t="str">
        <x:f>IF('Master'!AF24="","",'Master'!AF24)</x:f>
        <x:v>Per managed server</x:v>
      </x:c>
      <x:c r="AF41" s="75" t="str">
        <x:f>IF('Master'!AG24="","",'Master'!AG24)</x:f>
        <x:v>Per user; Per user; 10-user minimum; Per user; 25-user minimum; Custom</x:v>
      </x:c>
    </x:row>
    <x:row r="42" ht="22" customHeight="1">
      <x:c r="A42" s="138" t="str">
        <x:v>Monetization &amp; Legal Snapshot</x:v>
      </x:c>
      <x:c r="B42" s="138" t="str">
        <x:f>IF(""="","","")</x:f>
      </x:c>
      <x:c r="C42" s="138" t="str">
        <x:f>IF(""="","","")</x:f>
      </x:c>
      <x:c r="D42" s="138" t="str">
        <x:f>IF(""="","","")</x:f>
      </x:c>
      <x:c r="E42" s="138" t="str">
        <x:f>IF(""="","","")</x:f>
      </x:c>
      <x:c r="F42" s="138" t="str">
        <x:f>IF(""="","","")</x:f>
      </x:c>
      <x:c r="G42" s="138" t="str">
        <x:f>IF(""="","","")</x:f>
      </x:c>
      <x:c r="H42" s="138" t="str">
        <x:f>IF(""="","","")</x:f>
      </x:c>
      <x:c r="I42" s="138" t="str">
        <x:f>IF(""="","","")</x:f>
      </x:c>
      <x:c r="J42" s="138" t="str">
        <x:f>IF(""="","","")</x:f>
      </x:c>
      <x:c r="K42" s="138" t="str">
        <x:f>IF(""="","","")</x:f>
      </x:c>
      <x:c r="L42" s="138" t="str">
        <x:f>IF(""="","","")</x:f>
      </x:c>
      <x:c r="M42" s="138" t="str">
        <x:f>IF(""="","","")</x:f>
      </x:c>
      <x:c r="N42" s="138" t="str">
        <x:f>IF(""="","","")</x:f>
      </x:c>
      <x:c r="O42" s="138" t="str">
        <x:f>IF(""="","","")</x:f>
      </x:c>
      <x:c r="P42" s="138" t="str">
        <x:f>IF(""="","","")</x:f>
      </x:c>
      <x:c r="Q42" s="138" t="str">
        <x:f>IF(""="","","")</x:f>
      </x:c>
      <x:c r="R42" s="138" t="str">
        <x:f>IF(""="","","")</x:f>
      </x:c>
      <x:c r="S42" s="138" t="str">
        <x:f>IF(""="","","")</x:f>
      </x:c>
      <x:c r="T42" s="138" t="str">
        <x:f>IF(""="","","")</x:f>
      </x:c>
      <x:c r="U42" s="138" t="str">
        <x:f>IF(""="","","")</x:f>
      </x:c>
      <x:c r="V42" s="138" t="str">
        <x:f>IF(""="","","")</x:f>
      </x:c>
      <x:c r="W42" s="138" t="str">
        <x:f>IF(""="","","")</x:f>
      </x:c>
      <x:c r="X42" s="138" t="str">
        <x:f>IF(""="","","")</x:f>
      </x:c>
      <x:c r="Y42" s="138" t="str">
        <x:f>IF(""="","","")</x:f>
      </x:c>
      <x:c r="Z42" s="138" t="str">
        <x:f>IF(""="","","")</x:f>
      </x:c>
      <x:c r="AA42" s="138" t="str">
        <x:f>IF(""="","","")</x:f>
      </x:c>
      <x:c r="AB42" s="138" t="str">
        <x:f>IF(""="","","")</x:f>
      </x:c>
      <x:c r="AC42" s="138" t="str">
        <x:f>IF(""="","","")</x:f>
      </x:c>
      <x:c r="AD42" s="138" t="str">
        <x:f>IF(""="","","")</x:f>
      </x:c>
      <x:c r="AE42" s="138" t="str">
        <x:f>IF(""="","","")</x:f>
      </x:c>
      <x:c r="AF42" s="139" t="str">
        <x:f>IF(""="","","")</x:f>
      </x:c>
    </x:row>
    <x:row r="43" ht="36" customHeight="1">
      <x:c r="A43" s="135" t="str">
        <x:v>Current Monetization</x:v>
      </x:c>
      <x:c r="B43" s="100" t="str">
        <x:f>IF('Master'!C25="","",'Master'!C25)</x:f>
        <x:v>Nitro/Nitro Basic subscriptions, Server Boosts, Shop and app ecosystem</x:v>
      </x:c>
      <x:c r="C43" s="100" t="str">
        <x:f>IF('Master'!D25="","",'Master'!D25)</x:f>
        <x:v>No Armada subscription: N/A</x:v>
      </x:c>
      <x:c r="D43" s="100" t="str">
        <x:f>IF('Master'!E25="","",'Master'!E25)</x:f>
        <x:v>No DCTS subscription: N/A; PayPal / Ko-fi donations: User-selected</x:v>
      </x:c>
      <x:c r="E43" s="100" t="str">
        <x:f>IF('Master'!F25="","",'Master'!F25)</x:f>
        <x:v>No public fixed-price paid tier verified: N/A</x:v>
      </x:c>
      <x:c r="F43" s="100" t="str">
        <x:f>IF('Master'!G25="","",'Master'!G25)</x:f>
        <x:v>No current paid monetization verified / see Monetization Detail</x:v>
      </x:c>
      <x:c r="G43" s="100" t="str">
        <x:f>IF('Master'!H25="","",'Master'!H25)</x:f>
        <x:v>Plutonium: 4.99/mo; 49.99/yr; One-time / monthly / yearly donations: Minimum 3 in selected currency</x:v>
      </x:c>
      <x:c r="H43" s="100" t="str">
        <x:f>IF('Master'!I25="","",'Master'!I25)</x:f>
        <x:v>Silver: 4.99/mo; Gold: 9.99/mo; Diamond: 19.99/mo; Self-Hosted Server License: 2.00/mo; 15.00/yr</x:v>
      </x:c>
      <x:c r="I43" s="100" t="str">
        <x:f>IF('Master'!J25="","",'Master'!J25)</x:f>
        <x:v>No central paid tier: N/A</x:v>
      </x:c>
      <x:c r="J43" s="100" t="str">
        <x:f>IF('Master'!K25="","",'Master'!K25)</x:f>
        <x:v>No Hollow subscription: N/A</x:v>
      </x:c>
      <x:c r="K43" s="100" t="str">
        <x:f>IF('Master'!L25="","",'Master'!L25)</x:f>
        <x:v>None currently</x:v>
      </x:c>
      <x:c r="L43" s="100" t="str">
        <x:f>IF('Master'!M25="","",'Master'!M25)</x:f>
        <x:v>No public fixed-price paid tier verified: N/A; Self-funding + donations: User-selected</x:v>
      </x:c>
      <x:c r="M43" s="100" t="str">
        <x:f>IF('Master'!N25="","",'Master'!N25)</x:f>
        <x:v>Core features free; premium managed hosting planned</x:v>
      </x:c>
      <x:c r="N43" s="100" t="str">
        <x:f>IF('Master'!O25="","",'Master'!O25)</x:f>
        <x:v>No Matrix-wide paid tier: N/A; Donations / organizational sponsorship: User-selected / sponsorship</x:v>
      </x:c>
      <x:c r="O43" s="100" t="str">
        <x:f>IF('Master'!P25="","",'Master'!P25)</x:f>
        <x:v>Professional: Contact Sales / Quote; Enterprise: Contact Sales / Quote; Enterprise Advanced: Contact Sales / Quote; Premier Support: Contact Sales / Quote</x:v>
      </x:c>
      <x:c r="P43" s="100" t="str">
        <x:f>IF('Master'!Q25="","",'Master'!Q25)</x:f>
        <x:v>No premium communication subscription: N/A; Mezon Token / Mezon Dong payments: Transaction-dependent</x:v>
      </x:c>
      <x:c r="Q43" s="100" t="str">
        <x:f>IF('Master'!R25="","",'Master'!R25)</x:f>
        <x:v>No Mumble subscription: N/A</x:v>
      </x:c>
      <x:c r="R43" s="100" t="str">
        <x:f>IF('Master'!S25="","",'Master'!S25)</x:f>
        <x:v>No paid subscription verified: N/A; Donation-funded service: User-selected</x:v>
      </x:c>
      <x:c r="S43" s="100" t="str">
        <x:f>IF('Master'!T25="","",'Master'!T25)</x:f>
        <x:v>No public fixed-price paid tier verified: N/A</x:v>
      </x:c>
      <x:c r="T43" s="100" t="str">
        <x:f>IF('Master'!U25="","",'Master'!U25)</x:f>
        <x:v>Optional donations only; donations unlock nothing</x:v>
      </x:c>
      <x:c r="U43" s="100" t="str">
        <x:f>IF('Master'!V25="","",'Master'!V25)</x:f>
        <x:v>Rift+: 7.00/mo; 70.00/yr; Shard Ember: 10.00/mo; Shard Forge: 25.00/mo</x:v>
      </x:c>
      <x:c r="V43" s="100" t="str">
        <x:f>IF('Master'!W25="","",'Master'!W25)</x:f>
        <x:v>Commercial: Contact Sales / Quote; Government: Contact Sales / Quote; Defense: Contact Sales / Quote</x:v>
      </x:c>
      <x:c r="W43" s="100" t="str">
        <x:f>IF('Master'!X25="","",'Master'!X25)</x:f>
        <x:v>No paid Roomy subscription verified: N/A</x:v>
      </x:c>
      <x:c r="X43" s="100" t="str">
        <x:f>IF('Master'!Y25="","",'Master'!Y25)</x:f>
      </x:c>
      <x:c r="Y43" s="100" t="str">
        <x:f>IF('Master'!Z25="","",'Master'!Z25)</x:f>
        <x:v>No central paid tier: N/A</x:v>
      </x:c>
      <x:c r="Z43" s="100" t="str">
        <x:f>IF('Master'!AA25="","",'Master'!AA25)</x:f>
        <x:v>No public fixed-price paid tier verified: N/A</x:v>
      </x:c>
      <x:c r="AA43" s="104" t="str">
        <x:f>IF('Master'!AB25="","",'Master'!AB25)</x:f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AB43" s="100" t="str">
        <x:f>IF('Master'!AC25="","",'Master'!AC25)</x:f>
        <x:v>Optional Stargazer subscriptions/Patreon</x:v>
      </x:c>
      <x:c r="AC43" s="100" t="str">
        <x:f>IF('Master'!AD25="","",'Master'!AD25)</x:f>
        <x:v>No public fixed-price paid tier verified: N/A</x:v>
      </x:c>
      <x:c r="AD43" s="100" t="str">
        <x:f>IF('Master'!AE25="","",'Master'!AE25)</x:f>
        <x:v>Run your own: 6.00/mo; Have it built — Crew: Contact Sales / Quote; Have it built — League: Contact Sales / Quote; Have it built — Network: Contact Sales / Quote; Have it built — Larger: Contact Sales / Quote; Crew / League / Network / Larger custom builds: Quoted</x:v>
      </x:c>
      <x:c r="AE43" s="100" t="str">
        <x:f>IF('Master'!AF25="","",'Master'!AF25)</x:f>
        <x:v>Yapper Hosting — 1 Year: 45.00 promo / 90.00 regular/yr; Maximum Control Self-Hosting License: 0</x:v>
      </x:c>
      <x:c r="AF43" s="75" t="str">
        <x:f>IF('Master'!AG25="","",'Master'!AG25)</x:f>
        <x:v>Cloud Standard: 8.00/mo; 80.04/yr; Cloud Plus: 12.00/mo; 120.00/yr; Self-hosted Basic: 3.50/mo; Self-hosted Business: 8.00/mo; 80.04/yr; Self-hosted Enterprise: Contact Sales / Quote</x:v>
      </x:c>
    </x:row>
    <x:row r="44" ht="36" customHeight="1">
      <x:c r="A44" s="135" t="str">
        <x:v>Intended Monetization</x:v>
      </x:c>
      <x:c r="B44" s="100" t="str">
        <x:f>IF('Master'!C26="","",'Master'!C26)</x:f>
      </x:c>
      <x:c r="C44" s="100" t="str">
        <x:f>IF('Master'!D26="","",'Master'!D26)</x:f>
      </x:c>
      <x:c r="D44" s="100" t="str">
        <x:f>IF('Master'!E26="","",'Master'!E26)</x:f>
      </x:c>
      <x:c r="E44" s="100" t="str">
        <x:f>IF('Master'!F26="","",'Master'!F26)</x:f>
      </x:c>
      <x:c r="F44" s="100" t="str">
        <x:f>IF('Master'!G26="","",'Master'!G26)</x:f>
        <x:v>Surge: 4.99/mo; Flare: 9.99/mo; Prime: 24.99/mo</x:v>
      </x:c>
      <x:c r="G44" s="100" t="str">
        <x:f>IF('Master'!H26="","",'Master'!H26)</x:f>
        <x:v>Subscriptions/donations; creator payments planned</x:v>
      </x:c>
      <x:c r="H44" s="100" t="str">
        <x:f>IF('Master'!I26="","",'Master'!I26)</x:f>
      </x:c>
      <x:c r="I44" s="100" t="str">
        <x:f>IF('Master'!J26="","",'Master'!J26)</x:f>
      </x:c>
      <x:c r="J44" s="100" t="str">
        <x:f>IF('Master'!K26="","",'Master'!K26)</x:f>
        <x:v>No premium tier: 0</x:v>
      </x:c>
      <x:c r="K44" s="100" t="str">
        <x:f>IF('Master'!L26="","",'Master'!L26)</x:f>
        <x:v>Future monetization planned, model TBD</x:v>
      </x:c>
      <x:c r="L44" s="100" t="str">
        <x:f>IF('Master'!M26="","",'Master'!M26)</x:f>
      </x:c>
      <x:c r="M44" s="100" t="str">
        <x:f>IF('Master'!N26="","",'Master'!N26)</x:f>
      </x:c>
      <x:c r="N44" s="100" t="str">
        <x:f>IF('Master'!O26="","",'Master'!O26)</x:f>
        <x:v>Premium plan: Price not finalized</x:v>
      </x:c>
      <x:c r="O44" s="100" t="str">
        <x:f>IF('Master'!P26="","",'Master'!P26)</x:f>
      </x:c>
      <x:c r="P44" s="100" t="str">
        <x:f>IF('Master'!Q26="","",'Master'!Q26)</x:f>
      </x:c>
      <x:c r="Q44" s="100" t="str">
        <x:f>IF('Master'!R26="","",'Master'!R26)</x:f>
      </x:c>
      <x:c r="R44" s="100" t="str">
        <x:f>IF('Master'!S26="","",'Master'!S26)</x:f>
      </x:c>
      <x:c r="S44" s="100" t="str">
        <x:f>IF('Master'!T26="","",'Master'!T26)</x:f>
      </x:c>
      <x:c r="T44" s="100" t="str">
        <x:f>IF('Master'!U26="","",'Master'!U26)</x:f>
      </x:c>
      <x:c r="U44" s="100" t="str">
        <x:f>IF('Master'!V26="","",'Master'!V26)</x:f>
        <x:v>Subscriptions fund operations</x:v>
      </x:c>
      <x:c r="V44" s="100" t="str">
        <x:f>IF('Master'!W26="","",'Master'!W26)</x:f>
      </x:c>
      <x:c r="W44" s="100" t="str">
        <x:f>IF('Master'!X26="","",'Master'!X26)</x:f>
      </x:c>
      <x:c r="X44" s="100" t="str">
        <x:f>IF('Master'!Y26="","",'Master'!Y26)</x:f>
      </x:c>
      <x:c r="Y44" s="100" t="str">
        <x:f>IF('Master'!Z26="","",'Master'!Z26)</x:f>
      </x:c>
      <x:c r="Z44" s="100" t="str">
        <x:f>IF('Master'!AA26="","",'Master'!AA26)</x:f>
      </x:c>
      <x:c r="AA44" s="104" t="str">
        <x:f>IF('Master'!AB26="","",'Master'!AB26)</x:f>
      </x:c>
      <x:c r="AB44" s="100" t="str">
        <x:f>IF('Master'!AC26="","",'Master'!AC26)</x:f>
      </x:c>
      <x:c r="AC44" s="100" t="str">
        <x:f>IF('Master'!AD26="","",'Master'!AD26)</x:f>
      </x:c>
      <x:c r="AD44" s="100" t="str">
        <x:f>IF('Master'!AE26="","",'Master'!AE26)</x:f>
      </x:c>
      <x:c r="AE44" s="100" t="str">
        <x:f>IF('Master'!AF26="","",'Master'!AF26)</x:f>
      </x:c>
      <x:c r="AF44" s="75" t="str">
        <x:f>IF('Master'!AG26="","",'Master'!AG26)</x:f>
      </x:c>
    </x:row>
    <x:row r="45" ht="36" customHeight="1">
      <x:c r="A45" s="135" t="str">
        <x:v>Server / Community Upgrade Model</x:v>
      </x:c>
      <x:c r="B45" s="100" t="str">
        <x:f>IF('Master'!C27="","",'Master'!C27)</x:f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C45" s="100" t="str">
        <x:f>IF('Master'!D27="","",'Master'!D27)</x:f>
      </x:c>
      <x:c r="D45" s="100" t="str">
        <x:f>IF('Master'!E27="","",'Master'!E27)</x:f>
      </x:c>
      <x:c r="E45" s="100" t="str">
        <x:f>IF('Master'!F27="","",'Master'!F27)</x:f>
      </x:c>
      <x:c r="F45" s="100" t="str">
        <x:f>IF('Master'!G27="","",'Master'!G27)</x:f>
      </x:c>
      <x:c r="G45" s="100" t="str">
        <x:f>IF('Master'!H27="","",'Master'!H27)</x:f>
      </x:c>
      <x:c r="H45" s="100" t="str">
        <x:f>IF('Master'!I27="","",'Master'!I27)</x:f>
        <x:v>Silver: 4.99/mo; Gold: 9.99/mo; Diamond: 19.99/mo</x:v>
      </x:c>
      <x:c r="I45" s="100" t="str">
        <x:f>IF('Master'!J27="","",'Master'!J27)</x:f>
      </x:c>
      <x:c r="J45" s="100" t="str">
        <x:f>IF('Master'!K27="","",'Master'!K27)</x:f>
      </x:c>
      <x:c r="K45" s="100" t="str">
        <x:f>IF('Master'!L27="","",'Master'!L27)</x:f>
        <x:v>No paid server/community tier currently</x:v>
      </x:c>
      <x:c r="L45" s="100" t="str">
        <x:f>IF('Master'!M27="","",'Master'!M27)</x:f>
      </x:c>
      <x:c r="M45" s="100" t="str">
        <x:f>IF('Master'!N27="","",'Master'!N27)</x:f>
      </x:c>
      <x:c r="N45" s="100" t="str">
        <x:f>IF('Master'!O27="","",'Master'!O27)</x:f>
      </x:c>
      <x:c r="O45" s="100" t="str">
        <x:f>IF('Master'!P27="","",'Master'!P27)</x:f>
      </x:c>
      <x:c r="P45" s="100" t="str">
        <x:f>IF('Master'!Q27="","",'Master'!Q27)</x:f>
      </x:c>
      <x:c r="Q45" s="100" t="str">
        <x:f>IF('Master'!R27="","",'Master'!R27)</x:f>
      </x:c>
      <x:c r="R45" s="100" t="str">
        <x:f>IF('Master'!S27="","",'Master'!S27)</x:f>
      </x:c>
      <x:c r="S45" s="100" t="str">
        <x:f>IF('Master'!T27="","",'Master'!T27)</x:f>
      </x:c>
      <x:c r="T45" s="100" t="str">
        <x:f>IF('Master'!U27="","",'Master'!U27)</x:f>
        <x:v>None — no paid feature tier</x:v>
      </x:c>
      <x:c r="U45" s="100" t="str">
        <x:f>IF('Master'!V27="","",'Master'!V27)</x:f>
        <x:v>Ember $10/mo; Forge $25/mo</x:v>
      </x:c>
      <x:c r="V45" s="100" t="str">
        <x:f>IF('Master'!W27="","",'Master'!W27)</x:f>
      </x:c>
      <x:c r="W45" s="100" t="str">
        <x:f>IF('Master'!X27="","",'Master'!X27)</x:f>
      </x:c>
      <x:c r="X45" s="100" t="str">
        <x:f>IF('Master'!Y27="","",'Master'!Y27)</x:f>
      </x:c>
      <x:c r="Y45" s="100" t="str">
        <x:f>IF('Master'!Z27="","",'Master'!Z27)</x:f>
      </x:c>
      <x:c r="Z45" s="100" t="str">
        <x:f>IF('Master'!AA27="","",'Master'!AA27)</x:f>
      </x:c>
      <x:c r="AA45" s="104" t="str">
        <x:f>IF('Master'!AB27="","",'Master'!AB27)</x:f>
        <x:v>Crew: 4.99/mo; 53.99/yr; Team: 8.99/mo; 96.99/yr; Faction: 17.99/mo; 194.99/yr</x:v>
      </x:c>
      <x:c r="AB45" s="100" t="str">
        <x:f>IF('Master'!AC27="","",'Master'!AC27)</x:f>
      </x:c>
      <x:c r="AC45" s="100" t="str">
        <x:f>IF('Master'!AD27="","",'Master'!AD27)</x:f>
      </x:c>
      <x:c r="AD45" s="100" t="str">
        <x:f>IF('Master'!AE27="","",'Master'!AE27)</x:f>
        <x:v>Run your own: 6.00/mo; Have it built — Crew: Contact Sales / Quote; Have it built — League: Contact Sales / Quote; Have it built — Network: Contact Sales / Quote; Have it built — Larger: Contact Sales / Quote; Crew / League / Network / Larger custom builds: Quoted</x:v>
      </x:c>
      <x:c r="AE45" s="100" t="str">
        <x:f>IF('Master'!AF27="","",'Master'!AF27)</x:f>
      </x:c>
      <x:c r="AF45" s="75" t="str">
        <x:f>IF('Master'!AG27="","",'Master'!AG27)</x:f>
      </x:c>
    </x:row>
    <x:row r="46" ht="36" customHeight="1">
      <x:c r="A46" s="135" t="str">
        <x:v>User-Level Paid Model</x:v>
      </x:c>
      <x:c r="B46" s="100" t="str">
        <x:f>IF('Master'!C28="","",'Master'!C28)</x:f>
        <x:v>Nitro Basic: 2.99/mo; 29.99/yr; Nitro: 9.99/mo; 99.99/yr; Nitro Classic: 4.99/mo; 49.99/yr</x:v>
      </x:c>
      <x:c r="C46" s="100" t="str">
        <x:f>IF('Master'!D28="","",'Master'!D28)</x:f>
      </x:c>
      <x:c r="D46" s="100" t="str">
        <x:f>IF('Master'!E28="","",'Master'!E28)</x:f>
      </x:c>
      <x:c r="E46" s="100" t="str">
        <x:f>IF('Master'!F28="","",'Master'!F28)</x:f>
      </x:c>
      <x:c r="F46" s="100" t="str">
        <x:f>IF('Master'!G28="","",'Master'!G28)</x:f>
      </x:c>
      <x:c r="G46" s="100" t="str">
        <x:f>IF('Master'!H28="","",'Master'!H28)</x:f>
        <x:v>Plutonium: 4.99/mo; 49.99/yr</x:v>
      </x:c>
      <x:c r="H46" s="100" t="str">
        <x:f>IF('Master'!I28="","",'Master'!I28)</x:f>
      </x:c>
      <x:c r="I46" s="100" t="str">
        <x:f>IF('Master'!J28="","",'Master'!J28)</x:f>
      </x:c>
      <x:c r="J46" s="100" t="str">
        <x:f>IF('Master'!K28="","",'Master'!K28)</x:f>
      </x:c>
      <x:c r="K46" s="100" t="str">
        <x:f>IF('Master'!L28="","",'Master'!L28)</x:f>
        <x:v>No paid user tier currently</x:v>
      </x:c>
      <x:c r="L46" s="100" t="str">
        <x:f>IF('Master'!M28="","",'Master'!M28)</x:f>
      </x:c>
      <x:c r="M46" s="100" t="str">
        <x:f>IF('Master'!N28="","",'Master'!N28)</x:f>
      </x:c>
      <x:c r="N46" s="100" t="str">
        <x:f>IF('Master'!O28="","",'Master'!O28)</x:f>
      </x:c>
      <x:c r="O46" s="100" t="str">
        <x:f>IF('Master'!P28="","",'Master'!P28)</x:f>
      </x:c>
      <x:c r="P46" s="100" t="str">
        <x:f>IF('Master'!Q28="","",'Master'!Q28)</x:f>
      </x:c>
      <x:c r="Q46" s="100" t="str">
        <x:f>IF('Master'!R28="","",'Master'!R28)</x:f>
      </x:c>
      <x:c r="R46" s="100" t="str">
        <x:f>IF('Master'!S28="","",'Master'!S28)</x:f>
      </x:c>
      <x:c r="S46" s="100" t="str">
        <x:f>IF('Master'!T28="","",'Master'!T28)</x:f>
      </x:c>
      <x:c r="T46" s="100" t="str">
        <x:f>IF('Master'!U28="","",'Master'!U28)</x:f>
        <x:v>None — no paid feature tier</x:v>
      </x:c>
      <x:c r="U46" s="100" t="str">
        <x:f>IF('Master'!V28="","",'Master'!V28)</x:f>
        <x:v>Rift+: 7.00/mo; 70.00/yr</x:v>
      </x:c>
      <x:c r="V46" s="100" t="str">
        <x:f>IF('Master'!W28="","",'Master'!W28)</x:f>
      </x:c>
      <x:c r="W46" s="100" t="str">
        <x:f>IF('Master'!X28="","",'Master'!X28)</x:f>
      </x:c>
      <x:c r="X46" s="100" t="str">
        <x:f>IF('Master'!Y28="","",'Master'!Y28)</x:f>
      </x:c>
      <x:c r="Y46" s="100" t="str">
        <x:f>IF('Master'!Z28="","",'Master'!Z28)</x:f>
      </x:c>
      <x:c r="Z46" s="100" t="str">
        <x:f>IF('Master'!AA28="","",'Master'!AA28)</x:f>
      </x:c>
      <x:c r="AA46" s="104" t="str">
        <x:f>IF('Master'!AB28="","",'Master'!AB28)</x:f>
      </x:c>
      <x:c r="AB46" s="100" t="str">
        <x:f>IF('Master'!AC28="","",'Master'!AC28)</x:f>
      </x:c>
      <x:c r="AC46" s="100" t="str">
        <x:f>IF('Master'!AD28="","",'Master'!AD28)</x:f>
      </x:c>
      <x:c r="AD46" s="100" t="str">
        <x:f>IF('Master'!AE28="","",'Master'!AE28)</x:f>
      </x:c>
      <x:c r="AE46" s="100" t="str">
        <x:f>IF('Master'!AF28="","",'Master'!AF28)</x:f>
      </x:c>
      <x:c r="AF46" s="75" t="str">
        <x:f>IF('Master'!AG28="","",'Master'!AG28)</x:f>
      </x:c>
    </x:row>
    <x:row r="47" ht="36" customHeight="1">
      <x:c r="A47" s="135" t="str">
        <x:v>Terms / Legal URL</x:v>
      </x:c>
      <x:c r="B47" s="100" t="str">
        <x:f>IF('Master'!C29="","",'Master'!C29)</x:f>
        <x:v>https://discord.com/terms</x:v>
      </x:c>
      <x:c r="C47" s="100" t="str">
        <x:f>IF('Master'!D29="","",'Master'!D29)</x:f>
        <x:v>https://github.com/soapbox-pub/armada</x:v>
      </x:c>
      <x:c r="D47" s="100" t="str">
        <x:f>IF('Master'!E29="","",'Master'!E29)</x:f>
      </x:c>
      <x:c r="E47" s="100" t="str">
        <x:f>IF('Master'!F29="","",'Master'!F29)</x:f>
      </x:c>
      <x:c r="F47" s="100" t="str">
        <x:f>IF('Master'!G29="","",'Master'!G29)</x:f>
        <x:v>https://fenrid.com/terms</x:v>
      </x:c>
      <x:c r="G47" s="100" t="str">
        <x:f>IF('Master'!H29="","",'Master'!H29)</x:f>
        <x:v>https://fluxer.app/terms</x:v>
      </x:c>
      <x:c r="H47" s="100" t="str">
        <x:f>IF('Master'!I29="","",'Master'!I29)</x:f>
        <x:v>https://gamevox.com/terms/</x:v>
      </x:c>
      <x:c r="I47" s="100" t="str">
        <x:f>IF('Master'!J29="","",'Master'!J29)</x:f>
      </x:c>
      <x:c r="J47" s="100" t="str">
        <x:f>IF('Master'!K29="","",'Master'!K29)</x:f>
        <x:v>https://github.com/VitalikPro13/HOLLOW</x:v>
      </x:c>
      <x:c r="K47" s="100" t="str">
        <x:f>IF('Master'!L29="","",'Master'!L29)</x:f>
      </x:c>
      <x:c r="L47" s="100" t="str">
        <x:f>IF('Master'!M29="","",'Master'!M29)</x:f>
        <x:v>https://kloak.app/terms</x:v>
      </x:c>
      <x:c r="M47" s="100" t="str">
        <x:f>IF('Master'!N29="","",'Master'!N29)</x:f>
        <x:v>https://loqa.chat/terms/</x:v>
      </x:c>
      <x:c r="N47" s="100" t="str">
        <x:f>IF('Master'!O29="","",'Master'!O29)</x:f>
        <x:v>https://matrix.org/legal/terms-and-conditions/</x:v>
      </x:c>
      <x:c r="O47" s="100" t="str">
        <x:f>IF('Master'!P29="","",'Master'!P29)</x:f>
        <x:v>https://docs.mattermost.com/product-overview/faq-license</x:v>
      </x:c>
      <x:c r="P47" s="100" t="str">
        <x:f>IF('Master'!Q29="","",'Master'!Q29)</x:f>
        <x:v>https://dong.mezon.ai/</x:v>
      </x:c>
      <x:c r="Q47" s="100" t="str">
        <x:f>IF('Master'!R29="","",'Master'!R29)</x:f>
        <x:v>https://www.mumble.info/</x:v>
      </x:c>
      <x:c r="R47" s="100" t="str">
        <x:f>IF('Master'!S29="","",'Master'!S29)</x:f>
        <x:v>https://nerimity.com/</x:v>
      </x:c>
      <x:c r="S47" s="100" t="str">
        <x:f>IF('Master'!T29="","",'Master'!T29)</x:f>
        <x:v>https://osmium.chat/terms/</x:v>
      </x:c>
      <x:c r="T47" s="100" t="str">
        <x:f>IF('Master'!U29="","",'Master'!U29)</x:f>
        <x:v>https://pqp.gg/terms</x:v>
      </x:c>
      <x:c r="U47" s="100" t="str">
        <x:f>IF('Master'!V29="","",'Master'!V29)</x:f>
        <x:v>https://therift.chat/terms/</x:v>
      </x:c>
      <x:c r="V47" s="100" t="str">
        <x:f>IF('Master'!W29="","",'Master'!W29)</x:f>
        <x:v>https://docs.rocket.chat/docs/legal-center</x:v>
      </x:c>
      <x:c r="W47" s="100" t="str">
        <x:f>IF('Master'!X29="","",'Master'!X29)</x:f>
      </x:c>
      <x:c r="X47" s="100" t="str">
        <x:f>IF('Master'!Y29="","",'Master'!Y29)</x:f>
        <x:v>https://www.rootapp.com/terms-of-use</x:v>
      </x:c>
      <x:c r="Y47" s="100" t="str">
        <x:f>IF('Master'!Z29="","",'Master'!Z29)</x:f>
        <x:v>https://spacebar.chat/</x:v>
      </x:c>
      <x:c r="Z47" s="100" t="str">
        <x:f>IF('Master'!AA29="","",'Master'!AA29)</x:f>
        <x:v>https://stoat.chat/legal/terms</x:v>
      </x:c>
      <x:c r="AA47" s="104" t="str">
        <x:f>IF('Master'!AB29="","",'Master'!AB29)</x:f>
        <x:v>https://www.teamspeak.com/en/terms-and-conditions</x:v>
      </x:c>
      <x:c r="AB47" s="100" t="str">
        <x:f>IF('Master'!AC29="","",'Master'!AC29)</x:f>
      </x:c>
      <x:c r="AC47" s="100" t="str">
        <x:f>IF('Master'!AD29="","",'Master'!AD29)</x:f>
      </x:c>
      <x:c r="AD47" s="100" t="str">
        <x:f>IF('Master'!AE29="","",'Master'!AE29)</x:f>
      </x:c>
      <x:c r="AE47" s="100" t="str">
        <x:f>IF('Master'!AF29="","",'Master'!AF29)</x:f>
      </x:c>
      <x:c r="AF47" s="75" t="str">
        <x:f>IF('Master'!AG29="","",'Master'!AG29)</x:f>
        <x:v>https://zulip.com/policies/terms</x:v>
      </x:c>
    </x:row>
    <x:row r="48" ht="36" customHeight="1">
      <x:c r="A48" s="135" t="str">
        <x:v>Privacy Policy URL</x:v>
      </x:c>
      <x:c r="B48" s="100" t="str">
        <x:f>IF('Master'!C30="","",'Master'!C30)</x:f>
        <x:v>https://discord.com/privacy</x:v>
      </x:c>
      <x:c r="C48" s="100" t="str">
        <x:f>IF('Master'!D30="","",'Master'!D30)</x:f>
        <x:v>https://github.com/soapbox-pub/armada</x:v>
      </x:c>
      <x:c r="D48" s="100" t="str">
        <x:f>IF('Master'!E30="","",'Master'!E30)</x:f>
      </x:c>
      <x:c r="E48" s="100" t="str">
        <x:f>IF('Master'!F30="","",'Master'!F30)</x:f>
        <x:v>https://echon-voice.com/privacy</x:v>
      </x:c>
      <x:c r="F48" s="100" t="str">
        <x:f>IF('Master'!G30="","",'Master'!G30)</x:f>
        <x:v>https://fenrid.com/privacy</x:v>
      </x:c>
      <x:c r="G48" s="100" t="str">
        <x:f>IF('Master'!H30="","",'Master'!H30)</x:f>
        <x:v>https://fluxer.app/privacy</x:v>
      </x:c>
      <x:c r="H48" s="100" t="str">
        <x:f>IF('Master'!I30="","",'Master'!I30)</x:f>
        <x:v>https://gamevox.com/privacy/</x:v>
      </x:c>
      <x:c r="I48" s="100" t="str">
        <x:f>IF('Master'!J30="","",'Master'!J30)</x:f>
      </x:c>
      <x:c r="J48" s="100" t="str">
        <x:f>IF('Master'!K30="","",'Master'!K30)</x:f>
        <x:v>https://github.com/VitalikPro13/HOLLOW</x:v>
      </x:c>
      <x:c r="K48" s="100" t="str">
        <x:f>IF('Master'!L30="","",'Master'!L30)</x:f>
      </x:c>
      <x:c r="L48" s="100" t="str">
        <x:f>IF('Master'!M30="","",'Master'!M30)</x:f>
        <x:v>https://kloak.app/privacy</x:v>
      </x:c>
      <x:c r="M48" s="100" t="str">
        <x:f>IF('Master'!N30="","",'Master'!N30)</x:f>
        <x:v>https://loqa.chat/privacy/</x:v>
      </x:c>
      <x:c r="N48" s="100" t="str">
        <x:f>IF('Master'!O30="","",'Master'!O30)</x:f>
        <x:v>https://matrix.org/legal/privacy-notice/</x:v>
      </x:c>
      <x:c r="O48" s="100" t="str">
        <x:f>IF('Master'!P30="","",'Master'!P30)</x:f>
        <x:v>https://mattermost.com/privacy-policy/</x:v>
      </x:c>
      <x:c r="P48" s="100" t="str">
        <x:f>IF('Master'!Q30="","",'Master'!Q30)</x:f>
        <x:v>https://dong.mezon.ai/</x:v>
      </x:c>
      <x:c r="Q48" s="100" t="str">
        <x:f>IF('Master'!R30="","",'Master'!R30)</x:f>
      </x:c>
      <x:c r="R48" s="100" t="str">
        <x:f>IF('Master'!S30="","",'Master'!S30)</x:f>
        <x:v>https://nerimity.com/</x:v>
      </x:c>
      <x:c r="S48" s="100" t="str">
        <x:f>IF('Master'!T30="","",'Master'!T30)</x:f>
        <x:v>https://osmium.chat/privacy/</x:v>
      </x:c>
      <x:c r="T48" s="100" t="str">
        <x:f>IF('Master'!U30="","",'Master'!U30)</x:f>
        <x:v>https://pqp.gg/privacy</x:v>
      </x:c>
      <x:c r="U48" s="100" t="str">
        <x:f>IF('Master'!V30="","",'Master'!V30)</x:f>
        <x:v>https://therift.chat/privacy/</x:v>
      </x:c>
      <x:c r="V48" s="100" t="str">
        <x:f>IF('Master'!W30="","",'Master'!W30)</x:f>
        <x:v>https://docs.rocket.chat/docs/privacy-policy</x:v>
      </x:c>
      <x:c r="W48" s="100" t="str">
        <x:f>IF('Master'!X30="","",'Master'!X30)</x:f>
      </x:c>
      <x:c r="X48" s="100" t="str">
        <x:f>IF('Master'!Y30="","",'Master'!Y30)</x:f>
        <x:v>https://www.rootapp.com/privacy-policy</x:v>
      </x:c>
      <x:c r="Y48" s="100" t="str">
        <x:f>IF('Master'!Z30="","",'Master'!Z30)</x:f>
      </x:c>
      <x:c r="Z48" s="100" t="str">
        <x:f>IF('Master'!AA30="","",'Master'!AA30)</x:f>
        <x:v>https://stoat.chat/legal/privacy</x:v>
      </x:c>
      <x:c r="AA48" s="104" t="str">
        <x:f>IF('Master'!AB30="","",'Master'!AB30)</x:f>
        <x:v>https://www.teamspeak.com/en/privacy-policy</x:v>
      </x:c>
      <x:c r="AB48" s="100" t="str">
        <x:f>IF('Master'!AC30="","",'Master'!AC30)</x:f>
      </x:c>
      <x:c r="AC48" s="100" t="str">
        <x:f>IF('Master'!AD30="","",'Master'!AD30)</x:f>
      </x:c>
      <x:c r="AD48" s="100" t="str">
        <x:f>IF('Master'!AE30="","",'Master'!AE30)</x:f>
      </x:c>
      <x:c r="AE48" s="100" t="str">
        <x:f>IF('Master'!AF30="","",'Master'!AF30)</x:f>
        <x:v>https://yapper.gg/privacy-policy</x:v>
      </x:c>
      <x:c r="AF48" s="75" t="str">
        <x:f>IF('Master'!AG30="","",'Master'!AG30)</x:f>
        <x:v>https://zulip.com/policies/privacy</x:v>
      </x:c>
    </x:row>
    <x:row r="49" ht="36" customHeight="1">
      <x:c r="A49" s="135" t="str">
        <x:v>Policy Scope / Notes</x:v>
      </x:c>
      <x:c r="B49" s="100" t="str">
        <x:f>IF('Master'!C31="","",'Master'!C31)</x:f>
        <x:v>Discord-operated centralized service — Paid Services and Monetization Terms additionally govern purchases/sales.</x:v>
      </x:c>
      <x:c r="C49" s="100" t="str">
        <x:f>IF('Master'!D31="","",'Master'!D31)</x:f>
        <x:v>Open-source Nostr/Concord client/relay ecosystem — No central consumer service terms; relay/provider policies apply.</x:v>
      </x:c>
      <x:c r="D49" s="100" t="str">
        <x:f>IF('Master'!E31="","",'Master'!E31)</x:f>
        <x:v>Self-host-first open-source platform — No centralized consumer ToS/privacy verified; instance operator policies apply.</x:v>
      </x:c>
      <x:c r="E49" s="100" t="str">
        <x:f>IF('Master'!F31="","",'Master'!F31)</x:f>
        <x:v>Echon-hosted centralized service — Premium/boost amounts and exact scope are not public.</x:v>
      </x:c>
      <x:c r="F49" s="100" t="str">
        <x:f>IF('Master'!G31="","",'Master'!G31)</x:f>
        <x:v>Pre-launch waitlist policies; full production policy not yet verified — Treat these as waitlist policies, not a complete production-service legal package.</x:v>
      </x:c>
      <x:c r="G49" s="100" t="str">
        <x:f>IF('Master'!H31="","",'Master'!H31)</x:f>
        <x:v>fluxer.app hosted service; self-host operators may have separate policies — Voice/video/screen E2EE is in development, not current.</x:v>
      </x:c>
      <x:c r="H49" s="100" t="str">
        <x:f>IF('Master'!I31="","",'Master'!I31)</x:f>
        <x:v>Cloud account/service plus cloud-hosted or self-hosted community servers — No data sale or advertising stated.</x:v>
      </x:c>
      <x:c r="I49" s="100" t="str">
        <x:f>IF('Master'!J31="","",'Master'!J31)</x:f>
        <x:v>Open-source Harmony platform/server; Fermi is a client — No central consumer service policy verified; self-host operator policy applies.</x:v>
      </x:c>
      <x:c r="J49" s="100" t="str">
        <x:f>IF('Master'!K31="","",'Master'!K31)</x:f>
        <x:v>Local-first distributed app with optional relays — Repository contains Terms/Privacy docs; exact file URLs not normalized here.</x:v>
      </x:c>
      <x:c r="K49" s="100" t="str">
        <x:f>IF('Master'!L31="","",'Master'!L31)</x:f>
        <x:v>Operator-configurable legal pages; default self-host deploy explicitly shows a non-policy notice until operator legal fields are configured</x:v>
      </x:c>
      <x:c r="L49" s="100" t="str">
        <x:f>IF('Master'!M31="","",'Master'!M31)</x:f>
        <x:v>Kloak-hosted privacy-focused service — Kloak states no subscriptions, ads or data harvesting.</x:v>
      </x:c>
      <x:c r="M49" s="100" t="str">
        <x:f>IF('Master'!N31="","",'Master'!N31)</x:f>
        <x:v>Loqa-operated service plus evolving federation/self-host features — E2EE coverage varies by content type.</x:v>
      </x:c>
      <x:c r="N49" s="100" t="str">
        <x:f>IF('Master'!O31="","",'Master'!O31)</x:f>
        <x:v>No Matrix-wide ToS; these links apply only to the matrix.org homeserver — Keep Matrix protocol, matrix.org homeserver and Element client separate.</x:v>
      </x:c>
      <x:c r="O49" s="100" t="str">
        <x:f>IF('Master'!P31="","",'Master'!P31)</x:f>
        <x:v>Cloud and self-hosted enterprise collaboration; local org terms may apply — Obligations differ by Team Edition, Enterprise and Cloud.</x:v>
      </x:c>
      <x:c r="P49" s="100" t="str">
        <x:f>IF('Master'!Q31="","",'Master'!Q31)</x:f>
      </x:c>
      <x:c r="Q49" s="100" t="str">
        <x:f>IF('Master'!R31="","",'Master'!R31)</x:f>
        <x:v>Open-source self-hosted voice software — No central hosted-service ToS; third-party host/operator policies apply.</x:v>
      </x:c>
      <x:c r="R49" s="100" t="str">
        <x:f>IF('Master'!S31="","",'Master'!S31)</x:f>
        <x:v>Nerimity-hosted service; open-source code — Homepage links Terms and Privacy; exact standalone URLs were not indexed.</x:v>
      </x:c>
      <x:c r="S49" s="100" t="str">
        <x:f>IF('Master'!T31="","",'Master'!T31)</x:f>
        <x:v>Osmium-hosted centralized service — Encrypted transport does not itself mean E2EE.</x:v>
      </x:c>
      <x:c r="T49" s="100" t="str">
        <x:f>IF('Master'!U31="","",'Master'!U31)</x:f>
        <x:v>Hosted service privacy policy is published; hosted in São Paulo; self-host operator controls its own deployment/policy</x:v>
      </x:c>
      <x:c r="U49" s="100" t="str">
        <x:f>IF('Master'!V31="","",'Master'!V31)</x:f>
        <x:v>Rift-operated centralized service — No email, phone or government ID required.</x:v>
      </x:c>
      <x:c r="V49" s="100" t="str">
        <x:f>IF('Master'!W31="","",'Master'!W31)</x:f>
        <x:v>Cloud and self-managed deployments; offering-specific terms — Use Legal Center for current agreements and archived versions.</x:v>
      </x:c>
      <x:c r="W49" s="100" t="str">
        <x:f>IF('Master'!X31="","",'Master'!X31)</x:f>
        <x:v>Open-source ATProto application/appserver — Provider/PDS/appserver policies apply; no Roomy consumer policy verified.</x:v>
      </x:c>
      <x:c r="X49" s="100" t="str">
        <x:f>IF('Master'!Y31="","",'Master'!Y31)</x:f>
        <x:v>Root-operated centralized service — Developer Terms separately govern Apps/Bots and hosted runtime.</x:v>
      </x:c>
      <x:c r="Y49" s="100" t="str">
        <x:f>IF('Master'!Z31="","",'Master'!Z31)</x:f>
        <x:v>Self-hosted open-source Discord-compatible software — No central consumer service policy; operator policies apply.</x:v>
      </x:c>
      <x:c r="Z49" s="100" t="str">
        <x:f>IF('Master'!AA31="","",'Master'!AA31)</x:f>
        <x:v>Stoat-hosted service; self-host instances are separate operators — Read shared policies together with Stoat-specific supplements.</x:v>
      </x:c>
      <x:c r="AA49" s="104" t="str">
        <x:f>IF('Master'!AB31="","",'Master'!AB31)</x:f>
        <x:v>Software, accounts, hosted communities, licenses and related services — Authorized third-party hosts may impose additional policies.</x:v>
      </x:c>
      <x:c r="AB49" s="100" t="str">
        <x:f>IF('Master'!AC31="","",'Master'!AC31)</x:f>
        <x:v>Valour-hosted service plus AGPL self-host/federated nodes — FAQ says no phone/ID, no ads, no data selling; AGPL client/server.</x:v>
      </x:c>
      <x:c r="AC49" s="100" t="str">
        <x:f>IF('Master'!AD31="","",'Master'!AD31)</x:f>
        <x:v>Early hosted project moving toward self-host/federation — Formal public legal policy coverage is incomplete.</x:v>
      </x:c>
      <x:c r="AD49" s="100" t="str">
        <x:f>IF('Master'!AE31="","",'Master'!AE31)</x:f>
        <x:v>Weered-hosted lobby/community service — No seat limits/boosts; paid model is lobby ownership/custom builds.</x:v>
      </x:c>
      <x:c r="AE49" s="100" t="str">
        <x:f>IF('Master'!AF31="","",'Master'!AF31)</x:f>
        <x:v>yapper.gg account/license service plus self-host or managed server — Managed hosting and self-host privacy responsibilities differ.</x:v>
      </x:c>
      <x:c r="AF49" s="75" t="str">
        <x:f>IF('Master'!AG31="","",'Master'!AG31)</x:f>
        <x:v>Zulip Cloud plus subscriptions; self-host operator policies also matter — Treat Zulip Cloud and self-hosted Zulip separately.</x:v>
      </x:c>
    </x:row>
    <x:row r="50" ht="22" customHeight="1">
      <x:c r="A50" s="138" t="str">
        <x:v>Modern Feature Snapshot</x:v>
      </x:c>
      <x:c r="B50" s="138" t="str">
        <x:f>IF(""="","","")</x:f>
      </x:c>
      <x:c r="C50" s="138" t="str">
        <x:f>IF(""="","","")</x:f>
      </x:c>
      <x:c r="D50" s="138" t="str">
        <x:f>IF(""="","","")</x:f>
      </x:c>
      <x:c r="E50" s="138" t="str">
        <x:f>IF(""="","","")</x:f>
      </x:c>
      <x:c r="F50" s="138" t="str">
        <x:f>IF(""="","","")</x:f>
      </x:c>
      <x:c r="G50" s="138" t="str">
        <x:f>IF(""="","","")</x:f>
      </x:c>
      <x:c r="H50" s="138" t="str">
        <x:f>IF(""="","","")</x:f>
      </x:c>
      <x:c r="I50" s="138" t="str">
        <x:f>IF(""="","","")</x:f>
      </x:c>
      <x:c r="J50" s="138" t="str">
        <x:f>IF(""="","","")</x:f>
      </x:c>
      <x:c r="K50" s="138" t="str">
        <x:f>IF(""="","","")</x:f>
      </x:c>
      <x:c r="L50" s="138" t="str">
        <x:f>IF(""="","","")</x:f>
      </x:c>
      <x:c r="M50" s="138" t="str">
        <x:f>IF(""="","","")</x:f>
      </x:c>
      <x:c r="N50" s="138" t="str">
        <x:f>IF(""="","","")</x:f>
      </x:c>
      <x:c r="O50" s="138" t="str">
        <x:f>IF(""="","","")</x:f>
      </x:c>
      <x:c r="P50" s="138" t="str">
        <x:f>IF(""="","","")</x:f>
      </x:c>
      <x:c r="Q50" s="138" t="str">
        <x:f>IF(""="","","")</x:f>
      </x:c>
      <x:c r="R50" s="138" t="str">
        <x:f>IF(""="","","")</x:f>
      </x:c>
      <x:c r="S50" s="138" t="str">
        <x:f>IF(""="","","")</x:f>
      </x:c>
      <x:c r="T50" s="138" t="str">
        <x:f>IF(""="","","")</x:f>
      </x:c>
      <x:c r="U50" s="138" t="str">
        <x:f>IF(""="","","")</x:f>
      </x:c>
      <x:c r="V50" s="138" t="str">
        <x:f>IF(""="","","")</x:f>
      </x:c>
      <x:c r="W50" s="138" t="str">
        <x:f>IF(""="","","")</x:f>
      </x:c>
      <x:c r="X50" s="138" t="str">
        <x:f>IF(""="","","")</x:f>
      </x:c>
      <x:c r="Y50" s="138" t="str">
        <x:f>IF(""="","","")</x:f>
      </x:c>
      <x:c r="Z50" s="138" t="str">
        <x:f>IF(""="","","")</x:f>
      </x:c>
      <x:c r="AA50" s="138" t="str">
        <x:f>IF(""="","","")</x:f>
      </x:c>
      <x:c r="AB50" s="138" t="str">
        <x:f>IF(""="","","")</x:f>
      </x:c>
      <x:c r="AC50" s="138" t="str">
        <x:f>IF(""="","","")</x:f>
      </x:c>
      <x:c r="AD50" s="138" t="str">
        <x:f>IF(""="","","")</x:f>
      </x:c>
      <x:c r="AE50" s="138" t="str">
        <x:f>IF(""="","","")</x:f>
      </x:c>
      <x:c r="AF50" s="139" t="str">
        <x:f>IF(""="","","")</x:f>
      </x:c>
    </x:row>
    <x:row r="51" ht="36" customHeight="1">
      <x:c r="A51" s="135" t="str">
        <x:v>Native Forum / Threaded Knowledge Space</x:v>
      </x:c>
      <x:c r="B51" s="100" t="str">
        <x:f>IF('Master'!C32="","",'Master'!C32)</x:f>
        <x:v>Yes — Forum Channels</x:v>
      </x:c>
      <x:c r="C51" s="100" t="str">
        <x:f>IF('Master'!D32="","",'Master'!D32)</x:f>
        <x:v>Yes — threads; Buzz compatibility also exposes forums</x:v>
      </x:c>
      <x:c r="D51" s="100" t="str">
        <x:f>IF('Master'!E32="","",'Master'!E32)</x:f>
      </x:c>
      <x:c r="E51" s="100" t="str">
        <x:f>IF('Master'!F32="","",'Master'!F32)</x:f>
      </x:c>
      <x:c r="F51" s="100" t="str">
        <x:f>IF('Master'!G32="","",'Master'!G32)</x:f>
      </x:c>
      <x:c r="G51" s="100" t="str">
        <x:f>IF('Master'!H32="","",'Master'!H32)</x:f>
      </x:c>
      <x:c r="H51" s="100" t="str">
        <x:f>IF('Master'!I32="","",'Master'!I32)</x:f>
      </x:c>
      <x:c r="I51" s="100" t="str">
        <x:f>IF('Master'!J32="","",'Master'!J32)</x:f>
      </x:c>
      <x:c r="J51" s="100" t="str">
        <x:f>IF('Master'!K32="","",'Master'!K32)</x:f>
      </x:c>
      <x:c r="K51" s="100" t="str">
        <x:f>IF('Master'!L32="","",'Master'!L32)</x:f>
        <x:v>Yes</x:v>
      </x:c>
      <x:c r="L51" s="100" t="str">
        <x:f>IF('Master'!M32="","",'Master'!M32)</x:f>
        <x:v>Yes</x:v>
      </x:c>
      <x:c r="M51" s="100" t="str">
        <x:f>IF('Master'!N32="","",'Master'!N32)</x:f>
        <x:v>Yes — threads and forums</x:v>
      </x:c>
      <x:c r="N51" s="100" t="str">
        <x:f>IF('Master'!O32="","",'Master'!O32)</x:f>
        <x:v>Client/room conventions</x:v>
      </x:c>
      <x:c r="O51" s="100" t="str">
        <x:f>IF('Master'!P32="","",'Master'!P32)</x:f>
      </x:c>
      <x:c r="P51" s="100" t="str">
        <x:f>IF('Master'!Q32="","",'Master'!Q32)</x:f>
      </x:c>
      <x:c r="Q51" s="100" t="str">
        <x:f>IF('Master'!R32="","",'Master'!R32)</x:f>
      </x:c>
      <x:c r="R51" s="100" t="str">
        <x:f>IF('Master'!S32="","",'Master'!S32)</x:f>
      </x:c>
      <x:c r="S51" s="100" t="str">
        <x:f>IF('Master'!T32="","",'Master'!T32)</x:f>
      </x:c>
      <x:c r="T51" s="100" t="str">
        <x:f>IF('Master'!U32="","",'Master'!U32)</x:f>
      </x:c>
      <x:c r="U51" s="100" t="str">
        <x:f>IF('Master'!V32="","",'Master'!V32)</x:f>
        <x:v>Yes — Forum channels</x:v>
      </x:c>
      <x:c r="V51" s="100" t="str">
        <x:f>IF('Master'!W32="","",'Master'!W32)</x:f>
      </x:c>
      <x:c r="W51" s="100" t="str">
        <x:f>IF('Master'!X32="","",'Master'!X32)</x:f>
        <x:v>Yes/Partial — forum/group-chat model</x:v>
      </x:c>
      <x:c r="X51" s="100" t="str">
        <x:f>IF('Master'!Y32="","",'Master'!Y32)</x:f>
      </x:c>
      <x:c r="Y51" s="100" t="str">
        <x:f>IF('Master'!Z32="","",'Master'!Z32)</x:f>
      </x:c>
      <x:c r="Z51" s="100" t="str">
        <x:f>IF('Master'!AA32="","",'Master'!AA32)</x:f>
      </x:c>
      <x:c r="AA51" s="104" t="str">
        <x:f>IF('Master'!AB32="","",'Master'!AB32)</x:f>
      </x:c>
      <x:c r="AB51" s="100" t="str">
        <x:f>IF('Master'!AC32="","",'Master'!AC32)</x:f>
        <x:v>Yes — thread feed</x:v>
      </x:c>
      <x:c r="AC51" s="100" t="str">
        <x:f>IF('Master'!AD32="","",'Master'!AD32)</x:f>
      </x:c>
      <x:c r="AD51" s="100" t="str">
        <x:f>IF('Master'!AE32="","",'Master'!AE32)</x:f>
        <x:v>Yes</x:v>
      </x:c>
      <x:c r="AE51" s="100" t="str">
        <x:f>IF('Master'!AF32="","",'Master'!AF32)</x:f>
      </x:c>
      <x:c r="AF51" s="75" t="str">
        <x:f>IF('Master'!AG32="","",'Master'!AG32)</x:f>
        <x:v>Topics rather than forum channel</x:v>
      </x:c>
    </x:row>
    <x:row r="52" ht="36" customHeight="1">
      <x:c r="A52" s="135" t="str">
        <x:v>Native Gallery / Media-First Space</x:v>
      </x:c>
      <x:c r="B52" s="100" t="str">
        <x:f>IF('Master'!C33="","",'Master'!C33)</x:f>
        <x:v>Partial — Forum Gallery View</x:v>
      </x:c>
      <x:c r="C52" s="100" t="str">
        <x:f>IF('Master'!D33="","",'Master'!D33)</x:f>
      </x:c>
      <x:c r="D52" s="100" t="str">
        <x:f>IF('Master'!E33="","",'Master'!E33)</x:f>
      </x:c>
      <x:c r="E52" s="100" t="str">
        <x:f>IF('Master'!F33="","",'Master'!F33)</x:f>
      </x:c>
      <x:c r="F52" s="100" t="str">
        <x:f>IF('Master'!G33="","",'Master'!G33)</x:f>
      </x:c>
      <x:c r="G52" s="100" t="str">
        <x:f>IF('Master'!H33="","",'Master'!H33)</x:f>
      </x:c>
      <x:c r="H52" s="100" t="str">
        <x:f>IF('Master'!I33="","",'Master'!I33)</x:f>
      </x:c>
      <x:c r="I52" s="100" t="str">
        <x:f>IF('Master'!J33="","",'Master'!J33)</x:f>
      </x:c>
      <x:c r="J52" s="100" t="str">
        <x:f>IF('Master'!K33="","",'Master'!K33)</x:f>
      </x:c>
      <x:c r="K52" s="100" t="str">
        <x:f>IF('Master'!L33="","",'Master'!L33)</x:f>
        <x:v>No dedicated gallery channel</x:v>
      </x:c>
      <x:c r="L52" s="100" t="str">
        <x:f>IF('Master'!M33="","",'Master'!M33)</x:f>
      </x:c>
      <x:c r="M52" s="100" t="str">
        <x:f>IF('Master'!N33="","",'Master'!N33)</x:f>
      </x:c>
      <x:c r="N52" s="100" t="str">
        <x:f>IF('Master'!O33="","",'Master'!O33)</x:f>
      </x:c>
      <x:c r="O52" s="100" t="str">
        <x:f>IF('Master'!P33="","",'Master'!P33)</x:f>
      </x:c>
      <x:c r="P52" s="100" t="str">
        <x:f>IF('Master'!Q33="","",'Master'!Q33)</x:f>
      </x:c>
      <x:c r="Q52" s="100" t="str">
        <x:f>IF('Master'!R33="","",'Master'!R33)</x:f>
      </x:c>
      <x:c r="R52" s="100" t="str">
        <x:f>IF('Master'!S33="","",'Master'!S33)</x:f>
      </x:c>
      <x:c r="S52" s="100" t="str">
        <x:f>IF('Master'!T33="","",'Master'!T33)</x:f>
      </x:c>
      <x:c r="T52" s="100" t="str">
        <x:f>IF('Master'!U33="","",'Master'!U33)</x:f>
      </x:c>
      <x:c r="U52" s="100" t="str">
        <x:f>IF('Master'!V33="","",'Master'!V33)</x:f>
        <x:v>Yes — Gallery channel</x:v>
      </x:c>
      <x:c r="V52" s="100" t="str">
        <x:f>IF('Master'!W33="","",'Master'!W33)</x:f>
      </x:c>
      <x:c r="W52" s="100" t="str">
        <x:f>IF('Master'!X33="","",'Master'!X33)</x:f>
      </x:c>
      <x:c r="X52" s="100" t="str">
        <x:f>IF('Master'!Y33="","",'Master'!Y33)</x:f>
      </x:c>
      <x:c r="Y52" s="100" t="str">
        <x:f>IF('Master'!Z33="","",'Master'!Z33)</x:f>
      </x:c>
      <x:c r="Z52" s="100" t="str">
        <x:f>IF('Master'!AA33="","",'Master'!AA33)</x:f>
      </x:c>
      <x:c r="AA52" s="104" t="str">
        <x:f>IF('Master'!AB33="","",'Master'!AB33)</x:f>
      </x:c>
      <x:c r="AB52" s="100" t="str">
        <x:f>IF('Master'!AC33="","",'Master'!AC33)</x:f>
      </x:c>
      <x:c r="AC52" s="100" t="str">
        <x:f>IF('Master'!AD33="","",'Master'!AD33)</x:f>
      </x:c>
      <x:c r="AD52" s="100" t="str">
        <x:f>IF('Master'!AE33="","",'Master'!AE33)</x:f>
      </x:c>
      <x:c r="AE52" s="100" t="str">
        <x:f>IF('Master'!AF33="","",'Master'!AF33)</x:f>
      </x:c>
      <x:c r="AF52" s="75" t="str">
        <x:f>IF('Master'!AG33="","",'Master'!AG33)</x:f>
      </x:c>
    </x:row>
    <x:row r="53" ht="36" customHeight="1">
      <x:c r="A53" s="135" t="str">
        <x:v>Native Ticket / Support Workflow</x:v>
      </x:c>
      <x:c r="B53" s="100" t="str">
        <x:f>IF('Master'!C34="","",'Master'!C34)</x:f>
        <x:v>No native; apps/bots</x:v>
      </x:c>
      <x:c r="C53" s="100" t="str">
        <x:f>IF('Master'!D34="","",'Master'!D34)</x:f>
      </x:c>
      <x:c r="D53" s="100" t="str">
        <x:f>IF('Master'!E34="","",'Master'!E34)</x:f>
      </x:c>
      <x:c r="E53" s="100" t="str">
        <x:f>IF('Master'!F34="","",'Master'!F34)</x:f>
      </x:c>
      <x:c r="F53" s="100" t="str">
        <x:f>IF('Master'!G34="","",'Master'!G34)</x:f>
      </x:c>
      <x:c r="G53" s="100" t="str">
        <x:f>IF('Master'!H34="","",'Master'!H34)</x:f>
      </x:c>
      <x:c r="H53" s="100" t="str">
        <x:f>IF('Master'!I34="","",'Master'!I34)</x:f>
      </x:c>
      <x:c r="I53" s="100" t="str">
        <x:f>IF('Master'!J34="","",'Master'!J34)</x:f>
      </x:c>
      <x:c r="J53" s="100" t="str">
        <x:f>IF('Master'!K34="","",'Master'!K34)</x:f>
      </x:c>
      <x:c r="K53" s="100" t="str">
        <x:f>IF('Master'!L34="","",'Master'!L34)</x:f>
        <x:v>No dedicated ticket/support channel</x:v>
      </x:c>
      <x:c r="L53" s="100" t="str">
        <x:f>IF('Master'!M34="","",'Master'!M34)</x:f>
      </x:c>
      <x:c r="M53" s="100" t="str">
        <x:f>IF('Master'!N34="","",'Master'!N34)</x:f>
      </x:c>
      <x:c r="N53" s="100" t="str">
        <x:f>IF('Master'!O34="","",'Master'!O34)</x:f>
      </x:c>
      <x:c r="O53" s="100" t="str">
        <x:f>IF('Master'!P34="","",'Master'!P34)</x:f>
        <x:v>Plugins/integrations</x:v>
      </x:c>
      <x:c r="P53" s="100" t="str">
        <x:f>IF('Master'!Q34="","",'Master'!Q34)</x:f>
      </x:c>
      <x:c r="Q53" s="100" t="str">
        <x:f>IF('Master'!R34="","",'Master'!R34)</x:f>
      </x:c>
      <x:c r="R53" s="100" t="str">
        <x:f>IF('Master'!S34="","",'Master'!S34)</x:f>
      </x:c>
      <x:c r="S53" s="100" t="str">
        <x:f>IF('Master'!T34="","",'Master'!T34)</x:f>
      </x:c>
      <x:c r="T53" s="100" t="str">
        <x:f>IF('Master'!U34="","",'Master'!U34)</x:f>
      </x:c>
      <x:c r="U53" s="100" t="str">
        <x:f>IF('Master'!V34="","",'Master'!V34)</x:f>
        <x:v>Yes — built-in Ticket channel</x:v>
      </x:c>
      <x:c r="V53" s="100" t="str">
        <x:f>IF('Master'!W34="","",'Master'!W34)</x:f>
        <x:v>Apps/integrations</x:v>
      </x:c>
      <x:c r="W53" s="100" t="str">
        <x:f>IF('Master'!X34="","",'Master'!X34)</x:f>
      </x:c>
      <x:c r="X53" s="100" t="str">
        <x:f>IF('Master'!Y34="","",'Master'!Y34)</x:f>
      </x:c>
      <x:c r="Y53" s="100" t="str">
        <x:f>IF('Master'!Z34="","",'Master'!Z34)</x:f>
      </x:c>
      <x:c r="Z53" s="100" t="str">
        <x:f>IF('Master'!AA34="","",'Master'!AA34)</x:f>
      </x:c>
      <x:c r="AA53" s="104" t="str">
        <x:f>IF('Master'!AB34="","",'Master'!AB34)</x:f>
      </x:c>
      <x:c r="AB53" s="100" t="str">
        <x:f>IF('Master'!AC34="","",'Master'!AC34)</x:f>
      </x:c>
      <x:c r="AC53" s="100" t="str">
        <x:f>IF('Master'!AD34="","",'Master'!AD34)</x:f>
      </x:c>
      <x:c r="AD53" s="100" t="str">
        <x:f>IF('Master'!AE34="","",'Master'!AE34)</x:f>
      </x:c>
      <x:c r="AE53" s="100" t="str">
        <x:f>IF('Master'!AF34="","",'Master'!AF34)</x:f>
      </x:c>
      <x:c r="AF53" s="75" t="str">
        <x:f>IF('Master'!AG34="","",'Master'!AG34)</x:f>
      </x:c>
    </x:row>
    <x:row r="54" ht="36" customHeight="1">
      <x:c r="A54" s="135" t="str">
        <x:v>Embedded App / Widget Framework</x:v>
      </x:c>
      <x:c r="B54" s="100" t="str">
        <x:f>IF('Master'!C121="","",'Master'!C121)</x:f>
        <x:v>Yes — Activities / Embedded App SDK</x:v>
      </x:c>
      <x:c r="C54" s="100" t="str">
        <x:f>IF('Master'!D121="","",'Master'!D121)</x:f>
      </x:c>
      <x:c r="D54" s="100" t="str">
        <x:f>IF('Master'!E121="","",'Master'!E121)</x:f>
      </x:c>
      <x:c r="E54" s="100" t="str">
        <x:f>IF('Master'!F121="","",'Master'!F121)</x:f>
      </x:c>
      <x:c r="F54" s="100" t="str">
        <x:f>IF('Master'!G121="","",'Master'!G121)</x:f>
      </x:c>
      <x:c r="G54" s="100" t="str">
        <x:f>IF('Master'!H121="","",'Master'!H121)</x:f>
      </x:c>
      <x:c r="H54" s="100" t="str">
        <x:f>IF('Master'!I121="","",'Master'!I121)</x:f>
      </x:c>
      <x:c r="I54" s="100" t="str">
        <x:f>IF('Master'!J121="","",'Master'!J121)</x:f>
      </x:c>
      <x:c r="J54" s="100" t="str">
        <x:f>IF('Master'!K121="","",'Master'!K121)</x:f>
      </x:c>
      <x:c r="K54" s="100" t="str">
        <x:f>IF('Master'!L121="","",'Master'!L121)</x:f>
        <x:v>No embedded widget/activity runtime; bot/application ecosystem instead</x:v>
      </x:c>
      <x:c r="L54" s="100" t="str">
        <x:f>IF('Master'!M121="","",'Master'!M121)</x:f>
      </x:c>
      <x:c r="M54" s="100" t="str">
        <x:f>IF('Master'!N121="","",'Master'!N121)</x:f>
      </x:c>
      <x:c r="N54" s="100" t="str">
        <x:f>IF('Master'!O121="","",'Master'!O121)</x:f>
        <x:v>Client-dependent — Element supports room widgets/custom embedded web pages; not Matrix-wide</x:v>
      </x:c>
      <x:c r="O54" s="100" t="str">
        <x:f>IF('Master'!P121="","",'Master'!P121)</x:f>
        <x:v>Yes — webapp plugins can inject React/root components</x:v>
      </x:c>
      <x:c r="P54" s="100" t="str">
        <x:f>IF('Master'!Q121="","",'Master'!Q121)</x:f>
      </x:c>
      <x:c r="Q54" s="100" t="str">
        <x:f>IF('Master'!R121="","",'Master'!R121)</x:f>
      </x:c>
      <x:c r="R54" s="100" t="str">
        <x:f>IF('Master'!S121="","",'Master'!S121)</x:f>
      </x:c>
      <x:c r="S54" s="100" t="str">
        <x:f>IF('Master'!T121="","",'Master'!T121)</x:f>
      </x:c>
      <x:c r="T54" s="100" t="str">
        <x:f>IF('Master'!U121="","",'Master'!U121)</x:f>
      </x:c>
      <x:c r="U54" s="100" t="str">
        <x:f>IF('Master'!V121="","",'Master'!V121)</x:f>
        <x:v>Yes — Portals + built-in workspaces</x:v>
      </x:c>
      <x:c r="V54" s="100" t="str">
        <x:f>IF('Master'!W121="","",'Master'!W121)</x:f>
        <x:v>Yes — Apps-Engine packages install directly into workspace</x:v>
      </x:c>
      <x:c r="W54" s="100" t="str">
        <x:f>IF('Master'!X121="","",'Master'!X121)</x:f>
        <x:v>No dedicated embedded-app marketplace documented</x:v>
      </x:c>
      <x:c r="X54" s="100" t="str">
        <x:f>IF('Master'!Y121="","",'Master'!Y121)</x:f>
        <x:v>Yes — hosted Root Apps can provide GUI surfaces</x:v>
      </x:c>
      <x:c r="Y54" s="100" t="str">
        <x:f>IF('Master'!Z121="","",'Master'!Z121)</x:f>
      </x:c>
      <x:c r="Z54" s="100" t="str">
        <x:f>IF('Master'!AA121="","",'Master'!AA121)</x:f>
      </x:c>
      <x:c r="AA54" s="104" t="str">
        <x:f>IF('Master'!AB121="","",'Master'!AB121)</x:f>
      </x:c>
      <x:c r="AB54" s="100" t="str">
        <x:f>IF('Master'!AC121="","",'Master'!AC121)</x:f>
        <x:v>No dedicated embedded-app framework documented</x:v>
      </x:c>
      <x:c r="AC54" s="100" t="str">
        <x:f>IF('Master'!AD121="","",'Master'!AD121)</x:f>
      </x:c>
      <x:c r="AD54" s="100" t="str">
        <x:f>IF('Master'!AE121="","",'Master'!AE121)</x:f>
      </x:c>
      <x:c r="AE54" s="100" t="str">
        <x:f>IF('Master'!AF121="","",'Master'!AF121)</x:f>
      </x:c>
      <x:c r="AF54" s="75" t="str">
        <x:f>IF('Master'!AG121="","",'Master'!AG121)</x:f>
        <x:v>No comparable embedded UI framework; bots/integrations instead</x:v>
      </x:c>
    </x:row>
    <x:row r="55" ht="36" customHeight="1">
      <x:c r="A55" s="135" t="str">
        <x:v>Saved Multi-Panel Layouts / Workspaces</x:v>
      </x:c>
      <x:c r="B55" s="100" t="str">
        <x:f>IF('Master'!C35="","",'Master'!C35)</x:f>
        <x:v>No general user-arranged workspace</x:v>
      </x:c>
      <x:c r="C55" s="100" t="str">
        <x:f>IF('Master'!D35="","",'Master'!D35)</x:f>
      </x:c>
      <x:c r="D55" s="100" t="str">
        <x:f>IF('Master'!E35="","",'Master'!E35)</x:f>
      </x:c>
      <x:c r="E55" s="100" t="str">
        <x:f>IF('Master'!F35="","",'Master'!F35)</x:f>
      </x:c>
      <x:c r="F55" s="100" t="str">
        <x:f>IF('Master'!G35="","",'Master'!G35)</x:f>
      </x:c>
      <x:c r="G55" s="100" t="str">
        <x:f>IF('Master'!H35="","",'Master'!H35)</x:f>
      </x:c>
      <x:c r="H55" s="100" t="str">
        <x:f>IF('Master'!I35="","",'Master'!I35)</x:f>
      </x:c>
      <x:c r="I55" s="100" t="str">
        <x:f>IF('Master'!J35="","",'Master'!J35)</x:f>
      </x:c>
      <x:c r="J55" s="100" t="str">
        <x:f>IF('Master'!K35="","",'Master'!K35)</x:f>
      </x:c>
      <x:c r="K55" s="100" t="str">
        <x:f>IF('Master'!L35="","",'Master'!L35)</x:f>
        <x:v>No saved multi-panel workspace/layout feature documented</x:v>
      </x:c>
      <x:c r="L55" s="100" t="str">
        <x:f>IF('Master'!M35="","",'Master'!M35)</x:f>
      </x:c>
      <x:c r="M55" s="100" t="str">
        <x:f>IF('Master'!N35="","",'Master'!N35)</x:f>
      </x:c>
      <x:c r="N55" s="100" t="str">
        <x:f>IF('Master'!O35="","",'Master'!O35)</x:f>
        <x:v>Client-dependent</x:v>
      </x:c>
      <x:c r="O55" s="100" t="str">
        <x:f>IF('Master'!P35="","",'Master'!P35)</x:f>
      </x:c>
      <x:c r="P55" s="100" t="str">
        <x:f>IF('Master'!Q35="","",'Master'!Q35)</x:f>
      </x:c>
      <x:c r="Q55" s="100" t="str">
        <x:f>IF('Master'!R35="","",'Master'!R35)</x:f>
      </x:c>
      <x:c r="R55" s="100" t="str">
        <x:f>IF('Master'!S35="","",'Master'!S35)</x:f>
      </x:c>
      <x:c r="S55" s="100" t="str">
        <x:f>IF('Master'!T35="","",'Master'!T35)</x:f>
      </x:c>
      <x:c r="T55" s="100" t="str">
        <x:f>IF('Master'!U35="","",'Master'!U35)</x:f>
      </x:c>
      <x:c r="U55" s="100" t="str">
        <x:f>IF('Master'!V35="","",'Master'!V35)</x:f>
        <x:v>Yes — drag/resize/save named layouts</x:v>
      </x:c>
      <x:c r="V55" s="100" t="str">
        <x:f>IF('Master'!W35="","",'Master'!W35)</x:f>
      </x:c>
      <x:c r="W55" s="100" t="str">
        <x:f>IF('Master'!X35="","",'Master'!X35)</x:f>
      </x:c>
      <x:c r="X55" s="100" t="str">
        <x:f>IF('Master'!Y35="","",'Master'!Y35)</x:f>
      </x:c>
      <x:c r="Y55" s="100" t="str">
        <x:f>IF('Master'!Z35="","",'Master'!Z35)</x:f>
      </x:c>
      <x:c r="Z55" s="100" t="str">
        <x:f>IF('Master'!AA35="","",'Master'!AA35)</x:f>
      </x:c>
      <x:c r="AA55" s="104" t="str">
        <x:f>IF('Master'!AB35="","",'Master'!AB35)</x:f>
      </x:c>
      <x:c r="AB55" s="100" t="str">
        <x:f>IF('Master'!AC35="","",'Master'!AC35)</x:f>
      </x:c>
      <x:c r="AC55" s="100" t="str">
        <x:f>IF('Master'!AD35="","",'Master'!AD35)</x:f>
      </x:c>
      <x:c r="AD55" s="100" t="str">
        <x:f>IF('Master'!AE35="","",'Master'!AE35)</x:f>
      </x:c>
      <x:c r="AE55" s="100" t="str">
        <x:f>IF('Master'!AF35="","",'Master'!AF35)</x:f>
      </x:c>
      <x:c r="AF55" s="75" t="str">
        <x:f>IF('Master'!AG35="","",'Master'!AG35)</x:f>
      </x:c>
    </x:row>
  </x:sheetData>
  <x:mergeCells>
    <x:mergeCell ref="A1:A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6" hidden="0" customWidth="1"/>
    <x:col min="3" max="3" width="36" hidden="0" customWidth="1"/>
  </x:cols>
  <x:sheetData>
    <x:row r="1" ht="28" customHeight="1">
      <x:c r="A1" s="130" t="str">
        <x:f>IFERROR(HYPERLINK("#'Sheet Directory'!A1","Comparison Guide — field conventions and modeling rules"),"Comparison Guide — field conventions and modeling rules")</x:f>
        <x:v>Comparison Guide — field conventions and modeling rules</x:v>
      </x:c>
      <x:c r="B1" s="130"/>
      <x:c r="C1" s="130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</x:row>
    <x:row r="2" ht="32" customHeight="1">
      <x:c r="A2" s="116" t="s">
        <x:v>70</x:v>
      </x:c>
      <x:c r="B2" s="116" t="s">
        <x:v>71</x:v>
      </x:c>
      <x:c r="C2" s="116" t="s">
        <x:v>72</x:v>
      </x:c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</x:row>
    <x:row r="3" ht="30">
      <x:c r="A3" s="75" t="s">
        <x:v>73</x:v>
      </x:c>
      <x:c r="B3" s="75" t="s">
        <x:v>74</x:v>
      </x:c>
      <x:c r="C3" s="75" t="s">
        <x:v>75</x:v>
      </x:c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</x:row>
    <x:row r="4" ht="30">
      <x:c r="A4" s="75" t="s">
        <x:v>76</x:v>
      </x:c>
      <x:c r="B4" s="75" t="s">
        <x:v>77</x:v>
      </x:c>
      <x:c r="C4" s="75" t="s">
        <x:v>78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</x:row>
    <x:row r="5">
      <x:c r="A5" s="75" t="s">
        <x:v>79</x:v>
      </x:c>
      <x:c r="B5" s="75" t="s">
        <x:v>80</x:v>
      </x:c>
      <x:c r="C5" s="75" t="s">
        <x:v>81</x:v>
      </x:c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</x:row>
    <x:row r="6">
      <x:c r="A6" s="75" t="s">
        <x:v>82</x:v>
      </x:c>
      <x:c r="B6" s="75" t="s">
        <x:v>83</x:v>
      </x:c>
      <x:c r="C6" s="75" t="s">
        <x:v>84</x:v>
      </x:c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</x:row>
    <x:row r="7">
      <x:c r="A7" s="75" t="s">
        <x:v>85</x:v>
      </x:c>
      <x:c r="B7" s="75" t="s">
        <x:v>86</x:v>
      </x:c>
      <x:c r="C7" s="75" t="s">
        <x:v>87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</x:row>
    <x:row r="8">
      <x:c r="A8" s="75" t="s">
        <x:v>88</x:v>
      </x:c>
      <x:c r="B8" s="75" t="s">
        <x:v>89</x:v>
      </x:c>
      <x:c r="C8" s="75" t="s">
        <x:v>90</x:v>
      </x:c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</x:row>
    <x:row r="9">
      <x:c r="A9" s="75" t="s">
        <x:v>91</x:v>
      </x:c>
      <x:c r="B9" s="75" t="s">
        <x:v>92</x:v>
      </x:c>
      <x:c r="C9" s="75" t="s">
        <x:v>93</x:v>
      </x:c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</x:row>
    <x:row r="10" ht="30">
      <x:c r="A10" s="75" t="s">
        <x:v>94</x:v>
      </x:c>
      <x:c r="B10" s="75" t="s">
        <x:v>95</x:v>
      </x:c>
      <x:c r="C10" s="75" t="s">
        <x:v>96</x:v>
      </x:c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</x:row>
    <x:row r="11" ht="30">
      <x:c r="A11" s="75" t="s">
        <x:v>97</x:v>
      </x:c>
      <x:c r="B11" s="75" t="s">
        <x:v>98</x:v>
      </x:c>
      <x:c r="C11" s="75" t="s">
        <x:v>99</x:v>
      </x:c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</x:row>
    <x:row r="12">
      <x:c r="A12" s="75" t="s">
        <x:v>100</x:v>
      </x:c>
      <x:c r="B12" s="75" t="s">
        <x:v>101</x:v>
      </x:c>
      <x:c r="C12" s="75" t="s">
        <x:v>102</x:v>
      </x:c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</x:row>
    <x:row r="13" ht="30">
      <x:c r="A13" s="75" t="s">
        <x:v>103</x:v>
      </x:c>
      <x:c r="B13" s="75" t="s">
        <x:v>104</x:v>
      </x:c>
      <x:c r="C13" s="75" t="s">
        <x:v>105</x:v>
      </x:c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</x:row>
    <x:row r="14">
      <x:c r="A14" s="75" t="s">
        <x:v>106</x:v>
      </x:c>
      <x:c r="B14" s="75" t="s">
        <x:v>107</x:v>
      </x:c>
      <x:c r="C14" s="75" t="s">
        <x:v>108</x:v>
      </x:c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</x:row>
    <x:row r="15" ht="30">
      <x:c r="A15" s="75" t="s">
        <x:v>109</x:v>
      </x:c>
      <x:c r="B15" s="75" t="s">
        <x:v>110</x:v>
      </x:c>
      <x:c r="C15" s="75" t="s">
        <x:v>111</x:v>
      </x:c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</x:row>
    <x:row r="16" ht="30">
      <x:c r="A16" s="75" t="s">
        <x:v>112</x:v>
      </x:c>
      <x:c r="B16" s="75" t="s">
        <x:v>113</x:v>
      </x:c>
      <x:c r="C16" s="75" t="s">
        <x:v>114</x:v>
      </x:c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</x:row>
    <x:row r="17">
      <x:c r="A17" s="75" t="s">
        <x:v>115</x:v>
      </x:c>
      <x:c r="B17" s="75" t="s">
        <x:v>116</x:v>
      </x:c>
      <x:c r="C17" s="75" t="s">
        <x:v>117</x:v>
      </x:c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</x:row>
    <x:row r="18" ht="30">
      <x:c r="A18" s="75" t="s">
        <x:v>118</x:v>
      </x:c>
      <x:c r="B18" s="75" t="s">
        <x:v>119</x:v>
      </x:c>
      <x:c r="C18" s="75" t="s">
        <x:v>120</x:v>
      </x:c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</x:row>
    <x:row r="19" ht="30">
      <x:c r="A19" s="75" t="s">
        <x:v>121</x:v>
      </x:c>
      <x:c r="B19" s="75" t="s">
        <x:v>122</x:v>
      </x:c>
      <x:c r="C19" s="75" t="s">
        <x:v>123</x:v>
      </x:c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</x:row>
    <x:row r="20" ht="30">
      <x:c r="A20" s="75" t="s">
        <x:v>124</x:v>
      </x:c>
      <x:c r="B20" s="75" t="s">
        <x:v>125</x:v>
      </x:c>
      <x:c r="C20" s="75" t="s">
        <x:v>126</x:v>
      </x:c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</x:row>
    <x:row r="21">
      <x:c r="A21" s="75" t="s">
        <x:v>127</x:v>
      </x:c>
      <x:c r="B21" s="75" t="s">
        <x:v>128</x:v>
      </x:c>
      <x:c r="C21" s="75" t="s">
        <x:v>129</x:v>
      </x:c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</x:row>
    <x:row r="22">
      <x:c r="A22" s="75" t="s">
        <x:v>130</x:v>
      </x:c>
      <x:c r="B22" s="75" t="s">
        <x:v>131</x:v>
      </x:c>
      <x:c r="C22" s="75" t="s">
        <x:v>132</x:v>
      </x:c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</x:row>
    <x:row r="23" ht="30">
      <x:c r="A23" s="75" t="s">
        <x:v>133</x:v>
      </x:c>
      <x:c r="B23" s="75" t="s">
        <x:v>134</x:v>
      </x:c>
      <x:c r="C23" s="75" t="s">
        <x:v>135</x:v>
      </x:c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</x:row>
    <x:row r="24" ht="30">
      <x:c r="A24" s="75" t="s">
        <x:v>136</x:v>
      </x:c>
      <x:c r="B24" s="75" t="s">
        <x:v>137</x:v>
      </x:c>
      <x:c r="C24" s="75" t="s">
        <x:v>138</x:v>
      </x:c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</x:row>
    <x:row r="25" ht="30">
      <x:c r="A25" s="75" t="s">
        <x:v>139</x:v>
      </x:c>
      <x:c r="B25" s="75" t="s">
        <x:v>140</x:v>
      </x:c>
      <x:c r="C25" s="75" t="s">
        <x:v>141</x:v>
      </x:c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</x:row>
    <x:row r="26" ht="30">
      <x:c r="A26" s="75" t="s">
        <x:v>142</x:v>
      </x:c>
      <x:c r="B26" s="75" t="s">
        <x:v>143</x:v>
      </x:c>
      <x:c r="C26" s="75" t="s">
        <x:v>144</x:v>
      </x:c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</x:row>
    <x:row r="27" ht="30">
      <x:c r="A27" s="75" t="s">
        <x:v>145</x:v>
      </x:c>
      <x:c r="B27" s="75" t="s">
        <x:v>146</x:v>
      </x:c>
      <x:c r="C27" s="75" t="s">
        <x:v>147</x:v>
      </x:c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</x:row>
    <x:row r="28" ht="30">
      <x:c r="A28" s="75" t="s">
        <x:v>148</x:v>
      </x:c>
      <x:c r="B28" s="75" t="s">
        <x:v>149</x:v>
      </x:c>
      <x:c r="C28" s="75" t="s">
        <x:v>150</x:v>
      </x:c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</x:row>
    <x:row r="29" ht="30">
      <x:c r="A29" s="75" t="s">
        <x:v>151</x:v>
      </x:c>
      <x:c r="B29" s="75" t="s">
        <x:v>152</x:v>
      </x:c>
      <x:c r="C29" s="75" t="s">
        <x:v>153</x:v>
      </x:c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</x:row>
    <x:row r="30" ht="45">
      <x:c r="A30" s="75" t="s">
        <x:v>154</x:v>
      </x:c>
      <x:c r="B30" s="75" t="s">
        <x:v>155</x:v>
      </x:c>
      <x:c r="C30" s="75" t="s">
        <x:v>156</x:v>
      </x:c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</x:row>
    <x:row r="31" ht="30">
      <x:c r="A31" s="75" t="s">
        <x:v>157</x:v>
      </x:c>
      <x:c r="B31" s="75" t="s">
        <x:v>158</x:v>
      </x:c>
      <x:c r="C31" s="75" t="s">
        <x:v>159</x:v>
      </x:c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</x:row>
    <x:row r="32" ht="30">
      <x:c r="A32" s="75" t="s">
        <x:v>160</x:v>
      </x:c>
      <x:c r="B32" s="75" t="s">
        <x:v>161</x:v>
      </x:c>
      <x:c r="C32" s="75" t="s">
        <x:v>162</x:v>
      </x:c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</x:row>
    <x:row r="33" ht="30">
      <x:c r="A33" s="75" t="s">
        <x:v>163</x:v>
      </x:c>
      <x:c r="B33" s="75" t="s">
        <x:v>164</x:v>
      </x:c>
      <x:c r="C33" s="75" t="s">
        <x:v>165</x:v>
      </x:c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</x:row>
    <x:row r="34" ht="45">
      <x:c r="A34" s="75" t="s">
        <x:v>166</x:v>
      </x:c>
      <x:c r="B34" s="75" t="s">
        <x:v>167</x:v>
      </x:c>
      <x:c r="C34" s="75" t="s">
        <x:v>168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Directory'!A1","Core Features — expanded communication, content, and project baseline"),"Core Features — expanded communication, content, and project baseline")</x:f>
        <x:v>Core Features — expanded communication, content, and project baseline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Messaging &amp; Community Basics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1:1 DMs</x:v>
      </x:c>
      <x:c r="B4" s="100" t="str">
        <x:f>IF('Master'!C36="","",'Master'!C36)</x:f>
        <x:v>Yes</x:v>
      </x:c>
      <x:c r="C4" s="100" t="str">
        <x:f>IF('Master'!D36="","",'Master'!D36)</x:f>
        <x:v>Yes</x:v>
      </x:c>
      <x:c r="D4" s="100" t="str">
        <x:f>IF('Master'!E36="","",'Master'!E36)</x:f>
        <x:v>Yes</x:v>
      </x:c>
      <x:c r="E4" s="100" t="str">
        <x:f>IF('Master'!F36="","",'Master'!F36)</x:f>
        <x:v>Yes</x:v>
      </x:c>
      <x:c r="F4" s="100" t="str">
        <x:f>IF('Master'!G36="","",'Master'!G36)</x:f>
        <x:v>Yes</x:v>
      </x:c>
      <x:c r="G4" s="100" t="str">
        <x:f>IF('Master'!H36="","",'Master'!H36)</x:f>
        <x:v>Yes</x:v>
      </x:c>
      <x:c r="H4" s="100" t="str">
        <x:f>IF('Master'!I36="","",'Master'!I36)</x:f>
        <x:v>Yes</x:v>
      </x:c>
      <x:c r="I4" s="100" t="str">
        <x:f>IF('Master'!J36="","",'Master'!J36)</x:f>
        <x:v>Yes</x:v>
      </x:c>
      <x:c r="J4" s="100" t="str">
        <x:f>IF('Master'!K36="","",'Master'!K36)</x:f>
        <x:v>Yes</x:v>
      </x:c>
      <x:c r="K4" s="100" t="str">
        <x:f>IF('Master'!L36="","",'Master'!L36)</x:f>
        <x:v>Yes</x:v>
      </x:c>
      <x:c r="L4" s="100" t="str">
        <x:f>IF('Master'!M36="","",'Master'!M36)</x:f>
        <x:v>Yes</x:v>
      </x:c>
      <x:c r="M4" s="100" t="str">
        <x:f>IF('Master'!N36="","",'Master'!N36)</x:f>
        <x:v>Yes</x:v>
      </x:c>
      <x:c r="N4" s="100" t="str">
        <x:f>IF('Master'!O36="","",'Master'!O36)</x:f>
        <x:v>Yes — rooms/DMs</x:v>
      </x:c>
      <x:c r="O4" s="100" t="str">
        <x:f>IF('Master'!P36="","",'Master'!P36)</x:f>
        <x:v>Yes</x:v>
      </x:c>
      <x:c r="P4" s="100" t="str">
        <x:f>IF('Master'!Q36="","",'Master'!Q36)</x:f>
        <x:v>Yes</x:v>
      </x:c>
      <x:c r="Q4" s="100" t="str">
        <x:f>IF('Master'!R36="","",'Master'!R36)</x:f>
        <x:v>Limited user text messages</x:v>
      </x:c>
      <x:c r="R4" s="100" t="str">
        <x:f>IF('Master'!S36="","",'Master'!S36)</x:f>
        <x:v>Yes</x:v>
      </x:c>
      <x:c r="S4" s="100" t="str">
        <x:f>IF('Master'!T36="","",'Master'!T36)</x:f>
        <x:v>Yes</x:v>
      </x:c>
      <x:c r="T4" s="100" t="str">
        <x:f>IF('Master'!U36="","",'Master'!U36)</x:f>
        <x:v>Yes</x:v>
      </x:c>
      <x:c r="U4" s="100" t="str">
        <x:f>IF('Master'!V36="","",'Master'!V36)</x:f>
        <x:v>Yes</x:v>
      </x:c>
      <x:c r="V4" s="100" t="str">
        <x:f>IF('Master'!W36="","",'Master'!W36)</x:f>
        <x:v>Yes</x:v>
      </x:c>
      <x:c r="W4" s="100" t="str">
        <x:f>IF('Master'!X36="","",'Master'!X36)</x:f>
      </x:c>
      <x:c r="X4" s="100" t="str">
        <x:f>IF('Master'!Y36="","",'Master'!Y36)</x:f>
        <x:v>Yes</x:v>
      </x:c>
      <x:c r="Y4" s="100" t="str">
        <x:f>IF('Master'!Z36="","",'Master'!Z36)</x:f>
        <x:v>Yes</x:v>
      </x:c>
      <x:c r="Z4" s="100" t="str">
        <x:f>IF('Master'!AA36="","",'Master'!AA36)</x:f>
        <x:v>Yes</x:v>
      </x:c>
      <x:c r="AA4" s="104" t="str">
        <x:f>IF('Master'!AB36="","",'Master'!AB36)</x:f>
        <x:v>Yes/TS6 chat</x:v>
      </x:c>
      <x:c r="AB4" s="100" t="str">
        <x:f>IF('Master'!AC36="","",'Master'!AC36)</x:f>
        <x:v>Yes</x:v>
      </x:c>
      <x:c r="AC4" s="100" t="str">
        <x:f>IF('Master'!AD36="","",'Master'!AD36)</x:f>
        <x:v>Yes</x:v>
      </x:c>
      <x:c r="AD4" s="100" t="str">
        <x:f>IF('Master'!AE36="","",'Master'!AE36)</x:f>
        <x:v>Yes</x:v>
      </x:c>
      <x:c r="AE4" s="100" t="str">
        <x:f>IF('Master'!AF36="","",'Master'!AF36)</x:f>
        <x:v>Yes</x:v>
      </x:c>
      <x:c r="AF4" s="75" t="str">
        <x:f>IF('Master'!AG36="","",'Master'!AG36)</x:f>
        <x:v>Yes</x:v>
      </x:c>
    </x:row>
    <x:row r="5" ht="36" customHeight="1">
      <x:c r="A5" s="135" t="str">
        <x:v>Group DMs</x:v>
      </x:c>
      <x:c r="B5" s="100" t="str">
        <x:f>IF('Master'!C37="","",'Master'!C37)</x:f>
        <x:v>Yes</x:v>
      </x:c>
      <x:c r="C5" s="100" t="str">
        <x:f>IF('Master'!D37="","",'Master'!D37)</x:f>
        <x:v>Yes</x:v>
      </x:c>
      <x:c r="D5" s="100" t="str">
        <x:f>IF('Master'!E37="","",'Master'!E37)</x:f>
      </x:c>
      <x:c r="E5" s="100" t="str">
        <x:f>IF('Master'!F37="","",'Master'!F37)</x:f>
        <x:v>Yes</x:v>
      </x:c>
      <x:c r="F5" s="100" t="str">
        <x:f>IF('Master'!G37="","",'Master'!G37)</x:f>
        <x:v>Yes</x:v>
      </x:c>
      <x:c r="G5" s="100" t="str">
        <x:f>IF('Master'!H37="","",'Master'!H37)</x:f>
        <x:v>Yes</x:v>
      </x:c>
      <x:c r="H5" s="100" t="str">
        <x:f>IF('Master'!I37="","",'Master'!I37)</x:f>
        <x:v>Yes</x:v>
      </x:c>
      <x:c r="I5" s="100" t="str">
        <x:f>IF('Master'!J37="","",'Master'!J37)</x:f>
      </x:c>
      <x:c r="J5" s="100" t="str">
        <x:f>IF('Master'!K37="","",'Master'!K37)</x:f>
      </x:c>
      <x:c r="K5" s="100" t="str">
        <x:f>IF('Master'!L37="","",'Master'!L37)</x:f>
        <x:v>Yes</x:v>
      </x:c>
      <x:c r="L5" s="100" t="str">
        <x:f>IF('Master'!M37="","",'Master'!M37)</x:f>
        <x:v>Yes</x:v>
      </x:c>
      <x:c r="M5" s="100" t="str">
        <x:f>IF('Master'!N37="","",'Master'!N37)</x:f>
        <x:v>Yes</x:v>
      </x:c>
      <x:c r="N5" s="100" t="str">
        <x:f>IF('Master'!O37="","",'Master'!O37)</x:f>
        <x:v>Yes — rooms can be private multi-user</x:v>
      </x:c>
      <x:c r="O5" s="100" t="str">
        <x:f>IF('Master'!P37="","",'Master'!P37)</x:f>
        <x:v>Yes</x:v>
      </x:c>
      <x:c r="P5" s="100" t="str">
        <x:f>IF('Master'!Q37="","",'Master'!Q37)</x:f>
        <x:v>Yes</x:v>
      </x:c>
      <x:c r="Q5" s="100" t="str">
        <x:f>IF('Master'!R37="","",'Master'!R37)</x:f>
        <x:v>No persistent group-DM model</x:v>
      </x:c>
      <x:c r="R5" s="100" t="str">
        <x:f>IF('Master'!S37="","",'Master'!S37)</x:f>
        <x:v>Yes</x:v>
      </x:c>
      <x:c r="S5" s="100" t="str">
        <x:f>IF('Master'!T37="","",'Master'!T37)</x:f>
        <x:v>Yes</x:v>
      </x:c>
      <x:c r="T5" s="100" t="str">
        <x:f>IF('Master'!U37="","",'Master'!U37)</x:f>
        <x:v>Yes</x:v>
      </x:c>
      <x:c r="U5" s="100" t="str">
        <x:f>IF('Master'!V37="","",'Master'!V37)</x:f>
        <x:v>Yes</x:v>
      </x:c>
      <x:c r="V5" s="100" t="str">
        <x:f>IF('Master'!W37="","",'Master'!W37)</x:f>
        <x:v>Yes</x:v>
      </x:c>
      <x:c r="W5" s="100" t="str">
        <x:f>IF('Master'!X37="","",'Master'!X37)</x:f>
        <x:v>Group spaces</x:v>
      </x:c>
      <x:c r="X5" s="100" t="str">
        <x:f>IF('Master'!Y37="","",'Master'!Y37)</x:f>
        <x:v>Yes</x:v>
      </x:c>
      <x:c r="Y5" s="100" t="str">
        <x:f>IF('Master'!Z37="","",'Master'!Z37)</x:f>
        <x:v>Yes</x:v>
      </x:c>
      <x:c r="Z5" s="100" t="str">
        <x:f>IF('Master'!AA37="","",'Master'!AA37)</x:f>
        <x:v>Yes</x:v>
      </x:c>
      <x:c r="AA5" s="104" t="str">
        <x:f>IF('Master'!AB37="","",'Master'!AB37)</x:f>
      </x:c>
      <x:c r="AB5" s="100" t="str">
        <x:f>IF('Master'!AC37="","",'Master'!AC37)</x:f>
        <x:v>Yes</x:v>
      </x:c>
      <x:c r="AC5" s="100" t="str">
        <x:f>IF('Master'!AD37="","",'Master'!AD37)</x:f>
      </x:c>
      <x:c r="AD5" s="100" t="str">
        <x:f>IF('Master'!AE37="","",'Master'!AE37)</x:f>
        <x:v>Yes</x:v>
      </x:c>
      <x:c r="AE5" s="100" t="str">
        <x:f>IF('Master'!AF37="","",'Master'!AF37)</x:f>
      </x:c>
      <x:c r="AF5" s="75" t="str">
        <x:f>IF('Master'!AG37="","",'Master'!AG37)</x:f>
        <x:v>Yes</x:v>
      </x:c>
    </x:row>
    <x:row r="6" ht="36" customHeight="1">
      <x:c r="A6" s="135" t="str">
        <x:v>Communities / Servers / Workspaces</x:v>
      </x:c>
      <x:c r="B6" s="100" t="str">
        <x:f>IF('Master'!C38="","",'Master'!C38)</x:f>
        <x:v>Yes — servers/guilds</x:v>
      </x:c>
      <x:c r="C6" s="100" t="str">
        <x:f>IF('Master'!D38="","",'Master'!D38)</x:f>
        <x:v>Yes</x:v>
      </x:c>
      <x:c r="D6" s="100" t="str">
        <x:f>IF('Master'!E38="","",'Master'!E38)</x:f>
      </x:c>
      <x:c r="E6" s="100" t="str">
        <x:f>IF('Master'!F38="","",'Master'!F38)</x:f>
        <x:v>Yes — servers</x:v>
      </x:c>
      <x:c r="F6" s="100" t="str">
        <x:f>IF('Master'!G38="","",'Master'!G38)</x:f>
        <x:v>Yes</x:v>
      </x:c>
      <x:c r="G6" s="100" t="str">
        <x:f>IF('Master'!H38="","",'Master'!H38)</x:f>
      </x:c>
      <x:c r="H6" s="100" t="str">
        <x:f>IF('Master'!I38="","",'Master'!I38)</x:f>
        <x:v>Yes — servers</x:v>
      </x:c>
      <x:c r="I6" s="100" t="str">
        <x:f>IF('Master'!J38="","",'Master'!J38)</x:f>
      </x:c>
      <x:c r="J6" s="100" t="str">
        <x:f>IF('Master'!K38="","",'Master'!K38)</x:f>
        <x:v>Yes — servers</x:v>
      </x:c>
      <x:c r="K6" s="100" t="str">
        <x:f>IF('Master'!L38="","",'Master'!L38)</x:f>
        <x:v>Yes</x:v>
      </x:c>
      <x:c r="L6" s="100" t="str">
        <x:f>IF('Master'!M38="","",'Master'!M38)</x:f>
        <x:v>Yes</x:v>
      </x:c>
      <x:c r="M6" s="100" t="str">
        <x:f>IF('Master'!N38="","",'Master'!N38)</x:f>
        <x:v>Yes — servers/categories</x:v>
      </x:c>
      <x:c r="N6" s="100" t="str">
        <x:f>IF('Master'!O38="","",'Master'!O38)</x:f>
        <x:v>Yes — rooms/spaces</x:v>
      </x:c>
      <x:c r="O6" s="100" t="str">
        <x:f>IF('Master'!P38="","",'Master'!P38)</x:f>
        <x:v>Yes — workspaces/teams</x:v>
      </x:c>
      <x:c r="P6" s="100" t="str">
        <x:f>IF('Master'!Q38="","",'Master'!Q38)</x:f>
        <x:v>Yes — Clans</x:v>
      </x:c>
      <x:c r="Q6" s="100" t="str">
        <x:f>IF('Master'!R38="","",'Master'!R38)</x:f>
        <x:v>Yes — servers/channels</x:v>
      </x:c>
      <x:c r="R6" s="100" t="str">
        <x:f>IF('Master'!S38="","",'Master'!S38)</x:f>
        <x:v>Yes — servers</x:v>
      </x:c>
      <x:c r="S6" s="100" t="str">
        <x:f>IF('Master'!T38="","",'Master'!T38)</x:f>
        <x:v>Yes — communities</x:v>
      </x:c>
      <x:c r="T6" s="100" t="str">
        <x:f>IF('Master'!U38="","",'Master'!U38)</x:f>
        <x:v>Yes</x:v>
      </x:c>
      <x:c r="U6" s="100" t="str">
        <x:f>IF('Master'!V38="","",'Master'!V38)</x:f>
        <x:v>Yes — Shards</x:v>
      </x:c>
      <x:c r="V6" s="100" t="str">
        <x:f>IF('Master'!W38="","",'Master'!W38)</x:f>
        <x:v>Yes — workspaces</x:v>
      </x:c>
      <x:c r="W6" s="100" t="str">
        <x:f>IF('Master'!X38="","",'Master'!X38)</x:f>
        <x:v>Yes — Roomy spaces</x:v>
      </x:c>
      <x:c r="X6" s="100" t="str">
        <x:f>IF('Master'!Y38="","",'Master'!Y38)</x:f>
        <x:v>Yes</x:v>
      </x:c>
      <x:c r="Y6" s="100" t="str">
        <x:f>IF('Master'!Z38="","",'Master'!Z38)</x:f>
        <x:v>Discord-compatible server model</x:v>
      </x:c>
      <x:c r="Z6" s="100" t="str">
        <x:f>IF('Master'!AA38="","",'Master'!AA38)</x:f>
        <x:v>Yes</x:v>
      </x:c>
      <x:c r="AA6" s="104" t="str">
        <x:f>IF('Master'!AB38="","",'Master'!AB38)</x:f>
        <x:v>Yes — servers/communities</x:v>
      </x:c>
      <x:c r="AB6" s="100" t="str">
        <x:f>IF('Master'!AC38="","",'Master'!AC38)</x:f>
        <x:v>Yes — planets</x:v>
      </x:c>
      <x:c r="AC6" s="100" t="str">
        <x:f>IF('Master'!AD38="","",'Master'!AD38)</x:f>
      </x:c>
      <x:c r="AD6" s="100" t="str">
        <x:f>IF('Master'!AE38="","",'Master'!AE38)</x:f>
        <x:v>Yes — lobbies/crews</x:v>
      </x:c>
      <x:c r="AE6" s="100" t="str">
        <x:f>IF('Master'!AF38="","",'Master'!AF38)</x:f>
        <x:v>Yes — self-hosted servers</x:v>
      </x:c>
      <x:c r="AF6" s="75" t="str">
        <x:f>IF('Master'!AG38="","",'Master'!AG38)</x:f>
        <x:v>Yes — organizations</x:v>
      </x:c>
    </x:row>
    <x:row r="7" ht="36" customHeight="1">
      <x:c r="A7" s="135" t="str">
        <x:v>Text Channels / Rooms</x:v>
      </x:c>
      <x:c r="B7" s="100" t="str">
        <x:f>IF('Master'!C39="","",'Master'!C39)</x:f>
        <x:v>Yes</x:v>
      </x:c>
      <x:c r="C7" s="100" t="str">
        <x:f>IF('Master'!D39="","",'Master'!D39)</x:f>
        <x:v>Yes</x:v>
      </x:c>
      <x:c r="D7" s="100" t="str">
        <x:f>IF('Master'!E39="","",'Master'!E39)</x:f>
      </x:c>
      <x:c r="E7" s="100" t="str">
        <x:f>IF('Master'!F39="","",'Master'!F39)</x:f>
        <x:v>Yes</x:v>
      </x:c>
      <x:c r="F7" s="100" t="str">
        <x:f>IF('Master'!G39="","",'Master'!G39)</x:f>
        <x:v>Yes</x:v>
      </x:c>
      <x:c r="G7" s="100" t="str">
        <x:f>IF('Master'!H39="","",'Master'!H39)</x:f>
      </x:c>
      <x:c r="H7" s="100" t="str">
        <x:f>IF('Master'!I39="","",'Master'!I39)</x:f>
        <x:v>Yes</x:v>
      </x:c>
      <x:c r="I7" s="100" t="str">
        <x:f>IF('Master'!J39="","",'Master'!J39)</x:f>
      </x:c>
      <x:c r="J7" s="100" t="str">
        <x:f>IF('Master'!K39="","",'Master'!K39)</x:f>
        <x:v>Yes</x:v>
      </x:c>
      <x:c r="K7" s="100" t="str">
        <x:f>IF('Master'!L39="","",'Master'!L39)</x:f>
        <x:v>Yes</x:v>
      </x:c>
      <x:c r="L7" s="100" t="str">
        <x:f>IF('Master'!M39="","",'Master'!M39)</x:f>
        <x:v>Yes</x:v>
      </x:c>
      <x:c r="M7" s="100" t="str">
        <x:f>IF('Master'!N39="","",'Master'!N39)</x:f>
        <x:v>Yes</x:v>
      </x:c>
      <x:c r="N7" s="100" t="str">
        <x:f>IF('Master'!O39="","",'Master'!O39)</x:f>
        <x:v>Yes</x:v>
      </x:c>
      <x:c r="O7" s="100" t="str">
        <x:f>IF('Master'!P39="","",'Master'!P39)</x:f>
        <x:v>Yes — public/private channels</x:v>
      </x:c>
      <x:c r="P7" s="100" t="str">
        <x:f>IF('Master'!Q39="","",'Master'!Q39)</x:f>
        <x:v>Yes</x:v>
      </x:c>
      <x:c r="Q7" s="100" t="str">
        <x:f>IF('Master'!R39="","",'Master'!R39)</x:f>
        <x:v>Partial — channel text chat; voice-first</x:v>
      </x:c>
      <x:c r="R7" s="100" t="str">
        <x:f>IF('Master'!S39="","",'Master'!S39)</x:f>
        <x:v>Yes — server channels</x:v>
      </x:c>
      <x:c r="S7" s="100" t="str">
        <x:f>IF('Master'!T39="","",'Master'!T39)</x:f>
        <x:v>Yes — real-time messaging</x:v>
      </x:c>
      <x:c r="T7" s="100" t="str">
        <x:f>IF('Master'!U39="","",'Master'!U39)</x:f>
        <x:v>Yes</x:v>
      </x:c>
      <x:c r="U7" s="100" t="str">
        <x:f>IF('Master'!V39="","",'Master'!V39)</x:f>
        <x:v>Yes</x:v>
      </x:c>
      <x:c r="V7" s="100" t="str">
        <x:f>IF('Master'!W39="","",'Master'!W39)</x:f>
        <x:v>Yes — channels/groups/DMs</x:v>
      </x:c>
      <x:c r="W7" s="100" t="str">
        <x:f>IF('Master'!X39="","",'Master'!X39)</x:f>
        <x:v>Yes — group chat</x:v>
      </x:c>
      <x:c r="X7" s="100" t="str">
        <x:f>IF('Master'!Y39="","",'Master'!Y39)</x:f>
        <x:v>Yes</x:v>
      </x:c>
      <x:c r="Y7" s="100" t="str">
        <x:f>IF('Master'!Z39="","",'Master'!Z39)</x:f>
        <x:v>Yes/Partial — Discord API parity varies by implementation</x:v>
      </x:c>
      <x:c r="Z7" s="100" t="str">
        <x:f>IF('Master'!AA39="","",'Master'!AA39)</x:f>
        <x:v>Yes</x:v>
      </x:c>
      <x:c r="AA7" s="104" t="str">
        <x:f>IF('Master'!AB39="","",'Master'!AB39)</x:f>
        <x:v>Partial — chat exists; persistent server text channels remain limited/planned in TS6</x:v>
      </x:c>
      <x:c r="AB7" s="100" t="str">
        <x:f>IF('Master'!AC39="","",'Master'!AC39)</x:f>
        <x:v>Yes</x:v>
      </x:c>
      <x:c r="AC7" s="100" t="str">
        <x:f>IF('Master'!AD39="","",'Master'!AD39)</x:f>
      </x:c>
      <x:c r="AD7" s="100" t="str">
        <x:f>IF('Master'!AE39="","",'Master'!AE39)</x:f>
        <x:v>Yes</x:v>
      </x:c>
      <x:c r="AE7" s="100" t="str">
        <x:f>IF('Master'!AF39="","",'Master'!AF39)</x:f>
        <x:v>Yes</x:v>
      </x:c>
      <x:c r="AF7" s="75" t="str">
        <x:f>IF('Master'!AG39="","",'Master'!AG39)</x:f>
        <x:v>Yes</x:v>
      </x:c>
    </x:row>
    <x:row r="8" ht="36" customHeight="1">
      <x:c r="A8" s="135" t="str">
        <x:v>Voice Channels / Rooms</x:v>
      </x:c>
      <x:c r="B8" s="100" t="str">
        <x:f>IF('Master'!C40="","",'Master'!C40)</x:f>
        <x:v>Yes</x:v>
      </x:c>
      <x:c r="C8" s="100" t="str">
        <x:f>IF('Master'!D40="","",'Master'!D40)</x:f>
        <x:v>Yes</x:v>
      </x:c>
      <x:c r="D8" s="100" t="str">
        <x:f>IF('Master'!E40="","",'Master'!E40)</x:f>
        <x:v>Yes</x:v>
      </x:c>
      <x:c r="E8" s="100" t="str">
        <x:f>IF('Master'!F40="","",'Master'!F40)</x:f>
        <x:v>Yes</x:v>
      </x:c>
      <x:c r="F8" s="100" t="str">
        <x:f>IF('Master'!G40="","",'Master'!G40)</x:f>
        <x:v>Yes</x:v>
      </x:c>
      <x:c r="G8" s="100" t="str">
        <x:f>IF('Master'!H40="","",'Master'!H40)</x:f>
      </x:c>
      <x:c r="H8" s="100" t="str">
        <x:f>IF('Master'!I40="","",'Master'!I40)</x:f>
        <x:v>Yes</x:v>
      </x:c>
      <x:c r="I8" s="100" t="str">
        <x:f>IF('Master'!J40="","",'Master'!J40)</x:f>
      </x:c>
      <x:c r="J8" s="100" t="str">
        <x:f>IF('Master'!K40="","",'Master'!K40)</x:f>
        <x:v>Yes</x:v>
      </x:c>
      <x:c r="K8" s="100" t="str">
        <x:f>IF('Master'!L40="","",'Master'!L40)</x:f>
        <x:v>Yes</x:v>
      </x:c>
      <x:c r="L8" s="100" t="str">
        <x:f>IF('Master'!M40="","",'Master'!M40)</x:f>
        <x:v>Yes</x:v>
      </x:c>
      <x:c r="M8" s="100" t="str">
        <x:f>IF('Master'!N40="","",'Master'!N40)</x:f>
        <x:v>Yes</x:v>
      </x:c>
      <x:c r="N8" s="100" t="str">
        <x:f>IF('Master'!O40="","",'Master'!O40)</x:f>
        <x:v>Yes — client-dependent</x:v>
      </x:c>
      <x:c r="O8" s="100" t="str">
        <x:f>IF('Master'!P40="","",'Master'!P40)</x:f>
        <x:v>Yes — calls</x:v>
      </x:c>
      <x:c r="P8" s="100" t="str">
        <x:f>IF('Master'!Q40="","",'Master'!Q40)</x:f>
        <x:v>Yes</x:v>
      </x:c>
      <x:c r="Q8" s="100" t="str">
        <x:f>IF('Master'!R40="","",'Master'!R40)</x:f>
        <x:v>Yes</x:v>
      </x:c>
      <x:c r="R8" s="100" t="str">
        <x:f>IF('Master'!S40="","",'Master'!S40)</x:f>
      </x:c>
      <x:c r="S8" s="100" t="str">
        <x:f>IF('Master'!T40="","",'Master'!T40)</x:f>
        <x:v>Yes</x:v>
      </x:c>
      <x:c r="T8" s="100" t="str">
        <x:f>IF('Master'!U40="","",'Master'!U40)</x:f>
        <x:v>Yes</x:v>
      </x:c>
      <x:c r="U8" s="100" t="str">
        <x:f>IF('Master'!V40="","",'Master'!V40)</x:f>
        <x:v>Yes</x:v>
      </x:c>
      <x:c r="V8" s="100" t="str">
        <x:f>IF('Master'!W40="","",'Master'!W40)</x:f>
        <x:v>Yes — Rocket.Chat Voice + conference integrations</x:v>
      </x:c>
      <x:c r="W8" s="100" t="str">
        <x:f>IF('Master'!X40="","",'Master'!X40)</x:f>
      </x:c>
      <x:c r="X8" s="100" t="str">
        <x:f>IF('Master'!Y40="","",'Master'!Y40)</x:f>
        <x:v>Yes</x:v>
      </x:c>
      <x:c r="Y8" s="100" t="str">
        <x:f>IF('Master'!Z40="","",'Master'!Z40)</x:f>
        <x:v>Optional WebRTC media implementation</x:v>
      </x:c>
      <x:c r="Z8" s="100" t="str">
        <x:f>IF('Master'!AA40="","",'Master'!AA40)</x:f>
        <x:v>Yes</x:v>
      </x:c>
      <x:c r="AA8" s="104" t="str">
        <x:f>IF('Master'!AB40="","",'Master'!AB40)</x:f>
        <x:v>Yes</x:v>
      </x:c>
      <x:c r="AB8" s="100" t="str">
        <x:f>IF('Master'!AC40="","",'Master'!AC40)</x:f>
        <x:v>Yes</x:v>
      </x:c>
      <x:c r="AC8" s="100" t="str">
        <x:f>IF('Master'!AD40="","",'Master'!AD40)</x:f>
      </x:c>
      <x:c r="AD8" s="100" t="str">
        <x:f>IF('Master'!AE40="","",'Master'!AE40)</x:f>
        <x:v>Yes</x:v>
      </x:c>
      <x:c r="AE8" s="100" t="str">
        <x:f>IF('Master'!AF40="","",'Master'!AF40)</x:f>
        <x:v>Yes</x:v>
      </x:c>
      <x:c r="AF8" s="75" t="str">
        <x:f>IF('Master'!AG40="","",'Master'!AG40)</x:f>
        <x:v>Provider integration (Zoom/Jitsi/etc.), not a persistent native voice-room model</x:v>
      </x:c>
    </x:row>
    <x:row r="9" ht="36" customHeight="1">
      <x:c r="A9" s="135" t="str">
        <x:v>Categories / Channel Organization</x:v>
      </x:c>
      <x:c r="B9" s="100" t="str">
        <x:f>IF('Master'!C41="","",'Master'!C41)</x:f>
        <x:v>Yes — servers, categories, text/voice/forum/stage channels</x:v>
      </x:c>
      <x:c r="C9" s="100" t="str">
        <x:f>IF('Master'!D41="","",'Master'!D41)</x:f>
        <x:v>Yes — communities/channels/threads</x:v>
      </x:c>
      <x:c r="D9" s="100" t="str">
        <x:f>IF('Master'!E41="","",'Master'!E41)</x:f>
        <x:v>Yes — servers/channels</x:v>
      </x:c>
      <x:c r="E9" s="100" t="str">
        <x:f>IF('Master'!F41="","",'Master'!F41)</x:f>
        <x:v>Yes — servers/channels/roles</x:v>
      </x:c>
      <x:c r="F9" s="100" t="str">
        <x:f>IF('Master'!G41="","",'Master'!G41)</x:f>
        <x:v>Yes — communities/categories/text/voice</x:v>
      </x:c>
      <x:c r="G9" s="100" t="str">
        <x:f>IF('Master'!H41="","",'Master'!H41)</x:f>
        <x:v>Yes</x:v>
      </x:c>
      <x:c r="H9" s="100" t="str">
        <x:f>IF('Master'!I41="","",'Master'!I41)</x:f>
        <x:v>Yes — servers/categories/text/voice</x:v>
      </x:c>
      <x:c r="I9" s="100" t="str">
        <x:f>IF('Master'!J41="","",'Master'!J41)</x:f>
        <x:v>Yes — guild/channel model</x:v>
      </x:c>
      <x:c r="J9" s="100" t="str">
        <x:f>IF('Master'!K41="","",'Master'!K41)</x:f>
        <x:v>Yes — encrypted communities/public channels</x:v>
      </x:c>
      <x:c r="K9" s="100" t="str">
        <x:f>IF('Master'!L41="","",'Master'!L41)</x:f>
        <x:v>Yes</x:v>
      </x:c>
      <x:c r="L9" s="100" t="str">
        <x:f>IF('Master'!M41="","",'Master'!M41)</x:f>
        <x:v>Yes — servers/channels/roles</x:v>
      </x:c>
      <x:c r="M9" s="100" t="str">
        <x:f>IF('Master'!N41="","",'Master'!N41)</x:f>
        <x:v>Yes — servers/categories/text/voice/forum/stage</x:v>
      </x:c>
      <x:c r="N9" s="100" t="str">
        <x:f>IF('Master'!O41="","",'Master'!O41)</x:f>
        <x:v>Yes — rooms + Spaces; exact UX client-dependent</x:v>
      </x:c>
      <x:c r="O9" s="100" t="str">
        <x:f>IF('Master'!P41="","",'Master'!P41)</x:f>
        <x:v>Yes — teams/channels</x:v>
      </x:c>
      <x:c r="P9" s="100" t="str">
        <x:f>IF('Master'!Q41="","",'Master'!Q41)</x:f>
        <x:v>Yes — clans/channels</x:v>
      </x:c>
      <x:c r="Q9" s="100" t="str">
        <x:f>IF('Master'!R41="","",'Master'!R41)</x:f>
        <x:v>Yes — hierarchical voice channels</x:v>
      </x:c>
      <x:c r="R9" s="100" t="str">
        <x:f>IF('Master'!S41="","",'Master'!S41)</x:f>
        <x:v>Yes — communities/channels</x:v>
      </x:c>
      <x:c r="S9" s="100" t="str">
        <x:f>IF('Master'!T41="","",'Master'!T41)</x:f>
        <x:v>Yes — communities/channels</x:v>
      </x:c>
      <x:c r="T9" s="100" t="str">
        <x:f>IF('Master'!U41="","",'Master'!U41)</x:f>
        <x:v>Yes — communities/channels</x:v>
      </x:c>
      <x:c r="U9" s="100" t="str">
        <x:f>IF('Master'!V41="","",'Master'!V41)</x:f>
        <x:v>Yes — communities/channels</x:v>
      </x:c>
      <x:c r="V9" s="100" t="str">
        <x:f>IF('Master'!W41="","",'Master'!W41)</x:f>
        <x:v>Yes — workspaces/teams/channels</x:v>
      </x:c>
      <x:c r="W9" s="100" t="str">
        <x:f>IF('Master'!X41="","",'Master'!X41)</x:f>
        <x:v>Yes — spaces/group chat</x:v>
      </x:c>
      <x:c r="X9" s="100" t="str">
        <x:f>IF('Master'!Y41="","",'Master'!Y41)</x:f>
        <x:v>Yes — communities/channel groups/text/voice</x:v>
      </x:c>
      <x:c r="Y9" s="100" t="str">
        <x:f>IF('Master'!Z41="","",'Master'!Z41)</x:f>
        <x:v>Yes — Discord-compatible model</x:v>
      </x:c>
      <x:c r="Z9" s="100" t="str">
        <x:f>IF('Master'!AA41="","",'Master'!AA41)</x:f>
        <x:v>Yes — servers/categories/text/voice</x:v>
      </x:c>
      <x:c r="AA9" s="104" t="str">
        <x:f>IF('Master'!AB41="","",'Master'!AB41)</x:f>
        <x:v>Yes — servers/channels</x:v>
      </x:c>
      <x:c r="AB9" s="100" t="str">
        <x:f>IF('Master'!AC41="","",'Master'!AC41)</x:f>
        <x:v>Yes — planets/channels</x:v>
      </x:c>
      <x:c r="AC9" s="100" t="str">
        <x:f>IF('Master'!AD41="","",'Master'!AD41)</x:f>
        <x:v>Yes — Discord-like guild/channel model</x:v>
      </x:c>
      <x:c r="AD9" s="100" t="str">
        <x:f>IF('Master'!AE41="","",'Master'!AE41)</x:f>
        <x:v>Lobby/room model rather than servers/channels</x:v>
      </x:c>
      <x:c r="AE9" s="100" t="str">
        <x:f>IF('Master'!AF41="","",'Master'!AF41)</x:f>
        <x:v>Yes — rooms/channels</x:v>
      </x:c>
      <x:c r="AF9" s="75" t="str">
        <x:f>IF('Master'!AG41="","",'Master'!AG41)</x:f>
        <x:v>Yes — organizations/streams/topics</x:v>
      </x:c>
    </x:row>
    <x:row r="10" ht="36" customHeight="1">
      <x:c r="A10" s="135" t="str">
        <x:v>Markdown Text</x:v>
      </x:c>
      <x:c r="B10" s="100" t="str">
        <x:f>IF('Master'!C42="","",'Master'!C42)</x:f>
        <x:v>Yes — Discord Markdown subset</x:v>
      </x:c>
      <x:c r="C10" s="100" t="str">
        <x:f>IF('Master'!D42="","",'Master'!D42)</x:f>
      </x:c>
      <x:c r="D10" s="100" t="str">
        <x:f>IF('Master'!E42="","",'Master'!E42)</x:f>
        <x:v>Yes</x:v>
      </x:c>
      <x:c r="E10" s="100" t="str">
        <x:f>IF('Master'!F42="","",'Master'!F42)</x:f>
        <x:v>Yes</x:v>
      </x:c>
      <x:c r="F10" s="100" t="str">
        <x:f>IF('Master'!G42="","",'Master'!G42)</x:f>
        <x:v>Yes</x:v>
      </x:c>
      <x:c r="G10" s="100" t="str">
        <x:f>IF('Master'!H42="","",'Master'!H42)</x:f>
        <x:v>Yes</x:v>
      </x:c>
      <x:c r="H10" s="100" t="str">
        <x:f>IF('Master'!I42="","",'Master'!I42)</x:f>
        <x:v>Yes</x:v>
      </x:c>
      <x:c r="I10" s="100" t="str">
        <x:f>IF('Master'!J42="","",'Master'!J42)</x:f>
        <x:v>Yes/Discord-like</x:v>
      </x:c>
      <x:c r="J10" s="100" t="str">
        <x:f>IF('Master'!K42="","",'Master'!K42)</x:f>
      </x:c>
      <x:c r="K10" s="100" t="str">
        <x:f>IF('Master'!L42="","",'Master'!L42)</x:f>
        <x:v>Yes</x:v>
      </x:c>
      <x:c r="L10" s="100" t="str">
        <x:f>IF('Master'!M42="","",'Master'!M42)</x:f>
      </x:c>
      <x:c r="M10" s="100" t="str">
        <x:f>IF('Master'!N42="","",'Master'!N42)</x:f>
        <x:v>Yes</x:v>
      </x:c>
      <x:c r="N10" s="100" t="str">
        <x:f>IF('Master'!O42="","",'Master'!O42)</x:f>
        <x:v>Client-dependent</x:v>
      </x:c>
      <x:c r="O10" s="100" t="str">
        <x:f>IF('Master'!P42="","",'Master'!P42)</x:f>
        <x:v>Yes</x:v>
      </x:c>
      <x:c r="P10" s="100" t="str">
        <x:f>IF('Master'!Q42="","",'Master'!Q42)</x:f>
        <x:v>Yes</x:v>
      </x:c>
      <x:c r="Q10" s="100" t="str">
        <x:f>IF('Master'!R42="","",'Master'!R42)</x:f>
        <x:v>No</x:v>
      </x:c>
      <x:c r="R10" s="100" t="str">
        <x:f>IF('Master'!S42="","",'Master'!S42)</x:f>
        <x:v>Yes</x:v>
      </x:c>
      <x:c r="S10" s="100" t="str">
        <x:f>IF('Master'!T42="","",'Master'!T42)</x:f>
      </x:c>
      <x:c r="T10" s="100" t="str">
        <x:f>IF('Master'!U42="","",'Master'!U42)</x:f>
        <x:v>Yes</x:v>
      </x:c>
      <x:c r="U10" s="100" t="str">
        <x:f>IF('Master'!V42="","",'Master'!V42)</x:f>
        <x:v>Yes</x:v>
      </x:c>
      <x:c r="V10" s="100" t="str">
        <x:f>IF('Master'!W42="","",'Master'!W42)</x:f>
        <x:v>Yes</x:v>
      </x:c>
      <x:c r="W10" s="100" t="str">
        <x:f>IF('Master'!X42="","",'Master'!X42)</x:f>
      </x:c>
      <x:c r="X10" s="100" t="str">
        <x:f>IF('Master'!Y42="","",'Master'!Y42)</x:f>
        <x:v>Yes</x:v>
      </x:c>
      <x:c r="Y10" s="100" t="str">
        <x:f>IF('Master'!Z42="","",'Master'!Z42)</x:f>
        <x:v>Yes/Discord-compatible target</x:v>
      </x:c>
      <x:c r="Z10" s="100" t="str">
        <x:f>IF('Master'!AA42="","",'Master'!AA42)</x:f>
        <x:v>Yes</x:v>
      </x:c>
      <x:c r="AA10" s="104" t="str">
        <x:f>IF('Master'!AB42="","",'Master'!AB42)</x:f>
      </x:c>
      <x:c r="AB10" s="100" t="str">
        <x:f>IF('Master'!AC42="","",'Master'!AC42)</x:f>
        <x:v>Yes</x:v>
      </x:c>
      <x:c r="AC10" s="100" t="str">
        <x:f>IF('Master'!AD42="","",'Master'!AD42)</x:f>
      </x:c>
      <x:c r="AD10" s="100" t="str">
        <x:f>IF('Master'!AE42="","",'Master'!AE42)</x:f>
        <x:v>Yes</x:v>
      </x:c>
      <x:c r="AE10" s="100" t="str">
        <x:f>IF('Master'!AF42="","",'Master'!AF42)</x:f>
      </x:c>
      <x:c r="AF10" s="75" t="str">
        <x:f>IF('Master'!AG42="","",'Master'!AG42)</x:f>
        <x:v>Yes</x:v>
      </x:c>
    </x:row>
    <x:row r="11" ht="36" customHeight="1">
      <x:c r="A11" s="135" t="str">
        <x:v>Core Notifications</x:v>
      </x:c>
      <x:c r="B11" s="100" t="str">
        <x:f>IF('Master'!C43="","",'Master'!C43)</x:f>
        <x:v>Yes</x:v>
      </x:c>
      <x:c r="C11" s="100" t="str">
        <x:f>IF('Master'!D43="","",'Master'!D43)</x:f>
        <x:v>Yes</x:v>
      </x:c>
      <x:c r="D11" s="100" t="str">
        <x:f>IF('Master'!E43="","",'Master'!E43)</x:f>
        <x:v>Yes</x:v>
      </x:c>
      <x:c r="E11" s="100" t="str">
        <x:f>IF('Master'!F43="","",'Master'!F43)</x:f>
        <x:v>Yes</x:v>
      </x:c>
      <x:c r="F11" s="100" t="str">
        <x:f>IF('Master'!G43="","",'Master'!G43)</x:f>
        <x:v>Yes</x:v>
      </x:c>
      <x:c r="G11" s="100" t="str">
        <x:f>IF('Master'!H43="","",'Master'!H43)</x:f>
        <x:v>Yes</x:v>
      </x:c>
      <x:c r="H11" s="100" t="str">
        <x:f>IF('Master'!I43="","",'Master'!I43)</x:f>
        <x:v>Yes</x:v>
      </x:c>
      <x:c r="I11" s="100" t="str">
        <x:f>IF('Master'!J43="","",'Master'!J43)</x:f>
      </x:c>
      <x:c r="J11" s="100" t="str">
        <x:f>IF('Master'!K43="","",'Master'!K43)</x:f>
        <x:v>Local notifications</x:v>
      </x:c>
      <x:c r="K11" s="100" t="str">
        <x:f>IF('Master'!L43="","",'Master'!L43)</x:f>
        <x:v>Yes</x:v>
      </x:c>
      <x:c r="L11" s="100" t="str">
        <x:f>IF('Master'!M43="","",'Master'!M43)</x:f>
        <x:v>Yes</x:v>
      </x:c>
      <x:c r="M11" s="100" t="str">
        <x:f>IF('Master'!N43="","",'Master'!N43)</x:f>
        <x:v>Yes</x:v>
      </x:c>
      <x:c r="N11" s="100" t="str">
        <x:f>IF('Master'!O43="","",'Master'!O43)</x:f>
        <x:v>Client-dependent</x:v>
      </x:c>
      <x:c r="O11" s="100" t="str">
        <x:f>IF('Master'!P43="","",'Master'!P43)</x:f>
        <x:v>Yes</x:v>
      </x:c>
      <x:c r="P11" s="100" t="str">
        <x:f>IF('Master'!Q43="","",'Master'!Q43)</x:f>
        <x:v>Yes</x:v>
      </x:c>
      <x:c r="Q11" s="100" t="str">
        <x:f>IF('Master'!R43="","",'Master'!R43)</x:f>
        <x:v>Client notifications</x:v>
      </x:c>
      <x:c r="R11" s="100" t="str">
        <x:f>IF('Master'!S43="","",'Master'!S43)</x:f>
        <x:v>Yes</x:v>
      </x:c>
      <x:c r="S11" s="100" t="str">
        <x:f>IF('Master'!T43="","",'Master'!T43)</x:f>
        <x:v>Yes</x:v>
      </x:c>
      <x:c r="T11" s="100" t="str">
        <x:f>IF('Master'!U43="","",'Master'!U43)</x:f>
        <x:v>Yes</x:v>
      </x:c>
      <x:c r="U11" s="100" t="str">
        <x:f>IF('Master'!V43="","",'Master'!V43)</x:f>
        <x:v>Yes</x:v>
      </x:c>
      <x:c r="V11" s="100" t="str">
        <x:f>IF('Master'!W43="","",'Master'!W43)</x:f>
        <x:v>Yes</x:v>
      </x:c>
      <x:c r="W11" s="100" t="str">
        <x:f>IF('Master'!X43="","",'Master'!X43)</x:f>
      </x:c>
      <x:c r="X11" s="100" t="str">
        <x:f>IF('Master'!Y43="","",'Master'!Y43)</x:f>
        <x:v>Yes</x:v>
      </x:c>
      <x:c r="Y11" s="100" t="str">
        <x:f>IF('Master'!Z43="","",'Master'!Z43)</x:f>
        <x:v>Yes</x:v>
      </x:c>
      <x:c r="Z11" s="100" t="str">
        <x:f>IF('Master'!AA43="","",'Master'!AA43)</x:f>
        <x:v>Yes</x:v>
      </x:c>
      <x:c r="AA11" s="104" t="str">
        <x:f>IF('Master'!AB43="","",'Master'!AB43)</x:f>
        <x:v>Yes</x:v>
      </x:c>
      <x:c r="AB11" s="100" t="str">
        <x:f>IF('Master'!AC43="","",'Master'!AC43)</x:f>
        <x:v>Yes</x:v>
      </x:c>
      <x:c r="AC11" s="100" t="str">
        <x:f>IF('Master'!AD43="","",'Master'!AD43)</x:f>
      </x:c>
      <x:c r="AD11" s="100" t="str">
        <x:f>IF('Master'!AE43="","",'Master'!AE43)</x:f>
        <x:v>Yes</x:v>
      </x:c>
      <x:c r="AE11" s="100" t="str">
        <x:f>IF('Master'!AF43="","",'Master'!AF43)</x:f>
        <x:v>Yes</x:v>
      </x:c>
      <x:c r="AF11" s="75" t="str">
        <x:f>IF('Master'!AG43="","",'Master'!AG43)</x:f>
        <x:v>Yes</x:v>
      </x:c>
    </x:row>
    <x:row r="12" ht="22" customHeight="1">
      <x:c r="A12" s="138" t="str">
        <x:v>Messages &amp; Content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File Uploads</x:v>
      </x:c>
      <x:c r="B13" s="100" t="str">
        <x:f>IF('Master'!C44="","",'Master'!C44)</x:f>
        <x:v>Yes</x:v>
      </x:c>
      <x:c r="C13" s="100" t="str">
        <x:f>IF('Master'!D44="","",'Master'!D44)</x:f>
        <x:v>Yes</x:v>
      </x:c>
      <x:c r="D13" s="100" t="str">
        <x:f>IF('Master'!E44="","",'Master'!E44)</x:f>
        <x:v>Yes</x:v>
      </x:c>
      <x:c r="E13" s="100" t="str">
        <x:f>IF('Master'!F44="","",'Master'!F44)</x:f>
        <x:v>Yes</x:v>
      </x:c>
      <x:c r="F13" s="100" t="str">
        <x:f>IF('Master'!G44="","",'Master'!G44)</x:f>
        <x:v>Yes</x:v>
      </x:c>
      <x:c r="G13" s="100" t="str">
        <x:f>IF('Master'!H44="","",'Master'!H44)</x:f>
        <x:v>Yes</x:v>
      </x:c>
      <x:c r="H13" s="100" t="str">
        <x:f>IF('Master'!I44="","",'Master'!I44)</x:f>
        <x:v>Yes</x:v>
      </x:c>
      <x:c r="I13" s="100" t="str">
        <x:f>IF('Master'!J44="","",'Master'!J44)</x:f>
        <x:v>Yes</x:v>
      </x:c>
      <x:c r="J13" s="100" t="str">
        <x:f>IF('Master'!K44="","",'Master'!K44)</x:f>
        <x:v>Yes/local files</x:v>
      </x:c>
      <x:c r="K13" s="100" t="str">
        <x:f>IF('Master'!L44="","",'Master'!L44)</x:f>
        <x:v>Yes</x:v>
      </x:c>
      <x:c r="L13" s="100" t="str">
        <x:f>IF('Master'!M44="","",'Master'!M44)</x:f>
        <x:v>Yes</x:v>
      </x:c>
      <x:c r="M13" s="100" t="str">
        <x:f>IF('Master'!N44="","",'Master'!N44)</x:f>
        <x:v>Yes</x:v>
      </x:c>
      <x:c r="N13" s="100" t="str">
        <x:f>IF('Master'!O44="","",'Master'!O44)</x:f>
        <x:v>Yes</x:v>
      </x:c>
      <x:c r="O13" s="100" t="str">
        <x:f>IF('Master'!P44="","",'Master'!P44)</x:f>
        <x:v>Yes</x:v>
      </x:c>
      <x:c r="P13" s="100" t="str">
        <x:f>IF('Master'!Q44="","",'Master'!Q44)</x:f>
        <x:v>Yes</x:v>
      </x:c>
      <x:c r="Q13" s="100" t="str">
        <x:f>IF('Master'!R44="","",'Master'!R44)</x:f>
        <x:v>No</x:v>
      </x:c>
      <x:c r="R13" s="100" t="str">
        <x:f>IF('Master'!S44="","",'Master'!S44)</x:f>
        <x:v>Yes</x:v>
      </x:c>
      <x:c r="S13" s="100" t="str">
        <x:f>IF('Master'!T44="","",'Master'!T44)</x:f>
        <x:v>Yes</x:v>
      </x:c>
      <x:c r="T13" s="100" t="str">
        <x:f>IF('Master'!U44="","",'Master'!U44)</x:f>
        <x:v>Yes</x:v>
      </x:c>
      <x:c r="U13" s="100" t="str">
        <x:f>IF('Master'!V44="","",'Master'!V44)</x:f>
        <x:v>Yes</x:v>
      </x:c>
      <x:c r="V13" s="100" t="str">
        <x:f>IF('Master'!W44="","",'Master'!W44)</x:f>
        <x:v>Yes</x:v>
      </x:c>
      <x:c r="W13" s="100" t="str">
        <x:f>IF('Master'!X44="","",'Master'!X44)</x:f>
        <x:v>Yes</x:v>
      </x:c>
      <x:c r="X13" s="100" t="str">
        <x:f>IF('Master'!Y44="","",'Master'!Y44)</x:f>
        <x:v>Yes</x:v>
      </x:c>
      <x:c r="Y13" s="100" t="str">
        <x:f>IF('Master'!Z44="","",'Master'!Z44)</x:f>
        <x:v>Yes</x:v>
      </x:c>
      <x:c r="Z13" s="100" t="str">
        <x:f>IF('Master'!AA44="","",'Master'!AA44)</x:f>
        <x:v>Yes</x:v>
      </x:c>
      <x:c r="AA13" s="104" t="str">
        <x:f>IF('Master'!AB44="","",'Master'!AB44)</x:f>
      </x:c>
      <x:c r="AB13" s="100" t="str">
        <x:f>IF('Master'!AC44="","",'Master'!AC44)</x:f>
        <x:v>Yes</x:v>
      </x:c>
      <x:c r="AC13" s="100" t="str">
        <x:f>IF('Master'!AD44="","",'Master'!AD44)</x:f>
        <x:v>Yes</x:v>
      </x:c>
      <x:c r="AD13" s="100" t="str">
        <x:f>IF('Master'!AE44="","",'Master'!AE44)</x:f>
        <x:v>Yes</x:v>
      </x:c>
      <x:c r="AE13" s="100" t="str">
        <x:f>IF('Master'!AF44="","",'Master'!AF44)</x:f>
        <x:v>Yes</x:v>
      </x:c>
      <x:c r="AF13" s="75" t="str">
        <x:f>IF('Master'!AG44="","",'Master'!AG44)</x:f>
        <x:v>Yes</x:v>
      </x:c>
    </x:row>
    <x:row r="14" ht="36" customHeight="1">
      <x:c r="A14" s="135" t="str">
        <x:v>Free / Base File Upload Limit</x:v>
      </x:c>
      <x:c r="B14" s="100" t="str">
        <x:f>IF('Master'!C45="","",'Master'!C45)</x:f>
        <x:v>20 MB</x:v>
      </x:c>
      <x:c r="C14" s="100" t="str">
        <x:f>IF('Master'!D45="","",'Master'!D45)</x:f>
        <x:v>Relay-dependent</x:v>
      </x:c>
      <x:c r="D14" s="100" t="str">
        <x:f>IF('Master'!E45="","",'Master'!E45)</x:f>
        <x:v>Operator configured</x:v>
      </x:c>
      <x:c r="E14" s="100" t="str">
        <x:f>IF('Master'!F45="","",'Master'!F45)</x:f>
      </x:c>
      <x:c r="F14" s="100" t="str">
        <x:f>IF('Master'!G45="","",'Master'!G45)</x:f>
      </x:c>
      <x:c r="G14" s="100" t="str">
        <x:f>IF('Master'!H45="","",'Master'!H45)</x:f>
        <x:v>25 MB free</x:v>
      </x:c>
      <x:c r="H14" s="100" t="str">
        <x:f>IF('Master'!I45="","",'Master'!I45)</x:f>
        <x:v>500 MB free</x:v>
      </x:c>
      <x:c r="I14" s="100" t="str">
        <x:f>IF('Master'!J45="","",'Master'!J45)</x:f>
        <x:v>8 MB on hosted Free tier</x:v>
      </x:c>
      <x:c r="J14" s="100" t="str">
        <x:f>IF('Master'!K45="","",'Master'!K45)</x:f>
        <x:v>Local/device storage</x:v>
      </x:c>
      <x:c r="K14" s="100" t="str">
        <x:f>IF('Master'!L45="","",'Master'!L45)</x:f>
        <x:v>15 MB on official federated instance; self-host limits are configurable (developer report)</x:v>
      </x:c>
      <x:c r="L14" s="100" t="str">
        <x:f>IF('Master'!M45="","",'Master'!M45)</x:f>
      </x:c>
      <x:c r="M14" s="100" t="str">
        <x:f>IF('Master'!N45="","",'Master'!N45)</x:f>
      </x:c>
      <x:c r="N14" s="100" t="str">
        <x:f>IF('Master'!O45="","",'Master'!O45)</x:f>
        <x:v>Homeserver-dependent</x:v>
      </x:c>
      <x:c r="O14" s="100" t="str">
        <x:f>IF('Master'!P45="","",'Master'!P45)</x:f>
        <x:v>100 MB hard limit; configurable</x:v>
      </x:c>
      <x:c r="P14" s="100" t="str">
        <x:f>IF('Master'!Q45="","",'Master'!Q45)</x:f>
        <x:v>50 MB images; 100 MB video/other files</x:v>
      </x:c>
      <x:c r="Q14" s="100" t="str">
        <x:f>IF('Master'!R45="","",'Master'!R45)</x:f>
        <x:v>N/A</x:v>
      </x:c>
      <x:c r="R14" s="100" t="str">
        <x:f>IF('Master'!S45="","",'Master'!S45)</x:f>
      </x:c>
      <x:c r="S14" s="100" t="str">
        <x:f>IF('Master'!T45="","",'Master'!T45)</x:f>
      </x:c>
      <x:c r="T14" s="100" t="str">
        <x:f>IF('Master'!U45="","",'Master'!U45)</x:f>
        <x:v>Not publicly claimed</x:v>
      </x:c>
      <x:c r="U14" s="100" t="str">
        <x:f>IF('Master'!V45="","",'Master'!V45)</x:f>
        <x:v>50 MB free; Rift+ 300 MB personal uploads; Shard tiers vary</x:v>
      </x:c>
      <x:c r="V14" s="100" t="str">
        <x:f>IF('Master'!W45="","",'Master'!W45)</x:f>
        <x:v>Configurable by workspace / proxy</x:v>
      </x:c>
      <x:c r="W14" s="100" t="str">
        <x:f>IF('Master'!X45="","",'Master'!X45)</x:f>
      </x:c>
      <x:c r="X14" s="100" t="str">
        <x:f>IF('Master'!Y45="","",'Master'!Y45)</x:f>
        <x:v>25 MB</x:v>
      </x:c>
      <x:c r="Y14" s="100" t="str">
        <x:f>IF('Master'!Z45="","",'Master'!Z45)</x:f>
        <x:v>Operator-configurable</x:v>
      </x:c>
      <x:c r="Z14" s="100" t="str">
        <x:f>IF('Master'!AA45="","",'Master'!AA45)</x:f>
        <x:v>20 MB</x:v>
      </x:c>
      <x:c r="AA14" s="104" t="str">
        <x:f>IF('Master'!AB45="","",'Master'!AB45)</x:f>
        <x:v>10 MB</x:v>
      </x:c>
      <x:c r="AB14" s="100" t="str">
        <x:f>IF('Master'!AC45="","",'Master'!AC45)</x:f>
      </x:c>
      <x:c r="AC14" s="100" t="str">
        <x:f>IF('Master'!AD45="","",'Master'!AD45)</x:f>
      </x:c>
      <x:c r="AD14" s="100" t="str">
        <x:f>IF('Master'!AE45="","",'Master'!AE45)</x:f>
      </x:c>
      <x:c r="AE14" s="100" t="str">
        <x:f>IF('Master'!AF45="","",'Master'!AF45)</x:f>
        <x:v>Configurable by server operator</x:v>
      </x:c>
      <x:c r="AF14" s="75" t="str">
        <x:f>IF('Master'!AG45="","",'Master'!AG45)</x:f>
        <x:v>Plan/server configurable</x:v>
      </x:c>
    </x:row>
    <x:row r="15" ht="36" customHeight="1">
      <x:c r="A15" s="135" t="str">
        <x:v>Message Reactions</x:v>
      </x:c>
      <x:c r="B15" s="100" t="str">
        <x:f>IF('Master'!C52="","",'Master'!C52)</x:f>
        <x:v>Yes</x:v>
      </x:c>
      <x:c r="C15" s="100" t="str">
        <x:f>IF('Master'!D52="","",'Master'!D52)</x:f>
        <x:v>Yes</x:v>
      </x:c>
      <x:c r="D15" s="100" t="str">
        <x:f>IF('Master'!E52="","",'Master'!E52)</x:f>
      </x:c>
      <x:c r="E15" s="100" t="str">
        <x:f>IF('Master'!F52="","",'Master'!F52)</x:f>
        <x:v>Yes</x:v>
      </x:c>
      <x:c r="F15" s="100" t="str">
        <x:f>IF('Master'!G52="","",'Master'!G52)</x:f>
        <x:v>Yes</x:v>
      </x:c>
      <x:c r="G15" s="100" t="str">
        <x:f>IF('Master'!H52="","",'Master'!H52)</x:f>
      </x:c>
      <x:c r="H15" s="100" t="str">
        <x:f>IF('Master'!I52="","",'Master'!I52)</x:f>
        <x:v>Yes</x:v>
      </x:c>
      <x:c r="I15" s="100" t="str">
        <x:f>IF('Master'!J52="","",'Master'!J52)</x:f>
      </x:c>
      <x:c r="J15" s="100" t="str">
        <x:f>IF('Master'!K52="","",'Master'!K52)</x:f>
      </x:c>
      <x:c r="K15" s="100" t="str">
        <x:f>IF('Master'!L52="","",'Master'!L52)</x:f>
        <x:v>Yes</x:v>
      </x:c>
      <x:c r="L15" s="100" t="str">
        <x:f>IF('Master'!M52="","",'Master'!M52)</x:f>
      </x:c>
      <x:c r="M15" s="100" t="str">
        <x:f>IF('Master'!N52="","",'Master'!N52)</x:f>
        <x:v>Yes</x:v>
      </x:c>
      <x:c r="N15" s="100" t="str">
        <x:f>IF('Master'!O52="","",'Master'!O52)</x:f>
        <x:v>Yes</x:v>
      </x:c>
      <x:c r="O15" s="100" t="str">
        <x:f>IF('Master'!P52="","",'Master'!P52)</x:f>
      </x:c>
      <x:c r="P15" s="100" t="str">
        <x:f>IF('Master'!Q52="","",'Master'!Q52)</x:f>
        <x:v>Yes</x:v>
      </x:c>
      <x:c r="Q15" s="100" t="str">
        <x:f>IF('Master'!R52="","",'Master'!R52)</x:f>
      </x:c>
      <x:c r="R15" s="100" t="str">
        <x:f>IF('Master'!S52="","",'Master'!S52)</x:f>
        <x:v>Yes</x:v>
      </x:c>
      <x:c r="S15" s="100" t="str">
        <x:f>IF('Master'!T52="","",'Master'!T52)</x:f>
      </x:c>
      <x:c r="T15" s="100" t="str">
        <x:f>IF('Master'!U52="","",'Master'!U52)</x:f>
        <x:v>Yes</x:v>
      </x:c>
      <x:c r="U15" s="100" t="str">
        <x:f>IF('Master'!V52="","",'Master'!V52)</x:f>
        <x:v>Yes</x:v>
      </x:c>
      <x:c r="V15" s="100" t="str">
        <x:f>IF('Master'!W52="","",'Master'!W52)</x:f>
        <x:v>Yes</x:v>
      </x:c>
      <x:c r="W15" s="100" t="str">
        <x:f>IF('Master'!X52="","",'Master'!X52)</x:f>
      </x:c>
      <x:c r="X15" s="100" t="str">
        <x:f>IF('Master'!Y52="","",'Master'!Y52)</x:f>
        <x:v>Yes</x:v>
      </x:c>
      <x:c r="Y15" s="100" t="str">
        <x:f>IF('Master'!Z52="","",'Master'!Z52)</x:f>
      </x:c>
      <x:c r="Z15" s="100" t="str">
        <x:f>IF('Master'!AA52="","",'Master'!AA52)</x:f>
        <x:v>Yes</x:v>
      </x:c>
      <x:c r="AA15" s="104" t="str">
        <x:f>IF('Master'!AB52="","",'Master'!AB52)</x:f>
      </x:c>
      <x:c r="AB15" s="100" t="str">
        <x:f>IF('Master'!AC52="","",'Master'!AC52)</x:f>
      </x:c>
      <x:c r="AC15" s="100" t="str">
        <x:f>IF('Master'!AD52="","",'Master'!AD52)</x:f>
      </x:c>
      <x:c r="AD15" s="100" t="str">
        <x:f>IF('Master'!AE52="","",'Master'!AE52)</x:f>
        <x:v>Yes</x:v>
      </x:c>
      <x:c r="AE15" s="100" t="str">
        <x:f>IF('Master'!AF52="","",'Master'!AF52)</x:f>
      </x:c>
      <x:c r="AF15" s="75" t="str">
        <x:f>IF('Master'!AG52="","",'Master'!AG52)</x:f>
        <x:v>Yes</x:v>
      </x:c>
    </x:row>
    <x:row r="16" ht="36" customHeight="1">
      <x:c r="A16" s="135" t="str">
        <x:v>Message Editing</x:v>
      </x:c>
      <x:c r="B16" s="100" t="str">
        <x:f>IF('Master'!C54="","",'Master'!C54)</x:f>
        <x:v>Yes</x:v>
      </x:c>
      <x:c r="C16" s="100" t="str">
        <x:f>IF('Master'!D54="","",'Master'!D54)</x:f>
      </x:c>
      <x:c r="D16" s="100" t="str">
        <x:f>IF('Master'!E54="","",'Master'!E54)</x:f>
      </x:c>
      <x:c r="E16" s="100" t="str">
        <x:f>IF('Master'!F54="","",'Master'!F54)</x:f>
      </x:c>
      <x:c r="F16" s="100" t="str">
        <x:f>IF('Master'!G54="","",'Master'!G54)</x:f>
      </x:c>
      <x:c r="G16" s="100" t="str">
        <x:f>IF('Master'!H54="","",'Master'!H54)</x:f>
      </x:c>
      <x:c r="H16" s="100" t="str">
        <x:f>IF('Master'!I54="","",'Master'!I54)</x:f>
      </x:c>
      <x:c r="I16" s="100" t="str">
        <x:f>IF('Master'!J54="","",'Master'!J54)</x:f>
      </x:c>
      <x:c r="J16" s="100" t="str">
        <x:f>IF('Master'!K54="","",'Master'!K54)</x:f>
      </x:c>
      <x:c r="K16" s="100" t="str">
        <x:f>IF('Master'!L54="","",'Master'!L54)</x:f>
        <x:v>Yes</x:v>
      </x:c>
      <x:c r="L16" s="100" t="str">
        <x:f>IF('Master'!M54="","",'Master'!M54)</x:f>
      </x:c>
      <x:c r="M16" s="100" t="str">
        <x:f>IF('Master'!N54="","",'Master'!N54)</x:f>
      </x:c>
      <x:c r="N16" s="100" t="str">
        <x:f>IF('Master'!O54="","",'Master'!O54)</x:f>
        <x:v>Yes</x:v>
      </x:c>
      <x:c r="O16" s="100" t="str">
        <x:f>IF('Master'!P54="","",'Master'!P54)</x:f>
      </x:c>
      <x:c r="P16" s="100" t="str">
        <x:f>IF('Master'!Q54="","",'Master'!Q54)</x:f>
      </x:c>
      <x:c r="Q16" s="100" t="str">
        <x:f>IF('Master'!R54="","",'Master'!R54)</x:f>
      </x:c>
      <x:c r="R16" s="100" t="str">
        <x:f>IF('Master'!S54="","",'Master'!S54)</x:f>
        <x:v>Yes</x:v>
      </x:c>
      <x:c r="S16" s="100" t="str">
        <x:f>IF('Master'!T54="","",'Master'!T54)</x:f>
      </x:c>
      <x:c r="T16" s="100" t="str">
        <x:f>IF('Master'!U54="","",'Master'!U54)</x:f>
      </x:c>
      <x:c r="U16" s="100" t="str">
        <x:f>IF('Master'!V54="","",'Master'!V54)</x:f>
        <x:v>Yes</x:v>
      </x:c>
      <x:c r="V16" s="100" t="str">
        <x:f>IF('Master'!W54="","",'Master'!W54)</x:f>
      </x:c>
      <x:c r="W16" s="100" t="str">
        <x:f>IF('Master'!X54="","",'Master'!X54)</x:f>
      </x:c>
      <x:c r="X16" s="100" t="str">
        <x:f>IF('Master'!Y54="","",'Master'!Y54)</x:f>
        <x:v>Yes</x:v>
      </x:c>
      <x:c r="Y16" s="100" t="str">
        <x:f>IF('Master'!Z54="","",'Master'!Z54)</x:f>
      </x:c>
      <x:c r="Z16" s="100" t="str">
        <x:f>IF('Master'!AA54="","",'Master'!AA54)</x:f>
        <x:v>Yes</x:v>
      </x:c>
      <x:c r="AA16" s="104" t="str">
        <x:f>IF('Master'!AB54="","",'Master'!AB54)</x:f>
      </x:c>
      <x:c r="AB16" s="100" t="str">
        <x:f>IF('Master'!AC54="","",'Master'!AC54)</x:f>
      </x:c>
      <x:c r="AC16" s="100" t="str">
        <x:f>IF('Master'!AD54="","",'Master'!AD54)</x:f>
      </x:c>
      <x:c r="AD16" s="100" t="str">
        <x:f>IF('Master'!AE54="","",'Master'!AE54)</x:f>
      </x:c>
      <x:c r="AE16" s="100" t="str">
        <x:f>IF('Master'!AF54="","",'Master'!AF54)</x:f>
      </x:c>
      <x:c r="AF16" s="75" t="str">
        <x:f>IF('Master'!AG54="","",'Master'!AG54)</x:f>
        <x:v>Yes</x:v>
      </x:c>
    </x:row>
    <x:row r="17" ht="36" customHeight="1">
      <x:c r="A17" s="135" t="str">
        <x:v>Message Deletion</x:v>
      </x:c>
      <x:c r="B17" s="100" t="str">
        <x:f>IF('Master'!C55="","",'Master'!C55)</x:f>
        <x:v>Yes</x:v>
      </x:c>
      <x:c r="C17" s="100" t="str">
        <x:f>IF('Master'!D55="","",'Master'!D55)</x:f>
      </x:c>
      <x:c r="D17" s="100" t="str">
        <x:f>IF('Master'!E55="","",'Master'!E55)</x:f>
      </x:c>
      <x:c r="E17" s="100" t="str">
        <x:f>IF('Master'!F55="","",'Master'!F55)</x:f>
      </x:c>
      <x:c r="F17" s="100" t="str">
        <x:f>IF('Master'!G55="","",'Master'!G55)</x:f>
      </x:c>
      <x:c r="G17" s="100" t="str">
        <x:f>IF('Master'!H55="","",'Master'!H55)</x:f>
      </x:c>
      <x:c r="H17" s="100" t="str">
        <x:f>IF('Master'!I55="","",'Master'!I55)</x:f>
      </x:c>
      <x:c r="I17" s="100" t="str">
        <x:f>IF('Master'!J55="","",'Master'!J55)</x:f>
      </x:c>
      <x:c r="J17" s="100" t="str">
        <x:f>IF('Master'!K55="","",'Master'!K55)</x:f>
      </x:c>
      <x:c r="K17" s="100" t="str">
        <x:f>IF('Master'!L55="","",'Master'!L55)</x:f>
        <x:v>Yes</x:v>
      </x:c>
      <x:c r="L17" s="100" t="str">
        <x:f>IF('Master'!M55="","",'Master'!M55)</x:f>
      </x:c>
      <x:c r="M17" s="100" t="str">
        <x:f>IF('Master'!N55="","",'Master'!N55)</x:f>
      </x:c>
      <x:c r="N17" s="100" t="str">
        <x:f>IF('Master'!O55="","",'Master'!O55)</x:f>
        <x:v>Yes</x:v>
      </x:c>
      <x:c r="O17" s="100" t="str">
        <x:f>IF('Master'!P55="","",'Master'!P55)</x:f>
      </x:c>
      <x:c r="P17" s="100" t="str">
        <x:f>IF('Master'!Q55="","",'Master'!Q55)</x:f>
      </x:c>
      <x:c r="Q17" s="100" t="str">
        <x:f>IF('Master'!R55="","",'Master'!R55)</x:f>
      </x:c>
      <x:c r="R17" s="100" t="str">
        <x:f>IF('Master'!S55="","",'Master'!S55)</x:f>
      </x:c>
      <x:c r="S17" s="100" t="str">
        <x:f>IF('Master'!T55="","",'Master'!T55)</x:f>
      </x:c>
      <x:c r="T17" s="100" t="str">
        <x:f>IF('Master'!U55="","",'Master'!U55)</x:f>
      </x:c>
      <x:c r="U17" s="100" t="str">
        <x:f>IF('Master'!V55="","",'Master'!V55)</x:f>
        <x:v>Yes</x:v>
      </x:c>
      <x:c r="V17" s="100" t="str">
        <x:f>IF('Master'!W55="","",'Master'!W55)</x:f>
      </x:c>
      <x:c r="W17" s="100" t="str">
        <x:f>IF('Master'!X55="","",'Master'!X55)</x:f>
      </x:c>
      <x:c r="X17" s="100" t="str">
        <x:f>IF('Master'!Y55="","",'Master'!Y55)</x:f>
        <x:v>Yes</x:v>
      </x:c>
      <x:c r="Y17" s="100" t="str">
        <x:f>IF('Master'!Z55="","",'Master'!Z55)</x:f>
      </x:c>
      <x:c r="Z17" s="100" t="str">
        <x:f>IF('Master'!AA55="","",'Master'!AA55)</x:f>
        <x:v>Yes</x:v>
      </x:c>
      <x:c r="AA17" s="104" t="str">
        <x:f>IF('Master'!AB55="","",'Master'!AB55)</x:f>
      </x:c>
      <x:c r="AB17" s="100" t="str">
        <x:f>IF('Master'!AC55="","",'Master'!AC55)</x:f>
      </x:c>
      <x:c r="AC17" s="100" t="str">
        <x:f>IF('Master'!AD55="","",'Master'!AD55)</x:f>
      </x:c>
      <x:c r="AD17" s="100" t="str">
        <x:f>IF('Master'!AE55="","",'Master'!AE55)</x:f>
      </x:c>
      <x:c r="AE17" s="100" t="str">
        <x:f>IF('Master'!AF55="","",'Master'!AF55)</x:f>
      </x:c>
      <x:c r="AF17" s="75" t="str">
        <x:f>IF('Master'!AG55="","",'Master'!AG55)</x:f>
        <x:v>Yes</x:v>
      </x:c>
    </x:row>
    <x:row r="18" ht="36" customHeight="1">
      <x:c r="A18" s="135" t="str">
        <x:v>Inline Replies</x:v>
      </x:c>
      <x:c r="B18" s="100" t="str">
        <x:f>IF('Master'!C53="","",'Master'!C53)</x:f>
        <x:v>Yes</x:v>
      </x:c>
      <x:c r="C18" s="100" t="str">
        <x:f>IF('Master'!D53="","",'Master'!D53)</x:f>
        <x:v>Yes</x:v>
      </x:c>
      <x:c r="D18" s="100" t="str">
        <x:f>IF('Master'!E53="","",'Master'!E53)</x:f>
        <x:v>Yes</x:v>
      </x:c>
      <x:c r="E18" s="100" t="str">
        <x:f>IF('Master'!F53="","",'Master'!F53)</x:f>
        <x:v>Yes</x:v>
      </x:c>
      <x:c r="F18" s="100" t="str">
        <x:f>IF('Master'!G53="","",'Master'!G53)</x:f>
        <x:v>Yes</x:v>
      </x:c>
      <x:c r="G18" s="100" t="str">
        <x:f>IF('Master'!H53="","",'Master'!H53)</x:f>
        <x:v>Yes</x:v>
      </x:c>
      <x:c r="H18" s="100" t="str">
        <x:f>IF('Master'!I53="","",'Master'!I53)</x:f>
        <x:v>Yes</x:v>
      </x:c>
      <x:c r="I18" s="100" t="str">
        <x:f>IF('Master'!J53="","",'Master'!J53)</x:f>
      </x:c>
      <x:c r="J18" s="100" t="str">
        <x:f>IF('Master'!K53="","",'Master'!K53)</x:f>
        <x:v>Yes</x:v>
      </x:c>
      <x:c r="K18" s="100" t="str">
        <x:f>IF('Master'!L53="","",'Master'!L53)</x:f>
        <x:v>Yes</x:v>
      </x:c>
      <x:c r="L18" s="100" t="str">
        <x:f>IF('Master'!M53="","",'Master'!M53)</x:f>
      </x:c>
      <x:c r="M18" s="100" t="str">
        <x:f>IF('Master'!N53="","",'Master'!N53)</x:f>
        <x:v>Yes</x:v>
      </x:c>
      <x:c r="N18" s="100" t="str">
        <x:f>IF('Master'!O53="","",'Master'!O53)</x:f>
        <x:v>Yes via reply relation</x:v>
      </x:c>
      <x:c r="O18" s="100" t="str">
        <x:f>IF('Master'!P53="","",'Master'!P53)</x:f>
        <x:v>Yes</x:v>
      </x:c>
      <x:c r="P18" s="100" t="str">
        <x:f>IF('Master'!Q53="","",'Master'!Q53)</x:f>
        <x:v>Yes</x:v>
      </x:c>
      <x:c r="Q18" s="100" t="str">
        <x:f>IF('Master'!R53="","",'Master'!R53)</x:f>
        <x:v>Limited text replies N/A</x:v>
      </x:c>
      <x:c r="R18" s="100" t="str">
        <x:f>IF('Master'!S53="","",'Master'!S53)</x:f>
        <x:v>Yes</x:v>
      </x:c>
      <x:c r="S18" s="100" t="str">
        <x:f>IF('Master'!T53="","",'Master'!T53)</x:f>
        <x:v>Yes</x:v>
      </x:c>
      <x:c r="T18" s="100" t="str">
        <x:f>IF('Master'!U53="","",'Master'!U53)</x:f>
        <x:v>Yes</x:v>
      </x:c>
      <x:c r="U18" s="100" t="str">
        <x:f>IF('Master'!V53="","",'Master'!V53)</x:f>
        <x:v>Yes</x:v>
      </x:c>
      <x:c r="V18" s="100" t="str">
        <x:f>IF('Master'!W53="","",'Master'!W53)</x:f>
        <x:v>Yes</x:v>
      </x:c>
      <x:c r="W18" s="100" t="str">
        <x:f>IF('Master'!X53="","",'Master'!X53)</x:f>
      </x:c>
      <x:c r="X18" s="100" t="str">
        <x:f>IF('Master'!Y53="","",'Master'!Y53)</x:f>
        <x:v>Yes</x:v>
      </x:c>
      <x:c r="Y18" s="100" t="str">
        <x:f>IF('Master'!Z53="","",'Master'!Z53)</x:f>
        <x:v>Yes</x:v>
      </x:c>
      <x:c r="Z18" s="100" t="str">
        <x:f>IF('Master'!AA53="","",'Master'!AA53)</x:f>
        <x:v>Yes</x:v>
      </x:c>
      <x:c r="AA18" s="104" t="str">
        <x:f>IF('Master'!AB53="","",'Master'!AB53)</x:f>
      </x:c>
      <x:c r="AB18" s="100" t="str">
        <x:f>IF('Master'!AC53="","",'Master'!AC53)</x:f>
        <x:v>Yes</x:v>
      </x:c>
      <x:c r="AC18" s="100" t="str">
        <x:f>IF('Master'!AD53="","",'Master'!AD53)</x:f>
      </x:c>
      <x:c r="AD18" s="100" t="str">
        <x:f>IF('Master'!AE53="","",'Master'!AE53)</x:f>
        <x:v>Yes</x:v>
      </x:c>
      <x:c r="AE18" s="100" t="str">
        <x:f>IF('Master'!AF53="","",'Master'!AF53)</x:f>
      </x:c>
      <x:c r="AF18" s="75" t="str">
        <x:f>IF('Master'!AG53="","",'Master'!AG53)</x:f>
        <x:v>Yes</x:v>
      </x:c>
    </x:row>
    <x:row r="19" ht="36" customHeight="1">
      <x:c r="A19" s="135" t="str">
        <x:v>Pinned Messages</x:v>
      </x:c>
      <x:c r="B19" s="100" t="str">
        <x:f>IF('Master'!C46="","",'Master'!C46)</x:f>
        <x:v>Yes</x:v>
      </x:c>
      <x:c r="C19" s="100" t="str">
        <x:f>IF('Master'!D46="","",'Master'!D46)</x:f>
      </x:c>
      <x:c r="D19" s="100" t="str">
        <x:f>IF('Master'!E46="","",'Master'!E46)</x:f>
      </x:c>
      <x:c r="E19" s="100" t="str">
        <x:f>IF('Master'!F46="","",'Master'!F46)</x:f>
        <x:v>Yes</x:v>
      </x:c>
      <x:c r="F19" s="100" t="str">
        <x:f>IF('Master'!G46="","",'Master'!G46)</x:f>
      </x:c>
      <x:c r="G19" s="100" t="str">
        <x:f>IF('Master'!H46="","",'Master'!H46)</x:f>
        <x:v>Yes</x:v>
      </x:c>
      <x:c r="H19" s="100" t="str">
        <x:f>IF('Master'!I46="","",'Master'!I46)</x:f>
        <x:v>Yes</x:v>
      </x:c>
      <x:c r="I19" s="100" t="str">
        <x:f>IF('Master'!J46="","",'Master'!J46)</x:f>
      </x:c>
      <x:c r="J19" s="100" t="str">
        <x:f>IF('Master'!K46="","",'Master'!K46)</x:f>
      </x:c>
      <x:c r="K19" s="100" t="str">
        <x:f>IF('Master'!L46="","",'Master'!L46)</x:f>
        <x:v>Yes</x:v>
      </x:c>
      <x:c r="L19" s="100" t="str">
        <x:f>IF('Master'!M46="","",'Master'!M46)</x:f>
      </x:c>
      <x:c r="M19" s="100" t="str">
        <x:f>IF('Master'!N46="","",'Master'!N46)</x:f>
        <x:v>Yes</x:v>
      </x:c>
      <x:c r="N19" s="100" t="str">
        <x:f>IF('Master'!O46="","",'Master'!O46)</x:f>
        <x:v>Client-dependent</x:v>
      </x:c>
      <x:c r="O19" s="100" t="str">
        <x:f>IF('Master'!P46="","",'Master'!P46)</x:f>
        <x:v>Yes</x:v>
      </x:c>
      <x:c r="P19" s="100" t="str">
        <x:f>IF('Master'!Q46="","",'Master'!Q46)</x:f>
        <x:v>Yes</x:v>
      </x:c>
      <x:c r="Q19" s="100" t="str">
        <x:f>IF('Master'!R46="","",'Master'!R46)</x:f>
        <x:v>N/A</x:v>
      </x:c>
      <x:c r="R19" s="100" t="str">
        <x:f>IF('Master'!S46="","",'Master'!S46)</x:f>
        <x:v>Yes</x:v>
      </x:c>
      <x:c r="S19" s="100" t="str">
        <x:f>IF('Master'!T46="","",'Master'!T46)</x:f>
        <x:v>Yes</x:v>
      </x:c>
      <x:c r="T19" s="100" t="str">
        <x:f>IF('Master'!U46="","",'Master'!U46)</x:f>
        <x:v>Yes</x:v>
      </x:c>
      <x:c r="U19" s="100" t="str">
        <x:f>IF('Master'!V46="","",'Master'!V46)</x:f>
        <x:v>Yes — channel pins + Shard pin feed</x:v>
      </x:c>
      <x:c r="V19" s="100" t="str">
        <x:f>IF('Master'!W46="","",'Master'!W46)</x:f>
        <x:v>Yes</x:v>
      </x:c>
      <x:c r="W19" s="100" t="str">
        <x:f>IF('Master'!X46="","",'Master'!X46)</x:f>
      </x:c>
      <x:c r="X19" s="100" t="str">
        <x:f>IF('Master'!Y46="","",'Master'!Y46)</x:f>
        <x:v>Yes</x:v>
      </x:c>
      <x:c r="Y19" s="100" t="str">
        <x:f>IF('Master'!Z46="","",'Master'!Z46)</x:f>
        <x:v>Yes</x:v>
      </x:c>
      <x:c r="Z19" s="100" t="str">
        <x:f>IF('Master'!AA46="","",'Master'!AA46)</x:f>
        <x:v>Yes</x:v>
      </x:c>
      <x:c r="AA19" s="104" t="str">
        <x:f>IF('Master'!AB46="","",'Master'!AB46)</x:f>
      </x:c>
      <x:c r="AB19" s="100" t="str">
        <x:f>IF('Master'!AC46="","",'Master'!AC46)</x:f>
        <x:v>Yes</x:v>
      </x:c>
      <x:c r="AC19" s="100" t="str">
        <x:f>IF('Master'!AD46="","",'Master'!AD46)</x:f>
      </x:c>
      <x:c r="AD19" s="100" t="str">
        <x:f>IF('Master'!AE46="","",'Master'!AE46)</x:f>
      </x:c>
      <x:c r="AE19" s="100" t="str">
        <x:f>IF('Master'!AF46="","",'Master'!AF46)</x:f>
      </x:c>
      <x:c r="AF19" s="75" t="str">
        <x:f>IF('Master'!AG46="","",'Master'!AG46)</x:f>
        <x:v>Yes</x:v>
      </x:c>
    </x:row>
    <x:row r="20" ht="36" customHeight="1">
      <x:c r="A20" s="135" t="str">
        <x:v>Search</x:v>
      </x:c>
      <x:c r="B20" s="100" t="str">
        <x:f>IF('Master'!C47="","",'Master'!C47)</x:f>
        <x:v>Yes — server message search; Server Discovery exists for eligible public communities</x:v>
      </x:c>
      <x:c r="C20" s="100" t="str">
        <x:f>IF('Master'!D47="","",'Master'!D47)</x:f>
      </x:c>
      <x:c r="D20" s="100" t="str">
        <x:f>IF('Master'!E47="","",'Master'!E47)</x:f>
        <x:v>Yes</x:v>
      </x:c>
      <x:c r="E20" s="100" t="str">
        <x:f>IF('Master'!F47="","",'Master'!F47)</x:f>
        <x:v>Yes</x:v>
      </x:c>
      <x:c r="F20" s="100" t="str">
        <x:f>IF('Master'!G47="","",'Master'!G47)</x:f>
        <x:v>Yes</x:v>
      </x:c>
      <x:c r="G20" s="100" t="str">
        <x:f>IF('Master'!H47="","",'Master'!H47)</x:f>
        <x:v>Yes</x:v>
      </x:c>
      <x:c r="H20" s="100" t="str">
        <x:f>IF('Master'!I47="","",'Master'!I47)</x:f>
        <x:v>Yes</x:v>
      </x:c>
      <x:c r="I20" s="100" t="str">
        <x:f>IF('Master'!J47="","",'Master'!J47)</x:f>
      </x:c>
      <x:c r="J20" s="100" t="str">
        <x:f>IF('Master'!K47="","",'Master'!K47)</x:f>
      </x:c>
      <x:c r="K20" s="100" t="str">
        <x:f>IF('Master'!L47="","",'Master'!L47)</x:f>
        <x:v>Yes — typo-tolerant search with filters; federated authorities are queried directly; developer reports no search-depth cap</x:v>
      </x:c>
      <x:c r="L20" s="100" t="str">
        <x:f>IF('Master'!M47="","",'Master'!M47)</x:f>
      </x:c>
      <x:c r="M20" s="100" t="str">
        <x:f>IF('Master'!N47="","",'Master'!N47)</x:f>
        <x:v>Yes</x:v>
      </x:c>
      <x:c r="N20" s="100" t="str">
        <x:f>IF('Master'!O47="","",'Master'!O47)</x:f>
        <x:v>Client-dependent</x:v>
      </x:c>
      <x:c r="O20" s="100" t="str">
        <x:f>IF('Master'!P47="","",'Master'!P47)</x:f>
        <x:v>Yes</x:v>
      </x:c>
      <x:c r="P20" s="100" t="str">
        <x:f>IF('Master'!Q47="","",'Master'!Q47)</x:f>
        <x:v>Yes</x:v>
      </x:c>
      <x:c r="Q20" s="100" t="str">
        <x:f>IF('Master'!R47="","",'Master'!R47)</x:f>
        <x:v>N/A</x:v>
      </x:c>
      <x:c r="R20" s="100" t="str">
        <x:f>IF('Master'!S47="","",'Master'!S47)</x:f>
        <x:v>Yes</x:v>
      </x:c>
      <x:c r="S20" s="100" t="str">
        <x:f>IF('Master'!T47="","",'Master'!T47)</x:f>
        <x:v>Yes</x:v>
      </x:c>
      <x:c r="T20" s="100" t="str">
        <x:f>IF('Master'!U47="","",'Master'!U47)</x:f>
        <x:v>Yes</x:v>
      </x:c>
      <x:c r="U20" s="100" t="str">
        <x:f>IF('Master'!V47="","",'Master'!V47)</x:f>
        <x:v>Yes</x:v>
      </x:c>
      <x:c r="V20" s="100" t="str">
        <x:f>IF('Master'!W47="","",'Master'!W47)</x:f>
        <x:v>Yes</x:v>
      </x:c>
      <x:c r="W20" s="100" t="str">
        <x:f>IF('Master'!X47="","",'Master'!X47)</x:f>
      </x:c>
      <x:c r="X20" s="100" t="str">
        <x:f>IF('Master'!Y47="","",'Master'!Y47)</x:f>
        <x:v>Yes</x:v>
      </x:c>
      <x:c r="Y20" s="100" t="str">
        <x:f>IF('Master'!Z47="","",'Master'!Z47)</x:f>
        <x:v>Yes/target</x:v>
      </x:c>
      <x:c r="Z20" s="100" t="str">
        <x:f>IF('Master'!AA47="","",'Master'!AA47)</x:f>
        <x:v>Yes</x:v>
      </x:c>
      <x:c r="AA20" s="104" t="str">
        <x:f>IF('Master'!AB47="","",'Master'!AB47)</x:f>
      </x:c>
      <x:c r="AB20" s="100" t="str">
        <x:f>IF('Master'!AC47="","",'Master'!AC47)</x:f>
        <x:v>Yes</x:v>
      </x:c>
      <x:c r="AC20" s="100" t="str">
        <x:f>IF('Master'!AD47="","",'Master'!AD47)</x:f>
      </x:c>
      <x:c r="AD20" s="100" t="str">
        <x:f>IF('Master'!AE47="","",'Master'!AE47)</x:f>
        <x:v>Yes</x:v>
      </x:c>
      <x:c r="AE20" s="100" t="str">
        <x:f>IF('Master'!AF47="","",'Master'!AF47)</x:f>
      </x:c>
      <x:c r="AF20" s="75" t="str">
        <x:f>IF('Master'!AG47="","",'Master'!AG47)</x:f>
        <x:v>Yes</x:v>
      </x:c>
    </x:row>
    <x:row r="21" ht="36" customHeight="1">
      <x:c r="A21" s="135" t="str">
        <x:v>Invites</x:v>
      </x:c>
      <x:c r="B21" s="100" t="str">
        <x:f>IF('Master'!C48="","",'Master'!C48)</x:f>
        <x:v>Yes</x:v>
      </x:c>
      <x:c r="C21" s="100" t="str">
        <x:f>IF('Master'!D48="","",'Master'!D48)</x:f>
      </x:c>
      <x:c r="D21" s="100" t="str">
        <x:f>IF('Master'!E48="","",'Master'!E48)</x:f>
      </x:c>
      <x:c r="E21" s="100" t="str">
        <x:f>IF('Master'!F48="","",'Master'!F48)</x:f>
      </x:c>
      <x:c r="F21" s="100" t="str">
        <x:f>IF('Master'!G48="","",'Master'!G48)</x:f>
      </x:c>
      <x:c r="G21" s="100" t="str">
        <x:f>IF('Master'!H48="","",'Master'!H48)</x:f>
      </x:c>
      <x:c r="H21" s="100" t="str">
        <x:f>IF('Master'!I48="","",'Master'!I48)</x:f>
      </x:c>
      <x:c r="I21" s="100" t="str">
        <x:f>IF('Master'!J48="","",'Master'!J48)</x:f>
      </x:c>
      <x:c r="J21" s="100" t="str">
        <x:f>IF('Master'!K48="","",'Master'!K48)</x:f>
      </x:c>
      <x:c r="K21" s="100" t="str">
        <x:f>IF('Master'!L48="","",'Master'!L48)</x:f>
        <x:v>Yes</x:v>
      </x:c>
      <x:c r="L21" s="100" t="str">
        <x:f>IF('Master'!M48="","",'Master'!M48)</x:f>
      </x:c>
      <x:c r="M21" s="100" t="str">
        <x:f>IF('Master'!N48="","",'Master'!N48)</x:f>
      </x:c>
      <x:c r="N21" s="100" t="str">
        <x:f>IF('Master'!O48="","",'Master'!O48)</x:f>
        <x:v>Yes</x:v>
      </x:c>
      <x:c r="O21" s="100" t="str">
        <x:f>IF('Master'!P48="","",'Master'!P48)</x:f>
      </x:c>
      <x:c r="P21" s="100" t="str">
        <x:f>IF('Master'!Q48="","",'Master'!Q48)</x:f>
      </x:c>
      <x:c r="Q21" s="100" t="str">
        <x:f>IF('Master'!R48="","",'Master'!R48)</x:f>
      </x:c>
      <x:c r="R21" s="100" t="str">
        <x:f>IF('Master'!S48="","",'Master'!S48)</x:f>
        <x:v>Yes</x:v>
      </x:c>
      <x:c r="S21" s="100" t="str">
        <x:f>IF('Master'!T48="","",'Master'!T48)</x:f>
      </x:c>
      <x:c r="T21" s="100" t="str">
        <x:f>IF('Master'!U48="","",'Master'!U48)</x:f>
      </x:c>
      <x:c r="U21" s="100" t="str">
        <x:f>IF('Master'!V48="","",'Master'!V48)</x:f>
        <x:v>Yes</x:v>
      </x:c>
      <x:c r="V21" s="100" t="str">
        <x:f>IF('Master'!W48="","",'Master'!W48)</x:f>
      </x:c>
      <x:c r="W21" s="100" t="str">
        <x:f>IF('Master'!X48="","",'Master'!X48)</x:f>
      </x:c>
      <x:c r="X21" s="100" t="str">
        <x:f>IF('Master'!Y48="","",'Master'!Y48)</x:f>
        <x:v>Yes</x:v>
      </x:c>
      <x:c r="Y21" s="100" t="str">
        <x:f>IF('Master'!Z48="","",'Master'!Z48)</x:f>
      </x:c>
      <x:c r="Z21" s="100" t="str">
        <x:f>IF('Master'!AA48="","",'Master'!AA48)</x:f>
        <x:v>Yes</x:v>
      </x:c>
      <x:c r="AA21" s="104" t="str">
        <x:f>IF('Master'!AB48="","",'Master'!AB48)</x:f>
      </x:c>
      <x:c r="AB21" s="100" t="str">
        <x:f>IF('Master'!AC48="","",'Master'!AC48)</x:f>
      </x:c>
      <x:c r="AC21" s="100" t="str">
        <x:f>IF('Master'!AD48="","",'Master'!AD48)</x:f>
      </x:c>
      <x:c r="AD21" s="100" t="str">
        <x:f>IF('Master'!AE48="","",'Master'!AE48)</x:f>
      </x:c>
      <x:c r="AE21" s="100" t="str">
        <x:f>IF('Master'!AF48="","",'Master'!AF48)</x:f>
      </x:c>
      <x:c r="AF21" s="75" t="str">
        <x:f>IF('Master'!AG48="","",'Master'!AG48)</x:f>
        <x:v>Yes</x:v>
      </x:c>
    </x:row>
    <x:row r="22" ht="22" customHeight="1">
      <x:c r="A22" s="138" t="str">
        <x:v>Project Snapshot</x:v>
      </x:c>
      <x:c r="B22" s="138" t="str">
        <x:f>IF(""="","","")</x:f>
      </x:c>
      <x:c r="C22" s="138" t="str">
        <x:f>IF(""="","","")</x:f>
      </x:c>
      <x:c r="D22" s="138" t="str">
        <x:f>IF(""="","","")</x:f>
      </x:c>
      <x:c r="E22" s="138" t="str">
        <x:f>IF(""="","","")</x:f>
      </x:c>
      <x:c r="F22" s="138" t="str">
        <x:f>IF(""="","","")</x:f>
      </x:c>
      <x:c r="G22" s="138" t="str">
        <x:f>IF(""="","","")</x:f>
      </x:c>
      <x:c r="H22" s="138" t="str">
        <x:f>IF(""="","","")</x:f>
      </x:c>
      <x:c r="I22" s="138" t="str">
        <x:f>IF(""="","","")</x:f>
      </x:c>
      <x:c r="J22" s="138" t="str">
        <x:f>IF(""="","","")</x:f>
      </x:c>
      <x:c r="K22" s="138" t="str">
        <x:f>IF(""="","","")</x:f>
      </x:c>
      <x:c r="L22" s="138" t="str">
        <x:f>IF(""="","","")</x:f>
      </x:c>
      <x:c r="M22" s="138" t="str">
        <x:f>IF(""="","","")</x:f>
      </x:c>
      <x:c r="N22" s="138" t="str">
        <x:f>IF(""="","","")</x:f>
      </x:c>
      <x:c r="O22" s="138" t="str">
        <x:f>IF(""="","","")</x:f>
      </x:c>
      <x:c r="P22" s="138" t="str">
        <x:f>IF(""="","","")</x:f>
      </x:c>
      <x:c r="Q22" s="138" t="str">
        <x:f>IF(""="","","")</x:f>
      </x:c>
      <x:c r="R22" s="138" t="str">
        <x:f>IF(""="","","")</x:f>
      </x:c>
      <x:c r="S22" s="138" t="str">
        <x:f>IF(""="","","")</x:f>
      </x:c>
      <x:c r="T22" s="138" t="str">
        <x:f>IF(""="","","")</x:f>
      </x:c>
      <x:c r="U22" s="138" t="str">
        <x:f>IF(""="","","")</x:f>
      </x:c>
      <x:c r="V22" s="138" t="str">
        <x:f>IF(""="","","")</x:f>
      </x:c>
      <x:c r="W22" s="138" t="str">
        <x:f>IF(""="","","")</x:f>
      </x:c>
      <x:c r="X22" s="138" t="str">
        <x:f>IF(""="","","")</x:f>
      </x:c>
      <x:c r="Y22" s="138" t="str">
        <x:f>IF(""="","","")</x:f>
      </x:c>
      <x:c r="Z22" s="138" t="str">
        <x:f>IF(""="","","")</x:f>
      </x:c>
      <x:c r="AA22" s="138" t="str">
        <x:f>IF(""="","","")</x:f>
      </x:c>
      <x:c r="AB22" s="138" t="str">
        <x:f>IF(""="","","")</x:f>
      </x:c>
      <x:c r="AC22" s="138" t="str">
        <x:f>IF(""="","","")</x:f>
      </x:c>
      <x:c r="AD22" s="138" t="str">
        <x:f>IF(""="","","")</x:f>
      </x:c>
      <x:c r="AE22" s="138" t="str">
        <x:f>IF(""="","","")</x:f>
      </x:c>
      <x:c r="AF22" s="139" t="str">
        <x:f>IF(""="","","")</x:f>
      </x:c>
    </x:row>
    <x:row r="23" ht="36" customHeight="1">
      <x:c r="A23" s="135" t="str">
        <x:v>Inception Date</x:v>
      </x:c>
      <x:c r="B23" s="100" t="str">
        <x:f>IF('Master'!C580="","",'Master'!C580)</x:f>
        <x:v>May 2015</x:v>
      </x:c>
      <x:c r="C23" s="100" t="str">
        <x:f>IF('Master'!D580="","",'Master'!D580)</x:f>
        <x:v>2026-era project</x:v>
      </x:c>
      <x:c r="D23" s="100" t="str">
        <x:f>IF('Master'!E580="","",'Master'!E580)</x:f>
        <x:v>2023</x:v>
      </x:c>
      <x:c r="E23" s="100" t="str">
        <x:f>IF('Master'!F580="","",'Master'!F580)</x:f>
        <x:v>2026</x:v>
      </x:c>
      <x:c r="F23" s="100" t="str">
        <x:f>IF('Master'!G580="","",'Master'!G580)</x:f>
        <x:v>November 2025</x:v>
      </x:c>
      <x:c r="G23" s="100" t="str">
        <x:f>IF('Master'!H580="","",'Master'!H580)</x:f>
        <x:v>2020</x:v>
      </x:c>
      <x:c r="H23" s="100" t="str">
        <x:f>IF('Master'!I580="","",'Master'!I580)</x:f>
        <x:v>2026 ground-up rebuild</x:v>
      </x:c>
      <x:c r="I23" s="100" t="str">
        <x:f>IF('Master'!J580="","",'Master'!J580)</x:f>
        <x:v>2026 fork era</x:v>
      </x:c>
      <x:c r="J23" s="100" t="str">
        <x:f>IF('Master'!K580="","",'Master'!K580)</x:f>
        <x:v>2026-era public project</x:v>
      </x:c>
      <x:c r="K23" s="100" t="str">
        <x:f>IF('Master'!L580="","",'Master'!L580)</x:f>
        <x:v>≈ late 2025 (developer report: private use for nearly a year as of Sep 2026)</x:v>
      </x:c>
      <x:c r="L23" s="100" t="str">
        <x:f>IF('Master'!M580="","",'Master'!M580)</x:f>
      </x:c>
      <x:c r="M23" s="100" t="str">
        <x:f>IF('Master'!N580="","",'Master'!N580)</x:f>
        <x:v>2026-era project</x:v>
      </x:c>
      <x:c r="N23" s="100" t="str">
        <x:f>IF('Master'!O580="","",'Master'!O580)</x:f>
        <x:v>2014</x:v>
      </x:c>
      <x:c r="O23" s="100" t="str">
        <x:f>IF('Master'!P580="","",'Master'!P580)</x:f>
        <x:v>2015</x:v>
      </x:c>
      <x:c r="P23" s="100" t="str">
        <x:f>IF('Master'!Q580="","",'Master'!Q580)</x:f>
      </x:c>
      <x:c r="Q23" s="100" t="str">
        <x:f>IF('Master'!R580="","",'Master'!R580)</x:f>
        <x:v>2005</x:v>
      </x:c>
      <x:c r="R23" s="100" t="str">
        <x:f>IF('Master'!S580="","",'Master'!S580)</x:f>
      </x:c>
      <x:c r="S23" s="100" t="str">
        <x:f>IF('Master'!T580="","",'Master'!T580)</x:f>
        <x:v>Summer 2024</x:v>
      </x:c>
      <x:c r="T23" s="100" t="str">
        <x:f>IF('Master'!U580="","",'Master'!U580)</x:f>
        <x:v>Young open beta; exact first-commit date is available in the GitHub history</x:v>
      </x:c>
      <x:c r="U23" s="100" t="str">
        <x:f>IF('Master'!V580="","",'Master'!V580)</x:f>
        <x:v>2026</x:v>
      </x:c>
      <x:c r="V23" s="100" t="str">
        <x:f>IF('Master'!W580="","",'Master'!W580)</x:f>
        <x:v>2015</x:v>
      </x:c>
      <x:c r="W23" s="100" t="str">
        <x:f>IF('Master'!X580="","",'Master'!X580)</x:f>
      </x:c>
      <x:c r="X23" s="100" t="str">
        <x:f>IF('Master'!Y580="","",'Master'!Y580)</x:f>
      </x:c>
      <x:c r="Y23" s="100" t="str">
        <x:f>IF('Master'!Z580="","",'Master'!Z580)</x:f>
        <x:v>2021 (as Fosscord/Spacebar project era)</x:v>
      </x:c>
      <x:c r="Z23" s="100" t="str">
        <x:f>IF('Master'!AA580="","",'Master'!AA580)</x:f>
        <x:v>2021 (as Revolt; rebranded Stoat in 2025)</x:v>
      </x:c>
      <x:c r="AA23" s="104" t="str">
        <x:f>IF('Master'!AB580="","",'Master'!AB580)</x:f>
        <x:v>1999 project origin</x:v>
      </x:c>
      <x:c r="AB23" s="100" t="str">
        <x:f>IF('Master'!AC580="","",'Master'!AC580)</x:f>
      </x:c>
      <x:c r="AC23" s="100" t="str">
        <x:f>IF('Master'!AD580="","",'Master'!AD580)</x:f>
        <x:v>Early 2026</x:v>
      </x:c>
      <x:c r="AD23" s="100" t="str">
        <x:f>IF('Master'!AE580="","",'Master'!AE580)</x:f>
        <x:v>~2025</x:v>
      </x:c>
      <x:c r="AE23" s="100" t="str">
        <x:f>IF('Master'!AF580="","",'Master'!AF580)</x:f>
        <x:v>2026-era project</x:v>
      </x:c>
      <x:c r="AF23" s="75" t="str">
        <x:f>IF('Master'!AG580="","",'Master'!AG580)</x:f>
        <x:v>2012</x:v>
      </x:c>
    </x:row>
    <x:row r="24" ht="36" customHeight="1">
      <x:c r="A24" s="135" t="str">
        <x:v>Public Release Date</x:v>
      </x:c>
      <x:c r="B24" s="100" t="str">
        <x:f>IF('Master'!C581="","",'Master'!C581)</x:f>
        <x:v>2015-05-13</x:v>
      </x:c>
      <x:c r="C24" s="100" t="str">
        <x:f>IF('Master'!D581="","",'Master'!D581)</x:f>
        <x:v>Public beta/dev 2026</x:v>
      </x:c>
      <x:c r="D24" s="100" t="str">
        <x:f>IF('Master'!E581="","",'Master'!E581)</x:f>
        <x:v>Public project by 2024</x:v>
      </x:c>
      <x:c r="E24" s="100" t="str">
        <x:f>IF('Master'!F581="","",'Master'!F581)</x:f>
        <x:v>Public 2026</x:v>
      </x:c>
      <x:c r="F24" s="100" t="str">
        <x:f>IF('Master'!G581="","",'Master'!G581)</x:f>
        <x:v>Alpha access in 2026; public v1 release not yet</x:v>
      </x:c>
      <x:c r="G24" s="100" t="str">
        <x:f>IF('Master'!H581="","",'Master'!H581)</x:f>
        <x:v>2026-01-02 public release</x:v>
      </x:c>
      <x:c r="H24" s="100" t="str">
        <x:f>IF('Master'!I581="","",'Master'!I581)</x:f>
        <x:v>2026 open beta</x:v>
      </x:c>
      <x:c r="I24" s="100" t="str">
        <x:f>IF('Master'!J581="","",'Master'!J581)</x:f>
        <x:v>Early public 2026</x:v>
      </x:c>
      <x:c r="J24" s="100" t="str">
        <x:f>IF('Master'!K581="","",'Master'!K581)</x:f>
        <x:v>Public alpha/beta 2026</x:v>
      </x:c>
      <x:c r="K24" s="100" t="str">
        <x:f>IF('Master'!L581="","",'Master'!L581)</x:f>
        <x:v>No formal public launch</x:v>
      </x:c>
      <x:c r="L24" s="100" t="str">
        <x:f>IF('Master'!M581="","",'Master'!M581)</x:f>
        <x:v>Alpha/public 2026</x:v>
      </x:c>
      <x:c r="M24" s="100" t="str">
        <x:f>IF('Master'!N581="","",'Master'!N581)</x:f>
        <x:v>Open beta 2026</x:v>
      </x:c>
      <x:c r="N24" s="100" t="str">
        <x:f>IF('Master'!O581="","",'Master'!O581)</x:f>
        <x:v>2014-09-03 (first public alpha)</x:v>
      </x:c>
      <x:c r="O24" s="100" t="str">
        <x:f>IF('Master'!P581="","",'Master'!P581)</x:f>
        <x:v>2015</x:v>
      </x:c>
      <x:c r="P24" s="100" t="str">
        <x:f>IF('Master'!Q581="","",'Master'!Q581)</x:f>
      </x:c>
      <x:c r="Q24" s="100" t="str">
        <x:f>IF('Master'!R581="","",'Master'!R581)</x:f>
      </x:c>
      <x:c r="R24" s="100" t="str">
        <x:f>IF('Master'!S581="","",'Master'!S581)</x:f>
      </x:c>
      <x:c r="S24" s="100" t="str">
        <x:f>IF('Master'!T581="","",'Master'!T581)</x:f>
        <x:v>Public beta in 2026</x:v>
      </x:c>
      <x:c r="T24" s="100" t="str">
        <x:f>IF('Master'!U581="","",'Master'!U581)</x:f>
        <x:v>Open beta; exact public-beta launch date not stated</x:v>
      </x:c>
      <x:c r="U24" s="100" t="str">
        <x:f>IF('Master'!V581="","",'Master'!V581)</x:f>
        <x:v>Public Beta 2026</x:v>
      </x:c>
      <x:c r="V24" s="100" t="str">
        <x:f>IF('Master'!W581="","",'Master'!W581)</x:f>
        <x:v>2015</x:v>
      </x:c>
      <x:c r="W24" s="100" t="str">
        <x:f>IF('Master'!X581="","",'Master'!X581)</x:f>
        <x:v>Early public project</x:v>
      </x:c>
      <x:c r="X24" s="100" t="str">
        <x:f>IF('Master'!Y581="","",'Master'!Y581)</x:f>
      </x:c>
      <x:c r="Y24" s="100" t="str">
        <x:f>IF('Master'!Z581="","",'Master'!Z581)</x:f>
      </x:c>
      <x:c r="Z24" s="100" t="str">
        <x:f>IF('Master'!AA581="","",'Master'!AA581)</x:f>
      </x:c>
      <x:c r="AA24" s="104" t="str">
        <x:f>IF('Master'!AB581="","",'Master'!AB581)</x:f>
        <x:v>2001 first public release</x:v>
      </x:c>
      <x:c r="AB24" s="100" t="str">
        <x:f>IF('Master'!AC581="","",'Master'!AC581)</x:f>
        <x:v>Alpha/public before 2026</x:v>
      </x:c>
      <x:c r="AC24" s="100" t="str">
        <x:f>IF('Master'!AD581="","",'Master'!AD581)</x:f>
        <x:v>Alpha/beta 2026</x:v>
      </x:c>
      <x:c r="AD24" s="100" t="str">
        <x:f>IF('Master'!AE581="","",'Master'!AE581)</x:f>
        <x:v>Public beta 2026</x:v>
      </x:c>
      <x:c r="AE24" s="100" t="str">
        <x:f>IF('Master'!AF581="","",'Master'!AF581)</x:f>
        <x:v>Public beta/service 2026</x:v>
      </x:c>
      <x:c r="AF24" s="75" t="str">
        <x:f>IF('Master'!AG581="","",'Master'!AG581)</x:f>
        <x:v>2012 hosted; open-sourced 2015</x:v>
      </x:c>
    </x:row>
    <x:row r="25" ht="36" customHeight="1">
      <x:c r="A25" s="135" t="str">
        <x:v>Current State (α / β / final)</x:v>
      </x:c>
      <x:c r="B25" s="100" t="str">
        <x:f>IF('Master'!C583="","",'Master'!C583)</x:f>
        <x:v>Stable</x:v>
      </x:c>
      <x:c r="C25" s="100" t="str">
        <x:f>IF('Master'!D583="","",'Master'!D583)</x:f>
        <x:v>Beta / active development</x:v>
      </x:c>
      <x:c r="D25" s="100" t="str">
        <x:f>IF('Master'!E583="","",'Master'!E583)</x:f>
        <x:v>Beta / active development</x:v>
      </x:c>
      <x:c r="E25" s="100" t="str">
        <x:f>IF('Master'!F583="","",'Master'!F583)</x:f>
        <x:v>Beta / public</x:v>
      </x:c>
      <x:c r="F25" s="100" t="str">
        <x:f>IF('Master'!G583="","",'Master'!G583)</x:f>
        <x:v>Alpha</x:v>
      </x:c>
      <x:c r="G25" s="100" t="str">
        <x:f>IF('Master'!H583="","",'Master'!H583)</x:f>
        <x:v>Public Beta</x:v>
      </x:c>
      <x:c r="H25" s="100" t="str">
        <x:f>IF('Master'!I583="","",'Master'!I583)</x:f>
        <x:v>Open Beta</x:v>
      </x:c>
      <x:c r="I25" s="100" t="str">
        <x:f>IF('Master'!J583="","",'Master'!J583)</x:f>
        <x:v>Active development; core text/voice/DMs/roles/moderation live</x:v>
      </x:c>
      <x:c r="J25" s="100" t="str">
        <x:f>IF('Master'!K583="","",'Master'!K583)</x:f>
        <x:v>Alpha / Beta</x:v>
      </x:c>
      <x:c r="K25" s="100" t="str">
        <x:f>IF('Master'!L583="","",'Master'!L583)</x:f>
        <x:v>Pre-launch / active development</x:v>
      </x:c>
      <x:c r="L25" s="100" t="str">
        <x:f>IF('Master'!M583="","",'Master'!M583)</x:f>
        <x:v>Alpha</x:v>
      </x:c>
      <x:c r="M25" s="100" t="str">
        <x:f>IF('Master'!N583="","",'Master'!N583)</x:f>
        <x:v>Open Beta</x:v>
      </x:c>
      <x:c r="N25" s="100" t="str">
        <x:f>IF('Master'!O583="","",'Master'!O583)</x:f>
        <x:v>Stable open standard (spec v1.x)</x:v>
      </x:c>
      <x:c r="O25" s="100" t="str">
        <x:f>IF('Master'!P583="","",'Master'!P583)</x:f>
        <x:v>Stable</x:v>
      </x:c>
      <x:c r="P25" s="100" t="str">
        <x:f>IF('Master'!Q583="","",'Master'!Q583)</x:f>
        <x:v>Stable/public</x:v>
      </x:c>
      <x:c r="Q25" s="100" t="str">
        <x:f>IF('Master'!R583="","",'Master'!R583)</x:f>
        <x:v>Stable</x:v>
      </x:c>
      <x:c r="R25" s="100" t="str">
        <x:f>IF('Master'!S583="","",'Master'!S583)</x:f>
        <x:v>Stable/public</x:v>
      </x:c>
      <x:c r="S25" s="100" t="str">
        <x:f>IF('Master'!T583="","",'Master'!T583)</x:f>
        <x:v>Public Beta</x:v>
      </x:c>
      <x:c r="T25" s="100" t="str">
        <x:f>IF('Master'!U583="","",'Master'!U583)</x:f>
        <x:v>Open beta</x:v>
      </x:c>
      <x:c r="U25" s="100" t="str">
        <x:f>IF('Master'!V583="","",'Master'!V583)</x:f>
        <x:v>Stable/public</x:v>
      </x:c>
      <x:c r="V25" s="100" t="str">
        <x:f>IF('Master'!W583="","",'Master'!W583)</x:f>
        <x:v>Stable</x:v>
      </x:c>
      <x:c r="W25" s="100" t="str">
        <x:f>IF('Master'!X583="","",'Master'!X583)</x:f>
        <x:v>Alpha / experimental</x:v>
      </x:c>
      <x:c r="X25" s="100" t="str">
        <x:f>IF('Master'!Y583="","",'Master'!Y583)</x:f>
        <x:v>Beta</x:v>
      </x:c>
      <x:c r="Y25" s="100" t="str">
        <x:f>IF('Master'!Z583="","",'Master'!Z583)</x:f>
        <x:v>Alpha / WIP</x:v>
      </x:c>
      <x:c r="Z25" s="100" t="str">
        <x:f>IF('Master'!AA583="","",'Master'!AA583)</x:f>
        <x:v>Beta / pre-1.0</x:v>
      </x:c>
      <x:c r="AA25" s="104" t="str">
        <x:f>IF('Master'!AB583="","",'Master'!AB583)</x:f>
        <x:v>TS6 Beta; TS3 stable</x:v>
      </x:c>
      <x:c r="AB25" s="100" t="str">
        <x:f>IF('Master'!AC583="","",'Master'!AC583)</x:f>
        <x:v>Alpha</x:v>
      </x:c>
      <x:c r="AC25" s="100" t="str">
        <x:f>IF('Master'!AD583="","",'Master'!AD583)</x:f>
        <x:v>Alpha / Beta</x:v>
      </x:c>
      <x:c r="AD25" s="100" t="str">
        <x:f>IF('Master'!AE583="","",'Master'!AE583)</x:f>
        <x:v>Public Beta</x:v>
      </x:c>
      <x:c r="AE25" s="100" t="str">
        <x:f>IF('Master'!AF583="","",'Master'!AF583)</x:f>
        <x:v>Beta</x:v>
      </x:c>
      <x:c r="AF25" s="75" t="str">
        <x:f>IF('Master'!AG583="","",'Master'!AG583)</x:f>
        <x:v>Stable</x:v>
      </x:c>
    </x:row>
    <x:row r="26" ht="36" customHeight="1">
      <x:c r="A26" s="135" t="str">
        <x:v>Development State</x:v>
      </x:c>
      <x:c r="B26" s="100" t="str">
        <x:f>IF('Master'!C594="","",'Master'!C594)</x:f>
        <x:v>Active development</x:v>
      </x:c>
      <x:c r="C26" s="100" t="str">
        <x:f>IF('Master'!D594="","",'Master'!D594)</x:f>
        <x:v>Active</x:v>
      </x:c>
      <x:c r="D26" s="100" t="str">
        <x:f>IF('Master'!E594="","",'Master'!E594)</x:f>
        <x:v>Active</x:v>
      </x:c>
      <x:c r="E26" s="100" t="str">
        <x:f>IF('Master'!F594="","",'Master'!F594)</x:f>
        <x:v>Active</x:v>
      </x:c>
      <x:c r="F26" s="100" t="str">
        <x:f>IF('Master'!G594="","",'Master'!G594)</x:f>
        <x:v>Active alpha</x:v>
      </x:c>
      <x:c r="G26" s="100" t="str">
        <x:f>IF('Master'!H594="","",'Master'!H594)</x:f>
        <x:v>Active</x:v>
      </x:c>
      <x:c r="H26" s="100" t="str">
        <x:f>IF('Master'!I594="","",'Master'!I594)</x:f>
        <x:v>Active</x:v>
      </x:c>
      <x:c r="I26" s="100" t="str">
        <x:f>IF('Master'!J594="","",'Master'!J594)</x:f>
        <x:v>Active</x:v>
      </x:c>
      <x:c r="J26" s="100" t="str">
        <x:f>IF('Master'!K594="","",'Master'!K594)</x:f>
        <x:v>Active</x:v>
      </x:c>
      <x:c r="K26" s="100" t="str">
        <x:f>IF('Master'!L594="","",'Master'!L594)</x:f>
        <x:v>Actively developed; pre-launch</x:v>
      </x:c>
      <x:c r="L26" s="100" t="str">
        <x:f>IF('Master'!M594="","",'Master'!M594)</x:f>
        <x:v>Active</x:v>
      </x:c>
      <x:c r="M26" s="100" t="str">
        <x:f>IF('Master'!N594="","",'Master'!N594)</x:f>
        <x:v>Active</x:v>
      </x:c>
      <x:c r="N26" s="100" t="str">
        <x:f>IF('Master'!O594="","",'Master'!O594)</x:f>
        <x:v>Active standard + ecosystem</x:v>
      </x:c>
      <x:c r="O26" s="100" t="str">
        <x:f>IF('Master'!P594="","",'Master'!P594)</x:f>
        <x:v>Active</x:v>
      </x:c>
      <x:c r="P26" s="100" t="str">
        <x:f>IF('Master'!Q594="","",'Master'!Q594)</x:f>
        <x:v>Active</x:v>
      </x:c>
      <x:c r="Q26" s="100" t="str">
        <x:f>IF('Master'!R594="","",'Master'!R594)</x:f>
        <x:v>Active</x:v>
      </x:c>
      <x:c r="R26" s="100" t="str">
        <x:f>IF('Master'!S594="","",'Master'!S594)</x:f>
        <x:v>Active</x:v>
      </x:c>
      <x:c r="S26" s="100" t="str">
        <x:f>IF('Master'!T594="","",'Master'!T594)</x:f>
        <x:v>Active</x:v>
      </x:c>
      <x:c r="T26" s="100" t="str">
        <x:f>IF('Master'!U594="","",'Master'!U594)</x:f>
        <x:v>Active</x:v>
      </x:c>
      <x:c r="U26" s="100" t="str">
        <x:f>IF('Master'!V594="","",'Master'!V594)</x:f>
        <x:v>Active</x:v>
      </x:c>
      <x:c r="V26" s="100" t="str">
        <x:f>IF('Master'!W594="","",'Master'!W594)</x:f>
        <x:v>Active</x:v>
      </x:c>
      <x:c r="W26" s="100" t="str">
        <x:f>IF('Master'!X594="","",'Master'!X594)</x:f>
        <x:v>Active</x:v>
      </x:c>
      <x:c r="X26" s="100" t="str">
        <x:f>IF('Master'!Y594="","",'Master'!Y594)</x:f>
        <x:v>Active</x:v>
      </x:c>
      <x:c r="Y26" s="100" t="str">
        <x:f>IF('Master'!Z594="","",'Master'!Z594)</x:f>
        <x:v>Active</x:v>
      </x:c>
      <x:c r="Z26" s="100" t="str">
        <x:f>IF('Master'!AA594="","",'Master'!AA594)</x:f>
        <x:v>Active</x:v>
      </x:c>
      <x:c r="AA26" s="104" t="str">
        <x:f>IF('Master'!AB594="","",'Master'!AB594)</x:f>
        <x:v>Active</x:v>
      </x:c>
      <x:c r="AB26" s="100" t="str">
        <x:f>IF('Master'!AC594="","",'Master'!AC594)</x:f>
        <x:v>Active</x:v>
      </x:c>
      <x:c r="AC26" s="100" t="str">
        <x:f>IF('Master'!AD594="","",'Master'!AD594)</x:f>
        <x:v>Active experimental</x:v>
      </x:c>
      <x:c r="AD26" s="100" t="str">
        <x:f>IF('Master'!AE594="","",'Master'!AE594)</x:f>
        <x:v>Active</x:v>
      </x:c>
      <x:c r="AE26" s="100" t="str">
        <x:f>IF('Master'!AF594="","",'Master'!AF594)</x:f>
        <x:v>Active</x:v>
      </x:c>
      <x:c r="AF26" s="75" t="str">
        <x:f>IF('Master'!AG594="","",'Master'!AG594)</x:f>
        <x:v>Active</x:v>
      </x:c>
    </x:row>
    <x:row r="27" ht="36" customHeight="1">
      <x:c r="A27" s="135" t="str">
        <x:v>Developer Team Size</x:v>
      </x:c>
      <x:c r="B27" s="100" t="str">
        <x:f>IF('Master'!C596="","",'Master'!C596)</x:f>
      </x:c>
      <x:c r="C27" s="100" t="str">
        <x:f>IF('Master'!D596="","",'Master'!D596)</x:f>
        <x:v>Small open-source team</x:v>
      </x:c>
      <x:c r="D27" s="100" t="str">
        <x:f>IF('Master'!E596="","",'Master'!E596)</x:f>
        <x:v>Solo/very small contributor group</x:v>
      </x:c>
      <x:c r="E27" s="100" t="str">
        <x:f>IF('Master'!F596="","",'Master'!F596)</x:f>
        <x:v>Tiny Canadian team</x:v>
      </x:c>
      <x:c r="F27" s="100" t="str">
        <x:f>IF('Master'!G596="","",'Master'!G596)</x:f>
        <x:v>Solo founder-led / very small team</x:v>
      </x:c>
      <x:c r="G27" s="100" t="str">
        <x:f>IF('Master'!H596="","",'Master'!H596)</x:f>
      </x:c>
      <x:c r="H27" s="100" t="str">
        <x:f>IF('Master'!I596="","",'Master'!I596)</x:f>
        <x:v>Founder-led / small team</x:v>
      </x:c>
      <x:c r="I27" s="100" t="str">
        <x:f>IF('Master'!J596="","",'Master'!J596)</x:f>
        <x:v>Small volunteer team</x:v>
      </x:c>
      <x:c r="J27" s="100" t="str">
        <x:f>IF('Master'!K596="","",'Master'!K596)</x:f>
        <x:v>Solo developer</x:v>
      </x:c>
      <x:c r="K27" s="100" t="str">
        <x:f>IF('Master'!L596="","",'Master'!L596)</x:f>
        <x:v>1 primary developer; security-researcher friend provides private review/bug reports (developer report)</x:v>
      </x:c>
      <x:c r="L27" s="100" t="str">
        <x:f>IF('Master'!M596="","",'Master'!M596)</x:f>
        <x:v>Small team</x:v>
      </x:c>
      <x:c r="M27" s="100" t="str">
        <x:f>IF('Master'!N596="","",'Master'!N596)</x:f>
        <x:v>Small team</x:v>
      </x:c>
      <x:c r="N27" s="100" t="str">
        <x:f>IF('Master'!O596="","",'Master'!O596)</x:f>
        <x:v>Matrix.org Foundation + many independent implementers</x:v>
      </x:c>
      <x:c r="O27" s="100" t="str">
        <x:f>IF('Master'!P596="","",'Master'!P596)</x:f>
        <x:v>Mattermost, Inc. + open-source community</x:v>
      </x:c>
      <x:c r="P27" s="100" t="str">
        <x:f>IF('Master'!Q596="","",'Master'!Q596)</x:f>
        <x:v>Company/open-source team</x:v>
      </x:c>
      <x:c r="Q27" s="100" t="str">
        <x:f>IF('Master'!R596="","",'Master'!R596)</x:f>
        <x:v>Community open-source project</x:v>
      </x:c>
      <x:c r="R27" s="100" t="str">
        <x:f>IF('Master'!S596="","",'Master'!S596)</x:f>
        <x:v>Small hobby/community project</x:v>
      </x:c>
      <x:c r="S27" s="100" t="str">
        <x:f>IF('Master'!T596="","",'Master'!T596)</x:f>
        <x:v>Small startup team</x:v>
      </x:c>
      <x:c r="T27" s="100" t="str">
        <x:f>IF('Master'!U596="","",'Master'!U596)</x:f>
        <x:v>2 — built by two brothers (official repository README)</x:v>
      </x:c>
      <x:c r="U27" s="100" t="str">
        <x:f>IF('Master'!V596="","",'Master'!V596)</x:f>
        <x:v>Small company/team</x:v>
      </x:c>
      <x:c r="V27" s="100" t="str">
        <x:f>IF('Master'!W596="","",'Master'!W596)</x:f>
        <x:v>Rocket.Chat company + open-source community</x:v>
      </x:c>
      <x:c r="W27" s="100" t="str">
        <x:f>IF('Master'!X596="","",'Master'!X596)</x:f>
        <x:v>Small open-source team</x:v>
      </x:c>
      <x:c r="X27" s="100" t="str">
        <x:f>IF('Master'!Y596="","",'Master'!Y596)</x:f>
      </x:c>
      <x:c r="Y27" s="100" t="str">
        <x:f>IF('Master'!Z596="","",'Master'!Z596)</x:f>
      </x:c>
      <x:c r="Z27" s="100" t="str">
        <x:f>IF('Master'!AA596="","",'Master'!AA596)</x:f>
      </x:c>
      <x:c r="AA27" s="104" t="str">
        <x:f>IF('Master'!AB596="","",'Master'!AB596)</x:f>
        <x:v>Commercial company</x:v>
      </x:c>
      <x:c r="AB27" s="100" t="str">
        <x:f>IF('Master'!AC596="","",'Master'!AC596)</x:f>
        <x:v>Volunteer/open-source team</x:v>
      </x:c>
      <x:c r="AC27" s="100" t="str">
        <x:f>IF('Master'!AD596="","",'Master'!AD596)</x:f>
        <x:v>Small team / founder-led</x:v>
      </x:c>
      <x:c r="AD27" s="100" t="str">
        <x:f>IF('Master'!AE596="","",'Master'!AE596)</x:f>
        <x:v>Solo developer</x:v>
      </x:c>
      <x:c r="AE27" s="100" t="str">
        <x:f>IF('Master'!AF596="","",'Master'!AF596)</x:f>
        <x:v>Small team/founder-led</x:v>
      </x:c>
      <x:c r="AF27" s="75" t="str">
        <x:f>IF('Master'!AG596="","",'Master'!AG596)</x:f>
        <x:v>Independent company + open-source community</x:v>
      </x:c>
    </x:row>
  </x:sheetData>
  <x:mergeCells>
    <x:mergeCell ref="A1:A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Directory'!A1","Basic Features — expanded day-to-day messaging and identity features"),"Basic Features — expanded day-to-day messaging and identity features")</x:f>
        <x:v>Basic Features — expanded day-to-day messaging and identity features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Discovery &amp; Search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Server Search</x:v>
      </x:c>
      <x:c r="B4" s="100" t="str">
        <x:f>IF('Master'!C49="","",'Master'!C49)</x:f>
        <x:v>Yes — server message search; Server Discovery exists for eligible public communities</x:v>
      </x:c>
      <x:c r="C4" s="100" t="str">
        <x:f>IF('Master'!D49="","",'Master'!D49)</x:f>
      </x:c>
      <x:c r="D4" s="100" t="str">
        <x:f>IF('Master'!E49="","",'Master'!E49)</x:f>
        <x:v>Yes</x:v>
      </x:c>
      <x:c r="E4" s="100" t="str">
        <x:f>IF('Master'!F49="","",'Master'!F49)</x:f>
        <x:v>Yes</x:v>
      </x:c>
      <x:c r="F4" s="100" t="str">
        <x:f>IF('Master'!G49="","",'Master'!G49)</x:f>
        <x:v>Yes</x:v>
      </x:c>
      <x:c r="G4" s="100" t="str">
        <x:f>IF('Master'!H49="","",'Master'!H49)</x:f>
        <x:v>Yes</x:v>
      </x:c>
      <x:c r="H4" s="100" t="str">
        <x:f>IF('Master'!I49="","",'Master'!I49)</x:f>
        <x:v>Yes</x:v>
      </x:c>
      <x:c r="I4" s="100" t="str">
        <x:f>IF('Master'!J49="","",'Master'!J49)</x:f>
      </x:c>
      <x:c r="J4" s="100" t="str">
        <x:f>IF('Master'!K49="","",'Master'!K49)</x:f>
      </x:c>
      <x:c r="K4" s="100" t="str">
        <x:f>IF('Master'!L49="","",'Master'!L49)</x:f>
        <x:v>Yes</x:v>
      </x:c>
      <x:c r="L4" s="100" t="str">
        <x:f>IF('Master'!M49="","",'Master'!M49)</x:f>
      </x:c>
      <x:c r="M4" s="100" t="str">
        <x:f>IF('Master'!N49="","",'Master'!N49)</x:f>
        <x:v>Yes</x:v>
      </x:c>
      <x:c r="N4" s="100" t="str">
        <x:f>IF('Master'!O49="","",'Master'!O49)</x:f>
        <x:v>Client-dependent</x:v>
      </x:c>
      <x:c r="O4" s="100" t="str">
        <x:f>IF('Master'!P49="","",'Master'!P49)</x:f>
        <x:v>Yes</x:v>
      </x:c>
      <x:c r="P4" s="100" t="str">
        <x:f>IF('Master'!Q49="","",'Master'!Q49)</x:f>
        <x:v>Yes</x:v>
      </x:c>
      <x:c r="Q4" s="100" t="str">
        <x:f>IF('Master'!R49="","",'Master'!R49)</x:f>
        <x:v>N/A</x:v>
      </x:c>
      <x:c r="R4" s="100" t="str">
        <x:f>IF('Master'!S49="","",'Master'!S49)</x:f>
        <x:v>Yes</x:v>
      </x:c>
      <x:c r="S4" s="100" t="str">
        <x:f>IF('Master'!T49="","",'Master'!T49)</x:f>
        <x:v>Yes</x:v>
      </x:c>
      <x:c r="T4" s="100" t="str">
        <x:f>IF('Master'!U49="","",'Master'!U49)</x:f>
        <x:v>Yes</x:v>
      </x:c>
      <x:c r="U4" s="100" t="str">
        <x:f>IF('Master'!V49="","",'Master'!V49)</x:f>
        <x:v>Yes</x:v>
      </x:c>
      <x:c r="V4" s="100" t="str">
        <x:f>IF('Master'!W49="","",'Master'!W49)</x:f>
        <x:v>Yes</x:v>
      </x:c>
      <x:c r="W4" s="100" t="str">
        <x:f>IF('Master'!X49="","",'Master'!X49)</x:f>
      </x:c>
      <x:c r="X4" s="100" t="str">
        <x:f>IF('Master'!Y49="","",'Master'!Y49)</x:f>
        <x:v>Yes</x:v>
      </x:c>
      <x:c r="Y4" s="100" t="str">
        <x:f>IF('Master'!Z49="","",'Master'!Z49)</x:f>
        <x:v>Yes/target</x:v>
      </x:c>
      <x:c r="Z4" s="100" t="str">
        <x:f>IF('Master'!AA49="","",'Master'!AA49)</x:f>
        <x:v>Yes</x:v>
      </x:c>
      <x:c r="AA4" s="104" t="str">
        <x:f>IF('Master'!AB49="","",'Master'!AB49)</x:f>
      </x:c>
      <x:c r="AB4" s="100" t="str">
        <x:f>IF('Master'!AC49="","",'Master'!AC49)</x:f>
        <x:v>Yes</x:v>
      </x:c>
      <x:c r="AC4" s="100" t="str">
        <x:f>IF('Master'!AD49="","",'Master'!AD49)</x:f>
      </x:c>
      <x:c r="AD4" s="100" t="str">
        <x:f>IF('Master'!AE49="","",'Master'!AE49)</x:f>
        <x:v>Yes</x:v>
      </x:c>
      <x:c r="AE4" s="100" t="str">
        <x:f>IF('Master'!AF49="","",'Master'!AF49)</x:f>
      </x:c>
      <x:c r="AF4" s="75" t="str">
        <x:f>IF('Master'!AG49="","",'Master'!AG49)</x:f>
        <x:v>Yes</x:v>
      </x:c>
    </x:row>
    <x:row r="5" ht="36" customHeight="1">
      <x:c r="A5" s="135" t="str">
        <x:v>DM Search</x:v>
      </x:c>
      <x:c r="B5" s="100" t="str">
        <x:f>IF('Master'!C50="","",'Master'!C50)</x:f>
        <x:v>Yes</x:v>
      </x:c>
      <x:c r="C5" s="100" t="str">
        <x:f>IF('Master'!D50="","",'Master'!D50)</x:f>
      </x:c>
      <x:c r="D5" s="100" t="str">
        <x:f>IF('Master'!E50="","",'Master'!E50)</x:f>
      </x:c>
      <x:c r="E5" s="100" t="str">
        <x:f>IF('Master'!F50="","",'Master'!F50)</x:f>
        <x:v>Yes</x:v>
      </x:c>
      <x:c r="F5" s="100" t="str">
        <x:f>IF('Master'!G50="","",'Master'!G50)</x:f>
        <x:v>Yes</x:v>
      </x:c>
      <x:c r="G5" s="100" t="str">
        <x:f>IF('Master'!H50="","",'Master'!H50)</x:f>
        <x:v>Yes</x:v>
      </x:c>
      <x:c r="H5" s="100" t="str">
        <x:f>IF('Master'!I50="","",'Master'!I50)</x:f>
      </x:c>
      <x:c r="I5" s="100" t="str">
        <x:f>IF('Master'!J50="","",'Master'!J50)</x:f>
      </x:c>
      <x:c r="J5" s="100" t="str">
        <x:f>IF('Master'!K50="","",'Master'!K50)</x:f>
      </x:c>
      <x:c r="K5" s="100" t="str">
        <x:f>IF('Master'!L50="","",'Master'!L50)</x:f>
        <x:v>Yes</x:v>
      </x:c>
      <x:c r="L5" s="100" t="str">
        <x:f>IF('Master'!M50="","",'Master'!M50)</x:f>
      </x:c>
      <x:c r="M5" s="100" t="str">
        <x:f>IF('Master'!N50="","",'Master'!N50)</x:f>
        <x:v>Yes</x:v>
      </x:c>
      <x:c r="N5" s="100" t="str">
        <x:f>IF('Master'!O50="","",'Master'!O50)</x:f>
        <x:v>Client-dependent</x:v>
      </x:c>
      <x:c r="O5" s="100" t="str">
        <x:f>IF('Master'!P50="","",'Master'!P50)</x:f>
        <x:v>Yes</x:v>
      </x:c>
      <x:c r="P5" s="100" t="str">
        <x:f>IF('Master'!Q50="","",'Master'!Q50)</x:f>
        <x:v>Yes</x:v>
      </x:c>
      <x:c r="Q5" s="100" t="str">
        <x:f>IF('Master'!R50="","",'Master'!R50)</x:f>
        <x:v>N/A</x:v>
      </x:c>
      <x:c r="R5" s="100" t="str">
        <x:f>IF('Master'!S50="","",'Master'!S50)</x:f>
        <x:v>Yes</x:v>
      </x:c>
      <x:c r="S5" s="100" t="str">
        <x:f>IF('Master'!T50="","",'Master'!T50)</x:f>
        <x:v>Yes</x:v>
      </x:c>
      <x:c r="T5" s="100" t="str">
        <x:f>IF('Master'!U50="","",'Master'!U50)</x:f>
        <x:v>Yes</x:v>
      </x:c>
      <x:c r="U5" s="100" t="str">
        <x:f>IF('Master'!V50="","",'Master'!V50)</x:f>
        <x:v>Yes</x:v>
      </x:c>
      <x:c r="V5" s="100" t="str">
        <x:f>IF('Master'!W50="","",'Master'!W50)</x:f>
        <x:v>Yes</x:v>
      </x:c>
      <x:c r="W5" s="100" t="str">
        <x:f>IF('Master'!X50="","",'Master'!X50)</x:f>
      </x:c>
      <x:c r="X5" s="100" t="str">
        <x:f>IF('Master'!Y50="","",'Master'!Y50)</x:f>
        <x:v>Yes</x:v>
      </x:c>
      <x:c r="Y5" s="100" t="str">
        <x:f>IF('Master'!Z50="","",'Master'!Z50)</x:f>
        <x:v>Yes/target</x:v>
      </x:c>
      <x:c r="Z5" s="100" t="str">
        <x:f>IF('Master'!AA50="","",'Master'!AA50)</x:f>
        <x:v>Yes</x:v>
      </x:c>
      <x:c r="AA5" s="104" t="str">
        <x:f>IF('Master'!AB50="","",'Master'!AB50)</x:f>
      </x:c>
      <x:c r="AB5" s="100" t="str">
        <x:f>IF('Master'!AC50="","",'Master'!AC50)</x:f>
      </x:c>
      <x:c r="AC5" s="100" t="str">
        <x:f>IF('Master'!AD50="","",'Master'!AD50)</x:f>
      </x:c>
      <x:c r="AD5" s="100" t="str">
        <x:f>IF('Master'!AE50="","",'Master'!AE50)</x:f>
        <x:v>Yes</x:v>
      </x:c>
      <x:c r="AE5" s="100" t="str">
        <x:f>IF('Master'!AF50="","",'Master'!AF50)</x:f>
      </x:c>
      <x:c r="AF5" s="75" t="str">
        <x:f>IF('Master'!AG50="","",'Master'!AG50)</x:f>
        <x:v>Yes</x:v>
      </x:c>
    </x:row>
    <x:row r="6" ht="36" customHeight="1">
      <x:c r="A6" s="135" t="str">
        <x:v>Channel / Room Search</x:v>
      </x:c>
      <x:c r="B6" s="100" t="str">
        <x:f>IF('Master'!C51="","",'Master'!C51)</x:f>
        <x:v>Yes</x:v>
      </x:c>
      <x:c r="C6" s="100" t="str">
        <x:f>IF('Master'!D51="","",'Master'!D51)</x:f>
      </x:c>
      <x:c r="D6" s="100" t="str">
        <x:f>IF('Master'!E51="","",'Master'!E51)</x:f>
      </x:c>
      <x:c r="E6" s="100" t="str">
        <x:f>IF('Master'!F51="","",'Master'!F51)</x:f>
      </x:c>
      <x:c r="F6" s="100" t="str">
        <x:f>IF('Master'!G51="","",'Master'!G51)</x:f>
      </x:c>
      <x:c r="G6" s="100" t="str">
        <x:f>IF('Master'!H51="","",'Master'!H51)</x:f>
      </x:c>
      <x:c r="H6" s="100" t="str">
        <x:f>IF('Master'!I51="","",'Master'!I51)</x:f>
      </x:c>
      <x:c r="I6" s="100" t="str">
        <x:f>IF('Master'!J51="","",'Master'!J51)</x:f>
      </x:c>
      <x:c r="J6" s="100" t="str">
        <x:f>IF('Master'!K51="","",'Master'!K51)</x:f>
      </x:c>
      <x:c r="K6" s="100" t="str">
        <x:f>IF('Master'!L51="","",'Master'!L51)</x:f>
        <x:v>Yes</x:v>
      </x:c>
      <x:c r="L6" s="100" t="str">
        <x:f>IF('Master'!M51="","",'Master'!M51)</x:f>
      </x:c>
      <x:c r="M6" s="100" t="str">
        <x:f>IF('Master'!N51="","",'Master'!N51)</x:f>
        <x:v>Yes</x:v>
      </x:c>
      <x:c r="N6" s="100" t="str">
        <x:f>IF('Master'!O51="","",'Master'!O51)</x:f>
        <x:v>Client-dependent</x:v>
      </x:c>
      <x:c r="O6" s="100" t="str">
        <x:f>IF('Master'!P51="","",'Master'!P51)</x:f>
        <x:v>Yes</x:v>
      </x:c>
      <x:c r="P6" s="100" t="str">
        <x:f>IF('Master'!Q51="","",'Master'!Q51)</x:f>
      </x:c>
      <x:c r="Q6" s="100" t="str">
        <x:f>IF('Master'!R51="","",'Master'!R51)</x:f>
      </x:c>
      <x:c r="R6" s="100" t="str">
        <x:f>IF('Master'!S51="","",'Master'!S51)</x:f>
      </x:c>
      <x:c r="S6" s="100" t="str">
        <x:f>IF('Master'!T51="","",'Master'!T51)</x:f>
      </x:c>
      <x:c r="T6" s="100" t="str">
        <x:f>IF('Master'!U51="","",'Master'!U51)</x:f>
        <x:v>Yes</x:v>
      </x:c>
      <x:c r="U6" s="100" t="str">
        <x:f>IF('Master'!V51="","",'Master'!V51)</x:f>
        <x:v>Yes</x:v>
      </x:c>
      <x:c r="V6" s="100" t="str">
        <x:f>IF('Master'!W51="","",'Master'!W51)</x:f>
        <x:v>Yes</x:v>
      </x:c>
      <x:c r="W6" s="100" t="str">
        <x:f>IF('Master'!X51="","",'Master'!X51)</x:f>
      </x:c>
      <x:c r="X6" s="100" t="str">
        <x:f>IF('Master'!Y51="","",'Master'!Y51)</x:f>
      </x:c>
      <x:c r="Y6" s="100" t="str">
        <x:f>IF('Master'!Z51="","",'Master'!Z51)</x:f>
      </x:c>
      <x:c r="Z6" s="100" t="str">
        <x:f>IF('Master'!AA51="","",'Master'!AA51)</x:f>
      </x:c>
      <x:c r="AA6" s="104" t="str">
        <x:f>IF('Master'!AB51="","",'Master'!AB51)</x:f>
      </x:c>
      <x:c r="AB6" s="100" t="str">
        <x:f>IF('Master'!AC51="","",'Master'!AC51)</x:f>
      </x:c>
      <x:c r="AC6" s="100" t="str">
        <x:f>IF('Master'!AD51="","",'Master'!AD51)</x:f>
      </x:c>
      <x:c r="AD6" s="100" t="str">
        <x:f>IF('Master'!AE51="","",'Master'!AE51)</x:f>
      </x:c>
      <x:c r="AE6" s="100" t="str">
        <x:f>IF('Master'!AF51="","",'Master'!AF51)</x:f>
      </x:c>
      <x:c r="AF6" s="75" t="str">
        <x:f>IF('Master'!AG51="","",'Master'!AG51)</x:f>
        <x:v>Yes</x:v>
      </x:c>
    </x:row>
    <x:row r="7" ht="22" customHeight="1">
      <x:c r="A7" s="138" t="str">
        <x:v>Messages &amp; Rich Content</x:v>
      </x:c>
      <x:c r="B7" s="138" t="str">
        <x:f>IF(""="","","")</x:f>
      </x:c>
      <x:c r="C7" s="138" t="str">
        <x:f>IF(""="","","")</x:f>
      </x:c>
      <x:c r="D7" s="138" t="str">
        <x:f>IF(""="","","")</x:f>
      </x:c>
      <x:c r="E7" s="138" t="str">
        <x:f>IF(""="","","")</x:f>
      </x:c>
      <x:c r="F7" s="138" t="str">
        <x:f>IF(""="","","")</x:f>
      </x:c>
      <x:c r="G7" s="138" t="str">
        <x:f>IF(""="","","")</x:f>
      </x:c>
      <x:c r="H7" s="138" t="str">
        <x:f>IF(""="","","")</x:f>
      </x:c>
      <x:c r="I7" s="138" t="str">
        <x:f>IF(""="","","")</x:f>
      </x:c>
      <x:c r="J7" s="138" t="str">
        <x:f>IF(""="","","")</x:f>
      </x:c>
      <x:c r="K7" s="138" t="str">
        <x:f>IF(""="","","")</x:f>
      </x:c>
      <x:c r="L7" s="138" t="str">
        <x:f>IF(""="","","")</x:f>
      </x:c>
      <x:c r="M7" s="138" t="str">
        <x:f>IF(""="","","")</x:f>
      </x:c>
      <x:c r="N7" s="138" t="str">
        <x:f>IF(""="","","")</x:f>
      </x:c>
      <x:c r="O7" s="138" t="str">
        <x:f>IF(""="","","")</x:f>
      </x:c>
      <x:c r="P7" s="138" t="str">
        <x:f>IF(""="","","")</x:f>
      </x:c>
      <x:c r="Q7" s="138" t="str">
        <x:f>IF(""="","","")</x:f>
      </x:c>
      <x:c r="R7" s="138" t="str">
        <x:f>IF(""="","","")</x:f>
      </x:c>
      <x:c r="S7" s="138" t="str">
        <x:f>IF(""="","","")</x:f>
      </x:c>
      <x:c r="T7" s="138" t="str">
        <x:f>IF(""="","","")</x:f>
      </x:c>
      <x:c r="U7" s="138" t="str">
        <x:f>IF(""="","","")</x:f>
      </x:c>
      <x:c r="V7" s="138" t="str">
        <x:f>IF(""="","","")</x:f>
      </x:c>
      <x:c r="W7" s="138" t="str">
        <x:f>IF(""="","","")</x:f>
      </x:c>
      <x:c r="X7" s="138" t="str">
        <x:f>IF(""="","","")</x:f>
      </x:c>
      <x:c r="Y7" s="138" t="str">
        <x:f>IF(""="","","")</x:f>
      </x:c>
      <x:c r="Z7" s="138" t="str">
        <x:f>IF(""="","","")</x:f>
      </x:c>
      <x:c r="AA7" s="138" t="str">
        <x:f>IF(""="","","")</x:f>
      </x:c>
      <x:c r="AB7" s="138" t="str">
        <x:f>IF(""="","","")</x:f>
      </x:c>
      <x:c r="AC7" s="138" t="str">
        <x:f>IF(""="","","")</x:f>
      </x:c>
      <x:c r="AD7" s="138" t="str">
        <x:f>IF(""="","","")</x:f>
      </x:c>
      <x:c r="AE7" s="138" t="str">
        <x:f>IF(""="","","")</x:f>
      </x:c>
      <x:c r="AF7" s="139" t="str">
        <x:f>IF(""="","","")</x:f>
      </x:c>
    </x:row>
    <x:row r="8" ht="36" customHeight="1">
      <x:c r="A8" s="135" t="str">
        <x:v>Message Reactions</x:v>
      </x:c>
      <x:c r="B8" s="100" t="str">
        <x:f>IF('Master'!C52="","",'Master'!C52)</x:f>
        <x:v>Yes</x:v>
      </x:c>
      <x:c r="C8" s="100" t="str">
        <x:f>IF('Master'!D52="","",'Master'!D52)</x:f>
        <x:v>Yes</x:v>
      </x:c>
      <x:c r="D8" s="100" t="str">
        <x:f>IF('Master'!E52="","",'Master'!E52)</x:f>
      </x:c>
      <x:c r="E8" s="100" t="str">
        <x:f>IF('Master'!F52="","",'Master'!F52)</x:f>
        <x:v>Yes</x:v>
      </x:c>
      <x:c r="F8" s="100" t="str">
        <x:f>IF('Master'!G52="","",'Master'!G52)</x:f>
        <x:v>Yes</x:v>
      </x:c>
      <x:c r="G8" s="100" t="str">
        <x:f>IF('Master'!H52="","",'Master'!H52)</x:f>
      </x:c>
      <x:c r="H8" s="100" t="str">
        <x:f>IF('Master'!I52="","",'Master'!I52)</x:f>
        <x:v>Yes</x:v>
      </x:c>
      <x:c r="I8" s="100" t="str">
        <x:f>IF('Master'!J52="","",'Master'!J52)</x:f>
      </x:c>
      <x:c r="J8" s="100" t="str">
        <x:f>IF('Master'!K52="","",'Master'!K52)</x:f>
      </x:c>
      <x:c r="K8" s="100" t="str">
        <x:f>IF('Master'!L52="","",'Master'!L52)</x:f>
        <x:v>Yes</x:v>
      </x:c>
      <x:c r="L8" s="100" t="str">
        <x:f>IF('Master'!M52="","",'Master'!M52)</x:f>
      </x:c>
      <x:c r="M8" s="100" t="str">
        <x:f>IF('Master'!N52="","",'Master'!N52)</x:f>
        <x:v>Yes</x:v>
      </x:c>
      <x:c r="N8" s="100" t="str">
        <x:f>IF('Master'!O52="","",'Master'!O52)</x:f>
        <x:v>Yes</x:v>
      </x:c>
      <x:c r="O8" s="100" t="str">
        <x:f>IF('Master'!P52="","",'Master'!P52)</x:f>
      </x:c>
      <x:c r="P8" s="100" t="str">
        <x:f>IF('Master'!Q52="","",'Master'!Q52)</x:f>
        <x:v>Yes</x:v>
      </x:c>
      <x:c r="Q8" s="100" t="str">
        <x:f>IF('Master'!R52="","",'Master'!R52)</x:f>
      </x:c>
      <x:c r="R8" s="100" t="str">
        <x:f>IF('Master'!S52="","",'Master'!S52)</x:f>
        <x:v>Yes</x:v>
      </x:c>
      <x:c r="S8" s="100" t="str">
        <x:f>IF('Master'!T52="","",'Master'!T52)</x:f>
      </x:c>
      <x:c r="T8" s="100" t="str">
        <x:f>IF('Master'!U52="","",'Master'!U52)</x:f>
        <x:v>Yes</x:v>
      </x:c>
      <x:c r="U8" s="100" t="str">
        <x:f>IF('Master'!V52="","",'Master'!V52)</x:f>
        <x:v>Yes</x:v>
      </x:c>
      <x:c r="V8" s="100" t="str">
        <x:f>IF('Master'!W52="","",'Master'!W52)</x:f>
        <x:v>Yes</x:v>
      </x:c>
      <x:c r="W8" s="100" t="str">
        <x:f>IF('Master'!X52="","",'Master'!X52)</x:f>
      </x:c>
      <x:c r="X8" s="100" t="str">
        <x:f>IF('Master'!Y52="","",'Master'!Y52)</x:f>
        <x:v>Yes</x:v>
      </x:c>
      <x:c r="Y8" s="100" t="str">
        <x:f>IF('Master'!Z52="","",'Master'!Z52)</x:f>
      </x:c>
      <x:c r="Z8" s="100" t="str">
        <x:f>IF('Master'!AA52="","",'Master'!AA52)</x:f>
        <x:v>Yes</x:v>
      </x:c>
      <x:c r="AA8" s="104" t="str">
        <x:f>IF('Master'!AB52="","",'Master'!AB52)</x:f>
      </x:c>
      <x:c r="AB8" s="100" t="str">
        <x:f>IF('Master'!AC52="","",'Master'!AC52)</x:f>
      </x:c>
      <x:c r="AC8" s="100" t="str">
        <x:f>IF('Master'!AD52="","",'Master'!AD52)</x:f>
      </x:c>
      <x:c r="AD8" s="100" t="str">
        <x:f>IF('Master'!AE52="","",'Master'!AE52)</x:f>
        <x:v>Yes</x:v>
      </x:c>
      <x:c r="AE8" s="100" t="str">
        <x:f>IF('Master'!AF52="","",'Master'!AF52)</x:f>
      </x:c>
      <x:c r="AF8" s="75" t="str">
        <x:f>IF('Master'!AG52="","",'Master'!AG52)</x:f>
        <x:v>Yes</x:v>
      </x:c>
    </x:row>
    <x:row r="9" ht="36" customHeight="1">
      <x:c r="A9" s="135" t="str">
        <x:v>Inline Replies</x:v>
      </x:c>
      <x:c r="B9" s="100" t="str">
        <x:f>IF('Master'!C53="","",'Master'!C53)</x:f>
        <x:v>Yes</x:v>
      </x:c>
      <x:c r="C9" s="100" t="str">
        <x:f>IF('Master'!D53="","",'Master'!D53)</x:f>
        <x:v>Yes</x:v>
      </x:c>
      <x:c r="D9" s="100" t="str">
        <x:f>IF('Master'!E53="","",'Master'!E53)</x:f>
        <x:v>Yes</x:v>
      </x:c>
      <x:c r="E9" s="100" t="str">
        <x:f>IF('Master'!F53="","",'Master'!F53)</x:f>
        <x:v>Yes</x:v>
      </x:c>
      <x:c r="F9" s="100" t="str">
        <x:f>IF('Master'!G53="","",'Master'!G53)</x:f>
        <x:v>Yes</x:v>
      </x:c>
      <x:c r="G9" s="100" t="str">
        <x:f>IF('Master'!H53="","",'Master'!H53)</x:f>
        <x:v>Yes</x:v>
      </x:c>
      <x:c r="H9" s="100" t="str">
        <x:f>IF('Master'!I53="","",'Master'!I53)</x:f>
        <x:v>Yes</x:v>
      </x:c>
      <x:c r="I9" s="100" t="str">
        <x:f>IF('Master'!J53="","",'Master'!J53)</x:f>
      </x:c>
      <x:c r="J9" s="100" t="str">
        <x:f>IF('Master'!K53="","",'Master'!K53)</x:f>
        <x:v>Yes</x:v>
      </x:c>
      <x:c r="K9" s="100" t="str">
        <x:f>IF('Master'!L53="","",'Master'!L53)</x:f>
        <x:v>Yes</x:v>
      </x:c>
      <x:c r="L9" s="100" t="str">
        <x:f>IF('Master'!M53="","",'Master'!M53)</x:f>
      </x:c>
      <x:c r="M9" s="100" t="str">
        <x:f>IF('Master'!N53="","",'Master'!N53)</x:f>
        <x:v>Yes</x:v>
      </x:c>
      <x:c r="N9" s="100" t="str">
        <x:f>IF('Master'!O53="","",'Master'!O53)</x:f>
        <x:v>Yes via reply relation</x:v>
      </x:c>
      <x:c r="O9" s="100" t="str">
        <x:f>IF('Master'!P53="","",'Master'!P53)</x:f>
        <x:v>Yes</x:v>
      </x:c>
      <x:c r="P9" s="100" t="str">
        <x:f>IF('Master'!Q53="","",'Master'!Q53)</x:f>
        <x:v>Yes</x:v>
      </x:c>
      <x:c r="Q9" s="100" t="str">
        <x:f>IF('Master'!R53="","",'Master'!R53)</x:f>
        <x:v>Limited text replies N/A</x:v>
      </x:c>
      <x:c r="R9" s="100" t="str">
        <x:f>IF('Master'!S53="","",'Master'!S53)</x:f>
        <x:v>Yes</x:v>
      </x:c>
      <x:c r="S9" s="100" t="str">
        <x:f>IF('Master'!T53="","",'Master'!T53)</x:f>
        <x:v>Yes</x:v>
      </x:c>
      <x:c r="T9" s="100" t="str">
        <x:f>IF('Master'!U53="","",'Master'!U53)</x:f>
        <x:v>Yes</x:v>
      </x:c>
      <x:c r="U9" s="100" t="str">
        <x:f>IF('Master'!V53="","",'Master'!V53)</x:f>
        <x:v>Yes</x:v>
      </x:c>
      <x:c r="V9" s="100" t="str">
        <x:f>IF('Master'!W53="","",'Master'!W53)</x:f>
        <x:v>Yes</x:v>
      </x:c>
      <x:c r="W9" s="100" t="str">
        <x:f>IF('Master'!X53="","",'Master'!X53)</x:f>
      </x:c>
      <x:c r="X9" s="100" t="str">
        <x:f>IF('Master'!Y53="","",'Master'!Y53)</x:f>
        <x:v>Yes</x:v>
      </x:c>
      <x:c r="Y9" s="100" t="str">
        <x:f>IF('Master'!Z53="","",'Master'!Z53)</x:f>
        <x:v>Yes</x:v>
      </x:c>
      <x:c r="Z9" s="100" t="str">
        <x:f>IF('Master'!AA53="","",'Master'!AA53)</x:f>
        <x:v>Yes</x:v>
      </x:c>
      <x:c r="AA9" s="104" t="str">
        <x:f>IF('Master'!AB53="","",'Master'!AB53)</x:f>
      </x:c>
      <x:c r="AB9" s="100" t="str">
        <x:f>IF('Master'!AC53="","",'Master'!AC53)</x:f>
        <x:v>Yes</x:v>
      </x:c>
      <x:c r="AC9" s="100" t="str">
        <x:f>IF('Master'!AD53="","",'Master'!AD53)</x:f>
      </x:c>
      <x:c r="AD9" s="100" t="str">
        <x:f>IF('Master'!AE53="","",'Master'!AE53)</x:f>
        <x:v>Yes</x:v>
      </x:c>
      <x:c r="AE9" s="100" t="str">
        <x:f>IF('Master'!AF53="","",'Master'!AF53)</x:f>
      </x:c>
      <x:c r="AF9" s="75" t="str">
        <x:f>IF('Master'!AG53="","",'Master'!AG53)</x:f>
        <x:v>Yes</x:v>
      </x:c>
    </x:row>
    <x:row r="10" ht="36" customHeight="1">
      <x:c r="A10" s="135" t="str">
        <x:v>Message Editing</x:v>
      </x:c>
      <x:c r="B10" s="100" t="str">
        <x:f>IF('Master'!C54="","",'Master'!C54)</x:f>
        <x:v>Yes</x:v>
      </x:c>
      <x:c r="C10" s="100" t="str">
        <x:f>IF('Master'!D54="","",'Master'!D54)</x:f>
      </x:c>
      <x:c r="D10" s="100" t="str">
        <x:f>IF('Master'!E54="","",'Master'!E54)</x:f>
      </x:c>
      <x:c r="E10" s="100" t="str">
        <x:f>IF('Master'!F54="","",'Master'!F54)</x:f>
      </x:c>
      <x:c r="F10" s="100" t="str">
        <x:f>IF('Master'!G54="","",'Master'!G54)</x:f>
      </x:c>
      <x:c r="G10" s="100" t="str">
        <x:f>IF('Master'!H54="","",'Master'!H54)</x:f>
      </x:c>
      <x:c r="H10" s="100" t="str">
        <x:f>IF('Master'!I54="","",'Master'!I54)</x:f>
      </x:c>
      <x:c r="I10" s="100" t="str">
        <x:f>IF('Master'!J54="","",'Master'!J54)</x:f>
      </x:c>
      <x:c r="J10" s="100" t="str">
        <x:f>IF('Master'!K54="","",'Master'!K54)</x:f>
      </x:c>
      <x:c r="K10" s="100" t="str">
        <x:f>IF('Master'!L54="","",'Master'!L54)</x:f>
        <x:v>Yes</x:v>
      </x:c>
      <x:c r="L10" s="100" t="str">
        <x:f>IF('Master'!M54="","",'Master'!M54)</x:f>
      </x:c>
      <x:c r="M10" s="100" t="str">
        <x:f>IF('Master'!N54="","",'Master'!N54)</x:f>
      </x:c>
      <x:c r="N10" s="100" t="str">
        <x:f>IF('Master'!O54="","",'Master'!O54)</x:f>
        <x:v>Yes</x:v>
      </x:c>
      <x:c r="O10" s="100" t="str">
        <x:f>IF('Master'!P54="","",'Master'!P54)</x:f>
      </x:c>
      <x:c r="P10" s="100" t="str">
        <x:f>IF('Master'!Q54="","",'Master'!Q54)</x:f>
      </x:c>
      <x:c r="Q10" s="100" t="str">
        <x:f>IF('Master'!R54="","",'Master'!R54)</x:f>
      </x:c>
      <x:c r="R10" s="100" t="str">
        <x:f>IF('Master'!S54="","",'Master'!S54)</x:f>
        <x:v>Yes</x:v>
      </x:c>
      <x:c r="S10" s="100" t="str">
        <x:f>IF('Master'!T54="","",'Master'!T54)</x:f>
      </x:c>
      <x:c r="T10" s="100" t="str">
        <x:f>IF('Master'!U54="","",'Master'!U54)</x:f>
      </x:c>
      <x:c r="U10" s="100" t="str">
        <x:f>IF('Master'!V54="","",'Master'!V54)</x:f>
        <x:v>Yes</x:v>
      </x:c>
      <x:c r="V10" s="100" t="str">
        <x:f>IF('Master'!W54="","",'Master'!W54)</x:f>
      </x:c>
      <x:c r="W10" s="100" t="str">
        <x:f>IF('Master'!X54="","",'Master'!X54)</x:f>
      </x:c>
      <x:c r="X10" s="100" t="str">
        <x:f>IF('Master'!Y54="","",'Master'!Y54)</x:f>
        <x:v>Yes</x:v>
      </x:c>
      <x:c r="Y10" s="100" t="str">
        <x:f>IF('Master'!Z54="","",'Master'!Z54)</x:f>
      </x:c>
      <x:c r="Z10" s="100" t="str">
        <x:f>IF('Master'!AA54="","",'Master'!AA54)</x:f>
        <x:v>Yes</x:v>
      </x:c>
      <x:c r="AA10" s="104" t="str">
        <x:f>IF('Master'!AB54="","",'Master'!AB54)</x:f>
      </x:c>
      <x:c r="AB10" s="100" t="str">
        <x:f>IF('Master'!AC54="","",'Master'!AC54)</x:f>
      </x:c>
      <x:c r="AC10" s="100" t="str">
        <x:f>IF('Master'!AD54="","",'Master'!AD54)</x:f>
      </x:c>
      <x:c r="AD10" s="100" t="str">
        <x:f>IF('Master'!AE54="","",'Master'!AE54)</x:f>
      </x:c>
      <x:c r="AE10" s="100" t="str">
        <x:f>IF('Master'!AF54="","",'Master'!AF54)</x:f>
      </x:c>
      <x:c r="AF10" s="75" t="str">
        <x:f>IF('Master'!AG54="","",'Master'!AG54)</x:f>
        <x:v>Yes</x:v>
      </x:c>
    </x:row>
    <x:row r="11" ht="36" customHeight="1">
      <x:c r="A11" s="135" t="str">
        <x:v>Message Deletion</x:v>
      </x:c>
      <x:c r="B11" s="100" t="str">
        <x:f>IF('Master'!C55="","",'Master'!C55)</x:f>
        <x:v>Yes</x:v>
      </x:c>
      <x:c r="C11" s="100" t="str">
        <x:f>IF('Master'!D55="","",'Master'!D55)</x:f>
      </x:c>
      <x:c r="D11" s="100" t="str">
        <x:f>IF('Master'!E55="","",'Master'!E55)</x:f>
      </x:c>
      <x:c r="E11" s="100" t="str">
        <x:f>IF('Master'!F55="","",'Master'!F55)</x:f>
      </x:c>
      <x:c r="F11" s="100" t="str">
        <x:f>IF('Master'!G55="","",'Master'!G55)</x:f>
      </x:c>
      <x:c r="G11" s="100" t="str">
        <x:f>IF('Master'!H55="","",'Master'!H55)</x:f>
      </x:c>
      <x:c r="H11" s="100" t="str">
        <x:f>IF('Master'!I55="","",'Master'!I55)</x:f>
      </x:c>
      <x:c r="I11" s="100" t="str">
        <x:f>IF('Master'!J55="","",'Master'!J55)</x:f>
      </x:c>
      <x:c r="J11" s="100" t="str">
        <x:f>IF('Master'!K55="","",'Master'!K55)</x:f>
      </x:c>
      <x:c r="K11" s="100" t="str">
        <x:f>IF('Master'!L55="","",'Master'!L55)</x:f>
        <x:v>Yes</x:v>
      </x:c>
      <x:c r="L11" s="100" t="str">
        <x:f>IF('Master'!M55="","",'Master'!M55)</x:f>
      </x:c>
      <x:c r="M11" s="100" t="str">
        <x:f>IF('Master'!N55="","",'Master'!N55)</x:f>
      </x:c>
      <x:c r="N11" s="100" t="str">
        <x:f>IF('Master'!O55="","",'Master'!O55)</x:f>
        <x:v>Yes</x:v>
      </x:c>
      <x:c r="O11" s="100" t="str">
        <x:f>IF('Master'!P55="","",'Master'!P55)</x:f>
      </x:c>
      <x:c r="P11" s="100" t="str">
        <x:f>IF('Master'!Q55="","",'Master'!Q55)</x:f>
      </x:c>
      <x:c r="Q11" s="100" t="str">
        <x:f>IF('Master'!R55="","",'Master'!R55)</x:f>
      </x:c>
      <x:c r="R11" s="100" t="str">
        <x:f>IF('Master'!S55="","",'Master'!S55)</x:f>
      </x:c>
      <x:c r="S11" s="100" t="str">
        <x:f>IF('Master'!T55="","",'Master'!T55)</x:f>
      </x:c>
      <x:c r="T11" s="100" t="str">
        <x:f>IF('Master'!U55="","",'Master'!U55)</x:f>
      </x:c>
      <x:c r="U11" s="100" t="str">
        <x:f>IF('Master'!V55="","",'Master'!V55)</x:f>
        <x:v>Yes</x:v>
      </x:c>
      <x:c r="V11" s="100" t="str">
        <x:f>IF('Master'!W55="","",'Master'!W55)</x:f>
      </x:c>
      <x:c r="W11" s="100" t="str">
        <x:f>IF('Master'!X55="","",'Master'!X55)</x:f>
      </x:c>
      <x:c r="X11" s="100" t="str">
        <x:f>IF('Master'!Y55="","",'Master'!Y55)</x:f>
        <x:v>Yes</x:v>
      </x:c>
      <x:c r="Y11" s="100" t="str">
        <x:f>IF('Master'!Z55="","",'Master'!Z55)</x:f>
      </x:c>
      <x:c r="Z11" s="100" t="str">
        <x:f>IF('Master'!AA55="","",'Master'!AA55)</x:f>
        <x:v>Yes</x:v>
      </x:c>
      <x:c r="AA11" s="104" t="str">
        <x:f>IF('Master'!AB55="","",'Master'!AB55)</x:f>
      </x:c>
      <x:c r="AB11" s="100" t="str">
        <x:f>IF('Master'!AC55="","",'Master'!AC55)</x:f>
      </x:c>
      <x:c r="AC11" s="100" t="str">
        <x:f>IF('Master'!AD55="","",'Master'!AD55)</x:f>
      </x:c>
      <x:c r="AD11" s="100" t="str">
        <x:f>IF('Master'!AE55="","",'Master'!AE55)</x:f>
      </x:c>
      <x:c r="AE11" s="100" t="str">
        <x:f>IF('Master'!AF55="","",'Master'!AF55)</x:f>
      </x:c>
      <x:c r="AF11" s="75" t="str">
        <x:f>IF('Master'!AG55="","",'Master'!AG55)</x:f>
        <x:v>Yes</x:v>
      </x:c>
    </x:row>
    <x:row r="12" ht="36" customHeight="1">
      <x:c r="A12" s="135" t="str">
        <x:v>Spoiler Formatting</x:v>
      </x:c>
      <x:c r="B12" s="100" t="str">
        <x:f>IF('Master'!C56="","",'Master'!C56)</x:f>
        <x:v>Yes</x:v>
      </x:c>
      <x:c r="C12" s="100" t="str">
        <x:f>IF('Master'!D56="","",'Master'!D56)</x:f>
      </x:c>
      <x:c r="D12" s="100" t="str">
        <x:f>IF('Master'!E56="","",'Master'!E56)</x:f>
      </x:c>
      <x:c r="E12" s="100" t="str">
        <x:f>IF('Master'!F56="","",'Master'!F56)</x:f>
      </x:c>
      <x:c r="F12" s="100" t="str">
        <x:f>IF('Master'!G56="","",'Master'!G56)</x:f>
      </x:c>
      <x:c r="G12" s="100" t="str">
        <x:f>IF('Master'!H56="","",'Master'!H56)</x:f>
      </x:c>
      <x:c r="H12" s="100" t="str">
        <x:f>IF('Master'!I56="","",'Master'!I56)</x:f>
      </x:c>
      <x:c r="I12" s="100" t="str">
        <x:f>IF('Master'!J56="","",'Master'!J56)</x:f>
      </x:c>
      <x:c r="J12" s="100" t="str">
        <x:f>IF('Master'!K56="","",'Master'!K56)</x:f>
      </x:c>
      <x:c r="K12" s="100" t="str">
        <x:f>IF('Master'!L56="","",'Master'!L56)</x:f>
        <x:v>Yes</x:v>
      </x:c>
      <x:c r="L12" s="100" t="str">
        <x:f>IF('Master'!M56="","",'Master'!M56)</x:f>
      </x:c>
      <x:c r="M12" s="100" t="str">
        <x:f>IF('Master'!N56="","",'Master'!N56)</x:f>
      </x:c>
      <x:c r="N12" s="100" t="str">
        <x:f>IF('Master'!O56="","",'Master'!O56)</x:f>
        <x:v>Client-dependent</x:v>
      </x:c>
      <x:c r="O12" s="100" t="str">
        <x:f>IF('Master'!P56="","",'Master'!P56)</x:f>
      </x:c>
      <x:c r="P12" s="100" t="str">
        <x:f>IF('Master'!Q56="","",'Master'!Q56)</x:f>
      </x:c>
      <x:c r="Q12" s="100" t="str">
        <x:f>IF('Master'!R56="","",'Master'!R56)</x:f>
      </x:c>
      <x:c r="R12" s="100" t="str">
        <x:f>IF('Master'!S56="","",'Master'!S56)</x:f>
      </x:c>
      <x:c r="S12" s="100" t="str">
        <x:f>IF('Master'!T56="","",'Master'!T56)</x:f>
      </x:c>
      <x:c r="T12" s="100" t="str">
        <x:f>IF('Master'!U56="","",'Master'!U56)</x:f>
      </x:c>
      <x:c r="U12" s="100" t="str">
        <x:f>IF('Master'!V56="","",'Master'!V56)</x:f>
        <x:v>Yes</x:v>
      </x:c>
      <x:c r="V12" s="100" t="str">
        <x:f>IF('Master'!W56="","",'Master'!W56)</x:f>
      </x:c>
      <x:c r="W12" s="100" t="str">
        <x:f>IF('Master'!X56="","",'Master'!X56)</x:f>
      </x:c>
      <x:c r="X12" s="100" t="str">
        <x:f>IF('Master'!Y56="","",'Master'!Y56)</x:f>
      </x:c>
      <x:c r="Y12" s="100" t="str">
        <x:f>IF('Master'!Z56="","",'Master'!Z56)</x:f>
      </x:c>
      <x:c r="Z12" s="100" t="str">
        <x:f>IF('Master'!AA56="","",'Master'!AA56)</x:f>
      </x:c>
      <x:c r="AA12" s="104" t="str">
        <x:f>IF('Master'!AB56="","",'Master'!AB56)</x:f>
      </x:c>
      <x:c r="AB12" s="100" t="str">
        <x:f>IF('Master'!AC56="","",'Master'!AC56)</x:f>
      </x:c>
      <x:c r="AC12" s="100" t="str">
        <x:f>IF('Master'!AD56="","",'Master'!AD56)</x:f>
      </x:c>
      <x:c r="AD12" s="100" t="str">
        <x:f>IF('Master'!AE56="","",'Master'!AE56)</x:f>
      </x:c>
      <x:c r="AE12" s="100" t="str">
        <x:f>IF('Master'!AF56="","",'Master'!AF56)</x:f>
      </x:c>
      <x:c r="AF12" s="75" t="str">
        <x:f>IF('Master'!AG56="","",'Master'!AG56)</x:f>
        <x:v>Yes</x:v>
      </x:c>
    </x:row>
    <x:row r="13" ht="36" customHeight="1">
      <x:c r="A13" s="135" t="str">
        <x:v>Code Blocks</x:v>
      </x:c>
      <x:c r="B13" s="100" t="str">
        <x:f>IF('Master'!C57="","",'Master'!C57)</x:f>
        <x:v>Yes</x:v>
      </x:c>
      <x:c r="C13" s="100" t="str">
        <x:f>IF('Master'!D57="","",'Master'!D57)</x:f>
      </x:c>
      <x:c r="D13" s="100" t="str">
        <x:f>IF('Master'!E57="","",'Master'!E57)</x:f>
      </x:c>
      <x:c r="E13" s="100" t="str">
        <x:f>IF('Master'!F57="","",'Master'!F57)</x:f>
      </x:c>
      <x:c r="F13" s="100" t="str">
        <x:f>IF('Master'!G57="","",'Master'!G57)</x:f>
      </x:c>
      <x:c r="G13" s="100" t="str">
        <x:f>IF('Master'!H57="","",'Master'!H57)</x:f>
      </x:c>
      <x:c r="H13" s="100" t="str">
        <x:f>IF('Master'!I57="","",'Master'!I57)</x:f>
      </x:c>
      <x:c r="I13" s="100" t="str">
        <x:f>IF('Master'!J57="","",'Master'!J57)</x:f>
      </x:c>
      <x:c r="J13" s="100" t="str">
        <x:f>IF('Master'!K57="","",'Master'!K57)</x:f>
      </x:c>
      <x:c r="K13" s="100" t="str">
        <x:f>IF('Master'!L57="","",'Master'!L57)</x:f>
        <x:v>Yes</x:v>
      </x:c>
      <x:c r="L13" s="100" t="str">
        <x:f>IF('Master'!M57="","",'Master'!M57)</x:f>
      </x:c>
      <x:c r="M13" s="100" t="str">
        <x:f>IF('Master'!N57="","",'Master'!N57)</x:f>
      </x:c>
      <x:c r="N13" s="100" t="str">
        <x:f>IF('Master'!O57="","",'Master'!O57)</x:f>
        <x:v>Client-dependent</x:v>
      </x:c>
      <x:c r="O13" s="100" t="str">
        <x:f>IF('Master'!P57="","",'Master'!P57)</x:f>
      </x:c>
      <x:c r="P13" s="100" t="str">
        <x:f>IF('Master'!Q57="","",'Master'!Q57)</x:f>
      </x:c>
      <x:c r="Q13" s="100" t="str">
        <x:f>IF('Master'!R57="","",'Master'!R57)</x:f>
      </x:c>
      <x:c r="R13" s="100" t="str">
        <x:f>IF('Master'!S57="","",'Master'!S57)</x:f>
      </x:c>
      <x:c r="S13" s="100" t="str">
        <x:f>IF('Master'!T57="","",'Master'!T57)</x:f>
      </x:c>
      <x:c r="T13" s="100" t="str">
        <x:f>IF('Master'!U57="","",'Master'!U57)</x:f>
      </x:c>
      <x:c r="U13" s="100" t="str">
        <x:f>IF('Master'!V57="","",'Master'!V57)</x:f>
        <x:v>Yes</x:v>
      </x:c>
      <x:c r="V13" s="100" t="str">
        <x:f>IF('Master'!W57="","",'Master'!W57)</x:f>
      </x:c>
      <x:c r="W13" s="100" t="str">
        <x:f>IF('Master'!X57="","",'Master'!X57)</x:f>
      </x:c>
      <x:c r="X13" s="100" t="str">
        <x:f>IF('Master'!Y57="","",'Master'!Y57)</x:f>
      </x:c>
      <x:c r="Y13" s="100" t="str">
        <x:f>IF('Master'!Z57="","",'Master'!Z57)</x:f>
      </x:c>
      <x:c r="Z13" s="100" t="str">
        <x:f>IF('Master'!AA57="","",'Master'!AA57)</x:f>
      </x:c>
      <x:c r="AA13" s="104" t="str">
        <x:f>IF('Master'!AB57="","",'Master'!AB57)</x:f>
      </x:c>
      <x:c r="AB13" s="100" t="str">
        <x:f>IF('Master'!AC57="","",'Master'!AC57)</x:f>
      </x:c>
      <x:c r="AC13" s="100" t="str">
        <x:f>IF('Master'!AD57="","",'Master'!AD57)</x:f>
      </x:c>
      <x:c r="AD13" s="100" t="str">
        <x:f>IF('Master'!AE57="","",'Master'!AE57)</x:f>
      </x:c>
      <x:c r="AE13" s="100" t="str">
        <x:f>IF('Master'!AF57="","",'Master'!AF57)</x:f>
      </x:c>
      <x:c r="AF13" s="75" t="str">
        <x:f>IF('Master'!AG57="","",'Master'!AG57)</x:f>
        <x:v>Yes</x:v>
      </x:c>
    </x:row>
    <x:row r="14" ht="36" customHeight="1">
      <x:c r="A14" s="135" t="str">
        <x:v>Voice Messages</x:v>
      </x:c>
      <x:c r="B14" s="100" t="str">
        <x:f>IF('Master'!C58="","",'Master'!C58)</x:f>
        <x:v>Yes</x:v>
      </x:c>
      <x:c r="C14" s="100" t="str">
        <x:f>IF('Master'!D58="","",'Master'!D58)</x:f>
      </x:c>
      <x:c r="D14" s="100" t="str">
        <x:f>IF('Master'!E58="","",'Master'!E58)</x:f>
      </x:c>
      <x:c r="E14" s="100" t="str">
        <x:f>IF('Master'!F58="","",'Master'!F58)</x:f>
      </x:c>
      <x:c r="F14" s="100" t="str">
        <x:f>IF('Master'!G58="","",'Master'!G58)</x:f>
      </x:c>
      <x:c r="G14" s="100" t="str">
        <x:f>IF('Master'!H58="","",'Master'!H58)</x:f>
      </x:c>
      <x:c r="H14" s="100" t="str">
        <x:f>IF('Master'!I58="","",'Master'!I58)</x:f>
      </x:c>
      <x:c r="I14" s="100" t="str">
        <x:f>IF('Master'!J58="","",'Master'!J58)</x:f>
      </x:c>
      <x:c r="J14" s="100" t="str">
        <x:f>IF('Master'!K58="","",'Master'!K58)</x:f>
      </x:c>
      <x:c r="K14" s="100" t="str">
        <x:f>IF('Master'!L58="","",'Master'!L58)</x:f>
        <x:v>Yes — voice messages (developer report)</x:v>
      </x:c>
      <x:c r="L14" s="100" t="str">
        <x:f>IF('Master'!M58="","",'Master'!M58)</x:f>
      </x:c>
      <x:c r="M14" s="100" t="str">
        <x:f>IF('Master'!N58="","",'Master'!N58)</x:f>
        <x:v>Yes — voice notes + transcription</x:v>
      </x:c>
      <x:c r="N14" s="100" t="str">
        <x:f>IF('Master'!O58="","",'Master'!O58)</x:f>
        <x:v>Client-dependent</x:v>
      </x:c>
      <x:c r="O14" s="100" t="str">
        <x:f>IF('Master'!P58="","",'Master'!P58)</x:f>
      </x:c>
      <x:c r="P14" s="100" t="str">
        <x:f>IF('Master'!Q58="","",'Master'!Q58)</x:f>
      </x:c>
      <x:c r="Q14" s="100" t="str">
        <x:f>IF('Master'!R58="","",'Master'!R58)</x:f>
      </x:c>
      <x:c r="R14" s="100" t="str">
        <x:f>IF('Master'!S58="","",'Master'!S58)</x:f>
      </x:c>
      <x:c r="S14" s="100" t="str">
        <x:f>IF('Master'!T58="","",'Master'!T58)</x:f>
        <x:v>Yes</x:v>
      </x:c>
      <x:c r="T14" s="100" t="str">
        <x:f>IF('Master'!U58="","",'Master'!U58)</x:f>
      </x:c>
      <x:c r="U14" s="100" t="str">
        <x:f>IF('Master'!V58="","",'Master'!V58)</x:f>
        <x:v>Yes</x:v>
      </x:c>
      <x:c r="V14" s="100" t="str">
        <x:f>IF('Master'!W58="","",'Master'!W58)</x:f>
      </x:c>
      <x:c r="W14" s="100" t="str">
        <x:f>IF('Master'!X58="","",'Master'!X58)</x:f>
      </x:c>
      <x:c r="X14" s="100" t="str">
        <x:f>IF('Master'!Y58="","",'Master'!Y58)</x:f>
      </x:c>
      <x:c r="Y14" s="100" t="str">
        <x:f>IF('Master'!Z58="","",'Master'!Z58)</x:f>
      </x:c>
      <x:c r="Z14" s="100" t="str">
        <x:f>IF('Master'!AA58="","",'Master'!AA58)</x:f>
      </x:c>
      <x:c r="AA14" s="104" t="str">
        <x:f>IF('Master'!AB58="","",'Master'!AB58)</x:f>
      </x:c>
      <x:c r="AB14" s="100" t="str">
        <x:f>IF('Master'!AC58="","",'Master'!AC58)</x:f>
      </x:c>
      <x:c r="AC14" s="100" t="str">
        <x:f>IF('Master'!AD58="","",'Master'!AD58)</x:f>
      </x:c>
      <x:c r="AD14" s="100" t="str">
        <x:f>IF('Master'!AE58="","",'Master'!AE58)</x:f>
      </x:c>
      <x:c r="AE14" s="100" t="str">
        <x:f>IF('Master'!AF58="","",'Master'!AF58)</x:f>
      </x:c>
      <x:c r="AF14" s="75" t="str">
        <x:f>IF('Master'!AG58="","",'Master'!AG58)</x:f>
      </x:c>
    </x:row>
    <x:row r="15" ht="22" customHeight="1">
      <x:c r="A15" s="138" t="str">
        <x:v>Emoji, Stickers &amp; Pins</x:v>
      </x:c>
      <x:c r="B15" s="138" t="str">
        <x:f>IF(""="","","")</x:f>
      </x:c>
      <x:c r="C15" s="138" t="str">
        <x:f>IF(""="","","")</x:f>
      </x:c>
      <x:c r="D15" s="138" t="str">
        <x:f>IF(""="","","")</x:f>
      </x:c>
      <x:c r="E15" s="138" t="str">
        <x:f>IF(""="","","")</x:f>
      </x:c>
      <x:c r="F15" s="138" t="str">
        <x:f>IF(""="","","")</x:f>
      </x:c>
      <x:c r="G15" s="138" t="str">
        <x:f>IF(""="","","")</x:f>
      </x:c>
      <x:c r="H15" s="138" t="str">
        <x:f>IF(""="","","")</x:f>
      </x:c>
      <x:c r="I15" s="138" t="str">
        <x:f>IF(""="","","")</x:f>
      </x:c>
      <x:c r="J15" s="138" t="str">
        <x:f>IF(""="","","")</x:f>
      </x:c>
      <x:c r="K15" s="138" t="str">
        <x:f>IF(""="","","")</x:f>
      </x:c>
      <x:c r="L15" s="138" t="str">
        <x:f>IF(""="","","")</x:f>
      </x:c>
      <x:c r="M15" s="138" t="str">
        <x:f>IF(""="","","")</x:f>
      </x:c>
      <x:c r="N15" s="138" t="str">
        <x:f>IF(""="","","")</x:f>
      </x:c>
      <x:c r="O15" s="138" t="str">
        <x:f>IF(""="","","")</x:f>
      </x:c>
      <x:c r="P15" s="138" t="str">
        <x:f>IF(""="","","")</x:f>
      </x:c>
      <x:c r="Q15" s="138" t="str">
        <x:f>IF(""="","","")</x:f>
      </x:c>
      <x:c r="R15" s="138" t="str">
        <x:f>IF(""="","","")</x:f>
      </x:c>
      <x:c r="S15" s="138" t="str">
        <x:f>IF(""="","","")</x:f>
      </x:c>
      <x:c r="T15" s="138" t="str">
        <x:f>IF(""="","","")</x:f>
      </x:c>
      <x:c r="U15" s="138" t="str">
        <x:f>IF(""="","","")</x:f>
      </x:c>
      <x:c r="V15" s="138" t="str">
        <x:f>IF(""="","","")</x:f>
      </x:c>
      <x:c r="W15" s="138" t="str">
        <x:f>IF(""="","","")</x:f>
      </x:c>
      <x:c r="X15" s="138" t="str">
        <x:f>IF(""="","","")</x:f>
      </x:c>
      <x:c r="Y15" s="138" t="str">
        <x:f>IF(""="","","")</x:f>
      </x:c>
      <x:c r="Z15" s="138" t="str">
        <x:f>IF(""="","","")</x:f>
      </x:c>
      <x:c r="AA15" s="138" t="str">
        <x:f>IF(""="","","")</x:f>
      </x:c>
      <x:c r="AB15" s="138" t="str">
        <x:f>IF(""="","","")</x:f>
      </x:c>
      <x:c r="AC15" s="138" t="str">
        <x:f>IF(""="","","")</x:f>
      </x:c>
      <x:c r="AD15" s="138" t="str">
        <x:f>IF(""="","","")</x:f>
      </x:c>
      <x:c r="AE15" s="138" t="str">
        <x:f>IF(""="","","")</x:f>
      </x:c>
      <x:c r="AF15" s="139" t="str">
        <x:f>IF(""="","","")</x:f>
      </x:c>
    </x:row>
    <x:row r="16" ht="36" customHeight="1">
      <x:c r="A16" s="135" t="str">
        <x:v>Integrated Emoji</x:v>
      </x:c>
      <x:c r="B16" s="100" t="str">
        <x:f>IF('Master'!C59="","",'Master'!C59)</x:f>
        <x:v>Yes</x:v>
      </x:c>
      <x:c r="C16" s="100" t="str">
        <x:f>IF('Master'!D59="","",'Master'!D59)</x:f>
      </x:c>
      <x:c r="D16" s="100" t="str">
        <x:f>IF('Master'!E59="","",'Master'!E59)</x:f>
        <x:v>Yes</x:v>
      </x:c>
      <x:c r="E16" s="100" t="str">
        <x:f>IF('Master'!F59="","",'Master'!F59)</x:f>
        <x:v>Yes</x:v>
      </x:c>
      <x:c r="F16" s="100" t="str">
        <x:f>IF('Master'!G59="","",'Master'!G59)</x:f>
        <x:v>Yes</x:v>
      </x:c>
      <x:c r="G16" s="100" t="str">
        <x:f>IF('Master'!H59="","",'Master'!H59)</x:f>
        <x:v>Yes</x:v>
      </x:c>
      <x:c r="H16" s="100" t="str">
        <x:f>IF('Master'!I59="","",'Master'!I59)</x:f>
        <x:v>Yes</x:v>
      </x:c>
      <x:c r="I16" s="100" t="str">
        <x:f>IF('Master'!J59="","",'Master'!J59)</x:f>
        <x:v>Yes</x:v>
      </x:c>
      <x:c r="J16" s="100" t="str">
        <x:f>IF('Master'!K59="","",'Master'!K59)</x:f>
      </x:c>
      <x:c r="K16" s="100" t="str">
        <x:f>IF('Master'!L59="","",'Master'!L59)</x:f>
        <x:v>Yes</x:v>
      </x:c>
      <x:c r="L16" s="100" t="str">
        <x:f>IF('Master'!M59="","",'Master'!M59)</x:f>
        <x:v>Yes</x:v>
      </x:c>
      <x:c r="M16" s="100" t="str">
        <x:f>IF('Master'!N59="","",'Master'!N59)</x:f>
        <x:v>Yes</x:v>
      </x:c>
      <x:c r="N16" s="100" t="str">
        <x:f>IF('Master'!O59="","",'Master'!O59)</x:f>
        <x:v>Client-dependent</x:v>
      </x:c>
      <x:c r="O16" s="100" t="str">
        <x:f>IF('Master'!P59="","",'Master'!P59)</x:f>
        <x:v>Yes</x:v>
      </x:c>
      <x:c r="P16" s="100" t="str">
        <x:f>IF('Master'!Q59="","",'Master'!Q59)</x:f>
        <x:v>Yes</x:v>
      </x:c>
      <x:c r="Q16" s="100" t="str">
        <x:f>IF('Master'!R59="","",'Master'!R59)</x:f>
        <x:v>N/A</x:v>
      </x:c>
      <x:c r="R16" s="100" t="str">
        <x:f>IF('Master'!S59="","",'Master'!S59)</x:f>
        <x:v>Yes</x:v>
      </x:c>
      <x:c r="S16" s="100" t="str">
        <x:f>IF('Master'!T59="","",'Master'!T59)</x:f>
        <x:v>Yes</x:v>
      </x:c>
      <x:c r="T16" s="100" t="str">
        <x:f>IF('Master'!U59="","",'Master'!U59)</x:f>
        <x:v>Yes</x:v>
      </x:c>
      <x:c r="U16" s="100" t="str">
        <x:f>IF('Master'!V59="","",'Master'!V59)</x:f>
        <x:v>Yes</x:v>
      </x:c>
      <x:c r="V16" s="100" t="str">
        <x:f>IF('Master'!W59="","",'Master'!W59)</x:f>
        <x:v>Yes</x:v>
      </x:c>
      <x:c r="W16" s="100" t="str">
        <x:f>IF('Master'!X59="","",'Master'!X59)</x:f>
      </x:c>
      <x:c r="X16" s="100" t="str">
        <x:f>IF('Master'!Y59="","",'Master'!Y59)</x:f>
        <x:v>Yes</x:v>
      </x:c>
      <x:c r="Y16" s="100" t="str">
        <x:f>IF('Master'!Z59="","",'Master'!Z59)</x:f>
        <x:v>Yes</x:v>
      </x:c>
      <x:c r="Z16" s="100" t="str">
        <x:f>IF('Master'!AA59="","",'Master'!AA59)</x:f>
        <x:v>Yes</x:v>
      </x:c>
      <x:c r="AA16" s="104" t="str">
        <x:f>IF('Master'!AB59="","",'Master'!AB59)</x:f>
        <x:v>Yes</x:v>
      </x:c>
      <x:c r="AB16" s="100" t="str">
        <x:f>IF('Master'!AC59="","",'Master'!AC59)</x:f>
        <x:v>Yes</x:v>
      </x:c>
      <x:c r="AC16" s="100" t="str">
        <x:f>IF('Master'!AD59="","",'Master'!AD59)</x:f>
      </x:c>
      <x:c r="AD16" s="100" t="str">
        <x:f>IF('Master'!AE59="","",'Master'!AE59)</x:f>
        <x:v>Yes</x:v>
      </x:c>
      <x:c r="AE16" s="100" t="str">
        <x:f>IF('Master'!AF59="","",'Master'!AF59)</x:f>
      </x:c>
      <x:c r="AF16" s="75" t="str">
        <x:f>IF('Master'!AG59="","",'Master'!AG59)</x:f>
        <x:v>Yes</x:v>
      </x:c>
    </x:row>
    <x:row r="17" ht="36" customHeight="1">
      <x:c r="A17" s="135" t="str">
        <x:v>Custom Emoji</x:v>
      </x:c>
      <x:c r="B17" s="100" t="str">
        <x:f>IF('Master'!C60="","",'Master'!C60)</x:f>
        <x:v>Yes</x:v>
      </x:c>
      <x:c r="C17" s="100" t="str">
        <x:f>IF('Master'!D60="","",'Master'!D60)</x:f>
      </x:c>
      <x:c r="D17" s="100" t="str">
        <x:f>IF('Master'!E60="","",'Master'!E60)</x:f>
      </x:c>
      <x:c r="E17" s="100" t="str">
        <x:f>IF('Master'!F60="","",'Master'!F60)</x:f>
        <x:v>Yes</x:v>
      </x:c>
      <x:c r="F17" s="100" t="str">
        <x:f>IF('Master'!G60="","",'Master'!G60)</x:f>
        <x:v>Yes</x:v>
      </x:c>
      <x:c r="G17" s="100" t="str">
        <x:f>IF('Master'!H60="","",'Master'!H60)</x:f>
        <x:v>Yes</x:v>
      </x:c>
      <x:c r="H17" s="100" t="str">
        <x:f>IF('Master'!I60="","",'Master'!I60)</x:f>
        <x:v>Yes</x:v>
      </x:c>
      <x:c r="I17" s="100" t="str">
        <x:f>IF('Master'!J60="","",'Master'!J60)</x:f>
        <x:v>Yes</x:v>
      </x:c>
      <x:c r="J17" s="100" t="str">
        <x:f>IF('Master'!K60="","",'Master'!K60)</x:f>
      </x:c>
      <x:c r="K17" s="100" t="str">
        <x:f>IF('Master'!L60="","",'Master'!L60)</x:f>
        <x:v>Yes</x:v>
      </x:c>
      <x:c r="L17" s="100" t="str">
        <x:f>IF('Master'!M60="","",'Master'!M60)</x:f>
      </x:c>
      <x:c r="M17" s="100" t="str">
        <x:f>IF('Master'!N60="","",'Master'!N60)</x:f>
        <x:v>Yes</x:v>
      </x:c>
      <x:c r="N17" s="100" t="str">
        <x:f>IF('Master'!O60="","",'Master'!O60)</x:f>
        <x:v>Client-dependent</x:v>
      </x:c>
      <x:c r="O17" s="100" t="str">
        <x:f>IF('Master'!P60="","",'Master'!P60)</x:f>
        <x:v>Custom emoji yes</x:v>
      </x:c>
      <x:c r="P17" s="100" t="str">
        <x:f>IF('Master'!Q60="","",'Master'!Q60)</x:f>
        <x:v>Yes</x:v>
      </x:c>
      <x:c r="Q17" s="100" t="str">
        <x:f>IF('Master'!R60="","",'Master'!R60)</x:f>
        <x:v>N/A</x:v>
      </x:c>
      <x:c r="R17" s="100" t="str">
        <x:f>IF('Master'!S60="","",'Master'!S60)</x:f>
        <x:v>Yes</x:v>
      </x:c>
      <x:c r="S17" s="100" t="str">
        <x:f>IF('Master'!T60="","",'Master'!T60)</x:f>
        <x:v>Yes</x:v>
      </x:c>
      <x:c r="T17" s="100" t="str">
        <x:f>IF('Master'!U60="","",'Master'!U60)</x:f>
        <x:v>Yes</x:v>
      </x:c>
      <x:c r="U17" s="100" t="str">
        <x:f>IF('Master'!V60="","",'Master'!V60)</x:f>
        <x:v>Yes</x:v>
      </x:c>
      <x:c r="V17" s="100" t="str">
        <x:f>IF('Master'!W60="","",'Master'!W60)</x:f>
        <x:v>Yes</x:v>
      </x:c>
      <x:c r="W17" s="100" t="str">
        <x:f>IF('Master'!X60="","",'Master'!X60)</x:f>
      </x:c>
      <x:c r="X17" s="100" t="str">
        <x:f>IF('Master'!Y60="","",'Master'!Y60)</x:f>
        <x:v>Yes</x:v>
      </x:c>
      <x:c r="Y17" s="100" t="str">
        <x:f>IF('Master'!Z60="","",'Master'!Z60)</x:f>
        <x:v>Yes</x:v>
      </x:c>
      <x:c r="Z17" s="100" t="str">
        <x:f>IF('Master'!AA60="","",'Master'!AA60)</x:f>
        <x:v>Yes</x:v>
      </x:c>
      <x:c r="AA17" s="104" t="str">
        <x:f>IF('Master'!AB60="","",'Master'!AB60)</x:f>
      </x:c>
      <x:c r="AB17" s="100" t="str">
        <x:f>IF('Master'!AC60="","",'Master'!AC60)</x:f>
        <x:v>Yes</x:v>
      </x:c>
      <x:c r="AC17" s="100" t="str">
        <x:f>IF('Master'!AD60="","",'Master'!AD60)</x:f>
      </x:c>
      <x:c r="AD17" s="100" t="str">
        <x:f>IF('Master'!AE60="","",'Master'!AE60)</x:f>
      </x:c>
      <x:c r="AE17" s="100" t="str">
        <x:f>IF('Master'!AF60="","",'Master'!AF60)</x:f>
      </x:c>
      <x:c r="AF17" s="75" t="str">
        <x:f>IF('Master'!AG60="","",'Master'!AG60)</x:f>
        <x:v>Yes</x:v>
      </x:c>
    </x:row>
    <x:row r="18" ht="36" customHeight="1">
      <x:c r="A18" s="135" t="str">
        <x:v>Custom Stickers</x:v>
      </x:c>
      <x:c r="B18" s="100" t="str">
        <x:f>IF('Master'!C61="","",'Master'!C61)</x:f>
        <x:v>Yes</x:v>
      </x:c>
      <x:c r="C18" s="100" t="str">
        <x:f>IF('Master'!D61="","",'Master'!D61)</x:f>
      </x:c>
      <x:c r="D18" s="100" t="str">
        <x:f>IF('Master'!E61="","",'Master'!E61)</x:f>
      </x:c>
      <x:c r="E18" s="100" t="str">
        <x:f>IF('Master'!F61="","",'Master'!F61)</x:f>
      </x:c>
      <x:c r="F18" s="100" t="str">
        <x:f>IF('Master'!G61="","",'Master'!G61)</x:f>
      </x:c>
      <x:c r="G18" s="100" t="str">
        <x:f>IF('Master'!H61="","",'Master'!H61)</x:f>
      </x:c>
      <x:c r="H18" s="100" t="str">
        <x:f>IF('Master'!I61="","",'Master'!I61)</x:f>
      </x:c>
      <x:c r="I18" s="100" t="str">
        <x:f>IF('Master'!J61="","",'Master'!J61)</x:f>
      </x:c>
      <x:c r="J18" s="100" t="str">
        <x:f>IF('Master'!K61="","",'Master'!K61)</x:f>
      </x:c>
      <x:c r="K18" s="100" t="str">
        <x:f>IF('Master'!L61="","",'Master'!L61)</x:f>
        <x:v>Yes</x:v>
      </x:c>
      <x:c r="L18" s="100" t="str">
        <x:f>IF('Master'!M61="","",'Master'!M61)</x:f>
      </x:c>
      <x:c r="M18" s="100" t="str">
        <x:f>IF('Master'!N61="","",'Master'!N61)</x:f>
        <x:v>Yes</x:v>
      </x:c>
      <x:c r="N18" s="100" t="str">
        <x:f>IF('Master'!O61="","",'Master'!O61)</x:f>
        <x:v>Client-dependent</x:v>
      </x:c>
      <x:c r="O18" s="100" t="str">
        <x:f>IF('Master'!P61="","",'Master'!P61)</x:f>
      </x:c>
      <x:c r="P18" s="100" t="str">
        <x:f>IF('Master'!Q61="","",'Master'!Q61)</x:f>
      </x:c>
      <x:c r="Q18" s="100" t="str">
        <x:f>IF('Master'!R61="","",'Master'!R61)</x:f>
      </x:c>
      <x:c r="R18" s="100" t="str">
        <x:f>IF('Master'!S61="","",'Master'!S61)</x:f>
      </x:c>
      <x:c r="S18" s="100" t="str">
        <x:f>IF('Master'!T61="","",'Master'!T61)</x:f>
        <x:v>Yes</x:v>
      </x:c>
      <x:c r="T18" s="100" t="str">
        <x:f>IF('Master'!U61="","",'Master'!U61)</x:f>
      </x:c>
      <x:c r="U18" s="100" t="str">
        <x:f>IF('Master'!V61="","",'Master'!V61)</x:f>
        <x:v>Yes</x:v>
      </x:c>
      <x:c r="V18" s="100" t="str">
        <x:f>IF('Master'!W61="","",'Master'!W61)</x:f>
      </x:c>
      <x:c r="W18" s="100" t="str">
        <x:f>IF('Master'!X61="","",'Master'!X61)</x:f>
      </x:c>
      <x:c r="X18" s="100" t="str">
        <x:f>IF('Master'!Y61="","",'Master'!Y61)</x:f>
      </x:c>
      <x:c r="Y18" s="100" t="str">
        <x:f>IF('Master'!Z61="","",'Master'!Z61)</x:f>
      </x:c>
      <x:c r="Z18" s="100" t="str">
        <x:f>IF('Master'!AA61="","",'Master'!AA61)</x:f>
      </x:c>
      <x:c r="AA18" s="104" t="str">
        <x:f>IF('Master'!AB61="","",'Master'!AB61)</x:f>
      </x:c>
      <x:c r="AB18" s="100" t="str">
        <x:f>IF('Master'!AC61="","",'Master'!AC61)</x:f>
      </x:c>
      <x:c r="AC18" s="100" t="str">
        <x:f>IF('Master'!AD61="","",'Master'!AD61)</x:f>
      </x:c>
      <x:c r="AD18" s="100" t="str">
        <x:f>IF('Master'!AE61="","",'Master'!AE61)</x:f>
      </x:c>
      <x:c r="AE18" s="100" t="str">
        <x:f>IF('Master'!AF61="","",'Master'!AF61)</x:f>
      </x:c>
      <x:c r="AF18" s="75" t="str">
        <x:f>IF('Master'!AG61="","",'Master'!AG61)</x:f>
      </x:c>
    </x:row>
    <x:row r="19" ht="36" customHeight="1">
      <x:c r="A19" s="135" t="str">
        <x:v>Pinned Server Messages</x:v>
      </x:c>
      <x:c r="B19" s="100" t="str">
        <x:f>IF('Master'!C62="","",'Master'!C62)</x:f>
        <x:v>Yes</x:v>
      </x:c>
      <x:c r="C19" s="100" t="str">
        <x:f>IF('Master'!D62="","",'Master'!D62)</x:f>
      </x:c>
      <x:c r="D19" s="100" t="str">
        <x:f>IF('Master'!E62="","",'Master'!E62)</x:f>
      </x:c>
      <x:c r="E19" s="100" t="str">
        <x:f>IF('Master'!F62="","",'Master'!F62)</x:f>
        <x:v>Yes</x:v>
      </x:c>
      <x:c r="F19" s="100" t="str">
        <x:f>IF('Master'!G62="","",'Master'!G62)</x:f>
      </x:c>
      <x:c r="G19" s="100" t="str">
        <x:f>IF('Master'!H62="","",'Master'!H62)</x:f>
        <x:v>Yes</x:v>
      </x:c>
      <x:c r="H19" s="100" t="str">
        <x:f>IF('Master'!I62="","",'Master'!I62)</x:f>
        <x:v>Yes</x:v>
      </x:c>
      <x:c r="I19" s="100" t="str">
        <x:f>IF('Master'!J62="","",'Master'!J62)</x:f>
      </x:c>
      <x:c r="J19" s="100" t="str">
        <x:f>IF('Master'!K62="","",'Master'!K62)</x:f>
      </x:c>
      <x:c r="K19" s="100" t="str">
        <x:f>IF('Master'!L62="","",'Master'!L62)</x:f>
        <x:v>Yes</x:v>
      </x:c>
      <x:c r="L19" s="100" t="str">
        <x:f>IF('Master'!M62="","",'Master'!M62)</x:f>
      </x:c>
      <x:c r="M19" s="100" t="str">
        <x:f>IF('Master'!N62="","",'Master'!N62)</x:f>
        <x:v>Yes</x:v>
      </x:c>
      <x:c r="N19" s="100" t="str">
        <x:f>IF('Master'!O62="","",'Master'!O62)</x:f>
        <x:v>Client-dependent</x:v>
      </x:c>
      <x:c r="O19" s="100" t="str">
        <x:f>IF('Master'!P62="","",'Master'!P62)</x:f>
        <x:v>Yes</x:v>
      </x:c>
      <x:c r="P19" s="100" t="str">
        <x:f>IF('Master'!Q62="","",'Master'!Q62)</x:f>
        <x:v>Yes</x:v>
      </x:c>
      <x:c r="Q19" s="100" t="str">
        <x:f>IF('Master'!R62="","",'Master'!R62)</x:f>
        <x:v>N/A</x:v>
      </x:c>
      <x:c r="R19" s="100" t="str">
        <x:f>IF('Master'!S62="","",'Master'!S62)</x:f>
        <x:v>Yes</x:v>
      </x:c>
      <x:c r="S19" s="100" t="str">
        <x:f>IF('Master'!T62="","",'Master'!T62)</x:f>
        <x:v>Yes</x:v>
      </x:c>
      <x:c r="T19" s="100" t="str">
        <x:f>IF('Master'!U62="","",'Master'!U62)</x:f>
        <x:v>Yes</x:v>
      </x:c>
      <x:c r="U19" s="100" t="str">
        <x:f>IF('Master'!V62="","",'Master'!V62)</x:f>
        <x:v>Yes</x:v>
      </x:c>
      <x:c r="V19" s="100" t="str">
        <x:f>IF('Master'!W62="","",'Master'!W62)</x:f>
        <x:v>Yes</x:v>
      </x:c>
      <x:c r="W19" s="100" t="str">
        <x:f>IF('Master'!X62="","",'Master'!X62)</x:f>
      </x:c>
      <x:c r="X19" s="100" t="str">
        <x:f>IF('Master'!Y62="","",'Master'!Y62)</x:f>
        <x:v>Yes</x:v>
      </x:c>
      <x:c r="Y19" s="100" t="str">
        <x:f>IF('Master'!Z62="","",'Master'!Z62)</x:f>
        <x:v>Yes</x:v>
      </x:c>
      <x:c r="Z19" s="100" t="str">
        <x:f>IF('Master'!AA62="","",'Master'!AA62)</x:f>
        <x:v>Yes</x:v>
      </x:c>
      <x:c r="AA19" s="104" t="str">
        <x:f>IF('Master'!AB62="","",'Master'!AB62)</x:f>
      </x:c>
      <x:c r="AB19" s="100" t="str">
        <x:f>IF('Master'!AC62="","",'Master'!AC62)</x:f>
        <x:v>Yes</x:v>
      </x:c>
      <x:c r="AC19" s="100" t="str">
        <x:f>IF('Master'!AD62="","",'Master'!AD62)</x:f>
      </x:c>
      <x:c r="AD19" s="100" t="str">
        <x:f>IF('Master'!AE62="","",'Master'!AE62)</x:f>
      </x:c>
      <x:c r="AE19" s="100" t="str">
        <x:f>IF('Master'!AF62="","",'Master'!AF62)</x:f>
      </x:c>
      <x:c r="AF19" s="75" t="str">
        <x:f>IF('Master'!AG62="","",'Master'!AG62)</x:f>
        <x:v>Yes</x:v>
      </x:c>
    </x:row>
    <x:row r="20" ht="36" customHeight="1">
      <x:c r="A20" s="135" t="str">
        <x:v>Pinned DM Messages</x:v>
      </x:c>
      <x:c r="B20" s="100" t="str">
        <x:f>IF('Master'!C63="","",'Master'!C63)</x:f>
        <x:v>Yes</x:v>
      </x:c>
      <x:c r="C20" s="100" t="str">
        <x:f>IF('Master'!D63="","",'Master'!D63)</x:f>
      </x:c>
      <x:c r="D20" s="100" t="str">
        <x:f>IF('Master'!E63="","",'Master'!E63)</x:f>
      </x:c>
      <x:c r="E20" s="100" t="str">
        <x:f>IF('Master'!F63="","",'Master'!F63)</x:f>
        <x:v>Yes</x:v>
      </x:c>
      <x:c r="F20" s="100" t="str">
        <x:f>IF('Master'!G63="","",'Master'!G63)</x:f>
      </x:c>
      <x:c r="G20" s="100" t="str">
        <x:f>IF('Master'!H63="","",'Master'!H63)</x:f>
        <x:v>Yes</x:v>
      </x:c>
      <x:c r="H20" s="100" t="str">
        <x:f>IF('Master'!I63="","",'Master'!I63)</x:f>
        <x:v>Yes</x:v>
      </x:c>
      <x:c r="I20" s="100" t="str">
        <x:f>IF('Master'!J63="","",'Master'!J63)</x:f>
      </x:c>
      <x:c r="J20" s="100" t="str">
        <x:f>IF('Master'!K63="","",'Master'!K63)</x:f>
      </x:c>
      <x:c r="K20" s="100" t="str">
        <x:f>IF('Master'!L63="","",'Master'!L63)</x:f>
        <x:v>Yes</x:v>
      </x:c>
      <x:c r="L20" s="100" t="str">
        <x:f>IF('Master'!M63="","",'Master'!M63)</x:f>
      </x:c>
      <x:c r="M20" s="100" t="str">
        <x:f>IF('Master'!N63="","",'Master'!N63)</x:f>
        <x:v>Yes</x:v>
      </x:c>
      <x:c r="N20" s="100" t="str">
        <x:f>IF('Master'!O63="","",'Master'!O63)</x:f>
        <x:v>Client-dependent</x:v>
      </x:c>
      <x:c r="O20" s="100" t="str">
        <x:f>IF('Master'!P63="","",'Master'!P63)</x:f>
        <x:v>Yes</x:v>
      </x:c>
      <x:c r="P20" s="100" t="str">
        <x:f>IF('Master'!Q63="","",'Master'!Q63)</x:f>
        <x:v>Yes</x:v>
      </x:c>
      <x:c r="Q20" s="100" t="str">
        <x:f>IF('Master'!R63="","",'Master'!R63)</x:f>
        <x:v>N/A</x:v>
      </x:c>
      <x:c r="R20" s="100" t="str">
        <x:f>IF('Master'!S63="","",'Master'!S63)</x:f>
        <x:v>Yes</x:v>
      </x:c>
      <x:c r="S20" s="100" t="str">
        <x:f>IF('Master'!T63="","",'Master'!T63)</x:f>
        <x:v>Yes</x:v>
      </x:c>
      <x:c r="T20" s="100" t="str">
        <x:f>IF('Master'!U63="","",'Master'!U63)</x:f>
        <x:v>Yes</x:v>
      </x:c>
      <x:c r="U20" s="100" t="str">
        <x:f>IF('Master'!V63="","",'Master'!V63)</x:f>
        <x:v>Yes</x:v>
      </x:c>
      <x:c r="V20" s="100" t="str">
        <x:f>IF('Master'!W63="","",'Master'!W63)</x:f>
        <x:v>Yes</x:v>
      </x:c>
      <x:c r="W20" s="100" t="str">
        <x:f>IF('Master'!X63="","",'Master'!X63)</x:f>
      </x:c>
      <x:c r="X20" s="100" t="str">
        <x:f>IF('Master'!Y63="","",'Master'!Y63)</x:f>
        <x:v>Yes</x:v>
      </x:c>
      <x:c r="Y20" s="100" t="str">
        <x:f>IF('Master'!Z63="","",'Master'!Z63)</x:f>
        <x:v>Yes</x:v>
      </x:c>
      <x:c r="Z20" s="100" t="str">
        <x:f>IF('Master'!AA63="","",'Master'!AA63)</x:f>
        <x:v>Yes</x:v>
      </x:c>
      <x:c r="AA20" s="104" t="str">
        <x:f>IF('Master'!AB63="","",'Master'!AB63)</x:f>
      </x:c>
      <x:c r="AB20" s="100" t="str">
        <x:f>IF('Master'!AC63="","",'Master'!AC63)</x:f>
      </x:c>
      <x:c r="AC20" s="100" t="str">
        <x:f>IF('Master'!AD63="","",'Master'!AD63)</x:f>
      </x:c>
      <x:c r="AD20" s="100" t="str">
        <x:f>IF('Master'!AE63="","",'Master'!AE63)</x:f>
      </x:c>
      <x:c r="AE20" s="100" t="str">
        <x:f>IF('Master'!AF63="","",'Master'!AF63)</x:f>
      </x:c>
      <x:c r="AF20" s="75" t="str">
        <x:f>IF('Master'!AG63="","",'Master'!AG63)</x:f>
        <x:v>Yes</x:v>
      </x:c>
    </x:row>
    <x:row r="21" ht="22" customHeight="1">
      <x:c r="A21" s="138" t="str">
        <x:v>Identity &amp; Membership</x:v>
      </x:c>
      <x:c r="B21" s="138" t="str">
        <x:f>IF(""="","","")</x:f>
      </x:c>
      <x:c r="C21" s="138" t="str">
        <x:f>IF(""="","","")</x:f>
      </x:c>
      <x:c r="D21" s="138" t="str">
        <x:f>IF(""="","","")</x:f>
      </x:c>
      <x:c r="E21" s="138" t="str">
        <x:f>IF(""="","","")</x:f>
      </x:c>
      <x:c r="F21" s="138" t="str">
        <x:f>IF(""="","","")</x:f>
      </x:c>
      <x:c r="G21" s="138" t="str">
        <x:f>IF(""="","","")</x:f>
      </x:c>
      <x:c r="H21" s="138" t="str">
        <x:f>IF(""="","","")</x:f>
      </x:c>
      <x:c r="I21" s="138" t="str">
        <x:f>IF(""="","","")</x:f>
      </x:c>
      <x:c r="J21" s="138" t="str">
        <x:f>IF(""="","","")</x:f>
      </x:c>
      <x:c r="K21" s="138" t="str">
        <x:f>IF(""="","","")</x:f>
      </x:c>
      <x:c r="L21" s="138" t="str">
        <x:f>IF(""="","","")</x:f>
      </x:c>
      <x:c r="M21" s="138" t="str">
        <x:f>IF(""="","","")</x:f>
      </x:c>
      <x:c r="N21" s="138" t="str">
        <x:f>IF(""="","","")</x:f>
      </x:c>
      <x:c r="O21" s="138" t="str">
        <x:f>IF(""="","","")</x:f>
      </x:c>
      <x:c r="P21" s="138" t="str">
        <x:f>IF(""="","","")</x:f>
      </x:c>
      <x:c r="Q21" s="138" t="str">
        <x:f>IF(""="","","")</x:f>
      </x:c>
      <x:c r="R21" s="138" t="str">
        <x:f>IF(""="","","")</x:f>
      </x:c>
      <x:c r="S21" s="138" t="str">
        <x:f>IF(""="","","")</x:f>
      </x:c>
      <x:c r="T21" s="138" t="str">
        <x:f>IF(""="","","")</x:f>
      </x:c>
      <x:c r="U21" s="138" t="str">
        <x:f>IF(""="","","")</x:f>
      </x:c>
      <x:c r="V21" s="138" t="str">
        <x:f>IF(""="","","")</x:f>
      </x:c>
      <x:c r="W21" s="138" t="str">
        <x:f>IF(""="","","")</x:f>
      </x:c>
      <x:c r="X21" s="138" t="str">
        <x:f>IF(""="","","")</x:f>
      </x:c>
      <x:c r="Y21" s="138" t="str">
        <x:f>IF(""="","","")</x:f>
      </x:c>
      <x:c r="Z21" s="138" t="str">
        <x:f>IF(""="","","")</x:f>
      </x:c>
      <x:c r="AA21" s="138" t="str">
        <x:f>IF(""="","","")</x:f>
      </x:c>
      <x:c r="AB21" s="138" t="str">
        <x:f>IF(""="","","")</x:f>
      </x:c>
      <x:c r="AC21" s="138" t="str">
        <x:f>IF(""="","","")</x:f>
      </x:c>
      <x:c r="AD21" s="138" t="str">
        <x:f>IF(""="","","")</x:f>
      </x:c>
      <x:c r="AE21" s="138" t="str">
        <x:f>IF(""="","","")</x:f>
      </x:c>
      <x:c r="AF21" s="139" t="str">
        <x:f>IF(""="","","")</x:f>
      </x:c>
    </x:row>
    <x:row r="22" ht="36" customHeight="1">
      <x:c r="A22" s="135" t="str">
        <x:v>User Profiles</x:v>
      </x:c>
      <x:c r="B22" s="100" t="str">
        <x:f>IF('Master'!C64="","",'Master'!C64)</x:f>
        <x:v>Yes</x:v>
      </x:c>
      <x:c r="C22" s="100" t="str">
        <x:f>IF('Master'!D64="","",'Master'!D64)</x:f>
        <x:v>Key-based profile</x:v>
      </x:c>
      <x:c r="D22" s="100" t="str">
        <x:f>IF('Master'!E64="","",'Master'!E64)</x:f>
        <x:v>Yes</x:v>
      </x:c>
      <x:c r="E22" s="100" t="str">
        <x:f>IF('Master'!F64="","",'Master'!F64)</x:f>
        <x:v>Yes</x:v>
      </x:c>
      <x:c r="F22" s="100" t="str">
        <x:f>IF('Master'!G64="","",'Master'!G64)</x:f>
        <x:v>Yes</x:v>
      </x:c>
      <x:c r="G22" s="100" t="str">
        <x:f>IF('Master'!H64="","",'Master'!H64)</x:f>
        <x:v>Yes</x:v>
      </x:c>
      <x:c r="H22" s="100" t="str">
        <x:f>IF('Master'!I64="","",'Master'!I64)</x:f>
        <x:v>Yes</x:v>
      </x:c>
      <x:c r="I22" s="100" t="str">
        <x:f>IF('Master'!J64="","",'Master'!J64)</x:f>
      </x:c>
      <x:c r="J22" s="100" t="str">
        <x:f>IF('Master'!K64="","",'Master'!K64)</x:f>
        <x:v>Key-based profile</x:v>
      </x:c>
      <x:c r="K22" s="100" t="str">
        <x:f>IF('Master'!L64="","",'Master'!L64)</x:f>
        <x:v>Yes</x:v>
      </x:c>
      <x:c r="L22" s="100" t="str">
        <x:f>IF('Master'!M64="","",'Master'!M64)</x:f>
        <x:v>Yes</x:v>
      </x:c>
      <x:c r="M22" s="100" t="str">
        <x:f>IF('Master'!N64="","",'Master'!N64)</x:f>
        <x:v>Yes</x:v>
      </x:c>
      <x:c r="N22" s="100" t="str">
        <x:f>IF('Master'!O64="","",'Master'!O64)</x:f>
        <x:v>Client-dependent</x:v>
      </x:c>
      <x:c r="O22" s="100" t="str">
        <x:f>IF('Master'!P64="","",'Master'!P64)</x:f>
        <x:v>Yes</x:v>
      </x:c>
      <x:c r="P22" s="100" t="str">
        <x:f>IF('Master'!Q64="","",'Master'!Q64)</x:f>
        <x:v>Yes</x:v>
      </x:c>
      <x:c r="Q22" s="100" t="str">
        <x:f>IF('Master'!R64="","",'Master'!R64)</x:f>
        <x:v>User identities</x:v>
      </x:c>
      <x:c r="R22" s="100" t="str">
        <x:f>IF('Master'!S64="","",'Master'!S64)</x:f>
        <x:v>Yes</x:v>
      </x:c>
      <x:c r="S22" s="100" t="str">
        <x:f>IF('Master'!T64="","",'Master'!T64)</x:f>
        <x:v>Yes</x:v>
      </x:c>
      <x:c r="T22" s="100" t="str">
        <x:f>IF('Master'!U64="","",'Master'!U64)</x:f>
        <x:v>Yes</x:v>
      </x:c>
      <x:c r="U22" s="100" t="str">
        <x:f>IF('Master'!V64="","",'Master'!V64)</x:f>
        <x:v>Yes</x:v>
      </x:c>
      <x:c r="V22" s="100" t="str">
        <x:f>IF('Master'!W64="","",'Master'!W64)</x:f>
        <x:v>Yes</x:v>
      </x:c>
      <x:c r="W22" s="100" t="str">
        <x:f>IF('Master'!X64="","",'Master'!X64)</x:f>
        <x:v>ATProto profile</x:v>
      </x:c>
      <x:c r="X22" s="100" t="str">
        <x:f>IF('Master'!Y64="","",'Master'!Y64)</x:f>
        <x:v>Yes</x:v>
      </x:c>
      <x:c r="Y22" s="100" t="str">
        <x:f>IF('Master'!Z64="","",'Master'!Z64)</x:f>
        <x:v>Yes</x:v>
      </x:c>
      <x:c r="Z22" s="100" t="str">
        <x:f>IF('Master'!AA64="","",'Master'!AA64)</x:f>
        <x:v>Yes</x:v>
      </x:c>
      <x:c r="AA22" s="104" t="str">
        <x:f>IF('Master'!AB64="","",'Master'!AB64)</x:f>
        <x:v>Yes</x:v>
      </x:c>
      <x:c r="AB22" s="100" t="str">
        <x:f>IF('Master'!AC64="","",'Master'!AC64)</x:f>
        <x:v>Yes</x:v>
      </x:c>
      <x:c r="AC22" s="100" t="str">
        <x:f>IF('Master'!AD64="","",'Master'!AD64)</x:f>
        <x:v>Yes</x:v>
      </x:c>
      <x:c r="AD22" s="100" t="str">
        <x:f>IF('Master'!AE64="","",'Master'!AE64)</x:f>
        <x:v>Yes</x:v>
      </x:c>
      <x:c r="AE22" s="100" t="str">
        <x:f>IF('Master'!AF64="","",'Master'!AF64)</x:f>
        <x:v>Yes</x:v>
      </x:c>
      <x:c r="AF22" s="75" t="str">
        <x:f>IF('Master'!AG64="","",'Master'!AG64)</x:f>
        <x:v>Yes</x:v>
      </x:c>
    </x:row>
    <x:row r="23" ht="36" customHeight="1">
      <x:c r="A23" s="135" t="str">
        <x:v>Per-Community Profiles</x:v>
      </x:c>
      <x:c r="B23" s="100" t="str">
        <x:f>IF('Master'!C65="","",'Master'!C65)</x:f>
        <x:v>Yes — per-server profiles; some customization requires Nitro</x:v>
      </x:c>
      <x:c r="C23" s="100" t="str">
        <x:f>IF('Master'!D65="","",'Master'!D65)</x:f>
        <x:v>Nostr identity</x:v>
      </x:c>
      <x:c r="D23" s="100" t="str">
        <x:f>IF('Master'!E65="","",'Master'!E65)</x:f>
        <x:v>Server profile</x:v>
      </x:c>
      <x:c r="E23" s="100" t="str">
        <x:f>IF('Master'!F65="","",'Master'!F65)</x:f>
      </x:c>
      <x:c r="F23" s="100" t="str">
        <x:f>IF('Master'!G65="","",'Master'!G65)</x:f>
      </x:c>
      <x:c r="G23" s="100" t="str">
        <x:f>IF('Master'!H65="","",'Master'!H65)</x:f>
      </x:c>
      <x:c r="H23" s="100" t="str">
        <x:f>IF('Master'!I65="","",'Master'!I65)</x:f>
      </x:c>
      <x:c r="I23" s="100" t="str">
        <x:f>IF('Master'!J65="","",'Master'!J65)</x:f>
      </x:c>
      <x:c r="J23" s="100" t="str">
        <x:f>IF('Master'!K65="","",'Master'!K65)</x:f>
        <x:v>N/A</x:v>
      </x:c>
      <x:c r="K23" s="100" t="str">
        <x:f>IF('Master'!L65="","",'Master'!L65)</x:f>
      </x:c>
      <x:c r="L23" s="100" t="str">
        <x:f>IF('Master'!M65="","",'Master'!M65)</x:f>
      </x:c>
      <x:c r="M23" s="100" t="str">
        <x:f>IF('Master'!N65="","",'Master'!N65)</x:f>
      </x:c>
      <x:c r="N23" s="100" t="str">
        <x:f>IF('Master'!O65="","",'Master'!O65)</x:f>
        <x:v>Client-dependent</x:v>
      </x:c>
      <x:c r="O23" s="100" t="str">
        <x:f>IF('Master'!P65="","",'Master'!P65)</x:f>
        <x:v>Yes</x:v>
      </x:c>
      <x:c r="P23" s="100" t="str">
        <x:f>IF('Master'!Q65="","",'Master'!Q65)</x:f>
      </x:c>
      <x:c r="Q23" s="100" t="str">
        <x:f>IF('Master'!R65="","",'Master'!R65)</x:f>
        <x:v>Server-specific</x:v>
      </x:c>
      <x:c r="R23" s="100" t="str">
        <x:f>IF('Master'!S65="","",'Master'!S65)</x:f>
      </x:c>
      <x:c r="S23" s="100" t="str">
        <x:f>IF('Master'!T65="","",'Master'!T65)</x:f>
      </x:c>
      <x:c r="T23" s="100" t="str">
        <x:f>IF('Master'!U65="","",'Master'!U65)</x:f>
      </x:c>
      <x:c r="U23" s="100" t="str">
        <x:f>IF('Master'!V65="","",'Master'!V65)</x:f>
        <x:v>Yes</x:v>
      </x:c>
      <x:c r="V23" s="100" t="str">
        <x:f>IF('Master'!W65="","",'Master'!W65)</x:f>
        <x:v>Yes</x:v>
      </x:c>
      <x:c r="W23" s="100" t="str">
        <x:f>IF('Master'!X65="","",'Master'!X65)</x:f>
        <x:v>ATProto identity</x:v>
      </x:c>
      <x:c r="X23" s="100" t="str">
        <x:f>IF('Master'!Y65="","",'Master'!Y65)</x:f>
      </x:c>
      <x:c r="Y23" s="100" t="str">
        <x:f>IF('Master'!Z65="","",'Master'!Z65)</x:f>
        <x:v>Yes/target</x:v>
      </x:c>
      <x:c r="Z23" s="100" t="str">
        <x:f>IF('Master'!AA65="","",'Master'!AA65)</x:f>
        <x:v>Yes — server-specific profiles free</x:v>
      </x:c>
      <x:c r="AA23" s="104" t="str">
        <x:f>IF('Master'!AB65="","",'Master'!AB65)</x:f>
      </x:c>
      <x:c r="AB23" s="100" t="str">
        <x:f>IF('Master'!AC65="","",'Master'!AC65)</x:f>
        <x:v>Planet profile</x:v>
      </x:c>
      <x:c r="AC23" s="100" t="str">
        <x:f>IF('Master'!AD65="","",'Master'!AD65)</x:f>
      </x:c>
      <x:c r="AD23" s="100" t="str">
        <x:f>IF('Master'!AE65="","",'Master'!AE65)</x:f>
        <x:v>Crew/lobby identity</x:v>
      </x:c>
      <x:c r="AE23" s="100" t="str">
        <x:f>IF('Master'!AF65="","",'Master'!AF65)</x:f>
      </x:c>
      <x:c r="AF23" s="75" t="str">
        <x:f>IF('Master'!AG65="","",'Master'!AG65)</x:f>
        <x:v>Per-organization profile</x:v>
      </x:c>
    </x:row>
    <x:row r="24" ht="36" customHeight="1">
      <x:c r="A24" s="135" t="str">
        <x:v>Member Lists</x:v>
      </x:c>
      <x:c r="B24" s="100" t="str">
        <x:f>IF('Master'!C66="","",'Master'!C66)</x:f>
        <x:v>Yes</x:v>
      </x:c>
      <x:c r="C24" s="100" t="str">
        <x:f>IF('Master'!D66="","",'Master'!D66)</x:f>
      </x:c>
      <x:c r="D24" s="100" t="str">
        <x:f>IF('Master'!E66="","",'Master'!E66)</x:f>
        <x:v>Yes</x:v>
      </x:c>
      <x:c r="E24" s="100" t="str">
        <x:f>IF('Master'!F66="","",'Master'!F66)</x:f>
        <x:v>Yes</x:v>
      </x:c>
      <x:c r="F24" s="100" t="str">
        <x:f>IF('Master'!G66="","",'Master'!G66)</x:f>
        <x:v>Yes</x:v>
      </x:c>
      <x:c r="G24" s="100" t="str">
        <x:f>IF('Master'!H66="","",'Master'!H66)</x:f>
        <x:v>Yes</x:v>
      </x:c>
      <x:c r="H24" s="100" t="str">
        <x:f>IF('Master'!I66="","",'Master'!I66)</x:f>
        <x:v>Yes</x:v>
      </x:c>
      <x:c r="I24" s="100" t="str">
        <x:f>IF('Master'!J66="","",'Master'!J66)</x:f>
      </x:c>
      <x:c r="J24" s="100" t="str">
        <x:f>IF('Master'!K66="","",'Master'!K66)</x:f>
      </x:c>
      <x:c r="K24" s="100" t="str">
        <x:f>IF('Master'!L66="","",'Master'!L66)</x:f>
        <x:v>Yes</x:v>
      </x:c>
      <x:c r="L24" s="100" t="str">
        <x:f>IF('Master'!M66="","",'Master'!M66)</x:f>
        <x:v>Yes</x:v>
      </x:c>
      <x:c r="M24" s="100" t="str">
        <x:f>IF('Master'!N66="","",'Master'!N66)</x:f>
        <x:v>Yes</x:v>
      </x:c>
      <x:c r="N24" s="100" t="str">
        <x:f>IF('Master'!O66="","",'Master'!O66)</x:f>
        <x:v>Client-dependent</x:v>
      </x:c>
      <x:c r="O24" s="100" t="str">
        <x:f>IF('Master'!P66="","",'Master'!P66)</x:f>
        <x:v>Yes</x:v>
      </x:c>
      <x:c r="P24" s="100" t="str">
        <x:f>IF('Master'!Q66="","",'Master'!Q66)</x:f>
        <x:v>Yes</x:v>
      </x:c>
      <x:c r="Q24" s="100" t="str">
        <x:f>IF('Master'!R66="","",'Master'!R66)</x:f>
        <x:v>Yes</x:v>
      </x:c>
      <x:c r="R24" s="100" t="str">
        <x:f>IF('Master'!S66="","",'Master'!S66)</x:f>
        <x:v>Yes</x:v>
      </x:c>
      <x:c r="S24" s="100" t="str">
        <x:f>IF('Master'!T66="","",'Master'!T66)</x:f>
        <x:v>Yes</x:v>
      </x:c>
      <x:c r="T24" s="100" t="str">
        <x:f>IF('Master'!U66="","",'Master'!U66)</x:f>
        <x:v>Yes</x:v>
      </x:c>
      <x:c r="U24" s="100" t="str">
        <x:f>IF('Master'!V66="","",'Master'!V66)</x:f>
        <x:v>Yes</x:v>
      </x:c>
      <x:c r="V24" s="100" t="str">
        <x:f>IF('Master'!W66="","",'Master'!W66)</x:f>
        <x:v>Yes</x:v>
      </x:c>
      <x:c r="W24" s="100" t="str">
        <x:f>IF('Master'!X66="","",'Master'!X66)</x:f>
      </x:c>
      <x:c r="X24" s="100" t="str">
        <x:f>IF('Master'!Y66="","",'Master'!Y66)</x:f>
        <x:v>Yes</x:v>
      </x:c>
      <x:c r="Y24" s="100" t="str">
        <x:f>IF('Master'!Z66="","",'Master'!Z66)</x:f>
        <x:v>Yes</x:v>
      </x:c>
      <x:c r="Z24" s="100" t="str">
        <x:f>IF('Master'!AA66="","",'Master'!AA66)</x:f>
        <x:v>Yes</x:v>
      </x:c>
      <x:c r="AA24" s="104" t="str">
        <x:f>IF('Master'!AB66="","",'Master'!AB66)</x:f>
        <x:v>Yes</x:v>
      </x:c>
      <x:c r="AB24" s="100" t="str">
        <x:f>IF('Master'!AC66="","",'Master'!AC66)</x:f>
        <x:v>Yes</x:v>
      </x:c>
      <x:c r="AC24" s="100" t="str">
        <x:f>IF('Master'!AD66="","",'Master'!AD66)</x:f>
      </x:c>
      <x:c r="AD24" s="100" t="str">
        <x:f>IF('Master'!AE66="","",'Master'!AE66)</x:f>
        <x:v>Yes</x:v>
      </x:c>
      <x:c r="AE24" s="100" t="str">
        <x:f>IF('Master'!AF66="","",'Master'!AF66)</x:f>
      </x:c>
      <x:c r="AF24" s="75" t="str">
        <x:f>IF('Master'!AG66="","",'Master'!AG66)</x:f>
        <x:v>Yes</x:v>
      </x:c>
    </x:row>
    <x:row r="25" ht="36" customHeight="1">
      <x:c r="A25" s="135" t="str">
        <x:v>Presence / Status</x:v>
      </x:c>
      <x:c r="B25" s="100" t="str">
        <x:f>IF('Master'!C67="","",'Master'!C67)</x:f>
        <x:v>Yes</x:v>
      </x:c>
      <x:c r="C25" s="100" t="str">
        <x:f>IF('Master'!D67="","",'Master'!D67)</x:f>
      </x:c>
      <x:c r="D25" s="100" t="str">
        <x:f>IF('Master'!E67="","",'Master'!E67)</x:f>
      </x:c>
      <x:c r="E25" s="100" t="str">
        <x:f>IF('Master'!F67="","",'Master'!F67)</x:f>
      </x:c>
      <x:c r="F25" s="100" t="str">
        <x:f>IF('Master'!G67="","",'Master'!G67)</x:f>
      </x:c>
      <x:c r="G25" s="100" t="str">
        <x:f>IF('Master'!H67="","",'Master'!H67)</x:f>
      </x:c>
      <x:c r="H25" s="100" t="str">
        <x:f>IF('Master'!I67="","",'Master'!I67)</x:f>
      </x:c>
      <x:c r="I25" s="100" t="str">
        <x:f>IF('Master'!J67="","",'Master'!J67)</x:f>
      </x:c>
      <x:c r="J25" s="100" t="str">
        <x:f>IF('Master'!K67="","",'Master'!K67)</x:f>
      </x:c>
      <x:c r="K25" s="100" t="str">
        <x:f>IF('Master'!L67="","",'Master'!L67)</x:f>
        <x:v>Yes</x:v>
      </x:c>
      <x:c r="L25" s="100" t="str">
        <x:f>IF('Master'!M67="","",'Master'!M67)</x:f>
      </x:c>
      <x:c r="M25" s="100" t="str">
        <x:f>IF('Master'!N67="","",'Master'!N67)</x:f>
        <x:v>Yes</x:v>
      </x:c>
      <x:c r="N25" s="100" t="str">
        <x:f>IF('Master'!O67="","",'Master'!O67)</x:f>
        <x:v>Client-dependent</x:v>
      </x:c>
      <x:c r="O25" s="100" t="str">
        <x:f>IF('Master'!P67="","",'Master'!P67)</x:f>
      </x:c>
      <x:c r="P25" s="100" t="str">
        <x:f>IF('Master'!Q67="","",'Master'!Q67)</x:f>
      </x:c>
      <x:c r="Q25" s="100" t="str">
        <x:f>IF('Master'!R67="","",'Master'!R67)</x:f>
      </x:c>
      <x:c r="R25" s="100" t="str">
        <x:f>IF('Master'!S67="","",'Master'!S67)</x:f>
        <x:v>Yes</x:v>
      </x:c>
      <x:c r="S25" s="100" t="str">
        <x:f>IF('Master'!T67="","",'Master'!T67)</x:f>
      </x:c>
      <x:c r="T25" s="100" t="str">
        <x:f>IF('Master'!U67="","",'Master'!U67)</x:f>
      </x:c>
      <x:c r="U25" s="100" t="str">
        <x:f>IF('Master'!V67="","",'Master'!V67)</x:f>
        <x:v>Yes</x:v>
      </x:c>
      <x:c r="V25" s="100" t="str">
        <x:f>IF('Master'!W67="","",'Master'!W67)</x:f>
      </x:c>
      <x:c r="W25" s="100" t="str">
        <x:f>IF('Master'!X67="","",'Master'!X67)</x:f>
      </x:c>
      <x:c r="X25" s="100" t="str">
        <x:f>IF('Master'!Y67="","",'Master'!Y67)</x:f>
      </x:c>
      <x:c r="Y25" s="100" t="str">
        <x:f>IF('Master'!Z67="","",'Master'!Z67)</x:f>
      </x:c>
      <x:c r="Z25" s="100" t="str">
        <x:f>IF('Master'!AA67="","",'Master'!AA67)</x:f>
        <x:v>Yes</x:v>
      </x:c>
      <x:c r="AA25" s="104" t="str">
        <x:f>IF('Master'!AB67="","",'Master'!AB67)</x:f>
      </x:c>
      <x:c r="AB25" s="100" t="str">
        <x:f>IF('Master'!AC67="","",'Master'!AC67)</x:f>
      </x:c>
      <x:c r="AC25" s="100" t="str">
        <x:f>IF('Master'!AD67="","",'Master'!AD67)</x:f>
      </x:c>
      <x:c r="AD25" s="100" t="str">
        <x:f>IF('Master'!AE67="","",'Master'!AE67)</x:f>
      </x:c>
      <x:c r="AE25" s="100" t="str">
        <x:f>IF('Master'!AF67="","",'Master'!AF67)</x:f>
      </x:c>
      <x:c r="AF25" s="75" t="str">
        <x:f>IF('Master'!AG67="","",'Master'!AG67)</x:f>
        <x:v>Yes</x:v>
      </x:c>
    </x:row>
    <x:row r="26" ht="36" customHeight="1">
      <x:c r="A26" s="135" t="str">
        <x:v>Block / Mute Users</x:v>
      </x:c>
      <x:c r="B26" s="100" t="str">
        <x:f>IF('Master'!C68="","",'Master'!C68)</x:f>
        <x:v>Yes</x:v>
      </x:c>
      <x:c r="C26" s="100" t="str">
        <x:f>IF('Master'!D68="","",'Master'!D68)</x:f>
      </x:c>
      <x:c r="D26" s="100" t="str">
        <x:f>IF('Master'!E68="","",'Master'!E68)</x:f>
      </x:c>
      <x:c r="E26" s="100" t="str">
        <x:f>IF('Master'!F68="","",'Master'!F68)</x:f>
      </x:c>
      <x:c r="F26" s="100" t="str">
        <x:f>IF('Master'!G68="","",'Master'!G68)</x:f>
      </x:c>
      <x:c r="G26" s="100" t="str">
        <x:f>IF('Master'!H68="","",'Master'!H68)</x:f>
      </x:c>
      <x:c r="H26" s="100" t="str">
        <x:f>IF('Master'!I68="","",'Master'!I68)</x:f>
      </x:c>
      <x:c r="I26" s="100" t="str">
        <x:f>IF('Master'!J68="","",'Master'!J68)</x:f>
      </x:c>
      <x:c r="J26" s="100" t="str">
        <x:f>IF('Master'!K68="","",'Master'!K68)</x:f>
      </x:c>
      <x:c r="K26" s="100" t="str">
        <x:f>IF('Master'!L68="","",'Master'!L68)</x:f>
        <x:v>Yes</x:v>
      </x:c>
      <x:c r="L26" s="100" t="str">
        <x:f>IF('Master'!M68="","",'Master'!M68)</x:f>
      </x:c>
      <x:c r="M26" s="100" t="str">
        <x:f>IF('Master'!N68="","",'Master'!N68)</x:f>
      </x:c>
      <x:c r="N26" s="100" t="str">
        <x:f>IF('Master'!O68="","",'Master'!O68)</x:f>
        <x:v>Client-dependent</x:v>
      </x:c>
      <x:c r="O26" s="100" t="str">
        <x:f>IF('Master'!P68="","",'Master'!P68)</x:f>
      </x:c>
      <x:c r="P26" s="100" t="str">
        <x:f>IF('Master'!Q68="","",'Master'!Q68)</x:f>
      </x:c>
      <x:c r="Q26" s="100" t="str">
        <x:f>IF('Master'!R68="","",'Master'!R68)</x:f>
      </x:c>
      <x:c r="R26" s="100" t="str">
        <x:f>IF('Master'!S68="","",'Master'!S68)</x:f>
      </x:c>
      <x:c r="S26" s="100" t="str">
        <x:f>IF('Master'!T68="","",'Master'!T68)</x:f>
      </x:c>
      <x:c r="T26" s="100" t="str">
        <x:f>IF('Master'!U68="","",'Master'!U68)</x:f>
      </x:c>
      <x:c r="U26" s="100" t="str">
        <x:f>IF('Master'!V68="","",'Master'!V68)</x:f>
        <x:v>Yes</x:v>
      </x:c>
      <x:c r="V26" s="100" t="str">
        <x:f>IF('Master'!W68="","",'Master'!W68)</x:f>
      </x:c>
      <x:c r="W26" s="100" t="str">
        <x:f>IF('Master'!X68="","",'Master'!X68)</x:f>
      </x:c>
      <x:c r="X26" s="100" t="str">
        <x:f>IF('Master'!Y68="","",'Master'!Y68)</x:f>
      </x:c>
      <x:c r="Y26" s="100" t="str">
        <x:f>IF('Master'!Z68="","",'Master'!Z68)</x:f>
      </x:c>
      <x:c r="Z26" s="100" t="str">
        <x:f>IF('Master'!AA68="","",'Master'!AA68)</x:f>
        <x:v>Yes</x:v>
      </x:c>
      <x:c r="AA26" s="104" t="str">
        <x:f>IF('Master'!AB68="","",'Master'!AB68)</x:f>
      </x:c>
      <x:c r="AB26" s="100" t="str">
        <x:f>IF('Master'!AC68="","",'Master'!AC68)</x:f>
      </x:c>
      <x:c r="AC26" s="100" t="str">
        <x:f>IF('Master'!AD68="","",'Master'!AD68)</x:f>
      </x:c>
      <x:c r="AD26" s="100" t="str">
        <x:f>IF('Master'!AE68="","",'Master'!AE68)</x:f>
      </x:c>
      <x:c r="AE26" s="100" t="str">
        <x:f>IF('Master'!AF68="","",'Master'!AF68)</x:f>
      </x:c>
      <x:c r="AF26" s="75" t="str">
        <x:f>IF('Master'!AG68="","",'Master'!AG68)</x:f>
        <x:v>Yes</x:v>
      </x:c>
    </x:row>
  </x:sheetData>
  <x:mergeCells>
    <x:mergeCell ref="A1:A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Directory'!A1","Advanced Features — permissions, structured conversation, and message automation"),"Advanced Features — permissions, structured conversation, and message automation")</x:f>
        <x:v>Advanced Features — permissions, structured conversation, and message automation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Permissions &amp; Structure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Granular Role Permissions</x:v>
      </x:c>
      <x:c r="B4" s="100" t="str">
        <x:f>IF('Master'!C69="","",'Master'!C69)</x:f>
        <x:v>Yes</x:v>
      </x:c>
      <x:c r="C4" s="100" t="str">
        <x:f>IF('Master'!D69="","",'Master'!D69)</x:f>
        <x:v>Yes</x:v>
      </x:c>
      <x:c r="D4" s="100" t="str">
        <x:f>IF('Master'!E69="","",'Master'!E69)</x:f>
        <x:v>Yes</x:v>
      </x:c>
      <x:c r="E4" s="100" t="str">
        <x:f>IF('Master'!F69="","",'Master'!F69)</x:f>
        <x:v>Yes</x:v>
      </x:c>
      <x:c r="F4" s="100" t="str">
        <x:f>IF('Master'!G69="","",'Master'!G69)</x:f>
        <x:v>Yes</x:v>
      </x:c>
      <x:c r="G4" s="100" t="str">
        <x:f>IF('Master'!H69="","",'Master'!H69)</x:f>
        <x:v>Yes</x:v>
      </x:c>
      <x:c r="H4" s="100" t="str">
        <x:f>IF('Master'!I69="","",'Master'!I69)</x:f>
        <x:v>Yes</x:v>
      </x:c>
      <x:c r="I4" s="100" t="str">
        <x:f>IF('Master'!J69="","",'Master'!J69)</x:f>
        <x:v>Discord-compatible</x:v>
      </x:c>
      <x:c r="J4" s="100" t="str">
        <x:f>IF('Master'!K69="","",'Master'!K69)</x:f>
      </x:c>
      <x:c r="K4" s="100" t="str">
        <x:f>IF('Master'!L69="","",'Master'!L69)</x:f>
        <x:v>Yes</x:v>
      </x:c>
      <x:c r="L4" s="100" t="str">
        <x:f>IF('Master'!M69="","",'Master'!M69)</x:f>
        <x:v>Yes</x:v>
      </x:c>
      <x:c r="M4" s="100" t="str">
        <x:f>IF('Master'!N69="","",'Master'!N69)</x:f>
        <x:v>Yes</x:v>
      </x:c>
      <x:c r="N4" s="100" t="str">
        <x:f>IF('Master'!O69="","",'Master'!O69)</x:f>
        <x:v>Yes via room power levels</x:v>
      </x:c>
      <x:c r="O4" s="100" t="str">
        <x:f>IF('Master'!P69="","",'Master'!P69)</x:f>
        <x:v>Yes</x:v>
      </x:c>
      <x:c r="P4" s="100" t="str">
        <x:f>IF('Master'!Q69="","",'Master'!Q69)</x:f>
        <x:v>Yes</x:v>
      </x:c>
      <x:c r="Q4" s="100" t="str">
        <x:f>IF('Master'!R69="","",'Master'!R69)</x:f>
        <x:v>Yes — detailed ACLs</x:v>
      </x:c>
      <x:c r="R4" s="100" t="str">
        <x:f>IF('Master'!S69="","",'Master'!S69)</x:f>
        <x:v>Yes</x:v>
      </x:c>
      <x:c r="S4" s="100" t="str">
        <x:f>IF('Master'!T69="","",'Master'!T69)</x:f>
        <x:v>Yes</x:v>
      </x:c>
      <x:c r="T4" s="100" t="str">
        <x:f>IF('Master'!U69="","",'Master'!U69)</x:f>
        <x:v>Yes — allow / inherit / deny per channel</x:v>
      </x:c>
      <x:c r="U4" s="100" t="str">
        <x:f>IF('Master'!V69="","",'Master'!V69)</x:f>
        <x:v>Yes</x:v>
      </x:c>
      <x:c r="V4" s="100" t="str">
        <x:f>IF('Master'!W69="","",'Master'!W69)</x:f>
        <x:v>Yes</x:v>
      </x:c>
      <x:c r="W4" s="100" t="str">
        <x:f>IF('Master'!X69="","",'Master'!X69)</x:f>
      </x:c>
      <x:c r="X4" s="100" t="str">
        <x:f>IF('Master'!Y69="","",'Master'!Y69)</x:f>
        <x:v>Yes</x:v>
      </x:c>
      <x:c r="Y4" s="100" t="str">
        <x:f>IF('Master'!Z69="","",'Master'!Z69)</x:f>
        <x:v>Yes</x:v>
      </x:c>
      <x:c r="Z4" s="100" t="str">
        <x:f>IF('Master'!AA69="","",'Master'!AA69)</x:f>
        <x:v>Yes</x:v>
      </x:c>
      <x:c r="AA4" s="104" t="str">
        <x:f>IF('Master'!AB69="","",'Master'!AB69)</x:f>
        <x:v>Yes</x:v>
      </x:c>
      <x:c r="AB4" s="100" t="str">
        <x:f>IF('Master'!AC69="","",'Master'!AC69)</x:f>
        <x:v>Yes</x:v>
      </x:c>
      <x:c r="AC4" s="100" t="str">
        <x:f>IF('Master'!AD69="","",'Master'!AD69)</x:f>
      </x:c>
      <x:c r="AD4" s="100" t="str">
        <x:f>IF('Master'!AE69="","",'Master'!AE69)</x:f>
        <x:v>Yes</x:v>
      </x:c>
      <x:c r="AE4" s="100" t="str">
        <x:f>IF('Master'!AF69="","",'Master'!AF69)</x:f>
        <x:v>Server permissions</x:v>
      </x:c>
      <x:c r="AF4" s="75" t="str">
        <x:f>IF('Master'!AG69="","",'Master'!AG69)</x:f>
        <x:v>Yes</x:v>
      </x:c>
    </x:row>
    <x:row r="5" ht="36" customHeight="1">
      <x:c r="A5" s="135" t="str">
        <x:v>Hierarchies</x:v>
      </x:c>
      <x:c r="B5" s="100" t="str">
        <x:f>IF('Master'!C70="","",'Master'!C70)</x:f>
        <x:v>Yes — role hierarchy</x:v>
      </x:c>
      <x:c r="C5" s="100" t="str">
        <x:f>IF('Master'!D70="","",'Master'!D70)</x:f>
      </x:c>
      <x:c r="D5" s="100" t="str">
        <x:f>IF('Master'!E70="","",'Master'!E70)</x:f>
        <x:v>Yes</x:v>
      </x:c>
      <x:c r="E5" s="100" t="str">
        <x:f>IF('Master'!F70="","",'Master'!F70)</x:f>
        <x:v>Yes</x:v>
      </x:c>
      <x:c r="F5" s="100" t="str">
        <x:f>IF('Master'!G70="","",'Master'!G70)</x:f>
        <x:v>Yes</x:v>
      </x:c>
      <x:c r="G5" s="100" t="str">
        <x:f>IF('Master'!H70="","",'Master'!H70)</x:f>
        <x:v>Yes</x:v>
      </x:c>
      <x:c r="H5" s="100" t="str">
        <x:f>IF('Master'!I70="","",'Master'!I70)</x:f>
        <x:v>Yes</x:v>
      </x:c>
      <x:c r="I5" s="100" t="str">
        <x:f>IF('Master'!J70="","",'Master'!J70)</x:f>
        <x:v>Discord-compatible</x:v>
      </x:c>
      <x:c r="J5" s="100" t="str">
        <x:f>IF('Master'!K70="","",'Master'!K70)</x:f>
      </x:c>
      <x:c r="K5" s="100" t="str">
        <x:f>IF('Master'!L70="","",'Master'!L70)</x:f>
        <x:v>Yes</x:v>
      </x:c>
      <x:c r="L5" s="100" t="str">
        <x:f>IF('Master'!M70="","",'Master'!M70)</x:f>
        <x:v>Yes</x:v>
      </x:c>
      <x:c r="M5" s="100" t="str">
        <x:f>IF('Master'!N70="","",'Master'!N70)</x:f>
        <x:v>Yes</x:v>
      </x:c>
      <x:c r="N5" s="100" t="str">
        <x:f>IF('Master'!O70="","",'Master'!O70)</x:f>
        <x:v>Spaces/rooms hierarchy supported</x:v>
      </x:c>
      <x:c r="O5" s="100" t="str">
        <x:f>IF('Master'!P70="","",'Master'!P70)</x:f>
        <x:v>Teams/channels</x:v>
      </x:c>
      <x:c r="P5" s="100" t="str">
        <x:f>IF('Master'!Q70="","",'Master'!Q70)</x:f>
        <x:v>Yes</x:v>
      </x:c>
      <x:c r="Q5" s="100" t="str">
        <x:f>IF('Master'!R70="","",'Master'!R70)</x:f>
        <x:v>Yes — channel hierarchy</x:v>
      </x:c>
      <x:c r="R5" s="100" t="str">
        <x:f>IF('Master'!S70="","",'Master'!S70)</x:f>
        <x:v>Yes</x:v>
      </x:c>
      <x:c r="S5" s="100" t="str">
        <x:f>IF('Master'!T70="","",'Master'!T70)</x:f>
        <x:v>Yes</x:v>
      </x:c>
      <x:c r="T5" s="100" t="str">
        <x:f>IF('Master'!U70="","",'Master'!U70)</x:f>
        <x:v>Yes</x:v>
      </x:c>
      <x:c r="U5" s="100" t="str">
        <x:f>IF('Master'!V70="","",'Master'!V70)</x:f>
        <x:v>Yes</x:v>
      </x:c>
      <x:c r="V5" s="100" t="str">
        <x:f>IF('Master'!W70="","",'Master'!W70)</x:f>
        <x:v>Teams/channels</x:v>
      </x:c>
      <x:c r="W5" s="100" t="str">
        <x:f>IF('Master'!X70="","",'Master'!X70)</x:f>
        <x:v>Spaces</x:v>
      </x:c>
      <x:c r="X5" s="100" t="str">
        <x:f>IF('Master'!Y70="","",'Master'!Y70)</x:f>
        <x:v>Yes</x:v>
      </x:c>
      <x:c r="Y5" s="100" t="str">
        <x:f>IF('Master'!Z70="","",'Master'!Z70)</x:f>
        <x:v>Yes</x:v>
      </x:c>
      <x:c r="Z5" s="100" t="str">
        <x:f>IF('Master'!AA70="","",'Master'!AA70)</x:f>
        <x:v>Yes</x:v>
      </x:c>
      <x:c r="AA5" s="104" t="str">
        <x:f>IF('Master'!AB70="","",'Master'!AB70)</x:f>
        <x:v>Yes</x:v>
      </x:c>
      <x:c r="AB5" s="100" t="str">
        <x:f>IF('Master'!AC70="","",'Master'!AC70)</x:f>
        <x:v>Yes</x:v>
      </x:c>
      <x:c r="AC5" s="100" t="str">
        <x:f>IF('Master'!AD70="","",'Master'!AD70)</x:f>
      </x:c>
      <x:c r="AD5" s="100" t="str">
        <x:f>IF('Master'!AE70="","",'Master'!AE70)</x:f>
        <x:v>Lobby/room hierarchy</x:v>
      </x:c>
      <x:c r="AE5" s="100" t="str">
        <x:f>IF('Master'!AF70="","",'Master'!AF70)</x:f>
      </x:c>
      <x:c r="AF5" s="75" t="str">
        <x:f>IF('Master'!AG70="","",'Master'!AG70)</x:f>
        <x:v>Stream/topic hierarchy</x:v>
      </x:c>
    </x:row>
    <x:row r="6" ht="36" customHeight="1">
      <x:c r="A6" s="135" t="str">
        <x:v>Channel Overrides</x:v>
      </x:c>
      <x:c r="B6" s="100" t="str">
        <x:f>IF('Master'!C71="","",'Master'!C71)</x:f>
        <x:v>Yes</x:v>
      </x:c>
      <x:c r="C6" s="100" t="str">
        <x:f>IF('Master'!D71="","",'Master'!D71)</x:f>
      </x:c>
      <x:c r="D6" s="100" t="str">
        <x:f>IF('Master'!E71="","",'Master'!E71)</x:f>
        <x:v>Yes</x:v>
      </x:c>
      <x:c r="E6" s="100" t="str">
        <x:f>IF('Master'!F71="","",'Master'!F71)</x:f>
        <x:v>Yes</x:v>
      </x:c>
      <x:c r="F6" s="100" t="str">
        <x:f>IF('Master'!G71="","",'Master'!G71)</x:f>
        <x:v>Yes — channel-level permissions</x:v>
      </x:c>
      <x:c r="G6" s="100" t="str">
        <x:f>IF('Master'!H71="","",'Master'!H71)</x:f>
        <x:v>Yes</x:v>
      </x:c>
      <x:c r="H6" s="100" t="str">
        <x:f>IF('Master'!I71="","",'Master'!I71)</x:f>
        <x:v>Yes</x:v>
      </x:c>
      <x:c r="I6" s="100" t="str">
        <x:f>IF('Master'!J71="","",'Master'!J71)</x:f>
        <x:v>Discord-compatible</x:v>
      </x:c>
      <x:c r="J6" s="100" t="str">
        <x:f>IF('Master'!K71="","",'Master'!K71)</x:f>
      </x:c>
      <x:c r="K6" s="100" t="str">
        <x:f>IF('Master'!L71="","",'Master'!L71)</x:f>
        <x:v>Yes</x:v>
      </x:c>
      <x:c r="L6" s="100" t="str">
        <x:f>IF('Master'!M71="","",'Master'!M71)</x:f>
        <x:v>Yes</x:v>
      </x:c>
      <x:c r="M6" s="100" t="str">
        <x:f>IF('Master'!N71="","",'Master'!N71)</x:f>
        <x:v>Yes</x:v>
      </x:c>
      <x:c r="N6" s="100" t="str">
        <x:f>IF('Master'!O71="","",'Master'!O71)</x:f>
        <x:v>Room-level permissions</x:v>
      </x:c>
      <x:c r="O6" s="100" t="str">
        <x:f>IF('Master'!P71="","",'Master'!P71)</x:f>
        <x:v>Yes</x:v>
      </x:c>
      <x:c r="P6" s="100" t="str">
        <x:f>IF('Master'!Q71="","",'Master'!Q71)</x:f>
        <x:v>Yes</x:v>
      </x:c>
      <x:c r="Q6" s="100" t="str">
        <x:f>IF('Master'!R71="","",'Master'!R71)</x:f>
        <x:v>Yes — ACL inheritance/overrides</x:v>
      </x:c>
      <x:c r="R6" s="100" t="str">
        <x:f>IF('Master'!S71="","",'Master'!S71)</x:f>
        <x:v>Yes</x:v>
      </x:c>
      <x:c r="S6" s="100" t="str">
        <x:f>IF('Master'!T71="","",'Master'!T71)</x:f>
        <x:v>Yes</x:v>
      </x:c>
      <x:c r="T6" s="100" t="str">
        <x:f>IF('Master'!U71="","",'Master'!U71)</x:f>
        <x:v>Yes — per-channel role permissions</x:v>
      </x:c>
      <x:c r="U6" s="100" t="str">
        <x:f>IF('Master'!V71="","",'Master'!V71)</x:f>
        <x:v>Yes</x:v>
      </x:c>
      <x:c r="V6" s="100" t="str">
        <x:f>IF('Master'!W71="","",'Master'!W71)</x:f>
        <x:v>Yes</x:v>
      </x:c>
      <x:c r="W6" s="100" t="str">
        <x:f>IF('Master'!X71="","",'Master'!X71)</x:f>
      </x:c>
      <x:c r="X6" s="100" t="str">
        <x:f>IF('Master'!Y71="","",'Master'!Y71)</x:f>
        <x:v>Yes</x:v>
      </x:c>
      <x:c r="Y6" s="100" t="str">
        <x:f>IF('Master'!Z71="","",'Master'!Z71)</x:f>
        <x:v>Yes</x:v>
      </x:c>
      <x:c r="Z6" s="100" t="str">
        <x:f>IF('Master'!AA71="","",'Master'!AA71)</x:f>
        <x:v>Yes</x:v>
      </x:c>
      <x:c r="AA6" s="104" t="str">
        <x:f>IF('Master'!AB71="","",'Master'!AB71)</x:f>
        <x:v>Yes</x:v>
      </x:c>
      <x:c r="AB6" s="100" t="str">
        <x:f>IF('Master'!AC71="","",'Master'!AC71)</x:f>
        <x:v>Yes</x:v>
      </x:c>
      <x:c r="AC6" s="100" t="str">
        <x:f>IF('Master'!AD71="","",'Master'!AD71)</x:f>
      </x:c>
      <x:c r="AD6" s="100" t="str">
        <x:f>IF('Master'!AE71="","",'Master'!AE71)</x:f>
        <x:v>Yes</x:v>
      </x:c>
      <x:c r="AE6" s="100" t="str">
        <x:f>IF('Master'!AF71="","",'Master'!AF71)</x:f>
      </x:c>
      <x:c r="AF6" s="75" t="str">
        <x:f>IF('Master'!AG71="","",'Master'!AG71)</x:f>
        <x:v>Stream permissions</x:v>
      </x:c>
    </x:row>
    <x:row r="7" ht="36" customHeight="1">
      <x:c r="A7" s="135" t="str">
        <x:v>Three-State Allow / Deny / Inherit</x:v>
      </x:c>
      <x:c r="B7" s="100" t="str">
        <x:f>IF('Master'!C72="","",'Master'!C72)</x:f>
        <x:v>Partial / permission overwrites</x:v>
      </x:c>
      <x:c r="C7" s="100" t="str">
        <x:f>IF('Master'!D72="","",'Master'!D72)</x:f>
      </x:c>
      <x:c r="D7" s="100" t="str">
        <x:f>IF('Master'!E72="","",'Master'!E72)</x:f>
      </x:c>
      <x:c r="E7" s="100" t="str">
        <x:f>IF('Master'!F72="","",'Master'!F72)</x:f>
      </x:c>
      <x:c r="F7" s="100" t="str">
        <x:f>IF('Master'!G72="","",'Master'!G72)</x:f>
      </x:c>
      <x:c r="G7" s="100" t="str">
        <x:f>IF('Master'!H72="","",'Master'!H72)</x:f>
      </x:c>
      <x:c r="H7" s="100" t="str">
        <x:f>IF('Master'!I72="","",'Master'!I72)</x:f>
      </x:c>
      <x:c r="I7" s="100" t="str">
        <x:f>IF('Master'!J72="","",'Master'!J72)</x:f>
      </x:c>
      <x:c r="J7" s="100" t="str">
        <x:f>IF('Master'!K72="","",'Master'!K72)</x:f>
      </x:c>
      <x:c r="K7" s="100" t="str">
        <x:f>IF('Master'!L72="","",'Master'!L72)</x:f>
        <x:v>Not explicitly documented as a three-state UI model</x:v>
      </x:c>
      <x:c r="L7" s="100" t="str">
        <x:f>IF('Master'!M72="","",'Master'!M72)</x:f>
      </x:c>
      <x:c r="M7" s="100" t="str">
        <x:f>IF('Master'!N72="","",'Master'!N72)</x:f>
      </x:c>
      <x:c r="N7" s="100" t="str">
        <x:f>IF('Master'!O72="","",'Master'!O72)</x:f>
      </x:c>
      <x:c r="O7" s="100" t="str">
        <x:f>IF('Master'!P72="","",'Master'!P72)</x:f>
      </x:c>
      <x:c r="P7" s="100" t="str">
        <x:f>IF('Master'!Q72="","",'Master'!Q72)</x:f>
      </x:c>
      <x:c r="Q7" s="100" t="str">
        <x:f>IF('Master'!R72="","",'Master'!R72)</x:f>
      </x:c>
      <x:c r="R7" s="100" t="str">
        <x:f>IF('Master'!S72="","",'Master'!S72)</x:f>
      </x:c>
      <x:c r="S7" s="100" t="str">
        <x:f>IF('Master'!T72="","",'Master'!T72)</x:f>
      </x:c>
      <x:c r="T7" s="100" t="str">
        <x:f>IF('Master'!U72="","",'Master'!U72)</x:f>
        <x:v>Yes</x:v>
      </x:c>
      <x:c r="U7" s="100" t="str">
        <x:f>IF('Master'!V72="","",'Master'!V72)</x:f>
        <x:v>Yes — explicit allow/deny/inherit</x:v>
      </x:c>
      <x:c r="V7" s="100" t="str">
        <x:f>IF('Master'!W72="","",'Master'!W72)</x:f>
      </x:c>
      <x:c r="W7" s="100" t="str">
        <x:f>IF('Master'!X72="","",'Master'!X72)</x:f>
      </x:c>
      <x:c r="X7" s="100" t="str">
        <x:f>IF('Master'!Y72="","",'Master'!Y72)</x:f>
      </x:c>
      <x:c r="Y7" s="100" t="str">
        <x:f>IF('Master'!Z72="","",'Master'!Z72)</x:f>
      </x:c>
      <x:c r="Z7" s="100" t="str">
        <x:f>IF('Master'!AA72="","",'Master'!AA72)</x:f>
      </x:c>
      <x:c r="AA7" s="104" t="str">
        <x:f>IF('Master'!AB72="","",'Master'!AB72)</x:f>
      </x:c>
      <x:c r="AB7" s="100" t="str">
        <x:f>IF('Master'!AC72="","",'Master'!AC72)</x:f>
      </x:c>
      <x:c r="AC7" s="100" t="str">
        <x:f>IF('Master'!AD72="","",'Master'!AD72)</x:f>
      </x:c>
      <x:c r="AD7" s="100" t="str">
        <x:f>IF('Master'!AE72="","",'Master'!AE72)</x:f>
      </x:c>
      <x:c r="AE7" s="100" t="str">
        <x:f>IF('Master'!AF72="","",'Master'!AF72)</x:f>
      </x:c>
      <x:c r="AF7" s="75" t="str">
        <x:f>IF('Master'!AG72="","",'Master'!AG72)</x:f>
      </x:c>
    </x:row>
    <x:row r="8" ht="22" customHeight="1">
      <x:c r="A8" s="138" t="str">
        <x:v>Structured Conversation</x:v>
      </x:c>
      <x:c r="B8" s="138" t="str">
        <x:f>IF(""="","","")</x:f>
      </x:c>
      <x:c r="C8" s="138" t="str">
        <x:f>IF(""="","","")</x:f>
      </x:c>
      <x:c r="D8" s="138" t="str">
        <x:f>IF(""="","","")</x:f>
      </x:c>
      <x:c r="E8" s="138" t="str">
        <x:f>IF(""="","","")</x:f>
      </x:c>
      <x:c r="F8" s="138" t="str">
        <x:f>IF(""="","","")</x:f>
      </x:c>
      <x:c r="G8" s="138" t="str">
        <x:f>IF(""="","","")</x:f>
      </x:c>
      <x:c r="H8" s="138" t="str">
        <x:f>IF(""="","","")</x:f>
      </x:c>
      <x:c r="I8" s="138" t="str">
        <x:f>IF(""="","","")</x:f>
      </x:c>
      <x:c r="J8" s="138" t="str">
        <x:f>IF(""="","","")</x:f>
      </x:c>
      <x:c r="K8" s="138" t="str">
        <x:f>IF(""="","","")</x:f>
      </x:c>
      <x:c r="L8" s="138" t="str">
        <x:f>IF(""="","","")</x:f>
      </x:c>
      <x:c r="M8" s="138" t="str">
        <x:f>IF(""="","","")</x:f>
      </x:c>
      <x:c r="N8" s="138" t="str">
        <x:f>IF(""="","","")</x:f>
      </x:c>
      <x:c r="O8" s="138" t="str">
        <x:f>IF(""="","","")</x:f>
      </x:c>
      <x:c r="P8" s="138" t="str">
        <x:f>IF(""="","","")</x:f>
      </x:c>
      <x:c r="Q8" s="138" t="str">
        <x:f>IF(""="","","")</x:f>
      </x:c>
      <x:c r="R8" s="138" t="str">
        <x:f>IF(""="","","")</x:f>
      </x:c>
      <x:c r="S8" s="138" t="str">
        <x:f>IF(""="","","")</x:f>
      </x:c>
      <x:c r="T8" s="138" t="str">
        <x:f>IF(""="","","")</x:f>
      </x:c>
      <x:c r="U8" s="138" t="str">
        <x:f>IF(""="","","")</x:f>
      </x:c>
      <x:c r="V8" s="138" t="str">
        <x:f>IF(""="","","")</x:f>
      </x:c>
      <x:c r="W8" s="138" t="str">
        <x:f>IF(""="","","")</x:f>
      </x:c>
      <x:c r="X8" s="138" t="str">
        <x:f>IF(""="","","")</x:f>
      </x:c>
      <x:c r="Y8" s="138" t="str">
        <x:f>IF(""="","","")</x:f>
      </x:c>
      <x:c r="Z8" s="138" t="str">
        <x:f>IF(""="","","")</x:f>
      </x:c>
      <x:c r="AA8" s="138" t="str">
        <x:f>IF(""="","","")</x:f>
      </x:c>
      <x:c r="AB8" s="138" t="str">
        <x:f>IF(""="","","")</x:f>
      </x:c>
      <x:c r="AC8" s="138" t="str">
        <x:f>IF(""="","","")</x:f>
      </x:c>
      <x:c r="AD8" s="138" t="str">
        <x:f>IF(""="","","")</x:f>
      </x:c>
      <x:c r="AE8" s="138" t="str">
        <x:f>IF(""="","","")</x:f>
      </x:c>
      <x:c r="AF8" s="139" t="str">
        <x:f>IF(""="","","")</x:f>
      </x:c>
    </x:row>
    <x:row r="9" ht="36" customHeight="1">
      <x:c r="A9" s="135" t="str">
        <x:v>Forum Channels / Boards</x:v>
      </x:c>
      <x:c r="B9" s="100" t="str">
        <x:f>IF('Master'!C73="","",'Master'!C73)</x:f>
        <x:v>Yes — Forum Channels</x:v>
      </x:c>
      <x:c r="C9" s="100" t="str">
        <x:f>IF('Master'!D73="","",'Master'!D73)</x:f>
        <x:v>Threads</x:v>
      </x:c>
      <x:c r="D9" s="100" t="str">
        <x:f>IF('Master'!E73="","",'Master'!E73)</x:f>
      </x:c>
      <x:c r="E9" s="100" t="str">
        <x:f>IF('Master'!F73="","",'Master'!F73)</x:f>
      </x:c>
      <x:c r="F9" s="100" t="str">
        <x:f>IF('Master'!G73="","",'Master'!G73)</x:f>
        <x:v>Planned; not current</x:v>
      </x:c>
      <x:c r="G9" s="100" t="str">
        <x:f>IF('Master'!H73="","",'Master'!H73)</x:f>
      </x:c>
      <x:c r="H9" s="100" t="str">
        <x:f>IF('Master'!I73="","",'Master'!I73)</x:f>
        <x:v>No native forums verified</x:v>
      </x:c>
      <x:c r="I9" s="100" t="str">
        <x:f>IF('Master'!J73="","",'Master'!J73)</x:f>
      </x:c>
      <x:c r="J9" s="100" t="str">
        <x:f>IF('Master'!K73="","",'Master'!K73)</x:f>
        <x:v>No</x:v>
      </x:c>
      <x:c r="K9" s="100" t="str">
        <x:f>IF('Master'!L73="","",'Master'!L73)</x:f>
        <x:v>Yes</x:v>
      </x:c>
      <x:c r="L9" s="100" t="str">
        <x:f>IF('Master'!M73="","",'Master'!M73)</x:f>
        <x:v>Yes</x:v>
      </x:c>
      <x:c r="M9" s="100" t="str">
        <x:f>IF('Master'!N73="","",'Master'!N73)</x:f>
        <x:v>Yes</x:v>
      </x:c>
      <x:c r="N9" s="100" t="str">
        <x:f>IF('Master'!O73="","",'Master'!O73)</x:f>
        <x:v>Client-dependent</x:v>
      </x:c>
      <x:c r="O9" s="100" t="str">
        <x:f>IF('Master'!P73="","",'Master'!P73)</x:f>
        <x:v>No native forum channel</x:v>
      </x:c>
      <x:c r="P9" s="100" t="str">
        <x:f>IF('Master'!Q73="","",'Master'!Q73)</x:f>
      </x:c>
      <x:c r="Q9" s="100" t="str">
        <x:f>IF('Master'!R73="","",'Master'!R73)</x:f>
        <x:v>N/A</x:v>
      </x:c>
      <x:c r="R9" s="100" t="str">
        <x:f>IF('Master'!S73="","",'Master'!S73)</x:f>
      </x:c>
      <x:c r="S9" s="100" t="str">
        <x:f>IF('Master'!T73="","",'Master'!T73)</x:f>
      </x:c>
      <x:c r="T9" s="100" t="str">
        <x:f>IF('Master'!U73="","",'Master'!U73)</x:f>
      </x:c>
      <x:c r="U9" s="100" t="str">
        <x:f>IF('Master'!V73="","",'Master'!V73)</x:f>
        <x:v>Yes</x:v>
      </x:c>
      <x:c r="V9" s="100" t="str">
        <x:f>IF('Master'!W73="","",'Master'!W73)</x:f>
        <x:v>Discussions/threads rather than forum channel</x:v>
      </x:c>
      <x:c r="W9" s="100" t="str">
        <x:f>IF('Master'!X73="","",'Master'!X73)</x:f>
        <x:v>Forum-like docs/posts</x:v>
      </x:c>
      <x:c r="X9" s="100" t="str">
        <x:f>IF('Master'!Y73="","",'Master'!Y73)</x:f>
        <x:v>No dedicated forum channel verified</x:v>
      </x:c>
      <x:c r="Y9" s="100" t="str">
        <x:f>IF('Master'!Z73="","",'Master'!Z73)</x:f>
      </x:c>
      <x:c r="Z9" s="100" t="str">
        <x:f>IF('Master'!AA73="","",'Master'!AA73)</x:f>
        <x:v>No native forums verified</x:v>
      </x:c>
      <x:c r="AA9" s="104" t="str">
        <x:f>IF('Master'!AB73="","",'Master'!AB73)</x:f>
        <x:v>No native forum verified</x:v>
      </x:c>
      <x:c r="AB9" s="100" t="str">
        <x:f>IF('Master'!AC73="","",'Master'!AC73)</x:f>
        <x:v>Thread feed</x:v>
      </x:c>
      <x:c r="AC9" s="100" t="str">
        <x:f>IF('Master'!AD73="","",'Master'!AD73)</x:f>
      </x:c>
      <x:c r="AD9" s="100" t="str">
        <x:f>IF('Master'!AE73="","",'Master'!AE73)</x:f>
        <x:v>Persistent channels/threads</x:v>
      </x:c>
      <x:c r="AE9" s="100" t="str">
        <x:f>IF('Master'!AF73="","",'Master'!AF73)</x:f>
        <x:v>No</x:v>
      </x:c>
      <x:c r="AF9" s="75" t="str">
        <x:f>IF('Master'!AG73="","",'Master'!AG73)</x:f>
        <x:v>Topic model functions like structured threads rather than forums</x:v>
      </x:c>
    </x:row>
    <x:row r="10" ht="36" customHeight="1">
      <x:c r="A10" s="135" t="str">
        <x:v>Threads</x:v>
      </x:c>
      <x:c r="B10" s="100" t="str">
        <x:f>IF('Master'!C74="","",'Master'!C74)</x:f>
        <x:v>Yes</x:v>
      </x:c>
      <x:c r="C10" s="100" t="str">
        <x:f>IF('Master'!D74="","",'Master'!D74)</x:f>
        <x:v>Yes</x:v>
      </x:c>
      <x:c r="D10" s="100" t="str">
        <x:f>IF('Master'!E74="","",'Master'!E74)</x:f>
      </x:c>
      <x:c r="E10" s="100" t="str">
        <x:f>IF('Master'!F74="","",'Master'!F74)</x:f>
        <x:v>Yes</x:v>
      </x:c>
      <x:c r="F10" s="100" t="str">
        <x:f>IF('Master'!G74="","",'Master'!G74)</x:f>
        <x:v>Planned; not current</x:v>
      </x:c>
      <x:c r="G10" s="100" t="str">
        <x:f>IF('Master'!H74="","",'Master'!H74)</x:f>
      </x:c>
      <x:c r="H10" s="100" t="str">
        <x:f>IF('Master'!I74="","",'Master'!I74)</x:f>
      </x:c>
      <x:c r="I10" s="100" t="str">
        <x:f>IF('Master'!J74="","",'Master'!J74)</x:f>
        <x:v>Threads supported</x:v>
      </x:c>
      <x:c r="J10" s="100" t="str">
        <x:f>IF('Master'!K74="","",'Master'!K74)</x:f>
      </x:c>
      <x:c r="K10" s="100" t="str">
        <x:f>IF('Master'!L74="","",'Master'!L74)</x:f>
        <x:v>Yes</x:v>
      </x:c>
      <x:c r="L10" s="100" t="str">
        <x:f>IF('Master'!M74="","",'Master'!M74)</x:f>
        <x:v>Yes</x:v>
      </x:c>
      <x:c r="M10" s="100" t="str">
        <x:f>IF('Master'!N74="","",'Master'!N74)</x:f>
        <x:v>Yes</x:v>
      </x:c>
      <x:c r="N10" s="100" t="str">
        <x:f>IF('Master'!O74="","",'Master'!O74)</x:f>
        <x:v>Threads supported by capable clients</x:v>
      </x:c>
      <x:c r="O10" s="100" t="str">
        <x:f>IF('Master'!P74="","",'Master'!P74)</x:f>
        <x:v>Yes</x:v>
      </x:c>
      <x:c r="P10" s="100" t="str">
        <x:f>IF('Master'!Q74="","",'Master'!Q74)</x:f>
        <x:v>Yes</x:v>
      </x:c>
      <x:c r="Q10" s="100" t="str">
        <x:f>IF('Master'!R74="","",'Master'!R74)</x:f>
        <x:v>N/A</x:v>
      </x:c>
      <x:c r="R10" s="100" t="str">
        <x:f>IF('Master'!S74="","",'Master'!S74)</x:f>
      </x:c>
      <x:c r="S10" s="100" t="str">
        <x:f>IF('Master'!T74="","",'Master'!T74)</x:f>
      </x:c>
      <x:c r="T10" s="100" t="str">
        <x:f>IF('Master'!U74="","",'Master'!U74)</x:f>
        <x:v>Yes</x:v>
      </x:c>
      <x:c r="U10" s="100" t="str">
        <x:f>IF('Master'!V74="","",'Master'!V74)</x:f>
        <x:v>Yes</x:v>
      </x:c>
      <x:c r="V10" s="100" t="str">
        <x:f>IF('Master'!W74="","",'Master'!W74)</x:f>
        <x:v>Yes</x:v>
      </x:c>
      <x:c r="W10" s="100" t="str">
        <x:f>IF('Master'!X74="","",'Master'!X74)</x:f>
        <x:v>Yes — document/thread model</x:v>
      </x:c>
      <x:c r="X10" s="100" t="str">
        <x:f>IF('Master'!Y74="","",'Master'!Y74)</x:f>
      </x:c>
      <x:c r="Y10" s="100" t="str">
        <x:f>IF('Master'!Z74="","",'Master'!Z74)</x:f>
      </x:c>
      <x:c r="Z10" s="100" t="str">
        <x:f>IF('Master'!AA74="","",'Master'!AA74)</x:f>
      </x:c>
      <x:c r="AA10" s="104" t="str">
        <x:f>IF('Master'!AB74="","",'Master'!AB74)</x:f>
      </x:c>
      <x:c r="AB10" s="100" t="str">
        <x:f>IF('Master'!AC74="","",'Master'!AC74)</x:f>
        <x:v>Yes</x:v>
      </x:c>
      <x:c r="AC10" s="100" t="str">
        <x:f>IF('Master'!AD74="","",'Master'!AD74)</x:f>
      </x:c>
      <x:c r="AD10" s="100" t="str">
        <x:f>IF('Master'!AE74="","",'Master'!AE74)</x:f>
        <x:v>Yes</x:v>
      </x:c>
      <x:c r="AE10" s="100" t="str">
        <x:f>IF('Master'!AF74="","",'Master'!AF74)</x:f>
        <x:v>No</x:v>
      </x:c>
      <x:c r="AF10" s="75" t="str">
        <x:f>IF('Master'!AG74="","",'Master'!AG74)</x:f>
        <x:v>Yes — topics are first-class threading</x:v>
      </x:c>
    </x:row>
    <x:row r="11" ht="36" customHeight="1">
      <x:c r="A11" s="135" t="str">
        <x:v>Private Threads</x:v>
      </x:c>
      <x:c r="B11" s="100" t="str">
        <x:f>IF('Master'!C75="","",'Master'!C75)</x:f>
        <x:v>Yes</x:v>
      </x:c>
      <x:c r="C11" s="100" t="str">
        <x:f>IF('Master'!D75="","",'Master'!D75)</x:f>
      </x:c>
      <x:c r="D11" s="100" t="str">
        <x:f>IF('Master'!E75="","",'Master'!E75)</x:f>
      </x:c>
      <x:c r="E11" s="100" t="str">
        <x:f>IF('Master'!F75="","",'Master'!F75)</x:f>
      </x:c>
      <x:c r="F11" s="100" t="str">
        <x:f>IF('Master'!G75="","",'Master'!G75)</x:f>
      </x:c>
      <x:c r="G11" s="100" t="str">
        <x:f>IF('Master'!H75="","",'Master'!H75)</x:f>
      </x:c>
      <x:c r="H11" s="100" t="str">
        <x:f>IF('Master'!I75="","",'Master'!I75)</x:f>
      </x:c>
      <x:c r="I11" s="100" t="str">
        <x:f>IF('Master'!J75="","",'Master'!J75)</x:f>
      </x:c>
      <x:c r="J11" s="100" t="str">
        <x:f>IF('Master'!K75="","",'Master'!K75)</x:f>
      </x:c>
      <x:c r="K11" s="100" t="str">
        <x:f>IF('Master'!L75="","",'Master'!L75)</x:f>
        <x:v>Yes</x:v>
      </x:c>
      <x:c r="L11" s="100" t="str">
        <x:f>IF('Master'!M75="","",'Master'!M75)</x:f>
      </x:c>
      <x:c r="M11" s="100" t="str">
        <x:f>IF('Master'!N75="","",'Master'!N75)</x:f>
      </x:c>
      <x:c r="N11" s="100" t="str">
        <x:f>IF('Master'!O75="","",'Master'!O75)</x:f>
      </x:c>
      <x:c r="O11" s="100" t="str">
        <x:f>IF('Master'!P75="","",'Master'!P75)</x:f>
      </x:c>
      <x:c r="P11" s="100" t="str">
        <x:f>IF('Master'!Q75="","",'Master'!Q75)</x:f>
      </x:c>
      <x:c r="Q11" s="100" t="str">
        <x:f>IF('Master'!R75="","",'Master'!R75)</x:f>
      </x:c>
      <x:c r="R11" s="100" t="str">
        <x:f>IF('Master'!S75="","",'Master'!S75)</x:f>
      </x:c>
      <x:c r="S11" s="100" t="str">
        <x:f>IF('Master'!T75="","",'Master'!T75)</x:f>
      </x:c>
      <x:c r="T11" s="100" t="str">
        <x:f>IF('Master'!U75="","",'Master'!U75)</x:f>
      </x:c>
      <x:c r="U11" s="100" t="str">
        <x:f>IF('Master'!V75="","",'Master'!V75)</x:f>
        <x:v>Yes</x:v>
      </x:c>
      <x:c r="V11" s="100" t="str">
        <x:f>IF('Master'!W75="","",'Master'!W75)</x:f>
      </x:c>
      <x:c r="W11" s="100" t="str">
        <x:f>IF('Master'!X75="","",'Master'!X75)</x:f>
      </x:c>
      <x:c r="X11" s="100" t="str">
        <x:f>IF('Master'!Y75="","",'Master'!Y75)</x:f>
      </x:c>
      <x:c r="Y11" s="100" t="str">
        <x:f>IF('Master'!Z75="","",'Master'!Z75)</x:f>
      </x:c>
      <x:c r="Z11" s="100" t="str">
        <x:f>IF('Master'!AA75="","",'Master'!AA75)</x:f>
      </x:c>
      <x:c r="AA11" s="104" t="str">
        <x:f>IF('Master'!AB75="","",'Master'!AB75)</x:f>
      </x:c>
      <x:c r="AB11" s="100" t="str">
        <x:f>IF('Master'!AC75="","",'Master'!AC75)</x:f>
      </x:c>
      <x:c r="AC11" s="100" t="str">
        <x:f>IF('Master'!AD75="","",'Master'!AD75)</x:f>
      </x:c>
      <x:c r="AD11" s="100" t="str">
        <x:f>IF('Master'!AE75="","",'Master'!AE75)</x:f>
      </x:c>
      <x:c r="AE11" s="100" t="str">
        <x:f>IF('Master'!AF75="","",'Master'!AF75)</x:f>
      </x:c>
      <x:c r="AF11" s="75" t="str">
        <x:f>IF('Master'!AG75="","",'Master'!AG75)</x:f>
      </x:c>
    </x:row>
    <x:row r="12" ht="36" customHeight="1">
      <x:c r="A12" s="135" t="str">
        <x:v>Forum Tags / Flair</x:v>
      </x:c>
      <x:c r="B12" s="100" t="str">
        <x:f>IF('Master'!C76="","",'Master'!C76)</x:f>
        <x:v>Yes</x:v>
      </x:c>
      <x:c r="C12" s="100" t="str">
        <x:f>IF('Master'!D76="","",'Master'!D76)</x:f>
      </x:c>
      <x:c r="D12" s="100" t="str">
        <x:f>IF('Master'!E76="","",'Master'!E76)</x:f>
      </x:c>
      <x:c r="E12" s="100" t="str">
        <x:f>IF('Master'!F76="","",'Master'!F76)</x:f>
      </x:c>
      <x:c r="F12" s="100" t="str">
        <x:f>IF('Master'!G76="","",'Master'!G76)</x:f>
      </x:c>
      <x:c r="G12" s="100" t="str">
        <x:f>IF('Master'!H76="","",'Master'!H76)</x:f>
      </x:c>
      <x:c r="H12" s="100" t="str">
        <x:f>IF('Master'!I76="","",'Master'!I76)</x:f>
      </x:c>
      <x:c r="I12" s="100" t="str">
        <x:f>IF('Master'!J76="","",'Master'!J76)</x:f>
      </x:c>
      <x:c r="J12" s="100" t="str">
        <x:f>IF('Master'!K76="","",'Master'!K76)</x:f>
      </x:c>
      <x:c r="K12" s="100" t="str">
        <x:f>IF('Master'!L76="","",'Master'!L76)</x:f>
        <x:v>Yes — forum/thread metadata includes tags; exact tag UX/limits not fully reviewed</x:v>
      </x:c>
      <x:c r="L12" s="100" t="str">
        <x:f>IF('Master'!M76="","",'Master'!M76)</x:f>
      </x:c>
      <x:c r="M12" s="100" t="str">
        <x:f>IF('Master'!N76="","",'Master'!N76)</x:f>
      </x:c>
      <x:c r="N12" s="100" t="str">
        <x:f>IF('Master'!O76="","",'Master'!O76)</x:f>
      </x:c>
      <x:c r="O12" s="100" t="str">
        <x:f>IF('Master'!P76="","",'Master'!P76)</x:f>
      </x:c>
      <x:c r="P12" s="100" t="str">
        <x:f>IF('Master'!Q76="","",'Master'!Q76)</x:f>
      </x:c>
      <x:c r="Q12" s="100" t="str">
        <x:f>IF('Master'!R76="","",'Master'!R76)</x:f>
      </x:c>
      <x:c r="R12" s="100" t="str">
        <x:f>IF('Master'!S76="","",'Master'!S76)</x:f>
      </x:c>
      <x:c r="S12" s="100" t="str">
        <x:f>IF('Master'!T76="","",'Master'!T76)</x:f>
      </x:c>
      <x:c r="T12" s="100" t="str">
        <x:f>IF('Master'!U76="","",'Master'!U76)</x:f>
      </x:c>
      <x:c r="U12" s="100" t="str">
        <x:f>IF('Master'!V76="","",'Master'!V76)</x:f>
        <x:v>Yes — tags, flair, tag groups &amp; filters</x:v>
      </x:c>
      <x:c r="V12" s="100" t="str">
        <x:f>IF('Master'!W76="","",'Master'!W76)</x:f>
      </x:c>
      <x:c r="W12" s="100" t="str">
        <x:f>IF('Master'!X76="","",'Master'!X76)</x:f>
      </x:c>
      <x:c r="X12" s="100" t="str">
        <x:f>IF('Master'!Y76="","",'Master'!Y76)</x:f>
      </x:c>
      <x:c r="Y12" s="100" t="str">
        <x:f>IF('Master'!Z76="","",'Master'!Z76)</x:f>
      </x:c>
      <x:c r="Z12" s="100" t="str">
        <x:f>IF('Master'!AA76="","",'Master'!AA76)</x:f>
      </x:c>
      <x:c r="AA12" s="104" t="str">
        <x:f>IF('Master'!AB76="","",'Master'!AB76)</x:f>
      </x:c>
      <x:c r="AB12" s="100" t="str">
        <x:f>IF('Master'!AC76="","",'Master'!AC76)</x:f>
      </x:c>
      <x:c r="AC12" s="100" t="str">
        <x:f>IF('Master'!AD76="","",'Master'!AD76)</x:f>
      </x:c>
      <x:c r="AD12" s="100" t="str">
        <x:f>IF('Master'!AE76="","",'Master'!AE76)</x:f>
      </x:c>
      <x:c r="AE12" s="100" t="str">
        <x:f>IF('Master'!AF76="","",'Master'!AF76)</x:f>
      </x:c>
      <x:c r="AF12" s="75" t="str">
        <x:f>IF('Master'!AG76="","",'Master'!AG76)</x:f>
      </x:c>
    </x:row>
    <x:row r="13" ht="36" customHeight="1">
      <x:c r="A13" s="135" t="str">
        <x:v>Polls</x:v>
      </x:c>
      <x:c r="B13" s="100" t="str">
        <x:f>IF('Master'!C77="","",'Master'!C77)</x:f>
        <x:v>Yes</x:v>
      </x:c>
      <x:c r="C13" s="100" t="str">
        <x:f>IF('Master'!D77="","",'Master'!D77)</x:f>
      </x:c>
      <x:c r="D13" s="100" t="str">
        <x:f>IF('Master'!E77="","",'Master'!E77)</x:f>
      </x:c>
      <x:c r="E13" s="100" t="str">
        <x:f>IF('Master'!F77="","",'Master'!F77)</x:f>
      </x:c>
      <x:c r="F13" s="100" t="str">
        <x:f>IF('Master'!G77="","",'Master'!G77)</x:f>
      </x:c>
      <x:c r="G13" s="100" t="str">
        <x:f>IF('Master'!H77="","",'Master'!H77)</x:f>
      </x:c>
      <x:c r="H13" s="100" t="str">
        <x:f>IF('Master'!I77="","",'Master'!I77)</x:f>
        <x:v>Yes</x:v>
      </x:c>
      <x:c r="I13" s="100" t="str">
        <x:f>IF('Master'!J77="","",'Master'!J77)</x:f>
      </x:c>
      <x:c r="J13" s="100" t="str">
        <x:f>IF('Master'!K77="","",'Master'!K77)</x:f>
        <x:v>No</x:v>
      </x:c>
      <x:c r="K13" s="100" t="str">
        <x:f>IF('Master'!L77="","",'Master'!L77)</x:f>
        <x:v>Polls exist as message/application content; no dedicated poll channel type verified</x:v>
      </x:c>
      <x:c r="L13" s="100" t="str">
        <x:f>IF('Master'!M77="","",'Master'!M77)</x:f>
      </x:c>
      <x:c r="M13" s="100" t="str">
        <x:f>IF('Master'!N77="","",'Master'!N77)</x:f>
        <x:v>Yes</x:v>
      </x:c>
      <x:c r="N13" s="100" t="str">
        <x:f>IF('Master'!O77="","",'Master'!O77)</x:f>
        <x:v>Matrix poll events supported by capable clients</x:v>
      </x:c>
      <x:c r="O13" s="100" t="str">
        <x:f>IF('Master'!P77="","",'Master'!P77)</x:f>
        <x:v>Polls via integrations/plugins</x:v>
      </x:c>
      <x:c r="P13" s="100" t="str">
        <x:f>IF('Master'!Q77="","",'Master'!Q77)</x:f>
      </x:c>
      <x:c r="Q13" s="100" t="str">
        <x:f>IF('Master'!R77="","",'Master'!R77)</x:f>
        <x:v>N/A</x:v>
      </x:c>
      <x:c r="R13" s="100" t="str">
        <x:f>IF('Master'!S77="","",'Master'!S77)</x:f>
      </x:c>
      <x:c r="S13" s="100" t="str">
        <x:f>IF('Master'!T77="","",'Master'!T77)</x:f>
      </x:c>
      <x:c r="T13" s="100" t="str">
        <x:f>IF('Master'!U77="","",'Master'!U77)</x:f>
        <x:v>Yes</x:v>
      </x:c>
      <x:c r="U13" s="100" t="str">
        <x:f>IF('Master'!V77="","",'Master'!V77)</x:f>
        <x:v>Yes</x:v>
      </x:c>
      <x:c r="V13" s="100" t="str">
        <x:f>IF('Master'!W77="","",'Master'!W77)</x:f>
        <x:v>Polls/apps</x:v>
      </x:c>
      <x:c r="W13" s="100" t="str">
        <x:f>IF('Master'!X77="","",'Master'!X77)</x:f>
      </x:c>
      <x:c r="X13" s="100" t="str">
        <x:f>IF('Master'!Y77="","",'Master'!Y77)</x:f>
        <x:v>Polling via app</x:v>
      </x:c>
      <x:c r="Y13" s="100" t="str">
        <x:f>IF('Master'!Z77="","",'Master'!Z77)</x:f>
      </x:c>
      <x:c r="Z13" s="100" t="str">
        <x:f>IF('Master'!AA77="","",'Master'!AA77)</x:f>
        <x:v>No native polls verified</x:v>
      </x:c>
      <x:c r="AA13" s="104" t="str">
        <x:f>IF('Master'!AB77="","",'Master'!AB77)</x:f>
      </x:c>
      <x:c r="AB13" s="100" t="str">
        <x:f>IF('Master'!AC77="","",'Master'!AC77)</x:f>
      </x:c>
      <x:c r="AC13" s="100" t="str">
        <x:f>IF('Master'!AD77="","",'Master'!AD77)</x:f>
      </x:c>
      <x:c r="AD13" s="100" t="str">
        <x:f>IF('Master'!AE77="","",'Master'!AE77)</x:f>
      </x:c>
      <x:c r="AE13" s="100" t="str">
        <x:f>IF('Master'!AF77="","",'Master'!AF77)</x:f>
        <x:v>No</x:v>
      </x:c>
      <x:c r="AF13" s="75" t="str">
        <x:f>IF('Master'!AG77="","",'Master'!AG77)</x:f>
      </x:c>
    </x:row>
    <x:row r="14" ht="36" customHeight="1">
      <x:c r="A14" s="135" t="str">
        <x:v>Scheduled Community Events</x:v>
      </x:c>
      <x:c r="B14" s="100" t="str">
        <x:f>IF('Master'!C78="","",'Master'!C78)</x:f>
        <x:v>Yes — Scheduled Events</x:v>
      </x:c>
      <x:c r="C14" s="100" t="str">
        <x:f>IF('Master'!D78="","",'Master'!D78)</x:f>
        <x:v>Yes</x:v>
      </x:c>
      <x:c r="D14" s="100" t="str">
        <x:f>IF('Master'!E78="","",'Master'!E78)</x:f>
      </x:c>
      <x:c r="E14" s="100" t="str">
        <x:f>IF('Master'!F78="","",'Master'!F78)</x:f>
      </x:c>
      <x:c r="F14" s="100" t="str">
        <x:f>IF('Master'!G78="","",'Master'!G78)</x:f>
        <x:v>Yes — events</x:v>
      </x:c>
      <x:c r="G14" s="100" t="str">
        <x:f>IF('Master'!H78="","",'Master'!H78)</x:f>
      </x:c>
      <x:c r="H14" s="100" t="str">
        <x:f>IF('Master'!I78="","",'Master'!I78)</x:f>
        <x:v>Yes</x:v>
      </x:c>
      <x:c r="I14" s="100" t="str">
        <x:f>IF('Master'!J78="","",'Master'!J78)</x:f>
      </x:c>
      <x:c r="J14" s="100" t="str">
        <x:f>IF('Master'!K78="","",'Master'!K78)</x:f>
        <x:v>No</x:v>
      </x:c>
      <x:c r="K14" s="100" t="str">
        <x:f>IF('Master'!L78="","",'Master'!L78)</x:f>
        <x:v>Yes</x:v>
      </x:c>
      <x:c r="L14" s="100" t="str">
        <x:f>IF('Master'!M78="","",'Master'!M78)</x:f>
        <x:v>Yes — calendars/events</x:v>
      </x:c>
      <x:c r="M14" s="100" t="str">
        <x:f>IF('Master'!N78="","",'Master'!N78)</x:f>
        <x:v>Yes</x:v>
      </x:c>
      <x:c r="N14" s="100" t="str">
        <x:f>IF('Master'!O78="","",'Master'!O78)</x:f>
        <x:v>Client-dependent</x:v>
      </x:c>
      <x:c r="O14" s="100" t="str">
        <x:f>IF('Master'!P78="","",'Master'!P78)</x:f>
        <x:v>Playbooks/events/integrations; no Discord Scheduled Events equivalent</x:v>
      </x:c>
      <x:c r="P14" s="100" t="str">
        <x:f>IF('Master'!Q78="","",'Master'!Q78)</x:f>
        <x:v>Yes</x:v>
      </x:c>
      <x:c r="Q14" s="100" t="str">
        <x:f>IF('Master'!R78="","",'Master'!R78)</x:f>
        <x:v>N/A</x:v>
      </x:c>
      <x:c r="R14" s="100" t="str">
        <x:f>IF('Master'!S78="","",'Master'!S78)</x:f>
      </x:c>
      <x:c r="S14" s="100" t="str">
        <x:f>IF('Master'!T78="","",'Master'!T78)</x:f>
      </x:c>
      <x:c r="T14" s="100" t="str">
        <x:f>IF('Master'!U78="","",'Master'!U78)</x:f>
      </x:c>
      <x:c r="U14" s="100" t="str">
        <x:f>IF('Master'!V78="","",'Master'!V78)</x:f>
        <x:v>Yes</x:v>
      </x:c>
      <x:c r="V14" s="100" t="str">
        <x:f>IF('Master'!W78="","",'Master'!W78)</x:f>
        <x:v>Calendar/apps/integrations; no Discord event equivalent core</x:v>
      </x:c>
      <x:c r="W14" s="100" t="str">
        <x:f>IF('Master'!X78="","",'Master'!X78)</x:f>
      </x:c>
      <x:c r="X14" s="100" t="str">
        <x:f>IF('Master'!Y78="","",'Master'!Y78)</x:f>
        <x:v>Events/raid planning via apps</x:v>
      </x:c>
      <x:c r="Y14" s="100" t="str">
        <x:f>IF('Master'!Z78="","",'Master'!Z78)</x:f>
      </x:c>
      <x:c r="Z14" s="100" t="str">
        <x:f>IF('Master'!AA78="","",'Master'!AA78)</x:f>
        <x:v>No native scheduled events verified</x:v>
      </x:c>
      <x:c r="AA14" s="104" t="str">
        <x:f>IF('Master'!AB78="","",'Master'!AB78)</x:f>
      </x:c>
      <x:c r="AB14" s="100" t="str">
        <x:f>IF('Master'!AC78="","",'Master'!AC78)</x:f>
        <x:v>Events/economy tooling</x:v>
      </x:c>
      <x:c r="AC14" s="100" t="str">
        <x:f>IF('Master'!AD78="","",'Master'!AD78)</x:f>
      </x:c>
      <x:c r="AD14" s="100" t="str">
        <x:f>IF('Master'!AE78="","",'Master'!AE78)</x:f>
        <x:v>Built-in events/tournaments</x:v>
      </x:c>
      <x:c r="AE14" s="100" t="str">
        <x:f>IF('Master'!AF78="","",'Master'!AF78)</x:f>
        <x:v>No</x:v>
      </x:c>
      <x:c r="AF14" s="75" t="str">
        <x:f>IF('Master'!AG78="","",'Master'!AG78)</x:f>
        <x:v>No Discord-style server events; integrations possible</x:v>
      </x:c>
    </x:row>
    <x:row r="15" ht="36" customHeight="1">
      <x:c r="A15" s="135" t="str">
        <x:v>Forms / Structured Responses</x:v>
      </x:c>
      <x:c r="B15" s="100" t="str">
        <x:f>IF('Master'!C79="","",'Master'!C79)</x:f>
        <x:v>Via apps/bots; no native channel form</x:v>
      </x:c>
      <x:c r="C15" s="100" t="str">
        <x:f>IF('Master'!D79="","",'Master'!D79)</x:f>
      </x:c>
      <x:c r="D15" s="100" t="str">
        <x:f>IF('Master'!E79="","",'Master'!E79)</x:f>
      </x:c>
      <x:c r="E15" s="100" t="str">
        <x:f>IF('Master'!F79="","",'Master'!F79)</x:f>
      </x:c>
      <x:c r="F15" s="100" t="str">
        <x:f>IF('Master'!G79="","",'Master'!G79)</x:f>
      </x:c>
      <x:c r="G15" s="100" t="str">
        <x:f>IF('Master'!H79="","",'Master'!H79)</x:f>
      </x:c>
      <x:c r="H15" s="100" t="str">
        <x:f>IF('Master'!I79="","",'Master'!I79)</x:f>
      </x:c>
      <x:c r="I15" s="100" t="str">
        <x:f>IF('Master'!J79="","",'Master'!J79)</x:f>
      </x:c>
      <x:c r="J15" s="100" t="str">
        <x:f>IF('Master'!K79="","",'Master'!K79)</x:f>
      </x:c>
      <x:c r="K15" s="100" t="str">
        <x:f>IF('Master'!L79="","",'Master'!L79)</x:f>
      </x:c>
      <x:c r="L15" s="100" t="str">
        <x:f>IF('Master'!M79="","",'Master'!M79)</x:f>
      </x:c>
      <x:c r="M15" s="100" t="str">
        <x:f>IF('Master'!N79="","",'Master'!N79)</x:f>
      </x:c>
      <x:c r="N15" s="100" t="str">
        <x:f>IF('Master'!O79="","",'Master'!O79)</x:f>
      </x:c>
      <x:c r="O15" s="100" t="str">
        <x:f>IF('Master'!P79="","",'Master'!P79)</x:f>
        <x:v>Plugins/integrations</x:v>
      </x:c>
      <x:c r="P15" s="100" t="str">
        <x:f>IF('Master'!Q79="","",'Master'!Q79)</x:f>
      </x:c>
      <x:c r="Q15" s="100" t="str">
        <x:f>IF('Master'!R79="","",'Master'!R79)</x:f>
      </x:c>
      <x:c r="R15" s="100" t="str">
        <x:f>IF('Master'!S79="","",'Master'!S79)</x:f>
      </x:c>
      <x:c r="S15" s="100" t="str">
        <x:f>IF('Master'!T79="","",'Master'!T79)</x:f>
      </x:c>
      <x:c r="T15" s="100" t="str">
        <x:f>IF('Master'!U79="","",'Master'!U79)</x:f>
      </x:c>
      <x:c r="U15" s="100" t="str">
        <x:f>IF('Master'!V79="","",'Master'!V79)</x:f>
        <x:v>Yes — native forms</x:v>
      </x:c>
      <x:c r="V15" s="100" t="str">
        <x:f>IF('Master'!W79="","",'Master'!W79)</x:f>
        <x:v>Apps/integrations</x:v>
      </x:c>
      <x:c r="W15" s="100" t="str">
        <x:f>IF('Master'!X79="","",'Master'!X79)</x:f>
      </x:c>
      <x:c r="X15" s="100" t="str">
        <x:f>IF('Master'!Y79="","",'Master'!Y79)</x:f>
      </x:c>
      <x:c r="Y15" s="100" t="str">
        <x:f>IF('Master'!Z79="","",'Master'!Z79)</x:f>
      </x:c>
      <x:c r="Z15" s="100" t="str">
        <x:f>IF('Master'!AA79="","",'Master'!AA79)</x:f>
      </x:c>
      <x:c r="AA15" s="104" t="str">
        <x:f>IF('Master'!AB79="","",'Master'!AB79)</x:f>
      </x:c>
      <x:c r="AB15" s="100" t="str">
        <x:f>IF('Master'!AC79="","",'Master'!AC79)</x:f>
      </x:c>
      <x:c r="AC15" s="100" t="str">
        <x:f>IF('Master'!AD79="","",'Master'!AD79)</x:f>
      </x:c>
      <x:c r="AD15" s="100" t="str">
        <x:f>IF('Master'!AE79="","",'Master'!AE79)</x:f>
      </x:c>
      <x:c r="AE15" s="100" t="str">
        <x:f>IF('Master'!AF79="","",'Master'!AF79)</x:f>
      </x:c>
      <x:c r="AF15" s="75" t="str">
        <x:f>IF('Master'!AG79="","",'Master'!AG79)</x:f>
      </x:c>
    </x:row>
    <x:row r="16" ht="22" customHeight="1">
      <x:c r="A16" s="138" t="str">
        <x:v>Message Automation</x:v>
      </x:c>
      <x:c r="B16" s="138" t="str">
        <x:f>IF(""="","","")</x:f>
      </x:c>
      <x:c r="C16" s="138" t="str">
        <x:f>IF(""="","","")</x:f>
      </x:c>
      <x:c r="D16" s="138" t="str">
        <x:f>IF(""="","","")</x:f>
      </x:c>
      <x:c r="E16" s="138" t="str">
        <x:f>IF(""="","","")</x:f>
      </x:c>
      <x:c r="F16" s="138" t="str">
        <x:f>IF(""="","","")</x:f>
      </x:c>
      <x:c r="G16" s="138" t="str">
        <x:f>IF(""="","","")</x:f>
      </x:c>
      <x:c r="H16" s="138" t="str">
        <x:f>IF(""="","","")</x:f>
      </x:c>
      <x:c r="I16" s="138" t="str">
        <x:f>IF(""="","","")</x:f>
      </x:c>
      <x:c r="J16" s="138" t="str">
        <x:f>IF(""="","","")</x:f>
      </x:c>
      <x:c r="K16" s="138" t="str">
        <x:f>IF(""="","","")</x:f>
      </x:c>
      <x:c r="L16" s="138" t="str">
        <x:f>IF(""="","","")</x:f>
      </x:c>
      <x:c r="M16" s="138" t="str">
        <x:f>IF(""="","","")</x:f>
      </x:c>
      <x:c r="N16" s="138" t="str">
        <x:f>IF(""="","","")</x:f>
      </x:c>
      <x:c r="O16" s="138" t="str">
        <x:f>IF(""="","","")</x:f>
      </x:c>
      <x:c r="P16" s="138" t="str">
        <x:f>IF(""="","","")</x:f>
      </x:c>
      <x:c r="Q16" s="138" t="str">
        <x:f>IF(""="","","")</x:f>
      </x:c>
      <x:c r="R16" s="138" t="str">
        <x:f>IF(""="","","")</x:f>
      </x:c>
      <x:c r="S16" s="138" t="str">
        <x:f>IF(""="","","")</x:f>
      </x:c>
      <x:c r="T16" s="138" t="str">
        <x:f>IF(""="","","")</x:f>
      </x:c>
      <x:c r="U16" s="138" t="str">
        <x:f>IF(""="","","")</x:f>
      </x:c>
      <x:c r="V16" s="138" t="str">
        <x:f>IF(""="","","")</x:f>
      </x:c>
      <x:c r="W16" s="138" t="str">
        <x:f>IF(""="","","")</x:f>
      </x:c>
      <x:c r="X16" s="138" t="str">
        <x:f>IF(""="","","")</x:f>
      </x:c>
      <x:c r="Y16" s="138" t="str">
        <x:f>IF(""="","","")</x:f>
      </x:c>
      <x:c r="Z16" s="138" t="str">
        <x:f>IF(""="","","")</x:f>
      </x:c>
      <x:c r="AA16" s="138" t="str">
        <x:f>IF(""="","","")</x:f>
      </x:c>
      <x:c r="AB16" s="138" t="str">
        <x:f>IF(""="","","")</x:f>
      </x:c>
      <x:c r="AC16" s="138" t="str">
        <x:f>IF(""="","","")</x:f>
      </x:c>
      <x:c r="AD16" s="138" t="str">
        <x:f>IF(""="","","")</x:f>
      </x:c>
      <x:c r="AE16" s="138" t="str">
        <x:f>IF(""="","","")</x:f>
      </x:c>
      <x:c r="AF16" s="139" t="str">
        <x:f>IF(""="","","")</x:f>
      </x:c>
    </x:row>
    <x:row r="17" ht="36" customHeight="1">
      <x:c r="A17" s="135" t="str">
        <x:v>Scheduled Messages</x:v>
      </x:c>
      <x:c r="B17" s="100" t="str">
        <x:f>IF('Master'!C80="","",'Master'!C80)</x:f>
        <x:v>No native scheduled send</x:v>
      </x:c>
      <x:c r="C17" s="100" t="str">
        <x:f>IF('Master'!D80="","",'Master'!D80)</x:f>
      </x:c>
      <x:c r="D17" s="100" t="str">
        <x:f>IF('Master'!E80="","",'Master'!E80)</x:f>
      </x:c>
      <x:c r="E17" s="100" t="str">
        <x:f>IF('Master'!F80="","",'Master'!F80)</x:f>
      </x:c>
      <x:c r="F17" s="100" t="str">
        <x:f>IF('Master'!G80="","",'Master'!G80)</x:f>
      </x:c>
      <x:c r="G17" s="100" t="str">
        <x:f>IF('Master'!H80="","",'Master'!H80)</x:f>
      </x:c>
      <x:c r="H17" s="100" t="str">
        <x:f>IF('Master'!I80="","",'Master'!I80)</x:f>
      </x:c>
      <x:c r="I17" s="100" t="str">
        <x:f>IF('Master'!J80="","",'Master'!J80)</x:f>
      </x:c>
      <x:c r="J17" s="100" t="str">
        <x:f>IF('Master'!K80="","",'Master'!K80)</x:f>
      </x:c>
      <x:c r="K17" s="100" t="str">
        <x:f>IF('Master'!L80="","",'Master'!L80)</x:f>
      </x:c>
      <x:c r="L17" s="100" t="str">
        <x:f>IF('Master'!M80="","",'Master'!M80)</x:f>
      </x:c>
      <x:c r="M17" s="100" t="str">
        <x:f>IF('Master'!N80="","",'Master'!N80)</x:f>
      </x:c>
      <x:c r="N17" s="100" t="str">
        <x:f>IF('Master'!O80="","",'Master'!O80)</x:f>
      </x:c>
      <x:c r="O17" s="100" t="str">
        <x:f>IF('Master'!P80="","",'Master'!P80)</x:f>
      </x:c>
      <x:c r="P17" s="100" t="str">
        <x:f>IF('Master'!Q80="","",'Master'!Q80)</x:f>
      </x:c>
      <x:c r="Q17" s="100" t="str">
        <x:f>IF('Master'!R80="","",'Master'!R80)</x:f>
      </x:c>
      <x:c r="R17" s="100" t="str">
        <x:f>IF('Master'!S80="","",'Master'!S80)</x:f>
      </x:c>
      <x:c r="S17" s="100" t="str">
        <x:f>IF('Master'!T80="","",'Master'!T80)</x:f>
      </x:c>
      <x:c r="T17" s="100" t="str">
        <x:f>IF('Master'!U80="","",'Master'!U80)</x:f>
      </x:c>
      <x:c r="U17" s="100" t="str">
        <x:f>IF('Master'!V80="","",'Master'!V80)</x:f>
        <x:v>Yes</x:v>
      </x:c>
      <x:c r="V17" s="100" t="str">
        <x:f>IF('Master'!W80="","",'Master'!W80)</x:f>
      </x:c>
      <x:c r="W17" s="100" t="str">
        <x:f>IF('Master'!X80="","",'Master'!X80)</x:f>
      </x:c>
      <x:c r="X17" s="100" t="str">
        <x:f>IF('Master'!Y80="","",'Master'!Y80)</x:f>
      </x:c>
      <x:c r="Y17" s="100" t="str">
        <x:f>IF('Master'!Z80="","",'Master'!Z80)</x:f>
      </x:c>
      <x:c r="Z17" s="100" t="str">
        <x:f>IF('Master'!AA80="","",'Master'!AA80)</x:f>
      </x:c>
      <x:c r="AA17" s="104" t="str">
        <x:f>IF('Master'!AB80="","",'Master'!AB80)</x:f>
      </x:c>
      <x:c r="AB17" s="100" t="str">
        <x:f>IF('Master'!AC80="","",'Master'!AC80)</x:f>
      </x:c>
      <x:c r="AC17" s="100" t="str">
        <x:f>IF('Master'!AD80="","",'Master'!AD80)</x:f>
      </x:c>
      <x:c r="AD17" s="100" t="str">
        <x:f>IF('Master'!AE80="","",'Master'!AE80)</x:f>
      </x:c>
      <x:c r="AE17" s="100" t="str">
        <x:f>IF('Master'!AF80="","",'Master'!AF80)</x:f>
      </x:c>
      <x:c r="AF17" s="75" t="str">
        <x:f>IF('Master'!AG80="","",'Master'!AG80)</x:f>
        <x:v>Yes — scheduled messages</x:v>
      </x:c>
    </x:row>
    <x:row r="18" ht="36" customHeight="1">
      <x:c r="A18" s="135" t="str">
        <x:v>Disappearing / Auto-Delete Messages</x:v>
      </x:c>
      <x:c r="B18" s="100" t="str">
        <x:f>IF('Master'!C81="","",'Master'!C81)</x:f>
        <x:v>No general native per-channel timer</x:v>
      </x:c>
      <x:c r="C18" s="100" t="str">
        <x:f>IF('Master'!D81="","",'Master'!D81)</x:f>
      </x:c>
      <x:c r="D18" s="100" t="str">
        <x:f>IF('Master'!E81="","",'Master'!E81)</x:f>
      </x:c>
      <x:c r="E18" s="100" t="str">
        <x:f>IF('Master'!F81="","",'Master'!F81)</x:f>
      </x:c>
      <x:c r="F18" s="100" t="str">
        <x:f>IF('Master'!G81="","",'Master'!G81)</x:f>
      </x:c>
      <x:c r="G18" s="100" t="str">
        <x:f>IF('Master'!H81="","",'Master'!H81)</x:f>
      </x:c>
      <x:c r="H18" s="100" t="str">
        <x:f>IF('Master'!I81="","",'Master'!I81)</x:f>
      </x:c>
      <x:c r="I18" s="100" t="str">
        <x:f>IF('Master'!J81="","",'Master'!J81)</x:f>
      </x:c>
      <x:c r="J18" s="100" t="str">
        <x:f>IF('Master'!K81="","",'Master'!K81)</x:f>
      </x:c>
      <x:c r="K18" s="100" t="str">
        <x:f>IF('Master'!L81="","",'Master'!L81)</x:f>
      </x:c>
      <x:c r="L18" s="100" t="str">
        <x:f>IF('Master'!M81="","",'Master'!M81)</x:f>
      </x:c>
      <x:c r="M18" s="100" t="str">
        <x:f>IF('Master'!N81="","",'Master'!N81)</x:f>
      </x:c>
      <x:c r="N18" s="100" t="str">
        <x:f>IF('Master'!O81="","",'Master'!O81)</x:f>
        <x:v>Client/server dependent</x:v>
      </x:c>
      <x:c r="O18" s="100" t="str">
        <x:f>IF('Master'!P81="","",'Master'!P81)</x:f>
      </x:c>
      <x:c r="P18" s="100" t="str">
        <x:f>IF('Master'!Q81="","",'Master'!Q81)</x:f>
      </x:c>
      <x:c r="Q18" s="100" t="str">
        <x:f>IF('Master'!R81="","",'Master'!R81)</x:f>
      </x:c>
      <x:c r="R18" s="100" t="str">
        <x:f>IF('Master'!S81="","",'Master'!S81)</x:f>
      </x:c>
      <x:c r="S18" s="100" t="str">
        <x:f>IF('Master'!T81="","",'Master'!T81)</x:f>
      </x:c>
      <x:c r="T18" s="100" t="str">
        <x:f>IF('Master'!U81="","",'Master'!U81)</x:f>
      </x:c>
      <x:c r="U18" s="100" t="str">
        <x:f>IF('Master'!V81="","",'Master'!V81)</x:f>
        <x:v>Yes — per-channel</x:v>
      </x:c>
      <x:c r="V18" s="100" t="str">
        <x:f>IF('Master'!W81="","",'Master'!W81)</x:f>
      </x:c>
      <x:c r="W18" s="100" t="str">
        <x:f>IF('Master'!X81="","",'Master'!X81)</x:f>
      </x:c>
      <x:c r="X18" s="100" t="str">
        <x:f>IF('Master'!Y81="","",'Master'!Y81)</x:f>
      </x:c>
      <x:c r="Y18" s="100" t="str">
        <x:f>IF('Master'!Z81="","",'Master'!Z81)</x:f>
      </x:c>
      <x:c r="Z18" s="100" t="str">
        <x:f>IF('Master'!AA81="","",'Master'!AA81)</x:f>
      </x:c>
      <x:c r="AA18" s="104" t="str">
        <x:f>IF('Master'!AB81="","",'Master'!AB81)</x:f>
      </x:c>
      <x:c r="AB18" s="100" t="str">
        <x:f>IF('Master'!AC81="","",'Master'!AC81)</x:f>
      </x:c>
      <x:c r="AC18" s="100" t="str">
        <x:f>IF('Master'!AD81="","",'Master'!AD81)</x:f>
      </x:c>
      <x:c r="AD18" s="100" t="str">
        <x:f>IF('Master'!AE81="","",'Master'!AE81)</x:f>
      </x:c>
      <x:c r="AE18" s="100" t="str">
        <x:f>IF('Master'!AF81="","",'Master'!AF81)</x:f>
      </x:c>
      <x:c r="AF18" s="75" t="str">
        <x:f>IF('Master'!AG81="","",'Master'!AG81)</x:f>
      </x:c>
    </x:row>
    <x:row r="19" ht="36" customHeight="1">
      <x:c r="A19" s="135" t="str">
        <x:v>Message Forwarding Controls</x:v>
      </x:c>
      <x:c r="B19" s="100" t="str">
        <x:f>IF('Master'!C82="","",'Master'!C82)</x:f>
        <x:v>Limited</x:v>
      </x:c>
      <x:c r="C19" s="100" t="str">
        <x:f>IF('Master'!D82="","",'Master'!D82)</x:f>
      </x:c>
      <x:c r="D19" s="100" t="str">
        <x:f>IF('Master'!E82="","",'Master'!E82)</x:f>
      </x:c>
      <x:c r="E19" s="100" t="str">
        <x:f>IF('Master'!F82="","",'Master'!F82)</x:f>
      </x:c>
      <x:c r="F19" s="100" t="str">
        <x:f>IF('Master'!G82="","",'Master'!G82)</x:f>
      </x:c>
      <x:c r="G19" s="100" t="str">
        <x:f>IF('Master'!H82="","",'Master'!H82)</x:f>
      </x:c>
      <x:c r="H19" s="100" t="str">
        <x:f>IF('Master'!I82="","",'Master'!I82)</x:f>
      </x:c>
      <x:c r="I19" s="100" t="str">
        <x:f>IF('Master'!J82="","",'Master'!J82)</x:f>
      </x:c>
      <x:c r="J19" s="100" t="str">
        <x:f>IF('Master'!K82="","",'Master'!K82)</x:f>
      </x:c>
      <x:c r="K19" s="100" t="str">
        <x:f>IF('Master'!L82="","",'Master'!L82)</x:f>
        <x:v>Yes — secure forwarding supports plaintext↔E2EE policy checks and attachment re-encryption</x:v>
      </x:c>
      <x:c r="L19" s="100" t="str">
        <x:f>IF('Master'!M82="","",'Master'!M82)</x:f>
      </x:c>
      <x:c r="M19" s="100" t="str">
        <x:f>IF('Master'!N82="","",'Master'!N82)</x:f>
      </x:c>
      <x:c r="N19" s="100" t="str">
        <x:f>IF('Master'!O82="","",'Master'!O82)</x:f>
        <x:v>Client-dependent</x:v>
      </x:c>
      <x:c r="O19" s="100" t="str">
        <x:f>IF('Master'!P82="","",'Master'!P82)</x:f>
      </x:c>
      <x:c r="P19" s="100" t="str">
        <x:f>IF('Master'!Q82="","",'Master'!Q82)</x:f>
      </x:c>
      <x:c r="Q19" s="100" t="str">
        <x:f>IF('Master'!R82="","",'Master'!R82)</x:f>
      </x:c>
      <x:c r="R19" s="100" t="str">
        <x:f>IF('Master'!S82="","",'Master'!S82)</x:f>
      </x:c>
      <x:c r="S19" s="100" t="str">
        <x:f>IF('Master'!T82="","",'Master'!T82)</x:f>
      </x:c>
      <x:c r="T19" s="100" t="str">
        <x:f>IF('Master'!U82="","",'Master'!U82)</x:f>
      </x:c>
      <x:c r="U19" s="100" t="str">
        <x:f>IF('Master'!V82="","",'Master'!V82)</x:f>
        <x:v>Yes</x:v>
      </x:c>
      <x:c r="V19" s="100" t="str">
        <x:f>IF('Master'!W82="","",'Master'!W82)</x:f>
      </x:c>
      <x:c r="W19" s="100" t="str">
        <x:f>IF('Master'!X82="","",'Master'!X82)</x:f>
      </x:c>
      <x:c r="X19" s="100" t="str">
        <x:f>IF('Master'!Y82="","",'Master'!Y82)</x:f>
      </x:c>
      <x:c r="Y19" s="100" t="str">
        <x:f>IF('Master'!Z82="","",'Master'!Z82)</x:f>
      </x:c>
      <x:c r="Z19" s="100" t="str">
        <x:f>IF('Master'!AA82="","",'Master'!AA82)</x:f>
      </x:c>
      <x:c r="AA19" s="104" t="str">
        <x:f>IF('Master'!AB82="","",'Master'!AB82)</x:f>
      </x:c>
      <x:c r="AB19" s="100" t="str">
        <x:f>IF('Master'!AC82="","",'Master'!AC82)</x:f>
      </x:c>
      <x:c r="AC19" s="100" t="str">
        <x:f>IF('Master'!AD82="","",'Master'!AD82)</x:f>
      </x:c>
      <x:c r="AD19" s="100" t="str">
        <x:f>IF('Master'!AE82="","",'Master'!AE82)</x:f>
      </x:c>
      <x:c r="AE19" s="100" t="str">
        <x:f>IF('Master'!AF82="","",'Master'!AF82)</x:f>
      </x:c>
      <x:c r="AF19" s="75" t="str">
        <x:f>IF('Master'!AG82="","",'Master'!AG82)</x:f>
      </x:c>
    </x:row>
    <x:row r="20" ht="36" customHeight="1">
      <x:c r="A20" s="135" t="str">
        <x:v>Reply to Multiple Messages</x:v>
      </x:c>
      <x:c r="B20" s="100" t="str">
        <x:f>IF('Master'!C83="","",'Master'!C83)</x:f>
        <x:v>No native multi-reply composer</x:v>
      </x:c>
      <x:c r="C20" s="100" t="str">
        <x:f>IF('Master'!D83="","",'Master'!D83)</x:f>
      </x:c>
      <x:c r="D20" s="100" t="str">
        <x:f>IF('Master'!E83="","",'Master'!E83)</x:f>
      </x:c>
      <x:c r="E20" s="100" t="str">
        <x:f>IF('Master'!F83="","",'Master'!F83)</x:f>
      </x:c>
      <x:c r="F20" s="100" t="str">
        <x:f>IF('Master'!G83="","",'Master'!G83)</x:f>
      </x:c>
      <x:c r="G20" s="100" t="str">
        <x:f>IF('Master'!H83="","",'Master'!H83)</x:f>
      </x:c>
      <x:c r="H20" s="100" t="str">
        <x:f>IF('Master'!I83="","",'Master'!I83)</x:f>
      </x:c>
      <x:c r="I20" s="100" t="str">
        <x:f>IF('Master'!J83="","",'Master'!J83)</x:f>
      </x:c>
      <x:c r="J20" s="100" t="str">
        <x:f>IF('Master'!K83="","",'Master'!K83)</x:f>
      </x:c>
      <x:c r="K20" s="100" t="str">
        <x:f>IF('Master'!L83="","",'Master'!L83)</x:f>
      </x:c>
      <x:c r="L20" s="100" t="str">
        <x:f>IF('Master'!M83="","",'Master'!M83)</x:f>
      </x:c>
      <x:c r="M20" s="100" t="str">
        <x:f>IF('Master'!N83="","",'Master'!N83)</x:f>
      </x:c>
      <x:c r="N20" s="100" t="str">
        <x:f>IF('Master'!O83="","",'Master'!O83)</x:f>
      </x:c>
      <x:c r="O20" s="100" t="str">
        <x:f>IF('Master'!P83="","",'Master'!P83)</x:f>
      </x:c>
      <x:c r="P20" s="100" t="str">
        <x:f>IF('Master'!Q83="","",'Master'!Q83)</x:f>
      </x:c>
      <x:c r="Q20" s="100" t="str">
        <x:f>IF('Master'!R83="","",'Master'!R83)</x:f>
      </x:c>
      <x:c r="R20" s="100" t="str">
        <x:f>IF('Master'!S83="","",'Master'!S83)</x:f>
      </x:c>
      <x:c r="S20" s="100" t="str">
        <x:f>IF('Master'!T83="","",'Master'!T83)</x:f>
      </x:c>
      <x:c r="T20" s="100" t="str">
        <x:f>IF('Master'!U83="","",'Master'!U83)</x:f>
      </x:c>
      <x:c r="U20" s="100" t="str">
        <x:f>IF('Master'!V83="","",'Master'!V83)</x:f>
        <x:v>Yes</x:v>
      </x:c>
      <x:c r="V20" s="100" t="str">
        <x:f>IF('Master'!W83="","",'Master'!W83)</x:f>
      </x:c>
      <x:c r="W20" s="100" t="str">
        <x:f>IF('Master'!X83="","",'Master'!X83)</x:f>
      </x:c>
      <x:c r="X20" s="100" t="str">
        <x:f>IF('Master'!Y83="","",'Master'!Y83)</x:f>
      </x:c>
      <x:c r="Y20" s="100" t="str">
        <x:f>IF('Master'!Z83="","",'Master'!Z83)</x:f>
      </x:c>
      <x:c r="Z20" s="100" t="str">
        <x:f>IF('Master'!AA83="","",'Master'!AA83)</x:f>
      </x:c>
      <x:c r="AA20" s="104" t="str">
        <x:f>IF('Master'!AB83="","",'Master'!AB83)</x:f>
      </x:c>
      <x:c r="AB20" s="100" t="str">
        <x:f>IF('Master'!AC83="","",'Master'!AC83)</x:f>
      </x:c>
      <x:c r="AC20" s="100" t="str">
        <x:f>IF('Master'!AD83="","",'Master'!AD83)</x:f>
      </x:c>
      <x:c r="AD20" s="100" t="str">
        <x:f>IF('Master'!AE83="","",'Master'!AE83)</x:f>
      </x:c>
      <x:c r="AE20" s="100" t="str">
        <x:f>IF('Master'!AF83="","",'Master'!AF83)</x:f>
      </x:c>
      <x:c r="AF20" s="75" t="str">
        <x:f>IF('Master'!AG83="","",'Master'!AG83)</x:f>
      </x:c>
    </x:row>
  </x:sheetData>
  <x:mergeCells>
    <x:mergeCell ref="A1:A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Directory'!A1","Channel Types — native, structured, and specialized channel/workspace types"),"Channel Types — native, structured, and specialized channel/workspace types")</x:f>
        <x:v>Channel Types — native, structured, and specialized channel/workspace types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Conversation Channels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Text</x:v>
      </x:c>
      <x:c r="B4" s="100" t="str">
        <x:f>IF('Master'!C84="","",'Master'!C84)</x:f>
        <x:v>Yes — Text channel</x:v>
      </x:c>
      <x:c r="C4" s="100" t="str">
        <x:f>IF('Master'!D84="","",'Master'!D84)</x:f>
        <x:v>Yes</x:v>
      </x:c>
      <x:c r="D4" s="100" t="str">
        <x:f>IF('Master'!E84="","",'Master'!E84)</x:f>
      </x:c>
      <x:c r="E4" s="100" t="str">
        <x:f>IF('Master'!F84="","",'Master'!F84)</x:f>
        <x:v>Yes</x:v>
      </x:c>
      <x:c r="F4" s="100" t="str">
        <x:f>IF('Master'!G84="","",'Master'!G84)</x:f>
        <x:v>Yes</x:v>
      </x:c>
      <x:c r="G4" s="100" t="str">
        <x:f>IF('Master'!H84="","",'Master'!H84)</x:f>
      </x:c>
      <x:c r="H4" s="100" t="str">
        <x:f>IF('Master'!I84="","",'Master'!I84)</x:f>
        <x:v>Yes</x:v>
      </x:c>
      <x:c r="I4" s="100" t="str">
        <x:f>IF('Master'!J84="","",'Master'!J84)</x:f>
      </x:c>
      <x:c r="J4" s="100" t="str">
        <x:f>IF('Master'!K84="","",'Master'!K84)</x:f>
        <x:v>Yes</x:v>
      </x:c>
      <x:c r="K4" s="100" t="str">
        <x:f>IF('Master'!L84="","",'Master'!L84)</x:f>
        <x:v>Yes</x:v>
      </x:c>
      <x:c r="L4" s="100" t="str">
        <x:f>IF('Master'!M84="","",'Master'!M84)</x:f>
        <x:v>Yes</x:v>
      </x:c>
      <x:c r="M4" s="100" t="str">
        <x:f>IF('Master'!N84="","",'Master'!N84)</x:f>
        <x:v>Yes</x:v>
      </x:c>
      <x:c r="N4" s="100" t="str">
        <x:f>IF('Master'!O84="","",'Master'!O84)</x:f>
        <x:v>Room (client convention)</x:v>
      </x:c>
      <x:c r="O4" s="100" t="str">
        <x:f>IF('Master'!P84="","",'Master'!P84)</x:f>
        <x:v>Yes — public/private channels</x:v>
      </x:c>
      <x:c r="P4" s="100" t="str">
        <x:f>IF('Master'!Q84="","",'Master'!Q84)</x:f>
        <x:v>Yes</x:v>
      </x:c>
      <x:c r="Q4" s="100" t="str">
        <x:f>IF('Master'!R84="","",'Master'!R84)</x:f>
        <x:v>Partial — channel text chat; voice-first</x:v>
      </x:c>
      <x:c r="R4" s="100" t="str">
        <x:f>IF('Master'!S84="","",'Master'!S84)</x:f>
        <x:v>Yes — server channels</x:v>
      </x:c>
      <x:c r="S4" s="100" t="str">
        <x:f>IF('Master'!T84="","",'Master'!T84)</x:f>
        <x:v>Yes — real-time messaging</x:v>
      </x:c>
      <x:c r="T4" s="100" t="str">
        <x:f>IF('Master'!U84="","",'Master'!U84)</x:f>
        <x:v>Yes</x:v>
      </x:c>
      <x:c r="U4" s="100" t="str">
        <x:f>IF('Master'!V84="","",'Master'!V84)</x:f>
        <x:v>Yes</x:v>
      </x:c>
      <x:c r="V4" s="100" t="str">
        <x:f>IF('Master'!W84="","",'Master'!W84)</x:f>
        <x:v>Yes — channels/groups/DMs</x:v>
      </x:c>
      <x:c r="W4" s="100" t="str">
        <x:f>IF('Master'!X84="","",'Master'!X84)</x:f>
        <x:v>Yes — group chat</x:v>
      </x:c>
      <x:c r="X4" s="100" t="str">
        <x:f>IF('Master'!Y84="","",'Master'!Y84)</x:f>
        <x:v>Yes</x:v>
      </x:c>
      <x:c r="Y4" s="100" t="str">
        <x:f>IF('Master'!Z84="","",'Master'!Z84)</x:f>
        <x:v>Yes/Partial — Discord API parity varies by implementation</x:v>
      </x:c>
      <x:c r="Z4" s="100" t="str">
        <x:f>IF('Master'!AA84="","",'Master'!AA84)</x:f>
        <x:v>Yes</x:v>
      </x:c>
      <x:c r="AA4" s="104" t="str">
        <x:f>IF('Master'!AB84="","",'Master'!AB84)</x:f>
        <x:v>Partial — chat exists; persistent server text channels remain limited/planned in TS6</x:v>
      </x:c>
      <x:c r="AB4" s="100" t="str">
        <x:f>IF('Master'!AC84="","",'Master'!AC84)</x:f>
        <x:v>Yes</x:v>
      </x:c>
      <x:c r="AC4" s="100" t="str">
        <x:f>IF('Master'!AD84="","",'Master'!AD84)</x:f>
      </x:c>
      <x:c r="AD4" s="100" t="str">
        <x:f>IF('Master'!AE84="","",'Master'!AE84)</x:f>
        <x:v>Yes</x:v>
      </x:c>
      <x:c r="AE4" s="100" t="str">
        <x:f>IF('Master'!AF84="","",'Master'!AF84)</x:f>
        <x:v>Yes</x:v>
      </x:c>
      <x:c r="AF4" s="75" t="str">
        <x:f>IF('Master'!AG84="","",'Master'!AG84)</x:f>
        <x:v>Channel/stream</x:v>
      </x:c>
    </x:row>
    <x:row r="5" ht="36" customHeight="1">
      <x:c r="A5" s="135" t="str">
        <x:v>Voice</x:v>
      </x:c>
      <x:c r="B5" s="100" t="str">
        <x:f>IF('Master'!C85="","",'Master'!C85)</x:f>
        <x:v>Yes — Voice channel</x:v>
      </x:c>
      <x:c r="C5" s="100" t="str">
        <x:f>IF('Master'!D85="","",'Master'!D85)</x:f>
        <x:v>Yes</x:v>
      </x:c>
      <x:c r="D5" s="100" t="str">
        <x:f>IF('Master'!E85="","",'Master'!E85)</x:f>
        <x:v>Yes</x:v>
      </x:c>
      <x:c r="E5" s="100" t="str">
        <x:f>IF('Master'!F85="","",'Master'!F85)</x:f>
        <x:v>Yes</x:v>
      </x:c>
      <x:c r="F5" s="100" t="str">
        <x:f>IF('Master'!G85="","",'Master'!G85)</x:f>
        <x:v>Yes</x:v>
      </x:c>
      <x:c r="G5" s="100" t="str">
        <x:f>IF('Master'!H85="","",'Master'!H85)</x:f>
      </x:c>
      <x:c r="H5" s="100" t="str">
        <x:f>IF('Master'!I85="","",'Master'!I85)</x:f>
        <x:v>Yes</x:v>
      </x:c>
      <x:c r="I5" s="100" t="str">
        <x:f>IF('Master'!J85="","",'Master'!J85)</x:f>
      </x:c>
      <x:c r="J5" s="100" t="str">
        <x:f>IF('Master'!K85="","",'Master'!K85)</x:f>
        <x:v>Yes</x:v>
      </x:c>
      <x:c r="K5" s="100" t="str">
        <x:f>IF('Master'!L85="","",'Master'!L85)</x:f>
        <x:v>Yes</x:v>
      </x:c>
      <x:c r="L5" s="100" t="str">
        <x:f>IF('Master'!M85="","",'Master'!M85)</x:f>
        <x:v>Yes</x:v>
      </x:c>
      <x:c r="M5" s="100" t="str">
        <x:f>IF('Master'!N85="","",'Master'!N85)</x:f>
        <x:v>Yes</x:v>
      </x:c>
      <x:c r="N5" s="100" t="str">
        <x:f>IF('Master'!O85="","",'Master'!O85)</x:f>
        <x:v>Yes — client-dependent</x:v>
      </x:c>
      <x:c r="O5" s="100" t="str">
        <x:f>IF('Master'!P85="","",'Master'!P85)</x:f>
        <x:v>Yes — calls</x:v>
      </x:c>
      <x:c r="P5" s="100" t="str">
        <x:f>IF('Master'!Q85="","",'Master'!Q85)</x:f>
        <x:v>Yes</x:v>
      </x:c>
      <x:c r="Q5" s="100" t="str">
        <x:f>IF('Master'!R85="","",'Master'!R85)</x:f>
        <x:v>Yes</x:v>
      </x:c>
      <x:c r="R5" s="100" t="str">
        <x:f>IF('Master'!S85="","",'Master'!S85)</x:f>
      </x:c>
      <x:c r="S5" s="100" t="str">
        <x:f>IF('Master'!T85="","",'Master'!T85)</x:f>
        <x:v>Yes</x:v>
      </x:c>
      <x:c r="T5" s="100" t="str">
        <x:f>IF('Master'!U85="","",'Master'!U85)</x:f>
        <x:v>Yes</x:v>
      </x:c>
      <x:c r="U5" s="100" t="str">
        <x:f>IF('Master'!V85="","",'Master'!V85)</x:f>
        <x:v>Yes</x:v>
      </x:c>
      <x:c r="V5" s="100" t="str">
        <x:f>IF('Master'!W85="","",'Master'!W85)</x:f>
        <x:v>Yes — Rocket.Chat Voice + conference integrations</x:v>
      </x:c>
      <x:c r="W5" s="100" t="str">
        <x:f>IF('Master'!X85="","",'Master'!X85)</x:f>
      </x:c>
      <x:c r="X5" s="100" t="str">
        <x:f>IF('Master'!Y85="","",'Master'!Y85)</x:f>
        <x:v>Yes</x:v>
      </x:c>
      <x:c r="Y5" s="100" t="str">
        <x:f>IF('Master'!Z85="","",'Master'!Z85)</x:f>
        <x:v>Optional WebRTC media implementation</x:v>
      </x:c>
      <x:c r="Z5" s="100" t="str">
        <x:f>IF('Master'!AA85="","",'Master'!AA85)</x:f>
        <x:v>Yes</x:v>
      </x:c>
      <x:c r="AA5" s="104" t="str">
        <x:f>IF('Master'!AB85="","",'Master'!AB85)</x:f>
        <x:v>Yes</x:v>
      </x:c>
      <x:c r="AB5" s="100" t="str">
        <x:f>IF('Master'!AC85="","",'Master'!AC85)</x:f>
        <x:v>Yes</x:v>
      </x:c>
      <x:c r="AC5" s="100" t="str">
        <x:f>IF('Master'!AD85="","",'Master'!AD85)</x:f>
      </x:c>
      <x:c r="AD5" s="100" t="str">
        <x:f>IF('Master'!AE85="","",'Master'!AE85)</x:f>
        <x:v>Yes</x:v>
      </x:c>
      <x:c r="AE5" s="100" t="str">
        <x:f>IF('Master'!AF85="","",'Master'!AF85)</x:f>
        <x:v>Yes</x:v>
      </x:c>
      <x:c r="AF5" s="75" t="str">
        <x:f>IF('Master'!AG85="","",'Master'!AG85)</x:f>
        <x:v>Provider integration (Zoom/Jitsi/etc.), not a persistent native voice-room model</x:v>
      </x:c>
    </x:row>
    <x:row r="6" ht="36" customHeight="1">
      <x:c r="A6" s="135" t="str">
        <x:v>Voice Room Launcher / Temporary Voice</x:v>
      </x:c>
      <x:c r="B6" s="100" t="str">
        <x:f>IF('Master'!C86="","",'Master'!C86)</x:f>
        <x:v>No native launcher; bots can create temp rooms</x:v>
      </x:c>
      <x:c r="C6" s="100" t="str">
        <x:f>IF('Master'!D86="","",'Master'!D86)</x:f>
      </x:c>
      <x:c r="D6" s="100" t="str">
        <x:f>IF('Master'!E86="","",'Master'!E86)</x:f>
      </x:c>
      <x:c r="E6" s="100" t="str">
        <x:f>IF('Master'!F86="","",'Master'!F86)</x:f>
      </x:c>
      <x:c r="F6" s="100" t="str">
        <x:f>IF('Master'!G86="","",'Master'!G86)</x:f>
      </x:c>
      <x:c r="G6" s="100" t="str">
        <x:f>IF('Master'!H86="","",'Master'!H86)</x:f>
      </x:c>
      <x:c r="H6" s="100" t="str">
        <x:f>IF('Master'!I86="","",'Master'!I86)</x:f>
      </x:c>
      <x:c r="I6" s="100" t="str">
        <x:f>IF('Master'!J86="","",'Master'!J86)</x:f>
      </x:c>
      <x:c r="J6" s="100" t="str">
        <x:f>IF('Master'!K86="","",'Master'!K86)</x:f>
      </x:c>
      <x:c r="K6" s="100" t="str">
        <x:f>IF('Master'!L86="","",'Master'!L86)</x:f>
        <x:v>No temporary/launcher voice-channel type documented</x:v>
      </x:c>
      <x:c r="L6" s="100" t="str">
        <x:f>IF('Master'!M86="","",'Master'!M86)</x:f>
      </x:c>
      <x:c r="M6" s="100" t="str">
        <x:f>IF('Master'!N86="","",'Master'!N86)</x:f>
      </x:c>
      <x:c r="N6" s="100" t="str">
        <x:f>IF('Master'!O86="","",'Master'!O86)</x:f>
      </x:c>
      <x:c r="O6" s="100" t="str">
        <x:f>IF('Master'!P86="","",'Master'!P86)</x:f>
      </x:c>
      <x:c r="P6" s="100" t="str">
        <x:f>IF('Master'!Q86="","",'Master'!Q86)</x:f>
      </x:c>
      <x:c r="Q6" s="100" t="str">
        <x:f>IF('Master'!R86="","",'Master'!R86)</x:f>
      </x:c>
      <x:c r="R6" s="100" t="str">
        <x:f>IF('Master'!S86="","",'Master'!S86)</x:f>
      </x:c>
      <x:c r="S6" s="100" t="str">
        <x:f>IF('Master'!T86="","",'Master'!T86)</x:f>
      </x:c>
      <x:c r="T6" s="100" t="str">
        <x:f>IF('Master'!U86="","",'Master'!U86)</x:f>
      </x:c>
      <x:c r="U6" s="100" t="str">
        <x:f>IF('Master'!V86="","",'Master'!V86)</x:f>
        <x:v>Yes — auto-spawn/delete voice rooms</x:v>
      </x:c>
      <x:c r="V6" s="100" t="str">
        <x:f>IF('Master'!W86="","",'Master'!W86)</x:f>
      </x:c>
      <x:c r="W6" s="100" t="str">
        <x:f>IF('Master'!X86="","",'Master'!X86)</x:f>
      </x:c>
      <x:c r="X6" s="100" t="str">
        <x:f>IF('Master'!Y86="","",'Master'!Y86)</x:f>
      </x:c>
      <x:c r="Y6" s="100" t="str">
        <x:f>IF('Master'!Z86="","",'Master'!Z86)</x:f>
      </x:c>
      <x:c r="Z6" s="100" t="str">
        <x:f>IF('Master'!AA86="","",'Master'!AA86)</x:f>
      </x:c>
      <x:c r="AA6" s="104" t="str">
        <x:f>IF('Master'!AB86="","",'Master'!AB86)</x:f>
      </x:c>
      <x:c r="AB6" s="100" t="str">
        <x:f>IF('Master'!AC86="","",'Master'!AC86)</x:f>
      </x:c>
      <x:c r="AC6" s="100" t="str">
        <x:f>IF('Master'!AD86="","",'Master'!AD86)</x:f>
      </x:c>
      <x:c r="AD6" s="100" t="str">
        <x:f>IF('Master'!AE86="","",'Master'!AE86)</x:f>
      </x:c>
      <x:c r="AE6" s="100" t="str">
        <x:f>IF('Master'!AF86="","",'Master'!AF86)</x:f>
      </x:c>
      <x:c r="AF6" s="75" t="str">
        <x:f>IF('Master'!AG86="","",'Master'!AG86)</x:f>
      </x:c>
    </x:row>
    <x:row r="7" ht="36" customHeight="1">
      <x:c r="A7" s="135" t="str">
        <x:v>Forum</x:v>
      </x:c>
      <x:c r="B7" s="100" t="str">
        <x:f>IF('Master'!C87="","",'Master'!C87)</x:f>
        <x:v>Yes — Forum channel</x:v>
      </x:c>
      <x:c r="C7" s="100" t="str">
        <x:f>IF('Master'!D87="","",'Master'!D87)</x:f>
      </x:c>
      <x:c r="D7" s="100" t="str">
        <x:f>IF('Master'!E87="","",'Master'!E87)</x:f>
      </x:c>
      <x:c r="E7" s="100" t="str">
        <x:f>IF('Master'!F87="","",'Master'!F87)</x:f>
      </x:c>
      <x:c r="F7" s="100" t="str">
        <x:f>IF('Master'!G87="","",'Master'!G87)</x:f>
      </x:c>
      <x:c r="G7" s="100" t="str">
        <x:f>IF('Master'!H87="","",'Master'!H87)</x:f>
      </x:c>
      <x:c r="H7" s="100" t="str">
        <x:f>IF('Master'!I87="","",'Master'!I87)</x:f>
      </x:c>
      <x:c r="I7" s="100" t="str">
        <x:f>IF('Master'!J87="","",'Master'!J87)</x:f>
      </x:c>
      <x:c r="J7" s="100" t="str">
        <x:f>IF('Master'!K87="","",'Master'!K87)</x:f>
      </x:c>
      <x:c r="K7" s="100" t="str">
        <x:f>IF('Master'!L87="","",'Master'!L87)</x:f>
      </x:c>
      <x:c r="L7" s="100" t="str">
        <x:f>IF('Master'!M87="","",'Master'!M87)</x:f>
        <x:v>Yes</x:v>
      </x:c>
      <x:c r="M7" s="100" t="str">
        <x:f>IF('Master'!N87="","",'Master'!N87)</x:f>
        <x:v>Yes</x:v>
      </x:c>
      <x:c r="N7" s="100" t="str">
        <x:f>IF('Master'!O87="","",'Master'!O87)</x:f>
        <x:v>Client-dependent / room conventions</x:v>
      </x:c>
      <x:c r="O7" s="100" t="str">
        <x:f>IF('Master'!P87="","",'Master'!P87)</x:f>
        <x:v>No native forum channel</x:v>
      </x:c>
      <x:c r="P7" s="100" t="str">
        <x:f>IF('Master'!Q87="","",'Master'!Q87)</x:f>
      </x:c>
      <x:c r="Q7" s="100" t="str">
        <x:f>IF('Master'!R87="","",'Master'!R87)</x:f>
      </x:c>
      <x:c r="R7" s="100" t="str">
        <x:f>IF('Master'!S87="","",'Master'!S87)</x:f>
      </x:c>
      <x:c r="S7" s="100" t="str">
        <x:f>IF('Master'!T87="","",'Master'!T87)</x:f>
      </x:c>
      <x:c r="T7" s="100" t="str">
        <x:f>IF('Master'!U87="","",'Master'!U87)</x:f>
      </x:c>
      <x:c r="U7" s="100" t="str">
        <x:f>IF('Master'!V87="","",'Master'!V87)</x:f>
        <x:v>Yes — tags, flair, voting</x:v>
      </x:c>
      <x:c r="V7" s="100" t="str">
        <x:f>IF('Master'!W87="","",'Master'!W87)</x:f>
      </x:c>
      <x:c r="W7" s="100" t="str">
        <x:f>IF('Master'!X87="","",'Master'!X87)</x:f>
        <x:v>Yes/Partial — forum/group-chat model</x:v>
      </x:c>
      <x:c r="X7" s="100" t="str">
        <x:f>IF('Master'!Y87="","",'Master'!Y87)</x:f>
      </x:c>
      <x:c r="Y7" s="100" t="str">
        <x:f>IF('Master'!Z87="","",'Master'!Z87)</x:f>
      </x:c>
      <x:c r="Z7" s="100" t="str">
        <x:f>IF('Master'!AA87="","",'Master'!AA87)</x:f>
      </x:c>
      <x:c r="AA7" s="104" t="str">
        <x:f>IF('Master'!AB87="","",'Master'!AB87)</x:f>
      </x:c>
      <x:c r="AB7" s="100" t="str">
        <x:f>IF('Master'!AC87="","",'Master'!AC87)</x:f>
        <x:v>Yes — thread feed</x:v>
      </x:c>
      <x:c r="AC7" s="100" t="str">
        <x:f>IF('Master'!AD87="","",'Master'!AD87)</x:f>
      </x:c>
      <x:c r="AD7" s="100" t="str">
        <x:f>IF('Master'!AE87="","",'Master'!AE87)</x:f>
        <x:v>Yes</x:v>
      </x:c>
      <x:c r="AE7" s="100" t="str">
        <x:f>IF('Master'!AF87="","",'Master'!AF87)</x:f>
      </x:c>
      <x:c r="AF7" s="75" t="str">
        <x:f>IF('Master'!AG87="","",'Master'!AG87)</x:f>
      </x:c>
    </x:row>
    <x:row r="8" ht="36" customHeight="1">
      <x:c r="A8" s="135" t="str">
        <x:v>Gallery / Media Grid</x:v>
      </x:c>
      <x:c r="B8" s="100" t="str">
        <x:f>IF('Master'!C88="","",'Master'!C88)</x:f>
        <x:v>Partial — Forum Gallery View</x:v>
      </x:c>
      <x:c r="C8" s="100" t="str">
        <x:f>IF('Master'!D88="","",'Master'!D88)</x:f>
        <x:v>No</x:v>
      </x:c>
      <x:c r="D8" s="100" t="str">
        <x:f>IF('Master'!E88="","",'Master'!E88)</x:f>
        <x:v>No</x:v>
      </x:c>
      <x:c r="E8" s="100" t="str">
        <x:f>IF('Master'!F88="","",'Master'!F88)</x:f>
        <x:v>No</x:v>
      </x:c>
      <x:c r="F8" s="100" t="str">
        <x:f>IF('Master'!G88="","",'Master'!G88)</x:f>
        <x:v>No native</x:v>
      </x:c>
      <x:c r="G8" s="100" t="str">
        <x:f>IF('Master'!H88="","",'Master'!H88)</x:f>
        <x:v>No native</x:v>
      </x:c>
      <x:c r="H8" s="100" t="str">
        <x:f>IF('Master'!I88="","",'Master'!I88)</x:f>
        <x:v>No</x:v>
      </x:c>
      <x:c r="I8" s="100" t="str">
        <x:f>IF('Master'!J88="","",'Master'!J88)</x:f>
        <x:v>No</x:v>
      </x:c>
      <x:c r="J8" s="100" t="str">
        <x:f>IF('Master'!K88="","",'Master'!K88)</x:f>
        <x:v>No</x:v>
      </x:c>
      <x:c r="K8" s="100" t="str">
        <x:f>IF('Master'!L88="","",'Master'!L88)</x:f>
        <x:v>No dedicated gallery/media-grid channel documented</x:v>
      </x:c>
      <x:c r="L8" s="100" t="str">
        <x:f>IF('Master'!M88="","",'Master'!M88)</x:f>
        <x:v>Media Channels</x:v>
      </x:c>
      <x:c r="M8" s="100" t="str">
        <x:f>IF('Master'!N88="","",'Master'!N88)</x:f>
        <x:v>Media/forum view</x:v>
      </x:c>
      <x:c r="N8" s="100" t="str">
        <x:f>IF('Master'!O88="","",'Master'!O88)</x:f>
        <x:v>Extensible/client-dependent</x:v>
      </x:c>
      <x:c r="O8" s="100" t="str">
        <x:f>IF('Master'!P88="","",'Master'!P88)</x:f>
        <x:v>No</x:v>
      </x:c>
      <x:c r="P8" s="100" t="str">
        <x:f>IF('Master'!Q88="","",'Master'!Q88)</x:f>
        <x:v>No native</x:v>
      </x:c>
      <x:c r="Q8" s="100" t="str">
        <x:f>IF('Master'!R88="","",'Master'!R88)</x:f>
        <x:v>N/A</x:v>
      </x:c>
      <x:c r="R8" s="100" t="str">
        <x:f>IF('Master'!S88="","",'Master'!S88)</x:f>
        <x:v>No</x:v>
      </x:c>
      <x:c r="S8" s="100" t="str">
        <x:f>IF('Master'!T88="","",'Master'!T88)</x:f>
        <x:v>No</x:v>
      </x:c>
      <x:c r="T8" s="100" t="str">
        <x:f>IF('Master'!U88="","",'Master'!U88)</x:f>
        <x:v>No</x:v>
      </x:c>
      <x:c r="U8" s="100" t="str">
        <x:f>IF('Master'!V88="","",'Master'!V88)</x:f>
        <x:v>Yes — native Gallery channel</x:v>
      </x:c>
      <x:c r="V8" s="100" t="str">
        <x:f>IF('Master'!W88="","",'Master'!W88)</x:f>
        <x:v>No</x:v>
      </x:c>
      <x:c r="W8" s="100" t="str">
        <x:f>IF('Master'!X88="","",'Master'!X88)</x:f>
      </x:c>
      <x:c r="X8" s="100" t="str">
        <x:f>IF('Master'!Y88="","",'Master'!Y88)</x:f>
        <x:v>Via app</x:v>
      </x:c>
      <x:c r="Y8" s="100" t="str">
        <x:f>IF('Master'!Z88="","",'Master'!Z88)</x:f>
        <x:v>No native</x:v>
      </x:c>
      <x:c r="Z8" s="100" t="str">
        <x:f>IF('Master'!AA88="","",'Master'!AA88)</x:f>
        <x:v>No native</x:v>
      </x:c>
      <x:c r="AA8" s="104" t="str">
        <x:f>IF('Master'!AB88="","",'Master'!AB88)</x:f>
        <x:v>N/A</x:v>
      </x:c>
      <x:c r="AB8" s="100" t="str">
        <x:f>IF('Master'!AC88="","",'Master'!AC88)</x:f>
        <x:v>No</x:v>
      </x:c>
      <x:c r="AC8" s="100" t="str">
        <x:f>IF('Master'!AD88="","",'Master'!AD88)</x:f>
        <x:v>No</x:v>
      </x:c>
      <x:c r="AD8" s="100" t="str">
        <x:f>IF('Master'!AE88="","",'Master'!AE88)</x:f>
        <x:v>No</x:v>
      </x:c>
      <x:c r="AE8" s="100" t="str">
        <x:f>IF('Master'!AF88="","",'Master'!AF88)</x:f>
        <x:v>No</x:v>
      </x:c>
      <x:c r="AF8" s="75" t="str">
        <x:f>IF('Master'!AG88="","",'Master'!AG88)</x:f>
        <x:v>No</x:v>
      </x:c>
    </x:row>
    <x:row r="9" ht="36" customHeight="1">
      <x:c r="A9" s="135" t="str">
        <x:v>Announcement / Read-Only Broadcast</x:v>
      </x:c>
      <x:c r="B9" s="100" t="str">
        <x:f>IF('Master'!C89="","",'Master'!C89)</x:f>
        <x:v>Yes — Announcement channel</x:v>
      </x:c>
      <x:c r="C9" s="100" t="str">
        <x:f>IF('Master'!D89="","",'Master'!D89)</x:f>
      </x:c>
      <x:c r="D9" s="100" t="str">
        <x:f>IF('Master'!E89="","",'Master'!E89)</x:f>
      </x:c>
      <x:c r="E9" s="100" t="str">
        <x:f>IF('Master'!F89="","",'Master'!F89)</x:f>
      </x:c>
      <x:c r="F9" s="100" t="str">
        <x:f>IF('Master'!G89="","",'Master'!G89)</x:f>
      </x:c>
      <x:c r="G9" s="100" t="str">
        <x:f>IF('Master'!H89="","",'Master'!H89)</x:f>
      </x:c>
      <x:c r="H9" s="100" t="str">
        <x:f>IF('Master'!I89="","",'Master'!I89)</x:f>
      </x:c>
      <x:c r="I9" s="100" t="str">
        <x:f>IF('Master'!J89="","",'Master'!J89)</x:f>
      </x:c>
      <x:c r="J9" s="100" t="str">
        <x:f>IF('Master'!K89="","",'Master'!K89)</x:f>
      </x:c>
      <x:c r="K9" s="100" t="str">
        <x:f>IF('Master'!L89="","",'Master'!L89)</x:f>
        <x:v>Yes — announcement channels/threads are documented and developer also reports announcements</x:v>
      </x:c>
      <x:c r="L9" s="100" t="str">
        <x:f>IF('Master'!M89="","",'Master'!M89)</x:f>
      </x:c>
      <x:c r="M9" s="100" t="str">
        <x:f>IF('Master'!N89="","",'Master'!N89)</x:f>
      </x:c>
      <x:c r="N9" s="100" t="str">
        <x:f>IF('Master'!O89="","",'Master'!O89)</x:f>
        <x:v>Permissions-based room</x:v>
      </x:c>
      <x:c r="O9" s="100" t="str">
        <x:f>IF('Master'!P89="","",'Master'!P89)</x:f>
      </x:c>
      <x:c r="P9" s="100" t="str">
        <x:f>IF('Master'!Q89="","",'Master'!Q89)</x:f>
      </x:c>
      <x:c r="Q9" s="100" t="str">
        <x:f>IF('Master'!R89="","",'Master'!R89)</x:f>
      </x:c>
      <x:c r="R9" s="100" t="str">
        <x:f>IF('Master'!S89="","",'Master'!S89)</x:f>
      </x:c>
      <x:c r="S9" s="100" t="str">
        <x:f>IF('Master'!T89="","",'Master'!T89)</x:f>
      </x:c>
      <x:c r="T9" s="100" t="str">
        <x:f>IF('Master'!U89="","",'Master'!U89)</x:f>
      </x:c>
      <x:c r="U9" s="100" t="str">
        <x:f>IF('Master'!V89="","",'Master'!V89)</x:f>
        <x:v>Yes — Announcements</x:v>
      </x:c>
      <x:c r="V9" s="100" t="str">
        <x:f>IF('Master'!W89="","",'Master'!W89)</x:f>
      </x:c>
      <x:c r="W9" s="100" t="str">
        <x:f>IF('Master'!X89="","",'Master'!X89)</x:f>
      </x:c>
      <x:c r="X9" s="100" t="str">
        <x:f>IF('Master'!Y89="","",'Master'!Y89)</x:f>
      </x:c>
      <x:c r="Y9" s="100" t="str">
        <x:f>IF('Master'!Z89="","",'Master'!Z89)</x:f>
      </x:c>
      <x:c r="Z9" s="100" t="str">
        <x:f>IF('Master'!AA89="","",'Master'!AA89)</x:f>
      </x:c>
      <x:c r="AA9" s="104" t="str">
        <x:f>IF('Master'!AB89="","",'Master'!AB89)</x:f>
      </x:c>
      <x:c r="AB9" s="100" t="str">
        <x:f>IF('Master'!AC89="","",'Master'!AC89)</x:f>
      </x:c>
      <x:c r="AC9" s="100" t="str">
        <x:f>IF('Master'!AD89="","",'Master'!AD89)</x:f>
      </x:c>
      <x:c r="AD9" s="100" t="str">
        <x:f>IF('Master'!AE89="","",'Master'!AE89)</x:f>
      </x:c>
      <x:c r="AE9" s="100" t="str">
        <x:f>IF('Master'!AF89="","",'Master'!AF89)</x:f>
      </x:c>
      <x:c r="AF9" s="75" t="str">
        <x:f>IF('Master'!AG89="","",'Master'!AG89)</x:f>
      </x:c>
    </x:row>
    <x:row r="10" ht="36" customHeight="1">
      <x:c r="A10" s="135" t="str">
        <x:v>Stage / Broadcast Voice</x:v>
      </x:c>
      <x:c r="B10" s="100" t="str">
        <x:f>IF('Master'!C90="","",'Master'!C90)</x:f>
        <x:v>Yes — Stage channel</x:v>
      </x:c>
      <x:c r="C10" s="100" t="str">
        <x:f>IF('Master'!D90="","",'Master'!D90)</x:f>
      </x:c>
      <x:c r="D10" s="100" t="str">
        <x:f>IF('Master'!E90="","",'Master'!E90)</x:f>
      </x:c>
      <x:c r="E10" s="100" t="str">
        <x:f>IF('Master'!F90="","",'Master'!F90)</x:f>
      </x:c>
      <x:c r="F10" s="100" t="str">
        <x:f>IF('Master'!G90="","",'Master'!G90)</x:f>
      </x:c>
      <x:c r="G10" s="100" t="str">
        <x:f>IF('Master'!H90="","",'Master'!H90)</x:f>
      </x:c>
      <x:c r="H10" s="100" t="str">
        <x:f>IF('Master'!I90="","",'Master'!I90)</x:f>
      </x:c>
      <x:c r="I10" s="100" t="str">
        <x:f>IF('Master'!J90="","",'Master'!J90)</x:f>
      </x:c>
      <x:c r="J10" s="100" t="str">
        <x:f>IF('Master'!K90="","",'Master'!K90)</x:f>
      </x:c>
      <x:c r="K10" s="100" t="str">
        <x:f>IF('Master'!L90="","",'Master'!L90)</x:f>
        <x:v>Yes — developer reports Stage channels</x:v>
      </x:c>
      <x:c r="L10" s="100" t="str">
        <x:f>IF('Master'!M90="","",'Master'!M90)</x:f>
      </x:c>
      <x:c r="M10" s="100" t="str">
        <x:f>IF('Master'!N90="","",'Master'!N90)</x:f>
      </x:c>
      <x:c r="N10" s="100" t="str">
        <x:f>IF('Master'!O90="","",'Master'!O90)</x:f>
      </x:c>
      <x:c r="O10" s="100" t="str">
        <x:f>IF('Master'!P90="","",'Master'!P90)</x:f>
      </x:c>
      <x:c r="P10" s="100" t="str">
        <x:f>IF('Master'!Q90="","",'Master'!Q90)</x:f>
      </x:c>
      <x:c r="Q10" s="100" t="str">
        <x:f>IF('Master'!R90="","",'Master'!R90)</x:f>
      </x:c>
      <x:c r="R10" s="100" t="str">
        <x:f>IF('Master'!S90="","",'Master'!S90)</x:f>
      </x:c>
      <x:c r="S10" s="100" t="str">
        <x:f>IF('Master'!T90="","",'Master'!T90)</x:f>
      </x:c>
      <x:c r="T10" s="100" t="str">
        <x:f>IF('Master'!U90="","",'Master'!U90)</x:f>
      </x:c>
      <x:c r="U10" s="100" t="str">
        <x:f>IF('Master'!V90="","",'Master'!V90)</x:f>
        <x:v>No dedicated Stage channel; voice room launcher + permissions</x:v>
      </x:c>
      <x:c r="V10" s="100" t="str">
        <x:f>IF('Master'!W90="","",'Master'!W90)</x:f>
      </x:c>
      <x:c r="W10" s="100" t="str">
        <x:f>IF('Master'!X90="","",'Master'!X90)</x:f>
      </x:c>
      <x:c r="X10" s="100" t="str">
        <x:f>IF('Master'!Y90="","",'Master'!Y90)</x:f>
      </x:c>
      <x:c r="Y10" s="100" t="str">
        <x:f>IF('Master'!Z90="","",'Master'!Z90)</x:f>
      </x:c>
      <x:c r="Z10" s="100" t="str">
        <x:f>IF('Master'!AA90="","",'Master'!AA90)</x:f>
      </x:c>
      <x:c r="AA10" s="104" t="str">
        <x:f>IF('Master'!AB90="","",'Master'!AB90)</x:f>
        <x:v>Permissions-based</x:v>
      </x:c>
      <x:c r="AB10" s="100" t="str">
        <x:f>IF('Master'!AC90="","",'Master'!AC90)</x:f>
      </x:c>
      <x:c r="AC10" s="100" t="str">
        <x:f>IF('Master'!AD90="","",'Master'!AD90)</x:f>
      </x:c>
      <x:c r="AD10" s="100" t="str">
        <x:f>IF('Master'!AE90="","",'Master'!AE90)</x:f>
      </x:c>
      <x:c r="AE10" s="100" t="str">
        <x:f>IF('Master'!AF90="","",'Master'!AF90)</x:f>
      </x:c>
      <x:c r="AF10" s="75" t="str">
        <x:f>IF('Master'!AG90="","",'Master'!AG90)</x:f>
      </x:c>
    </x:row>
    <x:row r="11" ht="22" customHeight="1">
      <x:c r="A11" s="138" t="str">
        <x:v>Interactive &amp; Support Channels</x:v>
      </x:c>
      <x:c r="B11" s="138" t="str">
        <x:f>IF(""="","","")</x:f>
      </x:c>
      <x:c r="C11" s="138" t="str">
        <x:f>IF(""="","","")</x:f>
      </x:c>
      <x:c r="D11" s="138" t="str">
        <x:f>IF(""="","","")</x:f>
      </x:c>
      <x:c r="E11" s="138" t="str">
        <x:f>IF(""="","","")</x:f>
      </x:c>
      <x:c r="F11" s="138" t="str">
        <x:f>IF(""="","","")</x:f>
      </x:c>
      <x:c r="G11" s="138" t="str">
        <x:f>IF(""="","","")</x:f>
      </x:c>
      <x:c r="H11" s="138" t="str">
        <x:f>IF(""="","","")</x:f>
      </x:c>
      <x:c r="I11" s="138" t="str">
        <x:f>IF(""="","","")</x:f>
      </x:c>
      <x:c r="J11" s="138" t="str">
        <x:f>IF(""="","","")</x:f>
      </x:c>
      <x:c r="K11" s="138" t="str">
        <x:f>IF(""="","","")</x:f>
      </x:c>
      <x:c r="L11" s="138" t="str">
        <x:f>IF(""="","","")</x:f>
      </x:c>
      <x:c r="M11" s="138" t="str">
        <x:f>IF(""="","","")</x:f>
      </x:c>
      <x:c r="N11" s="138" t="str">
        <x:f>IF(""="","","")</x:f>
      </x:c>
      <x:c r="O11" s="138" t="str">
        <x:f>IF(""="","","")</x:f>
      </x:c>
      <x:c r="P11" s="138" t="str">
        <x:f>IF(""="","","")</x:f>
      </x:c>
      <x:c r="Q11" s="138" t="str">
        <x:f>IF(""="","","")</x:f>
      </x:c>
      <x:c r="R11" s="138" t="str">
        <x:f>IF(""="","","")</x:f>
      </x:c>
      <x:c r="S11" s="138" t="str">
        <x:f>IF(""="","","")</x:f>
      </x:c>
      <x:c r="T11" s="138" t="str">
        <x:f>IF(""="","","")</x:f>
      </x:c>
      <x:c r="U11" s="138" t="str">
        <x:f>IF(""="","","")</x:f>
      </x:c>
      <x:c r="V11" s="138" t="str">
        <x:f>IF(""="","","")</x:f>
      </x:c>
      <x:c r="W11" s="138" t="str">
        <x:f>IF(""="","","")</x:f>
      </x:c>
      <x:c r="X11" s="138" t="str">
        <x:f>IF(""="","","")</x:f>
      </x:c>
      <x:c r="Y11" s="138" t="str">
        <x:f>IF(""="","","")</x:f>
      </x:c>
      <x:c r="Z11" s="138" t="str">
        <x:f>IF(""="","","")</x:f>
      </x:c>
      <x:c r="AA11" s="138" t="str">
        <x:f>IF(""="","","")</x:f>
      </x:c>
      <x:c r="AB11" s="138" t="str">
        <x:f>IF(""="","","")</x:f>
      </x:c>
      <x:c r="AC11" s="138" t="str">
        <x:f>IF(""="","","")</x:f>
      </x:c>
      <x:c r="AD11" s="138" t="str">
        <x:f>IF(""="","","")</x:f>
      </x:c>
      <x:c r="AE11" s="138" t="str">
        <x:f>IF(""="","","")</x:f>
      </x:c>
      <x:c r="AF11" s="139" t="str">
        <x:f>IF(""="","","")</x:f>
      </x:c>
    </x:row>
    <x:row r="12" ht="36" customHeight="1">
      <x:c r="A12" s="135" t="str">
        <x:v>Polls</x:v>
      </x:c>
      <x:c r="B12" s="100" t="str">
        <x:f>IF('Master'!C91="","",'Master'!C91)</x:f>
        <x:v>No dedicated channel; native poll messages</x:v>
      </x:c>
      <x:c r="C12" s="100" t="str">
        <x:f>IF('Master'!D91="","",'Master'!D91)</x:f>
        <x:v>No</x:v>
      </x:c>
      <x:c r="D12" s="100" t="str">
        <x:f>IF('Master'!E91="","",'Master'!E91)</x:f>
        <x:v>No</x:v>
      </x:c>
      <x:c r="E12" s="100" t="str">
        <x:f>IF('Master'!F91="","",'Master'!F91)</x:f>
        <x:v>No</x:v>
      </x:c>
      <x:c r="F12" s="100" t="str">
        <x:f>IF('Master'!G91="","",'Master'!G91)</x:f>
      </x:c>
      <x:c r="G12" s="100" t="str">
        <x:f>IF('Master'!H91="","",'Master'!H91)</x:f>
      </x:c>
      <x:c r="H12" s="100" t="str">
        <x:f>IF('Master'!I91="","",'Master'!I91)</x:f>
        <x:v>Yes</x:v>
      </x:c>
      <x:c r="I12" s="100" t="str">
        <x:f>IF('Master'!J91="","",'Master'!J91)</x:f>
        <x:v>No</x:v>
      </x:c>
      <x:c r="J12" s="100" t="str">
        <x:f>IF('Master'!K91="","",'Master'!K91)</x:f>
        <x:v>No</x:v>
      </x:c>
      <x:c r="K12" s="100" t="str">
        <x:f>IF('Master'!L91="","",'Master'!L91)</x:f>
        <x:v>Polls are native message/application content, not a dedicated channel type</x:v>
      </x:c>
      <x:c r="L12" s="100" t="str">
        <x:f>IF('Master'!M91="","",'Master'!M91)</x:f>
      </x:c>
      <x:c r="M12" s="100" t="str">
        <x:f>IF('Master'!N91="","",'Master'!N91)</x:f>
        <x:v>Native polls</x:v>
      </x:c>
      <x:c r="N12" s="100" t="str">
        <x:f>IF('Master'!O91="","",'Master'!O91)</x:f>
        <x:v>Poll events in capable clients</x:v>
      </x:c>
      <x:c r="O12" s="100" t="str">
        <x:f>IF('Master'!P91="","",'Master'!P91)</x:f>
        <x:v>Poll integrations</x:v>
      </x:c>
      <x:c r="P12" s="100" t="str">
        <x:f>IF('Master'!Q91="","",'Master'!Q91)</x:f>
        <x:v>No native</x:v>
      </x:c>
      <x:c r="Q12" s="100" t="str">
        <x:f>IF('Master'!R91="","",'Master'!R91)</x:f>
        <x:v>N/A</x:v>
      </x:c>
      <x:c r="R12" s="100" t="str">
        <x:f>IF('Master'!S91="","",'Master'!S91)</x:f>
        <x:v>No</x:v>
      </x:c>
      <x:c r="S12" s="100" t="str">
        <x:f>IF('Master'!T91="","",'Master'!T91)</x:f>
        <x:v>No</x:v>
      </x:c>
      <x:c r="T12" s="100" t="str">
        <x:f>IF('Master'!U91="","",'Master'!U91)</x:f>
        <x:v>Yes — native polls</x:v>
      </x:c>
      <x:c r="U12" s="100" t="str">
        <x:f>IF('Master'!V91="","",'Master'!V91)</x:f>
        <x:v>Yes — native Poll channel</x:v>
      </x:c>
      <x:c r="V12" s="100" t="str">
        <x:f>IF('Master'!W91="","",'Master'!W91)</x:f>
        <x:v>Poll apps</x:v>
      </x:c>
      <x:c r="W12" s="100" t="str">
        <x:f>IF('Master'!X91="","",'Master'!X91)</x:f>
        <x:v>No</x:v>
      </x:c>
      <x:c r="X12" s="100" t="str">
        <x:f>IF('Master'!Y91="","",'Master'!Y91)</x:f>
        <x:v>Via Polling App</x:v>
      </x:c>
      <x:c r="Y12" s="100" t="str">
        <x:f>IF('Master'!Z91="","",'Master'!Z91)</x:f>
      </x:c>
      <x:c r="Z12" s="100" t="str">
        <x:f>IF('Master'!AA91="","",'Master'!AA91)</x:f>
        <x:v>No native</x:v>
      </x:c>
      <x:c r="AA12" s="104" t="str">
        <x:f>IF('Master'!AB91="","",'Master'!AB91)</x:f>
        <x:v>N/A</x:v>
      </x:c>
      <x:c r="AB12" s="100" t="str">
        <x:f>IF('Master'!AC91="","",'Master'!AC91)</x:f>
      </x:c>
      <x:c r="AC12" s="100" t="str">
        <x:f>IF('Master'!AD91="","",'Master'!AD91)</x:f>
        <x:v>No</x:v>
      </x:c>
      <x:c r="AD12" s="100" t="str">
        <x:f>IF('Master'!AE91="","",'Master'!AE91)</x:f>
      </x:c>
      <x:c r="AE12" s="100" t="str">
        <x:f>IF('Master'!AF91="","",'Master'!AF91)</x:f>
        <x:v>No</x:v>
      </x:c>
      <x:c r="AF12" s="75" t="str">
        <x:f>IF('Master'!AG91="","",'Master'!AG91)</x:f>
        <x:v>Via integrations</x:v>
      </x:c>
    </x:row>
    <x:row r="13" ht="36" customHeight="1">
      <x:c r="A13" s="135" t="str">
        <x:v>Tickets</x:v>
      </x:c>
      <x:c r="B13" s="100" t="str">
        <x:f>IF('Master'!C92="","",'Master'!C92)</x:f>
        <x:v>No native ticket channel; bots/apps commonly provide tickets</x:v>
      </x:c>
      <x:c r="C13" s="100" t="str">
        <x:f>IF('Master'!D92="","",'Master'!D92)</x:f>
        <x:v>No</x:v>
      </x:c>
      <x:c r="D13" s="100" t="str">
        <x:f>IF('Master'!E92="","",'Master'!E92)</x:f>
        <x:v>No</x:v>
      </x:c>
      <x:c r="E13" s="100" t="str">
        <x:f>IF('Master'!F92="","",'Master'!F92)</x:f>
        <x:v>No</x:v>
      </x:c>
      <x:c r="F13" s="100" t="str">
        <x:f>IF('Master'!G92="","",'Master'!G92)</x:f>
        <x:v>No native</x:v>
      </x:c>
      <x:c r="G13" s="100" t="str">
        <x:f>IF('Master'!H92="","",'Master'!H92)</x:f>
        <x:v>No native</x:v>
      </x:c>
      <x:c r="H13" s="100" t="str">
        <x:f>IF('Master'!I92="","",'Master'!I92)</x:f>
        <x:v>No</x:v>
      </x:c>
      <x:c r="I13" s="100" t="str">
        <x:f>IF('Master'!J92="","",'Master'!J92)</x:f>
        <x:v>No</x:v>
      </x:c>
      <x:c r="J13" s="100" t="str">
        <x:f>IF('Master'!K92="","",'Master'!K92)</x:f>
        <x:v>No</x:v>
      </x:c>
      <x:c r="K13" s="100" t="str">
        <x:f>IF('Master'!L92="","",'Master'!L92)</x:f>
        <x:v>No native ticket/counting/highlights/welcome/wiki/document/live-board/roster/web-link/RSS/whiteboard/tabletop channel type documented</x:v>
      </x:c>
      <x:c r="L13" s="100" t="str">
        <x:f>IF('Master'!M92="","",'Master'!M92)</x:f>
        <x:v>No</x:v>
      </x:c>
      <x:c r="M13" s="100" t="str">
        <x:f>IF('Master'!N92="","",'Master'!N92)</x:f>
        <x:v>No</x:v>
      </x:c>
      <x:c r="N13" s="100" t="str">
        <x:f>IF('Master'!O92="","",'Master'!O92)</x:f>
        <x:v>Via integrations/bots</x:v>
      </x:c>
      <x:c r="O13" s="100" t="str">
        <x:f>IF('Master'!P92="","",'Master'!P92)</x:f>
        <x:v>Integrations</x:v>
      </x:c>
      <x:c r="P13" s="100" t="str">
        <x:f>IF('Master'!Q92="","",'Master'!Q92)</x:f>
        <x:v>No native</x:v>
      </x:c>
      <x:c r="Q13" s="100" t="str">
        <x:f>IF('Master'!R92="","",'Master'!R92)</x:f>
        <x:v>N/A</x:v>
      </x:c>
      <x:c r="R13" s="100" t="str">
        <x:f>IF('Master'!S92="","",'Master'!S92)</x:f>
        <x:v>No</x:v>
      </x:c>
      <x:c r="S13" s="100" t="str">
        <x:f>IF('Master'!T92="","",'Master'!T92)</x:f>
        <x:v>No</x:v>
      </x:c>
      <x:c r="T13" s="100" t="str">
        <x:f>IF('Master'!U92="","",'Master'!U92)</x:f>
        <x:v>No</x:v>
      </x:c>
      <x:c r="U13" s="100" t="str">
        <x:f>IF('Master'!V92="","",'Master'!V92)</x:f>
        <x:v>Yes — private support threads/status/assignee/transcript</x:v>
      </x:c>
      <x:c r="V13" s="100" t="str">
        <x:f>IF('Master'!W92="","",'Master'!W92)</x:f>
        <x:v>Apps</x:v>
      </x:c>
      <x:c r="W13" s="100" t="str">
        <x:f>IF('Master'!X92="","",'Master'!X92)</x:f>
        <x:v>No</x:v>
      </x:c>
      <x:c r="X13" s="100" t="str">
        <x:f>IF('Master'!Y92="","",'Master'!Y92)</x:f>
        <x:v>Via app</x:v>
      </x:c>
      <x:c r="Y13" s="100" t="str">
        <x:f>IF('Master'!Z92="","",'Master'!Z92)</x:f>
        <x:v>No native</x:v>
      </x:c>
      <x:c r="Z13" s="100" t="str">
        <x:f>IF('Master'!AA92="","",'Master'!AA92)</x:f>
        <x:v>No native</x:v>
      </x:c>
      <x:c r="AA13" s="104" t="str">
        <x:f>IF('Master'!AB92="","",'Master'!AB92)</x:f>
        <x:v>N/A</x:v>
      </x:c>
      <x:c r="AB13" s="100" t="str">
        <x:f>IF('Master'!AC92="","",'Master'!AC92)</x:f>
        <x:v>No</x:v>
      </x:c>
      <x:c r="AC13" s="100" t="str">
        <x:f>IF('Master'!AD92="","",'Master'!AD92)</x:f>
        <x:v>No</x:v>
      </x:c>
      <x:c r="AD13" s="100" t="str">
        <x:f>IF('Master'!AE92="","",'Master'!AE92)</x:f>
      </x:c>
      <x:c r="AE13" s="100" t="str">
        <x:f>IF('Master'!AF92="","",'Master'!AF92)</x:f>
        <x:v>No</x:v>
      </x:c>
      <x:c r="AF13" s="75" t="str">
        <x:f>IF('Master'!AG92="","",'Master'!AG92)</x:f>
        <x:v>Via integrations</x:v>
      </x:c>
    </x:row>
    <x:row r="14" ht="36" customHeight="1">
      <x:c r="A14" s="135" t="str">
        <x:v>Counting</x:v>
      </x:c>
      <x:c r="B14" s="100" t="str">
        <x:f>IF('Master'!C93="","",'Master'!C93)</x:f>
        <x:v>No native channel type; bots/apps can emulate counting</x:v>
      </x:c>
      <x:c r="C14" s="100" t="str">
        <x:f>IF('Master'!D93="","",'Master'!D93)</x:f>
        <x:v>No</x:v>
      </x:c>
      <x:c r="D14" s="100" t="str">
        <x:f>IF('Master'!E93="","",'Master'!E93)</x:f>
        <x:v>No</x:v>
      </x:c>
      <x:c r="E14" s="100" t="str">
        <x:f>IF('Master'!F93="","",'Master'!F93)</x:f>
        <x:v>No</x:v>
      </x:c>
      <x:c r="F14" s="100" t="str">
        <x:f>IF('Master'!G93="","",'Master'!G93)</x:f>
        <x:v>No native</x:v>
      </x:c>
      <x:c r="G14" s="100" t="str">
        <x:f>IF('Master'!H93="","",'Master'!H93)</x:f>
        <x:v>No native</x:v>
      </x:c>
      <x:c r="H14" s="100" t="str">
        <x:f>IF('Master'!I93="","",'Master'!I93)</x:f>
        <x:v>No</x:v>
      </x:c>
      <x:c r="I14" s="100" t="str">
        <x:f>IF('Master'!J93="","",'Master'!J93)</x:f>
        <x:v>No</x:v>
      </x:c>
      <x:c r="J14" s="100" t="str">
        <x:f>IF('Master'!K93="","",'Master'!K93)</x:f>
        <x:v>No</x:v>
      </x:c>
      <x:c r="K14" s="100" t="str">
        <x:f>IF('Master'!L93="","",'Master'!L93)</x:f>
        <x:v>No native ticket/counting/highlights/welcome/wiki/document/live-board/roster/web-link/RSS/whiteboard/tabletop channel type documented</x:v>
      </x:c>
      <x:c r="L14" s="100" t="str">
        <x:f>IF('Master'!M93="","",'Master'!M93)</x:f>
        <x:v>No</x:v>
      </x:c>
      <x:c r="M14" s="100" t="str">
        <x:f>IF('Master'!N93="","",'Master'!N93)</x:f>
        <x:v>No native</x:v>
      </x:c>
      <x:c r="N14" s="100" t="str">
        <x:f>IF('Master'!O93="","",'Master'!O93)</x:f>
        <x:v>Extensible/client-dependent</x:v>
      </x:c>
      <x:c r="O14" s="100" t="str">
        <x:f>IF('Master'!P93="","",'Master'!P93)</x:f>
        <x:v>No</x:v>
      </x:c>
      <x:c r="P14" s="100" t="str">
        <x:f>IF('Master'!Q93="","",'Master'!Q93)</x:f>
        <x:v>No native</x:v>
      </x:c>
      <x:c r="Q14" s="100" t="str">
        <x:f>IF('Master'!R93="","",'Master'!R93)</x:f>
        <x:v>N/A</x:v>
      </x:c>
      <x:c r="R14" s="100" t="str">
        <x:f>IF('Master'!S93="","",'Master'!S93)</x:f>
        <x:v>No</x:v>
      </x:c>
      <x:c r="S14" s="100" t="str">
        <x:f>IF('Master'!T93="","",'Master'!T93)</x:f>
        <x:v>No</x:v>
      </x:c>
      <x:c r="T14" s="100" t="str">
        <x:f>IF('Master'!U93="","",'Master'!U93)</x:f>
        <x:v>No</x:v>
      </x:c>
      <x:c r="U14" s="100" t="str">
        <x:f>IF('Master'!V93="","",'Master'!V93)</x:f>
        <x:v>Yes — native count, leaderboard, history</x:v>
      </x:c>
      <x:c r="V14" s="100" t="str">
        <x:f>IF('Master'!W93="","",'Master'!W93)</x:f>
        <x:v>No</x:v>
      </x:c>
      <x:c r="W14" s="100" t="str">
        <x:f>IF('Master'!X93="","",'Master'!X93)</x:f>
        <x:v>No</x:v>
      </x:c>
      <x:c r="X14" s="100" t="str">
        <x:f>IF('Master'!Y93="","",'Master'!Y93)</x:f>
        <x:v>Via app</x:v>
      </x:c>
      <x:c r="Y14" s="100" t="str">
        <x:f>IF('Master'!Z93="","",'Master'!Z93)</x:f>
        <x:v>No native</x:v>
      </x:c>
      <x:c r="Z14" s="100" t="str">
        <x:f>IF('Master'!AA93="","",'Master'!AA93)</x:f>
        <x:v>No native</x:v>
      </x:c>
      <x:c r="AA14" s="104" t="str">
        <x:f>IF('Master'!AB93="","",'Master'!AB93)</x:f>
        <x:v>N/A</x:v>
      </x:c>
      <x:c r="AB14" s="100" t="str">
        <x:f>IF('Master'!AC93="","",'Master'!AC93)</x:f>
        <x:v>No</x:v>
      </x:c>
      <x:c r="AC14" s="100" t="str">
        <x:f>IF('Master'!AD93="","",'Master'!AD93)</x:f>
        <x:v>No</x:v>
      </x:c>
      <x:c r="AD14" s="100" t="str">
        <x:f>IF('Master'!AE93="","",'Master'!AE93)</x:f>
        <x:v>No</x:v>
      </x:c>
      <x:c r="AE14" s="100" t="str">
        <x:f>IF('Master'!AF93="","",'Master'!AF93)</x:f>
        <x:v>No</x:v>
      </x:c>
      <x:c r="AF14" s="75" t="str">
        <x:f>IF('Master'!AG93="","",'Master'!AG93)</x:f>
        <x:v>No</x:v>
      </x:c>
    </x:row>
    <x:row r="15" ht="36" customHeight="1">
      <x:c r="A15" s="135" t="str">
        <x:v>Highlights</x:v>
      </x:c>
      <x:c r="B15" s="100" t="str">
        <x:f>IF('Master'!C94="","",'Master'!C94)</x:f>
        <x:v>No dedicated native channel; pins/forums can approximate</x:v>
      </x:c>
      <x:c r="C15" s="100" t="str">
        <x:f>IF('Master'!D94="","",'Master'!D94)</x:f>
      </x:c>
      <x:c r="D15" s="100" t="str">
        <x:f>IF('Master'!E94="","",'Master'!E94)</x:f>
      </x:c>
      <x:c r="E15" s="100" t="str">
        <x:f>IF('Master'!F94="","",'Master'!F94)</x:f>
      </x:c>
      <x:c r="F15" s="100" t="str">
        <x:f>IF('Master'!G94="","",'Master'!G94)</x:f>
      </x:c>
      <x:c r="G15" s="100" t="str">
        <x:f>IF('Master'!H94="","",'Master'!H94)</x:f>
      </x:c>
      <x:c r="H15" s="100" t="str">
        <x:f>IF('Master'!I94="","",'Master'!I94)</x:f>
      </x:c>
      <x:c r="I15" s="100" t="str">
        <x:f>IF('Master'!J94="","",'Master'!J94)</x:f>
      </x:c>
      <x:c r="J15" s="100" t="str">
        <x:f>IF('Master'!K94="","",'Master'!K94)</x:f>
      </x:c>
      <x:c r="K15" s="100" t="str">
        <x:f>IF('Master'!L94="","",'Master'!L94)</x:f>
        <x:v>No native ticket/counting/highlights/welcome/wiki/document/live-board/roster/web-link/RSS/whiteboard/tabletop channel type documented</x:v>
      </x:c>
      <x:c r="L15" s="100" t="str">
        <x:f>IF('Master'!M94="","",'Master'!M94)</x:f>
      </x:c>
      <x:c r="M15" s="100" t="str">
        <x:f>IF('Master'!N94="","",'Master'!N94)</x:f>
      </x:c>
      <x:c r="N15" s="100" t="str">
        <x:f>IF('Master'!O94="","",'Master'!O94)</x:f>
      </x:c>
      <x:c r="O15" s="100" t="str">
        <x:f>IF('Master'!P94="","",'Master'!P94)</x:f>
      </x:c>
      <x:c r="P15" s="100" t="str">
        <x:f>IF('Master'!Q94="","",'Master'!Q94)</x:f>
      </x:c>
      <x:c r="Q15" s="100" t="str">
        <x:f>IF('Master'!R94="","",'Master'!R94)</x:f>
      </x:c>
      <x:c r="R15" s="100" t="str">
        <x:f>IF('Master'!S94="","",'Master'!S94)</x:f>
      </x:c>
      <x:c r="S15" s="100" t="str">
        <x:f>IF('Master'!T94="","",'Master'!T94)</x:f>
      </x:c>
      <x:c r="T15" s="100" t="str">
        <x:f>IF('Master'!U94="","",'Master'!U94)</x:f>
      </x:c>
      <x:c r="U15" s="100" t="str">
        <x:f>IF('Master'!V94="","",'Master'!V94)</x:f>
        <x:v>Yes — native Highlights channel</x:v>
      </x:c>
      <x:c r="V15" s="100" t="str">
        <x:f>IF('Master'!W94="","",'Master'!W94)</x:f>
      </x:c>
      <x:c r="W15" s="100" t="str">
        <x:f>IF('Master'!X94="","",'Master'!X94)</x:f>
      </x:c>
      <x:c r="X15" s="100" t="str">
        <x:f>IF('Master'!Y94="","",'Master'!Y94)</x:f>
      </x:c>
      <x:c r="Y15" s="100" t="str">
        <x:f>IF('Master'!Z94="","",'Master'!Z94)</x:f>
      </x:c>
      <x:c r="Z15" s="100" t="str">
        <x:f>IF('Master'!AA94="","",'Master'!AA94)</x:f>
      </x:c>
      <x:c r="AA15" s="104" t="str">
        <x:f>IF('Master'!AB94="","",'Master'!AB94)</x:f>
      </x:c>
      <x:c r="AB15" s="100" t="str">
        <x:f>IF('Master'!AC94="","",'Master'!AC94)</x:f>
      </x:c>
      <x:c r="AC15" s="100" t="str">
        <x:f>IF('Master'!AD94="","",'Master'!AD94)</x:f>
      </x:c>
      <x:c r="AD15" s="100" t="str">
        <x:f>IF('Master'!AE94="","",'Master'!AE94)</x:f>
      </x:c>
      <x:c r="AE15" s="100" t="str">
        <x:f>IF('Master'!AF94="","",'Master'!AF94)</x:f>
      </x:c>
      <x:c r="AF15" s="75" t="str">
        <x:f>IF('Master'!AG94="","",'Master'!AG94)</x:f>
      </x:c>
    </x:row>
    <x:row r="16" ht="36" customHeight="1">
      <x:c r="A16" s="135" t="str">
        <x:v>Arrivals / Welcome</x:v>
      </x:c>
      <x:c r="B16" s="100" t="str">
        <x:f>IF('Master'!C95="","",'Master'!C95)</x:f>
        <x:v>No dedicated arrival channel; system channels can announce joins</x:v>
      </x:c>
      <x:c r="C16" s="100" t="str">
        <x:f>IF('Master'!D95="","",'Master'!D95)</x:f>
        <x:v>No</x:v>
      </x:c>
      <x:c r="D16" s="100" t="str">
        <x:f>IF('Master'!E95="","",'Master'!E95)</x:f>
        <x:v>No</x:v>
      </x:c>
      <x:c r="E16" s="100" t="str">
        <x:f>IF('Master'!F95="","",'Master'!F95)</x:f>
        <x:v>No</x:v>
      </x:c>
      <x:c r="F16" s="100" t="str">
        <x:f>IF('Master'!G95="","",'Master'!G95)</x:f>
        <x:v>No native</x:v>
      </x:c>
      <x:c r="G16" s="100" t="str">
        <x:f>IF('Master'!H95="","",'Master'!H95)</x:f>
        <x:v>No native</x:v>
      </x:c>
      <x:c r="H16" s="100" t="str">
        <x:f>IF('Master'!I95="","",'Master'!I95)</x:f>
        <x:v>No</x:v>
      </x:c>
      <x:c r="I16" s="100" t="str">
        <x:f>IF('Master'!J95="","",'Master'!J95)</x:f>
        <x:v>No</x:v>
      </x:c>
      <x:c r="J16" s="100" t="str">
        <x:f>IF('Master'!K95="","",'Master'!K95)</x:f>
        <x:v>No</x:v>
      </x:c>
      <x:c r="K16" s="100" t="str">
        <x:f>IF('Master'!L95="","",'Master'!L95)</x:f>
        <x:v>No native ticket/counting/highlights/welcome/wiki/document/live-board/roster/web-link/RSS/whiteboard/tabletop channel type documented</x:v>
      </x:c>
      <x:c r="L16" s="100" t="str">
        <x:f>IF('Master'!M95="","",'Master'!M95)</x:f>
        <x:v>No</x:v>
      </x:c>
      <x:c r="M16" s="100" t="str">
        <x:f>IF('Master'!N95="","",'Master'!N95)</x:f>
        <x:v>No</x:v>
      </x:c>
      <x:c r="N16" s="100" t="str">
        <x:f>IF('Master'!O95="","",'Master'!O95)</x:f>
        <x:v>Client-dependent</x:v>
      </x:c>
      <x:c r="O16" s="100" t="str">
        <x:f>IF('Master'!P95="","",'Master'!P95)</x:f>
        <x:v>No</x:v>
      </x:c>
      <x:c r="P16" s="100" t="str">
        <x:f>IF('Master'!Q95="","",'Master'!Q95)</x:f>
        <x:v>No native</x:v>
      </x:c>
      <x:c r="Q16" s="100" t="str">
        <x:f>IF('Master'!R95="","",'Master'!R95)</x:f>
        <x:v>N/A</x:v>
      </x:c>
      <x:c r="R16" s="100" t="str">
        <x:f>IF('Master'!S95="","",'Master'!S95)</x:f>
        <x:v>No</x:v>
      </x:c>
      <x:c r="S16" s="100" t="str">
        <x:f>IF('Master'!T95="","",'Master'!T95)</x:f>
        <x:v>No</x:v>
      </x:c>
      <x:c r="T16" s="100" t="str">
        <x:f>IF('Master'!U95="","",'Master'!U95)</x:f>
        <x:v>No</x:v>
      </x:c>
      <x:c r="U16" s="100" t="str">
        <x:f>IF('Master'!V95="","",'Master'!V95)</x:f>
        <x:v>Yes  - Shard Settings Option</x:v>
      </x:c>
      <x:c r="V16" s="100" t="str">
        <x:f>IF('Master'!W95="","",'Master'!W95)</x:f>
        <x:v>No</x:v>
      </x:c>
      <x:c r="W16" s="100" t="str">
        <x:f>IF('Master'!X95="","",'Master'!X95)</x:f>
        <x:v>No</x:v>
      </x:c>
      <x:c r="X16" s="100" t="str">
        <x:f>IF('Master'!Y95="","",'Master'!Y95)</x:f>
        <x:v>Via app</x:v>
      </x:c>
      <x:c r="Y16" s="100" t="str">
        <x:f>IF('Master'!Z95="","",'Master'!Z95)</x:f>
        <x:v>No native</x:v>
      </x:c>
      <x:c r="Z16" s="100" t="str">
        <x:f>IF('Master'!AA95="","",'Master'!AA95)</x:f>
        <x:v>No native</x:v>
      </x:c>
      <x:c r="AA16" s="104" t="str">
        <x:f>IF('Master'!AB95="","",'Master'!AB95)</x:f>
        <x:v>N/A</x:v>
      </x:c>
      <x:c r="AB16" s="100" t="str">
        <x:f>IF('Master'!AC95="","",'Master'!AC95)</x:f>
        <x:v>No</x:v>
      </x:c>
      <x:c r="AC16" s="100" t="str">
        <x:f>IF('Master'!AD95="","",'Master'!AD95)</x:f>
        <x:v>No</x:v>
      </x:c>
      <x:c r="AD16" s="100" t="str">
        <x:f>IF('Master'!AE95="","",'Master'!AE95)</x:f>
        <x:v>Arrivals/presence</x:v>
      </x:c>
      <x:c r="AE16" s="100" t="str">
        <x:f>IF('Master'!AF95="","",'Master'!AF95)</x:f>
        <x:v>No</x:v>
      </x:c>
      <x:c r="AF16" s="75" t="str">
        <x:f>IF('Master'!AG95="","",'Master'!AG95)</x:f>
        <x:v>No</x:v>
      </x:c>
    </x:row>
    <x:row r="17" ht="36" customHeight="1">
      <x:c r="A17" s="135" t="str">
        <x:v>Forms / Applications</x:v>
      </x:c>
      <x:c r="B17" s="100" t="str">
        <x:f>IF('Master'!C96="","",'Master'!C96)</x:f>
        <x:v>No native form channel; apps/bots</x:v>
      </x:c>
      <x:c r="C17" s="100" t="str">
        <x:f>IF('Master'!D96="","",'Master'!D96)</x:f>
      </x:c>
      <x:c r="D17" s="100" t="str">
        <x:f>IF('Master'!E96="","",'Master'!E96)</x:f>
      </x:c>
      <x:c r="E17" s="100" t="str">
        <x:f>IF('Master'!F96="","",'Master'!F96)</x:f>
      </x:c>
      <x:c r="F17" s="100" t="str">
        <x:f>IF('Master'!G96="","",'Master'!G96)</x:f>
      </x:c>
      <x:c r="G17" s="100" t="str">
        <x:f>IF('Master'!H96="","",'Master'!H96)</x:f>
      </x:c>
      <x:c r="H17" s="100" t="str">
        <x:f>IF('Master'!I96="","",'Master'!I96)</x:f>
      </x:c>
      <x:c r="I17" s="100" t="str">
        <x:f>IF('Master'!J96="","",'Master'!J96)</x:f>
      </x:c>
      <x:c r="J17" s="100" t="str">
        <x:f>IF('Master'!K96="","",'Master'!K96)</x:f>
      </x:c>
      <x:c r="K17" s="100" t="str">
        <x:f>IF('Master'!L96="","",'Master'!L96)</x:f>
      </x:c>
      <x:c r="L17" s="100" t="str">
        <x:f>IF('Master'!M96="","",'Master'!M96)</x:f>
      </x:c>
      <x:c r="M17" s="100" t="str">
        <x:f>IF('Master'!N96="","",'Master'!N96)</x:f>
      </x:c>
      <x:c r="N17" s="100" t="str">
        <x:f>IF('Master'!O96="","",'Master'!O96)</x:f>
      </x:c>
      <x:c r="O17" s="100" t="str">
        <x:f>IF('Master'!P96="","",'Master'!P96)</x:f>
      </x:c>
      <x:c r="P17" s="100" t="str">
        <x:f>IF('Master'!Q96="","",'Master'!Q96)</x:f>
      </x:c>
      <x:c r="Q17" s="100" t="str">
        <x:f>IF('Master'!R96="","",'Master'!R96)</x:f>
      </x:c>
      <x:c r="R17" s="100" t="str">
        <x:f>IF('Master'!S96="","",'Master'!S96)</x:f>
      </x:c>
      <x:c r="S17" s="100" t="str">
        <x:f>IF('Master'!T96="","",'Master'!T96)</x:f>
      </x:c>
      <x:c r="T17" s="100" t="str">
        <x:f>IF('Master'!U96="","",'Master'!U96)</x:f>
      </x:c>
      <x:c r="U17" s="100" t="str">
        <x:f>IF('Master'!V96="","",'Master'!V96)</x:f>
        <x:v>Yes — forms can be posted in channels</x:v>
      </x:c>
      <x:c r="V17" s="100" t="str">
        <x:f>IF('Master'!W96="","",'Master'!W96)</x:f>
      </x:c>
      <x:c r="W17" s="100" t="str">
        <x:f>IF('Master'!X96="","",'Master'!X96)</x:f>
      </x:c>
      <x:c r="X17" s="100" t="str">
        <x:f>IF('Master'!Y96="","",'Master'!Y96)</x:f>
      </x:c>
      <x:c r="Y17" s="100" t="str">
        <x:f>IF('Master'!Z96="","",'Master'!Z96)</x:f>
      </x:c>
      <x:c r="Z17" s="100" t="str">
        <x:f>IF('Master'!AA96="","",'Master'!AA96)</x:f>
      </x:c>
      <x:c r="AA17" s="104" t="str">
        <x:f>IF('Master'!AB96="","",'Master'!AB96)</x:f>
      </x:c>
      <x:c r="AB17" s="100" t="str">
        <x:f>IF('Master'!AC96="","",'Master'!AC96)</x:f>
      </x:c>
      <x:c r="AC17" s="100" t="str">
        <x:f>IF('Master'!AD96="","",'Master'!AD96)</x:f>
      </x:c>
      <x:c r="AD17" s="100" t="str">
        <x:f>IF('Master'!AE96="","",'Master'!AE96)</x:f>
      </x:c>
      <x:c r="AE17" s="100" t="str">
        <x:f>IF('Master'!AF96="","",'Master'!AF96)</x:f>
      </x:c>
      <x:c r="AF17" s="75" t="str">
        <x:f>IF('Master'!AG96="","",'Master'!AG96)</x:f>
      </x:c>
    </x:row>
    <x:row r="18" ht="22" customHeight="1">
      <x:c r="A18" s="138" t="str">
        <x:v>Persistent Knowledge &amp; Work</x:v>
      </x:c>
      <x:c r="B18" s="138" t="str">
        <x:f>IF(""="","","")</x:f>
      </x:c>
      <x:c r="C18" s="138" t="str">
        <x:f>IF(""="","","")</x:f>
      </x:c>
      <x:c r="D18" s="138" t="str">
        <x:f>IF(""="","","")</x:f>
      </x:c>
      <x:c r="E18" s="138" t="str">
        <x:f>IF(""="","","")</x:f>
      </x:c>
      <x:c r="F18" s="138" t="str">
        <x:f>IF(""="","","")</x:f>
      </x:c>
      <x:c r="G18" s="138" t="str">
        <x:f>IF(""="","","")</x:f>
      </x:c>
      <x:c r="H18" s="138" t="str">
        <x:f>IF(""="","","")</x:f>
      </x:c>
      <x:c r="I18" s="138" t="str">
        <x:f>IF(""="","","")</x:f>
      </x:c>
      <x:c r="J18" s="138" t="str">
        <x:f>IF(""="","","")</x:f>
      </x:c>
      <x:c r="K18" s="138" t="str">
        <x:f>IF(""="","","")</x:f>
      </x:c>
      <x:c r="L18" s="138" t="str">
        <x:f>IF(""="","","")</x:f>
      </x:c>
      <x:c r="M18" s="138" t="str">
        <x:f>IF(""="","","")</x:f>
      </x:c>
      <x:c r="N18" s="138" t="str">
        <x:f>IF(""="","","")</x:f>
      </x:c>
      <x:c r="O18" s="138" t="str">
        <x:f>IF(""="","","")</x:f>
      </x:c>
      <x:c r="P18" s="138" t="str">
        <x:f>IF(""="","","")</x:f>
      </x:c>
      <x:c r="Q18" s="138" t="str">
        <x:f>IF(""="","","")</x:f>
      </x:c>
      <x:c r="R18" s="138" t="str">
        <x:f>IF(""="","","")</x:f>
      </x:c>
      <x:c r="S18" s="138" t="str">
        <x:f>IF(""="","","")</x:f>
      </x:c>
      <x:c r="T18" s="138" t="str">
        <x:f>IF(""="","","")</x:f>
      </x:c>
      <x:c r="U18" s="138" t="str">
        <x:f>IF(""="","","")</x:f>
      </x:c>
      <x:c r="V18" s="138" t="str">
        <x:f>IF(""="","","")</x:f>
      </x:c>
      <x:c r="W18" s="138" t="str">
        <x:f>IF(""="","","")</x:f>
      </x:c>
      <x:c r="X18" s="138" t="str">
        <x:f>IF(""="","","")</x:f>
      </x:c>
      <x:c r="Y18" s="138" t="str">
        <x:f>IF(""="","","")</x:f>
      </x:c>
      <x:c r="Z18" s="138" t="str">
        <x:f>IF(""="","","")</x:f>
      </x:c>
      <x:c r="AA18" s="138" t="str">
        <x:f>IF(""="","","")</x:f>
      </x:c>
      <x:c r="AB18" s="138" t="str">
        <x:f>IF(""="","","")</x:f>
      </x:c>
      <x:c r="AC18" s="138" t="str">
        <x:f>IF(""="","","")</x:f>
      </x:c>
      <x:c r="AD18" s="138" t="str">
        <x:f>IF(""="","","")</x:f>
      </x:c>
      <x:c r="AE18" s="138" t="str">
        <x:f>IF(""="","","")</x:f>
      </x:c>
      <x:c r="AF18" s="139" t="str">
        <x:f>IF(""="","","")</x:f>
      </x:c>
    </x:row>
    <x:row r="19" ht="36" customHeight="1">
      <x:c r="A19" s="135" t="str">
        <x:v>Wiki</x:v>
      </x:c>
      <x:c r="B19" s="100" t="str">
        <x:f>IF('Master'!C97="","",'Master'!C97)</x:f>
        <x:v>No native wiki channel type</x:v>
      </x:c>
      <x:c r="C19" s="100" t="str">
        <x:f>IF('Master'!D97="","",'Master'!D97)</x:f>
        <x:v>No</x:v>
      </x:c>
      <x:c r="D19" s="100" t="str">
        <x:f>IF('Master'!E97="","",'Master'!E97)</x:f>
        <x:v>No</x:v>
      </x:c>
      <x:c r="E19" s="100" t="str">
        <x:f>IF('Master'!F97="","",'Master'!F97)</x:f>
        <x:v>No</x:v>
      </x:c>
      <x:c r="F19" s="100" t="str">
        <x:f>IF('Master'!G97="","",'Master'!G97)</x:f>
        <x:v>No native</x:v>
      </x:c>
      <x:c r="G19" s="100" t="str">
        <x:f>IF('Master'!H97="","",'Master'!H97)</x:f>
        <x:v>No native</x:v>
      </x:c>
      <x:c r="H19" s="100" t="str">
        <x:f>IF('Master'!I97="","",'Master'!I97)</x:f>
        <x:v>No</x:v>
      </x:c>
      <x:c r="I19" s="100" t="str">
        <x:f>IF('Master'!J97="","",'Master'!J97)</x:f>
        <x:v>No</x:v>
      </x:c>
      <x:c r="J19" s="100" t="str">
        <x:f>IF('Master'!K97="","",'Master'!K97)</x:f>
        <x:v>No</x:v>
      </x:c>
      <x:c r="K19" s="100" t="str">
        <x:f>IF('Master'!L97="","",'Master'!L97)</x:f>
        <x:v>No native ticket/counting/highlights/welcome/wiki/document/live-board/roster/web-link/RSS/whiteboard/tabletop channel type documented</x:v>
      </x:c>
      <x:c r="L19" s="100" t="str">
        <x:f>IF('Master'!M97="","",'Master'!M97)</x:f>
        <x:v>No</x:v>
      </x:c>
      <x:c r="M19" s="100" t="str">
        <x:f>IF('Master'!N97="","",'Master'!N97)</x:f>
        <x:v>No</x:v>
      </x:c>
      <x:c r="N19" s="100" t="str">
        <x:f>IF('Master'!O97="","",'Master'!O97)</x:f>
        <x:v>Extensible/client-dependent</x:v>
      </x:c>
      <x:c r="O19" s="100" t="str">
        <x:f>IF('Master'!P97="","",'Master'!P97)</x:f>
        <x:v>No</x:v>
      </x:c>
      <x:c r="P19" s="100" t="str">
        <x:f>IF('Master'!Q97="","",'Master'!Q97)</x:f>
        <x:v>No native</x:v>
      </x:c>
      <x:c r="Q19" s="100" t="str">
        <x:f>IF('Master'!R97="","",'Master'!R97)</x:f>
        <x:v>N/A</x:v>
      </x:c>
      <x:c r="R19" s="100" t="str">
        <x:f>IF('Master'!S97="","",'Master'!S97)</x:f>
        <x:v>No</x:v>
      </x:c>
      <x:c r="S19" s="100" t="str">
        <x:f>IF('Master'!T97="","",'Master'!T97)</x:f>
        <x:v>No</x:v>
      </x:c>
      <x:c r="T19" s="100" t="str">
        <x:f>IF('Master'!U97="","",'Master'!U97)</x:f>
        <x:v>No</x:v>
      </x:c>
      <x:c r="U19" s="100" t="str">
        <x:f>IF('Master'!V97="","",'Master'!V97)</x:f>
        <x:v>Yes — pages, sections, drafts, files</x:v>
      </x:c>
      <x:c r="V19" s="100" t="str">
        <x:f>IF('Master'!W97="","",'Master'!W97)</x:f>
        <x:v>No</x:v>
      </x:c>
      <x:c r="W19" s="100" t="str">
        <x:f>IF('Master'!X97="","",'Master'!X97)</x:f>
        <x:v>Wiki/docs-like</x:v>
      </x:c>
      <x:c r="X19" s="100" t="str">
        <x:f>IF('Master'!Y97="","",'Master'!Y97)</x:f>
        <x:v>Via app</x:v>
      </x:c>
      <x:c r="Y19" s="100" t="str">
        <x:f>IF('Master'!Z97="","",'Master'!Z97)</x:f>
        <x:v>No native</x:v>
      </x:c>
      <x:c r="Z19" s="100" t="str">
        <x:f>IF('Master'!AA97="","",'Master'!AA97)</x:f>
        <x:v>No native</x:v>
      </x:c>
      <x:c r="AA19" s="104" t="str">
        <x:f>IF('Master'!AB97="","",'Master'!AB97)</x:f>
        <x:v>N/A</x:v>
      </x:c>
      <x:c r="AB19" s="100" t="str">
        <x:f>IF('Master'!AC97="","",'Master'!AC97)</x:f>
        <x:v>Wiki</x:v>
      </x:c>
      <x:c r="AC19" s="100" t="str">
        <x:f>IF('Master'!AD97="","",'Master'!AD97)</x:f>
        <x:v>No</x:v>
      </x:c>
      <x:c r="AD19" s="100" t="str">
        <x:f>IF('Master'!AE97="","",'Master'!AE97)</x:f>
        <x:v>No</x:v>
      </x:c>
      <x:c r="AE19" s="100" t="str">
        <x:f>IF('Master'!AF97="","",'Master'!AF97)</x:f>
        <x:v>No</x:v>
      </x:c>
      <x:c r="AF19" s="75" t="str">
        <x:f>IF('Master'!AG97="","",'Master'!AG97)</x:f>
        <x:v>No</x:v>
      </x:c>
    </x:row>
    <x:row r="20" ht="36" customHeight="1">
      <x:c r="A20" s="135" t="str">
        <x:v>Document</x:v>
      </x:c>
      <x:c r="B20" s="100" t="str">
        <x:f>IF('Master'!C98="","",'Master'!C98)</x:f>
        <x:v>No native document channel type</x:v>
      </x:c>
      <x:c r="C20" s="100" t="str">
        <x:f>IF('Master'!D98="","",'Master'!D98)</x:f>
        <x:v>No</x:v>
      </x:c>
      <x:c r="D20" s="100" t="str">
        <x:f>IF('Master'!E98="","",'Master'!E98)</x:f>
        <x:v>No</x:v>
      </x:c>
      <x:c r="E20" s="100" t="str">
        <x:f>IF('Master'!F98="","",'Master'!F98)</x:f>
        <x:v>No</x:v>
      </x:c>
      <x:c r="F20" s="100" t="str">
        <x:f>IF('Master'!G98="","",'Master'!G98)</x:f>
        <x:v>No native</x:v>
      </x:c>
      <x:c r="G20" s="100" t="str">
        <x:f>IF('Master'!H98="","",'Master'!H98)</x:f>
        <x:v>No native</x:v>
      </x:c>
      <x:c r="H20" s="100" t="str">
        <x:f>IF('Master'!I98="","",'Master'!I98)</x:f>
        <x:v>No</x:v>
      </x:c>
      <x:c r="I20" s="100" t="str">
        <x:f>IF('Master'!J98="","",'Master'!J98)</x:f>
        <x:v>No</x:v>
      </x:c>
      <x:c r="J20" s="100" t="str">
        <x:f>IF('Master'!K98="","",'Master'!K98)</x:f>
        <x:v>No</x:v>
      </x:c>
      <x:c r="K20" s="100" t="str">
        <x:f>IF('Master'!L98="","",'Master'!L98)</x:f>
        <x:v>No native ticket/counting/highlights/welcome/wiki/document/live-board/roster/web-link/RSS/whiteboard/tabletop channel type documented</x:v>
      </x:c>
      <x:c r="L20" s="100" t="str">
        <x:f>IF('Master'!M98="","",'Master'!M98)</x:f>
        <x:v>No</x:v>
      </x:c>
      <x:c r="M20" s="100" t="str">
        <x:f>IF('Master'!N98="","",'Master'!N98)</x:f>
        <x:v>No</x:v>
      </x:c>
      <x:c r="N20" s="100" t="str">
        <x:f>IF('Master'!O98="","",'Master'!O98)</x:f>
        <x:v>Extensible/client-dependent</x:v>
      </x:c>
      <x:c r="O20" s="100" t="str">
        <x:f>IF('Master'!P98="","",'Master'!P98)</x:f>
        <x:v>No</x:v>
      </x:c>
      <x:c r="P20" s="100" t="str">
        <x:f>IF('Master'!Q98="","",'Master'!Q98)</x:f>
        <x:v>No native</x:v>
      </x:c>
      <x:c r="Q20" s="100" t="str">
        <x:f>IF('Master'!R98="","",'Master'!R98)</x:f>
        <x:v>N/A</x:v>
      </x:c>
      <x:c r="R20" s="100" t="str">
        <x:f>IF('Master'!S98="","",'Master'!S98)</x:f>
        <x:v>No</x:v>
      </x:c>
      <x:c r="S20" s="100" t="str">
        <x:f>IF('Master'!T98="","",'Master'!T98)</x:f>
        <x:v>No</x:v>
      </x:c>
      <x:c r="T20" s="100" t="str">
        <x:f>IF('Master'!U98="","",'Master'!U98)</x:f>
        <x:v>No</x:v>
      </x:c>
      <x:c r="U20" s="100" t="str">
        <x:f>IF('Master'!V98="","",'Master'!V98)</x:f>
        <x:v>Yes — document channel, folders, whiteboards</x:v>
      </x:c>
      <x:c r="V20" s="100" t="str">
        <x:f>IF('Master'!W98="","",'Master'!W98)</x:f>
        <x:v>No</x:v>
      </x:c>
      <x:c r="W20" s="100" t="str">
        <x:f>IF('Master'!X98="","",'Master'!X98)</x:f>
        <x:v>Documentation pages</x:v>
      </x:c>
      <x:c r="X20" s="100" t="str">
        <x:f>IF('Master'!Y98="","",'Master'!Y98)</x:f>
        <x:v>Via app</x:v>
      </x:c>
      <x:c r="Y20" s="100" t="str">
        <x:f>IF('Master'!Z98="","",'Master'!Z98)</x:f>
        <x:v>No native</x:v>
      </x:c>
      <x:c r="Z20" s="100" t="str">
        <x:f>IF('Master'!AA98="","",'Master'!AA98)</x:f>
        <x:v>No native</x:v>
      </x:c>
      <x:c r="AA20" s="104" t="str">
        <x:f>IF('Master'!AB98="","",'Master'!AB98)</x:f>
        <x:v>N/A</x:v>
      </x:c>
      <x:c r="AB20" s="100" t="str">
        <x:f>IF('Master'!AC98="","",'Master'!AC98)</x:f>
        <x:v>Wiki</x:v>
      </x:c>
      <x:c r="AC20" s="100" t="str">
        <x:f>IF('Master'!AD98="","",'Master'!AD98)</x:f>
        <x:v>No</x:v>
      </x:c>
      <x:c r="AD20" s="100" t="str">
        <x:f>IF('Master'!AE98="","",'Master'!AE98)</x:f>
        <x:v>No</x:v>
      </x:c>
      <x:c r="AE20" s="100" t="str">
        <x:f>IF('Master'!AF98="","",'Master'!AF98)</x:f>
        <x:v>No</x:v>
      </x:c>
      <x:c r="AF20" s="75" t="str">
        <x:f>IF('Master'!AG98="","",'Master'!AG98)</x:f>
        <x:v>No</x:v>
      </x:c>
    </x:row>
    <x:row r="21" ht="36" customHeight="1">
      <x:c r="A21" s="135" t="str">
        <x:v>Tasks / Kanban</x:v>
      </x:c>
      <x:c r="B21" s="100" t="str">
        <x:f>IF('Master'!C99="","",'Master'!C99)</x:f>
        <x:v>No native task channel type</x:v>
      </x:c>
      <x:c r="C21" s="100" t="str">
        <x:f>IF('Master'!D99="","",'Master'!D99)</x:f>
        <x:v>No</x:v>
      </x:c>
      <x:c r="D21" s="100" t="str">
        <x:f>IF('Master'!E99="","",'Master'!E99)</x:f>
        <x:v>No</x:v>
      </x:c>
      <x:c r="E21" s="100" t="str">
        <x:f>IF('Master'!F99="","",'Master'!F99)</x:f>
        <x:v>No</x:v>
      </x:c>
      <x:c r="F21" s="100" t="str">
        <x:f>IF('Master'!G99="","",'Master'!G99)</x:f>
        <x:v>No native</x:v>
      </x:c>
      <x:c r="G21" s="100" t="str">
        <x:f>IF('Master'!H99="","",'Master'!H99)</x:f>
        <x:v>No native</x:v>
      </x:c>
      <x:c r="H21" s="100" t="str">
        <x:f>IF('Master'!I99="","",'Master'!I99)</x:f>
        <x:v>No</x:v>
      </x:c>
      <x:c r="I21" s="100" t="str">
        <x:f>IF('Master'!J99="","",'Master'!J99)</x:f>
        <x:v>No</x:v>
      </x:c>
      <x:c r="J21" s="100" t="str">
        <x:f>IF('Master'!K99="","",'Master'!K99)</x:f>
        <x:v>No</x:v>
      </x:c>
      <x:c r="K21" s="100" t="str">
        <x:f>IF('Master'!L99="","",'Master'!L99)</x:f>
        <x:v>Yes — type-17 task tracker with boards, lanes and tasks</x:v>
      </x:c>
      <x:c r="L21" s="100" t="str">
        <x:f>IF('Master'!M99="","",'Master'!M99)</x:f>
        <x:v>Tasks</x:v>
      </x:c>
      <x:c r="M21" s="100" t="str">
        <x:f>IF('Master'!N99="","",'Master'!N99)</x:f>
        <x:v>No</x:v>
      </x:c>
      <x:c r="N21" s="100" t="str">
        <x:f>IF('Master'!O99="","",'Master'!O99)</x:f>
        <x:v>Extensible/client-dependent</x:v>
      </x:c>
      <x:c r="O21" s="100" t="str">
        <x:f>IF('Master'!P99="","",'Master'!P99)</x:f>
        <x:v>Boards/tasks via products/plugins</x:v>
      </x:c>
      <x:c r="P21" s="100" t="str">
        <x:f>IF('Master'!Q99="","",'Master'!Q99)</x:f>
        <x:v>No native</x:v>
      </x:c>
      <x:c r="Q21" s="100" t="str">
        <x:f>IF('Master'!R99="","",'Master'!R99)</x:f>
        <x:v>N/A</x:v>
      </x:c>
      <x:c r="R21" s="100" t="str">
        <x:f>IF('Master'!S99="","",'Master'!S99)</x:f>
        <x:v>No</x:v>
      </x:c>
      <x:c r="S21" s="100" t="str">
        <x:f>IF('Master'!T99="","",'Master'!T99)</x:f>
        <x:v>No</x:v>
      </x:c>
      <x:c r="T21" s="100" t="str">
        <x:f>IF('Master'!U99="","",'Master'!U99)</x:f>
        <x:v>No</x:v>
      </x:c>
      <x:c r="U21" s="100" t="str">
        <x:f>IF('Master'!V99="","",'Master'!V99)</x:f>
        <x:v>Yes — task boards, assignees, blockers, archive</x:v>
      </x:c>
      <x:c r="V21" s="100" t="str">
        <x:f>IF('Master'!W99="","",'Master'!W99)</x:f>
        <x:v>Apps</x:v>
      </x:c>
      <x:c r="W21" s="100" t="str">
        <x:f>IF('Master'!X99="","",'Master'!X99)</x:f>
        <x:v>No</x:v>
      </x:c>
      <x:c r="X21" s="100" t="str">
        <x:f>IF('Master'!Y99="","",'Master'!Y99)</x:f>
        <x:v>Via app</x:v>
      </x:c>
      <x:c r="Y21" s="100" t="str">
        <x:f>IF('Master'!Z99="","",'Master'!Z99)</x:f>
        <x:v>No native</x:v>
      </x:c>
      <x:c r="Z21" s="100" t="str">
        <x:f>IF('Master'!AA99="","",'Master'!AA99)</x:f>
        <x:v>No native</x:v>
      </x:c>
      <x:c r="AA21" s="104" t="str">
        <x:f>IF('Master'!AB99="","",'Master'!AB99)</x:f>
        <x:v>N/A</x:v>
      </x:c>
      <x:c r="AB21" s="100" t="str">
        <x:f>IF('Master'!AC99="","",'Master'!AC99)</x:f>
        <x:v>No</x:v>
      </x:c>
      <x:c r="AC21" s="100" t="str">
        <x:f>IF('Master'!AD99="","",'Master'!AD99)</x:f>
        <x:v>No</x:v>
      </x:c>
      <x:c r="AD21" s="100" t="str">
        <x:f>IF('Master'!AE99="","",'Master'!AE99)</x:f>
        <x:v>Tasks/modules</x:v>
      </x:c>
      <x:c r="AE21" s="100" t="str">
        <x:f>IF('Master'!AF99="","",'Master'!AF99)</x:f>
        <x:v>No</x:v>
      </x:c>
      <x:c r="AF21" s="75" t="str">
        <x:f>IF('Master'!AG99="","",'Master'!AG99)</x:f>
        <x:v>No dedicated task channel</x:v>
      </x:c>
    </x:row>
    <x:row r="22" ht="36" customHeight="1">
      <x:c r="A22" s="135" t="str">
        <x:v>Live Board / Status Board</x:v>
      </x:c>
      <x:c r="B22" s="100" t="str">
        <x:f>IF('Master'!C100="","",'Master'!C100)</x:f>
        <x:v>No native</x:v>
      </x:c>
      <x:c r="C22" s="100" t="str">
        <x:f>IF('Master'!D100="","",'Master'!D100)</x:f>
      </x:c>
      <x:c r="D22" s="100" t="str">
        <x:f>IF('Master'!E100="","",'Master'!E100)</x:f>
      </x:c>
      <x:c r="E22" s="100" t="str">
        <x:f>IF('Master'!F100="","",'Master'!F100)</x:f>
      </x:c>
      <x:c r="F22" s="100" t="str">
        <x:f>IF('Master'!G100="","",'Master'!G100)</x:f>
      </x:c>
      <x:c r="G22" s="100" t="str">
        <x:f>IF('Master'!H100="","",'Master'!H100)</x:f>
      </x:c>
      <x:c r="H22" s="100" t="str">
        <x:f>IF('Master'!I100="","",'Master'!I100)</x:f>
      </x:c>
      <x:c r="I22" s="100" t="str">
        <x:f>IF('Master'!J100="","",'Master'!J100)</x:f>
      </x:c>
      <x:c r="J22" s="100" t="str">
        <x:f>IF('Master'!K100="","",'Master'!K100)</x:f>
      </x:c>
      <x:c r="K22" s="100" t="str">
        <x:f>IF('Master'!L100="","",'Master'!L100)</x:f>
        <x:v>No native ticket/counting/highlights/welcome/wiki/document/live-board/roster/web-link/RSS/whiteboard/tabletop channel type documented</x:v>
      </x:c>
      <x:c r="L22" s="100" t="str">
        <x:f>IF('Master'!M100="","",'Master'!M100)</x:f>
      </x:c>
      <x:c r="M22" s="100" t="str">
        <x:f>IF('Master'!N100="","",'Master'!N100)</x:f>
      </x:c>
      <x:c r="N22" s="100" t="str">
        <x:f>IF('Master'!O100="","",'Master'!O100)</x:f>
      </x:c>
      <x:c r="O22" s="100" t="str">
        <x:f>IF('Master'!P100="","",'Master'!P100)</x:f>
      </x:c>
      <x:c r="P22" s="100" t="str">
        <x:f>IF('Master'!Q100="","",'Master'!Q100)</x:f>
      </x:c>
      <x:c r="Q22" s="100" t="str">
        <x:f>IF('Master'!R100="","",'Master'!R100)</x:f>
      </x:c>
      <x:c r="R22" s="100" t="str">
        <x:f>IF('Master'!S100="","",'Master'!S100)</x:f>
      </x:c>
      <x:c r="S22" s="100" t="str">
        <x:f>IF('Master'!T100="","",'Master'!T100)</x:f>
      </x:c>
      <x:c r="T22" s="100" t="str">
        <x:f>IF('Master'!U100="","",'Master'!U100)</x:f>
      </x:c>
      <x:c r="U22" s="100" t="str">
        <x:f>IF('Master'!V100="","",'Master'!V100)</x:f>
        <x:v>Yes — live status cards / tool-fed boards</x:v>
      </x:c>
      <x:c r="V22" s="100" t="str">
        <x:f>IF('Master'!W100="","",'Master'!W100)</x:f>
      </x:c>
      <x:c r="W22" s="100" t="str">
        <x:f>IF('Master'!X100="","",'Master'!X100)</x:f>
      </x:c>
      <x:c r="X22" s="100" t="str">
        <x:f>IF('Master'!Y100="","",'Master'!Y100)</x:f>
      </x:c>
      <x:c r="Y22" s="100" t="str">
        <x:f>IF('Master'!Z100="","",'Master'!Z100)</x:f>
      </x:c>
      <x:c r="Z22" s="100" t="str">
        <x:f>IF('Master'!AA100="","",'Master'!AA100)</x:f>
      </x:c>
      <x:c r="AA22" s="104" t="str">
        <x:f>IF('Master'!AB100="","",'Master'!AB100)</x:f>
      </x:c>
      <x:c r="AB22" s="100" t="str">
        <x:f>IF('Master'!AC100="","",'Master'!AC100)</x:f>
      </x:c>
      <x:c r="AC22" s="100" t="str">
        <x:f>IF('Master'!AD100="","",'Master'!AD100)</x:f>
      </x:c>
      <x:c r="AD22" s="100" t="str">
        <x:f>IF('Master'!AE100="","",'Master'!AE100)</x:f>
      </x:c>
      <x:c r="AE22" s="100" t="str">
        <x:f>IF('Master'!AF100="","",'Master'!AF100)</x:f>
      </x:c>
      <x:c r="AF22" s="75" t="str">
        <x:f>IF('Master'!AG100="","",'Master'!AG100)</x:f>
      </x:c>
    </x:row>
    <x:row r="23" ht="36" customHeight="1">
      <x:c r="A23" s="135" t="str">
        <x:v>Roster / Team List</x:v>
      </x:c>
      <x:c r="B23" s="100" t="str">
        <x:f>IF('Master'!C101="","",'Master'!C101)</x:f>
        <x:v>No native roster channel type</x:v>
      </x:c>
      <x:c r="C23" s="100" t="str">
        <x:f>IF('Master'!D101="","",'Master'!D101)</x:f>
        <x:v>No</x:v>
      </x:c>
      <x:c r="D23" s="100" t="str">
        <x:f>IF('Master'!E101="","",'Master'!E101)</x:f>
        <x:v>No</x:v>
      </x:c>
      <x:c r="E23" s="100" t="str">
        <x:f>IF('Master'!F101="","",'Master'!F101)</x:f>
        <x:v>No</x:v>
      </x:c>
      <x:c r="F23" s="100" t="str">
        <x:f>IF('Master'!G101="","",'Master'!G101)</x:f>
        <x:v>No native</x:v>
      </x:c>
      <x:c r="G23" s="100" t="str">
        <x:f>IF('Master'!H101="","",'Master'!H101)</x:f>
        <x:v>No native</x:v>
      </x:c>
      <x:c r="H23" s="100" t="str">
        <x:f>IF('Master'!I101="","",'Master'!I101)</x:f>
        <x:v>No</x:v>
      </x:c>
      <x:c r="I23" s="100" t="str">
        <x:f>IF('Master'!J101="","",'Master'!J101)</x:f>
        <x:v>No</x:v>
      </x:c>
      <x:c r="J23" s="100" t="str">
        <x:f>IF('Master'!K101="","",'Master'!K101)</x:f>
        <x:v>No</x:v>
      </x:c>
      <x:c r="K23" s="100" t="str">
        <x:f>IF('Master'!L101="","",'Master'!L101)</x:f>
        <x:v>No native ticket/counting/highlights/welcome/wiki/document/live-board/roster/web-link/RSS/whiteboard/tabletop channel type documented</x:v>
      </x:c>
      <x:c r="L23" s="100" t="str">
        <x:f>IF('Master'!M101="","",'Master'!M101)</x:f>
        <x:v>No</x:v>
      </x:c>
      <x:c r="M23" s="100" t="str">
        <x:f>IF('Master'!N101="","",'Master'!N101)</x:f>
        <x:v>No</x:v>
      </x:c>
      <x:c r="N23" s="100" t="str">
        <x:f>IF('Master'!O101="","",'Master'!O101)</x:f>
        <x:v>Extensible/client-dependent</x:v>
      </x:c>
      <x:c r="O23" s="100" t="str">
        <x:f>IF('Master'!P101="","",'Master'!P101)</x:f>
        <x:v>No</x:v>
      </x:c>
      <x:c r="P23" s="100" t="str">
        <x:f>IF('Master'!Q101="","",'Master'!Q101)</x:f>
        <x:v>No native</x:v>
      </x:c>
      <x:c r="Q23" s="100" t="str">
        <x:f>IF('Master'!R101="","",'Master'!R101)</x:f>
        <x:v>N/A</x:v>
      </x:c>
      <x:c r="R23" s="100" t="str">
        <x:f>IF('Master'!S101="","",'Master'!S101)</x:f>
        <x:v>No</x:v>
      </x:c>
      <x:c r="S23" s="100" t="str">
        <x:f>IF('Master'!T101="","",'Master'!T101)</x:f>
        <x:v>No</x:v>
      </x:c>
      <x:c r="T23" s="100" t="str">
        <x:f>IF('Master'!U101="","",'Master'!U101)</x:f>
        <x:v>No</x:v>
      </x:c>
      <x:c r="U23" s="100" t="str">
        <x:f>IF('Master'!V101="","",'Master'!V101)</x:f>
        <x:v>Experimental — dynamic role/member-derived roster</x:v>
      </x:c>
      <x:c r="V23" s="100" t="str">
        <x:f>IF('Master'!W101="","",'Master'!W101)</x:f>
        <x:v>No</x:v>
      </x:c>
      <x:c r="W23" s="100" t="str">
        <x:f>IF('Master'!X101="","",'Master'!X101)</x:f>
        <x:v>No</x:v>
      </x:c>
      <x:c r="X23" s="100" t="str">
        <x:f>IF('Master'!Y101="","",'Master'!Y101)</x:f>
        <x:v>Via app (Raid Planner)</x:v>
      </x:c>
      <x:c r="Y23" s="100" t="str">
        <x:f>IF('Master'!Z101="","",'Master'!Z101)</x:f>
        <x:v>No native</x:v>
      </x:c>
      <x:c r="Z23" s="100" t="str">
        <x:f>IF('Master'!AA101="","",'Master'!AA101)</x:f>
        <x:v>No native</x:v>
      </x:c>
      <x:c r="AA23" s="104" t="str">
        <x:f>IF('Master'!AB101="","",'Master'!AB101)</x:f>
        <x:v>N/A</x:v>
      </x:c>
      <x:c r="AB23" s="100" t="str">
        <x:f>IF('Master'!AC101="","",'Master'!AC101)</x:f>
        <x:v>No</x:v>
      </x:c>
      <x:c r="AC23" s="100" t="str">
        <x:f>IF('Master'!AD101="","",'Master'!AD101)</x:f>
        <x:v>No</x:v>
      </x:c>
      <x:c r="AD23" s="100" t="str">
        <x:f>IF('Master'!AE101="","",'Master'!AE101)</x:f>
        <x:v>Roster/team modules</x:v>
      </x:c>
      <x:c r="AE23" s="100" t="str">
        <x:f>IF('Master'!AF101="","",'Master'!AF101)</x:f>
        <x:v>No</x:v>
      </x:c>
      <x:c r="AF23" s="75" t="str">
        <x:f>IF('Master'!AG101="","",'Master'!AG101)</x:f>
        <x:v>No</x:v>
      </x:c>
    </x:row>
    <x:row r="24" ht="36" customHeight="1">
      <x:c r="A24" s="135" t="str">
        <x:v>Web Link / Shortcut</x:v>
      </x:c>
      <x:c r="B24" s="100" t="str">
        <x:f>IF('Master'!C102="","",'Master'!C102)</x:f>
        <x:v>No native web-link channel type; links/embeds can be posted</x:v>
      </x:c>
      <x:c r="C24" s="100" t="str">
        <x:f>IF('Master'!D102="","",'Master'!D102)</x:f>
        <x:v>No</x:v>
      </x:c>
      <x:c r="D24" s="100" t="str">
        <x:f>IF('Master'!E102="","",'Master'!E102)</x:f>
        <x:v>No</x:v>
      </x:c>
      <x:c r="E24" s="100" t="str">
        <x:f>IF('Master'!F102="","",'Master'!F102)</x:f>
        <x:v>No</x:v>
      </x:c>
      <x:c r="F24" s="100" t="str">
        <x:f>IF('Master'!G102="","",'Master'!G102)</x:f>
        <x:v>No native</x:v>
      </x:c>
      <x:c r="G24" s="100" t="str">
        <x:f>IF('Master'!H102="","",'Master'!H102)</x:f>
        <x:v>No native</x:v>
      </x:c>
      <x:c r="H24" s="100" t="str">
        <x:f>IF('Master'!I102="","",'Master'!I102)</x:f>
        <x:v>No</x:v>
      </x:c>
      <x:c r="I24" s="100" t="str">
        <x:f>IF('Master'!J102="","",'Master'!J102)</x:f>
        <x:v>No</x:v>
      </x:c>
      <x:c r="J24" s="100" t="str">
        <x:f>IF('Master'!K102="","",'Master'!K102)</x:f>
        <x:v>No</x:v>
      </x:c>
      <x:c r="K24" s="100" t="str">
        <x:f>IF('Master'!L102="","",'Master'!L102)</x:f>
        <x:v>No native ticket/counting/highlights/welcome/wiki/document/live-board/roster/web-link/RSS/whiteboard/tabletop channel type documented</x:v>
      </x:c>
      <x:c r="L24" s="100" t="str">
        <x:f>IF('Master'!M102="","",'Master'!M102)</x:f>
        <x:v>No</x:v>
      </x:c>
      <x:c r="M24" s="100" t="str">
        <x:f>IF('Master'!N102="","",'Master'!N102)</x:f>
        <x:v>No</x:v>
      </x:c>
      <x:c r="N24" s="100" t="str">
        <x:f>IF('Master'!O102="","",'Master'!O102)</x:f>
        <x:v>Extensible/client-dependent</x:v>
      </x:c>
      <x:c r="O24" s="100" t="str">
        <x:f>IF('Master'!P102="","",'Master'!P102)</x:f>
        <x:v>No</x:v>
      </x:c>
      <x:c r="P24" s="100" t="str">
        <x:f>IF('Master'!Q102="","",'Master'!Q102)</x:f>
        <x:v>No native</x:v>
      </x:c>
      <x:c r="Q24" s="100" t="str">
        <x:f>IF('Master'!R102="","",'Master'!R102)</x:f>
        <x:v>N/A</x:v>
      </x:c>
      <x:c r="R24" s="100" t="str">
        <x:f>IF('Master'!S102="","",'Master'!S102)</x:f>
        <x:v>No</x:v>
      </x:c>
      <x:c r="S24" s="100" t="str">
        <x:f>IF('Master'!T102="","",'Master'!T102)</x:f>
        <x:v>No</x:v>
      </x:c>
      <x:c r="T24" s="100" t="str">
        <x:f>IF('Master'!U102="","",'Master'!U102)</x:f>
        <x:v>No</x:v>
      </x:c>
      <x:c r="U24" s="100" t="str">
        <x:f>IF('Master'!V102="","",'Master'!V102)</x:f>
        <x:v>Yes — Link channel</x:v>
      </x:c>
      <x:c r="V24" s="100" t="str">
        <x:f>IF('Master'!W102="","",'Master'!W102)</x:f>
        <x:v>No</x:v>
      </x:c>
      <x:c r="W24" s="100" t="str">
        <x:f>IF('Master'!X102="","",'Master'!X102)</x:f>
        <x:v>ATProto links</x:v>
      </x:c>
      <x:c r="X24" s="100" t="str">
        <x:f>IF('Master'!Y102="","",'Master'!Y102)</x:f>
        <x:v>Via app</x:v>
      </x:c>
      <x:c r="Y24" s="100" t="str">
        <x:f>IF('Master'!Z102="","",'Master'!Z102)</x:f>
        <x:v>No native</x:v>
      </x:c>
      <x:c r="Z24" s="100" t="str">
        <x:f>IF('Master'!AA102="","",'Master'!AA102)</x:f>
        <x:v>No native</x:v>
      </x:c>
      <x:c r="AA24" s="104" t="str">
        <x:f>IF('Master'!AB102="","",'Master'!AB102)</x:f>
        <x:v>N/A</x:v>
      </x:c>
      <x:c r="AB24" s="100" t="str">
        <x:f>IF('Master'!AC102="","",'Master'!AC102)</x:f>
        <x:v>No</x:v>
      </x:c>
      <x:c r="AC24" s="100" t="str">
        <x:f>IF('Master'!AD102="","",'Master'!AD102)</x:f>
        <x:v>No</x:v>
      </x:c>
      <x:c r="AD24" s="100" t="str">
        <x:f>IF('Master'!AE102="","",'Master'!AE102)</x:f>
        <x:v>Web/media stage</x:v>
      </x:c>
      <x:c r="AE24" s="100" t="str">
        <x:f>IF('Master'!AF102="","",'Master'!AF102)</x:f>
        <x:v>No</x:v>
      </x:c>
      <x:c r="AF24" s="75" t="str">
        <x:f>IF('Master'!AG102="","",'Master'!AG102)</x:f>
        <x:v>No</x:v>
      </x:c>
    </x:row>
    <x:row r="25" ht="36" customHeight="1">
      <x:c r="A25" s="135" t="str">
        <x:v>Calendar / Events</x:v>
      </x:c>
      <x:c r="B25" s="100" t="str">
        <x:f>IF('Master'!C103="","",'Master'!C103)</x:f>
        <x:v>Partial — Scheduled Events, not a channel</x:v>
      </x:c>
      <x:c r="C25" s="100" t="str">
        <x:f>IF('Master'!D103="","",'Master'!D103)</x:f>
        <x:v>No</x:v>
      </x:c>
      <x:c r="D25" s="100" t="str">
        <x:f>IF('Master'!E103="","",'Master'!E103)</x:f>
        <x:v>No</x:v>
      </x:c>
      <x:c r="E25" s="100" t="str">
        <x:f>IF('Master'!F103="","",'Master'!F103)</x:f>
        <x:v>No</x:v>
      </x:c>
      <x:c r="F25" s="100" t="str">
        <x:f>IF('Master'!G103="","",'Master'!G103)</x:f>
        <x:v>Events rather than calendar channel</x:v>
      </x:c>
      <x:c r="G25" s="100" t="str">
        <x:f>IF('Master'!H103="","",'Master'!H103)</x:f>
        <x:v>No native</x:v>
      </x:c>
      <x:c r="H25" s="100" t="str">
        <x:f>IF('Master'!I103="","",'Master'!I103)</x:f>
        <x:v>Events</x:v>
      </x:c>
      <x:c r="I25" s="100" t="str">
        <x:f>IF('Master'!J103="","",'Master'!J103)</x:f>
        <x:v>No</x:v>
      </x:c>
      <x:c r="J25" s="100" t="str">
        <x:f>IF('Master'!K103="","",'Master'!K103)</x:f>
        <x:v>No</x:v>
      </x:c>
      <x:c r="K25" s="100" t="str">
        <x:f>IF('Master'!L103="","",'Master'!L103)</x:f>
        <x:v>Scheduled events exist, but no dedicated calendar channel type verified</x:v>
      </x:c>
      <x:c r="L25" s="100" t="str">
        <x:f>IF('Master'!M103="","",'Master'!M103)</x:f>
        <x:v>Calendar</x:v>
      </x:c>
      <x:c r="M25" s="100" t="str">
        <x:f>IF('Master'!N103="","",'Master'!N103)</x:f>
        <x:v>No</x:v>
      </x:c>
      <x:c r="N25" s="100" t="str">
        <x:f>IF('Master'!O103="","",'Master'!O103)</x:f>
        <x:v>Client-dependent</x:v>
      </x:c>
      <x:c r="O25" s="100" t="str">
        <x:f>IF('Master'!P103="","",'Master'!P103)</x:f>
        <x:v>No</x:v>
      </x:c>
      <x:c r="P25" s="100" t="str">
        <x:f>IF('Master'!Q103="","",'Master'!Q103)</x:f>
        <x:v>No native</x:v>
      </x:c>
      <x:c r="Q25" s="100" t="str">
        <x:f>IF('Master'!R103="","",'Master'!R103)</x:f>
        <x:v>N/A</x:v>
      </x:c>
      <x:c r="R25" s="100" t="str">
        <x:f>IF('Master'!S103="","",'Master'!S103)</x:f>
        <x:v>No</x:v>
      </x:c>
      <x:c r="S25" s="100" t="str">
        <x:f>IF('Master'!T103="","",'Master'!T103)</x:f>
        <x:v>No</x:v>
      </x:c>
      <x:c r="T25" s="100" t="str">
        <x:f>IF('Master'!U103="","",'Master'!U103)</x:f>
        <x:v>No</x:v>
      </x:c>
      <x:c r="U25" s="100" t="str">
        <x:f>IF('Master'!V103="","",'Master'!V103)</x:f>
        <x:v>Yes — Shard events + multiple calendars</x:v>
      </x:c>
      <x:c r="V25" s="100" t="str">
        <x:f>IF('Master'!W103="","",'Master'!W103)</x:f>
        <x:v>Calendar apps/integrations</x:v>
      </x:c>
      <x:c r="W25" s="100" t="str">
        <x:f>IF('Master'!X103="","",'Master'!X103)</x:f>
        <x:v>No</x:v>
      </x:c>
      <x:c r="X25" s="100" t="str">
        <x:f>IF('Master'!Y103="","",'Master'!Y103)</x:f>
        <x:v>Via app</x:v>
      </x:c>
      <x:c r="Y25" s="100" t="str">
        <x:f>IF('Master'!Z103="","",'Master'!Z103)</x:f>
        <x:v>No native</x:v>
      </x:c>
      <x:c r="Z25" s="100" t="str">
        <x:f>IF('Master'!AA103="","",'Master'!AA103)</x:f>
        <x:v>No native</x:v>
      </x:c>
      <x:c r="AA25" s="104" t="str">
        <x:f>IF('Master'!AB103="","",'Master'!AB103)</x:f>
        <x:v>N/A</x:v>
      </x:c>
      <x:c r="AB25" s="100" t="str">
        <x:f>IF('Master'!AC103="","",'Master'!AC103)</x:f>
      </x:c>
      <x:c r="AC25" s="100" t="str">
        <x:f>IF('Master'!AD103="","",'Master'!AD103)</x:f>
        <x:v>No</x:v>
      </x:c>
      <x:c r="AD25" s="100" t="str">
        <x:f>IF('Master'!AE103="","",'Master'!AE103)</x:f>
        <x:v>Events</x:v>
      </x:c>
      <x:c r="AE25" s="100" t="str">
        <x:f>IF('Master'!AF103="","",'Master'!AF103)</x:f>
        <x:v>No</x:v>
      </x:c>
      <x:c r="AF25" s="75" t="str">
        <x:f>IF('Master'!AG103="","",'Master'!AG103)</x:f>
        <x:v>No dedicated calendar; integrations</x:v>
      </x:c>
    </x:row>
    <x:row r="26" ht="36" customHeight="1">
      <x:c r="A26" s="135" t="str">
        <x:v>RSS / Feed</x:v>
      </x:c>
      <x:c r="B26" s="100" t="str">
        <x:f>IF('Master'!C104="","",'Master'!C104)</x:f>
        <x:v>No native; webhooks/apps</x:v>
      </x:c>
      <x:c r="C26" s="100" t="str">
        <x:f>IF('Master'!D104="","",'Master'!D104)</x:f>
        <x:v>No</x:v>
      </x:c>
      <x:c r="D26" s="100" t="str">
        <x:f>IF('Master'!E104="","",'Master'!E104)</x:f>
        <x:v>No</x:v>
      </x:c>
      <x:c r="E26" s="100" t="str">
        <x:f>IF('Master'!F104="","",'Master'!F104)</x:f>
        <x:v>No</x:v>
      </x:c>
      <x:c r="F26" s="100" t="str">
        <x:f>IF('Master'!G104="","",'Master'!G104)</x:f>
        <x:v>No native</x:v>
      </x:c>
      <x:c r="G26" s="100" t="str">
        <x:f>IF('Master'!H104="","",'Master'!H104)</x:f>
        <x:v>No native</x:v>
      </x:c>
      <x:c r="H26" s="100" t="str">
        <x:f>IF('Master'!I104="","",'Master'!I104)</x:f>
        <x:v>No</x:v>
      </x:c>
      <x:c r="I26" s="100" t="str">
        <x:f>IF('Master'!J104="","",'Master'!J104)</x:f>
        <x:v>No</x:v>
      </x:c>
      <x:c r="J26" s="100" t="str">
        <x:f>IF('Master'!K104="","",'Master'!K104)</x:f>
        <x:v>No</x:v>
      </x:c>
      <x:c r="K26" s="100" t="str">
        <x:f>IF('Master'!L104="","",'Master'!L104)</x:f>
        <x:v>No native ticket/counting/highlights/welcome/wiki/document/live-board/roster/web-link/RSS/whiteboard/tabletop channel type documented</x:v>
      </x:c>
      <x:c r="L26" s="100" t="str">
        <x:f>IF('Master'!M104="","",'Master'!M104)</x:f>
        <x:v>No</x:v>
      </x:c>
      <x:c r="M26" s="100" t="str">
        <x:f>IF('Master'!N104="","",'Master'!N104)</x:f>
        <x:v>No</x:v>
      </x:c>
      <x:c r="N26" s="100" t="str">
        <x:f>IF('Master'!O104="","",'Master'!O104)</x:f>
        <x:v>Via integrations/bots</x:v>
      </x:c>
      <x:c r="O26" s="100" t="str">
        <x:f>IF('Master'!P104="","",'Master'!P104)</x:f>
        <x:v>Integrations</x:v>
      </x:c>
      <x:c r="P26" s="100" t="str">
        <x:f>IF('Master'!Q104="","",'Master'!Q104)</x:f>
        <x:v>No native</x:v>
      </x:c>
      <x:c r="Q26" s="100" t="str">
        <x:f>IF('Master'!R104="","",'Master'!R104)</x:f>
        <x:v>N/A</x:v>
      </x:c>
      <x:c r="R26" s="100" t="str">
        <x:f>IF('Master'!S104="","",'Master'!S104)</x:f>
        <x:v>No</x:v>
      </x:c>
      <x:c r="S26" s="100" t="str">
        <x:f>IF('Master'!T104="","",'Master'!T104)</x:f>
        <x:v>No</x:v>
      </x:c>
      <x:c r="T26" s="100" t="str">
        <x:f>IF('Master'!U104="","",'Master'!U104)</x:f>
        <x:v>No</x:v>
      </x:c>
      <x:c r="U26" s="100" t="str">
        <x:f>IF('Master'!V104="","",'Master'!V104)</x:f>
        <x:v>Portal rather than channel — built-in RSS reader</x:v>
      </x:c>
      <x:c r="V26" s="100" t="str">
        <x:f>IF('Master'!W104="","",'Master'!W104)</x:f>
        <x:v>Apps</x:v>
      </x:c>
      <x:c r="W26" s="100" t="str">
        <x:f>IF('Master'!X104="","",'Master'!X104)</x:f>
        <x:v>No</x:v>
      </x:c>
      <x:c r="X26" s="100" t="str">
        <x:f>IF('Master'!Y104="","",'Master'!Y104)</x:f>
        <x:v>Via app</x:v>
      </x:c>
      <x:c r="Y26" s="100" t="str">
        <x:f>IF('Master'!Z104="","",'Master'!Z104)</x:f>
        <x:v>No native</x:v>
      </x:c>
      <x:c r="Z26" s="100" t="str">
        <x:f>IF('Master'!AA104="","",'Master'!AA104)</x:f>
        <x:v>No native</x:v>
      </x:c>
      <x:c r="AA26" s="104" t="str">
        <x:f>IF('Master'!AB104="","",'Master'!AB104)</x:f>
        <x:v>N/A</x:v>
      </x:c>
      <x:c r="AB26" s="100" t="str">
        <x:f>IF('Master'!AC104="","",'Master'!AC104)</x:f>
        <x:v>No</x:v>
      </x:c>
      <x:c r="AC26" s="100" t="str">
        <x:f>IF('Master'!AD104="","",'Master'!AD104)</x:f>
        <x:v>No</x:v>
      </x:c>
      <x:c r="AD26" s="100" t="str">
        <x:f>IF('Master'!AE104="","",'Master'!AE104)</x:f>
      </x:c>
      <x:c r="AE26" s="100" t="str">
        <x:f>IF('Master'!AF104="","",'Master'!AF104)</x:f>
        <x:v>No</x:v>
      </x:c>
      <x:c r="AF26" s="75" t="str">
        <x:f>IF('Master'!AG104="","",'Master'!AG104)</x:f>
        <x:v>Via integrations</x:v>
      </x:c>
    </x:row>
    <x:row r="27" ht="36" customHeight="1">
      <x:c r="A27" s="135" t="str">
        <x:v>Whiteboard</x:v>
      </x:c>
      <x:c r="B27" s="100" t="str">
        <x:f>IF('Master'!C105="","",'Master'!C105)</x:f>
        <x:v>Activities/apps</x:v>
      </x:c>
      <x:c r="C27" s="100" t="str">
        <x:f>IF('Master'!D105="","",'Master'!D105)</x:f>
      </x:c>
      <x:c r="D27" s="100" t="str">
        <x:f>IF('Master'!E105="","",'Master'!E105)</x:f>
      </x:c>
      <x:c r="E27" s="100" t="str">
        <x:f>IF('Master'!F105="","",'Master'!F105)</x:f>
      </x:c>
      <x:c r="F27" s="100" t="str">
        <x:f>IF('Master'!G105="","",'Master'!G105)</x:f>
      </x:c>
      <x:c r="G27" s="100" t="str">
        <x:f>IF('Master'!H105="","",'Master'!H105)</x:f>
      </x:c>
      <x:c r="H27" s="100" t="str">
        <x:f>IF('Master'!I105="","",'Master'!I105)</x:f>
      </x:c>
      <x:c r="I27" s="100" t="str">
        <x:f>IF('Master'!J105="","",'Master'!J105)</x:f>
      </x:c>
      <x:c r="J27" s="100" t="str">
        <x:f>IF('Master'!K105="","",'Master'!K105)</x:f>
      </x:c>
      <x:c r="K27" s="100" t="str">
        <x:f>IF('Master'!L105="","",'Master'!L105)</x:f>
        <x:v>No native ticket/counting/highlights/welcome/wiki/document/live-board/roster/web-link/RSS/whiteboard/tabletop channel type documented</x:v>
      </x:c>
      <x:c r="L27" s="100" t="str">
        <x:f>IF('Master'!M105="","",'Master'!M105)</x:f>
      </x:c>
      <x:c r="M27" s="100" t="str">
        <x:f>IF('Master'!N105="","",'Master'!N105)</x:f>
      </x:c>
      <x:c r="N27" s="100" t="str">
        <x:f>IF('Master'!O105="","",'Master'!O105)</x:f>
      </x:c>
      <x:c r="O27" s="100" t="str">
        <x:f>IF('Master'!P105="","",'Master'!P105)</x:f>
      </x:c>
      <x:c r="P27" s="100" t="str">
        <x:f>IF('Master'!Q105="","",'Master'!Q105)</x:f>
      </x:c>
      <x:c r="Q27" s="100" t="str">
        <x:f>IF('Master'!R105="","",'Master'!R105)</x:f>
      </x:c>
      <x:c r="R27" s="100" t="str">
        <x:f>IF('Master'!S105="","",'Master'!S105)</x:f>
      </x:c>
      <x:c r="S27" s="100" t="str">
        <x:f>IF('Master'!T105="","",'Master'!T105)</x:f>
      </x:c>
      <x:c r="T27" s="100" t="str">
        <x:f>IF('Master'!U105="","",'Master'!U105)</x:f>
      </x:c>
      <x:c r="U27" s="100" t="str">
        <x:f>IF('Master'!V105="","",'Master'!V105)</x:f>
        <x:v>Yes — within Documents</x:v>
      </x:c>
      <x:c r="V27" s="100" t="str">
        <x:f>IF('Master'!W105="","",'Master'!W105)</x:f>
      </x:c>
      <x:c r="W27" s="100" t="str">
        <x:f>IF('Master'!X105="","",'Master'!X105)</x:f>
      </x:c>
      <x:c r="X27" s="100" t="str">
        <x:f>IF('Master'!Y105="","",'Master'!Y105)</x:f>
      </x:c>
      <x:c r="Y27" s="100" t="str">
        <x:f>IF('Master'!Z105="","",'Master'!Z105)</x:f>
      </x:c>
      <x:c r="Z27" s="100" t="str">
        <x:f>IF('Master'!AA105="","",'Master'!AA105)</x:f>
      </x:c>
      <x:c r="AA27" s="104" t="str">
        <x:f>IF('Master'!AB105="","",'Master'!AB105)</x:f>
      </x:c>
      <x:c r="AB27" s="100" t="str">
        <x:f>IF('Master'!AC105="","",'Master'!AC105)</x:f>
      </x:c>
      <x:c r="AC27" s="100" t="str">
        <x:f>IF('Master'!AD105="","",'Master'!AD105)</x:f>
      </x:c>
      <x:c r="AD27" s="100" t="str">
        <x:f>IF('Master'!AE105="","",'Master'!AE105)</x:f>
      </x:c>
      <x:c r="AE27" s="100" t="str">
        <x:f>IF('Master'!AF105="","",'Master'!AF105)</x:f>
      </x:c>
      <x:c r="AF27" s="75" t="str">
        <x:f>IF('Master'!AG105="","",'Master'!AG105)</x:f>
      </x:c>
    </x:row>
    <x:row r="28" ht="36" customHeight="1">
      <x:c r="A28" s="135" t="str">
        <x:v>Tabletop</x:v>
      </x:c>
      <x:c r="B28" s="100" t="str">
        <x:f>IF('Master'!C106="","",'Master'!C106)</x:f>
        <x:v>Activities/apps</x:v>
      </x:c>
      <x:c r="C28" s="100" t="str">
        <x:f>IF('Master'!D106="","",'Master'!D106)</x:f>
      </x:c>
      <x:c r="D28" s="100" t="str">
        <x:f>IF('Master'!E106="","",'Master'!E106)</x:f>
      </x:c>
      <x:c r="E28" s="100" t="str">
        <x:f>IF('Master'!F106="","",'Master'!F106)</x:f>
      </x:c>
      <x:c r="F28" s="100" t="str">
        <x:f>IF('Master'!G106="","",'Master'!G106)</x:f>
      </x:c>
      <x:c r="G28" s="100" t="str">
        <x:f>IF('Master'!H106="","",'Master'!H106)</x:f>
      </x:c>
      <x:c r="H28" s="100" t="str">
        <x:f>IF('Master'!I106="","",'Master'!I106)</x:f>
      </x:c>
      <x:c r="I28" s="100" t="str">
        <x:f>IF('Master'!J106="","",'Master'!J106)</x:f>
      </x:c>
      <x:c r="J28" s="100" t="str">
        <x:f>IF('Master'!K106="","",'Master'!K106)</x:f>
      </x:c>
      <x:c r="K28" s="100" t="str">
        <x:f>IF('Master'!L106="","",'Master'!L106)</x:f>
        <x:v>No native ticket/counting/highlights/welcome/wiki/document/live-board/roster/web-link/RSS/whiteboard/tabletop channel type documented</x:v>
      </x:c>
      <x:c r="L28" s="100" t="str">
        <x:f>IF('Master'!M106="","",'Master'!M106)</x:f>
      </x:c>
      <x:c r="M28" s="100" t="str">
        <x:f>IF('Master'!N106="","",'Master'!N106)</x:f>
      </x:c>
      <x:c r="N28" s="100" t="str">
        <x:f>IF('Master'!O106="","",'Master'!O106)</x:f>
      </x:c>
      <x:c r="O28" s="100" t="str">
        <x:f>IF('Master'!P106="","",'Master'!P106)</x:f>
      </x:c>
      <x:c r="P28" s="100" t="str">
        <x:f>IF('Master'!Q106="","",'Master'!Q106)</x:f>
      </x:c>
      <x:c r="Q28" s="100" t="str">
        <x:f>IF('Master'!R106="","",'Master'!R106)</x:f>
      </x:c>
      <x:c r="R28" s="100" t="str">
        <x:f>IF('Master'!S106="","",'Master'!S106)</x:f>
      </x:c>
      <x:c r="S28" s="100" t="str">
        <x:f>IF('Master'!T106="","",'Master'!T106)</x:f>
      </x:c>
      <x:c r="T28" s="100" t="str">
        <x:f>IF('Master'!U106="","",'Master'!U106)</x:f>
      </x:c>
      <x:c r="U28" s="100" t="str">
        <x:f>IF('Master'!V106="","",'Master'!V106)</x:f>
        <x:v>Experimental — dedicated Tabletop workspace/channel</x:v>
      </x:c>
      <x:c r="V28" s="100" t="str">
        <x:f>IF('Master'!W106="","",'Master'!W106)</x:f>
      </x:c>
      <x:c r="W28" s="100" t="str">
        <x:f>IF('Master'!X106="","",'Master'!X106)</x:f>
      </x:c>
      <x:c r="X28" s="100" t="str">
        <x:f>IF('Master'!Y106="","",'Master'!Y106)</x:f>
      </x:c>
      <x:c r="Y28" s="100" t="str">
        <x:f>IF('Master'!Z106="","",'Master'!Z106)</x:f>
      </x:c>
      <x:c r="Z28" s="100" t="str">
        <x:f>IF('Master'!AA106="","",'Master'!AA106)</x:f>
      </x:c>
      <x:c r="AA28" s="104" t="str">
        <x:f>IF('Master'!AB106="","",'Master'!AB106)</x:f>
      </x:c>
      <x:c r="AB28" s="100" t="str">
        <x:f>IF('Master'!AC106="","",'Master'!AC106)</x:f>
      </x:c>
      <x:c r="AC28" s="100" t="str">
        <x:f>IF('Master'!AD106="","",'Master'!AD106)</x:f>
      </x:c>
      <x:c r="AD28" s="100" t="str">
        <x:f>IF('Master'!AE106="","",'Master'!AE106)</x:f>
      </x:c>
      <x:c r="AE28" s="100" t="str">
        <x:f>IF('Master'!AF106="","",'Master'!AF106)</x:f>
      </x:c>
      <x:c r="AF28" s="75" t="str">
        <x:f>IF('Master'!AG106="","",'Master'!AG106)</x:f>
      </x:c>
    </x:row>
  </x:sheetData>
  <x:mergeCells>
    <x:mergeCell ref="A1:A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Directory'!A1","Extra Features — engagement, desktop, audio, and built-in community tools"),"Extra Features — engagement, desktop, audio, and built-in community tools")</x:f>
        <x:v>Extra Features — engagement, desktop, audio, and built-in community tools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Presence, Audio &amp; Desktop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Rich Presence</x:v>
      </x:c>
      <x:c r="B4" s="100" t="str">
        <x:f>IF('Master'!C107="","",'Master'!C107)</x:f>
        <x:v>Yes — Rich Presence</x:v>
      </x:c>
      <x:c r="C4" s="100" t="str">
        <x:f>IF('Master'!D107="","",'Master'!D107)</x:f>
      </x:c>
      <x:c r="D4" s="100" t="str">
        <x:f>IF('Master'!E107="","",'Master'!E107)</x:f>
      </x:c>
      <x:c r="E4" s="100" t="str">
        <x:f>IF('Master'!F107="","",'Master'!F107)</x:f>
      </x:c>
      <x:c r="F4" s="100" t="str">
        <x:f>IF('Master'!G107="","",'Master'!G107)</x:f>
      </x:c>
      <x:c r="G4" s="100" t="str">
        <x:f>IF('Master'!H107="","",'Master'!H107)</x:f>
        <x:v>Yes</x:v>
      </x:c>
      <x:c r="H4" s="100" t="str">
        <x:f>IF('Master'!I107="","",'Master'!I107)</x:f>
        <x:v>Rich presence/overlay</x:v>
      </x:c>
      <x:c r="I4" s="100" t="str">
        <x:f>IF('Master'!J107="","",'Master'!J107)</x:f>
      </x:c>
      <x:c r="J4" s="100" t="str">
        <x:f>IF('Master'!K107="","",'Master'!K107)</x:f>
        <x:v>Twitch integration/badges</x:v>
      </x:c>
      <x:c r="K4" s="100" t="str">
        <x:f>IF('Master'!L107="","",'Master'!L107)</x:f>
        <x:v>Yes — developer-reported</x:v>
      </x:c>
      <x:c r="L4" s="100" t="str">
        <x:f>IF('Master'!M107="","",'Master'!M107)</x:f>
      </x:c>
      <x:c r="M4" s="100" t="str">
        <x:f>IF('Master'!N107="","",'Master'!N107)</x:f>
      </x:c>
      <x:c r="N4" s="100" t="str">
        <x:f>IF('Master'!O107="","",'Master'!O107)</x:f>
        <x:v>Client-dependent</x:v>
      </x:c>
      <x:c r="O4" s="100" t="str">
        <x:f>IF('Master'!P107="","",'Master'!P107)</x:f>
        <x:v>Integrations/status</x:v>
      </x:c>
      <x:c r="P4" s="100" t="str">
        <x:f>IF('Master'!Q107="","",'Master'!Q107)</x:f>
      </x:c>
      <x:c r="Q4" s="100" t="str">
        <x:f>IF('Master'!R107="","",'Master'!R107)</x:f>
        <x:v>Game integration/positional audio</x:v>
      </x:c>
      <x:c r="R4" s="100" t="str">
        <x:f>IF('Master'!S107="","",'Master'!S107)</x:f>
        <x:v>Rich Presence extension</x:v>
      </x:c>
      <x:c r="S4" s="100" t="str">
        <x:f>IF('Master'!T107="","",'Master'!T107)</x:f>
      </x:c>
      <x:c r="T4" s="100" t="str">
        <x:f>IF('Master'!U107="","",'Master'!U107)</x:f>
        <x:v>Not claimed as a headline feature</x:v>
      </x:c>
      <x:c r="U4" s="100" t="str">
        <x:f>IF('Master'!V107="","",'Master'!V107)</x:f>
        <x:v>Portal/tool integrations</x:v>
      </x:c>
      <x:c r="V4" s="100" t="str">
        <x:f>IF('Master'!W107="","",'Master'!W107)</x:f>
        <x:v>Integrations/status</x:v>
      </x:c>
      <x:c r="W4" s="100" t="str">
        <x:f>IF('Master'!X107="","",'Master'!X107)</x:f>
      </x:c>
      <x:c r="X4" s="100" t="str">
        <x:f>IF('Master'!Y107="","",'Master'!Y107)</x:f>
      </x:c>
      <x:c r="Y4" s="100" t="str">
        <x:f>IF('Master'!Z107="","",'Master'!Z107)</x:f>
        <x:v>Discord-compatible target</x:v>
      </x:c>
      <x:c r="Z4" s="100" t="str">
        <x:f>IF('Master'!AA107="","",'Master'!AA107)</x:f>
        <x:v>Yes</x:v>
      </x:c>
      <x:c r="AA4" s="104" t="str">
        <x:f>IF('Master'!AB107="","",'Master'!AB107)</x:f>
        <x:v>Game-oriented presence/plugins</x:v>
      </x:c>
      <x:c r="AB4" s="100" t="str">
        <x:f>IF('Master'!AC107="","",'Master'!AC107)</x:f>
      </x:c>
      <x:c r="AC4" s="100" t="str">
        <x:f>IF('Master'!AD107="","",'Master'!AD107)</x:f>
      </x:c>
      <x:c r="AD4" s="100" t="str">
        <x:f>IF('Master'!AE107="","",'Master'!AE107)</x:f>
        <x:v>Deep game presence</x:v>
      </x:c>
      <x:c r="AE4" s="100" t="str">
        <x:f>IF('Master'!AF107="","",'Master'!AF107)</x:f>
      </x:c>
      <x:c r="AF4" s="75" t="str">
        <x:f>IF('Master'!AG107="","",'Master'!AG107)</x:f>
        <x:v>No game rich presence</x:v>
      </x:c>
    </x:row>
    <x:row r="5" ht="36" customHeight="1">
      <x:c r="A5" s="135" t="str">
        <x:v>Voice Overlay</x:v>
      </x:c>
      <x:c r="B5" s="100" t="str">
        <x:f>IF('Master'!C398="","",'Master'!C398)</x:f>
        <x:v>Yes — game overlay</x:v>
      </x:c>
      <x:c r="C5" s="100" t="str">
        <x:f>IF('Master'!D398="","",'Master'!D398)</x:f>
      </x:c>
      <x:c r="D5" s="100" t="str">
        <x:f>IF('Master'!E398="","",'Master'!E398)</x:f>
      </x:c>
      <x:c r="E5" s="100" t="str">
        <x:f>IF('Master'!F398="","",'Master'!F398)</x:f>
      </x:c>
      <x:c r="F5" s="100" t="str">
        <x:f>IF('Master'!G398="","",'Master'!G398)</x:f>
      </x:c>
      <x:c r="G5" s="100" t="str">
        <x:f>IF('Master'!H398="","",'Master'!H398)</x:f>
      </x:c>
      <x:c r="H5" s="100" t="str">
        <x:f>IF('Master'!I398="","",'Master'!I398)</x:f>
      </x:c>
      <x:c r="I5" s="100" t="str">
        <x:f>IF('Master'!J398="","",'Master'!J398)</x:f>
      </x:c>
      <x:c r="J5" s="100" t="str">
        <x:f>IF('Master'!K398="","",'Master'!K398)</x:f>
      </x:c>
      <x:c r="K5" s="100" t="str">
        <x:f>IF('Master'!L398="","",'Master'!L398)</x:f>
        <x:v>Not documented</x:v>
      </x:c>
      <x:c r="L5" s="100" t="str">
        <x:f>IF('Master'!M398="","",'Master'!M398)</x:f>
      </x:c>
      <x:c r="M5" s="100" t="str">
        <x:f>IF('Master'!N398="","",'Master'!N398)</x:f>
      </x:c>
      <x:c r="N5" s="100" t="str">
        <x:f>IF('Master'!O398="","",'Master'!O398)</x:f>
      </x:c>
      <x:c r="O5" s="100" t="str">
        <x:f>IF('Master'!P398="","",'Master'!P398)</x:f>
      </x:c>
      <x:c r="P5" s="100" t="str">
        <x:f>IF('Master'!Q398="","",'Master'!Q398)</x:f>
      </x:c>
      <x:c r="Q5" s="100" t="str">
        <x:f>IF('Master'!R398="","",'Master'!R398)</x:f>
      </x:c>
      <x:c r="R5" s="100" t="str">
        <x:f>IF('Master'!S398="","",'Master'!S398)</x:f>
      </x:c>
      <x:c r="S5" s="100" t="str">
        <x:f>IF('Master'!T398="","",'Master'!T398)</x:f>
      </x:c>
      <x:c r="T5" s="100" t="str">
        <x:f>IF('Master'!U398="","",'Master'!U398)</x:f>
      </x:c>
      <x:c r="U5" s="100" t="str">
        <x:f>IF('Master'!V398="","",'Master'!V398)</x:f>
        <x:v>Yes — always-on-top voice HUD</x:v>
      </x:c>
      <x:c r="V5" s="100" t="str">
        <x:f>IF('Master'!W398="","",'Master'!W398)</x:f>
      </x:c>
      <x:c r="W5" s="100" t="str">
        <x:f>IF('Master'!X398="","",'Master'!X398)</x:f>
      </x:c>
      <x:c r="X5" s="100" t="str">
        <x:f>IF('Master'!Y398="","",'Master'!Y398)</x:f>
      </x:c>
      <x:c r="Y5" s="100" t="str">
        <x:f>IF('Master'!Z398="","",'Master'!Z398)</x:f>
      </x:c>
      <x:c r="Z5" s="100" t="str">
        <x:f>IF('Master'!AA398="","",'Master'!AA398)</x:f>
      </x:c>
      <x:c r="AA5" s="104" t="str">
        <x:f>IF('Master'!AB398="","",'Master'!AB398)</x:f>
        <x:v>Client/plugin dependent</x:v>
      </x:c>
      <x:c r="AB5" s="100" t="str">
        <x:f>IF('Master'!AC398="","",'Master'!AC398)</x:f>
      </x:c>
      <x:c r="AC5" s="100" t="str">
        <x:f>IF('Master'!AD398="","",'Master'!AD398)</x:f>
      </x:c>
      <x:c r="AD5" s="100" t="str">
        <x:f>IF('Master'!AE398="","",'Master'!AE398)</x:f>
      </x:c>
      <x:c r="AE5" s="100" t="str">
        <x:f>IF('Master'!AF398="","",'Master'!AF398)</x:f>
      </x:c>
      <x:c r="AF5" s="75" t="str">
        <x:f>IF('Master'!AG398="","",'Master'!AG398)</x:f>
      </x:c>
    </x:row>
    <x:row r="6" ht="36" customHeight="1">
      <x:c r="A6" s="135" t="str">
        <x:v>Server / Community Soundboards</x:v>
      </x:c>
      <x:c r="B6" s="100" t="str">
        <x:f>IF('Master'!C108="","",'Master'!C108)</x:f>
        <x:v>Yes — server Soundboard</x:v>
      </x:c>
      <x:c r="C6" s="100" t="str">
        <x:f>IF('Master'!D108="","",'Master'!D108)</x:f>
        <x:v>No</x:v>
      </x:c>
      <x:c r="D6" s="100" t="str">
        <x:f>IF('Master'!E108="","",'Master'!E108)</x:f>
      </x:c>
      <x:c r="E6" s="100" t="str">
        <x:f>IF('Master'!F108="","",'Master'!F108)</x:f>
        <x:v>No</x:v>
      </x:c>
      <x:c r="F6" s="100" t="str">
        <x:f>IF('Master'!G108="","",'Master'!G108)</x:f>
      </x:c>
      <x:c r="G6" s="100" t="str">
        <x:f>IF('Master'!H108="","",'Master'!H108)</x:f>
      </x:c>
      <x:c r="H6" s="100" t="str">
        <x:f>IF('Master'!I108="","",'Master'!I108)</x:f>
        <x:v>Yes — imported soundboard</x:v>
      </x:c>
      <x:c r="I6" s="100" t="str">
        <x:f>IF('Master'!J108="","",'Master'!J108)</x:f>
      </x:c>
      <x:c r="J6" s="100" t="str">
        <x:f>IF('Master'!K108="","",'Master'!K108)</x:f>
        <x:v>No</x:v>
      </x:c>
      <x:c r="K6" s="100" t="str">
        <x:f>IF('Master'!L108="","",'Master'!L108)</x:f>
        <x:v>Yes — guild soundboards are exposed in the official Python SDK</x:v>
      </x:c>
      <x:c r="L6" s="100" t="str">
        <x:f>IF('Master'!M108="","",'Master'!M108)</x:f>
      </x:c>
      <x:c r="M6" s="100" t="str">
        <x:f>IF('Master'!N108="","",'Master'!N108)</x:f>
      </x:c>
      <x:c r="N6" s="100" t="str">
        <x:f>IF('Master'!O108="","",'Master'!O108)</x:f>
        <x:v>Client-dependent</x:v>
      </x:c>
      <x:c r="O6" s="100" t="str">
        <x:f>IF('Master'!P108="","",'Master'!P108)</x:f>
        <x:v>No native soundboard</x:v>
      </x:c>
      <x:c r="P6" s="100" t="str">
        <x:f>IF('Master'!Q108="","",'Master'!Q108)</x:f>
      </x:c>
      <x:c r="Q6" s="100" t="str">
        <x:f>IF('Master'!R108="","",'Master'!R108)</x:f>
        <x:v>No</x:v>
      </x:c>
      <x:c r="R6" s="100" t="str">
        <x:f>IF('Master'!S108="","",'Master'!S108)</x:f>
        <x:v>No</x:v>
      </x:c>
      <x:c r="S6" s="100" t="str">
        <x:f>IF('Master'!T108="","",'Master'!T108)</x:f>
      </x:c>
      <x:c r="T6" s="100" t="str">
        <x:f>IF('Master'!U108="","",'Master'!U108)</x:f>
        <x:v>Not claimed as a Discord-parity feature</x:v>
      </x:c>
      <x:c r="U6" s="100" t="str">
        <x:f>IF('Master'!V108="","",'Master'!V108)</x:f>
        <x:v>Yes</x:v>
      </x:c>
      <x:c r="V6" s="100" t="str">
        <x:f>IF('Master'!W108="","",'Master'!W108)</x:f>
        <x:v>No native gaming soundboard</x:v>
      </x:c>
      <x:c r="W6" s="100" t="str">
        <x:f>IF('Master'!X108="","",'Master'!X108)</x:f>
        <x:v>No</x:v>
      </x:c>
      <x:c r="X6" s="100" t="str">
        <x:f>IF('Master'!Y108="","",'Master'!Y108)</x:f>
      </x:c>
      <x:c r="Y6" s="100" t="str">
        <x:f>IF('Master'!Z108="","",'Master'!Z108)</x:f>
      </x:c>
      <x:c r="Z6" s="100" t="str">
        <x:f>IF('Master'!AA108="","",'Master'!AA108)</x:f>
        <x:v>No native soundboard verified</x:v>
      </x:c>
      <x:c r="AA6" s="104" t="str">
        <x:f>IF('Master'!AB108="","",'Master'!AB108)</x:f>
      </x:c>
      <x:c r="AB6" s="100" t="str">
        <x:f>IF('Master'!AC108="","",'Master'!AC108)</x:f>
        <x:v>No</x:v>
      </x:c>
      <x:c r="AC6" s="100" t="str">
        <x:f>IF('Master'!AD108="","",'Master'!AD108)</x:f>
      </x:c>
      <x:c r="AD6" s="100" t="str">
        <x:f>IF('Master'!AE108="","",'Master'!AE108)</x:f>
        <x:v>No</x:v>
      </x:c>
      <x:c r="AE6" s="100" t="str">
        <x:f>IF('Master'!AF108="","",'Master'!AF108)</x:f>
        <x:v>No</x:v>
      </x:c>
      <x:c r="AF6" s="75" t="str">
        <x:f>IF('Master'!AG108="","",'Master'!AG108)</x:f>
        <x:v>No</x:v>
      </x:c>
    </x:row>
    <x:row r="7" ht="36" customHeight="1">
      <x:c r="A7" s="135" t="str">
        <x:v>Personal Soundboard</x:v>
      </x:c>
      <x:c r="B7" s="100" t="str">
        <x:f>IF('Master'!C109="","",'Master'!C109)</x:f>
        <x:v>Partial — server soundboards can be used/favorited; no separate personal soundboard</x:v>
      </x:c>
      <x:c r="C7" s="100" t="str">
        <x:f>IF('Master'!D109="","",'Master'!D109)</x:f>
        <x:v>No</x:v>
      </x:c>
      <x:c r="D7" s="100" t="str">
        <x:f>IF('Master'!E109="","",'Master'!E109)</x:f>
      </x:c>
      <x:c r="E7" s="100" t="str">
        <x:f>IF('Master'!F109="","",'Master'!F109)</x:f>
        <x:v>No</x:v>
      </x:c>
      <x:c r="F7" s="100" t="str">
        <x:f>IF('Master'!G109="","",'Master'!G109)</x:f>
      </x:c>
      <x:c r="G7" s="100" t="str">
        <x:f>IF('Master'!H109="","",'Master'!H109)</x:f>
      </x:c>
      <x:c r="H7" s="100" t="str">
        <x:f>IF('Master'!I109="","",'Master'!I109)</x:f>
      </x:c>
      <x:c r="I7" s="100" t="str">
        <x:f>IF('Master'!J109="","",'Master'!J109)</x:f>
      </x:c>
      <x:c r="J7" s="100" t="str">
        <x:f>IF('Master'!K109="","",'Master'!K109)</x:f>
        <x:v>No</x:v>
      </x:c>
      <x:c r="K7" s="100" t="str">
        <x:f>IF('Master'!L109="","",'Master'!L109)</x:f>
        <x:v>Scope not separately documented; guild soundboards are verified</x:v>
      </x:c>
      <x:c r="L7" s="100" t="str">
        <x:f>IF('Master'!M109="","",'Master'!M109)</x:f>
      </x:c>
      <x:c r="M7" s="100" t="str">
        <x:f>IF('Master'!N109="","",'Master'!N109)</x:f>
      </x:c>
      <x:c r="N7" s="100" t="str">
        <x:f>IF('Master'!O109="","",'Master'!O109)</x:f>
        <x:v>Client-dependent</x:v>
      </x:c>
      <x:c r="O7" s="100" t="str">
        <x:f>IF('Master'!P109="","",'Master'!P109)</x:f>
        <x:v>No</x:v>
      </x:c>
      <x:c r="P7" s="100" t="str">
        <x:f>IF('Master'!Q109="","",'Master'!Q109)</x:f>
      </x:c>
      <x:c r="Q7" s="100" t="str">
        <x:f>IF('Master'!R109="","",'Master'!R109)</x:f>
        <x:v>No</x:v>
      </x:c>
      <x:c r="R7" s="100" t="str">
        <x:f>IF('Master'!S109="","",'Master'!S109)</x:f>
        <x:v>No</x:v>
      </x:c>
      <x:c r="S7" s="100" t="str">
        <x:f>IF('Master'!T109="","",'Master'!T109)</x:f>
      </x:c>
      <x:c r="T7" s="100" t="str">
        <x:f>IF('Master'!U109="","",'Master'!U109)</x:f>
        <x:v>Not claimed as a Discord-parity feature</x:v>
      </x:c>
      <x:c r="U7" s="100" t="str">
        <x:f>IF('Master'!V109="","",'Master'!V109)</x:f>
        <x:v>Yes</x:v>
      </x:c>
      <x:c r="V7" s="100" t="str">
        <x:f>IF('Master'!W109="","",'Master'!W109)</x:f>
        <x:v>No</x:v>
      </x:c>
      <x:c r="W7" s="100" t="str">
        <x:f>IF('Master'!X109="","",'Master'!X109)</x:f>
        <x:v>No</x:v>
      </x:c>
      <x:c r="X7" s="100" t="str">
        <x:f>IF('Master'!Y109="","",'Master'!Y109)</x:f>
      </x:c>
      <x:c r="Y7" s="100" t="str">
        <x:f>IF('Master'!Z109="","",'Master'!Z109)</x:f>
      </x:c>
      <x:c r="Z7" s="100" t="str">
        <x:f>IF('Master'!AA109="","",'Master'!AA109)</x:f>
        <x:v>No</x:v>
      </x:c>
      <x:c r="AA7" s="104" t="str">
        <x:f>IF('Master'!AB109="","",'Master'!AB109)</x:f>
      </x:c>
      <x:c r="AB7" s="100" t="str">
        <x:f>IF('Master'!AC109="","",'Master'!AC109)</x:f>
        <x:v>No</x:v>
      </x:c>
      <x:c r="AC7" s="100" t="str">
        <x:f>IF('Master'!AD109="","",'Master'!AD109)</x:f>
      </x:c>
      <x:c r="AD7" s="100" t="str">
        <x:f>IF('Master'!AE109="","",'Master'!AE109)</x:f>
        <x:v>No</x:v>
      </x:c>
      <x:c r="AE7" s="100" t="str">
        <x:f>IF('Master'!AF109="","",'Master'!AF109)</x:f>
        <x:v>No</x:v>
      </x:c>
      <x:c r="AF7" s="75" t="str">
        <x:f>IF('Master'!AG109="","",'Master'!AG109)</x:f>
        <x:v>No</x:v>
      </x:c>
    </x:row>
    <x:row r="8" ht="36" customHeight="1">
      <x:c r="A8" s="135" t="str">
        <x:v>Voice Changer</x:v>
      </x:c>
      <x:c r="B8" s="100" t="str">
        <x:f>IF('Master'!C110="","",'Master'!C110)</x:f>
        <x:v>No native</x:v>
      </x:c>
      <x:c r="C8" s="100" t="str">
        <x:f>IF('Master'!D110="","",'Master'!D110)</x:f>
      </x:c>
      <x:c r="D8" s="100" t="str">
        <x:f>IF('Master'!E110="","",'Master'!E110)</x:f>
      </x:c>
      <x:c r="E8" s="100" t="str">
        <x:f>IF('Master'!F110="","",'Master'!F110)</x:f>
      </x:c>
      <x:c r="F8" s="100" t="str">
        <x:f>IF('Master'!G110="","",'Master'!G110)</x:f>
      </x:c>
      <x:c r="G8" s="100" t="str">
        <x:f>IF('Master'!H110="","",'Master'!H110)</x:f>
      </x:c>
      <x:c r="H8" s="100" t="str">
        <x:f>IF('Master'!I110="","",'Master'!I110)</x:f>
      </x:c>
      <x:c r="I8" s="100" t="str">
        <x:f>IF('Master'!J110="","",'Master'!J110)</x:f>
      </x:c>
      <x:c r="J8" s="100" t="str">
        <x:f>IF('Master'!K110="","",'Master'!K110)</x:f>
      </x:c>
      <x:c r="K8" s="100" t="str">
        <x:f>IF('Master'!L110="","",'Master'!L110)</x:f>
        <x:v>No native voice changer documented</x:v>
      </x:c>
      <x:c r="L8" s="100" t="str">
        <x:f>IF('Master'!M110="","",'Master'!M110)</x:f>
      </x:c>
      <x:c r="M8" s="100" t="str">
        <x:f>IF('Master'!N110="","",'Master'!N110)</x:f>
      </x:c>
      <x:c r="N8" s="100" t="str">
        <x:f>IF('Master'!O110="","",'Master'!O110)</x:f>
      </x:c>
      <x:c r="O8" s="100" t="str">
        <x:f>IF('Master'!P110="","",'Master'!P110)</x:f>
      </x:c>
      <x:c r="P8" s="100" t="str">
        <x:f>IF('Master'!Q110="","",'Master'!Q110)</x:f>
      </x:c>
      <x:c r="Q8" s="100" t="str">
        <x:f>IF('Master'!R110="","",'Master'!R110)</x:f>
      </x:c>
      <x:c r="R8" s="100" t="str">
        <x:f>IF('Master'!S110="","",'Master'!S110)</x:f>
      </x:c>
      <x:c r="S8" s="100" t="str">
        <x:f>IF('Master'!T110="","",'Master'!T110)</x:f>
      </x:c>
      <x:c r="T8" s="100" t="str">
        <x:f>IF('Master'!U110="","",'Master'!U110)</x:f>
      </x:c>
      <x:c r="U8" s="100" t="str">
        <x:f>IF('Master'!V110="","",'Master'!V110)</x:f>
        <x:v>Yes</x:v>
      </x:c>
      <x:c r="V8" s="100" t="str">
        <x:f>IF('Master'!W110="","",'Master'!W110)</x:f>
      </x:c>
      <x:c r="W8" s="100" t="str">
        <x:f>IF('Master'!X110="","",'Master'!X110)</x:f>
      </x:c>
      <x:c r="X8" s="100" t="str">
        <x:f>IF('Master'!Y110="","",'Master'!Y110)</x:f>
      </x:c>
      <x:c r="Y8" s="100" t="str">
        <x:f>IF('Master'!Z110="","",'Master'!Z110)</x:f>
      </x:c>
      <x:c r="Z8" s="100" t="str">
        <x:f>IF('Master'!AA110="","",'Master'!AA110)</x:f>
      </x:c>
      <x:c r="AA8" s="104" t="str">
        <x:f>IF('Master'!AB110="","",'Master'!AB110)</x:f>
        <x:v>Plugin dependent</x:v>
      </x:c>
      <x:c r="AB8" s="100" t="str">
        <x:f>IF('Master'!AC110="","",'Master'!AC110)</x:f>
      </x:c>
      <x:c r="AC8" s="100" t="str">
        <x:f>IF('Master'!AD110="","",'Master'!AD110)</x:f>
      </x:c>
      <x:c r="AD8" s="100" t="str">
        <x:f>IF('Master'!AE110="","",'Master'!AE110)</x:f>
      </x:c>
      <x:c r="AE8" s="100" t="str">
        <x:f>IF('Master'!AF110="","",'Master'!AF110)</x:f>
      </x:c>
      <x:c r="AF8" s="75" t="str">
        <x:f>IF('Master'!AG110="","",'Master'!AG110)</x:f>
      </x:c>
    </x:row>
    <x:row r="9" ht="22" customHeight="1">
      <x:c r="A9" s="138" t="str">
        <x:v>Community Engagement</x:v>
      </x:c>
      <x:c r="B9" s="138" t="str">
        <x:f>IF(""="","","")</x:f>
      </x:c>
      <x:c r="C9" s="138" t="str">
        <x:f>IF(""="","","")</x:f>
      </x:c>
      <x:c r="D9" s="138" t="str">
        <x:f>IF(""="","","")</x:f>
      </x:c>
      <x:c r="E9" s="138" t="str">
        <x:f>IF(""="","","")</x:f>
      </x:c>
      <x:c r="F9" s="138" t="str">
        <x:f>IF(""="","","")</x:f>
      </x:c>
      <x:c r="G9" s="138" t="str">
        <x:f>IF(""="","","")</x:f>
      </x:c>
      <x:c r="H9" s="138" t="str">
        <x:f>IF(""="","","")</x:f>
      </x:c>
      <x:c r="I9" s="138" t="str">
        <x:f>IF(""="","","")</x:f>
      </x:c>
      <x:c r="J9" s="138" t="str">
        <x:f>IF(""="","","")</x:f>
      </x:c>
      <x:c r="K9" s="138" t="str">
        <x:f>IF(""="","","")</x:f>
      </x:c>
      <x:c r="L9" s="138" t="str">
        <x:f>IF(""="","","")</x:f>
      </x:c>
      <x:c r="M9" s="138" t="str">
        <x:f>IF(""="","","")</x:f>
      </x:c>
      <x:c r="N9" s="138" t="str">
        <x:f>IF(""="","","")</x:f>
      </x:c>
      <x:c r="O9" s="138" t="str">
        <x:f>IF(""="","","")</x:f>
      </x:c>
      <x:c r="P9" s="138" t="str">
        <x:f>IF(""="","","")</x:f>
      </x:c>
      <x:c r="Q9" s="138" t="str">
        <x:f>IF(""="","","")</x:f>
      </x:c>
      <x:c r="R9" s="138" t="str">
        <x:f>IF(""="","","")</x:f>
      </x:c>
      <x:c r="S9" s="138" t="str">
        <x:f>IF(""="","","")</x:f>
      </x:c>
      <x:c r="T9" s="138" t="str">
        <x:f>IF(""="","","")</x:f>
      </x:c>
      <x:c r="U9" s="138" t="str">
        <x:f>IF(""="","","")</x:f>
      </x:c>
      <x:c r="V9" s="138" t="str">
        <x:f>IF(""="","","")</x:f>
      </x:c>
      <x:c r="W9" s="138" t="str">
        <x:f>IF(""="","","")</x:f>
      </x:c>
      <x:c r="X9" s="138" t="str">
        <x:f>IF(""="","","")</x:f>
      </x:c>
      <x:c r="Y9" s="138" t="str">
        <x:f>IF(""="","","")</x:f>
      </x:c>
      <x:c r="Z9" s="138" t="str">
        <x:f>IF(""="","","")</x:f>
      </x:c>
      <x:c r="AA9" s="138" t="str">
        <x:f>IF(""="","","")</x:f>
      </x:c>
      <x:c r="AB9" s="138" t="str">
        <x:f>IF(""="","","")</x:f>
      </x:c>
      <x:c r="AC9" s="138" t="str">
        <x:f>IF(""="","","")</x:f>
      </x:c>
      <x:c r="AD9" s="138" t="str">
        <x:f>IF(""="","","")</x:f>
      </x:c>
      <x:c r="AE9" s="138" t="str">
        <x:f>IF(""="","","")</x:f>
      </x:c>
      <x:c r="AF9" s="139" t="str">
        <x:f>IF(""="","","")</x:f>
      </x:c>
    </x:row>
    <x:row r="10" ht="36" customHeight="1">
      <x:c r="A10" s="135" t="str">
        <x:v>Leveling / XP</x:v>
      </x:c>
      <x:c r="B10" s="100" t="str">
        <x:f>IF('Master'!C111="","",'Master'!C111)</x:f>
        <x:v>No native; bots/apps</x:v>
      </x:c>
      <x:c r="C10" s="100" t="str">
        <x:f>IF('Master'!D111="","",'Master'!D111)</x:f>
      </x:c>
      <x:c r="D10" s="100" t="str">
        <x:f>IF('Master'!E111="","",'Master'!E111)</x:f>
      </x:c>
      <x:c r="E10" s="100" t="str">
        <x:f>IF('Master'!F111="","",'Master'!F111)</x:f>
      </x:c>
      <x:c r="F10" s="100" t="str">
        <x:f>IF('Master'!G111="","",'Master'!G111)</x:f>
      </x:c>
      <x:c r="G10" s="100" t="str">
        <x:f>IF('Master'!H111="","",'Master'!H111)</x:f>
      </x:c>
      <x:c r="H10" s="100" t="str">
        <x:f>IF('Master'!I111="","",'Master'!I111)</x:f>
      </x:c>
      <x:c r="I10" s="100" t="str">
        <x:f>IF('Master'!J111="","",'Master'!J111)</x:f>
      </x:c>
      <x:c r="J10" s="100" t="str">
        <x:f>IF('Master'!K111="","",'Master'!K111)</x:f>
      </x:c>
      <x:c r="K10" s="100" t="str">
        <x:f>IF('Master'!L111="","",'Master'!L111)</x:f>
        <x:v>No native leveling/XP system documented</x:v>
      </x:c>
      <x:c r="L10" s="100" t="str">
        <x:f>IF('Master'!M111="","",'Master'!M111)</x:f>
      </x:c>
      <x:c r="M10" s="100" t="str">
        <x:f>IF('Master'!N111="","",'Master'!N111)</x:f>
      </x:c>
      <x:c r="N10" s="100" t="str">
        <x:f>IF('Master'!O111="","",'Master'!O111)</x:f>
      </x:c>
      <x:c r="O10" s="100" t="str">
        <x:f>IF('Master'!P111="","",'Master'!P111)</x:f>
      </x:c>
      <x:c r="P10" s="100" t="str">
        <x:f>IF('Master'!Q111="","",'Master'!Q111)</x:f>
      </x:c>
      <x:c r="Q10" s="100" t="str">
        <x:f>IF('Master'!R111="","",'Master'!R111)</x:f>
      </x:c>
      <x:c r="R10" s="100" t="str">
        <x:f>IF('Master'!S111="","",'Master'!S111)</x:f>
      </x:c>
      <x:c r="S10" s="100" t="str">
        <x:f>IF('Master'!T111="","",'Master'!T111)</x:f>
      </x:c>
      <x:c r="T10" s="100" t="str">
        <x:f>IF('Master'!U111="","",'Master'!U111)</x:f>
      </x:c>
      <x:c r="U10" s="100" t="str">
        <x:f>IF('Master'!V111="","",'Master'!V111)</x:f>
        <x:v>Yes — opt-in XP, roles/unlocks, leaderboard</x:v>
      </x:c>
      <x:c r="V10" s="100" t="str">
        <x:f>IF('Master'!W111="","",'Master'!W111)</x:f>
      </x:c>
      <x:c r="W10" s="100" t="str">
        <x:f>IF('Master'!X111="","",'Master'!X111)</x:f>
      </x:c>
      <x:c r="X10" s="100" t="str">
        <x:f>IF('Master'!Y111="","",'Master'!Y111)</x:f>
      </x:c>
      <x:c r="Y10" s="100" t="str">
        <x:f>IF('Master'!Z111="","",'Master'!Z111)</x:f>
      </x:c>
      <x:c r="Z10" s="100" t="str">
        <x:f>IF('Master'!AA111="","",'Master'!AA111)</x:f>
      </x:c>
      <x:c r="AA10" s="104" t="str">
        <x:f>IF('Master'!AB111="","",'Master'!AB111)</x:f>
      </x:c>
      <x:c r="AB10" s="100" t="str">
        <x:f>IF('Master'!AC111="","",'Master'!AC111)</x:f>
      </x:c>
      <x:c r="AC10" s="100" t="str">
        <x:f>IF('Master'!AD111="","",'Master'!AD111)</x:f>
      </x:c>
      <x:c r="AD10" s="100" t="str">
        <x:f>IF('Master'!AE111="","",'Master'!AE111)</x:f>
      </x:c>
      <x:c r="AE10" s="100" t="str">
        <x:f>IF('Master'!AF111="","",'Master'!AF111)</x:f>
      </x:c>
      <x:c r="AF10" s="75" t="str">
        <x:f>IF('Master'!AG111="","",'Master'!AG111)</x:f>
      </x:c>
    </x:row>
    <x:row r="11" ht="36" customHeight="1">
      <x:c r="A11" s="135" t="str">
        <x:v>Giveaways / Raffles</x:v>
      </x:c>
      <x:c r="B11" s="100" t="str">
        <x:f>IF('Master'!C112="","",'Master'!C112)</x:f>
        <x:v>No native; bots/apps</x:v>
      </x:c>
      <x:c r="C11" s="100" t="str">
        <x:f>IF('Master'!D112="","",'Master'!D112)</x:f>
      </x:c>
      <x:c r="D11" s="100" t="str">
        <x:f>IF('Master'!E112="","",'Master'!E112)</x:f>
      </x:c>
      <x:c r="E11" s="100" t="str">
        <x:f>IF('Master'!F112="","",'Master'!F112)</x:f>
      </x:c>
      <x:c r="F11" s="100" t="str">
        <x:f>IF('Master'!G112="","",'Master'!G112)</x:f>
      </x:c>
      <x:c r="G11" s="100" t="str">
        <x:f>IF('Master'!H112="","",'Master'!H112)</x:f>
      </x:c>
      <x:c r="H11" s="100" t="str">
        <x:f>IF('Master'!I112="","",'Master'!I112)</x:f>
      </x:c>
      <x:c r="I11" s="100" t="str">
        <x:f>IF('Master'!J112="","",'Master'!J112)</x:f>
      </x:c>
      <x:c r="J11" s="100" t="str">
        <x:f>IF('Master'!K112="","",'Master'!K112)</x:f>
      </x:c>
      <x:c r="K11" s="100" t="str">
        <x:f>IF('Master'!L112="","",'Master'!L112)</x:f>
        <x:v>No native giveaways/raffles system documented</x:v>
      </x:c>
      <x:c r="L11" s="100" t="str">
        <x:f>IF('Master'!M112="","",'Master'!M112)</x:f>
      </x:c>
      <x:c r="M11" s="100" t="str">
        <x:f>IF('Master'!N112="","",'Master'!N112)</x:f>
      </x:c>
      <x:c r="N11" s="100" t="str">
        <x:f>IF('Master'!O112="","",'Master'!O112)</x:f>
      </x:c>
      <x:c r="O11" s="100" t="str">
        <x:f>IF('Master'!P112="","",'Master'!P112)</x:f>
      </x:c>
      <x:c r="P11" s="100" t="str">
        <x:f>IF('Master'!Q112="","",'Master'!Q112)</x:f>
      </x:c>
      <x:c r="Q11" s="100" t="str">
        <x:f>IF('Master'!R112="","",'Master'!R112)</x:f>
      </x:c>
      <x:c r="R11" s="100" t="str">
        <x:f>IF('Master'!S112="","",'Master'!S112)</x:f>
      </x:c>
      <x:c r="S11" s="100" t="str">
        <x:f>IF('Master'!T112="","",'Master'!T112)</x:f>
      </x:c>
      <x:c r="T11" s="100" t="str">
        <x:f>IF('Master'!U112="","",'Master'!U112)</x:f>
      </x:c>
      <x:c r="U11" s="100" t="str">
        <x:f>IF('Master'!V112="","",'Master'!V112)</x:f>
        <x:v>Yes — verifiable cryptographic draw</x:v>
      </x:c>
      <x:c r="V11" s="100" t="str">
        <x:f>IF('Master'!W112="","",'Master'!W112)</x:f>
      </x:c>
      <x:c r="W11" s="100" t="str">
        <x:f>IF('Master'!X112="","",'Master'!X112)</x:f>
      </x:c>
      <x:c r="X11" s="100" t="str">
        <x:f>IF('Master'!Y112="","",'Master'!Y112)</x:f>
      </x:c>
      <x:c r="Y11" s="100" t="str">
        <x:f>IF('Master'!Z112="","",'Master'!Z112)</x:f>
      </x:c>
      <x:c r="Z11" s="100" t="str">
        <x:f>IF('Master'!AA112="","",'Master'!AA112)</x:f>
      </x:c>
      <x:c r="AA11" s="104" t="str">
        <x:f>IF('Master'!AB112="","",'Master'!AB112)</x:f>
      </x:c>
      <x:c r="AB11" s="100" t="str">
        <x:f>IF('Master'!AC112="","",'Master'!AC112)</x:f>
      </x:c>
      <x:c r="AC11" s="100" t="str">
        <x:f>IF('Master'!AD112="","",'Master'!AD112)</x:f>
      </x:c>
      <x:c r="AD11" s="100" t="str">
        <x:f>IF('Master'!AE112="","",'Master'!AE112)</x:f>
      </x:c>
      <x:c r="AE11" s="100" t="str">
        <x:f>IF('Master'!AF112="","",'Master'!AF112)</x:f>
      </x:c>
      <x:c r="AF11" s="75" t="str">
        <x:f>IF('Master'!AG112="","",'Master'!AG112)</x:f>
      </x:c>
    </x:row>
    <x:row r="12" ht="36" customHeight="1">
      <x:c r="A12" s="135" t="str">
        <x:v>Reaction Roles</x:v>
      </x:c>
      <x:c r="B12" s="100" t="str">
        <x:f>IF('Master'!C113="","",'Master'!C113)</x:f>
        <x:v>No native general reaction-role builder; bots/apps</x:v>
      </x:c>
      <x:c r="C12" s="100" t="str">
        <x:f>IF('Master'!D113="","",'Master'!D113)</x:f>
      </x:c>
      <x:c r="D12" s="100" t="str">
        <x:f>IF('Master'!E113="","",'Master'!E113)</x:f>
      </x:c>
      <x:c r="E12" s="100" t="str">
        <x:f>IF('Master'!F113="","",'Master'!F113)</x:f>
      </x:c>
      <x:c r="F12" s="100" t="str">
        <x:f>IF('Master'!G113="","",'Master'!G113)</x:f>
      </x:c>
      <x:c r="G12" s="100" t="str">
        <x:f>IF('Master'!H113="","",'Master'!H113)</x:f>
      </x:c>
      <x:c r="H12" s="100" t="str">
        <x:f>IF('Master'!I113="","",'Master'!I113)</x:f>
      </x:c>
      <x:c r="I12" s="100" t="str">
        <x:f>IF('Master'!J113="","",'Master'!J113)</x:f>
      </x:c>
      <x:c r="J12" s="100" t="str">
        <x:f>IF('Master'!K113="","",'Master'!K113)</x:f>
      </x:c>
      <x:c r="K12" s="100" t="str">
        <x:f>IF('Master'!L113="","",'Master'!L113)</x:f>
      </x:c>
      <x:c r="L12" s="100" t="str">
        <x:f>IF('Master'!M113="","",'Master'!M113)</x:f>
      </x:c>
      <x:c r="M12" s="100" t="str">
        <x:f>IF('Master'!N113="","",'Master'!N113)</x:f>
      </x:c>
      <x:c r="N12" s="100" t="str">
        <x:f>IF('Master'!O113="","",'Master'!O113)</x:f>
      </x:c>
      <x:c r="O12" s="100" t="str">
        <x:f>IF('Master'!P113="","",'Master'!P113)</x:f>
      </x:c>
      <x:c r="P12" s="100" t="str">
        <x:f>IF('Master'!Q113="","",'Master'!Q113)</x:f>
      </x:c>
      <x:c r="Q12" s="100" t="str">
        <x:f>IF('Master'!R113="","",'Master'!R113)</x:f>
      </x:c>
      <x:c r="R12" s="100" t="str">
        <x:f>IF('Master'!S113="","",'Master'!S113)</x:f>
      </x:c>
      <x:c r="S12" s="100" t="str">
        <x:f>IF('Master'!T113="","",'Master'!T113)</x:f>
      </x:c>
      <x:c r="T12" s="100" t="str">
        <x:f>IF('Master'!U113="","",'Master'!U113)</x:f>
      </x:c>
      <x:c r="U12" s="100" t="str">
        <x:f>IF('Master'!V113="","",'Master'!V113)</x:f>
        <x:v>Yes</x:v>
      </x:c>
      <x:c r="V12" s="100" t="str">
        <x:f>IF('Master'!W113="","",'Master'!W113)</x:f>
      </x:c>
      <x:c r="W12" s="100" t="str">
        <x:f>IF('Master'!X113="","",'Master'!X113)</x:f>
      </x:c>
      <x:c r="X12" s="100" t="str">
        <x:f>IF('Master'!Y113="","",'Master'!Y113)</x:f>
      </x:c>
      <x:c r="Y12" s="100" t="str">
        <x:f>IF('Master'!Z113="","",'Master'!Z113)</x:f>
      </x:c>
      <x:c r="Z12" s="100" t="str">
        <x:f>IF('Master'!AA113="","",'Master'!AA113)</x:f>
      </x:c>
      <x:c r="AA12" s="104" t="str">
        <x:f>IF('Master'!AB113="","",'Master'!AB113)</x:f>
      </x:c>
      <x:c r="AB12" s="100" t="str">
        <x:f>IF('Master'!AC113="","",'Master'!AC113)</x:f>
      </x:c>
      <x:c r="AC12" s="100" t="str">
        <x:f>IF('Master'!AD113="","",'Master'!AD113)</x:f>
      </x:c>
      <x:c r="AD12" s="100" t="str">
        <x:f>IF('Master'!AE113="","",'Master'!AE113)</x:f>
      </x:c>
      <x:c r="AE12" s="100" t="str">
        <x:f>IF('Master'!AF113="","",'Master'!AF113)</x:f>
      </x:c>
      <x:c r="AF12" s="75" t="str">
        <x:f>IF('Master'!AG113="","",'Master'!AG113)</x:f>
      </x:c>
    </x:row>
    <x:row r="13" ht="36" customHeight="1">
      <x:c r="A13" s="135" t="str">
        <x:v>Live Stream Alerts</x:v>
      </x:c>
      <x:c r="B13" s="100" t="str">
        <x:f>IF('Master'!C114="","",'Master'!C114)</x:f>
        <x:v>Bots/webhooks/apps</x:v>
      </x:c>
      <x:c r="C13" s="100" t="str">
        <x:f>IF('Master'!D114="","",'Master'!D114)</x:f>
      </x:c>
      <x:c r="D13" s="100" t="str">
        <x:f>IF('Master'!E114="","",'Master'!E114)</x:f>
      </x:c>
      <x:c r="E13" s="100" t="str">
        <x:f>IF('Master'!F114="","",'Master'!F114)</x:f>
      </x:c>
      <x:c r="F13" s="100" t="str">
        <x:f>IF('Master'!G114="","",'Master'!G114)</x:f>
      </x:c>
      <x:c r="G13" s="100" t="str">
        <x:f>IF('Master'!H114="","",'Master'!H114)</x:f>
      </x:c>
      <x:c r="H13" s="100" t="str">
        <x:f>IF('Master'!I114="","",'Master'!I114)</x:f>
      </x:c>
      <x:c r="I13" s="100" t="str">
        <x:f>IF('Master'!J114="","",'Master'!J114)</x:f>
      </x:c>
      <x:c r="J13" s="100" t="str">
        <x:f>IF('Master'!K114="","",'Master'!K114)</x:f>
      </x:c>
      <x:c r="K13" s="100" t="str">
        <x:f>IF('Master'!L114="","",'Master'!L114)</x:f>
      </x:c>
      <x:c r="L13" s="100" t="str">
        <x:f>IF('Master'!M114="","",'Master'!M114)</x:f>
      </x:c>
      <x:c r="M13" s="100" t="str">
        <x:f>IF('Master'!N114="","",'Master'!N114)</x:f>
      </x:c>
      <x:c r="N13" s="100" t="str">
        <x:f>IF('Master'!O114="","",'Master'!O114)</x:f>
      </x:c>
      <x:c r="O13" s="100" t="str">
        <x:f>IF('Master'!P114="","",'Master'!P114)</x:f>
      </x:c>
      <x:c r="P13" s="100" t="str">
        <x:f>IF('Master'!Q114="","",'Master'!Q114)</x:f>
      </x:c>
      <x:c r="Q13" s="100" t="str">
        <x:f>IF('Master'!R114="","",'Master'!R114)</x:f>
      </x:c>
      <x:c r="R13" s="100" t="str">
        <x:f>IF('Master'!S114="","",'Master'!S114)</x:f>
      </x:c>
      <x:c r="S13" s="100" t="str">
        <x:f>IF('Master'!T114="","",'Master'!T114)</x:f>
      </x:c>
      <x:c r="T13" s="100" t="str">
        <x:f>IF('Master'!U114="","",'Master'!U114)</x:f>
      </x:c>
      <x:c r="U13" s="100" t="str">
        <x:f>IF('Master'!V114="","",'Master'!V114)</x:f>
        <x:v>Yes — Twitch EventSub live alerts</x:v>
      </x:c>
      <x:c r="V13" s="100" t="str">
        <x:f>IF('Master'!W114="","",'Master'!W114)</x:f>
      </x:c>
      <x:c r="W13" s="100" t="str">
        <x:f>IF('Master'!X114="","",'Master'!X114)</x:f>
      </x:c>
      <x:c r="X13" s="100" t="str">
        <x:f>IF('Master'!Y114="","",'Master'!Y114)</x:f>
      </x:c>
      <x:c r="Y13" s="100" t="str">
        <x:f>IF('Master'!Z114="","",'Master'!Z114)</x:f>
      </x:c>
      <x:c r="Z13" s="100" t="str">
        <x:f>IF('Master'!AA114="","",'Master'!AA114)</x:f>
      </x:c>
      <x:c r="AA13" s="104" t="str">
        <x:f>IF('Master'!AB114="","",'Master'!AB114)</x:f>
      </x:c>
      <x:c r="AB13" s="100" t="str">
        <x:f>IF('Master'!AC114="","",'Master'!AC114)</x:f>
      </x:c>
      <x:c r="AC13" s="100" t="str">
        <x:f>IF('Master'!AD114="","",'Master'!AD114)</x:f>
      </x:c>
      <x:c r="AD13" s="100" t="str">
        <x:f>IF('Master'!AE114="","",'Master'!AE114)</x:f>
      </x:c>
      <x:c r="AE13" s="100" t="str">
        <x:f>IF('Master'!AF114="","",'Master'!AF114)</x:f>
      </x:c>
      <x:c r="AF13" s="75" t="str">
        <x:f>IF('Master'!AG114="","",'Master'!AG114)</x:f>
      </x:c>
    </x:row>
    <x:row r="14" ht="36" customHeight="1">
      <x:c r="A14" s="135" t="str">
        <x:v>Shared Availability</x:v>
      </x:c>
      <x:c r="B14" s="100" t="str">
        <x:f>IF('Master'!C115="","",'Master'!C115)</x:f>
        <x:v>No dedicated native availability tool</x:v>
      </x:c>
      <x:c r="C14" s="100" t="str">
        <x:f>IF('Master'!D115="","",'Master'!D115)</x:f>
      </x:c>
      <x:c r="D14" s="100" t="str">
        <x:f>IF('Master'!E115="","",'Master'!E115)</x:f>
      </x:c>
      <x:c r="E14" s="100" t="str">
        <x:f>IF('Master'!F115="","",'Master'!F115)</x:f>
      </x:c>
      <x:c r="F14" s="100" t="str">
        <x:f>IF('Master'!G115="","",'Master'!G115)</x:f>
      </x:c>
      <x:c r="G14" s="100" t="str">
        <x:f>IF('Master'!H115="","",'Master'!H115)</x:f>
      </x:c>
      <x:c r="H14" s="100" t="str">
        <x:f>IF('Master'!I115="","",'Master'!I115)</x:f>
      </x:c>
      <x:c r="I14" s="100" t="str">
        <x:f>IF('Master'!J115="","",'Master'!J115)</x:f>
      </x:c>
      <x:c r="J14" s="100" t="str">
        <x:f>IF('Master'!K115="","",'Master'!K115)</x:f>
      </x:c>
      <x:c r="K14" s="100" t="str">
        <x:f>IF('Master'!L115="","",'Master'!L115)</x:f>
      </x:c>
      <x:c r="L14" s="100" t="str">
        <x:f>IF('Master'!M115="","",'Master'!M115)</x:f>
      </x:c>
      <x:c r="M14" s="100" t="str">
        <x:f>IF('Master'!N115="","",'Master'!N115)</x:f>
      </x:c>
      <x:c r="N14" s="100" t="str">
        <x:f>IF('Master'!O115="","",'Master'!O115)</x:f>
      </x:c>
      <x:c r="O14" s="100" t="str">
        <x:f>IF('Master'!P115="","",'Master'!P115)</x:f>
      </x:c>
      <x:c r="P14" s="100" t="str">
        <x:f>IF('Master'!Q115="","",'Master'!Q115)</x:f>
      </x:c>
      <x:c r="Q14" s="100" t="str">
        <x:f>IF('Master'!R115="","",'Master'!R115)</x:f>
      </x:c>
      <x:c r="R14" s="100" t="str">
        <x:f>IF('Master'!S115="","",'Master'!S115)</x:f>
      </x:c>
      <x:c r="S14" s="100" t="str">
        <x:f>IF('Master'!T115="","",'Master'!T115)</x:f>
      </x:c>
      <x:c r="T14" s="100" t="str">
        <x:f>IF('Master'!U115="","",'Master'!U115)</x:f>
      </x:c>
      <x:c r="U14" s="100" t="str">
        <x:f>IF('Master'!V115="","",'Master'!V115)</x:f>
        <x:v>Yes</x:v>
      </x:c>
      <x:c r="V14" s="100" t="str">
        <x:f>IF('Master'!W115="","",'Master'!W115)</x:f>
      </x:c>
      <x:c r="W14" s="100" t="str">
        <x:f>IF('Master'!X115="","",'Master'!X115)</x:f>
      </x:c>
      <x:c r="X14" s="100" t="str">
        <x:f>IF('Master'!Y115="","",'Master'!Y115)</x:f>
      </x:c>
      <x:c r="Y14" s="100" t="str">
        <x:f>IF('Master'!Z115="","",'Master'!Z115)</x:f>
      </x:c>
      <x:c r="Z14" s="100" t="str">
        <x:f>IF('Master'!AA115="","",'Master'!AA115)</x:f>
      </x:c>
      <x:c r="AA14" s="104" t="str">
        <x:f>IF('Master'!AB115="","",'Master'!AB115)</x:f>
      </x:c>
      <x:c r="AB14" s="100" t="str">
        <x:f>IF('Master'!AC115="","",'Master'!AC115)</x:f>
      </x:c>
      <x:c r="AC14" s="100" t="str">
        <x:f>IF('Master'!AD115="","",'Master'!AD115)</x:f>
      </x:c>
      <x:c r="AD14" s="100" t="str">
        <x:f>IF('Master'!AE115="","",'Master'!AE115)</x:f>
      </x:c>
      <x:c r="AE14" s="100" t="str">
        <x:f>IF('Master'!AF115="","",'Master'!AF115)</x:f>
      </x:c>
      <x:c r="AF14" s="75" t="str">
        <x:f>IF('Master'!AG115="","",'Master'!AG115)</x:f>
      </x:c>
    </x:row>
    <x:row r="15" ht="36" customHeight="1">
      <x:c r="A15" s="135" t="str">
        <x:v>Text Macros</x:v>
      </x:c>
      <x:c r="B15" s="100" t="str">
        <x:f>IF('Master'!C116="","",'Master'!C116)</x:f>
        <x:v>No native macro system</x:v>
      </x:c>
      <x:c r="C15" s="100" t="str">
        <x:f>IF('Master'!D116="","",'Master'!D116)</x:f>
      </x:c>
      <x:c r="D15" s="100" t="str">
        <x:f>IF('Master'!E116="","",'Master'!E116)</x:f>
      </x:c>
      <x:c r="E15" s="100" t="str">
        <x:f>IF('Master'!F116="","",'Master'!F116)</x:f>
      </x:c>
      <x:c r="F15" s="100" t="str">
        <x:f>IF('Master'!G116="","",'Master'!G116)</x:f>
      </x:c>
      <x:c r="G15" s="100" t="str">
        <x:f>IF('Master'!H116="","",'Master'!H116)</x:f>
      </x:c>
      <x:c r="H15" s="100" t="str">
        <x:f>IF('Master'!I116="","",'Master'!I116)</x:f>
      </x:c>
      <x:c r="I15" s="100" t="str">
        <x:f>IF('Master'!J116="","",'Master'!J116)</x:f>
      </x:c>
      <x:c r="J15" s="100" t="str">
        <x:f>IF('Master'!K116="","",'Master'!K116)</x:f>
      </x:c>
      <x:c r="K15" s="100" t="str">
        <x:f>IF('Master'!L116="","",'Master'!L116)</x:f>
      </x:c>
      <x:c r="L15" s="100" t="str">
        <x:f>IF('Master'!M116="","",'Master'!M116)</x:f>
      </x:c>
      <x:c r="M15" s="100" t="str">
        <x:f>IF('Master'!N116="","",'Master'!N116)</x:f>
      </x:c>
      <x:c r="N15" s="100" t="str">
        <x:f>IF('Master'!O116="","",'Master'!O116)</x:f>
      </x:c>
      <x:c r="O15" s="100" t="str">
        <x:f>IF('Master'!P116="","",'Master'!P116)</x:f>
      </x:c>
      <x:c r="P15" s="100" t="str">
        <x:f>IF('Master'!Q116="","",'Master'!Q116)</x:f>
      </x:c>
      <x:c r="Q15" s="100" t="str">
        <x:f>IF('Master'!R116="","",'Master'!R116)</x:f>
      </x:c>
      <x:c r="R15" s="100" t="str">
        <x:f>IF('Master'!S116="","",'Master'!S116)</x:f>
      </x:c>
      <x:c r="S15" s="100" t="str">
        <x:f>IF('Master'!T116="","",'Master'!T116)</x:f>
      </x:c>
      <x:c r="T15" s="100" t="str">
        <x:f>IF('Master'!U116="","",'Master'!U116)</x:f>
      </x:c>
      <x:c r="U15" s="100" t="str">
        <x:f>IF('Master'!V116="","",'Master'!V116)</x:f>
        <x:v>Yes</x:v>
      </x:c>
      <x:c r="V15" s="100" t="str">
        <x:f>IF('Master'!W116="","",'Master'!W116)</x:f>
      </x:c>
      <x:c r="W15" s="100" t="str">
        <x:f>IF('Master'!X116="","",'Master'!X116)</x:f>
      </x:c>
      <x:c r="X15" s="100" t="str">
        <x:f>IF('Master'!Y116="","",'Master'!Y116)</x:f>
      </x:c>
      <x:c r="Y15" s="100" t="str">
        <x:f>IF('Master'!Z116="","",'Master'!Z116)</x:f>
      </x:c>
      <x:c r="Z15" s="100" t="str">
        <x:f>IF('Master'!AA116="","",'Master'!AA116)</x:f>
      </x:c>
      <x:c r="AA15" s="104" t="str">
        <x:f>IF('Master'!AB116="","",'Master'!AB116)</x:f>
      </x:c>
      <x:c r="AB15" s="100" t="str">
        <x:f>IF('Master'!AC116="","",'Master'!AC116)</x:f>
      </x:c>
      <x:c r="AC15" s="100" t="str">
        <x:f>IF('Master'!AD116="","",'Master'!AD116)</x:f>
      </x:c>
      <x:c r="AD15" s="100" t="str">
        <x:f>IF('Master'!AE116="","",'Master'!AE116)</x:f>
      </x:c>
      <x:c r="AE15" s="100" t="str">
        <x:f>IF('Master'!AF116="","",'Master'!AF116)</x:f>
      </x:c>
      <x:c r="AF15" s="75" t="str">
        <x:f>IF('Master'!AG116="","",'Master'!AG116)</x:f>
      </x:c>
    </x:row>
    <x:row r="16" ht="36" customHeight="1">
      <x:c r="A16" s="135" t="str">
        <x:v>Dice Rolls</x:v>
      </x:c>
      <x:c r="B16" s="100" t="str">
        <x:f>IF('Master'!C117="","",'Master'!C117)</x:f>
        <x:v>Apps/bots</x:v>
      </x:c>
      <x:c r="C16" s="100" t="str">
        <x:f>IF('Master'!D117="","",'Master'!D117)</x:f>
      </x:c>
      <x:c r="D16" s="100" t="str">
        <x:f>IF('Master'!E117="","",'Master'!E117)</x:f>
      </x:c>
      <x:c r="E16" s="100" t="str">
        <x:f>IF('Master'!F117="","",'Master'!F117)</x:f>
      </x:c>
      <x:c r="F16" s="100" t="str">
        <x:f>IF('Master'!G117="","",'Master'!G117)</x:f>
      </x:c>
      <x:c r="G16" s="100" t="str">
        <x:f>IF('Master'!H117="","",'Master'!H117)</x:f>
      </x:c>
      <x:c r="H16" s="100" t="str">
        <x:f>IF('Master'!I117="","",'Master'!I117)</x:f>
      </x:c>
      <x:c r="I16" s="100" t="str">
        <x:f>IF('Master'!J117="","",'Master'!J117)</x:f>
      </x:c>
      <x:c r="J16" s="100" t="str">
        <x:f>IF('Master'!K117="","",'Master'!K117)</x:f>
      </x:c>
      <x:c r="K16" s="100" t="str">
        <x:f>IF('Master'!L117="","",'Master'!L117)</x:f>
      </x:c>
      <x:c r="L16" s="100" t="str">
        <x:f>IF('Master'!M117="","",'Master'!M117)</x:f>
      </x:c>
      <x:c r="M16" s="100" t="str">
        <x:f>IF('Master'!N117="","",'Master'!N117)</x:f>
      </x:c>
      <x:c r="N16" s="100" t="str">
        <x:f>IF('Master'!O117="","",'Master'!O117)</x:f>
      </x:c>
      <x:c r="O16" s="100" t="str">
        <x:f>IF('Master'!P117="","",'Master'!P117)</x:f>
      </x:c>
      <x:c r="P16" s="100" t="str">
        <x:f>IF('Master'!Q117="","",'Master'!Q117)</x:f>
      </x:c>
      <x:c r="Q16" s="100" t="str">
        <x:f>IF('Master'!R117="","",'Master'!R117)</x:f>
      </x:c>
      <x:c r="R16" s="100" t="str">
        <x:f>IF('Master'!S117="","",'Master'!S117)</x:f>
      </x:c>
      <x:c r="S16" s="100" t="str">
        <x:f>IF('Master'!T117="","",'Master'!T117)</x:f>
      </x:c>
      <x:c r="T16" s="100" t="str">
        <x:f>IF('Master'!U117="","",'Master'!U117)</x:f>
        <x:v>Yes — /roll, /flip and /draw</x:v>
      </x:c>
      <x:c r="U16" s="100" t="str">
        <x:f>IF('Master'!V117="","",'Master'!V117)</x:f>
        <x:v>Yes</x:v>
      </x:c>
      <x:c r="V16" s="100" t="str">
        <x:f>IF('Master'!W117="","",'Master'!W117)</x:f>
      </x:c>
      <x:c r="W16" s="100" t="str">
        <x:f>IF('Master'!X117="","",'Master'!X117)</x:f>
      </x:c>
      <x:c r="X16" s="100" t="str">
        <x:f>IF('Master'!Y117="","",'Master'!Y117)</x:f>
      </x:c>
      <x:c r="Y16" s="100" t="str">
        <x:f>IF('Master'!Z117="","",'Master'!Z117)</x:f>
      </x:c>
      <x:c r="Z16" s="100" t="str">
        <x:f>IF('Master'!AA117="","",'Master'!AA117)</x:f>
      </x:c>
      <x:c r="AA16" s="104" t="str">
        <x:f>IF('Master'!AB117="","",'Master'!AB117)</x:f>
      </x:c>
      <x:c r="AB16" s="100" t="str">
        <x:f>IF('Master'!AC117="","",'Master'!AC117)</x:f>
      </x:c>
      <x:c r="AC16" s="100" t="str">
        <x:f>IF('Master'!AD117="","",'Master'!AD117)</x:f>
      </x:c>
      <x:c r="AD16" s="100" t="str">
        <x:f>IF('Master'!AE117="","",'Master'!AE117)</x:f>
      </x:c>
      <x:c r="AE16" s="100" t="str">
        <x:f>IF('Master'!AF117="","",'Master'!AF117)</x:f>
      </x:c>
      <x:c r="AF16" s="75" t="str">
        <x:f>IF('Master'!AG117="","",'Master'!AG117)</x:f>
      </x:c>
    </x:row>
    <x:row r="17" ht="22" customHeight="1">
      <x:c r="A17" s="138" t="str">
        <x:v>Make &amp; Play</x:v>
      </x:c>
      <x:c r="B17" s="138" t="str">
        <x:f>IF(""="","","")</x:f>
      </x:c>
      <x:c r="C17" s="138" t="str">
        <x:f>IF(""="","","")</x:f>
      </x:c>
      <x:c r="D17" s="138" t="str">
        <x:f>IF(""="","","")</x:f>
      </x:c>
      <x:c r="E17" s="138" t="str">
        <x:f>IF(""="","","")</x:f>
      </x:c>
      <x:c r="F17" s="138" t="str">
        <x:f>IF(""="","","")</x:f>
      </x:c>
      <x:c r="G17" s="138" t="str">
        <x:f>IF(""="","","")</x:f>
      </x:c>
      <x:c r="H17" s="138" t="str">
        <x:f>IF(""="","","")</x:f>
      </x:c>
      <x:c r="I17" s="138" t="str">
        <x:f>IF(""="","","")</x:f>
      </x:c>
      <x:c r="J17" s="138" t="str">
        <x:f>IF(""="","","")</x:f>
      </x:c>
      <x:c r="K17" s="138" t="str">
        <x:f>IF(""="","","")</x:f>
      </x:c>
      <x:c r="L17" s="138" t="str">
        <x:f>IF(""="","","")</x:f>
      </x:c>
      <x:c r="M17" s="138" t="str">
        <x:f>IF(""="","","")</x:f>
      </x:c>
      <x:c r="N17" s="138" t="str">
        <x:f>IF(""="","","")</x:f>
      </x:c>
      <x:c r="O17" s="138" t="str">
        <x:f>IF(""="","","")</x:f>
      </x:c>
      <x:c r="P17" s="138" t="str">
        <x:f>IF(""="","","")</x:f>
      </x:c>
      <x:c r="Q17" s="138" t="str">
        <x:f>IF(""="","","")</x:f>
      </x:c>
      <x:c r="R17" s="138" t="str">
        <x:f>IF(""="","","")</x:f>
      </x:c>
      <x:c r="S17" s="138" t="str">
        <x:f>IF(""="","","")</x:f>
      </x:c>
      <x:c r="T17" s="138" t="str">
        <x:f>IF(""="","","")</x:f>
      </x:c>
      <x:c r="U17" s="138" t="str">
        <x:f>IF(""="","","")</x:f>
      </x:c>
      <x:c r="V17" s="138" t="str">
        <x:f>IF(""="","","")</x:f>
      </x:c>
      <x:c r="W17" s="138" t="str">
        <x:f>IF(""="","","")</x:f>
      </x:c>
      <x:c r="X17" s="138" t="str">
        <x:f>IF(""="","","")</x:f>
      </x:c>
      <x:c r="Y17" s="138" t="str">
        <x:f>IF(""="","","")</x:f>
      </x:c>
      <x:c r="Z17" s="138" t="str">
        <x:f>IF(""="","","")</x:f>
      </x:c>
      <x:c r="AA17" s="138" t="str">
        <x:f>IF(""="","","")</x:f>
      </x:c>
      <x:c r="AB17" s="138" t="str">
        <x:f>IF(""="","","")</x:f>
      </x:c>
      <x:c r="AC17" s="138" t="str">
        <x:f>IF(""="","","")</x:f>
      </x:c>
      <x:c r="AD17" s="138" t="str">
        <x:f>IF(""="","","")</x:f>
      </x:c>
      <x:c r="AE17" s="138" t="str">
        <x:f>IF(""="","","")</x:f>
      </x:c>
      <x:c r="AF17" s="139" t="str">
        <x:f>IF(""="","","")</x:f>
      </x:c>
    </x:row>
    <x:row r="18" ht="36" customHeight="1">
      <x:c r="A18" s="135" t="str">
        <x:v>Tabletop</x:v>
      </x:c>
      <x:c r="B18" s="100" t="str">
        <x:f>IF('Master'!C118="","",'Master'!C118)</x:f>
        <x:v>Activities/apps can provide tabletop</x:v>
      </x:c>
      <x:c r="C18" s="100" t="str">
        <x:f>IF('Master'!D118="","",'Master'!D118)</x:f>
        <x:v>No</x:v>
      </x:c>
      <x:c r="D18" s="100" t="str">
        <x:f>IF('Master'!E118="","",'Master'!E118)</x:f>
        <x:v>No</x:v>
      </x:c>
      <x:c r="E18" s="100" t="str">
        <x:f>IF('Master'!F118="","",'Master'!F118)</x:f>
        <x:v>No</x:v>
      </x:c>
      <x:c r="F18" s="100" t="str">
        <x:f>IF('Master'!G118="","",'Master'!G118)</x:f>
        <x:v>No</x:v>
      </x:c>
      <x:c r="G18" s="100" t="str">
        <x:f>IF('Master'!H118="","",'Master'!H118)</x:f>
        <x:v>No</x:v>
      </x:c>
      <x:c r="H18" s="100" t="str">
        <x:f>IF('Master'!I118="","",'Master'!I118)</x:f>
        <x:v>No dedicated tabletop</x:v>
      </x:c>
      <x:c r="I18" s="100" t="str">
        <x:f>IF('Master'!J118="","",'Master'!J118)</x:f>
        <x:v>No</x:v>
      </x:c>
      <x:c r="J18" s="100" t="str">
        <x:f>IF('Master'!K118="","",'Master'!K118)</x:f>
        <x:v>No</x:v>
      </x:c>
      <x:c r="K18" s="100" t="str">
        <x:f>IF('Master'!L118="","",'Master'!L118)</x:f>
        <x:v>No native ticket/counting/highlights/welcome/wiki/document/live-board/roster/web-link/RSS/whiteboard/tabletop channel type documented</x:v>
      </x:c>
      <x:c r="L18" s="100" t="str">
        <x:f>IF('Master'!M118="","",'Master'!M118)</x:f>
        <x:v>No</x:v>
      </x:c>
      <x:c r="M18" s="100" t="str">
        <x:f>IF('Master'!N118="","",'Master'!N118)</x:f>
        <x:v>No</x:v>
      </x:c>
      <x:c r="N18" s="100" t="str">
        <x:f>IF('Master'!O118="","",'Master'!O118)</x:f>
        <x:v>Client-dependent</x:v>
      </x:c>
      <x:c r="O18" s="100" t="str">
        <x:f>IF('Master'!P118="","",'Master'!P118)</x:f>
        <x:v>No</x:v>
      </x:c>
      <x:c r="P18" s="100" t="str">
        <x:f>IF('Master'!Q118="","",'Master'!Q118)</x:f>
        <x:v>No</x:v>
      </x:c>
      <x:c r="Q18" s="100" t="str">
        <x:f>IF('Master'!R118="","",'Master'!R118)</x:f>
        <x:v>No</x:v>
      </x:c>
      <x:c r="R18" s="100" t="str">
        <x:f>IF('Master'!S118="","",'Master'!S118)</x:f>
        <x:v>No</x:v>
      </x:c>
      <x:c r="S18" s="100" t="str">
        <x:f>IF('Master'!T118="","",'Master'!T118)</x:f>
        <x:v>No</x:v>
      </x:c>
      <x:c r="T18" s="100" t="str">
        <x:f>IF('Master'!U118="","",'Master'!U118)</x:f>
        <x:v>No</x:v>
      </x:c>
      <x:c r="U18" s="100" t="str">
        <x:f>IF('Master'!V118="","",'Master'!V118)</x:f>
        <x:v>Experimental — native Tabletop workspace</x:v>
      </x:c>
      <x:c r="V18" s="100" t="str">
        <x:f>IF('Master'!W118="","",'Master'!W118)</x:f>
        <x:v>No</x:v>
      </x:c>
      <x:c r="W18" s="100" t="str">
        <x:f>IF('Master'!X118="","",'Master'!X118)</x:f>
        <x:v>No</x:v>
      </x:c>
      <x:c r="X18" s="100" t="str">
        <x:f>IF('Master'!Y118="","",'Master'!Y118)</x:f>
        <x:v>Apps can implement tabletop-like experiences</x:v>
      </x:c>
      <x:c r="Y18" s="100" t="str">
        <x:f>IF('Master'!Z118="","",'Master'!Z118)</x:f>
        <x:v>No</x:v>
      </x:c>
      <x:c r="Z18" s="100" t="str">
        <x:f>IF('Master'!AA118="","",'Master'!AA118)</x:f>
        <x:v>No</x:v>
      </x:c>
      <x:c r="AA18" s="104" t="str">
        <x:f>IF('Master'!AB118="","",'Master'!AB118)</x:f>
        <x:v>No</x:v>
      </x:c>
      <x:c r="AB18" s="100" t="str">
        <x:f>IF('Master'!AC118="","",'Master'!AC118)</x:f>
        <x:v>No</x:v>
      </x:c>
      <x:c r="AC18" s="100" t="str">
        <x:f>IF('Master'!AD118="","",'Master'!AD118)</x:f>
        <x:v>No</x:v>
      </x:c>
      <x:c r="AD18" s="100" t="str">
        <x:f>IF('Master'!AE118="","",'Master'!AE118)</x:f>
        <x:v>Yes — D&amp;D module/maps</x:v>
      </x:c>
      <x:c r="AE18" s="100" t="str">
        <x:f>IF('Master'!AF118="","",'Master'!AF118)</x:f>
        <x:v>No</x:v>
      </x:c>
      <x:c r="AF18" s="75" t="str">
        <x:f>IF('Master'!AG118="","",'Master'!AG118)</x:f>
        <x:v>No</x:v>
      </x:c>
    </x:row>
    <x:row r="19" ht="36" customHeight="1">
      <x:c r="A19" s="135" t="str">
        <x:v>Arcade / Mini Games</x:v>
      </x:c>
      <x:c r="B19" s="100" t="str">
        <x:f>IF('Master'!C140="","",'Master'!C140)</x:f>
        <x:v>Yes — Activities include games</x:v>
      </x:c>
      <x:c r="C19" s="100" t="str">
        <x:f>IF('Master'!D140="","",'Master'!D140)</x:f>
      </x:c>
      <x:c r="D19" s="100" t="str">
        <x:f>IF('Master'!E140="","",'Master'!E140)</x:f>
      </x:c>
      <x:c r="E19" s="100" t="str">
        <x:f>IF('Master'!F140="","",'Master'!F140)</x:f>
      </x:c>
      <x:c r="F19" s="100" t="str">
        <x:f>IF('Master'!G140="","",'Master'!G140)</x:f>
      </x:c>
      <x:c r="G19" s="100" t="str">
        <x:f>IF('Master'!H140="","",'Master'!H140)</x:f>
      </x:c>
      <x:c r="H19" s="100" t="str">
        <x:f>IF('Master'!I140="","",'Master'!I140)</x:f>
      </x:c>
      <x:c r="I19" s="100" t="str">
        <x:f>IF('Master'!J140="","",'Master'!J140)</x:f>
      </x:c>
      <x:c r="J19" s="100" t="str">
        <x:f>IF('Master'!K140="","",'Master'!K140)</x:f>
      </x:c>
      <x:c r="K19" s="100" t="str">
        <x:f>IF('Master'!L140="","",'Master'!L140)</x:f>
        <x:v>No dedicated embedded-app implementation documented</x:v>
      </x:c>
      <x:c r="L19" s="100" t="str">
        <x:f>IF('Master'!M140="","",'Master'!M140)</x:f>
      </x:c>
      <x:c r="M19" s="100" t="str">
        <x:f>IF('Master'!N140="","",'Master'!N140)</x:f>
      </x:c>
      <x:c r="N19" s="100" t="str">
        <x:f>IF('Master'!O140="","",'Master'!O140)</x:f>
      </x:c>
      <x:c r="O19" s="100" t="str">
        <x:f>IF('Master'!P140="","",'Master'!P140)</x:f>
      </x:c>
      <x:c r="P19" s="100" t="str">
        <x:f>IF('Master'!Q140="","",'Master'!Q140)</x:f>
      </x:c>
      <x:c r="Q19" s="100" t="str">
        <x:f>IF('Master'!R140="","",'Master'!R140)</x:f>
      </x:c>
      <x:c r="R19" s="100" t="str">
        <x:f>IF('Master'!S140="","",'Master'!S140)</x:f>
      </x:c>
      <x:c r="S19" s="100" t="str">
        <x:f>IF('Master'!T140="","",'Master'!T140)</x:f>
      </x:c>
      <x:c r="T19" s="100" t="str">
        <x:f>IF('Master'!U140="","",'Master'!U140)</x:f>
      </x:c>
      <x:c r="U19" s="100" t="str">
        <x:f>IF('Master'!V140="","",'Master'!V140)</x:f>
        <x:v>Experimental — Arcade</x:v>
      </x:c>
      <x:c r="V19" s="100" t="str">
        <x:f>IF('Master'!W140="","",'Master'!W140)</x:f>
      </x:c>
      <x:c r="W19" s="100" t="str">
        <x:f>IF('Master'!X140="","",'Master'!X140)</x:f>
      </x:c>
      <x:c r="X19" s="100" t="str">
        <x:f>IF('Master'!Y140="","",'Master'!Y140)</x:f>
      </x:c>
      <x:c r="Y19" s="100" t="str">
        <x:f>IF('Master'!Z140="","",'Master'!Z140)</x:f>
      </x:c>
      <x:c r="Z19" s="100" t="str">
        <x:f>IF('Master'!AA140="","",'Master'!AA140)</x:f>
      </x:c>
      <x:c r="AA19" s="104" t="str">
        <x:f>IF('Master'!AB140="","",'Master'!AB140)</x:f>
      </x:c>
      <x:c r="AB19" s="100" t="str">
        <x:f>IF('Master'!AC140="","",'Master'!AC140)</x:f>
      </x:c>
      <x:c r="AC19" s="100" t="str">
        <x:f>IF('Master'!AD140="","",'Master'!AD140)</x:f>
      </x:c>
      <x:c r="AD19" s="100" t="str">
        <x:f>IF('Master'!AE140="","",'Master'!AE140)</x:f>
      </x:c>
      <x:c r="AE19" s="100" t="str">
        <x:f>IF('Master'!AF140="","",'Master'!AF140)</x:f>
      </x:c>
      <x:c r="AF19" s="75" t="str">
        <x:f>IF('Master'!AG140="","",'Master'!AG140)</x:f>
      </x:c>
    </x:row>
    <x:row r="20" ht="36" customHeight="1">
      <x:c r="A20" s="135" t="str">
        <x:v>Music Creation / Studio</x:v>
      </x:c>
      <x:c r="B20" s="100" t="str">
        <x:f>IF('Master'!C119="","",'Master'!C119)</x:f>
        <x:v>No native DAW</x:v>
      </x:c>
      <x:c r="C20" s="100" t="str">
        <x:f>IF('Master'!D119="","",'Master'!D119)</x:f>
      </x:c>
      <x:c r="D20" s="100" t="str">
        <x:f>IF('Master'!E119="","",'Master'!E119)</x:f>
      </x:c>
      <x:c r="E20" s="100" t="str">
        <x:f>IF('Master'!F119="","",'Master'!F119)</x:f>
      </x:c>
      <x:c r="F20" s="100" t="str">
        <x:f>IF('Master'!G119="","",'Master'!G119)</x:f>
      </x:c>
      <x:c r="G20" s="100" t="str">
        <x:f>IF('Master'!H119="","",'Master'!H119)</x:f>
      </x:c>
      <x:c r="H20" s="100" t="str">
        <x:f>IF('Master'!I119="","",'Master'!I119)</x:f>
      </x:c>
      <x:c r="I20" s="100" t="str">
        <x:f>IF('Master'!J119="","",'Master'!J119)</x:f>
      </x:c>
      <x:c r="J20" s="100" t="str">
        <x:f>IF('Master'!K119="","",'Master'!K119)</x:f>
      </x:c>
      <x:c r="K20" s="100" t="str">
        <x:f>IF('Master'!L119="","",'Master'!L119)</x:f>
      </x:c>
      <x:c r="L20" s="100" t="str">
        <x:f>IF('Master'!M119="","",'Master'!M119)</x:f>
      </x:c>
      <x:c r="M20" s="100" t="str">
        <x:f>IF('Master'!N119="","",'Master'!N119)</x:f>
      </x:c>
      <x:c r="N20" s="100" t="str">
        <x:f>IF('Master'!O119="","",'Master'!O119)</x:f>
      </x:c>
      <x:c r="O20" s="100" t="str">
        <x:f>IF('Master'!P119="","",'Master'!P119)</x:f>
      </x:c>
      <x:c r="P20" s="100" t="str">
        <x:f>IF('Master'!Q119="","",'Master'!Q119)</x:f>
      </x:c>
      <x:c r="Q20" s="100" t="str">
        <x:f>IF('Master'!R119="","",'Master'!R119)</x:f>
      </x:c>
      <x:c r="R20" s="100" t="str">
        <x:f>IF('Master'!S119="","",'Master'!S119)</x:f>
      </x:c>
      <x:c r="S20" s="100" t="str">
        <x:f>IF('Master'!T119="","",'Master'!T119)</x:f>
      </x:c>
      <x:c r="T20" s="100" t="str">
        <x:f>IF('Master'!U119="","",'Master'!U119)</x:f>
      </x:c>
      <x:c r="U20" s="100" t="str">
        <x:f>IF('Master'!V119="","",'Master'!V119)</x:f>
        <x:v>Experimental — Rift Studio</x:v>
      </x:c>
      <x:c r="V20" s="100" t="str">
        <x:f>IF('Master'!W119="","",'Master'!W119)</x:f>
      </x:c>
      <x:c r="W20" s="100" t="str">
        <x:f>IF('Master'!X119="","",'Master'!X119)</x:f>
      </x:c>
      <x:c r="X20" s="100" t="str">
        <x:f>IF('Master'!Y119="","",'Master'!Y119)</x:f>
      </x:c>
      <x:c r="Y20" s="100" t="str">
        <x:f>IF('Master'!Z119="","",'Master'!Z119)</x:f>
      </x:c>
      <x:c r="Z20" s="100" t="str">
        <x:f>IF('Master'!AA119="","",'Master'!AA119)</x:f>
      </x:c>
      <x:c r="AA20" s="104" t="str">
        <x:f>IF('Master'!AB119="","",'Master'!AB119)</x:f>
      </x:c>
      <x:c r="AB20" s="100" t="str">
        <x:f>IF('Master'!AC119="","",'Master'!AC119)</x:f>
      </x:c>
      <x:c r="AC20" s="100" t="str">
        <x:f>IF('Master'!AD119="","",'Master'!AD119)</x:f>
      </x:c>
      <x:c r="AD20" s="100" t="str">
        <x:f>IF('Master'!AE119="","",'Master'!AE119)</x:f>
      </x:c>
      <x:c r="AE20" s="100" t="str">
        <x:f>IF('Master'!AF119="","",'Master'!AF119)</x:f>
      </x:c>
      <x:c r="AF20" s="75" t="str">
        <x:f>IF('Master'!AG119="","",'Master'!AG119)</x:f>
      </x:c>
    </x:row>
    <x:row r="21" ht="36" customHeight="1">
      <x:c r="A21" s="135" t="str">
        <x:v>Watch Parties</x:v>
      </x:c>
      <x:c r="B21" s="100" t="str">
        <x:f>IF('Master'!C120="","",'Master'!C120)</x:f>
        <x:v>Activities can provide co-watching</x:v>
      </x:c>
      <x:c r="C21" s="100" t="str">
        <x:f>IF('Master'!D120="","",'Master'!D120)</x:f>
      </x:c>
      <x:c r="D21" s="100" t="str">
        <x:f>IF('Master'!E120="","",'Master'!E120)</x:f>
      </x:c>
      <x:c r="E21" s="100" t="str">
        <x:f>IF('Master'!F120="","",'Master'!F120)</x:f>
      </x:c>
      <x:c r="F21" s="100" t="str">
        <x:f>IF('Master'!G120="","",'Master'!G120)</x:f>
      </x:c>
      <x:c r="G21" s="100" t="str">
        <x:f>IF('Master'!H120="","",'Master'!H120)</x:f>
      </x:c>
      <x:c r="H21" s="100" t="str">
        <x:f>IF('Master'!I120="","",'Master'!I120)</x:f>
      </x:c>
      <x:c r="I21" s="100" t="str">
        <x:f>IF('Master'!J120="","",'Master'!J120)</x:f>
      </x:c>
      <x:c r="J21" s="100" t="str">
        <x:f>IF('Master'!K120="","",'Master'!K120)</x:f>
      </x:c>
      <x:c r="K21" s="100" t="str">
        <x:f>IF('Master'!L120="","",'Master'!L120)</x:f>
      </x:c>
      <x:c r="L21" s="100" t="str">
        <x:f>IF('Master'!M120="","",'Master'!M120)</x:f>
      </x:c>
      <x:c r="M21" s="100" t="str">
        <x:f>IF('Master'!N120="","",'Master'!N120)</x:f>
      </x:c>
      <x:c r="N21" s="100" t="str">
        <x:f>IF('Master'!O120="","",'Master'!O120)</x:f>
      </x:c>
      <x:c r="O21" s="100" t="str">
        <x:f>IF('Master'!P120="","",'Master'!P120)</x:f>
      </x:c>
      <x:c r="P21" s="100" t="str">
        <x:f>IF('Master'!Q120="","",'Master'!Q120)</x:f>
      </x:c>
      <x:c r="Q21" s="100" t="str">
        <x:f>IF('Master'!R120="","",'Master'!R120)</x:f>
      </x:c>
      <x:c r="R21" s="100" t="str">
        <x:f>IF('Master'!S120="","",'Master'!S120)</x:f>
      </x:c>
      <x:c r="S21" s="100" t="str">
        <x:f>IF('Master'!T120="","",'Master'!T120)</x:f>
      </x:c>
      <x:c r="T21" s="100" t="str">
        <x:f>IF('Master'!U120="","",'Master'!U120)</x:f>
        <x:v>Yes</x:v>
      </x:c>
      <x:c r="U21" s="100" t="str">
        <x:f>IF('Master'!V120="","",'Master'!V120)</x:f>
        <x:v>Yes — synchronized YouTube/Twitch Watch Party</x:v>
      </x:c>
      <x:c r="V21" s="100" t="str">
        <x:f>IF('Master'!W120="","",'Master'!W120)</x:f>
      </x:c>
      <x:c r="W21" s="100" t="str">
        <x:f>IF('Master'!X120="","",'Master'!X120)</x:f>
      </x:c>
      <x:c r="X21" s="100" t="str">
        <x:f>IF('Master'!Y120="","",'Master'!Y120)</x:f>
      </x:c>
      <x:c r="Y21" s="100" t="str">
        <x:f>IF('Master'!Z120="","",'Master'!Z120)</x:f>
      </x:c>
      <x:c r="Z21" s="100" t="str">
        <x:f>IF('Master'!AA120="","",'Master'!AA120)</x:f>
      </x:c>
      <x:c r="AA21" s="104" t="str">
        <x:f>IF('Master'!AB120="","",'Master'!AB120)</x:f>
      </x:c>
      <x:c r="AB21" s="100" t="str">
        <x:f>IF('Master'!AC120="","",'Master'!AC120)</x:f>
      </x:c>
      <x:c r="AC21" s="100" t="str">
        <x:f>IF('Master'!AD120="","",'Master'!AD120)</x:f>
      </x:c>
      <x:c r="AD21" s="100" t="str">
        <x:f>IF('Master'!AE120="","",'Master'!AE120)</x:f>
      </x:c>
      <x:c r="AE21" s="100" t="str">
        <x:f>IF('Master'!AF120="","",'Master'!AF120)</x:f>
      </x:c>
      <x:c r="AF21" s="75" t="str">
        <x:f>IF('Master'!AG120="","",'Master'!AG120)</x:f>
      </x:c>
    </x:row>
  </x:sheetData>
  <x:mergeCells>
    <x:mergeCell ref="A1:AF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Directory'!A1","Embedded Apps &amp; Workspaces — in-client apps, widgets, layouts, shared experiences, and app ecosystems"),"Embedded Apps &amp; Workspaces — in-client apps, widgets, layouts, shared experiences, and app ecosystems")</x:f>
        <x:v>Embedded Apps &amp; Workspaces — in-client apps, widgets, layouts, shared experiences, and app ecosystems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Platform &amp; Runtime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Embedded App / Widget Framework</x:v>
      </x:c>
      <x:c r="B4" s="100" t="str">
        <x:f>IF('Master'!C121="","",'Master'!C121)</x:f>
        <x:v>Yes — Activities / Embedded App SDK</x:v>
      </x:c>
      <x:c r="C4" s="100" t="str">
        <x:f>IF('Master'!D121="","",'Master'!D121)</x:f>
      </x:c>
      <x:c r="D4" s="100" t="str">
        <x:f>IF('Master'!E121="","",'Master'!E121)</x:f>
      </x:c>
      <x:c r="E4" s="100" t="str">
        <x:f>IF('Master'!F121="","",'Master'!F121)</x:f>
      </x:c>
      <x:c r="F4" s="100" t="str">
        <x:f>IF('Master'!G121="","",'Master'!G121)</x:f>
      </x:c>
      <x:c r="G4" s="100" t="str">
        <x:f>IF('Master'!H121="","",'Master'!H121)</x:f>
      </x:c>
      <x:c r="H4" s="100" t="str">
        <x:f>IF('Master'!I121="","",'Master'!I121)</x:f>
      </x:c>
      <x:c r="I4" s="100" t="str">
        <x:f>IF('Master'!J121="","",'Master'!J121)</x:f>
      </x:c>
      <x:c r="J4" s="100" t="str">
        <x:f>IF('Master'!K121="","",'Master'!K121)</x:f>
      </x:c>
      <x:c r="K4" s="100" t="str">
        <x:f>IF('Master'!L121="","",'Master'!L121)</x:f>
        <x:v>No embedded widget/activity runtime; bot/application ecosystem instead</x:v>
      </x:c>
      <x:c r="L4" s="100" t="str">
        <x:f>IF('Master'!M121="","",'Master'!M121)</x:f>
      </x:c>
      <x:c r="M4" s="100" t="str">
        <x:f>IF('Master'!N121="","",'Master'!N121)</x:f>
      </x:c>
      <x:c r="N4" s="100" t="str">
        <x:f>IF('Master'!O121="","",'Master'!O121)</x:f>
        <x:v>Client-dependent — Element supports room widgets/custom embedded web pages; not Matrix-wide</x:v>
      </x:c>
      <x:c r="O4" s="100" t="str">
        <x:f>IF('Master'!P121="","",'Master'!P121)</x:f>
        <x:v>Yes — webapp plugins can inject React/root components</x:v>
      </x:c>
      <x:c r="P4" s="100" t="str">
        <x:f>IF('Master'!Q121="","",'Master'!Q121)</x:f>
      </x:c>
      <x:c r="Q4" s="100" t="str">
        <x:f>IF('Master'!R121="","",'Master'!R121)</x:f>
      </x:c>
      <x:c r="R4" s="100" t="str">
        <x:f>IF('Master'!S121="","",'Master'!S121)</x:f>
      </x:c>
      <x:c r="S4" s="100" t="str">
        <x:f>IF('Master'!T121="","",'Master'!T121)</x:f>
      </x:c>
      <x:c r="T4" s="100" t="str">
        <x:f>IF('Master'!U121="","",'Master'!U121)</x:f>
      </x:c>
      <x:c r="U4" s="100" t="str">
        <x:f>IF('Master'!V121="","",'Master'!V121)</x:f>
        <x:v>Yes — Portals + built-in workspaces</x:v>
      </x:c>
      <x:c r="V4" s="100" t="str">
        <x:f>IF('Master'!W121="","",'Master'!W121)</x:f>
        <x:v>Yes — Apps-Engine packages install directly into workspace</x:v>
      </x:c>
      <x:c r="W4" s="100" t="str">
        <x:f>IF('Master'!X121="","",'Master'!X121)</x:f>
        <x:v>No dedicated embedded-app marketplace documented</x:v>
      </x:c>
      <x:c r="X4" s="100" t="str">
        <x:f>IF('Master'!Y121="","",'Master'!Y121)</x:f>
        <x:v>Yes — hosted Root Apps can provide GUI surfaces</x:v>
      </x:c>
      <x:c r="Y4" s="100" t="str">
        <x:f>IF('Master'!Z121="","",'Master'!Z121)</x:f>
      </x:c>
      <x:c r="Z4" s="100" t="str">
        <x:f>IF('Master'!AA121="","",'Master'!AA121)</x:f>
      </x:c>
      <x:c r="AA4" s="104" t="str">
        <x:f>IF('Master'!AB121="","",'Master'!AB121)</x:f>
      </x:c>
      <x:c r="AB4" s="100" t="str">
        <x:f>IF('Master'!AC121="","",'Master'!AC121)</x:f>
        <x:v>No dedicated embedded-app framework documented</x:v>
      </x:c>
      <x:c r="AC4" s="100" t="str">
        <x:f>IF('Master'!AD121="","",'Master'!AD121)</x:f>
      </x:c>
      <x:c r="AD4" s="100" t="str">
        <x:f>IF('Master'!AE121="","",'Master'!AE121)</x:f>
      </x:c>
      <x:c r="AE4" s="100" t="str">
        <x:f>IF('Master'!AF121="","",'Master'!AF121)</x:f>
      </x:c>
      <x:c r="AF4" s="75" t="str">
        <x:f>IF('Master'!AG121="","",'Master'!AG121)</x:f>
        <x:v>No comparable embedded UI framework; bots/integrations instead</x:v>
      </x:c>
    </x:row>
    <x:row r="5" ht="36" customHeight="1">
      <x:c r="A5" s="135" t="str">
        <x:v>Third-Party App Development SDK / Framework</x:v>
      </x:c>
      <x:c r="B5" s="100" t="str">
        <x:f>IF('Master'!C122="","",'Master'!C122)</x:f>
        <x:v>Yes — @discord/embedded-app-sdk</x:v>
      </x:c>
      <x:c r="C5" s="100" t="str">
        <x:f>IF('Master'!D122="","",'Master'!D122)</x:f>
      </x:c>
      <x:c r="D5" s="100" t="str">
        <x:f>IF('Master'!E122="","",'Master'!E122)</x:f>
      </x:c>
      <x:c r="E5" s="100" t="str">
        <x:f>IF('Master'!F122="","",'Master'!F122)</x:f>
      </x:c>
      <x:c r="F5" s="100" t="str">
        <x:f>IF('Master'!G122="","",'Master'!G122)</x:f>
      </x:c>
      <x:c r="G5" s="100" t="str">
        <x:f>IF('Master'!H122="","",'Master'!H122)</x:f>
      </x:c>
      <x:c r="H5" s="100" t="str">
        <x:f>IF('Master'!I122="","",'Master'!I122)</x:f>
      </x:c>
      <x:c r="I5" s="100" t="str">
        <x:f>IF('Master'!J122="","",'Master'!J122)</x:f>
      </x:c>
      <x:c r="J5" s="100" t="str">
        <x:f>IF('Master'!K122="","",'Master'!K122)</x:f>
      </x:c>
      <x:c r="K5" s="100" t="str">
        <x:f>IF('Master'!L122="","",'Master'!L122)</x:f>
        <x:v>Yes for bots/apps — Python SDK plus scoped REST/Gateway APIs; not an iframe runtime</x:v>
      </x:c>
      <x:c r="L5" s="100" t="str">
        <x:f>IF('Master'!M122="","",'Master'!M122)</x:f>
      </x:c>
      <x:c r="M5" s="100" t="str">
        <x:f>IF('Master'!N122="","",'Master'!N122)</x:f>
      </x:c>
      <x:c r="N5" s="100" t="str">
        <x:f>IF('Master'!O122="","",'Master'!O122)</x:f>
        <x:v>Client/integration-manager dependent</x:v>
      </x:c>
      <x:c r="O5" s="100" t="str">
        <x:f>IF('Master'!P122="","",'Master'!P122)</x:f>
        <x:v>Yes — plugin webapp APIs</x:v>
      </x:c>
      <x:c r="P5" s="100" t="str">
        <x:f>IF('Master'!Q122="","",'Master'!Q122)</x:f>
      </x:c>
      <x:c r="Q5" s="100" t="str">
        <x:f>IF('Master'!R122="","",'Master'!R122)</x:f>
      </x:c>
      <x:c r="R5" s="100" t="str">
        <x:f>IF('Master'!S122="","",'Master'!S122)</x:f>
      </x:c>
      <x:c r="S5" s="100" t="str">
        <x:f>IF('Master'!T122="","",'Master'!T122)</x:f>
      </x:c>
      <x:c r="T5" s="100" t="str">
        <x:f>IF('Master'!U122="","",'Master'!U122)</x:f>
      </x:c>
      <x:c r="U5" s="100" t="str">
        <x:f>IF('Master'!V122="","",'Master'!V122)</x:f>
      </x:c>
      <x:c r="V5" s="100" t="str">
        <x:f>IF('Master'!W122="","",'Master'!W122)</x:f>
        <x:v>Yes — Apps-Engine (TypeScript)</x:v>
      </x:c>
      <x:c r="W5" s="100" t="str">
        <x:f>IF('Master'!X122="","",'Master'!X122)</x:f>
      </x:c>
      <x:c r="X5" s="100" t="str">
        <x:f>IF('Master'!Y122="","",'Master'!Y122)</x:f>
      </x:c>
      <x:c r="Y5" s="100" t="str">
        <x:f>IF('Master'!Z122="","",'Master'!Z122)</x:f>
      </x:c>
      <x:c r="Z5" s="100" t="str">
        <x:f>IF('Master'!AA122="","",'Master'!AA122)</x:f>
      </x:c>
      <x:c r="AA5" s="104" t="str">
        <x:f>IF('Master'!AB122="","",'Master'!AB122)</x:f>
      </x:c>
      <x:c r="AB5" s="100" t="str">
        <x:f>IF('Master'!AC122="","",'Master'!AC122)</x:f>
      </x:c>
      <x:c r="AC5" s="100" t="str">
        <x:f>IF('Master'!AD122="","",'Master'!AD122)</x:f>
      </x:c>
      <x:c r="AD5" s="100" t="str">
        <x:f>IF('Master'!AE122="","",'Master'!AE122)</x:f>
      </x:c>
      <x:c r="AE5" s="100" t="str">
        <x:f>IF('Master'!AF122="","",'Master'!AF122)</x:f>
      </x:c>
      <x:c r="AF5" s="75" t="str">
        <x:f>IF('Master'!AG122="","",'Master'!AG122)</x:f>
        <x:v>APIs/bot frameworks, not embedded UI</x:v>
      </x:c>
    </x:row>
    <x:row r="6" ht="36" customHeight="1">
      <x:c r="A6" s="135" t="str">
        <x:v>App Directory / Marketplace</x:v>
      </x:c>
      <x:c r="B6" s="100" t="str">
        <x:f>IF('Master'!C123="","",'Master'!C123)</x:f>
        <x:v>Yes — App Directory / platform apps</x:v>
      </x:c>
      <x:c r="C6" s="100" t="str">
        <x:f>IF('Master'!D123="","",'Master'!D123)</x:f>
      </x:c>
      <x:c r="D6" s="100" t="str">
        <x:f>IF('Master'!E123="","",'Master'!E123)</x:f>
      </x:c>
      <x:c r="E6" s="100" t="str">
        <x:f>IF('Master'!F123="","",'Master'!F123)</x:f>
      </x:c>
      <x:c r="F6" s="100" t="str">
        <x:f>IF('Master'!G123="","",'Master'!G123)</x:f>
      </x:c>
      <x:c r="G6" s="100" t="str">
        <x:f>IF('Master'!H123="","",'Master'!H123)</x:f>
      </x:c>
      <x:c r="H6" s="100" t="str">
        <x:f>IF('Master'!I123="","",'Master'!I123)</x:f>
      </x:c>
      <x:c r="I6" s="100" t="str">
        <x:f>IF('Master'!J123="","",'Master'!J123)</x:f>
      </x:c>
      <x:c r="J6" s="100" t="str">
        <x:f>IF('Master'!K123="","",'Master'!K123)</x:f>
      </x:c>
      <x:c r="K6" s="100" t="str">
        <x:f>IF('Master'!L123="","",'Master'!L123)</x:f>
        <x:v>Yes — federated App Directory for reviewed applications/bots</x:v>
      </x:c>
      <x:c r="L6" s="100" t="str">
        <x:f>IF('Master'!M123="","",'Master'!M123)</x:f>
      </x:c>
      <x:c r="M6" s="100" t="str">
        <x:f>IF('Master'!N123="","",'Master'!N123)</x:f>
      </x:c>
      <x:c r="N6" s="100" t="str">
        <x:f>IF('Master'!O123="","",'Master'!O123)</x:f>
        <x:v>Client-dependent integration manager/catalog</x:v>
      </x:c>
      <x:c r="O6" s="100" t="str">
        <x:f>IF('Master'!P123="","",'Master'!P123)</x:f>
        <x:v>Plugin marketplace/ecosystem</x:v>
      </x:c>
      <x:c r="P6" s="100" t="str">
        <x:f>IF('Master'!Q123="","",'Master'!Q123)</x:f>
      </x:c>
      <x:c r="Q6" s="100" t="str">
        <x:f>IF('Master'!R123="","",'Master'!R123)</x:f>
      </x:c>
      <x:c r="R6" s="100" t="str">
        <x:f>IF('Master'!S123="","",'Master'!S123)</x:f>
      </x:c>
      <x:c r="S6" s="100" t="str">
        <x:f>IF('Master'!T123="","",'Master'!T123)</x:f>
      </x:c>
      <x:c r="T6" s="100" t="str">
        <x:f>IF('Master'!U123="","",'Master'!U123)</x:f>
      </x:c>
      <x:c r="U6" s="100" t="str">
        <x:f>IF('Master'!V123="","",'Master'!V123)</x:f>
        <x:v>No public marketplace documented</x:v>
      </x:c>
      <x:c r="V6" s="100" t="str">
        <x:f>IF('Master'!W123="","",'Master'!W123)</x:f>
        <x:v>Yes — Marketplace</x:v>
      </x:c>
      <x:c r="W6" s="100" t="str">
        <x:f>IF('Master'!X123="","",'Master'!X123)</x:f>
      </x:c>
      <x:c r="X6" s="100" t="str">
        <x:f>IF('Master'!Y123="","",'Master'!Y123)</x:f>
      </x:c>
      <x:c r="Y6" s="100" t="str">
        <x:f>IF('Master'!Z123="","",'Master'!Z123)</x:f>
      </x:c>
      <x:c r="Z6" s="100" t="str">
        <x:f>IF('Master'!AA123="","",'Master'!AA123)</x:f>
      </x:c>
      <x:c r="AA6" s="104" t="str">
        <x:f>IF('Master'!AB123="","",'Master'!AB123)</x:f>
      </x:c>
      <x:c r="AB6" s="100" t="str">
        <x:f>IF('Master'!AC123="","",'Master'!AC123)</x:f>
      </x:c>
      <x:c r="AC6" s="100" t="str">
        <x:f>IF('Master'!AD123="","",'Master'!AD123)</x:f>
      </x:c>
      <x:c r="AD6" s="100" t="str">
        <x:f>IF('Master'!AE123="","",'Master'!AE123)</x:f>
      </x:c>
      <x:c r="AE6" s="100" t="str">
        <x:f>IF('Master'!AF123="","",'Master'!AF123)</x:f>
      </x:c>
      <x:c r="AF6" s="75" t="str">
        <x:f>IF('Master'!AG123="","",'Master'!AG123)</x:f>
        <x:v>Yes — integration directory, not embedded apps</x:v>
      </x:c>
    </x:row>
    <x:row r="7" ht="36" customHeight="1">
      <x:c r="A7" s="135" t="str">
        <x:v>Runs Inside Chat Client</x:v>
      </x:c>
      <x:c r="B7" s="100" t="str">
        <x:f>IF('Master'!C124="","",'Master'!C124)</x:f>
        <x:v>Yes — Activities run inside Discord</x:v>
      </x:c>
      <x:c r="C7" s="100" t="str">
        <x:f>IF('Master'!D124="","",'Master'!D124)</x:f>
      </x:c>
      <x:c r="D7" s="100" t="str">
        <x:f>IF('Master'!E124="","",'Master'!E124)</x:f>
      </x:c>
      <x:c r="E7" s="100" t="str">
        <x:f>IF('Master'!F124="","",'Master'!F124)</x:f>
      </x:c>
      <x:c r="F7" s="100" t="str">
        <x:f>IF('Master'!G124="","",'Master'!G124)</x:f>
      </x:c>
      <x:c r="G7" s="100" t="str">
        <x:f>IF('Master'!H124="","",'Master'!H124)</x:f>
      </x:c>
      <x:c r="H7" s="100" t="str">
        <x:f>IF('Master'!I124="","",'Master'!I124)</x:f>
      </x:c>
      <x:c r="I7" s="100" t="str">
        <x:f>IF('Master'!J124="","",'Master'!J124)</x:f>
      </x:c>
      <x:c r="J7" s="100" t="str">
        <x:f>IF('Master'!K124="","",'Master'!K124)</x:f>
      </x:c>
      <x:c r="K7" s="100" t="str">
        <x:f>IF('Master'!L124="","",'Master'!L124)</x:f>
        <x:v>Commands/App Launcher integrate with the composer; no arbitrary embedded web-app runtime</x:v>
      </x:c>
      <x:c r="L7" s="100" t="str">
        <x:f>IF('Master'!M124="","",'Master'!M124)</x:f>
      </x:c>
      <x:c r="M7" s="100" t="str">
        <x:f>IF('Master'!N124="","",'Master'!N124)</x:f>
      </x:c>
      <x:c r="N7" s="100" t="str">
        <x:f>IF('Master'!O124="","",'Master'!O124)</x:f>
        <x:v>Client-dependent widgets</x:v>
      </x:c>
      <x:c r="O7" s="100" t="str">
        <x:f>IF('Master'!P124="","",'Master'!P124)</x:f>
        <x:v>Yes — plugins can extend web/desktop UI</x:v>
      </x:c>
      <x:c r="P7" s="100" t="str">
        <x:f>IF('Master'!Q124="","",'Master'!Q124)</x:f>
      </x:c>
      <x:c r="Q7" s="100" t="str">
        <x:f>IF('Master'!R124="","",'Master'!R124)</x:f>
      </x:c>
      <x:c r="R7" s="100" t="str">
        <x:f>IF('Master'!S124="","",'Master'!S124)</x:f>
      </x:c>
      <x:c r="S7" s="100" t="str">
        <x:f>IF('Master'!T124="","",'Master'!T124)</x:f>
      </x:c>
      <x:c r="T7" s="100" t="str">
        <x:f>IF('Master'!U124="","",'Master'!U124)</x:f>
      </x:c>
      <x:c r="U7" s="100" t="str">
        <x:f>IF('Master'!V124="","",'Master'!V124)</x:f>
        <x:v>Yes — Portals live in the Rift workspace</x:v>
      </x:c>
      <x:c r="V7" s="100" t="str">
        <x:f>IF('Master'!W124="","",'Master'!W124)</x:f>
        <x:v>Yes — apps extend workspace</x:v>
      </x:c>
      <x:c r="W7" s="100" t="str">
        <x:f>IF('Master'!X124="","",'Master'!X124)</x:f>
      </x:c>
      <x:c r="X7" s="100" t="str">
        <x:f>IF('Master'!Y124="","",'Master'!Y124)</x:f>
      </x:c>
      <x:c r="Y7" s="100" t="str">
        <x:f>IF('Master'!Z124="","",'Master'!Z124)</x:f>
      </x:c>
      <x:c r="Z7" s="100" t="str">
        <x:f>IF('Master'!AA124="","",'Master'!AA124)</x:f>
      </x:c>
      <x:c r="AA7" s="104" t="str">
        <x:f>IF('Master'!AB124="","",'Master'!AB124)</x:f>
      </x:c>
      <x:c r="AB7" s="100" t="str">
        <x:f>IF('Master'!AC124="","",'Master'!AC124)</x:f>
      </x:c>
      <x:c r="AC7" s="100" t="str">
        <x:f>IF('Master'!AD124="","",'Master'!AD124)</x:f>
      </x:c>
      <x:c r="AD7" s="100" t="str">
        <x:f>IF('Master'!AE124="","",'Master'!AE124)</x:f>
      </x:c>
      <x:c r="AE7" s="100" t="str">
        <x:f>IF('Master'!AF124="","",'Master'!AF124)</x:f>
      </x:c>
      <x:c r="AF7" s="75" t="str">
        <x:f>IF('Master'!AG124="","",'Master'!AG124)</x:f>
        <x:v>Integrations generally act through messages/bots</x:v>
      </x:c>
    </x:row>
    <x:row r="8" ht="36" customHeight="1">
      <x:c r="A8" s="135" t="str">
        <x:v>Shared / Synchronized Multi-User Sessions</x:v>
      </x:c>
      <x:c r="B8" s="100" t="str">
        <x:f>IF('Master'!C125="","",'Master'!C125)</x:f>
        <x:v>Yes — Activities are multiplayer/social sessions</x:v>
      </x:c>
      <x:c r="C8" s="100" t="str">
        <x:f>IF('Master'!D125="","",'Master'!D125)</x:f>
      </x:c>
      <x:c r="D8" s="100" t="str">
        <x:f>IF('Master'!E125="","",'Master'!E125)</x:f>
      </x:c>
      <x:c r="E8" s="100" t="str">
        <x:f>IF('Master'!F125="","",'Master'!F125)</x:f>
      </x:c>
      <x:c r="F8" s="100" t="str">
        <x:f>IF('Master'!G125="","",'Master'!G125)</x:f>
      </x:c>
      <x:c r="G8" s="100" t="str">
        <x:f>IF('Master'!H125="","",'Master'!H125)</x:f>
      </x:c>
      <x:c r="H8" s="100" t="str">
        <x:f>IF('Master'!I125="","",'Master'!I125)</x:f>
      </x:c>
      <x:c r="I8" s="100" t="str">
        <x:f>IF('Master'!J125="","",'Master'!J125)</x:f>
      </x:c>
      <x:c r="J8" s="100" t="str">
        <x:f>IF('Master'!K125="","",'Master'!K125)</x:f>
      </x:c>
      <x:c r="K8" s="100" t="str">
        <x:f>IF('Master'!L125="","",'Master'!L125)</x:f>
        <x:v>No dedicated synchronized embedded-app session framework</x:v>
      </x:c>
      <x:c r="L8" s="100" t="str">
        <x:f>IF('Master'!M125="","",'Master'!M125)</x:f>
      </x:c>
      <x:c r="M8" s="100" t="str">
        <x:f>IF('Master'!N125="","",'Master'!N125)</x:f>
      </x:c>
      <x:c r="N8" s="100" t="str">
        <x:f>IF('Master'!O125="","",'Master'!O125)</x:f>
        <x:v>Widget-dependent</x:v>
      </x:c>
      <x:c r="O8" s="100" t="str">
        <x:f>IF('Master'!P125="","",'Master'!P125)</x:f>
        <x:v>Plugin-dependent</x:v>
      </x:c>
      <x:c r="P8" s="100" t="str">
        <x:f>IF('Master'!Q125="","",'Master'!Q125)</x:f>
      </x:c>
      <x:c r="Q8" s="100" t="str">
        <x:f>IF('Master'!R125="","",'Master'!R125)</x:f>
      </x:c>
      <x:c r="R8" s="100" t="str">
        <x:f>IF('Master'!S125="","",'Master'!S125)</x:f>
      </x:c>
      <x:c r="S8" s="100" t="str">
        <x:f>IF('Master'!T125="","",'Master'!T125)</x:f>
      </x:c>
      <x:c r="T8" s="100" t="str">
        <x:f>IF('Master'!U125="","",'Master'!U125)</x:f>
      </x:c>
      <x:c r="U8" s="100" t="str">
        <x:f>IF('Master'!V125="","",'Master'!V125)</x:f>
        <x:v>Yes — Watch Parties; Arcade/Tabletop collaborative experiences</x:v>
      </x:c>
      <x:c r="V8" s="100" t="str">
        <x:f>IF('Master'!W125="","",'Master'!W125)</x:f>
        <x:v>App-dependent</x:v>
      </x:c>
      <x:c r="W8" s="100" t="str">
        <x:f>IF('Master'!X125="","",'Master'!X125)</x:f>
      </x:c>
      <x:c r="X8" s="100" t="str">
        <x:f>IF('Master'!Y125="","",'Master'!Y125)</x:f>
      </x:c>
      <x:c r="Y8" s="100" t="str">
        <x:f>IF('Master'!Z125="","",'Master'!Z125)</x:f>
      </x:c>
      <x:c r="Z8" s="100" t="str">
        <x:f>IF('Master'!AA125="","",'Master'!AA125)</x:f>
      </x:c>
      <x:c r="AA8" s="104" t="str">
        <x:f>IF('Master'!AB125="","",'Master'!AB125)</x:f>
      </x:c>
      <x:c r="AB8" s="100" t="str">
        <x:f>IF('Master'!AC125="","",'Master'!AC125)</x:f>
      </x:c>
      <x:c r="AC8" s="100" t="str">
        <x:f>IF('Master'!AD125="","",'Master'!AD125)</x:f>
      </x:c>
      <x:c r="AD8" s="100" t="str">
        <x:f>IF('Master'!AE125="","",'Master'!AE125)</x:f>
      </x:c>
      <x:c r="AE8" s="100" t="str">
        <x:f>IF('Master'!AF125="","",'Master'!AF125)</x:f>
      </x:c>
      <x:c r="AF8" s="75" t="str">
        <x:f>IF('Master'!AG125="","",'Master'!AG125)</x:f>
        <x:v>Bot/integration-dependent</x:v>
      </x:c>
    </x:row>
    <x:row r="9" ht="36" customHeight="1">
      <x:c r="A9" s="135" t="str">
        <x:v>Launch from Channel / Conversation</x:v>
      </x:c>
      <x:c r="B9" s="100" t="str">
        <x:f>IF('Master'!C126="","",'Master'!C126)</x:f>
        <x:v>Yes — channels, DMs, App Launcher</x:v>
      </x:c>
      <x:c r="C9" s="100" t="str">
        <x:f>IF('Master'!D126="","",'Master'!D126)</x:f>
      </x:c>
      <x:c r="D9" s="100" t="str">
        <x:f>IF('Master'!E126="","",'Master'!E126)</x:f>
      </x:c>
      <x:c r="E9" s="100" t="str">
        <x:f>IF('Master'!F126="","",'Master'!F126)</x:f>
      </x:c>
      <x:c r="F9" s="100" t="str">
        <x:f>IF('Master'!G126="","",'Master'!G126)</x:f>
      </x:c>
      <x:c r="G9" s="100" t="str">
        <x:f>IF('Master'!H126="","",'Master'!H126)</x:f>
      </x:c>
      <x:c r="H9" s="100" t="str">
        <x:f>IF('Master'!I126="","",'Master'!I126)</x:f>
      </x:c>
      <x:c r="I9" s="100" t="str">
        <x:f>IF('Master'!J126="","",'Master'!J126)</x:f>
      </x:c>
      <x:c r="J9" s="100" t="str">
        <x:f>IF('Master'!K126="","",'Master'!K126)</x:f>
      </x:c>
      <x:c r="K9" s="100" t="str">
        <x:f>IF('Master'!L126="","",'Master'!L126)</x:f>
        <x:v>Yes — App Launcher/slash commands can launch app interactions from a conversation</x:v>
      </x:c>
      <x:c r="L9" s="100" t="str">
        <x:f>IF('Master'!M126="","",'Master'!M126)</x:f>
      </x:c>
      <x:c r="M9" s="100" t="str">
        <x:f>IF('Master'!N126="","",'Master'!N126)</x:f>
      </x:c>
      <x:c r="N9" s="100" t="str">
        <x:f>IF('Master'!O126="","",'Master'!O126)</x:f>
        <x:v>Client-dependent room widgets</x:v>
      </x:c>
      <x:c r="O9" s="100" t="str">
        <x:f>IF('Master'!P126="","",'Master'!P126)</x:f>
        <x:v>Plugin-dependent</x:v>
      </x:c>
      <x:c r="P9" s="100" t="str">
        <x:f>IF('Master'!Q126="","",'Master'!Q126)</x:f>
      </x:c>
      <x:c r="Q9" s="100" t="str">
        <x:f>IF('Master'!R126="","",'Master'!R126)</x:f>
      </x:c>
      <x:c r="R9" s="100" t="str">
        <x:f>IF('Master'!S126="","",'Master'!S126)</x:f>
      </x:c>
      <x:c r="S9" s="100" t="str">
        <x:f>IF('Master'!T126="","",'Master'!T126)</x:f>
      </x:c>
      <x:c r="T9" s="100" t="str">
        <x:f>IF('Master'!U126="","",'Master'!U126)</x:f>
      </x:c>
      <x:c r="U9" s="100" t="str">
        <x:f>IF('Master'!V126="","",'Master'!V126)</x:f>
        <x:v>Yes — Portals alongside chat; some tools post into channels</x:v>
      </x:c>
      <x:c r="V9" s="100" t="str">
        <x:f>IF('Master'!W126="","",'Master'!W126)</x:f>
        <x:v>App-dependent</x:v>
      </x:c>
      <x:c r="W9" s="100" t="str">
        <x:f>IF('Master'!X126="","",'Master'!X126)</x:f>
      </x:c>
      <x:c r="X9" s="100" t="str">
        <x:f>IF('Master'!Y126="","",'Master'!Y126)</x:f>
      </x:c>
      <x:c r="Y9" s="100" t="str">
        <x:f>IF('Master'!Z126="","",'Master'!Z126)</x:f>
      </x:c>
      <x:c r="Z9" s="100" t="str">
        <x:f>IF('Master'!AA126="","",'Master'!AA126)</x:f>
      </x:c>
      <x:c r="AA9" s="104" t="str">
        <x:f>IF('Master'!AB126="","",'Master'!AB126)</x:f>
      </x:c>
      <x:c r="AB9" s="100" t="str">
        <x:f>IF('Master'!AC126="","",'Master'!AC126)</x:f>
      </x:c>
      <x:c r="AC9" s="100" t="str">
        <x:f>IF('Master'!AD126="","",'Master'!AD126)</x:f>
      </x:c>
      <x:c r="AD9" s="100" t="str">
        <x:f>IF('Master'!AE126="","",'Master'!AE126)</x:f>
      </x:c>
      <x:c r="AE9" s="100" t="str">
        <x:f>IF('Master'!AF126="","",'Master'!AF126)</x:f>
      </x:c>
      <x:c r="AF9" s="75" t="str">
        <x:f>IF('Master'!AG126="","",'Master'!AG126)</x:f>
        <x:v>Bots/integrations can be invoked in conversation</x:v>
      </x:c>
    </x:row>
    <x:row r="10" ht="36" customHeight="1">
      <x:c r="A10" s="135" t="str">
        <x:v>Mobile Embedded App Support</x:v>
      </x:c>
      <x:c r="B10" s="100" t="str">
        <x:f>IF('Master'!C127="","",'Master'!C127)</x:f>
        <x:v>Yes — Embedded App SDK supports iOS/Android</x:v>
      </x:c>
      <x:c r="C10" s="100" t="str">
        <x:f>IF('Master'!D127="","",'Master'!D127)</x:f>
      </x:c>
      <x:c r="D10" s="100" t="str">
        <x:f>IF('Master'!E127="","",'Master'!E127)</x:f>
      </x:c>
      <x:c r="E10" s="100" t="str">
        <x:f>IF('Master'!F127="","",'Master'!F127)</x:f>
      </x:c>
      <x:c r="F10" s="100" t="str">
        <x:f>IF('Master'!G127="","",'Master'!G127)</x:f>
      </x:c>
      <x:c r="G10" s="100" t="str">
        <x:f>IF('Master'!H127="","",'Master'!H127)</x:f>
      </x:c>
      <x:c r="H10" s="100" t="str">
        <x:f>IF('Master'!I127="","",'Master'!I127)</x:f>
      </x:c>
      <x:c r="I10" s="100" t="str">
        <x:f>IF('Master'!J127="","",'Master'!J127)</x:f>
      </x:c>
      <x:c r="J10" s="100" t="str">
        <x:f>IF('Master'!K127="","",'Master'!K127)</x:f>
      </x:c>
      <x:c r="K10" s="100" t="str">
        <x:f>IF('Master'!L127="","",'Master'!L127)</x:f>
        <x:v>Yes for bot/app interactions on mobile; no embedded iframe/activity runtime</x:v>
      </x:c>
      <x:c r="L10" s="100" t="str">
        <x:f>IF('Master'!M127="","",'Master'!M127)</x:f>
      </x:c>
      <x:c r="M10" s="100" t="str">
        <x:f>IF('Master'!N127="","",'Master'!N127)</x:f>
      </x:c>
      <x:c r="N10" s="100" t="str">
        <x:f>IF('Master'!O127="","",'Master'!O127)</x:f>
        <x:v>Client/widget dependent</x:v>
      </x:c>
      <x:c r="O10" s="100" t="str">
        <x:f>IF('Master'!P127="","",'Master'!P127)</x:f>
        <x:v>Plugin/mobile support varies</x:v>
      </x:c>
      <x:c r="P10" s="100" t="str">
        <x:f>IF('Master'!Q127="","",'Master'!Q127)</x:f>
      </x:c>
      <x:c r="Q10" s="100" t="str">
        <x:f>IF('Master'!R127="","",'Master'!R127)</x:f>
      </x:c>
      <x:c r="R10" s="100" t="str">
        <x:f>IF('Master'!S127="","",'Master'!S127)</x:f>
      </x:c>
      <x:c r="S10" s="100" t="str">
        <x:f>IF('Master'!T127="","",'Master'!T127)</x:f>
      </x:c>
      <x:c r="T10" s="100" t="str">
        <x:f>IF('Master'!U127="","",'Master'!U127)</x:f>
      </x:c>
      <x:c r="U10" s="100" t="str">
        <x:f>IF('Master'!V127="","",'Master'!V127)</x:f>
        <x:v>Web/PWA/mobile behavior varies by Portal; no dedicated mobile app marketplace</x:v>
      </x:c>
      <x:c r="V10" s="100" t="str">
        <x:f>IF('Master'!W127="","",'Master'!W127)</x:f>
        <x:v>App/mobile support varies</x:v>
      </x:c>
      <x:c r="W10" s="100" t="str">
        <x:f>IF('Master'!X127="","",'Master'!X127)</x:f>
      </x:c>
      <x:c r="X10" s="100" t="str">
        <x:f>IF('Master'!Y127="","",'Master'!Y127)</x:f>
      </x:c>
      <x:c r="Y10" s="100" t="str">
        <x:f>IF('Master'!Z127="","",'Master'!Z127)</x:f>
      </x:c>
      <x:c r="Z10" s="100" t="str">
        <x:f>IF('Master'!AA127="","",'Master'!AA127)</x:f>
      </x:c>
      <x:c r="AA10" s="104" t="str">
        <x:f>IF('Master'!AB127="","",'Master'!AB127)</x:f>
      </x:c>
      <x:c r="AB10" s="100" t="str">
        <x:f>IF('Master'!AC127="","",'Master'!AC127)</x:f>
      </x:c>
      <x:c r="AC10" s="100" t="str">
        <x:f>IF('Master'!AD127="","",'Master'!AD127)</x:f>
      </x:c>
      <x:c r="AD10" s="100" t="str">
        <x:f>IF('Master'!AE127="","",'Master'!AE127)</x:f>
      </x:c>
      <x:c r="AE10" s="100" t="str">
        <x:f>IF('Master'!AF127="","",'Master'!AF127)</x:f>
      </x:c>
      <x:c r="AF10" s="75" t="str">
        <x:f>IF('Master'!AG127="","",'Master'!AG127)</x:f>
        <x:v>Integrations available; not embedded UI</x:v>
      </x:c>
    </x:row>
    <x:row r="11" ht="22" customHeight="1">
      <x:c r="A11" s="138" t="str">
        <x:v>Workspace &amp; Layout</x:v>
      </x:c>
      <x:c r="B11" s="138" t="str">
        <x:f>IF(""="","","")</x:f>
      </x:c>
      <x:c r="C11" s="138" t="str">
        <x:f>IF(""="","","")</x:f>
      </x:c>
      <x:c r="D11" s="138" t="str">
        <x:f>IF(""="","","")</x:f>
      </x:c>
      <x:c r="E11" s="138" t="str">
        <x:f>IF(""="","","")</x:f>
      </x:c>
      <x:c r="F11" s="138" t="str">
        <x:f>IF(""="","","")</x:f>
      </x:c>
      <x:c r="G11" s="138" t="str">
        <x:f>IF(""="","","")</x:f>
      </x:c>
      <x:c r="H11" s="138" t="str">
        <x:f>IF(""="","","")</x:f>
      </x:c>
      <x:c r="I11" s="138" t="str">
        <x:f>IF(""="","","")</x:f>
      </x:c>
      <x:c r="J11" s="138" t="str">
        <x:f>IF(""="","","")</x:f>
      </x:c>
      <x:c r="K11" s="138" t="str">
        <x:f>IF(""="","","")</x:f>
      </x:c>
      <x:c r="L11" s="138" t="str">
        <x:f>IF(""="","","")</x:f>
      </x:c>
      <x:c r="M11" s="138" t="str">
        <x:f>IF(""="","","")</x:f>
      </x:c>
      <x:c r="N11" s="138" t="str">
        <x:f>IF(""="","","")</x:f>
      </x:c>
      <x:c r="O11" s="138" t="str">
        <x:f>IF(""="","","")</x:f>
      </x:c>
      <x:c r="P11" s="138" t="str">
        <x:f>IF(""="","","")</x:f>
      </x:c>
      <x:c r="Q11" s="138" t="str">
        <x:f>IF(""="","","")</x:f>
      </x:c>
      <x:c r="R11" s="138" t="str">
        <x:f>IF(""="","","")</x:f>
      </x:c>
      <x:c r="S11" s="138" t="str">
        <x:f>IF(""="","","")</x:f>
      </x:c>
      <x:c r="T11" s="138" t="str">
        <x:f>IF(""="","","")</x:f>
      </x:c>
      <x:c r="U11" s="138" t="str">
        <x:f>IF(""="","","")</x:f>
      </x:c>
      <x:c r="V11" s="138" t="str">
        <x:f>IF(""="","","")</x:f>
      </x:c>
      <x:c r="W11" s="138" t="str">
        <x:f>IF(""="","","")</x:f>
      </x:c>
      <x:c r="X11" s="138" t="str">
        <x:f>IF(""="","","")</x:f>
      </x:c>
      <x:c r="Y11" s="138" t="str">
        <x:f>IF(""="","","")</x:f>
      </x:c>
      <x:c r="Z11" s="138" t="str">
        <x:f>IF(""="","","")</x:f>
      </x:c>
      <x:c r="AA11" s="138" t="str">
        <x:f>IF(""="","","")</x:f>
      </x:c>
      <x:c r="AB11" s="138" t="str">
        <x:f>IF(""="","","")</x:f>
      </x:c>
      <x:c r="AC11" s="138" t="str">
        <x:f>IF(""="","","")</x:f>
      </x:c>
      <x:c r="AD11" s="138" t="str">
        <x:f>IF(""="","","")</x:f>
      </x:c>
      <x:c r="AE11" s="138" t="str">
        <x:f>IF(""="","","")</x:f>
      </x:c>
      <x:c r="AF11" s="139" t="str">
        <x:f>IF(""="","","")</x:f>
      </x:c>
    </x:row>
    <x:row r="12" ht="36" customHeight="1">
      <x:c r="A12" s="135" t="str">
        <x:v>Drag / Resize Embedded Apps</x:v>
      </x:c>
      <x:c r="B12" s="100" t="str">
        <x:f>IF('Master'!C128="","",'Master'!C128)</x:f>
        <x:v>No general workspace layout</x:v>
      </x:c>
      <x:c r="C12" s="100" t="str">
        <x:f>IF('Master'!D128="","",'Master'!D128)</x:f>
      </x:c>
      <x:c r="D12" s="100" t="str">
        <x:f>IF('Master'!E128="","",'Master'!E128)</x:f>
      </x:c>
      <x:c r="E12" s="100" t="str">
        <x:f>IF('Master'!F128="","",'Master'!F128)</x:f>
      </x:c>
      <x:c r="F12" s="100" t="str">
        <x:f>IF('Master'!G128="","",'Master'!G128)</x:f>
      </x:c>
      <x:c r="G12" s="100" t="str">
        <x:f>IF('Master'!H128="","",'Master'!H128)</x:f>
      </x:c>
      <x:c r="H12" s="100" t="str">
        <x:f>IF('Master'!I128="","",'Master'!I128)</x:f>
      </x:c>
      <x:c r="I12" s="100" t="str">
        <x:f>IF('Master'!J128="","",'Master'!J128)</x:f>
      </x:c>
      <x:c r="J12" s="100" t="str">
        <x:f>IF('Master'!K128="","",'Master'!K128)</x:f>
      </x:c>
      <x:c r="K12" s="100" t="str">
        <x:f>IF('Master'!L128="","",'Master'!L128)</x:f>
        <x:v>No dedicated embedded-app implementation documented</x:v>
      </x:c>
      <x:c r="L12" s="100" t="str">
        <x:f>IF('Master'!M128="","",'Master'!M128)</x:f>
      </x:c>
      <x:c r="M12" s="100" t="str">
        <x:f>IF('Master'!N128="","",'Master'!N128)</x:f>
      </x:c>
      <x:c r="N12" s="100" t="str">
        <x:f>IF('Master'!O128="","",'Master'!O128)</x:f>
        <x:v>Client-dependent</x:v>
      </x:c>
      <x:c r="O12" s="100" t="str">
        <x:f>IF('Master'!P128="","",'Master'!P128)</x:f>
        <x:v>Plugin-dependent</x:v>
      </x:c>
      <x:c r="P12" s="100" t="str">
        <x:f>IF('Master'!Q128="","",'Master'!Q128)</x:f>
      </x:c>
      <x:c r="Q12" s="100" t="str">
        <x:f>IF('Master'!R128="","",'Master'!R128)</x:f>
      </x:c>
      <x:c r="R12" s="100" t="str">
        <x:f>IF('Master'!S128="","",'Master'!S128)</x:f>
      </x:c>
      <x:c r="S12" s="100" t="str">
        <x:f>IF('Master'!T128="","",'Master'!T128)</x:f>
      </x:c>
      <x:c r="T12" s="100" t="str">
        <x:f>IF('Master'!U128="","",'Master'!U128)</x:f>
      </x:c>
      <x:c r="U12" s="100" t="str">
        <x:f>IF('Master'!V128="","",'Master'!V128)</x:f>
        <x:v>Yes</x:v>
      </x:c>
      <x:c r="V12" s="100" t="str">
        <x:f>IF('Master'!W128="","",'Master'!W128)</x:f>
        <x:v>App-dependent</x:v>
      </x:c>
      <x:c r="W12" s="100" t="str">
        <x:f>IF('Master'!X128="","",'Master'!X128)</x:f>
      </x:c>
      <x:c r="X12" s="100" t="str">
        <x:f>IF('Master'!Y128="","",'Master'!Y128)</x:f>
      </x:c>
      <x:c r="Y12" s="100" t="str">
        <x:f>IF('Master'!Z128="","",'Master'!Z128)</x:f>
      </x:c>
      <x:c r="Z12" s="100" t="str">
        <x:f>IF('Master'!AA128="","",'Master'!AA128)</x:f>
      </x:c>
      <x:c r="AA12" s="104" t="str">
        <x:f>IF('Master'!AB128="","",'Master'!AB128)</x:f>
      </x:c>
      <x:c r="AB12" s="100" t="str">
        <x:f>IF('Master'!AC128="","",'Master'!AC128)</x:f>
      </x:c>
      <x:c r="AC12" s="100" t="str">
        <x:f>IF('Master'!AD128="","",'Master'!AD128)</x:f>
      </x:c>
      <x:c r="AD12" s="100" t="str">
        <x:f>IF('Master'!AE128="","",'Master'!AE128)</x:f>
      </x:c>
      <x:c r="AE12" s="100" t="str">
        <x:f>IF('Master'!AF128="","",'Master'!AF128)</x:f>
      </x:c>
      <x:c r="AF12" s="75" t="str">
        <x:f>IF('Master'!AG128="","",'Master'!AG128)</x:f>
      </x:c>
    </x:row>
    <x:row r="13" ht="36" customHeight="1">
      <x:c r="A13" s="135" t="str">
        <x:v>Multiple Apps Visible Beside Chat</x:v>
      </x:c>
      <x:c r="B13" s="100" t="str">
        <x:f>IF('Master'!C129="","",'Master'!C129)</x:f>
        <x:v>Limited — Activity/PiP model, not freeform dashboard</x:v>
      </x:c>
      <x:c r="C13" s="100" t="str">
        <x:f>IF('Master'!D129="","",'Master'!D129)</x:f>
      </x:c>
      <x:c r="D13" s="100" t="str">
        <x:f>IF('Master'!E129="","",'Master'!E129)</x:f>
      </x:c>
      <x:c r="E13" s="100" t="str">
        <x:f>IF('Master'!F129="","",'Master'!F129)</x:f>
      </x:c>
      <x:c r="F13" s="100" t="str">
        <x:f>IF('Master'!G129="","",'Master'!G129)</x:f>
      </x:c>
      <x:c r="G13" s="100" t="str">
        <x:f>IF('Master'!H129="","",'Master'!H129)</x:f>
      </x:c>
      <x:c r="H13" s="100" t="str">
        <x:f>IF('Master'!I129="","",'Master'!I129)</x:f>
      </x:c>
      <x:c r="I13" s="100" t="str">
        <x:f>IF('Master'!J129="","",'Master'!J129)</x:f>
      </x:c>
      <x:c r="J13" s="100" t="str">
        <x:f>IF('Master'!K129="","",'Master'!K129)</x:f>
      </x:c>
      <x:c r="K13" s="100" t="str">
        <x:f>IF('Master'!L129="","",'Master'!L129)</x:f>
        <x:v>No dedicated embedded-app implementation documented</x:v>
      </x:c>
      <x:c r="L13" s="100" t="str">
        <x:f>IF('Master'!M129="","",'Master'!M129)</x:f>
      </x:c>
      <x:c r="M13" s="100" t="str">
        <x:f>IF('Master'!N129="","",'Master'!N129)</x:f>
      </x:c>
      <x:c r="N13" s="100" t="str">
        <x:f>IF('Master'!O129="","",'Master'!O129)</x:f>
        <x:v>Client-dependent</x:v>
      </x:c>
      <x:c r="O13" s="100" t="str">
        <x:f>IF('Master'!P129="","",'Master'!P129)</x:f>
        <x:v>Plugin-dependent</x:v>
      </x:c>
      <x:c r="P13" s="100" t="str">
        <x:f>IF('Master'!Q129="","",'Master'!Q129)</x:f>
      </x:c>
      <x:c r="Q13" s="100" t="str">
        <x:f>IF('Master'!R129="","",'Master'!R129)</x:f>
      </x:c>
      <x:c r="R13" s="100" t="str">
        <x:f>IF('Master'!S129="","",'Master'!S129)</x:f>
      </x:c>
      <x:c r="S13" s="100" t="str">
        <x:f>IF('Master'!T129="","",'Master'!T129)</x:f>
      </x:c>
      <x:c r="T13" s="100" t="str">
        <x:f>IF('Master'!U129="","",'Master'!U129)</x:f>
      </x:c>
      <x:c r="U13" s="100" t="str">
        <x:f>IF('Master'!V129="","",'Master'!V129)</x:f>
        <x:v>Yes — multi-panel workspace</x:v>
      </x:c>
      <x:c r="V13" s="100" t="str">
        <x:f>IF('Master'!W129="","",'Master'!W129)</x:f>
        <x:v>App-dependent</x:v>
      </x:c>
      <x:c r="W13" s="100" t="str">
        <x:f>IF('Master'!X129="","",'Master'!X129)</x:f>
      </x:c>
      <x:c r="X13" s="100" t="str">
        <x:f>IF('Master'!Y129="","",'Master'!Y129)</x:f>
      </x:c>
      <x:c r="Y13" s="100" t="str">
        <x:f>IF('Master'!Z129="","",'Master'!Z129)</x:f>
      </x:c>
      <x:c r="Z13" s="100" t="str">
        <x:f>IF('Master'!AA129="","",'Master'!AA129)</x:f>
      </x:c>
      <x:c r="AA13" s="104" t="str">
        <x:f>IF('Master'!AB129="","",'Master'!AB129)</x:f>
      </x:c>
      <x:c r="AB13" s="100" t="str">
        <x:f>IF('Master'!AC129="","",'Master'!AC129)</x:f>
      </x:c>
      <x:c r="AC13" s="100" t="str">
        <x:f>IF('Master'!AD129="","",'Master'!AD129)</x:f>
      </x:c>
      <x:c r="AD13" s="100" t="str">
        <x:f>IF('Master'!AE129="","",'Master'!AE129)</x:f>
      </x:c>
      <x:c r="AE13" s="100" t="str">
        <x:f>IF('Master'!AF129="","",'Master'!AF129)</x:f>
      </x:c>
      <x:c r="AF13" s="75" t="str">
        <x:f>IF('Master'!AG129="","",'Master'!AG129)</x:f>
      </x:c>
    </x:row>
    <x:row r="14" ht="36" customHeight="1">
      <x:c r="A14" s="135" t="str">
        <x:v>Save Named App Layouts / Workspaces</x:v>
      </x:c>
      <x:c r="B14" s="100" t="str">
        <x:f>IF('Master'!C130="","",'Master'!C130)</x:f>
        <x:v>No general feature</x:v>
      </x:c>
      <x:c r="C14" s="100" t="str">
        <x:f>IF('Master'!D130="","",'Master'!D130)</x:f>
      </x:c>
      <x:c r="D14" s="100" t="str">
        <x:f>IF('Master'!E130="","",'Master'!E130)</x:f>
      </x:c>
      <x:c r="E14" s="100" t="str">
        <x:f>IF('Master'!F130="","",'Master'!F130)</x:f>
      </x:c>
      <x:c r="F14" s="100" t="str">
        <x:f>IF('Master'!G130="","",'Master'!G130)</x:f>
      </x:c>
      <x:c r="G14" s="100" t="str">
        <x:f>IF('Master'!H130="","",'Master'!H130)</x:f>
      </x:c>
      <x:c r="H14" s="100" t="str">
        <x:f>IF('Master'!I130="","",'Master'!I130)</x:f>
      </x:c>
      <x:c r="I14" s="100" t="str">
        <x:f>IF('Master'!J130="","",'Master'!J130)</x:f>
      </x:c>
      <x:c r="J14" s="100" t="str">
        <x:f>IF('Master'!K130="","",'Master'!K130)</x:f>
      </x:c>
      <x:c r="K14" s="100" t="str">
        <x:f>IF('Master'!L130="","",'Master'!L130)</x:f>
        <x:v>No dedicated embedded-app implementation documented</x:v>
      </x:c>
      <x:c r="L14" s="100" t="str">
        <x:f>IF('Master'!M130="","",'Master'!M130)</x:f>
      </x:c>
      <x:c r="M14" s="100" t="str">
        <x:f>IF('Master'!N130="","",'Master'!N130)</x:f>
      </x:c>
      <x:c r="N14" s="100" t="str">
        <x:f>IF('Master'!O130="","",'Master'!O130)</x:f>
        <x:v>Client-dependent</x:v>
      </x:c>
      <x:c r="O14" s="100" t="str">
        <x:f>IF('Master'!P130="","",'Master'!P130)</x:f>
        <x:v>No general user layout feature</x:v>
      </x:c>
      <x:c r="P14" s="100" t="str">
        <x:f>IF('Master'!Q130="","",'Master'!Q130)</x:f>
      </x:c>
      <x:c r="Q14" s="100" t="str">
        <x:f>IF('Master'!R130="","",'Master'!R130)</x:f>
      </x:c>
      <x:c r="R14" s="100" t="str">
        <x:f>IF('Master'!S130="","",'Master'!S130)</x:f>
      </x:c>
      <x:c r="S14" s="100" t="str">
        <x:f>IF('Master'!T130="","",'Master'!T130)</x:f>
      </x:c>
      <x:c r="T14" s="100" t="str">
        <x:f>IF('Master'!U130="","",'Master'!U130)</x:f>
      </x:c>
      <x:c r="U14" s="100" t="str">
        <x:f>IF('Master'!V130="","",'Master'!V130)</x:f>
        <x:v>Yes</x:v>
      </x:c>
      <x:c r="V14" s="100" t="str">
        <x:f>IF('Master'!W130="","",'Master'!W130)</x:f>
        <x:v>No general user layout feature</x:v>
      </x:c>
      <x:c r="W14" s="100" t="str">
        <x:f>IF('Master'!X130="","",'Master'!X130)</x:f>
      </x:c>
      <x:c r="X14" s="100" t="str">
        <x:f>IF('Master'!Y130="","",'Master'!Y130)</x:f>
      </x:c>
      <x:c r="Y14" s="100" t="str">
        <x:f>IF('Master'!Z130="","",'Master'!Z130)</x:f>
      </x:c>
      <x:c r="Z14" s="100" t="str">
        <x:f>IF('Master'!AA130="","",'Master'!AA130)</x:f>
      </x:c>
      <x:c r="AA14" s="104" t="str">
        <x:f>IF('Master'!AB130="","",'Master'!AB130)</x:f>
      </x:c>
      <x:c r="AB14" s="100" t="str">
        <x:f>IF('Master'!AC130="","",'Master'!AC130)</x:f>
      </x:c>
      <x:c r="AC14" s="100" t="str">
        <x:f>IF('Master'!AD130="","",'Master'!AD130)</x:f>
      </x:c>
      <x:c r="AD14" s="100" t="str">
        <x:f>IF('Master'!AE130="","",'Master'!AE130)</x:f>
      </x:c>
      <x:c r="AE14" s="100" t="str">
        <x:f>IF('Master'!AF130="","",'Master'!AF130)</x:f>
      </x:c>
      <x:c r="AF14" s="75" t="str">
        <x:f>IF('Master'!AG130="","",'Master'!AG130)</x:f>
      </x:c>
    </x:row>
    <x:row r="15" ht="36" customHeight="1">
      <x:c r="A15" s="135" t="str">
        <x:v>Pop App / Chat into Separate Window</x:v>
      </x:c>
      <x:c r="B15" s="100" t="str">
        <x:f>IF('Master'!C131="","",'Master'!C131)</x:f>
        <x:v>Activity/PiP behavior varies</x:v>
      </x:c>
      <x:c r="C15" s="100" t="str">
        <x:f>IF('Master'!D131="","",'Master'!D131)</x:f>
      </x:c>
      <x:c r="D15" s="100" t="str">
        <x:f>IF('Master'!E131="","",'Master'!E131)</x:f>
      </x:c>
      <x:c r="E15" s="100" t="str">
        <x:f>IF('Master'!F131="","",'Master'!F131)</x:f>
      </x:c>
      <x:c r="F15" s="100" t="str">
        <x:f>IF('Master'!G131="","",'Master'!G131)</x:f>
      </x:c>
      <x:c r="G15" s="100" t="str">
        <x:f>IF('Master'!H131="","",'Master'!H131)</x:f>
      </x:c>
      <x:c r="H15" s="100" t="str">
        <x:f>IF('Master'!I131="","",'Master'!I131)</x:f>
      </x:c>
      <x:c r="I15" s="100" t="str">
        <x:f>IF('Master'!J131="","",'Master'!J131)</x:f>
      </x:c>
      <x:c r="J15" s="100" t="str">
        <x:f>IF('Master'!K131="","",'Master'!K131)</x:f>
      </x:c>
      <x:c r="K15" s="100" t="str">
        <x:f>IF('Master'!L131="","",'Master'!L131)</x:f>
        <x:v>No dedicated embedded-app implementation documented</x:v>
      </x:c>
      <x:c r="L15" s="100" t="str">
        <x:f>IF('Master'!M131="","",'Master'!M131)</x:f>
      </x:c>
      <x:c r="M15" s="100" t="str">
        <x:f>IF('Master'!N131="","",'Master'!N131)</x:f>
      </x:c>
      <x:c r="N15" s="100" t="str">
        <x:f>IF('Master'!O131="","",'Master'!O131)</x:f>
        <x:v>Client-dependent</x:v>
      </x:c>
      <x:c r="O15" s="100" t="str">
        <x:f>IF('Master'!P131="","",'Master'!P131)</x:f>
        <x:v>Client/plugin dependent</x:v>
      </x:c>
      <x:c r="P15" s="100" t="str">
        <x:f>IF('Master'!Q131="","",'Master'!Q131)</x:f>
      </x:c>
      <x:c r="Q15" s="100" t="str">
        <x:f>IF('Master'!R131="","",'Master'!R131)</x:f>
      </x:c>
      <x:c r="R15" s="100" t="str">
        <x:f>IF('Master'!S131="","",'Master'!S131)</x:f>
      </x:c>
      <x:c r="S15" s="100" t="str">
        <x:f>IF('Master'!T131="","",'Master'!T131)</x:f>
      </x:c>
      <x:c r="T15" s="100" t="str">
        <x:f>IF('Master'!U131="","",'Master'!U131)</x:f>
      </x:c>
      <x:c r="U15" s="100" t="str">
        <x:f>IF('Master'!V131="","",'Master'!V131)</x:f>
        <x:v>Yes — tear out chat or Portal to own window</x:v>
      </x:c>
      <x:c r="V15" s="100" t="str">
        <x:f>IF('Master'!W131="","",'Master'!W131)</x:f>
        <x:v>Client/app dependent</x:v>
      </x:c>
      <x:c r="W15" s="100" t="str">
        <x:f>IF('Master'!X131="","",'Master'!X131)</x:f>
      </x:c>
      <x:c r="X15" s="100" t="str">
        <x:f>IF('Master'!Y131="","",'Master'!Y131)</x:f>
      </x:c>
      <x:c r="Y15" s="100" t="str">
        <x:f>IF('Master'!Z131="","",'Master'!Z131)</x:f>
      </x:c>
      <x:c r="Z15" s="100" t="str">
        <x:f>IF('Master'!AA131="","",'Master'!AA131)</x:f>
      </x:c>
      <x:c r="AA15" s="104" t="str">
        <x:f>IF('Master'!AB131="","",'Master'!AB131)</x:f>
      </x:c>
      <x:c r="AB15" s="100" t="str">
        <x:f>IF('Master'!AC131="","",'Master'!AC131)</x:f>
      </x:c>
      <x:c r="AC15" s="100" t="str">
        <x:f>IF('Master'!AD131="","",'Master'!AD131)</x:f>
      </x:c>
      <x:c r="AD15" s="100" t="str">
        <x:f>IF('Master'!AE131="","",'Master'!AE131)</x:f>
      </x:c>
      <x:c r="AE15" s="100" t="str">
        <x:f>IF('Master'!AF131="","",'Master'!AF131)</x:f>
      </x:c>
      <x:c r="AF15" s="75" t="str">
        <x:f>IF('Master'!AG131="","",'Master'!AG131)</x:f>
      </x:c>
    </x:row>
    <x:row r="16" ht="36" customHeight="1">
      <x:c r="A16" s="135" t="str">
        <x:v>Per-User Personal Apps / Widgets</x:v>
      </x:c>
      <x:c r="B16" s="100" t="str">
        <x:f>IF('Master'!C132="","",'Master'!C132)</x:f>
        <x:v>Yes — user-installed apps / Activities</x:v>
      </x:c>
      <x:c r="C16" s="100" t="str">
        <x:f>IF('Master'!D132="","",'Master'!D132)</x:f>
      </x:c>
      <x:c r="D16" s="100" t="str">
        <x:f>IF('Master'!E132="","",'Master'!E132)</x:f>
      </x:c>
      <x:c r="E16" s="100" t="str">
        <x:f>IF('Master'!F132="","",'Master'!F132)</x:f>
      </x:c>
      <x:c r="F16" s="100" t="str">
        <x:f>IF('Master'!G132="","",'Master'!G132)</x:f>
      </x:c>
      <x:c r="G16" s="100" t="str">
        <x:f>IF('Master'!H132="","",'Master'!H132)</x:f>
      </x:c>
      <x:c r="H16" s="100" t="str">
        <x:f>IF('Master'!I132="","",'Master'!I132)</x:f>
      </x:c>
      <x:c r="I16" s="100" t="str">
        <x:f>IF('Master'!J132="","",'Master'!J132)</x:f>
      </x:c>
      <x:c r="J16" s="100" t="str">
        <x:f>IF('Master'!K132="","",'Master'!K132)</x:f>
      </x:c>
      <x:c r="K16" s="100" t="str">
        <x:f>IF('Master'!L132="","",'Master'!L132)</x:f>
        <x:v>No dedicated embedded-app implementation documented</x:v>
      </x:c>
      <x:c r="L16" s="100" t="str">
        <x:f>IF('Master'!M132="","",'Master'!M132)</x:f>
      </x:c>
      <x:c r="M16" s="100" t="str">
        <x:f>IF('Master'!N132="","",'Master'!N132)</x:f>
      </x:c>
      <x:c r="N16" s="100" t="str">
        <x:f>IF('Master'!O132="","",'Master'!O132)</x:f>
        <x:v>Client-dependent</x:v>
      </x:c>
      <x:c r="O16" s="100" t="str">
        <x:f>IF('Master'!P132="","",'Master'!P132)</x:f>
        <x:v>Plugin/admin controlled</x:v>
      </x:c>
      <x:c r="P16" s="100" t="str">
        <x:f>IF('Master'!Q132="","",'Master'!Q132)</x:f>
      </x:c>
      <x:c r="Q16" s="100" t="str">
        <x:f>IF('Master'!R132="","",'Master'!R132)</x:f>
      </x:c>
      <x:c r="R16" s="100" t="str">
        <x:f>IF('Master'!S132="","",'Master'!S132)</x:f>
      </x:c>
      <x:c r="S16" s="100" t="str">
        <x:f>IF('Master'!T132="","",'Master'!T132)</x:f>
      </x:c>
      <x:c r="T16" s="100" t="str">
        <x:f>IF('Master'!U132="","",'Master'!U132)</x:f>
      </x:c>
      <x:c r="U16" s="100" t="str">
        <x:f>IF('Master'!V132="","",'Master'!V132)</x:f>
        <x:v>Yes — personal Portals such as to-dos/watchlists</x:v>
      </x:c>
      <x:c r="V16" s="100" t="str">
        <x:f>IF('Master'!W132="","",'Master'!W132)</x:f>
        <x:v>Workspace/admin controlled</x:v>
      </x:c>
      <x:c r="W16" s="100" t="str">
        <x:f>IF('Master'!X132="","",'Master'!X132)</x:f>
      </x:c>
      <x:c r="X16" s="100" t="str">
        <x:f>IF('Master'!Y132="","",'Master'!Y132)</x:f>
      </x:c>
      <x:c r="Y16" s="100" t="str">
        <x:f>IF('Master'!Z132="","",'Master'!Z132)</x:f>
      </x:c>
      <x:c r="Z16" s="100" t="str">
        <x:f>IF('Master'!AA132="","",'Master'!AA132)</x:f>
      </x:c>
      <x:c r="AA16" s="104" t="str">
        <x:f>IF('Master'!AB132="","",'Master'!AB132)</x:f>
      </x:c>
      <x:c r="AB16" s="100" t="str">
        <x:f>IF('Master'!AC132="","",'Master'!AC132)</x:f>
      </x:c>
      <x:c r="AC16" s="100" t="str">
        <x:f>IF('Master'!AD132="","",'Master'!AD132)</x:f>
      </x:c>
      <x:c r="AD16" s="100" t="str">
        <x:f>IF('Master'!AE132="","",'Master'!AE132)</x:f>
      </x:c>
      <x:c r="AE16" s="100" t="str">
        <x:f>IF('Master'!AF132="","",'Master'!AF132)</x:f>
      </x:c>
      <x:c r="AF16" s="75" t="str">
        <x:f>IF('Master'!AG132="","",'Master'!AG132)</x:f>
        <x:v>Personal bots/integrations possible</x:v>
      </x:c>
    </x:row>
    <x:row r="17" ht="36" customHeight="1">
      <x:c r="A17" s="135" t="str">
        <x:v>Per-Community / Shared Apps</x:v>
      </x:c>
      <x:c r="B17" s="100" t="str">
        <x:f>IF('Master'!C133="","",'Master'!C133)</x:f>
        <x:v>Yes — guild-installed apps/Activities</x:v>
      </x:c>
      <x:c r="C17" s="100" t="str">
        <x:f>IF('Master'!D133="","",'Master'!D133)</x:f>
      </x:c>
      <x:c r="D17" s="100" t="str">
        <x:f>IF('Master'!E133="","",'Master'!E133)</x:f>
      </x:c>
      <x:c r="E17" s="100" t="str">
        <x:f>IF('Master'!F133="","",'Master'!F133)</x:f>
      </x:c>
      <x:c r="F17" s="100" t="str">
        <x:f>IF('Master'!G133="","",'Master'!G133)</x:f>
      </x:c>
      <x:c r="G17" s="100" t="str">
        <x:f>IF('Master'!H133="","",'Master'!H133)</x:f>
      </x:c>
      <x:c r="H17" s="100" t="str">
        <x:f>IF('Master'!I133="","",'Master'!I133)</x:f>
      </x:c>
      <x:c r="I17" s="100" t="str">
        <x:f>IF('Master'!J133="","",'Master'!J133)</x:f>
      </x:c>
      <x:c r="J17" s="100" t="str">
        <x:f>IF('Master'!K133="","",'Master'!K133)</x:f>
      </x:c>
      <x:c r="K17" s="100" t="str">
        <x:f>IF('Master'!L133="","",'Master'!L133)</x:f>
        <x:v>No dedicated embedded-app implementation documented</x:v>
      </x:c>
      <x:c r="L17" s="100" t="str">
        <x:f>IF('Master'!M133="","",'Master'!M133)</x:f>
      </x:c>
      <x:c r="M17" s="100" t="str">
        <x:f>IF('Master'!N133="","",'Master'!N133)</x:f>
      </x:c>
      <x:c r="N17" s="100" t="str">
        <x:f>IF('Master'!O133="","",'Master'!O133)</x:f>
        <x:v>Room widgets</x:v>
      </x:c>
      <x:c r="O17" s="100" t="str">
        <x:f>IF('Master'!P133="","",'Master'!P133)</x:f>
        <x:v>Workspace plugins</x:v>
      </x:c>
      <x:c r="P17" s="100" t="str">
        <x:f>IF('Master'!Q133="","",'Master'!Q133)</x:f>
      </x:c>
      <x:c r="Q17" s="100" t="str">
        <x:f>IF('Master'!R133="","",'Master'!R133)</x:f>
      </x:c>
      <x:c r="R17" s="100" t="str">
        <x:f>IF('Master'!S133="","",'Master'!S133)</x:f>
      </x:c>
      <x:c r="S17" s="100" t="str">
        <x:f>IF('Master'!T133="","",'Master'!T133)</x:f>
      </x:c>
      <x:c r="T17" s="100" t="str">
        <x:f>IF('Master'!U133="","",'Master'!U133)</x:f>
      </x:c>
      <x:c r="U17" s="100" t="str">
        <x:f>IF('Master'!V133="","",'Master'!V133)</x:f>
        <x:v>Yes — Shard-aware tools/events + shared sessions</x:v>
      </x:c>
      <x:c r="V17" s="100" t="str">
        <x:f>IF('Master'!W133="","",'Master'!W133)</x:f>
        <x:v>Workspace apps</x:v>
      </x:c>
      <x:c r="W17" s="100" t="str">
        <x:f>IF('Master'!X133="","",'Master'!X133)</x:f>
      </x:c>
      <x:c r="X17" s="100" t="str">
        <x:f>IF('Master'!Y133="","",'Master'!Y133)</x:f>
      </x:c>
      <x:c r="Y17" s="100" t="str">
        <x:f>IF('Master'!Z133="","",'Master'!Z133)</x:f>
      </x:c>
      <x:c r="Z17" s="100" t="str">
        <x:f>IF('Master'!AA133="","",'Master'!AA133)</x:f>
      </x:c>
      <x:c r="AA17" s="104" t="str">
        <x:f>IF('Master'!AB133="","",'Master'!AB133)</x:f>
      </x:c>
      <x:c r="AB17" s="100" t="str">
        <x:f>IF('Master'!AC133="","",'Master'!AC133)</x:f>
      </x:c>
      <x:c r="AC17" s="100" t="str">
        <x:f>IF('Master'!AD133="","",'Master'!AD133)</x:f>
      </x:c>
      <x:c r="AD17" s="100" t="str">
        <x:f>IF('Master'!AE133="","",'Master'!AE133)</x:f>
      </x:c>
      <x:c r="AE17" s="100" t="str">
        <x:f>IF('Master'!AF133="","",'Master'!AF133)</x:f>
      </x:c>
      <x:c r="AF17" s="75" t="str">
        <x:f>IF('Master'!AG133="","",'Master'!AG133)</x:f>
        <x:v>Organization integrations</x:v>
      </x:c>
    </x:row>
    <x:row r="18" ht="22" customHeight="1">
      <x:c r="A18" s="138" t="str">
        <x:v>Media &amp; Entertainment Apps</x:v>
      </x:c>
      <x:c r="B18" s="138" t="str">
        <x:f>IF(""="","","")</x:f>
      </x:c>
      <x:c r="C18" s="138" t="str">
        <x:f>IF(""="","","")</x:f>
      </x:c>
      <x:c r="D18" s="138" t="str">
        <x:f>IF(""="","","")</x:f>
      </x:c>
      <x:c r="E18" s="138" t="str">
        <x:f>IF(""="","","")</x:f>
      </x:c>
      <x:c r="F18" s="138" t="str">
        <x:f>IF(""="","","")</x:f>
      </x:c>
      <x:c r="G18" s="138" t="str">
        <x:f>IF(""="","","")</x:f>
      </x:c>
      <x:c r="H18" s="138" t="str">
        <x:f>IF(""="","","")</x:f>
      </x:c>
      <x:c r="I18" s="138" t="str">
        <x:f>IF(""="","","")</x:f>
      </x:c>
      <x:c r="J18" s="138" t="str">
        <x:f>IF(""="","","")</x:f>
      </x:c>
      <x:c r="K18" s="138" t="str">
        <x:f>IF(""="","","")</x:f>
      </x:c>
      <x:c r="L18" s="138" t="str">
        <x:f>IF(""="","","")</x:f>
      </x:c>
      <x:c r="M18" s="138" t="str">
        <x:f>IF(""="","","")</x:f>
      </x:c>
      <x:c r="N18" s="138" t="str">
        <x:f>IF(""="","","")</x:f>
      </x:c>
      <x:c r="O18" s="138" t="str">
        <x:f>IF(""="","","")</x:f>
      </x:c>
      <x:c r="P18" s="138" t="str">
        <x:f>IF(""="","","")</x:f>
      </x:c>
      <x:c r="Q18" s="138" t="str">
        <x:f>IF(""="","","")</x:f>
      </x:c>
      <x:c r="R18" s="138" t="str">
        <x:f>IF(""="","","")</x:f>
      </x:c>
      <x:c r="S18" s="138" t="str">
        <x:f>IF(""="","","")</x:f>
      </x:c>
      <x:c r="T18" s="138" t="str">
        <x:f>IF(""="","","")</x:f>
      </x:c>
      <x:c r="U18" s="138" t="str">
        <x:f>IF(""="","","")</x:f>
      </x:c>
      <x:c r="V18" s="138" t="str">
        <x:f>IF(""="","","")</x:f>
      </x:c>
      <x:c r="W18" s="138" t="str">
        <x:f>IF(""="","","")</x:f>
      </x:c>
      <x:c r="X18" s="138" t="str">
        <x:f>IF(""="","","")</x:f>
      </x:c>
      <x:c r="Y18" s="138" t="str">
        <x:f>IF(""="","","")</x:f>
      </x:c>
      <x:c r="Z18" s="138" t="str">
        <x:f>IF(""="","","")</x:f>
      </x:c>
      <x:c r="AA18" s="138" t="str">
        <x:f>IF(""="","","")</x:f>
      </x:c>
      <x:c r="AB18" s="138" t="str">
        <x:f>IF(""="","","")</x:f>
      </x:c>
      <x:c r="AC18" s="138" t="str">
        <x:f>IF(""="","","")</x:f>
      </x:c>
      <x:c r="AD18" s="138" t="str">
        <x:f>IF(""="","","")</x:f>
      </x:c>
      <x:c r="AE18" s="138" t="str">
        <x:f>IF(""="","","")</x:f>
      </x:c>
      <x:c r="AF18" s="139" t="str">
        <x:f>IF(""="","","")</x:f>
      </x:c>
    </x:row>
    <x:row r="19" ht="36" customHeight="1">
      <x:c r="A19" s="135" t="str">
        <x:v>YouTube Viewer</x:v>
      </x:c>
      <x:c r="B19" s="100" t="str">
        <x:f>IF('Master'!C134="","",'Master'!C134)</x:f>
        <x:v>Via Activities/apps</x:v>
      </x:c>
      <x:c r="C19" s="100" t="str">
        <x:f>IF('Master'!D134="","",'Master'!D134)</x:f>
      </x:c>
      <x:c r="D19" s="100" t="str">
        <x:f>IF('Master'!E134="","",'Master'!E134)</x:f>
      </x:c>
      <x:c r="E19" s="100" t="str">
        <x:f>IF('Master'!F134="","",'Master'!F134)</x:f>
      </x:c>
      <x:c r="F19" s="100" t="str">
        <x:f>IF('Master'!G134="","",'Master'!G134)</x:f>
      </x:c>
      <x:c r="G19" s="100" t="str">
        <x:f>IF('Master'!H134="","",'Master'!H134)</x:f>
      </x:c>
      <x:c r="H19" s="100" t="str">
        <x:f>IF('Master'!I134="","",'Master'!I134)</x:f>
      </x:c>
      <x:c r="I19" s="100" t="str">
        <x:f>IF('Master'!J134="","",'Master'!J134)</x:f>
      </x:c>
      <x:c r="J19" s="100" t="str">
        <x:f>IF('Master'!K134="","",'Master'!K134)</x:f>
      </x:c>
      <x:c r="K19" s="100" t="str">
        <x:f>IF('Master'!L134="","",'Master'!L134)</x:f>
        <x:v>No dedicated embedded-app implementation documented</x:v>
      </x:c>
      <x:c r="L19" s="100" t="str">
        <x:f>IF('Master'!M134="","",'Master'!M134)</x:f>
      </x:c>
      <x:c r="M19" s="100" t="str">
        <x:f>IF('Master'!N134="","",'Master'!N134)</x:f>
      </x:c>
      <x:c r="N19" s="100" t="str">
        <x:f>IF('Master'!O134="","",'Master'!O134)</x:f>
        <x:v>Widget/integration dependent</x:v>
      </x:c>
      <x:c r="O19" s="100" t="str">
        <x:f>IF('Master'!P134="","",'Master'!P134)</x:f>
      </x:c>
      <x:c r="P19" s="100" t="str">
        <x:f>IF('Master'!Q134="","",'Master'!Q134)</x:f>
      </x:c>
      <x:c r="Q19" s="100" t="str">
        <x:f>IF('Master'!R134="","",'Master'!R134)</x:f>
      </x:c>
      <x:c r="R19" s="100" t="str">
        <x:f>IF('Master'!S134="","",'Master'!S134)</x:f>
      </x:c>
      <x:c r="S19" s="100" t="str">
        <x:f>IF('Master'!T134="","",'Master'!T134)</x:f>
      </x:c>
      <x:c r="T19" s="100" t="str">
        <x:f>IF('Master'!U134="","",'Master'!U134)</x:f>
      </x:c>
      <x:c r="U19" s="100" t="str">
        <x:f>IF('Master'!V134="","",'Master'!V134)</x:f>
        <x:v>Yes — YouTube Portal</x:v>
      </x:c>
      <x:c r="V19" s="100" t="str">
        <x:f>IF('Master'!W134="","",'Master'!W134)</x:f>
      </x:c>
      <x:c r="W19" s="100" t="str">
        <x:f>IF('Master'!X134="","",'Master'!X134)</x:f>
      </x:c>
      <x:c r="X19" s="100" t="str">
        <x:f>IF('Master'!Y134="","",'Master'!Y134)</x:f>
      </x:c>
      <x:c r="Y19" s="100" t="str">
        <x:f>IF('Master'!Z134="","",'Master'!Z134)</x:f>
      </x:c>
      <x:c r="Z19" s="100" t="str">
        <x:f>IF('Master'!AA134="","",'Master'!AA134)</x:f>
      </x:c>
      <x:c r="AA19" s="104" t="str">
        <x:f>IF('Master'!AB134="","",'Master'!AB134)</x:f>
      </x:c>
      <x:c r="AB19" s="100" t="str">
        <x:f>IF('Master'!AC134="","",'Master'!AC134)</x:f>
      </x:c>
      <x:c r="AC19" s="100" t="str">
        <x:f>IF('Master'!AD134="","",'Master'!AD134)</x:f>
      </x:c>
      <x:c r="AD19" s="100" t="str">
        <x:f>IF('Master'!AE134="","",'Master'!AE134)</x:f>
      </x:c>
      <x:c r="AE19" s="100" t="str">
        <x:f>IF('Master'!AF134="","",'Master'!AF134)</x:f>
      </x:c>
      <x:c r="AF19" s="75" t="str">
        <x:f>IF('Master'!AG134="","",'Master'!AG134)</x:f>
      </x:c>
    </x:row>
    <x:row r="20" ht="36" customHeight="1">
      <x:c r="A20" s="135" t="str">
        <x:v>Twitch Viewer</x:v>
      </x:c>
      <x:c r="B20" s="100" t="str">
        <x:f>IF('Master'!C135="","",'Master'!C135)</x:f>
        <x:v>Via apps/links</x:v>
      </x:c>
      <x:c r="C20" s="100" t="str">
        <x:f>IF('Master'!D135="","",'Master'!D135)</x:f>
      </x:c>
      <x:c r="D20" s="100" t="str">
        <x:f>IF('Master'!E135="","",'Master'!E135)</x:f>
      </x:c>
      <x:c r="E20" s="100" t="str">
        <x:f>IF('Master'!F135="","",'Master'!F135)</x:f>
      </x:c>
      <x:c r="F20" s="100" t="str">
        <x:f>IF('Master'!G135="","",'Master'!G135)</x:f>
      </x:c>
      <x:c r="G20" s="100" t="str">
        <x:f>IF('Master'!H135="","",'Master'!H135)</x:f>
      </x:c>
      <x:c r="H20" s="100" t="str">
        <x:f>IF('Master'!I135="","",'Master'!I135)</x:f>
      </x:c>
      <x:c r="I20" s="100" t="str">
        <x:f>IF('Master'!J135="","",'Master'!J135)</x:f>
      </x:c>
      <x:c r="J20" s="100" t="str">
        <x:f>IF('Master'!K135="","",'Master'!K135)</x:f>
      </x:c>
      <x:c r="K20" s="100" t="str">
        <x:f>IF('Master'!L135="","",'Master'!L135)</x:f>
        <x:v>No dedicated embedded-app implementation documented</x:v>
      </x:c>
      <x:c r="L20" s="100" t="str">
        <x:f>IF('Master'!M135="","",'Master'!M135)</x:f>
      </x:c>
      <x:c r="M20" s="100" t="str">
        <x:f>IF('Master'!N135="","",'Master'!N135)</x:f>
      </x:c>
      <x:c r="N20" s="100" t="str">
        <x:f>IF('Master'!O135="","",'Master'!O135)</x:f>
        <x:v>Widget/integration dependent</x:v>
      </x:c>
      <x:c r="O20" s="100" t="str">
        <x:f>IF('Master'!P135="","",'Master'!P135)</x:f>
      </x:c>
      <x:c r="P20" s="100" t="str">
        <x:f>IF('Master'!Q135="","",'Master'!Q135)</x:f>
      </x:c>
      <x:c r="Q20" s="100" t="str">
        <x:f>IF('Master'!R135="","",'Master'!R135)</x:f>
      </x:c>
      <x:c r="R20" s="100" t="str">
        <x:f>IF('Master'!S135="","",'Master'!S135)</x:f>
      </x:c>
      <x:c r="S20" s="100" t="str">
        <x:f>IF('Master'!T135="","",'Master'!T135)</x:f>
      </x:c>
      <x:c r="T20" s="100" t="str">
        <x:f>IF('Master'!U135="","",'Master'!U135)</x:f>
      </x:c>
      <x:c r="U20" s="100" t="str">
        <x:f>IF('Master'!V135="","",'Master'!V135)</x:f>
        <x:v>Yes — Twitch Portal</x:v>
      </x:c>
      <x:c r="V20" s="100" t="str">
        <x:f>IF('Master'!W135="","",'Master'!W135)</x:f>
      </x:c>
      <x:c r="W20" s="100" t="str">
        <x:f>IF('Master'!X135="","",'Master'!X135)</x:f>
      </x:c>
      <x:c r="X20" s="100" t="str">
        <x:f>IF('Master'!Y135="","",'Master'!Y135)</x:f>
      </x:c>
      <x:c r="Y20" s="100" t="str">
        <x:f>IF('Master'!Z135="","",'Master'!Z135)</x:f>
      </x:c>
      <x:c r="Z20" s="100" t="str">
        <x:f>IF('Master'!AA135="","",'Master'!AA135)</x:f>
      </x:c>
      <x:c r="AA20" s="104" t="str">
        <x:f>IF('Master'!AB135="","",'Master'!AB135)</x:f>
      </x:c>
      <x:c r="AB20" s="100" t="str">
        <x:f>IF('Master'!AC135="","",'Master'!AC135)</x:f>
      </x:c>
      <x:c r="AC20" s="100" t="str">
        <x:f>IF('Master'!AD135="","",'Master'!AD135)</x:f>
      </x:c>
      <x:c r="AD20" s="100" t="str">
        <x:f>IF('Master'!AE135="","",'Master'!AE135)</x:f>
      </x:c>
      <x:c r="AE20" s="100" t="str">
        <x:f>IF('Master'!AF135="","",'Master'!AF135)</x:f>
      </x:c>
      <x:c r="AF20" s="75" t="str">
        <x:f>IF('Master'!AG135="","",'Master'!AG135)</x:f>
      </x:c>
    </x:row>
    <x:row r="21" ht="36" customHeight="1">
      <x:c r="A21" s="135" t="str">
        <x:v>Synchronized Watch Party</x:v>
      </x:c>
      <x:c r="B21" s="100" t="str">
        <x:f>IF('Master'!C136="","",'Master'!C136)</x:f>
        <x:v>Yes — Activities can provide co-watching</x:v>
      </x:c>
      <x:c r="C21" s="100" t="str">
        <x:f>IF('Master'!D136="","",'Master'!D136)</x:f>
      </x:c>
      <x:c r="D21" s="100" t="str">
        <x:f>IF('Master'!E136="","",'Master'!E136)</x:f>
      </x:c>
      <x:c r="E21" s="100" t="str">
        <x:f>IF('Master'!F136="","",'Master'!F136)</x:f>
      </x:c>
      <x:c r="F21" s="100" t="str">
        <x:f>IF('Master'!G136="","",'Master'!G136)</x:f>
      </x:c>
      <x:c r="G21" s="100" t="str">
        <x:f>IF('Master'!H136="","",'Master'!H136)</x:f>
      </x:c>
      <x:c r="H21" s="100" t="str">
        <x:f>IF('Master'!I136="","",'Master'!I136)</x:f>
      </x:c>
      <x:c r="I21" s="100" t="str">
        <x:f>IF('Master'!J136="","",'Master'!J136)</x:f>
      </x:c>
      <x:c r="J21" s="100" t="str">
        <x:f>IF('Master'!K136="","",'Master'!K136)</x:f>
      </x:c>
      <x:c r="K21" s="100" t="str">
        <x:f>IF('Master'!L136="","",'Master'!L136)</x:f>
        <x:v>No dedicated embedded-app implementation documented</x:v>
      </x:c>
      <x:c r="L21" s="100" t="str">
        <x:f>IF('Master'!M136="","",'Master'!M136)</x:f>
      </x:c>
      <x:c r="M21" s="100" t="str">
        <x:f>IF('Master'!N136="","",'Master'!N136)</x:f>
      </x:c>
      <x:c r="N21" s="100" t="str">
        <x:f>IF('Master'!O136="","",'Master'!O136)</x:f>
        <x:v>Widget-dependent</x:v>
      </x:c>
      <x:c r="O21" s="100" t="str">
        <x:f>IF('Master'!P136="","",'Master'!P136)</x:f>
      </x:c>
      <x:c r="P21" s="100" t="str">
        <x:f>IF('Master'!Q136="","",'Master'!Q136)</x:f>
      </x:c>
      <x:c r="Q21" s="100" t="str">
        <x:f>IF('Master'!R136="","",'Master'!R136)</x:f>
      </x:c>
      <x:c r="R21" s="100" t="str">
        <x:f>IF('Master'!S136="","",'Master'!S136)</x:f>
      </x:c>
      <x:c r="S21" s="100" t="str">
        <x:f>IF('Master'!T136="","",'Master'!T136)</x:f>
      </x:c>
      <x:c r="T21" s="100" t="str">
        <x:f>IF('Master'!U136="","",'Master'!U136)</x:f>
      </x:c>
      <x:c r="U21" s="100" t="str">
        <x:f>IF('Master'!V136="","",'Master'!V136)</x:f>
        <x:v>Yes — host-synchronized YouTube/Twitch Watch Party</x:v>
      </x:c>
      <x:c r="V21" s="100" t="str">
        <x:f>IF('Master'!W136="","",'Master'!W136)</x:f>
      </x:c>
      <x:c r="W21" s="100" t="str">
        <x:f>IF('Master'!X136="","",'Master'!X136)</x:f>
      </x:c>
      <x:c r="X21" s="100" t="str">
        <x:f>IF('Master'!Y136="","",'Master'!Y136)</x:f>
      </x:c>
      <x:c r="Y21" s="100" t="str">
        <x:f>IF('Master'!Z136="","",'Master'!Z136)</x:f>
      </x:c>
      <x:c r="Z21" s="100" t="str">
        <x:f>IF('Master'!AA136="","",'Master'!AA136)</x:f>
      </x:c>
      <x:c r="AA21" s="104" t="str">
        <x:f>IF('Master'!AB136="","",'Master'!AB136)</x:f>
      </x:c>
      <x:c r="AB21" s="100" t="str">
        <x:f>IF('Master'!AC136="","",'Master'!AC136)</x:f>
      </x:c>
      <x:c r="AC21" s="100" t="str">
        <x:f>IF('Master'!AD136="","",'Master'!AD136)</x:f>
      </x:c>
      <x:c r="AD21" s="100" t="str">
        <x:f>IF('Master'!AE136="","",'Master'!AE136)</x:f>
      </x:c>
      <x:c r="AE21" s="100" t="str">
        <x:f>IF('Master'!AF136="","",'Master'!AF136)</x:f>
      </x:c>
      <x:c r="AF21" s="75" t="str">
        <x:f>IF('Master'!AG136="","",'Master'!AG136)</x:f>
      </x:c>
    </x:row>
    <x:row r="22" ht="36" customHeight="1">
      <x:c r="A22" s="135" t="str">
        <x:v>Internet Radio</x:v>
      </x:c>
      <x:c r="B22" s="100" t="str">
        <x:f>IF('Master'!C137="","",'Master'!C137)</x:f>
        <x:v>Apps/bots</x:v>
      </x:c>
      <x:c r="C22" s="100" t="str">
        <x:f>IF('Master'!D137="","",'Master'!D137)</x:f>
      </x:c>
      <x:c r="D22" s="100" t="str">
        <x:f>IF('Master'!E137="","",'Master'!E137)</x:f>
      </x:c>
      <x:c r="E22" s="100" t="str">
        <x:f>IF('Master'!F137="","",'Master'!F137)</x:f>
      </x:c>
      <x:c r="F22" s="100" t="str">
        <x:f>IF('Master'!G137="","",'Master'!G137)</x:f>
      </x:c>
      <x:c r="G22" s="100" t="str">
        <x:f>IF('Master'!H137="","",'Master'!H137)</x:f>
      </x:c>
      <x:c r="H22" s="100" t="str">
        <x:f>IF('Master'!I137="","",'Master'!I137)</x:f>
      </x:c>
      <x:c r="I22" s="100" t="str">
        <x:f>IF('Master'!J137="","",'Master'!J137)</x:f>
      </x:c>
      <x:c r="J22" s="100" t="str">
        <x:f>IF('Master'!K137="","",'Master'!K137)</x:f>
      </x:c>
      <x:c r="K22" s="100" t="str">
        <x:f>IF('Master'!L137="","",'Master'!L137)</x:f>
        <x:v>No dedicated embedded-app implementation documented</x:v>
      </x:c>
      <x:c r="L22" s="100" t="str">
        <x:f>IF('Master'!M137="","",'Master'!M137)</x:f>
      </x:c>
      <x:c r="M22" s="100" t="str">
        <x:f>IF('Master'!N137="","",'Master'!N137)</x:f>
      </x:c>
      <x:c r="N22" s="100" t="str">
        <x:f>IF('Master'!O137="","",'Master'!O137)</x:f>
        <x:v>Widget-dependent</x:v>
      </x:c>
      <x:c r="O22" s="100" t="str">
        <x:f>IF('Master'!P137="","",'Master'!P137)</x:f>
      </x:c>
      <x:c r="P22" s="100" t="str">
        <x:f>IF('Master'!Q137="","",'Master'!Q137)</x:f>
      </x:c>
      <x:c r="Q22" s="100" t="str">
        <x:f>IF('Master'!R137="","",'Master'!R137)</x:f>
      </x:c>
      <x:c r="R22" s="100" t="str">
        <x:f>IF('Master'!S137="","",'Master'!S137)</x:f>
      </x:c>
      <x:c r="S22" s="100" t="str">
        <x:f>IF('Master'!T137="","",'Master'!T137)</x:f>
      </x:c>
      <x:c r="T22" s="100" t="str">
        <x:f>IF('Master'!U137="","",'Master'!U137)</x:f>
      </x:c>
      <x:c r="U22" s="100" t="str">
        <x:f>IF('Master'!V137="","",'Master'!V137)</x:f>
        <x:v>Yes — Radio Portal</x:v>
      </x:c>
      <x:c r="V22" s="100" t="str">
        <x:f>IF('Master'!W137="","",'Master'!W137)</x:f>
      </x:c>
      <x:c r="W22" s="100" t="str">
        <x:f>IF('Master'!X137="","",'Master'!X137)</x:f>
      </x:c>
      <x:c r="X22" s="100" t="str">
        <x:f>IF('Master'!Y137="","",'Master'!Y137)</x:f>
      </x:c>
      <x:c r="Y22" s="100" t="str">
        <x:f>IF('Master'!Z137="","",'Master'!Z137)</x:f>
      </x:c>
      <x:c r="Z22" s="100" t="str">
        <x:f>IF('Master'!AA137="","",'Master'!AA137)</x:f>
      </x:c>
      <x:c r="AA22" s="104" t="str">
        <x:f>IF('Master'!AB137="","",'Master'!AB137)</x:f>
      </x:c>
      <x:c r="AB22" s="100" t="str">
        <x:f>IF('Master'!AC137="","",'Master'!AC137)</x:f>
      </x:c>
      <x:c r="AC22" s="100" t="str">
        <x:f>IF('Master'!AD137="","",'Master'!AD137)</x:f>
      </x:c>
      <x:c r="AD22" s="100" t="str">
        <x:f>IF('Master'!AE137="","",'Master'!AE137)</x:f>
      </x:c>
      <x:c r="AE22" s="100" t="str">
        <x:f>IF('Master'!AF137="","",'Master'!AF137)</x:f>
      </x:c>
      <x:c r="AF22" s="75" t="str">
        <x:f>IF('Master'!AG137="","",'Master'!AG137)</x:f>
      </x:c>
    </x:row>
    <x:row r="23" ht="36" customHeight="1">
      <x:c r="A23" s="135" t="str">
        <x:v>Soundboard App</x:v>
      </x:c>
      <x:c r="B23" s="100" t="str">
        <x:f>IF('Master'!C138="","",'Master'!C138)</x:f>
        <x:v>Native soundboard + apps</x:v>
      </x:c>
      <x:c r="C23" s="100" t="str">
        <x:f>IF('Master'!D138="","",'Master'!D138)</x:f>
      </x:c>
      <x:c r="D23" s="100" t="str">
        <x:f>IF('Master'!E138="","",'Master'!E138)</x:f>
      </x:c>
      <x:c r="E23" s="100" t="str">
        <x:f>IF('Master'!F138="","",'Master'!F138)</x:f>
      </x:c>
      <x:c r="F23" s="100" t="str">
        <x:f>IF('Master'!G138="","",'Master'!G138)</x:f>
      </x:c>
      <x:c r="G23" s="100" t="str">
        <x:f>IF('Master'!H138="","",'Master'!H138)</x:f>
      </x:c>
      <x:c r="H23" s="100" t="str">
        <x:f>IF('Master'!I138="","",'Master'!I138)</x:f>
      </x:c>
      <x:c r="I23" s="100" t="str">
        <x:f>IF('Master'!J138="","",'Master'!J138)</x:f>
      </x:c>
      <x:c r="J23" s="100" t="str">
        <x:f>IF('Master'!K138="","",'Master'!K138)</x:f>
      </x:c>
      <x:c r="K23" s="100" t="str">
        <x:f>IF('Master'!L138="","",'Master'!L138)</x:f>
        <x:v>No dedicated embedded-app implementation documented</x:v>
      </x:c>
      <x:c r="L23" s="100" t="str">
        <x:f>IF('Master'!M138="","",'Master'!M138)</x:f>
      </x:c>
      <x:c r="M23" s="100" t="str">
        <x:f>IF('Master'!N138="","",'Master'!N138)</x:f>
      </x:c>
      <x:c r="N23" s="100" t="str">
        <x:f>IF('Master'!O138="","",'Master'!O138)</x:f>
      </x:c>
      <x:c r="O23" s="100" t="str">
        <x:f>IF('Master'!P138="","",'Master'!P138)</x:f>
      </x:c>
      <x:c r="P23" s="100" t="str">
        <x:f>IF('Master'!Q138="","",'Master'!Q138)</x:f>
      </x:c>
      <x:c r="Q23" s="100" t="str">
        <x:f>IF('Master'!R138="","",'Master'!R138)</x:f>
      </x:c>
      <x:c r="R23" s="100" t="str">
        <x:f>IF('Master'!S138="","",'Master'!S138)</x:f>
      </x:c>
      <x:c r="S23" s="100" t="str">
        <x:f>IF('Master'!T138="","",'Master'!T138)</x:f>
      </x:c>
      <x:c r="T23" s="100" t="str">
        <x:f>IF('Master'!U138="","",'Master'!U138)</x:f>
      </x:c>
      <x:c r="U23" s="100" t="str">
        <x:f>IF('Master'!V138="","",'Master'!V138)</x:f>
        <x:v>Yes — Portal + native personal/Shard soundboards</x:v>
      </x:c>
      <x:c r="V23" s="100" t="str">
        <x:f>IF('Master'!W138="","",'Master'!W138)</x:f>
      </x:c>
      <x:c r="W23" s="100" t="str">
        <x:f>IF('Master'!X138="","",'Master'!X138)</x:f>
      </x:c>
      <x:c r="X23" s="100" t="str">
        <x:f>IF('Master'!Y138="","",'Master'!Y138)</x:f>
      </x:c>
      <x:c r="Y23" s="100" t="str">
        <x:f>IF('Master'!Z138="","",'Master'!Z138)</x:f>
      </x:c>
      <x:c r="Z23" s="100" t="str">
        <x:f>IF('Master'!AA138="","",'Master'!AA138)</x:f>
      </x:c>
      <x:c r="AA23" s="104" t="str">
        <x:f>IF('Master'!AB138="","",'Master'!AB138)</x:f>
      </x:c>
      <x:c r="AB23" s="100" t="str">
        <x:f>IF('Master'!AC138="","",'Master'!AC138)</x:f>
      </x:c>
      <x:c r="AC23" s="100" t="str">
        <x:f>IF('Master'!AD138="","",'Master'!AD138)</x:f>
      </x:c>
      <x:c r="AD23" s="100" t="str">
        <x:f>IF('Master'!AE138="","",'Master'!AE138)</x:f>
      </x:c>
      <x:c r="AE23" s="100" t="str">
        <x:f>IF('Master'!AF138="","",'Master'!AF138)</x:f>
      </x:c>
      <x:c r="AF23" s="75" t="str">
        <x:f>IF('Master'!AG138="","",'Master'!AG138)</x:f>
      </x:c>
    </x:row>
    <x:row r="24" ht="36" customHeight="1">
      <x:c r="A24" s="135" t="str">
        <x:v>Game Library / Game Night Tool</x:v>
      </x:c>
      <x:c r="B24" s="100" t="str">
        <x:f>IF('Master'!C139="","",'Master'!C139)</x:f>
        <x:v>Activities/game integrations</x:v>
      </x:c>
      <x:c r="C24" s="100" t="str">
        <x:f>IF('Master'!D139="","",'Master'!D139)</x:f>
      </x:c>
      <x:c r="D24" s="100" t="str">
        <x:f>IF('Master'!E139="","",'Master'!E139)</x:f>
      </x:c>
      <x:c r="E24" s="100" t="str">
        <x:f>IF('Master'!F139="","",'Master'!F139)</x:f>
      </x:c>
      <x:c r="F24" s="100" t="str">
        <x:f>IF('Master'!G139="","",'Master'!G139)</x:f>
      </x:c>
      <x:c r="G24" s="100" t="str">
        <x:f>IF('Master'!H139="","",'Master'!H139)</x:f>
      </x:c>
      <x:c r="H24" s="100" t="str">
        <x:f>IF('Master'!I139="","",'Master'!I139)</x:f>
      </x:c>
      <x:c r="I24" s="100" t="str">
        <x:f>IF('Master'!J139="","",'Master'!J139)</x:f>
      </x:c>
      <x:c r="J24" s="100" t="str">
        <x:f>IF('Master'!K139="","",'Master'!K139)</x:f>
      </x:c>
      <x:c r="K24" s="100" t="str">
        <x:f>IF('Master'!L139="","",'Master'!L139)</x:f>
        <x:v>No dedicated embedded-app implementation documented</x:v>
      </x:c>
      <x:c r="L24" s="100" t="str">
        <x:f>IF('Master'!M139="","",'Master'!M139)</x:f>
      </x:c>
      <x:c r="M24" s="100" t="str">
        <x:f>IF('Master'!N139="","",'Master'!N139)</x:f>
      </x:c>
      <x:c r="N24" s="100" t="str">
        <x:f>IF('Master'!O139="","",'Master'!O139)</x:f>
      </x:c>
      <x:c r="O24" s="100" t="str">
        <x:f>IF('Master'!P139="","",'Master'!P139)</x:f>
      </x:c>
      <x:c r="P24" s="100" t="str">
        <x:f>IF('Master'!Q139="","",'Master'!Q139)</x:f>
      </x:c>
      <x:c r="Q24" s="100" t="str">
        <x:f>IF('Master'!R139="","",'Master'!R139)</x:f>
      </x:c>
      <x:c r="R24" s="100" t="str">
        <x:f>IF('Master'!S139="","",'Master'!S139)</x:f>
      </x:c>
      <x:c r="S24" s="100" t="str">
        <x:f>IF('Master'!T139="","",'Master'!T139)</x:f>
      </x:c>
      <x:c r="T24" s="100" t="str">
        <x:f>IF('Master'!U139="","",'Master'!U139)</x:f>
      </x:c>
      <x:c r="U24" s="100" t="str">
        <x:f>IF('Master'!V139="","",'Master'!V139)</x:f>
        <x:v>Yes — Steam library + overlap + Game Night voting</x:v>
      </x:c>
      <x:c r="V24" s="100" t="str">
        <x:f>IF('Master'!W139="","",'Master'!W139)</x:f>
      </x:c>
      <x:c r="W24" s="100" t="str">
        <x:f>IF('Master'!X139="","",'Master'!X139)</x:f>
      </x:c>
      <x:c r="X24" s="100" t="str">
        <x:f>IF('Master'!Y139="","",'Master'!Y139)</x:f>
      </x:c>
      <x:c r="Y24" s="100" t="str">
        <x:f>IF('Master'!Z139="","",'Master'!Z139)</x:f>
      </x:c>
      <x:c r="Z24" s="100" t="str">
        <x:f>IF('Master'!AA139="","",'Master'!AA139)</x:f>
      </x:c>
      <x:c r="AA24" s="104" t="str">
        <x:f>IF('Master'!AB139="","",'Master'!AB139)</x:f>
      </x:c>
      <x:c r="AB24" s="100" t="str">
        <x:f>IF('Master'!AC139="","",'Master'!AC139)</x:f>
      </x:c>
      <x:c r="AC24" s="100" t="str">
        <x:f>IF('Master'!AD139="","",'Master'!AD139)</x:f>
      </x:c>
      <x:c r="AD24" s="100" t="str">
        <x:f>IF('Master'!AE139="","",'Master'!AE139)</x:f>
      </x:c>
      <x:c r="AE24" s="100" t="str">
        <x:f>IF('Master'!AF139="","",'Master'!AF139)</x:f>
      </x:c>
      <x:c r="AF24" s="75" t="str">
        <x:f>IF('Master'!AG139="","",'Master'!AG139)</x:f>
      </x:c>
    </x:row>
    <x:row r="25" ht="36" customHeight="1">
      <x:c r="A25" s="135" t="str">
        <x:v>Arcade / Mini Games</x:v>
      </x:c>
      <x:c r="B25" s="100" t="str">
        <x:f>IF('Master'!C140="","",'Master'!C140)</x:f>
        <x:v>Yes — Activities include games</x:v>
      </x:c>
      <x:c r="C25" s="100" t="str">
        <x:f>IF('Master'!D140="","",'Master'!D140)</x:f>
      </x:c>
      <x:c r="D25" s="100" t="str">
        <x:f>IF('Master'!E140="","",'Master'!E140)</x:f>
      </x:c>
      <x:c r="E25" s="100" t="str">
        <x:f>IF('Master'!F140="","",'Master'!F140)</x:f>
      </x:c>
      <x:c r="F25" s="100" t="str">
        <x:f>IF('Master'!G140="","",'Master'!G140)</x:f>
      </x:c>
      <x:c r="G25" s="100" t="str">
        <x:f>IF('Master'!H140="","",'Master'!H140)</x:f>
      </x:c>
      <x:c r="H25" s="100" t="str">
        <x:f>IF('Master'!I140="","",'Master'!I140)</x:f>
      </x:c>
      <x:c r="I25" s="100" t="str">
        <x:f>IF('Master'!J140="","",'Master'!J140)</x:f>
      </x:c>
      <x:c r="J25" s="100" t="str">
        <x:f>IF('Master'!K140="","",'Master'!K140)</x:f>
      </x:c>
      <x:c r="K25" s="100" t="str">
        <x:f>IF('Master'!L140="","",'Master'!L140)</x:f>
        <x:v>No dedicated embedded-app implementation documented</x:v>
      </x:c>
      <x:c r="L25" s="100" t="str">
        <x:f>IF('Master'!M140="","",'Master'!M140)</x:f>
      </x:c>
      <x:c r="M25" s="100" t="str">
        <x:f>IF('Master'!N140="","",'Master'!N140)</x:f>
      </x:c>
      <x:c r="N25" s="100" t="str">
        <x:f>IF('Master'!O140="","",'Master'!O140)</x:f>
      </x:c>
      <x:c r="O25" s="100" t="str">
        <x:f>IF('Master'!P140="","",'Master'!P140)</x:f>
      </x:c>
      <x:c r="P25" s="100" t="str">
        <x:f>IF('Master'!Q140="","",'Master'!Q140)</x:f>
      </x:c>
      <x:c r="Q25" s="100" t="str">
        <x:f>IF('Master'!R140="","",'Master'!R140)</x:f>
      </x:c>
      <x:c r="R25" s="100" t="str">
        <x:f>IF('Master'!S140="","",'Master'!S140)</x:f>
      </x:c>
      <x:c r="S25" s="100" t="str">
        <x:f>IF('Master'!T140="","",'Master'!T140)</x:f>
      </x:c>
      <x:c r="T25" s="100" t="str">
        <x:f>IF('Master'!U140="","",'Master'!U140)</x:f>
      </x:c>
      <x:c r="U25" s="100" t="str">
        <x:f>IF('Master'!V140="","",'Master'!V140)</x:f>
        <x:v>Experimental — Arcade</x:v>
      </x:c>
      <x:c r="V25" s="100" t="str">
        <x:f>IF('Master'!W140="","",'Master'!W140)</x:f>
      </x:c>
      <x:c r="W25" s="100" t="str">
        <x:f>IF('Master'!X140="","",'Master'!X140)</x:f>
      </x:c>
      <x:c r="X25" s="100" t="str">
        <x:f>IF('Master'!Y140="","",'Master'!Y140)</x:f>
      </x:c>
      <x:c r="Y25" s="100" t="str">
        <x:f>IF('Master'!Z140="","",'Master'!Z140)</x:f>
      </x:c>
      <x:c r="Z25" s="100" t="str">
        <x:f>IF('Master'!AA140="","",'Master'!AA140)</x:f>
      </x:c>
      <x:c r="AA25" s="104" t="str">
        <x:f>IF('Master'!AB140="","",'Master'!AB140)</x:f>
      </x:c>
      <x:c r="AB25" s="100" t="str">
        <x:f>IF('Master'!AC140="","",'Master'!AC140)</x:f>
      </x:c>
      <x:c r="AC25" s="100" t="str">
        <x:f>IF('Master'!AD140="","",'Master'!AD140)</x:f>
      </x:c>
      <x:c r="AD25" s="100" t="str">
        <x:f>IF('Master'!AE140="","",'Master'!AE140)</x:f>
      </x:c>
      <x:c r="AE25" s="100" t="str">
        <x:f>IF('Master'!AF140="","",'Master'!AF140)</x:f>
      </x:c>
      <x:c r="AF25" s="75" t="str">
        <x:f>IF('Master'!AG140="","",'Master'!AG140)</x:f>
      </x:c>
    </x:row>
    <x:row r="26" ht="36" customHeight="1">
      <x:c r="A26" s="135" t="str">
        <x:v>Tabletop / Virtual Tabletop</x:v>
      </x:c>
      <x:c r="B26" s="100" t="str">
        <x:f>IF('Master'!C141="","",'Master'!C141)</x:f>
        <x:v>Via Activities/apps</x:v>
      </x:c>
      <x:c r="C26" s="100" t="str">
        <x:f>IF('Master'!D141="","",'Master'!D141)</x:f>
      </x:c>
      <x:c r="D26" s="100" t="str">
        <x:f>IF('Master'!E141="","",'Master'!E141)</x:f>
      </x:c>
      <x:c r="E26" s="100" t="str">
        <x:f>IF('Master'!F141="","",'Master'!F141)</x:f>
      </x:c>
      <x:c r="F26" s="100" t="str">
        <x:f>IF('Master'!G141="","",'Master'!G141)</x:f>
      </x:c>
      <x:c r="G26" s="100" t="str">
        <x:f>IF('Master'!H141="","",'Master'!H141)</x:f>
      </x:c>
      <x:c r="H26" s="100" t="str">
        <x:f>IF('Master'!I141="","",'Master'!I141)</x:f>
      </x:c>
      <x:c r="I26" s="100" t="str">
        <x:f>IF('Master'!J141="","",'Master'!J141)</x:f>
      </x:c>
      <x:c r="J26" s="100" t="str">
        <x:f>IF('Master'!K141="","",'Master'!K141)</x:f>
      </x:c>
      <x:c r="K26" s="100" t="str">
        <x:f>IF('Master'!L141="","",'Master'!L141)</x:f>
        <x:v>No dedicated embedded-app implementation documented</x:v>
      </x:c>
      <x:c r="L26" s="100" t="str">
        <x:f>IF('Master'!M141="","",'Master'!M141)</x:f>
      </x:c>
      <x:c r="M26" s="100" t="str">
        <x:f>IF('Master'!N141="","",'Master'!N141)</x:f>
      </x:c>
      <x:c r="N26" s="100" t="str">
        <x:f>IF('Master'!O141="","",'Master'!O141)</x:f>
      </x:c>
      <x:c r="O26" s="100" t="str">
        <x:f>IF('Master'!P141="","",'Master'!P141)</x:f>
      </x:c>
      <x:c r="P26" s="100" t="str">
        <x:f>IF('Master'!Q141="","",'Master'!Q141)</x:f>
      </x:c>
      <x:c r="Q26" s="100" t="str">
        <x:f>IF('Master'!R141="","",'Master'!R141)</x:f>
      </x:c>
      <x:c r="R26" s="100" t="str">
        <x:f>IF('Master'!S141="","",'Master'!S141)</x:f>
      </x:c>
      <x:c r="S26" s="100" t="str">
        <x:f>IF('Master'!T141="","",'Master'!T141)</x:f>
      </x:c>
      <x:c r="T26" s="100" t="str">
        <x:f>IF('Master'!U141="","",'Master'!U141)</x:f>
      </x:c>
      <x:c r="U26" s="100" t="str">
        <x:f>IF('Master'!V141="","",'Master'!V141)</x:f>
        <x:v>Experimental — native Tabletop</x:v>
      </x:c>
      <x:c r="V26" s="100" t="str">
        <x:f>IF('Master'!W141="","",'Master'!W141)</x:f>
      </x:c>
      <x:c r="W26" s="100" t="str">
        <x:f>IF('Master'!X141="","",'Master'!X141)</x:f>
      </x:c>
      <x:c r="X26" s="100" t="str">
        <x:f>IF('Master'!Y141="","",'Master'!Y141)</x:f>
      </x:c>
      <x:c r="Y26" s="100" t="str">
        <x:f>IF('Master'!Z141="","",'Master'!Z141)</x:f>
      </x:c>
      <x:c r="Z26" s="100" t="str">
        <x:f>IF('Master'!AA141="","",'Master'!AA141)</x:f>
      </x:c>
      <x:c r="AA26" s="104" t="str">
        <x:f>IF('Master'!AB141="","",'Master'!AB141)</x:f>
      </x:c>
      <x:c r="AB26" s="100" t="str">
        <x:f>IF('Master'!AC141="","",'Master'!AC141)</x:f>
      </x:c>
      <x:c r="AC26" s="100" t="str">
        <x:f>IF('Master'!AD141="","",'Master'!AD141)</x:f>
      </x:c>
      <x:c r="AD26" s="100" t="str">
        <x:f>IF('Master'!AE141="","",'Master'!AE141)</x:f>
      </x:c>
      <x:c r="AE26" s="100" t="str">
        <x:f>IF('Master'!AF141="","",'Master'!AF141)</x:f>
      </x:c>
      <x:c r="AF26" s="75" t="str">
        <x:f>IF('Master'!AG141="","",'Master'!AG141)</x:f>
      </x:c>
    </x:row>
    <x:row r="27" ht="36" customHeight="1">
      <x:c r="A27" s="135" t="str">
        <x:v>Music Creation / DAW</x:v>
      </x:c>
      <x:c r="B27" s="100" t="str">
        <x:f>IF('Master'!C142="","",'Master'!C142)</x:f>
        <x:v>No first-party DAW</x:v>
      </x:c>
      <x:c r="C27" s="100" t="str">
        <x:f>IF('Master'!D142="","",'Master'!D142)</x:f>
      </x:c>
      <x:c r="D27" s="100" t="str">
        <x:f>IF('Master'!E142="","",'Master'!E142)</x:f>
      </x:c>
      <x:c r="E27" s="100" t="str">
        <x:f>IF('Master'!F142="","",'Master'!F142)</x:f>
      </x:c>
      <x:c r="F27" s="100" t="str">
        <x:f>IF('Master'!G142="","",'Master'!G142)</x:f>
      </x:c>
      <x:c r="G27" s="100" t="str">
        <x:f>IF('Master'!H142="","",'Master'!H142)</x:f>
      </x:c>
      <x:c r="H27" s="100" t="str">
        <x:f>IF('Master'!I142="","",'Master'!I142)</x:f>
      </x:c>
      <x:c r="I27" s="100" t="str">
        <x:f>IF('Master'!J142="","",'Master'!J142)</x:f>
      </x:c>
      <x:c r="J27" s="100" t="str">
        <x:f>IF('Master'!K142="","",'Master'!K142)</x:f>
      </x:c>
      <x:c r="K27" s="100" t="str">
        <x:f>IF('Master'!L142="","",'Master'!L142)</x:f>
        <x:v>No dedicated embedded-app implementation documented</x:v>
      </x:c>
      <x:c r="L27" s="100" t="str">
        <x:f>IF('Master'!M142="","",'Master'!M142)</x:f>
      </x:c>
      <x:c r="M27" s="100" t="str">
        <x:f>IF('Master'!N142="","",'Master'!N142)</x:f>
      </x:c>
      <x:c r="N27" s="100" t="str">
        <x:f>IF('Master'!O142="","",'Master'!O142)</x:f>
      </x:c>
      <x:c r="O27" s="100" t="str">
        <x:f>IF('Master'!P142="","",'Master'!P142)</x:f>
      </x:c>
      <x:c r="P27" s="100" t="str">
        <x:f>IF('Master'!Q142="","",'Master'!Q142)</x:f>
      </x:c>
      <x:c r="Q27" s="100" t="str">
        <x:f>IF('Master'!R142="","",'Master'!R142)</x:f>
      </x:c>
      <x:c r="R27" s="100" t="str">
        <x:f>IF('Master'!S142="","",'Master'!S142)</x:f>
      </x:c>
      <x:c r="S27" s="100" t="str">
        <x:f>IF('Master'!T142="","",'Master'!T142)</x:f>
      </x:c>
      <x:c r="T27" s="100" t="str">
        <x:f>IF('Master'!U142="","",'Master'!U142)</x:f>
      </x:c>
      <x:c r="U27" s="100" t="str">
        <x:f>IF('Master'!V142="","",'Master'!V142)</x:f>
        <x:v>Experimental — Rift Studio</x:v>
      </x:c>
      <x:c r="V27" s="100" t="str">
        <x:f>IF('Master'!W142="","",'Master'!W142)</x:f>
      </x:c>
      <x:c r="W27" s="100" t="str">
        <x:f>IF('Master'!X142="","",'Master'!X142)</x:f>
      </x:c>
      <x:c r="X27" s="100" t="str">
        <x:f>IF('Master'!Y142="","",'Master'!Y142)</x:f>
      </x:c>
      <x:c r="Y27" s="100" t="str">
        <x:f>IF('Master'!Z142="","",'Master'!Z142)</x:f>
      </x:c>
      <x:c r="Z27" s="100" t="str">
        <x:f>IF('Master'!AA142="","",'Master'!AA142)</x:f>
      </x:c>
      <x:c r="AA27" s="104" t="str">
        <x:f>IF('Master'!AB142="","",'Master'!AB142)</x:f>
      </x:c>
      <x:c r="AB27" s="100" t="str">
        <x:f>IF('Master'!AC142="","",'Master'!AC142)</x:f>
      </x:c>
      <x:c r="AC27" s="100" t="str">
        <x:f>IF('Master'!AD142="","",'Master'!AD142)</x:f>
      </x:c>
      <x:c r="AD27" s="100" t="str">
        <x:f>IF('Master'!AE142="","",'Master'!AE142)</x:f>
      </x:c>
      <x:c r="AE27" s="100" t="str">
        <x:f>IF('Master'!AF142="","",'Master'!AF142)</x:f>
      </x:c>
      <x:c r="AF27" s="75" t="str">
        <x:f>IF('Master'!AG142="","",'Master'!AG142)</x:f>
      </x:c>
    </x:row>
    <x:row r="28" ht="22" customHeight="1">
      <x:c r="A28" s="138" t="str">
        <x:v>Productivity &amp; Information Apps</x:v>
      </x:c>
      <x:c r="B28" s="138" t="str">
        <x:f>IF(""="","","")</x:f>
      </x:c>
      <x:c r="C28" s="138" t="str">
        <x:f>IF(""="","","")</x:f>
      </x:c>
      <x:c r="D28" s="138" t="str">
        <x:f>IF(""="","","")</x:f>
      </x:c>
      <x:c r="E28" s="138" t="str">
        <x:f>IF(""="","","")</x:f>
      </x:c>
      <x:c r="F28" s="138" t="str">
        <x:f>IF(""="","","")</x:f>
      </x:c>
      <x:c r="G28" s="138" t="str">
        <x:f>IF(""="","","")</x:f>
      </x:c>
      <x:c r="H28" s="138" t="str">
        <x:f>IF(""="","","")</x:f>
      </x:c>
      <x:c r="I28" s="138" t="str">
        <x:f>IF(""="","","")</x:f>
      </x:c>
      <x:c r="J28" s="138" t="str">
        <x:f>IF(""="","","")</x:f>
      </x:c>
      <x:c r="K28" s="138" t="str">
        <x:f>IF(""="","","")</x:f>
      </x:c>
      <x:c r="L28" s="138" t="str">
        <x:f>IF(""="","","")</x:f>
      </x:c>
      <x:c r="M28" s="138" t="str">
        <x:f>IF(""="","","")</x:f>
      </x:c>
      <x:c r="N28" s="138" t="str">
        <x:f>IF(""="","","")</x:f>
      </x:c>
      <x:c r="O28" s="138" t="str">
        <x:f>IF(""="","","")</x:f>
      </x:c>
      <x:c r="P28" s="138" t="str">
        <x:f>IF(""="","","")</x:f>
      </x:c>
      <x:c r="Q28" s="138" t="str">
        <x:f>IF(""="","","")</x:f>
      </x:c>
      <x:c r="R28" s="138" t="str">
        <x:f>IF(""="","","")</x:f>
      </x:c>
      <x:c r="S28" s="138" t="str">
        <x:f>IF(""="","","")</x:f>
      </x:c>
      <x:c r="T28" s="138" t="str">
        <x:f>IF(""="","","")</x:f>
      </x:c>
      <x:c r="U28" s="138" t="str">
        <x:f>IF(""="","","")</x:f>
      </x:c>
      <x:c r="V28" s="138" t="str">
        <x:f>IF(""="","","")</x:f>
      </x:c>
      <x:c r="W28" s="138" t="str">
        <x:f>IF(""="","","")</x:f>
      </x:c>
      <x:c r="X28" s="138" t="str">
        <x:f>IF(""="","","")</x:f>
      </x:c>
      <x:c r="Y28" s="138" t="str">
        <x:f>IF(""="","","")</x:f>
      </x:c>
      <x:c r="Z28" s="138" t="str">
        <x:f>IF(""="","","")</x:f>
      </x:c>
      <x:c r="AA28" s="138" t="str">
        <x:f>IF(""="","","")</x:f>
      </x:c>
      <x:c r="AB28" s="138" t="str">
        <x:f>IF(""="","","")</x:f>
      </x:c>
      <x:c r="AC28" s="138" t="str">
        <x:f>IF(""="","","")</x:f>
      </x:c>
      <x:c r="AD28" s="138" t="str">
        <x:f>IF(""="","","")</x:f>
      </x:c>
      <x:c r="AE28" s="138" t="str">
        <x:f>IF(""="","","")</x:f>
      </x:c>
      <x:c r="AF28" s="139" t="str">
        <x:f>IF(""="","","")</x:f>
      </x:c>
    </x:row>
    <x:row r="29" ht="36" customHeight="1">
      <x:c r="A29" s="135" t="str">
        <x:v>Weather</x:v>
      </x:c>
      <x:c r="B29" s="100" t="str">
        <x:f>IF('Master'!C143="","",'Master'!C143)</x:f>
        <x:v>Apps/bots</x:v>
      </x:c>
      <x:c r="C29" s="100" t="str">
        <x:f>IF('Master'!D143="","",'Master'!D143)</x:f>
      </x:c>
      <x:c r="D29" s="100" t="str">
        <x:f>IF('Master'!E143="","",'Master'!E143)</x:f>
      </x:c>
      <x:c r="E29" s="100" t="str">
        <x:f>IF('Master'!F143="","",'Master'!F143)</x:f>
      </x:c>
      <x:c r="F29" s="100" t="str">
        <x:f>IF('Master'!G143="","",'Master'!G143)</x:f>
      </x:c>
      <x:c r="G29" s="100" t="str">
        <x:f>IF('Master'!H143="","",'Master'!H143)</x:f>
      </x:c>
      <x:c r="H29" s="100" t="str">
        <x:f>IF('Master'!I143="","",'Master'!I143)</x:f>
      </x:c>
      <x:c r="I29" s="100" t="str">
        <x:f>IF('Master'!J143="","",'Master'!J143)</x:f>
      </x:c>
      <x:c r="J29" s="100" t="str">
        <x:f>IF('Master'!K143="","",'Master'!K143)</x:f>
      </x:c>
      <x:c r="K29" s="100" t="str">
        <x:f>IF('Master'!L143="","",'Master'!L143)</x:f>
        <x:v>No dedicated embedded-app implementation documented</x:v>
      </x:c>
      <x:c r="L29" s="100" t="str">
        <x:f>IF('Master'!M143="","",'Master'!M143)</x:f>
      </x:c>
      <x:c r="M29" s="100" t="str">
        <x:f>IF('Master'!N143="","",'Master'!N143)</x:f>
      </x:c>
      <x:c r="N29" s="100" t="str">
        <x:f>IF('Master'!O143="","",'Master'!O143)</x:f>
        <x:v>Widget/integration dependent</x:v>
      </x:c>
      <x:c r="O29" s="100" t="str">
        <x:f>IF('Master'!P143="","",'Master'!P143)</x:f>
      </x:c>
      <x:c r="P29" s="100" t="str">
        <x:f>IF('Master'!Q143="","",'Master'!Q143)</x:f>
      </x:c>
      <x:c r="Q29" s="100" t="str">
        <x:f>IF('Master'!R143="","",'Master'!R143)</x:f>
      </x:c>
      <x:c r="R29" s="100" t="str">
        <x:f>IF('Master'!S143="","",'Master'!S143)</x:f>
      </x:c>
      <x:c r="S29" s="100" t="str">
        <x:f>IF('Master'!T143="","",'Master'!T143)</x:f>
      </x:c>
      <x:c r="T29" s="100" t="str">
        <x:f>IF('Master'!U143="","",'Master'!U143)</x:f>
      </x:c>
      <x:c r="U29" s="100" t="str">
        <x:f>IF('Master'!V143="","",'Master'!V143)</x:f>
        <x:v>Yes — Weather + Windy radar</x:v>
      </x:c>
      <x:c r="V29" s="100" t="str">
        <x:f>IF('Master'!W143="","",'Master'!W143)</x:f>
        <x:v>Apps possible</x:v>
      </x:c>
      <x:c r="W29" s="100" t="str">
        <x:f>IF('Master'!X143="","",'Master'!X143)</x:f>
      </x:c>
      <x:c r="X29" s="100" t="str">
        <x:f>IF('Master'!Y143="","",'Master'!Y143)</x:f>
      </x:c>
      <x:c r="Y29" s="100" t="str">
        <x:f>IF('Master'!Z143="","",'Master'!Z143)</x:f>
      </x:c>
      <x:c r="Z29" s="100" t="str">
        <x:f>IF('Master'!AA143="","",'Master'!AA143)</x:f>
      </x:c>
      <x:c r="AA29" s="104" t="str">
        <x:f>IF('Master'!AB143="","",'Master'!AB143)</x:f>
      </x:c>
      <x:c r="AB29" s="100" t="str">
        <x:f>IF('Master'!AC143="","",'Master'!AC143)</x:f>
      </x:c>
      <x:c r="AC29" s="100" t="str">
        <x:f>IF('Master'!AD143="","",'Master'!AD143)</x:f>
      </x:c>
      <x:c r="AD29" s="100" t="str">
        <x:f>IF('Master'!AE143="","",'Master'!AE143)</x:f>
      </x:c>
      <x:c r="AE29" s="100" t="str">
        <x:f>IF('Master'!AF143="","",'Master'!AF143)</x:f>
      </x:c>
      <x:c r="AF29" s="75" t="str">
        <x:f>IF('Master'!AG143="","",'Master'!AG143)</x:f>
        <x:v>Integrations/bots possible</x:v>
      </x:c>
    </x:row>
    <x:row r="30" ht="36" customHeight="1">
      <x:c r="A30" s="135" t="str">
        <x:v>Calendar</x:v>
      </x:c>
      <x:c r="B30" s="100" t="str">
        <x:f>IF('Master'!C144="","",'Master'!C144)</x:f>
        <x:v>Apps/bots; Scheduled Events native</x:v>
      </x:c>
      <x:c r="C30" s="100" t="str">
        <x:f>IF('Master'!D144="","",'Master'!D144)</x:f>
      </x:c>
      <x:c r="D30" s="100" t="str">
        <x:f>IF('Master'!E144="","",'Master'!E144)</x:f>
      </x:c>
      <x:c r="E30" s="100" t="str">
        <x:f>IF('Master'!F144="","",'Master'!F144)</x:f>
      </x:c>
      <x:c r="F30" s="100" t="str">
        <x:f>IF('Master'!G144="","",'Master'!G144)</x:f>
      </x:c>
      <x:c r="G30" s="100" t="str">
        <x:f>IF('Master'!H144="","",'Master'!H144)</x:f>
      </x:c>
      <x:c r="H30" s="100" t="str">
        <x:f>IF('Master'!I144="","",'Master'!I144)</x:f>
      </x:c>
      <x:c r="I30" s="100" t="str">
        <x:f>IF('Master'!J144="","",'Master'!J144)</x:f>
      </x:c>
      <x:c r="J30" s="100" t="str">
        <x:f>IF('Master'!K144="","",'Master'!K144)</x:f>
      </x:c>
      <x:c r="K30" s="100" t="str">
        <x:f>IF('Master'!L144="","",'Master'!L144)</x:f>
        <x:v>No dedicated embedded-app implementation documented</x:v>
      </x:c>
      <x:c r="L30" s="100" t="str">
        <x:f>IF('Master'!M144="","",'Master'!M144)</x:f>
      </x:c>
      <x:c r="M30" s="100" t="str">
        <x:f>IF('Master'!N144="","",'Master'!N144)</x:f>
      </x:c>
      <x:c r="N30" s="100" t="str">
        <x:f>IF('Master'!O144="","",'Master'!O144)</x:f>
        <x:v>Element integrations can include calendar widgets</x:v>
      </x:c>
      <x:c r="O30" s="100" t="str">
        <x:f>IF('Master'!P144="","",'Master'!P144)</x:f>
      </x:c>
      <x:c r="P30" s="100" t="str">
        <x:f>IF('Master'!Q144="","",'Master'!Q144)</x:f>
      </x:c>
      <x:c r="Q30" s="100" t="str">
        <x:f>IF('Master'!R144="","",'Master'!R144)</x:f>
      </x:c>
      <x:c r="R30" s="100" t="str">
        <x:f>IF('Master'!S144="","",'Master'!S144)</x:f>
      </x:c>
      <x:c r="S30" s="100" t="str">
        <x:f>IF('Master'!T144="","",'Master'!T144)</x:f>
      </x:c>
      <x:c r="T30" s="100" t="str">
        <x:f>IF('Master'!U144="","",'Master'!U144)</x:f>
      </x:c>
      <x:c r="U30" s="100" t="str">
        <x:f>IF('Master'!V144="","",'Master'!V144)</x:f>
        <x:v>Yes — personal + Shard calendars, iCal sync</x:v>
      </x:c>
      <x:c r="V30" s="100" t="str">
        <x:f>IF('Master'!W144="","",'Master'!W144)</x:f>
        <x:v>Apps possible</x:v>
      </x:c>
      <x:c r="W30" s="100" t="str">
        <x:f>IF('Master'!X144="","",'Master'!X144)</x:f>
      </x:c>
      <x:c r="X30" s="100" t="str">
        <x:f>IF('Master'!Y144="","",'Master'!Y144)</x:f>
      </x:c>
      <x:c r="Y30" s="100" t="str">
        <x:f>IF('Master'!Z144="","",'Master'!Z144)</x:f>
      </x:c>
      <x:c r="Z30" s="100" t="str">
        <x:f>IF('Master'!AA144="","",'Master'!AA144)</x:f>
      </x:c>
      <x:c r="AA30" s="104" t="str">
        <x:f>IF('Master'!AB144="","",'Master'!AB144)</x:f>
      </x:c>
      <x:c r="AB30" s="100" t="str">
        <x:f>IF('Master'!AC144="","",'Master'!AC144)</x:f>
      </x:c>
      <x:c r="AC30" s="100" t="str">
        <x:f>IF('Master'!AD144="","",'Master'!AD144)</x:f>
      </x:c>
      <x:c r="AD30" s="100" t="str">
        <x:f>IF('Master'!AE144="","",'Master'!AE144)</x:f>
      </x:c>
      <x:c r="AE30" s="100" t="str">
        <x:f>IF('Master'!AF144="","",'Master'!AF144)</x:f>
      </x:c>
      <x:c r="AF30" s="75" t="str">
        <x:f>IF('Master'!AG144="","",'Master'!AG144)</x:f>
        <x:v>Integrations possible</x:v>
      </x:c>
    </x:row>
    <x:row r="31" ht="36" customHeight="1">
      <x:c r="A31" s="135" t="str">
        <x:v>To-Do List</x:v>
      </x:c>
      <x:c r="B31" s="100" t="str">
        <x:f>IF('Master'!C145="","",'Master'!C145)</x:f>
        <x:v>Apps/bots</x:v>
      </x:c>
      <x:c r="C31" s="100" t="str">
        <x:f>IF('Master'!D145="","",'Master'!D145)</x:f>
      </x:c>
      <x:c r="D31" s="100" t="str">
        <x:f>IF('Master'!E145="","",'Master'!E145)</x:f>
      </x:c>
      <x:c r="E31" s="100" t="str">
        <x:f>IF('Master'!F145="","",'Master'!F145)</x:f>
      </x:c>
      <x:c r="F31" s="100" t="str">
        <x:f>IF('Master'!G145="","",'Master'!G145)</x:f>
      </x:c>
      <x:c r="G31" s="100" t="str">
        <x:f>IF('Master'!H145="","",'Master'!H145)</x:f>
      </x:c>
      <x:c r="H31" s="100" t="str">
        <x:f>IF('Master'!I145="","",'Master'!I145)</x:f>
      </x:c>
      <x:c r="I31" s="100" t="str">
        <x:f>IF('Master'!J145="","",'Master'!J145)</x:f>
      </x:c>
      <x:c r="J31" s="100" t="str">
        <x:f>IF('Master'!K145="","",'Master'!K145)</x:f>
      </x:c>
      <x:c r="K31" s="100" t="str">
        <x:f>IF('Master'!L145="","",'Master'!L145)</x:f>
        <x:v>No dedicated embedded-app implementation documented</x:v>
      </x:c>
      <x:c r="L31" s="100" t="str">
        <x:f>IF('Master'!M145="","",'Master'!M145)</x:f>
      </x:c>
      <x:c r="M31" s="100" t="str">
        <x:f>IF('Master'!N145="","",'Master'!N145)</x:f>
      </x:c>
      <x:c r="N31" s="100" t="str">
        <x:f>IF('Master'!O145="","",'Master'!O145)</x:f>
      </x:c>
      <x:c r="O31" s="100" t="str">
        <x:f>IF('Master'!P145="","",'Master'!P145)</x:f>
        <x:v>Plugins/integrations</x:v>
      </x:c>
      <x:c r="P31" s="100" t="str">
        <x:f>IF('Master'!Q145="","",'Master'!Q145)</x:f>
      </x:c>
      <x:c r="Q31" s="100" t="str">
        <x:f>IF('Master'!R145="","",'Master'!R145)</x:f>
      </x:c>
      <x:c r="R31" s="100" t="str">
        <x:f>IF('Master'!S145="","",'Master'!S145)</x:f>
      </x:c>
      <x:c r="S31" s="100" t="str">
        <x:f>IF('Master'!T145="","",'Master'!T145)</x:f>
      </x:c>
      <x:c r="T31" s="100" t="str">
        <x:f>IF('Master'!U145="","",'Master'!U145)</x:f>
      </x:c>
      <x:c r="U31" s="100" t="str">
        <x:f>IF('Master'!V145="","",'Master'!V145)</x:f>
        <x:v>Yes — personal To-do Portal</x:v>
      </x:c>
      <x:c r="V31" s="100" t="str">
        <x:f>IF('Master'!W145="","",'Master'!W145)</x:f>
        <x:v>Apps</x:v>
      </x:c>
      <x:c r="W31" s="100" t="str">
        <x:f>IF('Master'!X145="","",'Master'!X145)</x:f>
      </x:c>
      <x:c r="X31" s="100" t="str">
        <x:f>IF('Master'!Y145="","",'Master'!Y145)</x:f>
      </x:c>
      <x:c r="Y31" s="100" t="str">
        <x:f>IF('Master'!Z145="","",'Master'!Z145)</x:f>
      </x:c>
      <x:c r="Z31" s="100" t="str">
        <x:f>IF('Master'!AA145="","",'Master'!AA145)</x:f>
      </x:c>
      <x:c r="AA31" s="104" t="str">
        <x:f>IF('Master'!AB145="","",'Master'!AB145)</x:f>
      </x:c>
      <x:c r="AB31" s="100" t="str">
        <x:f>IF('Master'!AC145="","",'Master'!AC145)</x:f>
      </x:c>
      <x:c r="AC31" s="100" t="str">
        <x:f>IF('Master'!AD145="","",'Master'!AD145)</x:f>
      </x:c>
      <x:c r="AD31" s="100" t="str">
        <x:f>IF('Master'!AE145="","",'Master'!AE145)</x:f>
      </x:c>
      <x:c r="AE31" s="100" t="str">
        <x:f>IF('Master'!AF145="","",'Master'!AF145)</x:f>
      </x:c>
      <x:c r="AF31" s="75" t="str">
        <x:f>IF('Master'!AG145="","",'Master'!AG145)</x:f>
        <x:v>Integrations/bots</x:v>
      </x:c>
    </x:row>
    <x:row r="32" ht="36" customHeight="1">
      <x:c r="A32" s="135" t="str">
        <x:v>RSS / Feed Reader</x:v>
      </x:c>
      <x:c r="B32" s="100" t="str">
        <x:f>IF('Master'!C146="","",'Master'!C146)</x:f>
        <x:v>Apps/webhooks</x:v>
      </x:c>
      <x:c r="C32" s="100" t="str">
        <x:f>IF('Master'!D146="","",'Master'!D146)</x:f>
      </x:c>
      <x:c r="D32" s="100" t="str">
        <x:f>IF('Master'!E146="","",'Master'!E146)</x:f>
      </x:c>
      <x:c r="E32" s="100" t="str">
        <x:f>IF('Master'!F146="","",'Master'!F146)</x:f>
      </x:c>
      <x:c r="F32" s="100" t="str">
        <x:f>IF('Master'!G146="","",'Master'!G146)</x:f>
      </x:c>
      <x:c r="G32" s="100" t="str">
        <x:f>IF('Master'!H146="","",'Master'!H146)</x:f>
      </x:c>
      <x:c r="H32" s="100" t="str">
        <x:f>IF('Master'!I146="","",'Master'!I146)</x:f>
      </x:c>
      <x:c r="I32" s="100" t="str">
        <x:f>IF('Master'!J146="","",'Master'!J146)</x:f>
      </x:c>
      <x:c r="J32" s="100" t="str">
        <x:f>IF('Master'!K146="","",'Master'!K146)</x:f>
      </x:c>
      <x:c r="K32" s="100" t="str">
        <x:f>IF('Master'!L146="","",'Master'!L146)</x:f>
        <x:v>No dedicated embedded-app implementation documented</x:v>
      </x:c>
      <x:c r="L32" s="100" t="str">
        <x:f>IF('Master'!M146="","",'Master'!M146)</x:f>
      </x:c>
      <x:c r="M32" s="100" t="str">
        <x:f>IF('Master'!N146="","",'Master'!N146)</x:f>
      </x:c>
      <x:c r="N32" s="100" t="str">
        <x:f>IF('Master'!O146="","",'Master'!O146)</x:f>
        <x:v>Element integration ecosystem includes feeds</x:v>
      </x:c>
      <x:c r="O32" s="100" t="str">
        <x:f>IF('Master'!P146="","",'Master'!P146)</x:f>
      </x:c>
      <x:c r="P32" s="100" t="str">
        <x:f>IF('Master'!Q146="","",'Master'!Q146)</x:f>
      </x:c>
      <x:c r="Q32" s="100" t="str">
        <x:f>IF('Master'!R146="","",'Master'!R146)</x:f>
      </x:c>
      <x:c r="R32" s="100" t="str">
        <x:f>IF('Master'!S146="","",'Master'!S146)</x:f>
      </x:c>
      <x:c r="S32" s="100" t="str">
        <x:f>IF('Master'!T146="","",'Master'!T146)</x:f>
      </x:c>
      <x:c r="T32" s="100" t="str">
        <x:f>IF('Master'!U146="","",'Master'!U146)</x:f>
      </x:c>
      <x:c r="U32" s="100" t="str">
        <x:f>IF('Master'!V146="","",'Master'!V146)</x:f>
        <x:v>Yes — built-in Feeds/RSS Portal</x:v>
      </x:c>
      <x:c r="V32" s="100" t="str">
        <x:f>IF('Master'!W146="","",'Master'!W146)</x:f>
        <x:v>Apps/webhooks</x:v>
      </x:c>
      <x:c r="W32" s="100" t="str">
        <x:f>IF('Master'!X146="","",'Master'!X146)</x:f>
      </x:c>
      <x:c r="X32" s="100" t="str">
        <x:f>IF('Master'!Y146="","",'Master'!Y146)</x:f>
      </x:c>
      <x:c r="Y32" s="100" t="str">
        <x:f>IF('Master'!Z146="","",'Master'!Z146)</x:f>
      </x:c>
      <x:c r="Z32" s="100" t="str">
        <x:f>IF('Master'!AA146="","",'Master'!AA146)</x:f>
      </x:c>
      <x:c r="AA32" s="104" t="str">
        <x:f>IF('Master'!AB146="","",'Master'!AB146)</x:f>
      </x:c>
      <x:c r="AB32" s="100" t="str">
        <x:f>IF('Master'!AC146="","",'Master'!AC146)</x:f>
      </x:c>
      <x:c r="AC32" s="100" t="str">
        <x:f>IF('Master'!AD146="","",'Master'!AD146)</x:f>
      </x:c>
      <x:c r="AD32" s="100" t="str">
        <x:f>IF('Master'!AE146="","",'Master'!AE146)</x:f>
      </x:c>
      <x:c r="AE32" s="100" t="str">
        <x:f>IF('Master'!AF146="","",'Master'!AF146)</x:f>
      </x:c>
      <x:c r="AF32" s="75" t="str">
        <x:f>IF('Master'!AG146="","",'Master'!AG146)</x:f>
        <x:v>Native integrations/webhooks</x:v>
      </x:c>
    </x:row>
    <x:row r="33" ht="36" customHeight="1">
      <x:c r="A33" s="135" t="str">
        <x:v>Stocks / Crypto Watchlist</x:v>
      </x:c>
      <x:c r="B33" s="100" t="str">
        <x:f>IF('Master'!C147="","",'Master'!C147)</x:f>
        <x:v>Apps/bots</x:v>
      </x:c>
      <x:c r="C33" s="100" t="str">
        <x:f>IF('Master'!D147="","",'Master'!D147)</x:f>
      </x:c>
      <x:c r="D33" s="100" t="str">
        <x:f>IF('Master'!E147="","",'Master'!E147)</x:f>
      </x:c>
      <x:c r="E33" s="100" t="str">
        <x:f>IF('Master'!F147="","",'Master'!F147)</x:f>
      </x:c>
      <x:c r="F33" s="100" t="str">
        <x:f>IF('Master'!G147="","",'Master'!G147)</x:f>
      </x:c>
      <x:c r="G33" s="100" t="str">
        <x:f>IF('Master'!H147="","",'Master'!H147)</x:f>
      </x:c>
      <x:c r="H33" s="100" t="str">
        <x:f>IF('Master'!I147="","",'Master'!I147)</x:f>
      </x:c>
      <x:c r="I33" s="100" t="str">
        <x:f>IF('Master'!J147="","",'Master'!J147)</x:f>
      </x:c>
      <x:c r="J33" s="100" t="str">
        <x:f>IF('Master'!K147="","",'Master'!K147)</x:f>
      </x:c>
      <x:c r="K33" s="100" t="str">
        <x:f>IF('Master'!L147="","",'Master'!L147)</x:f>
        <x:v>No dedicated embedded-app implementation documented</x:v>
      </x:c>
      <x:c r="L33" s="100" t="str">
        <x:f>IF('Master'!M147="","",'Master'!M147)</x:f>
      </x:c>
      <x:c r="M33" s="100" t="str">
        <x:f>IF('Master'!N147="","",'Master'!N147)</x:f>
      </x:c>
      <x:c r="N33" s="100" t="str">
        <x:f>IF('Master'!O147="","",'Master'!O147)</x:f>
        <x:v>Widget-dependent</x:v>
      </x:c>
      <x:c r="O33" s="100" t="str">
        <x:f>IF('Master'!P147="","",'Master'!P147)</x:f>
      </x:c>
      <x:c r="P33" s="100" t="str">
        <x:f>IF('Master'!Q147="","",'Master'!Q147)</x:f>
      </x:c>
      <x:c r="Q33" s="100" t="str">
        <x:f>IF('Master'!R147="","",'Master'!R147)</x:f>
      </x:c>
      <x:c r="R33" s="100" t="str">
        <x:f>IF('Master'!S147="","",'Master'!S147)</x:f>
      </x:c>
      <x:c r="S33" s="100" t="str">
        <x:f>IF('Master'!T147="","",'Master'!T147)</x:f>
      </x:c>
      <x:c r="T33" s="100" t="str">
        <x:f>IF('Master'!U147="","",'Master'!U147)</x:f>
      </x:c>
      <x:c r="U33" s="100" t="str">
        <x:f>IF('Master'!V147="","",'Master'!V147)</x:f>
        <x:v>Yes — Markets Portal</x:v>
      </x:c>
      <x:c r="V33" s="100" t="str">
        <x:f>IF('Master'!W147="","",'Master'!W147)</x:f>
        <x:v>Apps possible</x:v>
      </x:c>
      <x:c r="W33" s="100" t="str">
        <x:f>IF('Master'!X147="","",'Master'!X147)</x:f>
      </x:c>
      <x:c r="X33" s="100" t="str">
        <x:f>IF('Master'!Y147="","",'Master'!Y147)</x:f>
      </x:c>
      <x:c r="Y33" s="100" t="str">
        <x:f>IF('Master'!Z147="","",'Master'!Z147)</x:f>
      </x:c>
      <x:c r="Z33" s="100" t="str">
        <x:f>IF('Master'!AA147="","",'Master'!AA147)</x:f>
      </x:c>
      <x:c r="AA33" s="104" t="str">
        <x:f>IF('Master'!AB147="","",'Master'!AB147)</x:f>
      </x:c>
      <x:c r="AB33" s="100" t="str">
        <x:f>IF('Master'!AC147="","",'Master'!AC147)</x:f>
      </x:c>
      <x:c r="AC33" s="100" t="str">
        <x:f>IF('Master'!AD147="","",'Master'!AD147)</x:f>
      </x:c>
      <x:c r="AD33" s="100" t="str">
        <x:f>IF('Master'!AE147="","",'Master'!AE147)</x:f>
      </x:c>
      <x:c r="AE33" s="100" t="str">
        <x:f>IF('Master'!AF147="","",'Master'!AF147)</x:f>
      </x:c>
      <x:c r="AF33" s="75" t="str">
        <x:f>IF('Master'!AG147="","",'Master'!AG147)</x:f>
        <x:v>Bots/integrations</x:v>
      </x:c>
    </x:row>
    <x:row r="34" ht="36" customHeight="1">
      <x:c r="A34" s="135" t="str">
        <x:v>Sports / Fantasy</x:v>
      </x:c>
      <x:c r="B34" s="100" t="str">
        <x:f>IF('Master'!C148="","",'Master'!C148)</x:f>
        <x:v>Apps/bots</x:v>
      </x:c>
      <x:c r="C34" s="100" t="str">
        <x:f>IF('Master'!D148="","",'Master'!D148)</x:f>
      </x:c>
      <x:c r="D34" s="100" t="str">
        <x:f>IF('Master'!E148="","",'Master'!E148)</x:f>
      </x:c>
      <x:c r="E34" s="100" t="str">
        <x:f>IF('Master'!F148="","",'Master'!F148)</x:f>
      </x:c>
      <x:c r="F34" s="100" t="str">
        <x:f>IF('Master'!G148="","",'Master'!G148)</x:f>
      </x:c>
      <x:c r="G34" s="100" t="str">
        <x:f>IF('Master'!H148="","",'Master'!H148)</x:f>
      </x:c>
      <x:c r="H34" s="100" t="str">
        <x:f>IF('Master'!I148="","",'Master'!I148)</x:f>
      </x:c>
      <x:c r="I34" s="100" t="str">
        <x:f>IF('Master'!J148="","",'Master'!J148)</x:f>
      </x:c>
      <x:c r="J34" s="100" t="str">
        <x:f>IF('Master'!K148="","",'Master'!K148)</x:f>
      </x:c>
      <x:c r="K34" s="100" t="str">
        <x:f>IF('Master'!L148="","",'Master'!L148)</x:f>
        <x:v>No dedicated embedded-app implementation documented</x:v>
      </x:c>
      <x:c r="L34" s="100" t="str">
        <x:f>IF('Master'!M148="","",'Master'!M148)</x:f>
      </x:c>
      <x:c r="M34" s="100" t="str">
        <x:f>IF('Master'!N148="","",'Master'!N148)</x:f>
      </x:c>
      <x:c r="N34" s="100" t="str">
        <x:f>IF('Master'!O148="","",'Master'!O148)</x:f>
        <x:v>Widget-dependent</x:v>
      </x:c>
      <x:c r="O34" s="100" t="str">
        <x:f>IF('Master'!P148="","",'Master'!P148)</x:f>
      </x:c>
      <x:c r="P34" s="100" t="str">
        <x:f>IF('Master'!Q148="","",'Master'!Q148)</x:f>
      </x:c>
      <x:c r="Q34" s="100" t="str">
        <x:f>IF('Master'!R148="","",'Master'!R148)</x:f>
      </x:c>
      <x:c r="R34" s="100" t="str">
        <x:f>IF('Master'!S148="","",'Master'!S148)</x:f>
      </x:c>
      <x:c r="S34" s="100" t="str">
        <x:f>IF('Master'!T148="","",'Master'!T148)</x:f>
      </x:c>
      <x:c r="T34" s="100" t="str">
        <x:f>IF('Master'!U148="","",'Master'!U148)</x:f>
      </x:c>
      <x:c r="U34" s="100" t="str">
        <x:f>IF('Master'!V148="","",'Master'!V148)</x:f>
        <x:v>Yes — Portal</x:v>
      </x:c>
      <x:c r="V34" s="100" t="str">
        <x:f>IF('Master'!W148="","",'Master'!W148)</x:f>
      </x:c>
      <x:c r="W34" s="100" t="str">
        <x:f>IF('Master'!X148="","",'Master'!X148)</x:f>
      </x:c>
      <x:c r="X34" s="100" t="str">
        <x:f>IF('Master'!Y148="","",'Master'!Y148)</x:f>
      </x:c>
      <x:c r="Y34" s="100" t="str">
        <x:f>IF('Master'!Z148="","",'Master'!Z148)</x:f>
      </x:c>
      <x:c r="Z34" s="100" t="str">
        <x:f>IF('Master'!AA148="","",'Master'!AA148)</x:f>
      </x:c>
      <x:c r="AA34" s="104" t="str">
        <x:f>IF('Master'!AB148="","",'Master'!AB148)</x:f>
      </x:c>
      <x:c r="AB34" s="100" t="str">
        <x:f>IF('Master'!AC148="","",'Master'!AC148)</x:f>
      </x:c>
      <x:c r="AC34" s="100" t="str">
        <x:f>IF('Master'!AD148="","",'Master'!AD148)</x:f>
      </x:c>
      <x:c r="AD34" s="100" t="str">
        <x:f>IF('Master'!AE148="","",'Master'!AE148)</x:f>
      </x:c>
      <x:c r="AE34" s="100" t="str">
        <x:f>IF('Master'!AF148="","",'Master'!AF148)</x:f>
      </x:c>
      <x:c r="AF34" s="75" t="str">
        <x:f>IF('Master'!AG148="","",'Master'!AG148)</x:f>
      </x:c>
    </x:row>
    <x:row r="35" ht="36" customHeight="1">
      <x:c r="A35" s="135" t="str">
        <x:v>Mini Browser / Embedded Web</x:v>
      </x:c>
      <x:c r="B35" s="100" t="str">
        <x:f>IF('Master'!C149="","",'Master'!C149)</x:f>
        <x:v>Activities are sandboxed embedded web apps; not a general browser</x:v>
      </x:c>
      <x:c r="C35" s="100" t="str">
        <x:f>IF('Master'!D149="","",'Master'!D149)</x:f>
      </x:c>
      <x:c r="D35" s="100" t="str">
        <x:f>IF('Master'!E149="","",'Master'!E149)</x:f>
      </x:c>
      <x:c r="E35" s="100" t="str">
        <x:f>IF('Master'!F149="","",'Master'!F149)</x:f>
      </x:c>
      <x:c r="F35" s="100" t="str">
        <x:f>IF('Master'!G149="","",'Master'!G149)</x:f>
      </x:c>
      <x:c r="G35" s="100" t="str">
        <x:f>IF('Master'!H149="","",'Master'!H149)</x:f>
      </x:c>
      <x:c r="H35" s="100" t="str">
        <x:f>IF('Master'!I149="","",'Master'!I149)</x:f>
      </x:c>
      <x:c r="I35" s="100" t="str">
        <x:f>IF('Master'!J149="","",'Master'!J149)</x:f>
      </x:c>
      <x:c r="J35" s="100" t="str">
        <x:f>IF('Master'!K149="","",'Master'!K149)</x:f>
      </x:c>
      <x:c r="K35" s="100" t="str">
        <x:f>IF('Master'!L149="","",'Master'!L149)</x:f>
        <x:v>No dedicated embedded-app implementation documented</x:v>
      </x:c>
      <x:c r="L35" s="100" t="str">
        <x:f>IF('Master'!M149="","",'Master'!M149)</x:f>
      </x:c>
      <x:c r="M35" s="100" t="str">
        <x:f>IF('Master'!N149="","",'Master'!N149)</x:f>
      </x:c>
      <x:c r="N35" s="100" t="str">
        <x:f>IF('Master'!O149="","",'Master'!O149)</x:f>
        <x:v>Custom widgets can embed web pages in supported clients</x:v>
      </x:c>
      <x:c r="O35" s="100" t="str">
        <x:f>IF('Master'!P149="","",'Master'!P149)</x:f>
      </x:c>
      <x:c r="P35" s="100" t="str">
        <x:f>IF('Master'!Q149="","",'Master'!Q149)</x:f>
      </x:c>
      <x:c r="Q35" s="100" t="str">
        <x:f>IF('Master'!R149="","",'Master'!R149)</x:f>
      </x:c>
      <x:c r="R35" s="100" t="str">
        <x:f>IF('Master'!S149="","",'Master'!S149)</x:f>
      </x:c>
      <x:c r="S35" s="100" t="str">
        <x:f>IF('Master'!T149="","",'Master'!T149)</x:f>
      </x:c>
      <x:c r="T35" s="100" t="str">
        <x:f>IF('Master'!U149="","",'Master'!U149)</x:f>
      </x:c>
      <x:c r="U35" s="100" t="str">
        <x:f>IF('Master'!V149="","",'Master'!V149)</x:f>
        <x:v>Yes — Mini Browser Portal</x:v>
      </x:c>
      <x:c r="V35" s="100" t="str">
        <x:f>IF('Master'!W149="","",'Master'!W149)</x:f>
      </x:c>
      <x:c r="W35" s="100" t="str">
        <x:f>IF('Master'!X149="","",'Master'!X149)</x:f>
      </x:c>
      <x:c r="X35" s="100" t="str">
        <x:f>IF('Master'!Y149="","",'Master'!Y149)</x:f>
      </x:c>
      <x:c r="Y35" s="100" t="str">
        <x:f>IF('Master'!Z149="","",'Master'!Z149)</x:f>
      </x:c>
      <x:c r="Z35" s="100" t="str">
        <x:f>IF('Master'!AA149="","",'Master'!AA149)</x:f>
      </x:c>
      <x:c r="AA35" s="104" t="str">
        <x:f>IF('Master'!AB149="","",'Master'!AB149)</x:f>
      </x:c>
      <x:c r="AB35" s="100" t="str">
        <x:f>IF('Master'!AC149="","",'Master'!AC149)</x:f>
      </x:c>
      <x:c r="AC35" s="100" t="str">
        <x:f>IF('Master'!AD149="","",'Master'!AD149)</x:f>
      </x:c>
      <x:c r="AD35" s="100" t="str">
        <x:f>IF('Master'!AE149="","",'Master'!AE149)</x:f>
      </x:c>
      <x:c r="AE35" s="100" t="str">
        <x:f>IF('Master'!AF149="","",'Master'!AF149)</x:f>
      </x:c>
      <x:c r="AF35" s="75" t="str">
        <x:f>IF('Master'!AG149="","",'Master'!AG149)</x:f>
      </x:c>
    </x:row>
    <x:row r="36" ht="36" customHeight="1">
      <x:c r="A36" s="135" t="str">
        <x:v>Post-It / Sticky Notes</x:v>
      </x:c>
      <x:c r="B36" s="100" t="str">
        <x:f>IF('Master'!C150="","",'Master'!C150)</x:f>
        <x:v>Apps</x:v>
      </x:c>
      <x:c r="C36" s="100" t="str">
        <x:f>IF('Master'!D150="","",'Master'!D150)</x:f>
      </x:c>
      <x:c r="D36" s="100" t="str">
        <x:f>IF('Master'!E150="","",'Master'!E150)</x:f>
      </x:c>
      <x:c r="E36" s="100" t="str">
        <x:f>IF('Master'!F150="","",'Master'!F150)</x:f>
      </x:c>
      <x:c r="F36" s="100" t="str">
        <x:f>IF('Master'!G150="","",'Master'!G150)</x:f>
      </x:c>
      <x:c r="G36" s="100" t="str">
        <x:f>IF('Master'!H150="","",'Master'!H150)</x:f>
      </x:c>
      <x:c r="H36" s="100" t="str">
        <x:f>IF('Master'!I150="","",'Master'!I150)</x:f>
      </x:c>
      <x:c r="I36" s="100" t="str">
        <x:f>IF('Master'!J150="","",'Master'!J150)</x:f>
      </x:c>
      <x:c r="J36" s="100" t="str">
        <x:f>IF('Master'!K150="","",'Master'!K150)</x:f>
      </x:c>
      <x:c r="K36" s="100" t="str">
        <x:f>IF('Master'!L150="","",'Master'!L150)</x:f>
        <x:v>No dedicated embedded-app implementation documented</x:v>
      </x:c>
      <x:c r="L36" s="100" t="str">
        <x:f>IF('Master'!M150="","",'Master'!M150)</x:f>
      </x:c>
      <x:c r="M36" s="100" t="str">
        <x:f>IF('Master'!N150="","",'Master'!N150)</x:f>
      </x:c>
      <x:c r="N36" s="100" t="str">
        <x:f>IF('Master'!O150="","",'Master'!O150)</x:f>
        <x:v>Widget-dependent</x:v>
      </x:c>
      <x:c r="O36" s="100" t="str">
        <x:f>IF('Master'!P150="","",'Master'!P150)</x:f>
      </x:c>
      <x:c r="P36" s="100" t="str">
        <x:f>IF('Master'!Q150="","",'Master'!Q150)</x:f>
      </x:c>
      <x:c r="Q36" s="100" t="str">
        <x:f>IF('Master'!R150="","",'Master'!R150)</x:f>
      </x:c>
      <x:c r="R36" s="100" t="str">
        <x:f>IF('Master'!S150="","",'Master'!S150)</x:f>
      </x:c>
      <x:c r="S36" s="100" t="str">
        <x:f>IF('Master'!T150="","",'Master'!T150)</x:f>
      </x:c>
      <x:c r="T36" s="100" t="str">
        <x:f>IF('Master'!U150="","",'Master'!U150)</x:f>
      </x:c>
      <x:c r="U36" s="100" t="str">
        <x:f>IF('Master'!V150="","",'Master'!V150)</x:f>
        <x:v>Yes — Post-it Portal</x:v>
      </x:c>
      <x:c r="V36" s="100" t="str">
        <x:f>IF('Master'!W150="","",'Master'!W150)</x:f>
      </x:c>
      <x:c r="W36" s="100" t="str">
        <x:f>IF('Master'!X150="","",'Master'!X150)</x:f>
      </x:c>
      <x:c r="X36" s="100" t="str">
        <x:f>IF('Master'!Y150="","",'Master'!Y150)</x:f>
      </x:c>
      <x:c r="Y36" s="100" t="str">
        <x:f>IF('Master'!Z150="","",'Master'!Z150)</x:f>
      </x:c>
      <x:c r="Z36" s="100" t="str">
        <x:f>IF('Master'!AA150="","",'Master'!AA150)</x:f>
      </x:c>
      <x:c r="AA36" s="104" t="str">
        <x:f>IF('Master'!AB150="","",'Master'!AB150)</x:f>
      </x:c>
      <x:c r="AB36" s="100" t="str">
        <x:f>IF('Master'!AC150="","",'Master'!AC150)</x:f>
      </x:c>
      <x:c r="AC36" s="100" t="str">
        <x:f>IF('Master'!AD150="","",'Master'!AD150)</x:f>
      </x:c>
      <x:c r="AD36" s="100" t="str">
        <x:f>IF('Master'!AE150="","",'Master'!AE150)</x:f>
      </x:c>
      <x:c r="AE36" s="100" t="str">
        <x:f>IF('Master'!AF150="","",'Master'!AF150)</x:f>
      </x:c>
      <x:c r="AF36" s="75" t="str">
        <x:f>IF('Master'!AG150="","",'Master'!AG150)</x:f>
      </x:c>
    </x:row>
    <x:row r="37" ht="36" customHeight="1">
      <x:c r="A37" s="135" t="str">
        <x:v>World Clock</x:v>
      </x:c>
      <x:c r="B37" s="100" t="str">
        <x:f>IF('Master'!C151="","",'Master'!C151)</x:f>
        <x:v>Apps/bots</x:v>
      </x:c>
      <x:c r="C37" s="100" t="str">
        <x:f>IF('Master'!D151="","",'Master'!D151)</x:f>
      </x:c>
      <x:c r="D37" s="100" t="str">
        <x:f>IF('Master'!E151="","",'Master'!E151)</x:f>
      </x:c>
      <x:c r="E37" s="100" t="str">
        <x:f>IF('Master'!F151="","",'Master'!F151)</x:f>
      </x:c>
      <x:c r="F37" s="100" t="str">
        <x:f>IF('Master'!G151="","",'Master'!G151)</x:f>
      </x:c>
      <x:c r="G37" s="100" t="str">
        <x:f>IF('Master'!H151="","",'Master'!H151)</x:f>
      </x:c>
      <x:c r="H37" s="100" t="str">
        <x:f>IF('Master'!I151="","",'Master'!I151)</x:f>
      </x:c>
      <x:c r="I37" s="100" t="str">
        <x:f>IF('Master'!J151="","",'Master'!J151)</x:f>
      </x:c>
      <x:c r="J37" s="100" t="str">
        <x:f>IF('Master'!K151="","",'Master'!K151)</x:f>
      </x:c>
      <x:c r="K37" s="100" t="str">
        <x:f>IF('Master'!L151="","",'Master'!L151)</x:f>
        <x:v>No dedicated embedded-app implementation documented</x:v>
      </x:c>
      <x:c r="L37" s="100" t="str">
        <x:f>IF('Master'!M151="","",'Master'!M151)</x:f>
      </x:c>
      <x:c r="M37" s="100" t="str">
        <x:f>IF('Master'!N151="","",'Master'!N151)</x:f>
      </x:c>
      <x:c r="N37" s="100" t="str">
        <x:f>IF('Master'!O151="","",'Master'!O151)</x:f>
      </x:c>
      <x:c r="O37" s="100" t="str">
        <x:f>IF('Master'!P151="","",'Master'!P151)</x:f>
      </x:c>
      <x:c r="P37" s="100" t="str">
        <x:f>IF('Master'!Q151="","",'Master'!Q151)</x:f>
      </x:c>
      <x:c r="Q37" s="100" t="str">
        <x:f>IF('Master'!R151="","",'Master'!R151)</x:f>
      </x:c>
      <x:c r="R37" s="100" t="str">
        <x:f>IF('Master'!S151="","",'Master'!S151)</x:f>
      </x:c>
      <x:c r="S37" s="100" t="str">
        <x:f>IF('Master'!T151="","",'Master'!T151)</x:f>
      </x:c>
      <x:c r="T37" s="100" t="str">
        <x:f>IF('Master'!U151="","",'Master'!U151)</x:f>
      </x:c>
      <x:c r="U37" s="100" t="str">
        <x:f>IF('Master'!V151="","",'Master'!V151)</x:f>
        <x:v>Yes — World Clock Portal</x:v>
      </x:c>
      <x:c r="V37" s="100" t="str">
        <x:f>IF('Master'!W151="","",'Master'!W151)</x:f>
      </x:c>
      <x:c r="W37" s="100" t="str">
        <x:f>IF('Master'!X151="","",'Master'!X151)</x:f>
      </x:c>
      <x:c r="X37" s="100" t="str">
        <x:f>IF('Master'!Y151="","",'Master'!Y151)</x:f>
      </x:c>
      <x:c r="Y37" s="100" t="str">
        <x:f>IF('Master'!Z151="","",'Master'!Z151)</x:f>
      </x:c>
      <x:c r="Z37" s="100" t="str">
        <x:f>IF('Master'!AA151="","",'Master'!AA151)</x:f>
      </x:c>
      <x:c r="AA37" s="104" t="str">
        <x:f>IF('Master'!AB151="","",'Master'!AB151)</x:f>
      </x:c>
      <x:c r="AB37" s="100" t="str">
        <x:f>IF('Master'!AC151="","",'Master'!AC151)</x:f>
      </x:c>
      <x:c r="AC37" s="100" t="str">
        <x:f>IF('Master'!AD151="","",'Master'!AD151)</x:f>
      </x:c>
      <x:c r="AD37" s="100" t="str">
        <x:f>IF('Master'!AE151="","",'Master'!AE151)</x:f>
      </x:c>
      <x:c r="AE37" s="100" t="str">
        <x:f>IF('Master'!AF151="","",'Master'!AF151)</x:f>
      </x:c>
      <x:c r="AF37" s="75" t="str">
        <x:f>IF('Master'!AG151="","",'Master'!AG151)</x:f>
      </x:c>
    </x:row>
    <x:row r="38" ht="36" customHeight="1">
      <x:c r="A38" s="135" t="str">
        <x:v>System Monitor</x:v>
      </x:c>
      <x:c r="B38" s="100" t="str">
        <x:f>IF('Master'!C152="","",'Master'!C152)</x:f>
        <x:v>No first-party hardware monitor</x:v>
      </x:c>
      <x:c r="C38" s="100" t="str">
        <x:f>IF('Master'!D152="","",'Master'!D152)</x:f>
      </x:c>
      <x:c r="D38" s="100" t="str">
        <x:f>IF('Master'!E152="","",'Master'!E152)</x:f>
      </x:c>
      <x:c r="E38" s="100" t="str">
        <x:f>IF('Master'!F152="","",'Master'!F152)</x:f>
      </x:c>
      <x:c r="F38" s="100" t="str">
        <x:f>IF('Master'!G152="","",'Master'!G152)</x:f>
      </x:c>
      <x:c r="G38" s="100" t="str">
        <x:f>IF('Master'!H152="","",'Master'!H152)</x:f>
      </x:c>
      <x:c r="H38" s="100" t="str">
        <x:f>IF('Master'!I152="","",'Master'!I152)</x:f>
      </x:c>
      <x:c r="I38" s="100" t="str">
        <x:f>IF('Master'!J152="","",'Master'!J152)</x:f>
      </x:c>
      <x:c r="J38" s="100" t="str">
        <x:f>IF('Master'!K152="","",'Master'!K152)</x:f>
      </x:c>
      <x:c r="K38" s="100" t="str">
        <x:f>IF('Master'!L152="","",'Master'!L152)</x:f>
        <x:v>No dedicated embedded-app implementation documented</x:v>
      </x:c>
      <x:c r="L38" s="100" t="str">
        <x:f>IF('Master'!M152="","",'Master'!M152)</x:f>
      </x:c>
      <x:c r="M38" s="100" t="str">
        <x:f>IF('Master'!N152="","",'Master'!N152)</x:f>
      </x:c>
      <x:c r="N38" s="100" t="str">
        <x:f>IF('Master'!O152="","",'Master'!O152)</x:f>
      </x:c>
      <x:c r="O38" s="100" t="str">
        <x:f>IF('Master'!P152="","",'Master'!P152)</x:f>
      </x:c>
      <x:c r="P38" s="100" t="str">
        <x:f>IF('Master'!Q152="","",'Master'!Q152)</x:f>
      </x:c>
      <x:c r="Q38" s="100" t="str">
        <x:f>IF('Master'!R152="","",'Master'!R152)</x:f>
      </x:c>
      <x:c r="R38" s="100" t="str">
        <x:f>IF('Master'!S152="","",'Master'!S152)</x:f>
      </x:c>
      <x:c r="S38" s="100" t="str">
        <x:f>IF('Master'!T152="","",'Master'!T152)</x:f>
      </x:c>
      <x:c r="T38" s="100" t="str">
        <x:f>IF('Master'!U152="","",'Master'!U152)</x:f>
      </x:c>
      <x:c r="U38" s="100" t="str">
        <x:f>IF('Master'!V152="","",'Master'!V152)</x:f>
        <x:v>Yes — desktop-only CPU/GPU/RAM/VRAM/temp/disk/network HUD</x:v>
      </x:c>
      <x:c r="V38" s="100" t="str">
        <x:f>IF('Master'!W152="","",'Master'!W152)</x:f>
      </x:c>
      <x:c r="W38" s="100" t="str">
        <x:f>IF('Master'!X152="","",'Master'!X152)</x:f>
      </x:c>
      <x:c r="X38" s="100" t="str">
        <x:f>IF('Master'!Y152="","",'Master'!Y152)</x:f>
      </x:c>
      <x:c r="Y38" s="100" t="str">
        <x:f>IF('Master'!Z152="","",'Master'!Z152)</x:f>
      </x:c>
      <x:c r="Z38" s="100" t="str">
        <x:f>IF('Master'!AA152="","",'Master'!AA152)</x:f>
      </x:c>
      <x:c r="AA38" s="104" t="str">
        <x:f>IF('Master'!AB152="","",'Master'!AB152)</x:f>
      </x:c>
      <x:c r="AB38" s="100" t="str">
        <x:f>IF('Master'!AC152="","",'Master'!AC152)</x:f>
      </x:c>
      <x:c r="AC38" s="100" t="str">
        <x:f>IF('Master'!AD152="","",'Master'!AD152)</x:f>
      </x:c>
      <x:c r="AD38" s="100" t="str">
        <x:f>IF('Master'!AE152="","",'Master'!AE152)</x:f>
      </x:c>
      <x:c r="AE38" s="100" t="str">
        <x:f>IF('Master'!AF152="","",'Master'!AF152)</x:f>
      </x:c>
      <x:c r="AF38" s="75" t="str">
        <x:f>IF('Master'!AG152="","",'Master'!AG152)</x:f>
      </x:c>
    </x:row>
    <x:row r="39" ht="22" customHeight="1">
      <x:c r="A39" s="138" t="str">
        <x:v>Developer &amp; Governance</x:v>
      </x:c>
      <x:c r="B39" s="138" t="str">
        <x:f>IF(""="","","")</x:f>
      </x:c>
      <x:c r="C39" s="138" t="str">
        <x:f>IF(""="","","")</x:f>
      </x:c>
      <x:c r="D39" s="138" t="str">
        <x:f>IF(""="","","")</x:f>
      </x:c>
      <x:c r="E39" s="138" t="str">
        <x:f>IF(""="","","")</x:f>
      </x:c>
      <x:c r="F39" s="138" t="str">
        <x:f>IF(""="","","")</x:f>
      </x:c>
      <x:c r="G39" s="138" t="str">
        <x:f>IF(""="","","")</x:f>
      </x:c>
      <x:c r="H39" s="138" t="str">
        <x:f>IF(""="","","")</x:f>
      </x:c>
      <x:c r="I39" s="138" t="str">
        <x:f>IF(""="","","")</x:f>
      </x:c>
      <x:c r="J39" s="138" t="str">
        <x:f>IF(""="","","")</x:f>
      </x:c>
      <x:c r="K39" s="138" t="str">
        <x:f>IF(""="","","")</x:f>
      </x:c>
      <x:c r="L39" s="138" t="str">
        <x:f>IF(""="","","")</x:f>
      </x:c>
      <x:c r="M39" s="138" t="str">
        <x:f>IF(""="","","")</x:f>
      </x:c>
      <x:c r="N39" s="138" t="str">
        <x:f>IF(""="","","")</x:f>
      </x:c>
      <x:c r="O39" s="138" t="str">
        <x:f>IF(""="","","")</x:f>
      </x:c>
      <x:c r="P39" s="138" t="str">
        <x:f>IF(""="","","")</x:f>
      </x:c>
      <x:c r="Q39" s="138" t="str">
        <x:f>IF(""="","","")</x:f>
      </x:c>
      <x:c r="R39" s="138" t="str">
        <x:f>IF(""="","","")</x:f>
      </x:c>
      <x:c r="S39" s="138" t="str">
        <x:f>IF(""="","","")</x:f>
      </x:c>
      <x:c r="T39" s="138" t="str">
        <x:f>IF(""="","","")</x:f>
      </x:c>
      <x:c r="U39" s="138" t="str">
        <x:f>IF(""="","","")</x:f>
      </x:c>
      <x:c r="V39" s="138" t="str">
        <x:f>IF(""="","","")</x:f>
      </x:c>
      <x:c r="W39" s="138" t="str">
        <x:f>IF(""="","","")</x:f>
      </x:c>
      <x:c r="X39" s="138" t="str">
        <x:f>IF(""="","","")</x:f>
      </x:c>
      <x:c r="Y39" s="138" t="str">
        <x:f>IF(""="","","")</x:f>
      </x:c>
      <x:c r="Z39" s="138" t="str">
        <x:f>IF(""="","","")</x:f>
      </x:c>
      <x:c r="AA39" s="138" t="str">
        <x:f>IF(""="","","")</x:f>
      </x:c>
      <x:c r="AB39" s="138" t="str">
        <x:f>IF(""="","","")</x:f>
      </x:c>
      <x:c r="AC39" s="138" t="str">
        <x:f>IF(""="","","")</x:f>
      </x:c>
      <x:c r="AD39" s="138" t="str">
        <x:f>IF(""="","","")</x:f>
      </x:c>
      <x:c r="AE39" s="138" t="str">
        <x:f>IF(""="","","")</x:f>
      </x:c>
      <x:c r="AF39" s="139" t="str">
        <x:f>IF(""="","","")</x:f>
      </x:c>
    </x:row>
    <x:row r="40" ht="36" customHeight="1">
      <x:c r="A40" s="135" t="str">
        <x:v>App Permissions / Scopes</x:v>
      </x:c>
      <x:c r="B40" s="100" t="str">
        <x:f>IF('Master'!C153="","",'Master'!C153)</x:f>
        <x:v>Yes — OAuth2 + SDK scopes</x:v>
      </x:c>
      <x:c r="C40" s="100" t="str">
        <x:f>IF('Master'!D153="","",'Master'!D153)</x:f>
      </x:c>
      <x:c r="D40" s="100" t="str">
        <x:f>IF('Master'!E153="","",'Master'!E153)</x:f>
      </x:c>
      <x:c r="E40" s="100" t="str">
        <x:f>IF('Master'!F153="","",'Master'!F153)</x:f>
      </x:c>
      <x:c r="F40" s="100" t="str">
        <x:f>IF('Master'!G153="","",'Master'!G153)</x:f>
      </x:c>
      <x:c r="G40" s="100" t="str">
        <x:f>IF('Master'!H153="","",'Master'!H153)</x:f>
      </x:c>
      <x:c r="H40" s="100" t="str">
        <x:f>IF('Master'!I153="","",'Master'!I153)</x:f>
      </x:c>
      <x:c r="I40" s="100" t="str">
        <x:f>IF('Master'!J153="","",'Master'!J153)</x:f>
      </x:c>
      <x:c r="J40" s="100" t="str">
        <x:f>IF('Master'!K153="","",'Master'!K153)</x:f>
      </x:c>
      <x:c r="K40" s="100" t="str">
        <x:f>IF('Master'!L153="","",'Master'!L153)</x:f>
        <x:v>Yes — granular REST scopes, Gateway intents, guild permissions, E2EE modes and exact-instance allow/deny policies</x:v>
      </x:c>
      <x:c r="L40" s="100" t="str">
        <x:f>IF('Master'!M153="","",'Master'!M153)</x:f>
      </x:c>
      <x:c r="M40" s="100" t="str">
        <x:f>IF('Master'!N153="","",'Master'!N153)</x:f>
      </x:c>
      <x:c r="N40" s="100" t="str">
        <x:f>IF('Master'!O153="","",'Master'!O153)</x:f>
        <x:v>Client/widget/integration dependent</x:v>
      </x:c>
      <x:c r="O40" s="100" t="str">
        <x:f>IF('Master'!P153="","",'Master'!P153)</x:f>
        <x:v>Admin/plugin permission model</x:v>
      </x:c>
      <x:c r="P40" s="100" t="str">
        <x:f>IF('Master'!Q153="","",'Master'!Q153)</x:f>
      </x:c>
      <x:c r="Q40" s="100" t="str">
        <x:f>IF('Master'!R153="","",'Master'!R153)</x:f>
      </x:c>
      <x:c r="R40" s="100" t="str">
        <x:f>IF('Master'!S153="","",'Master'!S153)</x:f>
      </x:c>
      <x:c r="S40" s="100" t="str">
        <x:f>IF('Master'!T153="","",'Master'!T153)</x:f>
      </x:c>
      <x:c r="T40" s="100" t="str">
        <x:f>IF('Master'!U153="","",'Master'!U153)</x:f>
      </x:c>
      <x:c r="U40" s="100" t="str">
        <x:f>IF('Master'!V153="","",'Master'!V153)</x:f>
        <x:v>N/A</x:v>
      </x:c>
      <x:c r="V40" s="100" t="str">
        <x:f>IF('Master'!W153="","",'Master'!W153)</x:f>
        <x:v>Apps-Engine permission model</x:v>
      </x:c>
      <x:c r="W40" s="100" t="str">
        <x:f>IF('Master'!X153="","",'Master'!X153)</x:f>
      </x:c>
      <x:c r="X40" s="100" t="str">
        <x:f>IF('Master'!Y153="","",'Master'!Y153)</x:f>
      </x:c>
      <x:c r="Y40" s="100" t="str">
        <x:f>IF('Master'!Z153="","",'Master'!Z153)</x:f>
      </x:c>
      <x:c r="Z40" s="100" t="str">
        <x:f>IF('Master'!AA153="","",'Master'!AA153)</x:f>
      </x:c>
      <x:c r="AA40" s="104" t="str">
        <x:f>IF('Master'!AB153="","",'Master'!AB153)</x:f>
      </x:c>
      <x:c r="AB40" s="100" t="str">
        <x:f>IF('Master'!AC153="","",'Master'!AC153)</x:f>
      </x:c>
      <x:c r="AC40" s="100" t="str">
        <x:f>IF('Master'!AD153="","",'Master'!AD153)</x:f>
      </x:c>
      <x:c r="AD40" s="100" t="str">
        <x:f>IF('Master'!AE153="","",'Master'!AE153)</x:f>
      </x:c>
      <x:c r="AE40" s="100" t="str">
        <x:f>IF('Master'!AF153="","",'Master'!AF153)</x:f>
      </x:c>
      <x:c r="AF40" s="75" t="str">
        <x:f>IF('Master'!AG153="","",'Master'!AG153)</x:f>
        <x:v>Bot type + API key/permissions</x:v>
      </x:c>
    </x:row>
    <x:row r="41" ht="36" customHeight="1">
      <x:c r="A41" s="135" t="str">
        <x:v>Private / Sideloaded Apps</x:v>
      </x:c>
      <x:c r="B41" s="100" t="str">
        <x:f>IF('Master'!C154="","",'Master'!C154)</x:f>
        <x:v>Development/private apps supported</x:v>
      </x:c>
      <x:c r="C41" s="100" t="str">
        <x:f>IF('Master'!D154="","",'Master'!D154)</x:f>
      </x:c>
      <x:c r="D41" s="100" t="str">
        <x:f>IF('Master'!E154="","",'Master'!E154)</x:f>
      </x:c>
      <x:c r="E41" s="100" t="str">
        <x:f>IF('Master'!F154="","",'Master'!F154)</x:f>
      </x:c>
      <x:c r="F41" s="100" t="str">
        <x:f>IF('Master'!G154="","",'Master'!G154)</x:f>
      </x:c>
      <x:c r="G41" s="100" t="str">
        <x:f>IF('Master'!H154="","",'Master'!H154)</x:f>
      </x:c>
      <x:c r="H41" s="100" t="str">
        <x:f>IF('Master'!I154="","",'Master'!I154)</x:f>
      </x:c>
      <x:c r="I41" s="100" t="str">
        <x:f>IF('Master'!J154="","",'Master'!J154)</x:f>
      </x:c>
      <x:c r="J41" s="100" t="str">
        <x:f>IF('Master'!K154="","",'Master'!K154)</x:f>
      </x:c>
      <x:c r="K41" s="100" t="str">
        <x:f>IF('Master'!L154="","",'Master'!L154)</x:f>
        <x:v>Yes — apps can be installed by invite without public-directory listing</x:v>
      </x:c>
      <x:c r="L41" s="100" t="str">
        <x:f>IF('Master'!M154="","",'Master'!M154)</x:f>
      </x:c>
      <x:c r="M41" s="100" t="str">
        <x:f>IF('Master'!N154="","",'Master'!N154)</x:f>
      </x:c>
      <x:c r="N41" s="100" t="str">
        <x:f>IF('Master'!O154="","",'Master'!O154)</x:f>
        <x:v>Custom widgets supported in Element deployments</x:v>
      </x:c>
      <x:c r="O41" s="100" t="str">
        <x:f>IF('Master'!P154="","",'Master'!P154)</x:f>
        <x:v>Yes — uploaded plugins depending admin policy</x:v>
      </x:c>
      <x:c r="P41" s="100" t="str">
        <x:f>IF('Master'!Q154="","",'Master'!Q154)</x:f>
      </x:c>
      <x:c r="Q41" s="100" t="str">
        <x:f>IF('Master'!R154="","",'Master'!R154)</x:f>
      </x:c>
      <x:c r="R41" s="100" t="str">
        <x:f>IF('Master'!S154="","",'Master'!S154)</x:f>
      </x:c>
      <x:c r="S41" s="100" t="str">
        <x:f>IF('Master'!T154="","",'Master'!T154)</x:f>
      </x:c>
      <x:c r="T41" s="100" t="str">
        <x:f>IF('Master'!U154="","",'Master'!U154)</x:f>
      </x:c>
      <x:c r="U41" s="100" t="str">
        <x:f>IF('Master'!V154="","",'Master'!V154)</x:f>
        <x:v>N/A</x:v>
      </x:c>
      <x:c r="V41" s="100" t="str">
        <x:f>IF('Master'!W154="","",'Master'!W154)</x:f>
        <x:v>Yes — private apps on supported plans</x:v>
      </x:c>
      <x:c r="W41" s="100" t="str">
        <x:f>IF('Master'!X154="","",'Master'!X154)</x:f>
      </x:c>
      <x:c r="X41" s="100" t="str">
        <x:f>IF('Master'!Y154="","",'Master'!Y154)</x:f>
      </x:c>
      <x:c r="Y41" s="100" t="str">
        <x:f>IF('Master'!Z154="","",'Master'!Z154)</x:f>
      </x:c>
      <x:c r="Z41" s="100" t="str">
        <x:f>IF('Master'!AA154="","",'Master'!AA154)</x:f>
      </x:c>
      <x:c r="AA41" s="104" t="str">
        <x:f>IF('Master'!AB154="","",'Master'!AB154)</x:f>
      </x:c>
      <x:c r="AB41" s="100" t="str">
        <x:f>IF('Master'!AC154="","",'Master'!AC154)</x:f>
      </x:c>
      <x:c r="AC41" s="100" t="str">
        <x:f>IF('Master'!AD154="","",'Master'!AD154)</x:f>
      </x:c>
      <x:c r="AD41" s="100" t="str">
        <x:f>IF('Master'!AE154="","",'Master'!AE154)</x:f>
      </x:c>
      <x:c r="AE41" s="100" t="str">
        <x:f>IF('Master'!AF154="","",'Master'!AF154)</x:f>
      </x:c>
      <x:c r="AF41" s="75" t="str">
        <x:f>IF('Master'!AG154="","",'Master'!AG154)</x:f>
        <x:v>Custom bots/integrations</x:v>
      </x:c>
    </x:row>
    <x:row r="42" ht="36" customHeight="1">
      <x:c r="A42" s="135" t="str">
        <x:v>Paid Apps / In-App Purchases</x:v>
      </x:c>
      <x:c r="B42" s="100" t="str">
        <x:f>IF('Master'!C155="","",'Master'!C155)</x:f>
        <x:v>Yes — Activity SKUs/IAP supported</x:v>
      </x:c>
      <x:c r="C42" s="100" t="str">
        <x:f>IF('Master'!D155="","",'Master'!D155)</x:f>
      </x:c>
      <x:c r="D42" s="100" t="str">
        <x:f>IF('Master'!E155="","",'Master'!E155)</x:f>
      </x:c>
      <x:c r="E42" s="100" t="str">
        <x:f>IF('Master'!F155="","",'Master'!F155)</x:f>
      </x:c>
      <x:c r="F42" s="100" t="str">
        <x:f>IF('Master'!G155="","",'Master'!G155)</x:f>
      </x:c>
      <x:c r="G42" s="100" t="str">
        <x:f>IF('Master'!H155="","",'Master'!H155)</x:f>
      </x:c>
      <x:c r="H42" s="100" t="str">
        <x:f>IF('Master'!I155="","",'Master'!I155)</x:f>
      </x:c>
      <x:c r="I42" s="100" t="str">
        <x:f>IF('Master'!J155="","",'Master'!J155)</x:f>
      </x:c>
      <x:c r="J42" s="100" t="str">
        <x:f>IF('Master'!K155="","",'Master'!K155)</x:f>
      </x:c>
      <x:c r="K42" s="100" t="str">
        <x:f>IF('Master'!L155="","",'Master'!L155)</x:f>
        <x:v>No current paid-app/IAP system documented</x:v>
      </x:c>
      <x:c r="L42" s="100" t="str">
        <x:f>IF('Master'!M155="","",'Master'!M155)</x:f>
      </x:c>
      <x:c r="M42" s="100" t="str">
        <x:f>IF('Master'!N155="","",'Master'!N155)</x:f>
      </x:c>
      <x:c r="N42" s="100" t="str">
        <x:f>IF('Master'!O155="","",'Master'!O155)</x:f>
        <x:v>Provider/app dependent</x:v>
      </x:c>
      <x:c r="O42" s="100" t="str">
        <x:f>IF('Master'!P155="","",'Master'!P155)</x:f>
        <x:v>Marketplace/plugin dependent</x:v>
      </x:c>
      <x:c r="P42" s="100" t="str">
        <x:f>IF('Master'!Q155="","",'Master'!Q155)</x:f>
      </x:c>
      <x:c r="Q42" s="100" t="str">
        <x:f>IF('Master'!R155="","",'Master'!R155)</x:f>
      </x:c>
      <x:c r="R42" s="100" t="str">
        <x:f>IF('Master'!S155="","",'Master'!S155)</x:f>
      </x:c>
      <x:c r="S42" s="100" t="str">
        <x:f>IF('Master'!T155="","",'Master'!T155)</x:f>
      </x:c>
      <x:c r="T42" s="100" t="str">
        <x:f>IF('Master'!U155="","",'Master'!U155)</x:f>
      </x:c>
      <x:c r="U42" s="100" t="str">
        <x:f>IF('Master'!V155="","",'Master'!V155)</x:f>
        <x:v>No Paid App</x:v>
      </x:c>
      <x:c r="V42" s="100" t="str">
        <x:f>IF('Master'!W155="","",'Master'!W155)</x:f>
        <x:v>Yes — paid marketplace apps</x:v>
      </x:c>
      <x:c r="W42" s="100" t="str">
        <x:f>IF('Master'!X155="","",'Master'!X155)</x:f>
      </x:c>
      <x:c r="X42" s="100" t="str">
        <x:f>IF('Master'!Y155="","",'Master'!Y155)</x:f>
      </x:c>
      <x:c r="Y42" s="100" t="str">
        <x:f>IF('Master'!Z155="","",'Master'!Z155)</x:f>
      </x:c>
      <x:c r="Z42" s="100" t="str">
        <x:f>IF('Master'!AA155="","",'Master'!AA155)</x:f>
      </x:c>
      <x:c r="AA42" s="104" t="str">
        <x:f>IF('Master'!AB155="","",'Master'!AB155)</x:f>
      </x:c>
      <x:c r="AB42" s="100" t="str">
        <x:f>IF('Master'!AC155="","",'Master'!AC155)</x:f>
      </x:c>
      <x:c r="AC42" s="100" t="str">
        <x:f>IF('Master'!AD155="","",'Master'!AD155)</x:f>
      </x:c>
      <x:c r="AD42" s="100" t="str">
        <x:f>IF('Master'!AE155="","",'Master'!AE155)</x:f>
      </x:c>
      <x:c r="AE42" s="100" t="str">
        <x:f>IF('Master'!AF155="","",'Master'!AF155)</x:f>
      </x:c>
      <x:c r="AF42" s="75" t="str">
        <x:f>IF('Master'!AG155="","",'Master'!AG155)</x:f>
        <x:v>Integration vendor dependent</x:v>
      </x:c>
    </x:row>
    <x:row r="43" ht="36" customHeight="1">
      <x:c r="A43" s="135" t="str">
        <x:v>Embedded App Notes</x:v>
      </x:c>
      <x:c r="B43" s="100" t="str">
        <x:f>IF('Master'!C156="","",'Master'!C156)</x:f>
        <x:v>Activities are iframe web apps designed for games, social experiences, co-watching and collaborative tools.</x:v>
      </x:c>
      <x:c r="C43" s="100" t="str">
        <x:f>IF('Master'!D156="","",'Master'!D156)</x:f>
      </x:c>
      <x:c r="D43" s="100" t="str">
        <x:f>IF('Master'!E156="","",'Master'!E156)</x:f>
      </x:c>
      <x:c r="E43" s="100" t="str">
        <x:f>IF('Master'!F156="","",'Master'!F156)</x:f>
      </x:c>
      <x:c r="F43" s="100" t="str">
        <x:f>IF('Master'!G156="","",'Master'!G156)</x:f>
      </x:c>
      <x:c r="G43" s="100" t="str">
        <x:f>IF('Master'!H156="","",'Master'!H156)</x:f>
      </x:c>
      <x:c r="H43" s="100" t="str">
        <x:f>IF('Master'!I156="","",'Master'!I156)</x:f>
      </x:c>
      <x:c r="I43" s="100" t="str">
        <x:f>IF('Master'!J156="","",'Master'!J156)</x:f>
      </x:c>
      <x:c r="J43" s="100" t="str">
        <x:f>IF('Master'!K156="","",'Master'!K156)</x:f>
      </x:c>
      <x:c r="K43" s="100" t="str">
        <x:f>IF('Master'!L156="","",'Master'!L156)</x:f>
        <x:v>Bot/application ecosystem with Developer Portal, federated installs and App Directory; not a Discord Activity/iframe model</x:v>
      </x:c>
      <x:c r="L43" s="100" t="str">
        <x:f>IF('Master'!M156="","",'Master'!M156)</x:f>
      </x:c>
      <x:c r="M43" s="100" t="str">
        <x:f>IF('Master'!N156="","",'Master'!N156)</x:f>
      </x:c>
      <x:c r="N43" s="100" t="str">
        <x:f>IF('Master'!O156="","",'Master'!O156)</x:f>
        <x:v>Do not treat Element widget support as a Matrix-wide guarantee; behavior is client/integration-manager dependent.</x:v>
      </x:c>
      <x:c r="O43" s="100" t="str">
        <x:f>IF('Master'!P156="","",'Master'!P156)</x:f>
        <x:v>Plugin webapps can deeply extend client UI but are admin-installed extensions rather than a consumer-style Activity launcher.</x:v>
      </x:c>
      <x:c r="P43" s="100" t="str">
        <x:f>IF('Master'!Q156="","",'Master'!Q156)</x:f>
      </x:c>
      <x:c r="Q43" s="100" t="str">
        <x:f>IF('Master'!R156="","",'Master'!R156)</x:f>
      </x:c>
      <x:c r="R43" s="100" t="str">
        <x:f>IF('Master'!S156="","",'Master'!S156)</x:f>
      </x:c>
      <x:c r="S43" s="100" t="str">
        <x:f>IF('Master'!T156="","",'Master'!T156)</x:f>
      </x:c>
      <x:c r="T43" s="100" t="str">
        <x:f>IF('Master'!U156="","",'Master'!U156)</x:f>
      </x:c>
      <x:c r="U43" s="100" t="str">
        <x:f>IF('Master'!V156="","",'Master'!V156)</x:f>
        <x:v>Portals are a core workspace model: draggable/resizable apps beside chat, with saved layouts. Rift also documents experimental Studio, Arcade and Tabletop.</x:v>
      </x:c>
      <x:c r="V43" s="100" t="str">
        <x:f>IF('Master'!W156="","",'Master'!W156)</x:f>
        <x:v>Apps-Engine/Marketplace extends a workspace; app UI model varies by app.</x:v>
      </x:c>
      <x:c r="W43" s="100" t="str">
        <x:f>IF('Master'!X156="","",'Master'!X156)</x:f>
      </x:c>
      <x:c r="X43" s="100" t="str">
        <x:f>IF('Master'!Y156="","",'Master'!Y156)</x:f>
      </x:c>
      <x:c r="Y43" s="100" t="str">
        <x:f>IF('Master'!Z156="","",'Master'!Z156)</x:f>
      </x:c>
      <x:c r="Z43" s="100" t="str">
        <x:f>IF('Master'!AA156="","",'Master'!AA156)</x:f>
      </x:c>
      <x:c r="AA43" s="104" t="str">
        <x:f>IF('Master'!AB156="","",'Master'!AB156)</x:f>
      </x:c>
      <x:c r="AB43" s="100" t="str">
        <x:f>IF('Master'!AC156="","",'Master'!AC156)</x:f>
      </x:c>
      <x:c r="AC43" s="100" t="str">
        <x:f>IF('Master'!AD156="","",'Master'!AD156)</x:f>
      </x:c>
      <x:c r="AD43" s="100" t="str">
        <x:f>IF('Master'!AE156="","",'Master'!AE156)</x:f>
      </x:c>
      <x:c r="AE43" s="100" t="str">
        <x:f>IF('Master'!AF156="","",'Master'!AF156)</x:f>
      </x:c>
      <x:c r="AF43" s="75" t="str">
        <x:f>IF('Master'!AG156="","",'Master'!AG156)</x:f>
        <x:v>Extensibility is strong through bots, webhooks and 120+ integrations, but not as an embedded-app workspace.</x:v>
      </x:c>
    </x:row>
  </x:sheetData>
  <x:mergeCells>
    <x:mergeCell ref="A1:AF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Directory'!A1","Community, Channel &amp; Usage Limits"),"Community, Channel &amp; Usage Limits")</x:f>
        <x:v>Community, Channel &amp; Usage Limits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Membership &amp; Communities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Max Communities / Servers Joined (Free)</x:v>
      </x:c>
      <x:c r="B4" s="100" t="str">
        <x:f>IF('Master'!C157="","",'Master'!C157)</x:f>
        <x:v>100</x:v>
      </x:c>
      <x:c r="C4" s="100" t="str">
        <x:f>IF('Master'!D157="","",'Master'!D157)</x:f>
      </x:c>
      <x:c r="D4" s="100" t="str">
        <x:f>IF('Master'!E157="","",'Master'!E157)</x:f>
      </x:c>
      <x:c r="E4" s="100" t="str">
        <x:f>IF('Master'!F157="","",'Master'!F157)</x:f>
      </x:c>
      <x:c r="F4" s="100" t="str">
        <x:f>IF('Master'!G157="","",'Master'!G157)</x:f>
      </x:c>
      <x:c r="G4" s="100" t="str">
        <x:f>IF('Master'!H157="","",'Master'!H157)</x:f>
        <x:v>100</x:v>
      </x:c>
      <x:c r="H4" s="100" t="str">
        <x:f>IF('Master'!I157="","",'Master'!I157)</x:f>
      </x:c>
      <x:c r="I4" s="100" t="str">
        <x:f>IF('Master'!J157="","",'Master'!J157)</x:f>
      </x:c>
      <x:c r="J4" s="100" t="str">
        <x:f>IF('Master'!K157="","",'Master'!K157)</x:f>
      </x:c>
      <x:c r="K4" s="100" t="str">
        <x:f>IF('Master'!L157="","",'Master'!L157)</x:f>
      </x:c>
      <x:c r="L4" s="100" t="str">
        <x:f>IF('Master'!M157="","",'Master'!M157)</x:f>
      </x:c>
      <x:c r="M4" s="100" t="str">
        <x:f>IF('Master'!N157="","",'Master'!N157)</x:f>
      </x:c>
      <x:c r="N4" s="100" t="str">
        <x:f>IF('Master'!O157="","",'Master'!O157)</x:f>
      </x:c>
      <x:c r="O4" s="100" t="str">
        <x:f>IF('Master'!P157="","",'Master'!P157)</x:f>
      </x:c>
      <x:c r="P4" s="100" t="str">
        <x:f>IF('Master'!Q157="","",'Master'!Q157)</x:f>
      </x:c>
      <x:c r="Q4" s="100" t="str">
        <x:f>IF('Master'!R157="","",'Master'!R157)</x:f>
      </x:c>
      <x:c r="R4" s="100" t="str">
        <x:f>IF('Master'!S157="","",'Master'!S157)</x:f>
      </x:c>
      <x:c r="S4" s="100" t="str">
        <x:f>IF('Master'!T157="","",'Master'!T157)</x:f>
      </x:c>
      <x:c r="T4" s="100" t="str">
        <x:f>IF('Master'!U157="","",'Master'!U157)</x:f>
      </x:c>
      <x:c r="U4" s="100" t="str">
        <x:f>IF('Master'!V157="","",'Master'!V157)</x:f>
        <x:v>Unlimited Shards (published plan)</x:v>
      </x:c>
      <x:c r="V4" s="100" t="str">
        <x:f>IF('Master'!W157="","",'Master'!W157)</x:f>
      </x:c>
      <x:c r="W4" s="100" t="str">
        <x:f>IF('Master'!X157="","",'Master'!X157)</x:f>
      </x:c>
      <x:c r="X4" s="100" t="str">
        <x:f>IF('Master'!Y157="","",'Master'!Y157)</x:f>
      </x:c>
      <x:c r="Y4" s="100" t="str">
        <x:f>IF('Master'!Z157="","",'Master'!Z157)</x:f>
      </x:c>
      <x:c r="Z4" s="100" t="str">
        <x:f>IF('Master'!AA157="","",'Master'!AA157)</x:f>
      </x:c>
      <x:c r="AA4" s="104" t="str">
        <x:f>IF('Master'!AB157="","",'Master'!AB157)</x:f>
      </x:c>
      <x:c r="AB4" s="100" t="str">
        <x:f>IF('Master'!AC157="","",'Master'!AC157)</x:f>
      </x:c>
      <x:c r="AC4" s="100" t="str">
        <x:f>IF('Master'!AD157="","",'Master'!AD157)</x:f>
      </x:c>
      <x:c r="AD4" s="100" t="str">
        <x:f>IF('Master'!AE157="","",'Master'!AE157)</x:f>
      </x:c>
      <x:c r="AE4" s="100" t="str">
        <x:f>IF('Master'!AF157="","",'Master'!AF157)</x:f>
      </x:c>
      <x:c r="AF4" s="75" t="str">
        <x:f>IF('Master'!AG157="","",'Master'!AG157)</x:f>
      </x:c>
    </x:row>
    <x:row r="5" ht="36" customHeight="1">
      <x:c r="A5" s="135" t="str">
        <x:v>Max Communities / Servers Joined (Paid)</x:v>
      </x:c>
      <x:c r="B5" s="100" t="str">
        <x:f>IF('Master'!C158="","",'Master'!C158)</x:f>
        <x:v>200 with Nitro</x:v>
      </x:c>
      <x:c r="C5" s="100" t="str">
        <x:f>IF('Master'!D158="","",'Master'!D158)</x:f>
      </x:c>
      <x:c r="D5" s="100" t="str">
        <x:f>IF('Master'!E158="","",'Master'!E158)</x:f>
      </x:c>
      <x:c r="E5" s="100" t="str">
        <x:f>IF('Master'!F158="","",'Master'!F158)</x:f>
      </x:c>
      <x:c r="F5" s="100" t="str">
        <x:f>IF('Master'!G158="","",'Master'!G158)</x:f>
      </x:c>
      <x:c r="G5" s="100" t="str">
        <x:f>IF('Master'!H158="","",'Master'!H158)</x:f>
        <x:v>200</x:v>
      </x:c>
      <x:c r="H5" s="100" t="str">
        <x:f>IF('Master'!I158="","",'Master'!I158)</x:f>
      </x:c>
      <x:c r="I5" s="100" t="str">
        <x:f>IF('Master'!J158="","",'Master'!J158)</x:f>
      </x:c>
      <x:c r="J5" s="100" t="str">
        <x:f>IF('Master'!K158="","",'Master'!K158)</x:f>
      </x:c>
      <x:c r="K5" s="100" t="str">
        <x:f>IF('Master'!L158="","",'Master'!L158)</x:f>
      </x:c>
      <x:c r="L5" s="100" t="str">
        <x:f>IF('Master'!M158="","",'Master'!M158)</x:f>
      </x:c>
      <x:c r="M5" s="100" t="str">
        <x:f>IF('Master'!N158="","",'Master'!N158)</x:f>
      </x:c>
      <x:c r="N5" s="100" t="str">
        <x:f>IF('Master'!O158="","",'Master'!O158)</x:f>
      </x:c>
      <x:c r="O5" s="100" t="str">
        <x:f>IF('Master'!P158="","",'Master'!P158)</x:f>
      </x:c>
      <x:c r="P5" s="100" t="str">
        <x:f>IF('Master'!Q158="","",'Master'!Q158)</x:f>
      </x:c>
      <x:c r="Q5" s="100" t="str">
        <x:f>IF('Master'!R158="","",'Master'!R158)</x:f>
      </x:c>
      <x:c r="R5" s="100" t="str">
        <x:f>IF('Master'!S158="","",'Master'!S158)</x:f>
      </x:c>
      <x:c r="S5" s="100" t="str">
        <x:f>IF('Master'!T158="","",'Master'!T158)</x:f>
      </x:c>
      <x:c r="T5" s="100" t="str">
        <x:f>IF('Master'!U158="","",'Master'!U158)</x:f>
      </x:c>
      <x:c r="U5" s="100" t="str">
        <x:f>IF('Master'!V158="","",'Master'!V158)</x:f>
        <x:v>Unlimited Shards</x:v>
      </x:c>
      <x:c r="V5" s="100" t="str">
        <x:f>IF('Master'!W158="","",'Master'!W158)</x:f>
      </x:c>
      <x:c r="W5" s="100" t="str">
        <x:f>IF('Master'!X158="","",'Master'!X158)</x:f>
      </x:c>
      <x:c r="X5" s="100" t="str">
        <x:f>IF('Master'!Y158="","",'Master'!Y158)</x:f>
      </x:c>
      <x:c r="Y5" s="100" t="str">
        <x:f>IF('Master'!Z158="","",'Master'!Z158)</x:f>
      </x:c>
      <x:c r="Z5" s="100" t="str">
        <x:f>IF('Master'!AA158="","",'Master'!AA158)</x:f>
      </x:c>
      <x:c r="AA5" s="104" t="str">
        <x:f>IF('Master'!AB158="","",'Master'!AB158)</x:f>
      </x:c>
      <x:c r="AB5" s="100" t="str">
        <x:f>IF('Master'!AC158="","",'Master'!AC158)</x:f>
      </x:c>
      <x:c r="AC5" s="100" t="str">
        <x:f>IF('Master'!AD158="","",'Master'!AD158)</x:f>
      </x:c>
      <x:c r="AD5" s="100" t="str">
        <x:f>IF('Master'!AE158="","",'Master'!AE158)</x:f>
      </x:c>
      <x:c r="AE5" s="100" t="str">
        <x:f>IF('Master'!AF158="","",'Master'!AF158)</x:f>
      </x:c>
      <x:c r="AF5" s="75" t="str">
        <x:f>IF('Master'!AG158="","",'Master'!AG158)</x:f>
      </x:c>
    </x:row>
    <x:row r="6" ht="36" customHeight="1">
      <x:c r="A6" s="135" t="str">
        <x:v>Max Members per Community (Free)</x:v>
      </x:c>
      <x:c r="B6" s="100" t="str">
        <x:f>IF('Master'!C159="","",'Master'!C159)</x:f>
      </x:c>
      <x:c r="C6" s="100" t="str">
        <x:f>IF('Master'!D159="","",'Master'!D159)</x:f>
      </x:c>
      <x:c r="D6" s="100" t="str">
        <x:f>IF('Master'!E159="","",'Master'!E159)</x:f>
      </x:c>
      <x:c r="E6" s="100" t="str">
        <x:f>IF('Master'!F159="","",'Master'!F159)</x:f>
      </x:c>
      <x:c r="F6" s="100" t="str">
        <x:f>IF('Master'!G159="","",'Master'!G159)</x:f>
      </x:c>
      <x:c r="G6" s="100" t="str">
        <x:f>IF('Master'!H159="","",'Master'!H159)</x:f>
      </x:c>
      <x:c r="H6" s="100" t="str">
        <x:f>IF('Master'!I159="","",'Master'!I159)</x:f>
        <x:v>100</x:v>
      </x:c>
      <x:c r="I6" s="100" t="str">
        <x:f>IF('Master'!J159="","",'Master'!J159)</x:f>
      </x:c>
      <x:c r="J6" s="100" t="str">
        <x:f>IF('Master'!K159="","",'Master'!K159)</x:f>
      </x:c>
      <x:c r="K6" s="100" t="str">
        <x:f>IF('Master'!L159="","",'Master'!L159)</x:f>
      </x:c>
      <x:c r="L6" s="100" t="str">
        <x:f>IF('Master'!M159="","",'Master'!M159)</x:f>
      </x:c>
      <x:c r="M6" s="100" t="str">
        <x:f>IF('Master'!N159="","",'Master'!N159)</x:f>
      </x:c>
      <x:c r="N6" s="100" t="str">
        <x:f>IF('Master'!O159="","",'Master'!O159)</x:f>
      </x:c>
      <x:c r="O6" s="100" t="str">
        <x:f>IF('Master'!P159="","",'Master'!P159)</x:f>
      </x:c>
      <x:c r="P6" s="100" t="str">
        <x:f>IF('Master'!Q159="","",'Master'!Q159)</x:f>
        <x:v>No published member cap / thousands supported</x:v>
      </x:c>
      <x:c r="Q6" s="100" t="str">
        <x:f>IF('Master'!R159="","",'Master'!R159)</x:f>
      </x:c>
      <x:c r="R6" s="100" t="str">
        <x:f>IF('Master'!S159="","",'Master'!S159)</x:f>
      </x:c>
      <x:c r="S6" s="100" t="str">
        <x:f>IF('Master'!T159="","",'Master'!T159)</x:f>
      </x:c>
      <x:c r="T6" s="100" t="str">
        <x:f>IF('Master'!U159="","",'Master'!U159)</x:f>
      </x:c>
      <x:c r="U6" s="100" t="str">
        <x:f>IF('Master'!V159="","",'Master'!V159)</x:f>
        <x:v>Unlimited</x:v>
      </x:c>
      <x:c r="V6" s="100" t="str">
        <x:f>IF('Master'!W159="","",'Master'!W159)</x:f>
      </x:c>
      <x:c r="W6" s="100" t="str">
        <x:f>IF('Master'!X159="","",'Master'!X159)</x:f>
      </x:c>
      <x:c r="X6" s="100" t="str">
        <x:f>IF('Master'!Y159="","",'Master'!Y159)</x:f>
      </x:c>
      <x:c r="Y6" s="100" t="str">
        <x:f>IF('Master'!Z159="","",'Master'!Z159)</x:f>
      </x:c>
      <x:c r="Z6" s="100" t="str">
        <x:f>IF('Master'!AA159="","",'Master'!AA159)</x:f>
      </x:c>
      <x:c r="AA6" s="104" t="str">
        <x:f>IF('Master'!AB159="","",'Master'!AB159)</x:f>
        <x:v>32 slots self-host free</x:v>
      </x:c>
      <x:c r="AB6" s="100" t="str">
        <x:f>IF('Master'!AC159="","",'Master'!AC159)</x:f>
      </x:c>
      <x:c r="AC6" s="100" t="str">
        <x:f>IF('Master'!AD159="","",'Master'!AD159)</x:f>
      </x:c>
      <x:c r="AD6" s="100" t="str">
        <x:f>IF('Master'!AE159="","",'Master'!AE159)</x:f>
        <x:v>No seat limits for using public lobbies</x:v>
      </x:c>
      <x:c r="AE6" s="100" t="str">
        <x:f>IF('Master'!AF159="","",'Master'!AF159)</x:f>
      </x:c>
      <x:c r="AF6" s="75" t="str">
        <x:f>IF('Master'!AG159="","",'Master'!AG159)</x:f>
      </x:c>
    </x:row>
    <x:row r="7" ht="36" customHeight="1">
      <x:c r="A7" s="135" t="str">
        <x:v>Max Members per Community (Paid)</x:v>
      </x:c>
      <x:c r="B7" s="100" t="str">
        <x:f>IF('Master'!C160="","",'Master'!C160)</x:f>
      </x:c>
      <x:c r="C7" s="100" t="str">
        <x:f>IF('Master'!D160="","",'Master'!D160)</x:f>
      </x:c>
      <x:c r="D7" s="100" t="str">
        <x:f>IF('Master'!E160="","",'Master'!E160)</x:f>
      </x:c>
      <x:c r="E7" s="100" t="str">
        <x:f>IF('Master'!F160="","",'Master'!F160)</x:f>
      </x:c>
      <x:c r="F7" s="100" t="str">
        <x:f>IF('Master'!G160="","",'Master'!G160)</x:f>
      </x:c>
      <x:c r="G7" s="100" t="str">
        <x:f>IF('Master'!H160="","",'Master'!H160)</x:f>
      </x:c>
      <x:c r="H7" s="100" t="str">
        <x:f>IF('Master'!I160="","",'Master'!I160)</x:f>
        <x:v>200 Silver / 500 Gold / Unlimited Diamond</x:v>
      </x:c>
      <x:c r="I7" s="100" t="str">
        <x:f>IF('Master'!J160="","",'Master'!J160)</x:f>
      </x:c>
      <x:c r="J7" s="100" t="str">
        <x:f>IF('Master'!K160="","",'Master'!K160)</x:f>
      </x:c>
      <x:c r="K7" s="100" t="str">
        <x:f>IF('Master'!L160="","",'Master'!L160)</x:f>
      </x:c>
      <x:c r="L7" s="100" t="str">
        <x:f>IF('Master'!M160="","",'Master'!M160)</x:f>
      </x:c>
      <x:c r="M7" s="100" t="str">
        <x:f>IF('Master'!N160="","",'Master'!N160)</x:f>
      </x:c>
      <x:c r="N7" s="100" t="str">
        <x:f>IF('Master'!O160="","",'Master'!O160)</x:f>
      </x:c>
      <x:c r="O7" s="100" t="str">
        <x:f>IF('Master'!P160="","",'Master'!P160)</x:f>
      </x:c>
      <x:c r="P7" s="100" t="str">
        <x:f>IF('Master'!Q160="","",'Master'!Q160)</x:f>
      </x:c>
      <x:c r="Q7" s="100" t="str">
        <x:f>IF('Master'!R160="","",'Master'!R160)</x:f>
      </x:c>
      <x:c r="R7" s="100" t="str">
        <x:f>IF('Master'!S160="","",'Master'!S160)</x:f>
      </x:c>
      <x:c r="S7" s="100" t="str">
        <x:f>IF('Master'!T160="","",'Master'!T160)</x:f>
      </x:c>
      <x:c r="T7" s="100" t="str">
        <x:f>IF('Master'!U160="","",'Master'!U160)</x:f>
      </x:c>
      <x:c r="U7" s="100" t="str">
        <x:f>IF('Master'!V160="","",'Master'!V160)</x:f>
        <x:v>Unlimited</x:v>
      </x:c>
      <x:c r="V7" s="100" t="str">
        <x:f>IF('Master'!W160="","",'Master'!W160)</x:f>
      </x:c>
      <x:c r="W7" s="100" t="str">
        <x:f>IF('Master'!X160="","",'Master'!X160)</x:f>
      </x:c>
      <x:c r="X7" s="100" t="str">
        <x:f>IF('Master'!Y160="","",'Master'!Y160)</x:f>
      </x:c>
      <x:c r="Y7" s="100" t="str">
        <x:f>IF('Master'!Z160="","",'Master'!Z160)</x:f>
      </x:c>
      <x:c r="Z7" s="100" t="str">
        <x:f>IF('Master'!AA160="","",'Master'!AA160)</x:f>
      </x:c>
      <x:c r="AA7" s="104" t="str">
        <x:f>IF('Master'!AB160="","",'Master'!AB160)</x:f>
        <x:v>Hosted 11/27/64 incl. bonus; self-host up to 1024 licensed</x:v>
      </x:c>
      <x:c r="AB7" s="100" t="str">
        <x:f>IF('Master'!AC160="","",'Master'!AC160)</x:f>
      </x:c>
      <x:c r="AC7" s="100" t="str">
        <x:f>IF('Master'!AD160="","",'Master'!AD160)</x:f>
      </x:c>
      <x:c r="AD7" s="100" t="str">
        <x:f>IF('Master'!AE160="","",'Master'!AE160)</x:f>
      </x:c>
      <x:c r="AE7" s="100" t="str">
        <x:f>IF('Master'!AF160="","",'Master'!AF160)</x:f>
      </x:c>
      <x:c r="AF7" s="75" t="str">
        <x:f>IF('Master'!AG160="","",'Master'!AG160)</x:f>
      </x:c>
    </x:row>
    <x:row r="8" ht="36" customHeight="1">
      <x:c r="A8" s="135" t="str">
        <x:v>Unlimited Members Available?</x:v>
      </x:c>
      <x:c r="B8" s="100" t="str">
        <x:f>IF('Master'!C161="","",'Master'!C161)</x:f>
      </x:c>
      <x:c r="C8" s="100" t="str">
        <x:f>IF('Master'!D161="","",'Master'!D161)</x:f>
      </x:c>
      <x:c r="D8" s="100" t="str">
        <x:f>IF('Master'!E161="","",'Master'!E161)</x:f>
      </x:c>
      <x:c r="E8" s="100" t="str">
        <x:f>IF('Master'!F161="","",'Master'!F161)</x:f>
      </x:c>
      <x:c r="F8" s="100" t="str">
        <x:f>IF('Master'!G161="","",'Master'!G161)</x:f>
      </x:c>
      <x:c r="G8" s="100" t="str">
        <x:f>IF('Master'!H161="","",'Master'!H161)</x:f>
      </x:c>
      <x:c r="H8" s="100" t="str">
        <x:f>IF('Master'!I161="","",'Master'!I161)</x:f>
        <x:v>Yes — Diamond</x:v>
      </x:c>
      <x:c r="I8" s="100" t="str">
        <x:f>IF('Master'!J161="","",'Master'!J161)</x:f>
      </x:c>
      <x:c r="J8" s="100" t="str">
        <x:f>IF('Master'!K161="","",'Master'!K161)</x:f>
      </x:c>
      <x:c r="K8" s="100" t="str">
        <x:f>IF('Master'!L161="","",'Master'!L161)</x:f>
      </x:c>
      <x:c r="L8" s="100" t="str">
        <x:f>IF('Master'!M161="","",'Master'!M161)</x:f>
      </x:c>
      <x:c r="M8" s="100" t="str">
        <x:f>IF('Master'!N161="","",'Master'!N161)</x:f>
      </x:c>
      <x:c r="N8" s="100" t="str">
        <x:f>IF('Master'!O161="","",'Master'!O161)</x:f>
      </x:c>
      <x:c r="O8" s="100" t="str">
        <x:f>IF('Master'!P161="","",'Master'!P161)</x:f>
      </x:c>
      <x:c r="P8" s="100" t="str">
        <x:f>IF('Master'!Q161="","",'Master'!Q161)</x:f>
        <x:v>Yes / no published Clan cap</x:v>
      </x:c>
      <x:c r="Q8" s="100" t="str">
        <x:f>IF('Master'!R161="","",'Master'!R161)</x:f>
      </x:c>
      <x:c r="R8" s="100" t="str">
        <x:f>IF('Master'!S161="","",'Master'!S161)</x:f>
      </x:c>
      <x:c r="S8" s="100" t="str">
        <x:f>IF('Master'!T161="","",'Master'!T161)</x:f>
      </x:c>
      <x:c r="T8" s="100" t="str">
        <x:f>IF('Master'!U161="","",'Master'!U161)</x:f>
      </x:c>
      <x:c r="U8" s="100" t="str">
        <x:f>IF('Master'!V161="","",'Master'!V161)</x:f>
        <x:v>Yes</x:v>
      </x:c>
      <x:c r="V8" s="100" t="str">
        <x:f>IF('Master'!W161="","",'Master'!W161)</x:f>
      </x:c>
      <x:c r="W8" s="100" t="str">
        <x:f>IF('Master'!X161="","",'Master'!X161)</x:f>
      </x:c>
      <x:c r="X8" s="100" t="str">
        <x:f>IF('Master'!Y161="","",'Master'!Y161)</x:f>
      </x:c>
      <x:c r="Y8" s="100" t="str">
        <x:f>IF('Master'!Z161="","",'Master'!Z161)</x:f>
      </x:c>
      <x:c r="Z8" s="100" t="str">
        <x:f>IF('Master'!AA161="","",'Master'!AA161)</x:f>
      </x:c>
      <x:c r="AA8" s="104" t="str">
        <x:f>IF('Master'!AB161="","",'Master'!AB161)</x:f>
      </x:c>
      <x:c r="AB8" s="100" t="str">
        <x:f>IF('Master'!AC161="","",'Master'!AC161)</x:f>
      </x:c>
      <x:c r="AC8" s="100" t="str">
        <x:f>IF('Master'!AD161="","",'Master'!AD161)</x:f>
      </x:c>
      <x:c r="AD8" s="100" t="str">
        <x:f>IF('Master'!AE161="","",'Master'!AE161)</x:f>
        <x:v>No seat limits for platform use; custom builds sized by community</x:v>
      </x:c>
      <x:c r="AE8" s="100" t="str">
        <x:f>IF('Master'!AF161="","",'Master'!AF161)</x:f>
      </x:c>
      <x:c r="AF8" s="75" t="str">
        <x:f>IF('Master'!AG161="","",'Master'!AG161)</x:f>
      </x:c>
    </x:row>
    <x:row r="9" ht="22" customHeight="1">
      <x:c r="A9" s="138" t="str">
        <x:v>Channels &amp; Roles</x:v>
      </x:c>
      <x:c r="B9" s="138" t="str">
        <x:f>IF(""="","","")</x:f>
      </x:c>
      <x:c r="C9" s="138" t="str">
        <x:f>IF(""="","","")</x:f>
      </x:c>
      <x:c r="D9" s="138" t="str">
        <x:f>IF(""="","","")</x:f>
      </x:c>
      <x:c r="E9" s="138" t="str">
        <x:f>IF(""="","","")</x:f>
      </x:c>
      <x:c r="F9" s="138" t="str">
        <x:f>IF(""="","","")</x:f>
      </x:c>
      <x:c r="G9" s="138" t="str">
        <x:f>IF(""="","","")</x:f>
      </x:c>
      <x:c r="H9" s="138" t="str">
        <x:f>IF(""="","","")</x:f>
      </x:c>
      <x:c r="I9" s="138" t="str">
        <x:f>IF(""="","","")</x:f>
      </x:c>
      <x:c r="J9" s="138" t="str">
        <x:f>IF(""="","","")</x:f>
      </x:c>
      <x:c r="K9" s="138" t="str">
        <x:f>IF(""="","","")</x:f>
      </x:c>
      <x:c r="L9" s="138" t="str">
        <x:f>IF(""="","","")</x:f>
      </x:c>
      <x:c r="M9" s="138" t="str">
        <x:f>IF(""="","","")</x:f>
      </x:c>
      <x:c r="N9" s="138" t="str">
        <x:f>IF(""="","","")</x:f>
      </x:c>
      <x:c r="O9" s="138" t="str">
        <x:f>IF(""="","","")</x:f>
      </x:c>
      <x:c r="P9" s="138" t="str">
        <x:f>IF(""="","","")</x:f>
      </x:c>
      <x:c r="Q9" s="138" t="str">
        <x:f>IF(""="","","")</x:f>
      </x:c>
      <x:c r="R9" s="138" t="str">
        <x:f>IF(""="","","")</x:f>
      </x:c>
      <x:c r="S9" s="138" t="str">
        <x:f>IF(""="","","")</x:f>
      </x:c>
      <x:c r="T9" s="138" t="str">
        <x:f>IF(""="","","")</x:f>
      </x:c>
      <x:c r="U9" s="138" t="str">
        <x:f>IF(""="","","")</x:f>
      </x:c>
      <x:c r="V9" s="138" t="str">
        <x:f>IF(""="","","")</x:f>
      </x:c>
      <x:c r="W9" s="138" t="str">
        <x:f>IF(""="","","")</x:f>
      </x:c>
      <x:c r="X9" s="138" t="str">
        <x:f>IF(""="","","")</x:f>
      </x:c>
      <x:c r="Y9" s="138" t="str">
        <x:f>IF(""="","","")</x:f>
      </x:c>
      <x:c r="Z9" s="138" t="str">
        <x:f>IF(""="","","")</x:f>
      </x:c>
      <x:c r="AA9" s="138" t="str">
        <x:f>IF(""="","","")</x:f>
      </x:c>
      <x:c r="AB9" s="138" t="str">
        <x:f>IF(""="","","")</x:f>
      </x:c>
      <x:c r="AC9" s="138" t="str">
        <x:f>IF(""="","","")</x:f>
      </x:c>
      <x:c r="AD9" s="138" t="str">
        <x:f>IF(""="","","")</x:f>
      </x:c>
      <x:c r="AE9" s="138" t="str">
        <x:f>IF(""="","","")</x:f>
      </x:c>
      <x:c r="AF9" s="139" t="str">
        <x:f>IF(""="","","")</x:f>
      </x:c>
    </x:row>
    <x:row r="10" ht="36" customHeight="1">
      <x:c r="A10" s="135" t="str">
        <x:v>Max Text Channels</x:v>
      </x:c>
      <x:c r="B10" s="100" t="str">
        <x:f>IF('Master'!C162="","",'Master'!C162)</x:f>
      </x:c>
      <x:c r="C10" s="100" t="str">
        <x:f>IF('Master'!D162="","",'Master'!D162)</x:f>
      </x:c>
      <x:c r="D10" s="100" t="str">
        <x:f>IF('Master'!E162="","",'Master'!E162)</x:f>
      </x:c>
      <x:c r="E10" s="100" t="str">
        <x:f>IF('Master'!F162="","",'Master'!F162)</x:f>
      </x:c>
      <x:c r="F10" s="100" t="str">
        <x:f>IF('Master'!G162="","",'Master'!G162)</x:f>
      </x:c>
      <x:c r="G10" s="100" t="str">
        <x:f>IF('Master'!H162="","",'Master'!H162)</x:f>
      </x:c>
      <x:c r="H10" s="100" t="str">
        <x:f>IF('Master'!I162="","",'Master'!I162)</x:f>
      </x:c>
      <x:c r="I10" s="100" t="str">
        <x:f>IF('Master'!J162="","",'Master'!J162)</x:f>
      </x:c>
      <x:c r="J10" s="100" t="str">
        <x:f>IF('Master'!K162="","",'Master'!K162)</x:f>
      </x:c>
      <x:c r="K10" s="100" t="str">
        <x:f>IF('Master'!L162="","",'Master'!L162)</x:f>
      </x:c>
      <x:c r="L10" s="100" t="str">
        <x:f>IF('Master'!M162="","",'Master'!M162)</x:f>
      </x:c>
      <x:c r="M10" s="100" t="str">
        <x:f>IF('Master'!N162="","",'Master'!N162)</x:f>
      </x:c>
      <x:c r="N10" s="100" t="str">
        <x:f>IF('Master'!O162="","",'Master'!O162)</x:f>
      </x:c>
      <x:c r="O10" s="100" t="str">
        <x:f>IF('Master'!P162="","",'Master'!P162)</x:f>
      </x:c>
      <x:c r="P10" s="100" t="str">
        <x:f>IF('Master'!Q162="","",'Master'!Q162)</x:f>
      </x:c>
      <x:c r="Q10" s="100" t="str">
        <x:f>IF('Master'!R162="","",'Master'!R162)</x:f>
      </x:c>
      <x:c r="R10" s="100" t="str">
        <x:f>IF('Master'!S162="","",'Master'!S162)</x:f>
      </x:c>
      <x:c r="S10" s="100" t="str">
        <x:f>IF('Master'!T162="","",'Master'!T162)</x:f>
      </x:c>
      <x:c r="T10" s="100" t="str">
        <x:f>IF('Master'!U162="","",'Master'!U162)</x:f>
      </x:c>
      <x:c r="U10" s="100" t="str">
        <x:f>IF('Master'!V162="","",'Master'!V162)</x:f>
        <x:v>Unlimited</x:v>
      </x:c>
      <x:c r="V10" s="100" t="str">
        <x:f>IF('Master'!W162="","",'Master'!W162)</x:f>
      </x:c>
      <x:c r="W10" s="100" t="str">
        <x:f>IF('Master'!X162="","",'Master'!X162)</x:f>
      </x:c>
      <x:c r="X10" s="100" t="str">
        <x:f>IF('Master'!Y162="","",'Master'!Y162)</x:f>
      </x:c>
      <x:c r="Y10" s="100" t="str">
        <x:f>IF('Master'!Z162="","",'Master'!Z162)</x:f>
      </x:c>
      <x:c r="Z10" s="100" t="str">
        <x:f>IF('Master'!AA162="","",'Master'!AA162)</x:f>
      </x:c>
      <x:c r="AA10" s="104" t="str">
        <x:f>IF('Master'!AB162="","",'Master'!AB162)</x:f>
      </x:c>
      <x:c r="AB10" s="100" t="str">
        <x:f>IF('Master'!AC162="","",'Master'!AC162)</x:f>
      </x:c>
      <x:c r="AC10" s="100" t="str">
        <x:f>IF('Master'!AD162="","",'Master'!AD162)</x:f>
      </x:c>
      <x:c r="AD10" s="100" t="str">
        <x:f>IF('Master'!AE162="","",'Master'!AE162)</x:f>
      </x:c>
      <x:c r="AE10" s="100" t="str">
        <x:f>IF('Master'!AF162="","",'Master'!AF162)</x:f>
      </x:c>
      <x:c r="AF10" s="75" t="str">
        <x:f>IF('Master'!AG162="","",'Master'!AG162)</x:f>
      </x:c>
    </x:row>
    <x:row r="11" ht="36" customHeight="1">
      <x:c r="A11" s="135" t="str">
        <x:v>Max Voice Channels</x:v>
      </x:c>
      <x:c r="B11" s="100" t="str">
        <x:f>IF('Master'!C163="","",'Master'!C163)</x:f>
      </x:c>
      <x:c r="C11" s="100" t="str">
        <x:f>IF('Master'!D163="","",'Master'!D163)</x:f>
      </x:c>
      <x:c r="D11" s="100" t="str">
        <x:f>IF('Master'!E163="","",'Master'!E163)</x:f>
      </x:c>
      <x:c r="E11" s="100" t="str">
        <x:f>IF('Master'!F163="","",'Master'!F163)</x:f>
      </x:c>
      <x:c r="F11" s="100" t="str">
        <x:f>IF('Master'!G163="","",'Master'!G163)</x:f>
      </x:c>
      <x:c r="G11" s="100" t="str">
        <x:f>IF('Master'!H163="","",'Master'!H163)</x:f>
      </x:c>
      <x:c r="H11" s="100" t="str">
        <x:f>IF('Master'!I163="","",'Master'!I163)</x:f>
        <x:v>5 free / 9 Silver / 18 Gold / 64 Diamond</x:v>
      </x:c>
      <x:c r="I11" s="100" t="str">
        <x:f>IF('Master'!J163="","",'Master'!J163)</x:f>
      </x:c>
      <x:c r="J11" s="100" t="str">
        <x:f>IF('Master'!K163="","",'Master'!K163)</x:f>
      </x:c>
      <x:c r="K11" s="100" t="str">
        <x:f>IF('Master'!L163="","",'Master'!L163)</x:f>
      </x:c>
      <x:c r="L11" s="100" t="str">
        <x:f>IF('Master'!M163="","",'Master'!M163)</x:f>
      </x:c>
      <x:c r="M11" s="100" t="str">
        <x:f>IF('Master'!N163="","",'Master'!N163)</x:f>
      </x:c>
      <x:c r="N11" s="100" t="str">
        <x:f>IF('Master'!O163="","",'Master'!O163)</x:f>
      </x:c>
      <x:c r="O11" s="100" t="str">
        <x:f>IF('Master'!P163="","",'Master'!P163)</x:f>
      </x:c>
      <x:c r="P11" s="100" t="str">
        <x:f>IF('Master'!Q163="","",'Master'!Q163)</x:f>
      </x:c>
      <x:c r="Q11" s="100" t="str">
        <x:f>IF('Master'!R163="","",'Master'!R163)</x:f>
      </x:c>
      <x:c r="R11" s="100" t="str">
        <x:f>IF('Master'!S163="","",'Master'!S163)</x:f>
      </x:c>
      <x:c r="S11" s="100" t="str">
        <x:f>IF('Master'!T163="","",'Master'!T163)</x:f>
      </x:c>
      <x:c r="T11" s="100" t="str">
        <x:f>IF('Master'!U163="","",'Master'!U163)</x:f>
      </x:c>
      <x:c r="U11" s="100" t="str">
        <x:f>IF('Master'!V163="","",'Master'!V163)</x:f>
        <x:v>Unlimited</x:v>
      </x:c>
      <x:c r="V11" s="100" t="str">
        <x:f>IF('Master'!W163="","",'Master'!W163)</x:f>
      </x:c>
      <x:c r="W11" s="100" t="str">
        <x:f>IF('Master'!X163="","",'Master'!X163)</x:f>
      </x:c>
      <x:c r="X11" s="100" t="str">
        <x:f>IF('Master'!Y163="","",'Master'!Y163)</x:f>
      </x:c>
      <x:c r="Y11" s="100" t="str">
        <x:f>IF('Master'!Z163="","",'Master'!Z163)</x:f>
      </x:c>
      <x:c r="Z11" s="100" t="str">
        <x:f>IF('Master'!AA163="","",'Master'!AA163)</x:f>
      </x:c>
      <x:c r="AA11" s="104" t="str">
        <x:f>IF('Master'!AB163="","",'Master'!AB163)</x:f>
      </x:c>
      <x:c r="AB11" s="100" t="str">
        <x:f>IF('Master'!AC163="","",'Master'!AC163)</x:f>
      </x:c>
      <x:c r="AC11" s="100" t="str">
        <x:f>IF('Master'!AD163="","",'Master'!AD163)</x:f>
      </x:c>
      <x:c r="AD11" s="100" t="str">
        <x:f>IF('Master'!AE163="","",'Master'!AE163)</x:f>
      </x:c>
      <x:c r="AE11" s="100" t="str">
        <x:f>IF('Master'!AF163="","",'Master'!AF163)</x:f>
      </x:c>
      <x:c r="AF11" s="75" t="str">
        <x:f>IF('Master'!AG163="","",'Master'!AG163)</x:f>
      </x:c>
    </x:row>
    <x:row r="12" ht="36" customHeight="1">
      <x:c r="A12" s="135" t="str">
        <x:v>Max Total Channels</x:v>
      </x:c>
      <x:c r="B12" s="100" t="str">
        <x:f>IF('Master'!C164="","",'Master'!C164)</x:f>
      </x:c>
      <x:c r="C12" s="100" t="str">
        <x:f>IF('Master'!D164="","",'Master'!D164)</x:f>
      </x:c>
      <x:c r="D12" s="100" t="str">
        <x:f>IF('Master'!E164="","",'Master'!E164)</x:f>
      </x:c>
      <x:c r="E12" s="100" t="str">
        <x:f>IF('Master'!F164="","",'Master'!F164)</x:f>
      </x:c>
      <x:c r="F12" s="100" t="str">
        <x:f>IF('Master'!G164="","",'Master'!G164)</x:f>
      </x:c>
      <x:c r="G12" s="100" t="str">
        <x:f>IF('Master'!H164="","",'Master'!H164)</x:f>
      </x:c>
      <x:c r="H12" s="100" t="str">
        <x:f>IF('Master'!I164="","",'Master'!I164)</x:f>
      </x:c>
      <x:c r="I12" s="100" t="str">
        <x:f>IF('Master'!J164="","",'Master'!J164)</x:f>
      </x:c>
      <x:c r="J12" s="100" t="str">
        <x:f>IF('Master'!K164="","",'Master'!K164)</x:f>
      </x:c>
      <x:c r="K12" s="100" t="str">
        <x:f>IF('Master'!L164="","",'Master'!L164)</x:f>
      </x:c>
      <x:c r="L12" s="100" t="str">
        <x:f>IF('Master'!M164="","",'Master'!M164)</x:f>
      </x:c>
      <x:c r="M12" s="100" t="str">
        <x:f>IF('Master'!N164="","",'Master'!N164)</x:f>
      </x:c>
      <x:c r="N12" s="100" t="str">
        <x:f>IF('Master'!O164="","",'Master'!O164)</x:f>
      </x:c>
      <x:c r="O12" s="100" t="str">
        <x:f>IF('Master'!P164="","",'Master'!P164)</x:f>
      </x:c>
      <x:c r="P12" s="100" t="str">
        <x:f>IF('Master'!Q164="","",'Master'!Q164)</x:f>
      </x:c>
      <x:c r="Q12" s="100" t="str">
        <x:f>IF('Master'!R164="","",'Master'!R164)</x:f>
      </x:c>
      <x:c r="R12" s="100" t="str">
        <x:f>IF('Master'!S164="","",'Master'!S164)</x:f>
      </x:c>
      <x:c r="S12" s="100" t="str">
        <x:f>IF('Master'!T164="","",'Master'!T164)</x:f>
      </x:c>
      <x:c r="T12" s="100" t="str">
        <x:f>IF('Master'!U164="","",'Master'!U164)</x:f>
      </x:c>
      <x:c r="U12" s="100" t="str">
        <x:f>IF('Master'!V164="","",'Master'!V164)</x:f>
        <x:v>Unlimited</x:v>
      </x:c>
      <x:c r="V12" s="100" t="str">
        <x:f>IF('Master'!W164="","",'Master'!W164)</x:f>
      </x:c>
      <x:c r="W12" s="100" t="str">
        <x:f>IF('Master'!X164="","",'Master'!X164)</x:f>
      </x:c>
      <x:c r="X12" s="100" t="str">
        <x:f>IF('Master'!Y164="","",'Master'!Y164)</x:f>
      </x:c>
      <x:c r="Y12" s="100" t="str">
        <x:f>IF('Master'!Z164="","",'Master'!Z164)</x:f>
      </x:c>
      <x:c r="Z12" s="100" t="str">
        <x:f>IF('Master'!AA164="","",'Master'!AA164)</x:f>
      </x:c>
      <x:c r="AA12" s="104" t="str">
        <x:f>IF('Master'!AB164="","",'Master'!AB164)</x:f>
      </x:c>
      <x:c r="AB12" s="100" t="str">
        <x:f>IF('Master'!AC164="","",'Master'!AC164)</x:f>
      </x:c>
      <x:c r="AC12" s="100" t="str">
        <x:f>IF('Master'!AD164="","",'Master'!AD164)</x:f>
      </x:c>
      <x:c r="AD12" s="100" t="str">
        <x:f>IF('Master'!AE164="","",'Master'!AE164)</x:f>
      </x:c>
      <x:c r="AE12" s="100" t="str">
        <x:f>IF('Master'!AF164="","",'Master'!AF164)</x:f>
      </x:c>
      <x:c r="AF12" s="75" t="str">
        <x:f>IF('Master'!AG164="","",'Master'!AG164)</x:f>
      </x:c>
    </x:row>
    <x:row r="13" ht="22" customHeight="1">
      <x:c r="A13" s="138" t="str">
        <x:v>Max Roles</x:v>
      </x:c>
      <x:c r="B13" s="138" t="str">
        <x:f>IF(""="","","")</x:f>
      </x:c>
      <x:c r="C13" s="138" t="str">
        <x:f>IF(""="","","")</x:f>
      </x:c>
      <x:c r="D13" s="138" t="str">
        <x:f>IF(""="","","")</x:f>
      </x:c>
      <x:c r="E13" s="138" t="str">
        <x:f>IF(""="","","")</x:f>
      </x:c>
      <x:c r="F13" s="138" t="str">
        <x:f>IF(""="","","")</x:f>
      </x:c>
      <x:c r="G13" s="138" t="str">
        <x:f>IF(""="","","")</x:f>
      </x:c>
      <x:c r="H13" s="138" t="str">
        <x:f>IF(""="","","")</x:f>
      </x:c>
      <x:c r="I13" s="138" t="str">
        <x:f>IF(""="","","")</x:f>
      </x:c>
      <x:c r="J13" s="138" t="str">
        <x:f>IF(""="","","")</x:f>
      </x:c>
      <x:c r="K13" s="138" t="str">
        <x:f>IF(""="","","")</x:f>
      </x:c>
      <x:c r="L13" s="138" t="str">
        <x:f>IF(""="","","")</x:f>
      </x:c>
      <x:c r="M13" s="138" t="str">
        <x:f>IF(""="","","")</x:f>
      </x:c>
      <x:c r="N13" s="138" t="str">
        <x:f>IF(""="","","")</x:f>
      </x:c>
      <x:c r="O13" s="138" t="str">
        <x:f>IF(""="","","")</x:f>
      </x:c>
      <x:c r="P13" s="138" t="str">
        <x:f>IF(""="","","")</x:f>
      </x:c>
      <x:c r="Q13" s="138" t="str">
        <x:f>IF(""="","","")</x:f>
      </x:c>
      <x:c r="R13" s="138" t="str">
        <x:f>IF(""="","","")</x:f>
      </x:c>
      <x:c r="S13" s="138" t="str">
        <x:f>IF(""="","","")</x:f>
      </x:c>
      <x:c r="T13" s="138" t="str">
        <x:f>IF(""="","","")</x:f>
      </x:c>
      <x:c r="U13" s="138" t="str">
        <x:f>IF(""="","","")</x:f>
      </x:c>
      <x:c r="V13" s="138" t="str">
        <x:f>IF(""="","","")</x:f>
      </x:c>
      <x:c r="W13" s="138" t="str">
        <x:f>IF(""="","","")</x:f>
      </x:c>
      <x:c r="X13" s="138" t="str">
        <x:f>IF(""="","","")</x:f>
      </x:c>
      <x:c r="Y13" s="138" t="str">
        <x:f>IF(""="","","")</x:f>
      </x:c>
      <x:c r="Z13" s="138" t="str">
        <x:f>IF(""="","","")</x:f>
      </x:c>
      <x:c r="AA13" s="138" t="str">
        <x:f>IF(""="","","")</x:f>
      </x:c>
      <x:c r="AB13" s="138" t="str">
        <x:f>IF(""="","","")</x:f>
      </x:c>
      <x:c r="AC13" s="138" t="str">
        <x:f>IF(""="","","")</x:f>
      </x:c>
      <x:c r="AD13" s="138" t="str">
        <x:f>IF(""="","","")</x:f>
      </x:c>
      <x:c r="AE13" s="138" t="str">
        <x:f>IF(""="","","")</x:f>
      </x:c>
      <x:c r="AF13" s="139" t="str">
        <x:f>IF(""="","","")</x:f>
      </x:c>
    </x:row>
    <x:row r="14" ht="22" customHeight="1">
      <x:c r="A14" s="138" t="str">
        <x:v>Max Categories / Channel Groups</x:v>
      </x:c>
      <x:c r="B14" s="138" t="str">
        <x:f>IF(""="","","")</x:f>
      </x:c>
      <x:c r="C14" s="138" t="str">
        <x:f>IF(""="","","")</x:f>
      </x:c>
      <x:c r="D14" s="138" t="str">
        <x:f>IF(""="","","")</x:f>
      </x:c>
      <x:c r="E14" s="138" t="str">
        <x:f>IF(""="","","")</x:f>
      </x:c>
      <x:c r="F14" s="138" t="str">
        <x:f>IF(""="","","")</x:f>
      </x:c>
      <x:c r="G14" s="138" t="str">
        <x:f>IF(""="","","")</x:f>
      </x:c>
      <x:c r="H14" s="138" t="str">
        <x:f>IF(""="","","")</x:f>
      </x:c>
      <x:c r="I14" s="138" t="str">
        <x:f>IF(""="","","")</x:f>
      </x:c>
      <x:c r="J14" s="138" t="str">
        <x:f>IF(""="","","")</x:f>
      </x:c>
      <x:c r="K14" s="138" t="str">
        <x:f>IF(""="","","")</x:f>
      </x:c>
      <x:c r="L14" s="138" t="str">
        <x:f>IF(""="","","")</x:f>
      </x:c>
      <x:c r="M14" s="138" t="str">
        <x:f>IF(""="","","")</x:f>
      </x:c>
      <x:c r="N14" s="138" t="str">
        <x:f>IF(""="","","")</x:f>
      </x:c>
      <x:c r="O14" s="138" t="str">
        <x:f>IF(""="","","")</x:f>
      </x:c>
      <x:c r="P14" s="138" t="str">
        <x:f>IF(""="","","")</x:f>
      </x:c>
      <x:c r="Q14" s="138" t="str">
        <x:f>IF(""="","","")</x:f>
      </x:c>
      <x:c r="R14" s="138" t="str">
        <x:f>IF(""="","","")</x:f>
      </x:c>
      <x:c r="S14" s="138" t="str">
        <x:f>IF(""="","","")</x:f>
      </x:c>
      <x:c r="T14" s="138" t="str">
        <x:f>IF(""="","","")</x:f>
      </x:c>
      <x:c r="U14" s="138" t="str">
        <x:f>IF(""="","","")</x:f>
      </x:c>
      <x:c r="V14" s="138" t="str">
        <x:f>IF(""="","","")</x:f>
      </x:c>
      <x:c r="W14" s="138" t="str">
        <x:f>IF(""="","","")</x:f>
      </x:c>
      <x:c r="X14" s="138" t="str">
        <x:f>IF(""="","","")</x:f>
      </x:c>
      <x:c r="Y14" s="138" t="str">
        <x:f>IF(""="","","")</x:f>
      </x:c>
      <x:c r="Z14" s="138" t="str">
        <x:f>IF(""="","","")</x:f>
      </x:c>
      <x:c r="AA14" s="138" t="str">
        <x:f>IF(""="","","")</x:f>
      </x:c>
      <x:c r="AB14" s="138" t="str">
        <x:f>IF(""="","","")</x:f>
      </x:c>
      <x:c r="AC14" s="138" t="str">
        <x:f>IF(""="","","")</x:f>
      </x:c>
      <x:c r="AD14" s="138" t="str">
        <x:f>IF(""="","","")</x:f>
      </x:c>
      <x:c r="AE14" s="138" t="str">
        <x:f>IF(""="","","")</x:f>
      </x:c>
      <x:c r="AF14" s="139" t="str">
        <x:f>IF(""="","","")</x:f>
      </x:c>
    </x:row>
    <x:row r="15" ht="22" customHeight="1">
      <x:c r="A15" s="138" t="str">
        <x:v>Customization Limits</x:v>
      </x:c>
      <x:c r="B15" s="138" t="str">
        <x:f>IF(""="","","")</x:f>
      </x:c>
      <x:c r="C15" s="138" t="str">
        <x:f>IF(""="","","")</x:f>
      </x:c>
      <x:c r="D15" s="138" t="str">
        <x:f>IF(""="","","")</x:f>
      </x:c>
      <x:c r="E15" s="138" t="str">
        <x:f>IF(""="","","")</x:f>
      </x:c>
      <x:c r="F15" s="138" t="str">
        <x:f>IF(""="","","")</x:f>
      </x:c>
      <x:c r="G15" s="138" t="str">
        <x:f>IF(""="","","")</x:f>
      </x:c>
      <x:c r="H15" s="138" t="str">
        <x:f>IF(""="","","")</x:f>
      </x:c>
      <x:c r="I15" s="138" t="str">
        <x:f>IF(""="","","")</x:f>
      </x:c>
      <x:c r="J15" s="138" t="str">
        <x:f>IF(""="","","")</x:f>
      </x:c>
      <x:c r="K15" s="138" t="str">
        <x:f>IF(""="","","")</x:f>
      </x:c>
      <x:c r="L15" s="138" t="str">
        <x:f>IF(""="","","")</x:f>
      </x:c>
      <x:c r="M15" s="138" t="str">
        <x:f>IF(""="","","")</x:f>
      </x:c>
      <x:c r="N15" s="138" t="str">
        <x:f>IF(""="","","")</x:f>
      </x:c>
      <x:c r="O15" s="138" t="str">
        <x:f>IF(""="","","")</x:f>
      </x:c>
      <x:c r="P15" s="138" t="str">
        <x:f>IF(""="","","")</x:f>
      </x:c>
      <x:c r="Q15" s="138" t="str">
        <x:f>IF(""="","","")</x:f>
      </x:c>
      <x:c r="R15" s="138" t="str">
        <x:f>IF(""="","","")</x:f>
      </x:c>
      <x:c r="S15" s="138" t="str">
        <x:f>IF(""="","","")</x:f>
      </x:c>
      <x:c r="T15" s="138" t="str">
        <x:f>IF(""="","","")</x:f>
      </x:c>
      <x:c r="U15" s="138" t="str">
        <x:f>IF(""="","","")</x:f>
      </x:c>
      <x:c r="V15" s="138" t="str">
        <x:f>IF(""="","","")</x:f>
      </x:c>
      <x:c r="W15" s="138" t="str">
        <x:f>IF(""="","","")</x:f>
      </x:c>
      <x:c r="X15" s="138" t="str">
        <x:f>IF(""="","","")</x:f>
      </x:c>
      <x:c r="Y15" s="138" t="str">
        <x:f>IF(""="","","")</x:f>
      </x:c>
      <x:c r="Z15" s="138" t="str">
        <x:f>IF(""="","","")</x:f>
      </x:c>
      <x:c r="AA15" s="138" t="str">
        <x:f>IF(""="","","")</x:f>
      </x:c>
      <x:c r="AB15" s="138" t="str">
        <x:f>IF(""="","","")</x:f>
      </x:c>
      <x:c r="AC15" s="138" t="str">
        <x:f>IF(""="","","")</x:f>
      </x:c>
      <x:c r="AD15" s="138" t="str">
        <x:f>IF(""="","","")</x:f>
      </x:c>
      <x:c r="AE15" s="138" t="str">
        <x:f>IF(""="","","")</x:f>
      </x:c>
      <x:c r="AF15" s="139" t="str">
        <x:f>IF(""="","","")</x:f>
      </x:c>
    </x:row>
    <x:row r="16" ht="36" customHeight="1">
      <x:c r="A16" s="135" t="str">
        <x:v>Custom Emoji Slots (Free)</x:v>
      </x:c>
      <x:c r="B16" s="100" t="str">
        <x:f>IF('Master'!C165="","",'Master'!C165)</x:f>
        <x:v>Server-level slots depend boost/community configuration</x:v>
      </x:c>
      <x:c r="C16" s="100" t="str">
        <x:f>IF('Master'!D165="","",'Master'!D165)</x:f>
      </x:c>
      <x:c r="D16" s="100" t="str">
        <x:f>IF('Master'!E165="","",'Master'!E165)</x:f>
      </x:c>
      <x:c r="E16" s="100" t="str">
        <x:f>IF('Master'!F165="","",'Master'!F165)</x:f>
      </x:c>
      <x:c r="F16" s="100" t="str">
        <x:f>IF('Master'!G165="","",'Master'!G165)</x:f>
      </x:c>
      <x:c r="G16" s="100" t="str">
        <x:f>IF('Master'!H165="","",'Master'!H165)</x:f>
      </x:c>
      <x:c r="H16" s="100" t="str">
        <x:f>IF('Master'!I165="","",'Master'!I165)</x:f>
      </x:c>
      <x:c r="I16" s="100" t="str">
        <x:f>IF('Master'!J165="","",'Master'!J165)</x:f>
      </x:c>
      <x:c r="J16" s="100" t="str">
        <x:f>IF('Master'!K165="","",'Master'!K165)</x:f>
      </x:c>
      <x:c r="K16" s="100" t="str">
        <x:f>IF('Master'!L165="","",'Master'!L165)</x:f>
      </x:c>
      <x:c r="L16" s="100" t="str">
        <x:f>IF('Master'!M165="","",'Master'!M165)</x:f>
      </x:c>
      <x:c r="M16" s="100" t="str">
        <x:f>IF('Master'!N165="","",'Master'!N165)</x:f>
      </x:c>
      <x:c r="N16" s="100" t="str">
        <x:f>IF('Master'!O165="","",'Master'!O165)</x:f>
      </x:c>
      <x:c r="O16" s="100" t="str">
        <x:f>IF('Master'!P165="","",'Master'!P165)</x:f>
      </x:c>
      <x:c r="P16" s="100" t="str">
        <x:f>IF('Master'!Q165="","",'Master'!Q165)</x:f>
      </x:c>
      <x:c r="Q16" s="100" t="str">
        <x:f>IF('Master'!R165="","",'Master'!R165)</x:f>
      </x:c>
      <x:c r="R16" s="100" t="str">
        <x:f>IF('Master'!S165="","",'Master'!S165)</x:f>
      </x:c>
      <x:c r="S16" s="100" t="str">
        <x:f>IF('Master'!T165="","",'Master'!T165)</x:f>
      </x:c>
      <x:c r="T16" s="100" t="str">
        <x:f>IF('Master'!U165="","",'Master'!U165)</x:f>
      </x:c>
      <x:c r="U16" s="100" t="str">
        <x:f>IF('Master'!V165="","",'Master'!V165)</x:f>
        <x:v>10 Shard + 10 personal</x:v>
      </x:c>
      <x:c r="V16" s="100" t="str">
        <x:f>IF('Master'!W165="","",'Master'!W165)</x:f>
      </x:c>
      <x:c r="W16" s="100" t="str">
        <x:f>IF('Master'!X165="","",'Master'!X165)</x:f>
      </x:c>
      <x:c r="X16" s="100" t="str">
        <x:f>IF('Master'!Y165="","",'Master'!Y165)</x:f>
      </x:c>
      <x:c r="Y16" s="100" t="str">
        <x:f>IF('Master'!Z165="","",'Master'!Z165)</x:f>
      </x:c>
      <x:c r="Z16" s="100" t="str">
        <x:f>IF('Master'!AA165="","",'Master'!AA165)</x:f>
      </x:c>
      <x:c r="AA16" s="104" t="str">
        <x:f>IF('Master'!AB165="","",'Master'!AB165)</x:f>
      </x:c>
      <x:c r="AB16" s="100" t="str">
        <x:f>IF('Master'!AC165="","",'Master'!AC165)</x:f>
      </x:c>
      <x:c r="AC16" s="100" t="str">
        <x:f>IF('Master'!AD165="","",'Master'!AD165)</x:f>
      </x:c>
      <x:c r="AD16" s="100" t="str">
        <x:f>IF('Master'!AE165="","",'Master'!AE165)</x:f>
      </x:c>
      <x:c r="AE16" s="100" t="str">
        <x:f>IF('Master'!AF165="","",'Master'!AF165)</x:f>
      </x:c>
      <x:c r="AF16" s="75" t="str">
        <x:f>IF('Master'!AG165="","",'Master'!AG165)</x:f>
      </x:c>
    </x:row>
    <x:row r="17" ht="36" customHeight="1">
      <x:c r="A17" s="135" t="str">
        <x:v>Custom Emoji Slots (Paid Max)</x:v>
      </x:c>
      <x:c r="B17" s="100" t="str">
        <x:f>IF('Master'!C166="","",'Master'!C166)</x:f>
      </x:c>
      <x:c r="C17" s="100" t="str">
        <x:f>IF('Master'!D166="","",'Master'!D166)</x:f>
      </x:c>
      <x:c r="D17" s="100" t="str">
        <x:f>IF('Master'!E166="","",'Master'!E166)</x:f>
      </x:c>
      <x:c r="E17" s="100" t="str">
        <x:f>IF('Master'!F166="","",'Master'!F166)</x:f>
      </x:c>
      <x:c r="F17" s="100" t="str">
        <x:f>IF('Master'!G166="","",'Master'!G166)</x:f>
      </x:c>
      <x:c r="G17" s="100" t="str">
        <x:f>IF('Master'!H166="","",'Master'!H166)</x:f>
      </x:c>
      <x:c r="H17" s="100" t="str">
        <x:f>IF('Master'!I166="","",'Master'!I166)</x:f>
        <x:v>500 Diamond</x:v>
      </x:c>
      <x:c r="I17" s="100" t="str">
        <x:f>IF('Master'!J166="","",'Master'!J166)</x:f>
      </x:c>
      <x:c r="J17" s="100" t="str">
        <x:f>IF('Master'!K166="","",'Master'!K166)</x:f>
      </x:c>
      <x:c r="K17" s="100" t="str">
        <x:f>IF('Master'!L166="","",'Master'!L166)</x:f>
      </x:c>
      <x:c r="L17" s="100" t="str">
        <x:f>IF('Master'!M166="","",'Master'!M166)</x:f>
      </x:c>
      <x:c r="M17" s="100" t="str">
        <x:f>IF('Master'!N166="","",'Master'!N166)</x:f>
      </x:c>
      <x:c r="N17" s="100" t="str">
        <x:f>IF('Master'!O166="","",'Master'!O166)</x:f>
      </x:c>
      <x:c r="O17" s="100" t="str">
        <x:f>IF('Master'!P166="","",'Master'!P166)</x:f>
      </x:c>
      <x:c r="P17" s="100" t="str">
        <x:f>IF('Master'!Q166="","",'Master'!Q166)</x:f>
      </x:c>
      <x:c r="Q17" s="100" t="str">
        <x:f>IF('Master'!R166="","",'Master'!R166)</x:f>
      </x:c>
      <x:c r="R17" s="100" t="str">
        <x:f>IF('Master'!S166="","",'Master'!S166)</x:f>
      </x:c>
      <x:c r="S17" s="100" t="str">
        <x:f>IF('Master'!T166="","",'Master'!T166)</x:f>
      </x:c>
      <x:c r="T17" s="100" t="str">
        <x:f>IF('Master'!U166="","",'Master'!U166)</x:f>
      </x:c>
      <x:c r="U17" s="100" t="str">
        <x:f>IF('Master'!V166="","",'Master'!V166)</x:f>
        <x:v>100 Shard Forge + 30 personal Rift+</x:v>
      </x:c>
      <x:c r="V17" s="100" t="str">
        <x:f>IF('Master'!W166="","",'Master'!W166)</x:f>
      </x:c>
      <x:c r="W17" s="100" t="str">
        <x:f>IF('Master'!X166="","",'Master'!X166)</x:f>
      </x:c>
      <x:c r="X17" s="100" t="str">
        <x:f>IF('Master'!Y166="","",'Master'!Y166)</x:f>
      </x:c>
      <x:c r="Y17" s="100" t="str">
        <x:f>IF('Master'!Z166="","",'Master'!Z166)</x:f>
      </x:c>
      <x:c r="Z17" s="100" t="str">
        <x:f>IF('Master'!AA166="","",'Master'!AA166)</x:f>
      </x:c>
      <x:c r="AA17" s="104" t="str">
        <x:f>IF('Master'!AB166="","",'Master'!AB166)</x:f>
      </x:c>
      <x:c r="AB17" s="100" t="str">
        <x:f>IF('Master'!AC166="","",'Master'!AC166)</x:f>
      </x:c>
      <x:c r="AC17" s="100" t="str">
        <x:f>IF('Master'!AD166="","",'Master'!AD166)</x:f>
      </x:c>
      <x:c r="AD17" s="100" t="str">
        <x:f>IF('Master'!AE166="","",'Master'!AE166)</x:f>
      </x:c>
      <x:c r="AE17" s="100" t="str">
        <x:f>IF('Master'!AF166="","",'Master'!AF166)</x:f>
      </x:c>
      <x:c r="AF17" s="75" t="str">
        <x:f>IF('Master'!AG166="","",'Master'!AG166)</x:f>
      </x:c>
    </x:row>
    <x:row r="18" ht="36" customHeight="1">
      <x:c r="A18" s="135" t="str">
        <x:v>Soundboard Slots (Free)</x:v>
      </x:c>
      <x:c r="B18" s="100" t="str">
        <x:f>IF('Master'!C167="","",'Master'!C167)</x:f>
      </x:c>
      <x:c r="C18" s="100" t="str">
        <x:f>IF('Master'!D167="","",'Master'!D167)</x:f>
      </x:c>
      <x:c r="D18" s="100" t="str">
        <x:f>IF('Master'!E167="","",'Master'!E167)</x:f>
      </x:c>
      <x:c r="E18" s="100" t="str">
        <x:f>IF('Master'!F167="","",'Master'!F167)</x:f>
      </x:c>
      <x:c r="F18" s="100" t="str">
        <x:f>IF('Master'!G167="","",'Master'!G167)</x:f>
      </x:c>
      <x:c r="G18" s="100" t="str">
        <x:f>IF('Master'!H167="","",'Master'!H167)</x:f>
      </x:c>
      <x:c r="H18" s="100" t="str">
        <x:f>IF('Master'!I167="","",'Master'!I167)</x:f>
        <x:v>8</x:v>
      </x:c>
      <x:c r="I18" s="100" t="str">
        <x:f>IF('Master'!J167="","",'Master'!J167)</x:f>
      </x:c>
      <x:c r="J18" s="100" t="str">
        <x:f>IF('Master'!K167="","",'Master'!K167)</x:f>
      </x:c>
      <x:c r="K18" s="100" t="str">
        <x:f>IF('Master'!L167="","",'Master'!L167)</x:f>
      </x:c>
      <x:c r="L18" s="100" t="str">
        <x:f>IF('Master'!M167="","",'Master'!M167)</x:f>
      </x:c>
      <x:c r="M18" s="100" t="str">
        <x:f>IF('Master'!N167="","",'Master'!N167)</x:f>
      </x:c>
      <x:c r="N18" s="100" t="str">
        <x:f>IF('Master'!O167="","",'Master'!O167)</x:f>
      </x:c>
      <x:c r="O18" s="100" t="str">
        <x:f>IF('Master'!P167="","",'Master'!P167)</x:f>
      </x:c>
      <x:c r="P18" s="100" t="str">
        <x:f>IF('Master'!Q167="","",'Master'!Q167)</x:f>
      </x:c>
      <x:c r="Q18" s="100" t="str">
        <x:f>IF('Master'!R167="","",'Master'!R167)</x:f>
      </x:c>
      <x:c r="R18" s="100" t="str">
        <x:f>IF('Master'!S167="","",'Master'!S167)</x:f>
      </x:c>
      <x:c r="S18" s="100" t="str">
        <x:f>IF('Master'!T167="","",'Master'!T167)</x:f>
      </x:c>
      <x:c r="T18" s="100" t="str">
        <x:f>IF('Master'!U167="","",'Master'!U167)</x:f>
      </x:c>
      <x:c r="U18" s="100" t="str">
        <x:f>IF('Master'!V167="","",'Master'!V167)</x:f>
        <x:v>10 Shard + 5 personal</x:v>
      </x:c>
      <x:c r="V18" s="100" t="str">
        <x:f>IF('Master'!W167="","",'Master'!W167)</x:f>
      </x:c>
      <x:c r="W18" s="100" t="str">
        <x:f>IF('Master'!X167="","",'Master'!X167)</x:f>
      </x:c>
      <x:c r="X18" s="100" t="str">
        <x:f>IF('Master'!Y167="","",'Master'!Y167)</x:f>
      </x:c>
      <x:c r="Y18" s="100" t="str">
        <x:f>IF('Master'!Z167="","",'Master'!Z167)</x:f>
      </x:c>
      <x:c r="Z18" s="100" t="str">
        <x:f>IF('Master'!AA167="","",'Master'!AA167)</x:f>
      </x:c>
      <x:c r="AA18" s="104" t="str">
        <x:f>IF('Master'!AB167="","",'Master'!AB167)</x:f>
      </x:c>
      <x:c r="AB18" s="100" t="str">
        <x:f>IF('Master'!AC167="","",'Master'!AC167)</x:f>
      </x:c>
      <x:c r="AC18" s="100" t="str">
        <x:f>IF('Master'!AD167="","",'Master'!AD167)</x:f>
      </x:c>
      <x:c r="AD18" s="100" t="str">
        <x:f>IF('Master'!AE167="","",'Master'!AE167)</x:f>
      </x:c>
      <x:c r="AE18" s="100" t="str">
        <x:f>IF('Master'!AF167="","",'Master'!AF167)</x:f>
      </x:c>
      <x:c r="AF18" s="75" t="str">
        <x:f>IF('Master'!AG167="","",'Master'!AG167)</x:f>
      </x:c>
    </x:row>
    <x:row r="19" ht="36" customHeight="1">
      <x:c r="A19" s="135" t="str">
        <x:v>Soundboard Slots (Paid Max)</x:v>
      </x:c>
      <x:c r="B19" s="100" t="str">
        <x:f>IF('Master'!C168="","",'Master'!C168)</x:f>
      </x:c>
      <x:c r="C19" s="100" t="str">
        <x:f>IF('Master'!D168="","",'Master'!D168)</x:f>
      </x:c>
      <x:c r="D19" s="100" t="str">
        <x:f>IF('Master'!E168="","",'Master'!E168)</x:f>
      </x:c>
      <x:c r="E19" s="100" t="str">
        <x:f>IF('Master'!F168="","",'Master'!F168)</x:f>
      </x:c>
      <x:c r="F19" s="100" t="str">
        <x:f>IF('Master'!G168="","",'Master'!G168)</x:f>
      </x:c>
      <x:c r="G19" s="100" t="str">
        <x:f>IF('Master'!H168="","",'Master'!H168)</x:f>
      </x:c>
      <x:c r="H19" s="100" t="str">
        <x:f>IF('Master'!I168="","",'Master'!I168)</x:f>
        <x:v>48 Diamond</x:v>
      </x:c>
      <x:c r="I19" s="100" t="str">
        <x:f>IF('Master'!J168="","",'Master'!J168)</x:f>
      </x:c>
      <x:c r="J19" s="100" t="str">
        <x:f>IF('Master'!K168="","",'Master'!K168)</x:f>
      </x:c>
      <x:c r="K19" s="100" t="str">
        <x:f>IF('Master'!L168="","",'Master'!L168)</x:f>
      </x:c>
      <x:c r="L19" s="100" t="str">
        <x:f>IF('Master'!M168="","",'Master'!M168)</x:f>
      </x:c>
      <x:c r="M19" s="100" t="str">
        <x:f>IF('Master'!N168="","",'Master'!N168)</x:f>
      </x:c>
      <x:c r="N19" s="100" t="str">
        <x:f>IF('Master'!O168="","",'Master'!O168)</x:f>
      </x:c>
      <x:c r="O19" s="100" t="str">
        <x:f>IF('Master'!P168="","",'Master'!P168)</x:f>
      </x:c>
      <x:c r="P19" s="100" t="str">
        <x:f>IF('Master'!Q168="","",'Master'!Q168)</x:f>
      </x:c>
      <x:c r="Q19" s="100" t="str">
        <x:f>IF('Master'!R168="","",'Master'!R168)</x:f>
      </x:c>
      <x:c r="R19" s="100" t="str">
        <x:f>IF('Master'!S168="","",'Master'!S168)</x:f>
      </x:c>
      <x:c r="S19" s="100" t="str">
        <x:f>IF('Master'!T168="","",'Master'!T168)</x:f>
      </x:c>
      <x:c r="T19" s="100" t="str">
        <x:f>IF('Master'!U168="","",'Master'!U168)</x:f>
      </x:c>
      <x:c r="U19" s="100" t="str">
        <x:f>IF('Master'!V168="","",'Master'!V168)</x:f>
        <x:v>75 Shard Forge + 25 personal Rift+</x:v>
      </x:c>
      <x:c r="V19" s="100" t="str">
        <x:f>IF('Master'!W168="","",'Master'!W168)</x:f>
      </x:c>
      <x:c r="W19" s="100" t="str">
        <x:f>IF('Master'!X168="","",'Master'!X168)</x:f>
      </x:c>
      <x:c r="X19" s="100" t="str">
        <x:f>IF('Master'!Y168="","",'Master'!Y168)</x:f>
      </x:c>
      <x:c r="Y19" s="100" t="str">
        <x:f>IF('Master'!Z168="","",'Master'!Z168)</x:f>
      </x:c>
      <x:c r="Z19" s="100" t="str">
        <x:f>IF('Master'!AA168="","",'Master'!AA168)</x:f>
      </x:c>
      <x:c r="AA19" s="104" t="str">
        <x:f>IF('Master'!AB168="","",'Master'!AB168)</x:f>
      </x:c>
      <x:c r="AB19" s="100" t="str">
        <x:f>IF('Master'!AC168="","",'Master'!AC168)</x:f>
      </x:c>
      <x:c r="AC19" s="100" t="str">
        <x:f>IF('Master'!AD168="","",'Master'!AD168)</x:f>
      </x:c>
      <x:c r="AD19" s="100" t="str">
        <x:f>IF('Master'!AE168="","",'Master'!AE168)</x:f>
      </x:c>
      <x:c r="AE19" s="100" t="str">
        <x:f>IF('Master'!AF168="","",'Master'!AF168)</x:f>
      </x:c>
      <x:c r="AF19" s="75" t="str">
        <x:f>IF('Master'!AG168="","",'Master'!AG168)</x:f>
      </x:c>
    </x:row>
    <x:row r="20" ht="22" customHeight="1">
      <x:c r="A20" s="138" t="str">
        <x:v>Sticker Slots (Free)</x:v>
      </x:c>
      <x:c r="B20" s="138" t="str">
        <x:f>IF(""="","","")</x:f>
      </x:c>
      <x:c r="C20" s="138" t="str">
        <x:f>IF(""="","","")</x:f>
      </x:c>
      <x:c r="D20" s="138" t="str">
        <x:f>IF(""="","","")</x:f>
      </x:c>
      <x:c r="E20" s="138" t="str">
        <x:f>IF(""="","","")</x:f>
      </x:c>
      <x:c r="F20" s="138" t="str">
        <x:f>IF(""="","","")</x:f>
      </x:c>
      <x:c r="G20" s="138" t="str">
        <x:f>IF(""="","","")</x:f>
      </x:c>
      <x:c r="H20" s="138" t="str">
        <x:f>IF(""="","","")</x:f>
      </x:c>
      <x:c r="I20" s="138" t="str">
        <x:f>IF(""="","","")</x:f>
      </x:c>
      <x:c r="J20" s="138" t="str">
        <x:f>IF(""="","","")</x:f>
      </x:c>
      <x:c r="K20" s="138" t="str">
        <x:f>IF(""="","","")</x:f>
      </x:c>
      <x:c r="L20" s="138" t="str">
        <x:f>IF(""="","","")</x:f>
      </x:c>
      <x:c r="M20" s="138" t="str">
        <x:f>IF(""="","","")</x:f>
      </x:c>
      <x:c r="N20" s="138" t="str">
        <x:f>IF(""="","","")</x:f>
      </x:c>
      <x:c r="O20" s="138" t="str">
        <x:f>IF(""="","","")</x:f>
      </x:c>
      <x:c r="P20" s="138" t="str">
        <x:f>IF(""="","","")</x:f>
      </x:c>
      <x:c r="Q20" s="138" t="str">
        <x:f>IF(""="","","")</x:f>
      </x:c>
      <x:c r="R20" s="138" t="str">
        <x:f>IF(""="","","")</x:f>
      </x:c>
      <x:c r="S20" s="138" t="str">
        <x:f>IF(""="","","")</x:f>
      </x:c>
      <x:c r="T20" s="138" t="str">
        <x:f>IF(""="","","")</x:f>
      </x:c>
      <x:c r="U20" s="138" t="str">
        <x:f>IF(""="","","")</x:f>
      </x:c>
      <x:c r="V20" s="138" t="str">
        <x:f>IF(""="","","")</x:f>
      </x:c>
      <x:c r="W20" s="138" t="str">
        <x:f>IF(""="","","")</x:f>
      </x:c>
      <x:c r="X20" s="138" t="str">
        <x:f>IF(""="","","")</x:f>
      </x:c>
      <x:c r="Y20" s="138" t="str">
        <x:f>IF(""="","","")</x:f>
      </x:c>
      <x:c r="Z20" s="138" t="str">
        <x:f>IF(""="","","")</x:f>
      </x:c>
      <x:c r="AA20" s="138" t="str">
        <x:f>IF(""="","","")</x:f>
      </x:c>
      <x:c r="AB20" s="138" t="str">
        <x:f>IF(""="","","")</x:f>
      </x:c>
      <x:c r="AC20" s="138" t="str">
        <x:f>IF(""="","","")</x:f>
      </x:c>
      <x:c r="AD20" s="138" t="str">
        <x:f>IF(""="","","")</x:f>
      </x:c>
      <x:c r="AE20" s="138" t="str">
        <x:f>IF(""="","","")</x:f>
      </x:c>
      <x:c r="AF20" s="139" t="str">
        <x:f>IF(""="","","")</x:f>
      </x:c>
    </x:row>
    <x:row r="21" ht="22" customHeight="1">
      <x:c r="A21" s="138" t="str">
        <x:v>Sticker Slots (Paid Max)</x:v>
      </x:c>
      <x:c r="B21" s="138" t="str">
        <x:f>IF(""="","","")</x:f>
      </x:c>
      <x:c r="C21" s="138" t="str">
        <x:f>IF(""="","","")</x:f>
      </x:c>
      <x:c r="D21" s="138" t="str">
        <x:f>IF(""="","","")</x:f>
      </x:c>
      <x:c r="E21" s="138" t="str">
        <x:f>IF(""="","","")</x:f>
      </x:c>
      <x:c r="F21" s="138" t="str">
        <x:f>IF(""="","","")</x:f>
      </x:c>
      <x:c r="G21" s="138" t="str">
        <x:f>IF(""="","","")</x:f>
      </x:c>
      <x:c r="H21" s="138" t="str">
        <x:f>IF(""="","","")</x:f>
      </x:c>
      <x:c r="I21" s="138" t="str">
        <x:f>IF(""="","","")</x:f>
      </x:c>
      <x:c r="J21" s="138" t="str">
        <x:f>IF(""="","","")</x:f>
      </x:c>
      <x:c r="K21" s="138" t="str">
        <x:f>IF(""="","","")</x:f>
      </x:c>
      <x:c r="L21" s="138" t="str">
        <x:f>IF(""="","","")</x:f>
      </x:c>
      <x:c r="M21" s="138" t="str">
        <x:f>IF(""="","","")</x:f>
      </x:c>
      <x:c r="N21" s="138" t="str">
        <x:f>IF(""="","","")</x:f>
      </x:c>
      <x:c r="O21" s="138" t="str">
        <x:f>IF(""="","","")</x:f>
      </x:c>
      <x:c r="P21" s="138" t="str">
        <x:f>IF(""="","","")</x:f>
      </x:c>
      <x:c r="Q21" s="138" t="str">
        <x:f>IF(""="","","")</x:f>
      </x:c>
      <x:c r="R21" s="138" t="str">
        <x:f>IF(""="","","")</x:f>
      </x:c>
      <x:c r="S21" s="138" t="str">
        <x:f>IF(""="","","")</x:f>
      </x:c>
      <x:c r="T21" s="138" t="str">
        <x:f>IF(""="","","")</x:f>
      </x:c>
      <x:c r="U21" s="138" t="str">
        <x:f>IF(""="","","")</x:f>
      </x:c>
      <x:c r="V21" s="138" t="str">
        <x:f>IF(""="","","")</x:f>
      </x:c>
      <x:c r="W21" s="138" t="str">
        <x:f>IF(""="","","")</x:f>
      </x:c>
      <x:c r="X21" s="138" t="str">
        <x:f>IF(""="","","")</x:f>
      </x:c>
      <x:c r="Y21" s="138" t="str">
        <x:f>IF(""="","","")</x:f>
      </x:c>
      <x:c r="Z21" s="138" t="str">
        <x:f>IF(""="","","")</x:f>
      </x:c>
      <x:c r="AA21" s="138" t="str">
        <x:f>IF(""="","","")</x:f>
      </x:c>
      <x:c r="AB21" s="138" t="str">
        <x:f>IF(""="","","")</x:f>
      </x:c>
      <x:c r="AC21" s="138" t="str">
        <x:f>IF(""="","","")</x:f>
      </x:c>
      <x:c r="AD21" s="138" t="str">
        <x:f>IF(""="","","")</x:f>
      </x:c>
      <x:c r="AE21" s="138" t="str">
        <x:f>IF(""="","","")</x:f>
      </x:c>
      <x:c r="AF21" s="139" t="str">
        <x:f>IF(""="","","")</x:f>
      </x:c>
    </x:row>
    <x:row r="22" ht="22" customHeight="1">
      <x:c r="A22" s="138" t="str">
        <x:v>Messaging &amp; Media Limits</x:v>
      </x:c>
      <x:c r="B22" s="138" t="str">
        <x:f>IF(""="","","")</x:f>
      </x:c>
      <x:c r="C22" s="138" t="str">
        <x:f>IF(""="","","")</x:f>
      </x:c>
      <x:c r="D22" s="138" t="str">
        <x:f>IF(""="","","")</x:f>
      </x:c>
      <x:c r="E22" s="138" t="str">
        <x:f>IF(""="","","")</x:f>
      </x:c>
      <x:c r="F22" s="138" t="str">
        <x:f>IF(""="","","")</x:f>
      </x:c>
      <x:c r="G22" s="138" t="str">
        <x:f>IF(""="","","")</x:f>
      </x:c>
      <x:c r="H22" s="138" t="str">
        <x:f>IF(""="","","")</x:f>
      </x:c>
      <x:c r="I22" s="138" t="str">
        <x:f>IF(""="","","")</x:f>
      </x:c>
      <x:c r="J22" s="138" t="str">
        <x:f>IF(""="","","")</x:f>
      </x:c>
      <x:c r="K22" s="138" t="str">
        <x:f>IF(""="","","")</x:f>
      </x:c>
      <x:c r="L22" s="138" t="str">
        <x:f>IF(""="","","")</x:f>
      </x:c>
      <x:c r="M22" s="138" t="str">
        <x:f>IF(""="","","")</x:f>
      </x:c>
      <x:c r="N22" s="138" t="str">
        <x:f>IF(""="","","")</x:f>
      </x:c>
      <x:c r="O22" s="138" t="str">
        <x:f>IF(""="","","")</x:f>
      </x:c>
      <x:c r="P22" s="138" t="str">
        <x:f>IF(""="","","")</x:f>
      </x:c>
      <x:c r="Q22" s="138" t="str">
        <x:f>IF(""="","","")</x:f>
      </x:c>
      <x:c r="R22" s="138" t="str">
        <x:f>IF(""="","","")</x:f>
      </x:c>
      <x:c r="S22" s="138" t="str">
        <x:f>IF(""="","","")</x:f>
      </x:c>
      <x:c r="T22" s="138" t="str">
        <x:f>IF(""="","","")</x:f>
      </x:c>
      <x:c r="U22" s="138" t="str">
        <x:f>IF(""="","","")</x:f>
      </x:c>
      <x:c r="V22" s="138" t="str">
        <x:f>IF(""="","","")</x:f>
      </x:c>
      <x:c r="W22" s="138" t="str">
        <x:f>IF(""="","","")</x:f>
      </x:c>
      <x:c r="X22" s="138" t="str">
        <x:f>IF(""="","","")</x:f>
      </x:c>
      <x:c r="Y22" s="138" t="str">
        <x:f>IF(""="","","")</x:f>
      </x:c>
      <x:c r="Z22" s="138" t="str">
        <x:f>IF(""="","","")</x:f>
      </x:c>
      <x:c r="AA22" s="138" t="str">
        <x:f>IF(""="","","")</x:f>
      </x:c>
      <x:c r="AB22" s="138" t="str">
        <x:f>IF(""="","","")</x:f>
      </x:c>
      <x:c r="AC22" s="138" t="str">
        <x:f>IF(""="","","")</x:f>
      </x:c>
      <x:c r="AD22" s="138" t="str">
        <x:f>IF(""="","","")</x:f>
      </x:c>
      <x:c r="AE22" s="138" t="str">
        <x:f>IF(""="","","")</x:f>
      </x:c>
      <x:c r="AF22" s="139" t="str">
        <x:f>IF(""="","","")</x:f>
      </x:c>
    </x:row>
    <x:row r="23" ht="36" customHeight="1">
      <x:c r="A23" s="135" t="str">
        <x:v>Message Length (Free)</x:v>
      </x:c>
      <x:c r="B23" s="100" t="str">
        <x:f>IF('Master'!C169="","",'Master'!C169)</x:f>
        <x:v>2,000</x:v>
      </x:c>
      <x:c r="C23" s="100" t="str">
        <x:f>IF('Master'!D169="","",'Master'!D169)</x:f>
      </x:c>
      <x:c r="D23" s="100" t="str">
        <x:f>IF('Master'!E169="","",'Master'!E169)</x:f>
      </x:c>
      <x:c r="E23" s="100" t="str">
        <x:f>IF('Master'!F169="","",'Master'!F169)</x:f>
      </x:c>
      <x:c r="F23" s="100" t="str">
        <x:f>IF('Master'!G169="","",'Master'!G169)</x:f>
      </x:c>
      <x:c r="G23" s="100" t="str">
        <x:f>IF('Master'!H169="","",'Master'!H169)</x:f>
        <x:v>2,000</x:v>
      </x:c>
      <x:c r="H23" s="100" t="str">
        <x:f>IF('Master'!I169="","",'Master'!I169)</x:f>
      </x:c>
      <x:c r="I23" s="100" t="str">
        <x:f>IF('Master'!J169="","",'Master'!J169)</x:f>
      </x:c>
      <x:c r="J23" s="100" t="str">
        <x:f>IF('Master'!K169="","",'Master'!K169)</x:f>
      </x:c>
      <x:c r="K23" s="100" t="str">
        <x:f>IF('Master'!L169="","",'Master'!L169)</x:f>
      </x:c>
      <x:c r="L23" s="100" t="str">
        <x:f>IF('Master'!M169="","",'Master'!M169)</x:f>
      </x:c>
      <x:c r="M23" s="100" t="str">
        <x:f>IF('Master'!N169="","",'Master'!N169)</x:f>
      </x:c>
      <x:c r="N23" s="100" t="str">
        <x:f>IF('Master'!O169="","",'Master'!O169)</x:f>
      </x:c>
      <x:c r="O23" s="100" t="str">
        <x:f>IF('Master'!P169="","",'Master'!P169)</x:f>
      </x:c>
      <x:c r="P23" s="100" t="str">
        <x:f>IF('Master'!Q169="","",'Master'!Q169)</x:f>
      </x:c>
      <x:c r="Q23" s="100" t="str">
        <x:f>IF('Master'!R169="","",'Master'!R169)</x:f>
      </x:c>
      <x:c r="R23" s="100" t="str">
        <x:f>IF('Master'!S169="","",'Master'!S169)</x:f>
      </x:c>
      <x:c r="S23" s="100" t="str">
        <x:f>IF('Master'!T169="","",'Master'!T169)</x:f>
      </x:c>
      <x:c r="T23" s="100" t="str">
        <x:f>IF('Master'!U169="","",'Master'!U169)</x:f>
      </x:c>
      <x:c r="U23" s="100" t="str">
        <x:f>IF('Master'!V169="","",'Master'!V169)</x:f>
        <x:v>8,000</x:v>
      </x:c>
      <x:c r="V23" s="100" t="str">
        <x:f>IF('Master'!W169="","",'Master'!W169)</x:f>
      </x:c>
      <x:c r="W23" s="100" t="str">
        <x:f>IF('Master'!X169="","",'Master'!X169)</x:f>
      </x:c>
      <x:c r="X23" s="100" t="str">
        <x:f>IF('Master'!Y169="","",'Master'!Y169)</x:f>
      </x:c>
      <x:c r="Y23" s="100" t="str">
        <x:f>IF('Master'!Z169="","",'Master'!Z169)</x:f>
      </x:c>
      <x:c r="Z23" s="100" t="str">
        <x:f>IF('Master'!AA169="","",'Master'!AA169)</x:f>
      </x:c>
      <x:c r="AA23" s="104" t="str">
        <x:f>IF('Master'!AB169="","",'Master'!AB169)</x:f>
      </x:c>
      <x:c r="AB23" s="100" t="str">
        <x:f>IF('Master'!AC169="","",'Master'!AC169)</x:f>
      </x:c>
      <x:c r="AC23" s="100" t="str">
        <x:f>IF('Master'!AD169="","",'Master'!AD169)</x:f>
      </x:c>
      <x:c r="AD23" s="100" t="str">
        <x:f>IF('Master'!AE169="","",'Master'!AE169)</x:f>
      </x:c>
      <x:c r="AE23" s="100" t="str">
        <x:f>IF('Master'!AF169="","",'Master'!AF169)</x:f>
      </x:c>
      <x:c r="AF23" s="75" t="str">
        <x:f>IF('Master'!AG169="","",'Master'!AG169)</x:f>
      </x:c>
    </x:row>
    <x:row r="24" ht="36" customHeight="1">
      <x:c r="A24" s="135" t="str">
        <x:v>Message Length (Paid Max)</x:v>
      </x:c>
      <x:c r="B24" s="100" t="str">
        <x:f>IF('Master'!C170="","",'Master'!C170)</x:f>
        <x:v>4,000 with Nitro</x:v>
      </x:c>
      <x:c r="C24" s="100" t="str">
        <x:f>IF('Master'!D170="","",'Master'!D170)</x:f>
      </x:c>
      <x:c r="D24" s="100" t="str">
        <x:f>IF('Master'!E170="","",'Master'!E170)</x:f>
      </x:c>
      <x:c r="E24" s="100" t="str">
        <x:f>IF('Master'!F170="","",'Master'!F170)</x:f>
      </x:c>
      <x:c r="F24" s="100" t="str">
        <x:f>IF('Master'!G170="","",'Master'!G170)</x:f>
      </x:c>
      <x:c r="G24" s="100" t="str">
        <x:f>IF('Master'!H170="","",'Master'!H170)</x:f>
        <x:v>4,000</x:v>
      </x:c>
      <x:c r="H24" s="100" t="str">
        <x:f>IF('Master'!I170="","",'Master'!I170)</x:f>
      </x:c>
      <x:c r="I24" s="100" t="str">
        <x:f>IF('Master'!J170="","",'Master'!J170)</x:f>
      </x:c>
      <x:c r="J24" s="100" t="str">
        <x:f>IF('Master'!K170="","",'Master'!K170)</x:f>
      </x:c>
      <x:c r="K24" s="100" t="str">
        <x:f>IF('Master'!L170="","",'Master'!L170)</x:f>
      </x:c>
      <x:c r="L24" s="100" t="str">
        <x:f>IF('Master'!M170="","",'Master'!M170)</x:f>
      </x:c>
      <x:c r="M24" s="100" t="str">
        <x:f>IF('Master'!N170="","",'Master'!N170)</x:f>
      </x:c>
      <x:c r="N24" s="100" t="str">
        <x:f>IF('Master'!O170="","",'Master'!O170)</x:f>
      </x:c>
      <x:c r="O24" s="100" t="str">
        <x:f>IF('Master'!P170="","",'Master'!P170)</x:f>
      </x:c>
      <x:c r="P24" s="100" t="str">
        <x:f>IF('Master'!Q170="","",'Master'!Q170)</x:f>
      </x:c>
      <x:c r="Q24" s="100" t="str">
        <x:f>IF('Master'!R170="","",'Master'!R170)</x:f>
      </x:c>
      <x:c r="R24" s="100" t="str">
        <x:f>IF('Master'!S170="","",'Master'!S170)</x:f>
      </x:c>
      <x:c r="S24" s="100" t="str">
        <x:f>IF('Master'!T170="","",'Master'!T170)</x:f>
      </x:c>
      <x:c r="T24" s="100" t="str">
        <x:f>IF('Master'!U170="","",'Master'!U170)</x:f>
      </x:c>
      <x:c r="U24" s="100" t="str">
        <x:f>IF('Master'!V170="","",'Master'!V170)</x:f>
        <x:v>16,000 Rift+</x:v>
      </x:c>
      <x:c r="V24" s="100" t="str">
        <x:f>IF('Master'!W170="","",'Master'!W170)</x:f>
      </x:c>
      <x:c r="W24" s="100" t="str">
        <x:f>IF('Master'!X170="","",'Master'!X170)</x:f>
      </x:c>
      <x:c r="X24" s="100" t="str">
        <x:f>IF('Master'!Y170="","",'Master'!Y170)</x:f>
      </x:c>
      <x:c r="Y24" s="100" t="str">
        <x:f>IF('Master'!Z170="","",'Master'!Z170)</x:f>
      </x:c>
      <x:c r="Z24" s="100" t="str">
        <x:f>IF('Master'!AA170="","",'Master'!AA170)</x:f>
      </x:c>
      <x:c r="AA24" s="104" t="str">
        <x:f>IF('Master'!AB170="","",'Master'!AB170)</x:f>
      </x:c>
      <x:c r="AB24" s="100" t="str">
        <x:f>IF('Master'!AC170="","",'Master'!AC170)</x:f>
      </x:c>
      <x:c r="AC24" s="100" t="str">
        <x:f>IF('Master'!AD170="","",'Master'!AD170)</x:f>
      </x:c>
      <x:c r="AD24" s="100" t="str">
        <x:f>IF('Master'!AE170="","",'Master'!AE170)</x:f>
      </x:c>
      <x:c r="AE24" s="100" t="str">
        <x:f>IF('Master'!AF170="","",'Master'!AF170)</x:f>
      </x:c>
      <x:c r="AF24" s="75" t="str">
        <x:f>IF('Master'!AG170="","",'Master'!AG170)</x:f>
      </x:c>
    </x:row>
    <x:row r="25" ht="36" customHeight="1">
      <x:c r="A25" s="135" t="str">
        <x:v>Group DM Member Limit</x:v>
      </x:c>
      <x:c r="B25" s="100" t="str">
        <x:f>IF('Master'!C171="","",'Master'!C171)</x:f>
      </x:c>
      <x:c r="C25" s="100" t="str">
        <x:f>IF('Master'!D171="","",'Master'!D171)</x:f>
      </x:c>
      <x:c r="D25" s="100" t="str">
        <x:f>IF('Master'!E171="","",'Master'!E171)</x:f>
      </x:c>
      <x:c r="E25" s="100" t="str">
        <x:f>IF('Master'!F171="","",'Master'!F171)</x:f>
      </x:c>
      <x:c r="F25" s="100" t="str">
        <x:f>IF('Master'!G171="","",'Master'!G171)</x:f>
      </x:c>
      <x:c r="G25" s="100" t="str">
        <x:f>IF('Master'!H171="","",'Master'!H171)</x:f>
      </x:c>
      <x:c r="H25" s="100" t="str">
        <x:f>IF('Master'!I171="","",'Master'!I171)</x:f>
      </x:c>
      <x:c r="I25" s="100" t="str">
        <x:f>IF('Master'!J171="","",'Master'!J171)</x:f>
      </x:c>
      <x:c r="J25" s="100" t="str">
        <x:f>IF('Master'!K171="","",'Master'!K171)</x:f>
      </x:c>
      <x:c r="K25" s="100" t="str">
        <x:f>IF('Master'!L171="","",'Master'!L171)</x:f>
      </x:c>
      <x:c r="L25" s="100" t="str">
        <x:f>IF('Master'!M171="","",'Master'!M171)</x:f>
      </x:c>
      <x:c r="M25" s="100" t="str">
        <x:f>IF('Master'!N171="","",'Master'!N171)</x:f>
      </x:c>
      <x:c r="N25" s="100" t="str">
        <x:f>IF('Master'!O171="","",'Master'!O171)</x:f>
      </x:c>
      <x:c r="O25" s="100" t="str">
        <x:f>IF('Master'!P171="","",'Master'!P171)</x:f>
      </x:c>
      <x:c r="P25" s="100" t="str">
        <x:f>IF('Master'!Q171="","",'Master'!Q171)</x:f>
        <x:v>10</x:v>
      </x:c>
      <x:c r="Q25" s="100" t="str">
        <x:f>IF('Master'!R171="","",'Master'!R171)</x:f>
      </x:c>
      <x:c r="R25" s="100" t="str">
        <x:f>IF('Master'!S171="","",'Master'!S171)</x:f>
      </x:c>
      <x:c r="S25" s="100" t="str">
        <x:f>IF('Master'!T171="","",'Master'!T171)</x:f>
      </x:c>
      <x:c r="T25" s="100" t="str">
        <x:f>IF('Master'!U171="","",'Master'!U171)</x:f>
      </x:c>
      <x:c r="U25" s="100" t="str">
        <x:f>IF('Master'!V171="","",'Master'!V171)</x:f>
      </x:c>
      <x:c r="V25" s="100" t="str">
        <x:f>IF('Master'!W171="","",'Master'!W171)</x:f>
      </x:c>
      <x:c r="W25" s="100" t="str">
        <x:f>IF('Master'!X171="","",'Master'!X171)</x:f>
      </x:c>
      <x:c r="X25" s="100" t="str">
        <x:f>IF('Master'!Y171="","",'Master'!Y171)</x:f>
      </x:c>
      <x:c r="Y25" s="100" t="str">
        <x:f>IF('Master'!Z171="","",'Master'!Z171)</x:f>
      </x:c>
      <x:c r="Z25" s="100" t="str">
        <x:f>IF('Master'!AA171="","",'Master'!AA171)</x:f>
      </x:c>
      <x:c r="AA25" s="104" t="str">
        <x:f>IF('Master'!AB171="","",'Master'!AB171)</x:f>
      </x:c>
      <x:c r="AB25" s="100" t="str">
        <x:f>IF('Master'!AC171="","",'Master'!AC171)</x:f>
      </x:c>
      <x:c r="AC25" s="100" t="str">
        <x:f>IF('Master'!AD171="","",'Master'!AD171)</x:f>
      </x:c>
      <x:c r="AD25" s="100" t="str">
        <x:f>IF('Master'!AE171="","",'Master'!AE171)</x:f>
      </x:c>
      <x:c r="AE25" s="100" t="str">
        <x:f>IF('Master'!AF171="","",'Master'!AF171)</x:f>
      </x:c>
      <x:c r="AF25" s="75" t="str">
        <x:f>IF('Master'!AG171="","",'Master'!AG171)</x:f>
      </x:c>
    </x:row>
    <x:row r="26" ht="36" customHeight="1">
      <x:c r="A26" s="135" t="str">
        <x:v>Webcam Participant Limit</x:v>
      </x:c>
      <x:c r="B26" s="100" t="str">
        <x:f>IF('Master'!C258="","",'Master'!C258)</x:f>
        <x:v>25 when video active in server voice</x:v>
      </x:c>
      <x:c r="C26" s="100" t="str">
        <x:f>IF('Master'!D258="","",'Master'!D258)</x:f>
      </x:c>
      <x:c r="D26" s="100" t="str">
        <x:f>IF('Master'!E258="","",'Master'!E258)</x:f>
      </x:c>
      <x:c r="E26" s="100" t="str">
        <x:f>IF('Master'!F258="","",'Master'!F258)</x:f>
      </x:c>
      <x:c r="F26" s="100" t="str">
        <x:f>IF('Master'!G258="","",'Master'!G258)</x:f>
      </x:c>
      <x:c r="G26" s="100" t="str">
        <x:f>IF('Master'!H258="","",'Master'!H258)</x:f>
      </x:c>
      <x:c r="H26" s="100" t="str">
        <x:f>IF('Master'!I258="","",'Master'!I258)</x:f>
      </x:c>
      <x:c r="I26" s="100" t="str">
        <x:f>IF('Master'!J258="","",'Master'!J258)</x:f>
      </x:c>
      <x:c r="J26" s="100" t="str">
        <x:f>IF('Master'!K258="","",'Master'!K258)</x:f>
        <x:v>No</x:v>
      </x:c>
      <x:c r="K26" s="100" t="str">
        <x:f>IF('Master'!L258="","",'Master'!L258)</x:f>
        <x:v>Not documented</x:v>
      </x:c>
      <x:c r="L26" s="100" t="str">
        <x:f>IF('Master'!M258="","",'Master'!M258)</x:f>
      </x:c>
      <x:c r="M26" s="100" t="str">
        <x:f>IF('Master'!N258="","",'Master'!N258)</x:f>
      </x:c>
      <x:c r="N26" s="100" t="str">
        <x:f>IF('Master'!O258="","",'Master'!O258)</x:f>
        <x:v>Client-dependent</x:v>
      </x:c>
      <x:c r="O26" s="100" t="str">
        <x:f>IF('Master'!P258="","",'Master'!P258)</x:f>
        <x:v>Yes</x:v>
      </x:c>
      <x:c r="P26" s="100" t="str">
        <x:f>IF('Master'!Q258="","",'Master'!Q258)</x:f>
      </x:c>
      <x:c r="Q26" s="100" t="str">
        <x:f>IF('Master'!R258="","",'Master'!R258)</x:f>
        <x:v>No</x:v>
      </x:c>
      <x:c r="R26" s="100" t="str">
        <x:f>IF('Master'!S258="","",'Master'!S258)</x:f>
      </x:c>
      <x:c r="S26" s="100" t="str">
        <x:f>IF('Master'!T258="","",'Master'!T258)</x:f>
      </x:c>
      <x:c r="T26" s="100" t="str">
        <x:f>IF('Master'!U258="","",'Master'!U258)</x:f>
      </x:c>
      <x:c r="U26" s="100" t="str">
        <x:f>IF('Master'!V258="","",'Master'!V258)</x:f>
      </x:c>
      <x:c r="V26" s="100" t="str">
        <x:f>IF('Master'!W258="","",'Master'!W258)</x:f>
        <x:v>Provider-dependent</x:v>
      </x:c>
      <x:c r="W26" s="100" t="str">
        <x:f>IF('Master'!X258="","",'Master'!X258)</x:f>
        <x:v>N/A</x:v>
      </x:c>
      <x:c r="X26" s="100" t="str">
        <x:f>IF('Master'!Y258="","",'Master'!Y258)</x:f>
      </x:c>
      <x:c r="Y26" s="100" t="str">
        <x:f>IF('Master'!Z258="","",'Master'!Z258)</x:f>
      </x:c>
      <x:c r="Z26" s="100" t="str">
        <x:f>IF('Master'!AA258="","",'Master'!AA258)</x:f>
        <x:v>No stated camera-per-call limit</x:v>
      </x:c>
      <x:c r="AA26" s="104" t="str">
        <x:f>IF('Master'!AB258="","",'Master'!AB258)</x:f>
      </x:c>
      <x:c r="AB26" s="100" t="str">
        <x:f>IF('Master'!AC258="","",'Master'!AC258)</x:f>
      </x:c>
      <x:c r="AC26" s="100" t="str">
        <x:f>IF('Master'!AD258="","",'Master'!AD258)</x:f>
      </x:c>
      <x:c r="AD26" s="100" t="str">
        <x:f>IF('Master'!AE258="","",'Master'!AE258)</x:f>
      </x:c>
      <x:c r="AE26" s="100" t="str">
        <x:f>IF('Master'!AF258="","",'Master'!AF258)</x:f>
        <x:v>No</x:v>
      </x:c>
      <x:c r="AF26" s="75" t="str">
        <x:f>IF('Master'!AG258="","",'Master'!AG258)</x:f>
        <x:v>Provider-dependent</x:v>
      </x:c>
    </x:row>
    <x:row r="27" ht="36" customHeight="1">
      <x:c r="A27" s="135" t="str">
        <x:v>Concurrent Screen Share Limit</x:v>
      </x:c>
      <x:c r="B27" s="100" t="str">
        <x:f>IF('Master'!C172="","",'Master'!C172)</x:f>
      </x:c>
      <x:c r="C27" s="100" t="str">
        <x:f>IF('Master'!D172="","",'Master'!D172)</x:f>
      </x:c>
      <x:c r="D27" s="100" t="str">
        <x:f>IF('Master'!E172="","",'Master'!E172)</x:f>
      </x:c>
      <x:c r="E27" s="100" t="str">
        <x:f>IF('Master'!F172="","",'Master'!F172)</x:f>
      </x:c>
      <x:c r="F27" s="100" t="str">
        <x:f>IF('Master'!G172="","",'Master'!G172)</x:f>
      </x:c>
      <x:c r="G27" s="100" t="str">
        <x:f>IF('Master'!H172="","",'Master'!H172)</x:f>
      </x:c>
      <x:c r="H27" s="100" t="str">
        <x:f>IF('Master'!I172="","",'Master'!I172)</x:f>
      </x:c>
      <x:c r="I27" s="100" t="str">
        <x:f>IF('Master'!J172="","",'Master'!J172)</x:f>
      </x:c>
      <x:c r="J27" s="100" t="str">
        <x:f>IF('Master'!K172="","",'Master'!K172)</x:f>
      </x:c>
      <x:c r="K27" s="100" t="str">
        <x:f>IF('Master'!L172="","",'Master'!L172)</x:f>
        <x:v>Not documented</x:v>
      </x:c>
      <x:c r="L27" s="100" t="str">
        <x:f>IF('Master'!M172="","",'Master'!M172)</x:f>
      </x:c>
      <x:c r="M27" s="100" t="str">
        <x:f>IF('Master'!N172="","",'Master'!N172)</x:f>
      </x:c>
      <x:c r="N27" s="100" t="str">
        <x:f>IF('Master'!O172="","",'Master'!O172)</x:f>
      </x:c>
      <x:c r="O27" s="100" t="str">
        <x:f>IF('Master'!P172="","",'Master'!P172)</x:f>
      </x:c>
      <x:c r="P27" s="100" t="str">
        <x:f>IF('Master'!Q172="","",'Master'!Q172)</x:f>
      </x:c>
      <x:c r="Q27" s="100" t="str">
        <x:f>IF('Master'!R172="","",'Master'!R172)</x:f>
      </x:c>
      <x:c r="R27" s="100" t="str">
        <x:f>IF('Master'!S172="","",'Master'!S172)</x:f>
      </x:c>
      <x:c r="S27" s="100" t="str">
        <x:f>IF('Master'!T172="","",'Master'!T172)</x:f>
      </x:c>
      <x:c r="T27" s="100" t="str">
        <x:f>IF('Master'!U172="","",'Master'!U172)</x:f>
        <x:v>2 presenters in smaller rooms; 4 in big rooms</x:v>
      </x:c>
      <x:c r="U27" s="100" t="str">
        <x:f>IF('Master'!V172="","",'Master'!V172)</x:f>
      </x:c>
      <x:c r="V27" s="100" t="str">
        <x:f>IF('Master'!W172="","",'Master'!W172)</x:f>
      </x:c>
      <x:c r="W27" s="100" t="str">
        <x:f>IF('Master'!X172="","",'Master'!X172)</x:f>
      </x:c>
      <x:c r="X27" s="100" t="str">
        <x:f>IF('Master'!Y172="","",'Master'!Y172)</x:f>
      </x:c>
      <x:c r="Y27" s="100" t="str">
        <x:f>IF('Master'!Z172="","",'Master'!Z172)</x:f>
      </x:c>
      <x:c r="Z27" s="100" t="str">
        <x:f>IF('Master'!AA172="","",'Master'!AA172)</x:f>
      </x:c>
      <x:c r="AA27" s="104" t="str">
        <x:f>IF('Master'!AB172="","",'Master'!AB172)</x:f>
      </x:c>
      <x:c r="AB27" s="100" t="str">
        <x:f>IF('Master'!AC172="","",'Master'!AC172)</x:f>
      </x:c>
      <x:c r="AC27" s="100" t="str">
        <x:f>IF('Master'!AD172="","",'Master'!AD172)</x:f>
      </x:c>
      <x:c r="AD27" s="100" t="str">
        <x:f>IF('Master'!AE172="","",'Master'!AE172)</x:f>
      </x:c>
      <x:c r="AE27" s="100" t="str">
        <x:f>IF('Master'!AF172="","",'Master'!AF172)</x:f>
      </x:c>
      <x:c r="AF27" s="75" t="str">
        <x:f>IF('Master'!AG172="","",'Master'!AG172)</x:f>
      </x:c>
    </x:row>
    <x:row r="28" ht="22" customHeight="1">
      <x:c r="A28" s="138" t="str">
        <x:v>Apps &amp; Automation</x:v>
      </x:c>
      <x:c r="B28" s="138" t="str">
        <x:f>IF(""="","","")</x:f>
      </x:c>
      <x:c r="C28" s="138" t="str">
        <x:f>IF(""="","","")</x:f>
      </x:c>
      <x:c r="D28" s="138" t="str">
        <x:f>IF(""="","","")</x:f>
      </x:c>
      <x:c r="E28" s="138" t="str">
        <x:f>IF(""="","","")</x:f>
      </x:c>
      <x:c r="F28" s="138" t="str">
        <x:f>IF(""="","","")</x:f>
      </x:c>
      <x:c r="G28" s="138" t="str">
        <x:f>IF(""="","","")</x:f>
      </x:c>
      <x:c r="H28" s="138" t="str">
        <x:f>IF(""="","","")</x:f>
      </x:c>
      <x:c r="I28" s="138" t="str">
        <x:f>IF(""="","","")</x:f>
      </x:c>
      <x:c r="J28" s="138" t="str">
        <x:f>IF(""="","","")</x:f>
      </x:c>
      <x:c r="K28" s="138" t="str">
        <x:f>IF(""="","","")</x:f>
      </x:c>
      <x:c r="L28" s="138" t="str">
        <x:f>IF(""="","","")</x:f>
      </x:c>
      <x:c r="M28" s="138" t="str">
        <x:f>IF(""="","","")</x:f>
      </x:c>
      <x:c r="N28" s="138" t="str">
        <x:f>IF(""="","","")</x:f>
      </x:c>
      <x:c r="O28" s="138" t="str">
        <x:f>IF(""="","","")</x:f>
      </x:c>
      <x:c r="P28" s="138" t="str">
        <x:f>IF(""="","","")</x:f>
      </x:c>
      <x:c r="Q28" s="138" t="str">
        <x:f>IF(""="","","")</x:f>
      </x:c>
      <x:c r="R28" s="138" t="str">
        <x:f>IF(""="","","")</x:f>
      </x:c>
      <x:c r="S28" s="138" t="str">
        <x:f>IF(""="","","")</x:f>
      </x:c>
      <x:c r="T28" s="138" t="str">
        <x:f>IF(""="","","")</x:f>
      </x:c>
      <x:c r="U28" s="138" t="str">
        <x:f>IF(""="","","")</x:f>
      </x:c>
      <x:c r="V28" s="138" t="str">
        <x:f>IF(""="","","")</x:f>
      </x:c>
      <x:c r="W28" s="138" t="str">
        <x:f>IF(""="","","")</x:f>
      </x:c>
      <x:c r="X28" s="138" t="str">
        <x:f>IF(""="","","")</x:f>
      </x:c>
      <x:c r="Y28" s="138" t="str">
        <x:f>IF(""="","","")</x:f>
      </x:c>
      <x:c r="Z28" s="138" t="str">
        <x:f>IF(""="","","")</x:f>
      </x:c>
      <x:c r="AA28" s="138" t="str">
        <x:f>IF(""="","","")</x:f>
      </x:c>
      <x:c r="AB28" s="138" t="str">
        <x:f>IF(""="","","")</x:f>
      </x:c>
      <x:c r="AC28" s="138" t="str">
        <x:f>IF(""="","","")</x:f>
      </x:c>
      <x:c r="AD28" s="138" t="str">
        <x:f>IF(""="","","")</x:f>
      </x:c>
      <x:c r="AE28" s="138" t="str">
        <x:f>IF(""="","","")</x:f>
      </x:c>
      <x:c r="AF28" s="139" t="str">
        <x:f>IF(""="","","")</x:f>
      </x:c>
    </x:row>
    <x:row r="29" ht="23.100000381469727" customHeight="1">
      <x:c r="A29" s="135" t="str">
        <x:v>Max Bots / Apps</x:v>
      </x:c>
      <x:c r="B29" s="102" t="str">
        <x:f>IF('Master'!C173="","",'Master'!C173)</x:f>
      </x:c>
      <x:c r="C29" s="102" t="str">
        <x:f>IF('Master'!D173="","",'Master'!D173)</x:f>
      </x:c>
      <x:c r="D29" s="102" t="str">
        <x:f>IF('Master'!E173="","",'Master'!E173)</x:f>
      </x:c>
      <x:c r="E29" s="102" t="str">
        <x:f>IF('Master'!F173="","",'Master'!F173)</x:f>
      </x:c>
      <x:c r="F29" s="102" t="str">
        <x:f>IF('Master'!G173="","",'Master'!G173)</x:f>
      </x:c>
      <x:c r="G29" s="102" t="str">
        <x:f>IF('Master'!H173="","",'Master'!H173)</x:f>
      </x:c>
      <x:c r="H29" s="102" t="str">
        <x:f>IF('Master'!I173="","",'Master'!I173)</x:f>
      </x:c>
      <x:c r="I29" s="102" t="str">
        <x:f>IF('Master'!J173="","",'Master'!J173)</x:f>
      </x:c>
      <x:c r="J29" s="102" t="str">
        <x:f>IF('Master'!K173="","",'Master'!K173)</x:f>
      </x:c>
      <x:c r="K29" s="102" t="str">
        <x:f>IF('Master'!L173="","",'Master'!L173)</x:f>
        <x:v>Guild install cap not located; developer teams may own up to 75 active applications</x:v>
      </x:c>
      <x:c r="L29" s="102" t="str">
        <x:f>IF('Master'!M173="","",'Master'!M173)</x:f>
      </x:c>
      <x:c r="M29" s="102" t="str">
        <x:f>IF('Master'!N173="","",'Master'!N173)</x:f>
      </x:c>
      <x:c r="N29" s="102" t="str">
        <x:f>IF('Master'!O173="","",'Master'!O173)</x:f>
      </x:c>
      <x:c r="O29" s="102" t="str">
        <x:f>IF('Master'!P173="","",'Master'!P173)</x:f>
      </x:c>
      <x:c r="P29" s="102" t="str">
        <x:f>IF('Master'!Q173="","",'Master'!Q173)</x:f>
      </x:c>
      <x:c r="Q29" s="102" t="str">
        <x:f>IF('Master'!R173="","",'Master'!R173)</x:f>
      </x:c>
      <x:c r="R29" s="102" t="str">
        <x:f>IF('Master'!S173="","",'Master'!S173)</x:f>
      </x:c>
      <x:c r="S29" s="102" t="str">
        <x:f>IF('Master'!T173="","",'Master'!T173)</x:f>
      </x:c>
      <x:c r="T29" s="102" t="str">
        <x:f>IF('Master'!U173="","",'Master'!U173)</x:f>
      </x:c>
      <x:c r="U29" s="102" t="str">
        <x:f>IF('Master'!V173="","",'Master'!V173)</x:f>
      </x:c>
      <x:c r="V29" s="102" t="str">
        <x:f>IF('Master'!W173="","",'Master'!W173)</x:f>
      </x:c>
      <x:c r="W29" s="102" t="str">
        <x:f>IF('Master'!X173="","",'Master'!X173)</x:f>
      </x:c>
      <x:c r="X29" s="102" t="str">
        <x:f>IF('Master'!Y173="","",'Master'!Y173)</x:f>
      </x:c>
      <x:c r="Y29" s="102" t="str">
        <x:f>IF('Master'!Z173="","",'Master'!Z173)</x:f>
      </x:c>
      <x:c r="Z29" s="102" t="str">
        <x:f>IF('Master'!AA173="","",'Master'!AA173)</x:f>
      </x:c>
      <x:c r="AA29" s="103" t="str">
        <x:f>IF('Master'!AB173="","",'Master'!AB173)</x:f>
      </x:c>
      <x:c r="AB29" s="102" t="str">
        <x:f>IF('Master'!AC173="","",'Master'!AC173)</x:f>
      </x:c>
      <x:c r="AC29" s="102" t="str">
        <x:f>IF('Master'!AD173="","",'Master'!AD173)</x:f>
      </x:c>
      <x:c r="AD29" s="102" t="str">
        <x:f>IF('Master'!AE173="","",'Master'!AE173)</x:f>
      </x:c>
      <x:c r="AE29" s="102" t="str">
        <x:f>IF('Master'!AF173="","",'Master'!AF173)</x:f>
      </x:c>
      <x:c r="AF29" s="75" t="str">
        <x:f>IF('Master'!AG173="","",'Master'!AG173)</x:f>
      </x:c>
    </x:row>
    <x:row r="30" ht="36" customHeight="1">
      <x:c r="A30" s="135" t="str">
        <x:v>Max Incoming Webhooks</x:v>
      </x:c>
      <x:c r="B30" s="100" t="str">
        <x:f>IF('Master'!C174="","",'Master'!C174)</x:f>
      </x:c>
      <x:c r="C30" s="100" t="str">
        <x:f>IF('Master'!D174="","",'Master'!D174)</x:f>
      </x:c>
      <x:c r="D30" s="100" t="str">
        <x:f>IF('Master'!E174="","",'Master'!E174)</x:f>
      </x:c>
      <x:c r="E30" s="100" t="str">
        <x:f>IF('Master'!F174="","",'Master'!F174)</x:f>
      </x:c>
      <x:c r="F30" s="100" t="str">
        <x:f>IF('Master'!G174="","",'Master'!G174)</x:f>
      </x:c>
      <x:c r="G30" s="100" t="str">
        <x:f>IF('Master'!H174="","",'Master'!H174)</x:f>
      </x:c>
      <x:c r="H30" s="100" t="str">
        <x:f>IF('Master'!I174="","",'Master'!I174)</x:f>
      </x:c>
      <x:c r="I30" s="100" t="str">
        <x:f>IF('Master'!J174="","",'Master'!J174)</x:f>
      </x:c>
      <x:c r="J30" s="100" t="str">
        <x:f>IF('Master'!K174="","",'Master'!K174)</x:f>
      </x:c>
      <x:c r="K30" s="100" t="str">
        <x:f>IF('Master'!L174="","",'Master'!L174)</x:f>
        <x:v>Not located</x:v>
      </x:c>
      <x:c r="L30" s="100" t="str">
        <x:f>IF('Master'!M174="","",'Master'!M174)</x:f>
      </x:c>
      <x:c r="M30" s="100" t="str">
        <x:f>IF('Master'!N174="","",'Master'!N174)</x:f>
      </x:c>
      <x:c r="N30" s="100" t="str">
        <x:f>IF('Master'!O174="","",'Master'!O174)</x:f>
      </x:c>
      <x:c r="O30" s="100" t="str">
        <x:f>IF('Master'!P174="","",'Master'!P174)</x:f>
      </x:c>
      <x:c r="P30" s="100" t="str">
        <x:f>IF('Master'!Q174="","",'Master'!Q174)</x:f>
      </x:c>
      <x:c r="Q30" s="100" t="str">
        <x:f>IF('Master'!R174="","",'Master'!R174)</x:f>
      </x:c>
      <x:c r="R30" s="100" t="str">
        <x:f>IF('Master'!S174="","",'Master'!S174)</x:f>
      </x:c>
      <x:c r="S30" s="100" t="str">
        <x:f>IF('Master'!T174="","",'Master'!T174)</x:f>
      </x:c>
      <x:c r="T30" s="100" t="str">
        <x:f>IF('Master'!U174="","",'Master'!U174)</x:f>
        <x:v>No public hard limit claimed</x:v>
      </x:c>
      <x:c r="U30" s="100" t="str">
        <x:f>IF('Master'!V174="","",'Master'!V174)</x:f>
        <x:v>5 free / 15 Ember / 30 Forge</x:v>
      </x:c>
      <x:c r="V30" s="100" t="str">
        <x:f>IF('Master'!W174="","",'Master'!W174)</x:f>
      </x:c>
      <x:c r="W30" s="100" t="str">
        <x:f>IF('Master'!X174="","",'Master'!X174)</x:f>
      </x:c>
      <x:c r="X30" s="100" t="str">
        <x:f>IF('Master'!Y174="","",'Master'!Y174)</x:f>
      </x:c>
      <x:c r="Y30" s="100" t="str">
        <x:f>IF('Master'!Z174="","",'Master'!Z174)</x:f>
      </x:c>
      <x:c r="Z30" s="100" t="str">
        <x:f>IF('Master'!AA174="","",'Master'!AA174)</x:f>
      </x:c>
      <x:c r="AA30" s="104" t="str">
        <x:f>IF('Master'!AB174="","",'Master'!AB174)</x:f>
      </x:c>
      <x:c r="AB30" s="100" t="str">
        <x:f>IF('Master'!AC174="","",'Master'!AC174)</x:f>
      </x:c>
      <x:c r="AC30" s="100" t="str">
        <x:f>IF('Master'!AD174="","",'Master'!AD174)</x:f>
      </x:c>
      <x:c r="AD30" s="100" t="str">
        <x:f>IF('Master'!AE174="","",'Master'!AE174)</x:f>
      </x:c>
      <x:c r="AE30" s="100" t="str">
        <x:f>IF('Master'!AF174="","",'Master'!AF174)</x:f>
      </x:c>
      <x:c r="AF30" s="75" t="str">
        <x:f>IF('Master'!AG174="","",'Master'!AG174)</x:f>
      </x:c>
    </x:row>
    <x:row r="31" ht="36" customHeight="1">
      <x:c r="A31" s="135" t="str">
        <x:v>Max Saved Layouts / Workspaces</x:v>
      </x:c>
      <x:c r="B31" s="100" t="str">
        <x:f>IF('Master'!C175="","",'Master'!C175)</x:f>
      </x:c>
      <x:c r="C31" s="100" t="str">
        <x:f>IF('Master'!D175="","",'Master'!D175)</x:f>
      </x:c>
      <x:c r="D31" s="100" t="str">
        <x:f>IF('Master'!E175="","",'Master'!E175)</x:f>
      </x:c>
      <x:c r="E31" s="100" t="str">
        <x:f>IF('Master'!F175="","",'Master'!F175)</x:f>
      </x:c>
      <x:c r="F31" s="100" t="str">
        <x:f>IF('Master'!G175="","",'Master'!G175)</x:f>
      </x:c>
      <x:c r="G31" s="100" t="str">
        <x:f>IF('Master'!H175="","",'Master'!H175)</x:f>
      </x:c>
      <x:c r="H31" s="100" t="str">
        <x:f>IF('Master'!I175="","",'Master'!I175)</x:f>
      </x:c>
      <x:c r="I31" s="100" t="str">
        <x:f>IF('Master'!J175="","",'Master'!J175)</x:f>
      </x:c>
      <x:c r="J31" s="100" t="str">
        <x:f>IF('Master'!K175="","",'Master'!K175)</x:f>
      </x:c>
      <x:c r="K31" s="100" t="str">
        <x:f>IF('Master'!L175="","",'Master'!L175)</x:f>
        <x:v>0 — feature not documented</x:v>
      </x:c>
      <x:c r="L31" s="100" t="str">
        <x:f>IF('Master'!M175="","",'Master'!M175)</x:f>
      </x:c>
      <x:c r="M31" s="100" t="str">
        <x:f>IF('Master'!N175="","",'Master'!N175)</x:f>
      </x:c>
      <x:c r="N31" s="100" t="str">
        <x:f>IF('Master'!O175="","",'Master'!O175)</x:f>
      </x:c>
      <x:c r="O31" s="100" t="str">
        <x:f>IF('Master'!P175="","",'Master'!P175)</x:f>
      </x:c>
      <x:c r="P31" s="100" t="str">
        <x:f>IF('Master'!Q175="","",'Master'!Q175)</x:f>
      </x:c>
      <x:c r="Q31" s="100" t="str">
        <x:f>IF('Master'!R175="","",'Master'!R175)</x:f>
      </x:c>
      <x:c r="R31" s="100" t="str">
        <x:f>IF('Master'!S175="","",'Master'!S175)</x:f>
      </x:c>
      <x:c r="S31" s="100" t="str">
        <x:f>IF('Master'!T175="","",'Master'!T175)</x:f>
      </x:c>
      <x:c r="T31" s="100" t="str">
        <x:f>IF('Master'!U175="","",'Master'!U175)</x:f>
      </x:c>
      <x:c r="U31" s="100" t="str">
        <x:f>IF('Master'!V175="","",'Master'!V175)</x:f>
        <x:v>2 free / 8 Rift+</x:v>
      </x:c>
      <x:c r="V31" s="100" t="str">
        <x:f>IF('Master'!W175="","",'Master'!W175)</x:f>
      </x:c>
      <x:c r="W31" s="100" t="str">
        <x:f>IF('Master'!X175="","",'Master'!X175)</x:f>
      </x:c>
      <x:c r="X31" s="100" t="str">
        <x:f>IF('Master'!Y175="","",'Master'!Y175)</x:f>
      </x:c>
      <x:c r="Y31" s="100" t="str">
        <x:f>IF('Master'!Z175="","",'Master'!Z175)</x:f>
      </x:c>
      <x:c r="Z31" s="100" t="str">
        <x:f>IF('Master'!AA175="","",'Master'!AA175)</x:f>
      </x:c>
      <x:c r="AA31" s="104" t="str">
        <x:f>IF('Master'!AB175="","",'Master'!AB175)</x:f>
      </x:c>
      <x:c r="AB31" s="100" t="str">
        <x:f>IF('Master'!AC175="","",'Master'!AC175)</x:f>
      </x:c>
      <x:c r="AC31" s="100" t="str">
        <x:f>IF('Master'!AD175="","",'Master'!AD175)</x:f>
      </x:c>
      <x:c r="AD31" s="100" t="str">
        <x:f>IF('Master'!AE175="","",'Master'!AE175)</x:f>
      </x:c>
      <x:c r="AE31" s="100" t="str">
        <x:f>IF('Master'!AF175="","",'Master'!AF175)</x:f>
      </x:c>
      <x:c r="AF31" s="75" t="str">
        <x:f>IF('Master'!AG175="","",'Master'!AG175)</x:f>
      </x:c>
    </x:row>
    <x:row r="32" ht="22" customHeight="1">
      <x:c r="A32" s="138" t="str">
        <x:v>Source &amp; Notes</x:v>
      </x:c>
      <x:c r="B32" s="138" t="str">
        <x:f>IF(""="","","")</x:f>
      </x:c>
      <x:c r="C32" s="138" t="str">
        <x:f>IF(""="","","")</x:f>
      </x:c>
      <x:c r="D32" s="138" t="str">
        <x:f>IF(""="","","")</x:f>
      </x:c>
      <x:c r="E32" s="138" t="str">
        <x:f>IF(""="","","")</x:f>
      </x:c>
      <x:c r="F32" s="138" t="str">
        <x:f>IF(""="","","")</x:f>
      </x:c>
      <x:c r="G32" s="138" t="str">
        <x:f>IF(""="","","")</x:f>
      </x:c>
      <x:c r="H32" s="138" t="str">
        <x:f>IF(""="","","")</x:f>
      </x:c>
      <x:c r="I32" s="138" t="str">
        <x:f>IF(""="","","")</x:f>
      </x:c>
      <x:c r="J32" s="138" t="str">
        <x:f>IF(""="","","")</x:f>
      </x:c>
      <x:c r="K32" s="138" t="str">
        <x:f>IF(""="","","")</x:f>
      </x:c>
      <x:c r="L32" s="138" t="str">
        <x:f>IF(""="","","")</x:f>
      </x:c>
      <x:c r="M32" s="138" t="str">
        <x:f>IF(""="","","")</x:f>
      </x:c>
      <x:c r="N32" s="138" t="str">
        <x:f>IF(""="","","")</x:f>
      </x:c>
      <x:c r="O32" s="138" t="str">
        <x:f>IF(""="","","")</x:f>
      </x:c>
      <x:c r="P32" s="138" t="str">
        <x:f>IF(""="","","")</x:f>
      </x:c>
      <x:c r="Q32" s="138" t="str">
        <x:f>IF(""="","","")</x:f>
      </x:c>
      <x:c r="R32" s="138" t="str">
        <x:f>IF(""="","","")</x:f>
      </x:c>
      <x:c r="S32" s="138" t="str">
        <x:f>IF(""="","","")</x:f>
      </x:c>
      <x:c r="T32" s="138" t="str">
        <x:f>IF(""="","","")</x:f>
      </x:c>
      <x:c r="U32" s="138" t="str">
        <x:f>IF(""="","","")</x:f>
      </x:c>
      <x:c r="V32" s="138" t="str">
        <x:f>IF(""="","","")</x:f>
      </x:c>
      <x:c r="W32" s="138" t="str">
        <x:f>IF(""="","","")</x:f>
      </x:c>
      <x:c r="X32" s="138" t="str">
        <x:f>IF(""="","","")</x:f>
      </x:c>
      <x:c r="Y32" s="138" t="str">
        <x:f>IF(""="","","")</x:f>
      </x:c>
      <x:c r="Z32" s="138" t="str">
        <x:f>IF(""="","","")</x:f>
      </x:c>
      <x:c r="AA32" s="138" t="str">
        <x:f>IF(""="","","")</x:f>
      </x:c>
      <x:c r="AB32" s="138" t="str">
        <x:f>IF(""="","","")</x:f>
      </x:c>
      <x:c r="AC32" s="138" t="str">
        <x:f>IF(""="","","")</x:f>
      </x:c>
      <x:c r="AD32" s="138" t="str">
        <x:f>IF(""="","","")</x:f>
      </x:c>
      <x:c r="AE32" s="138" t="str">
        <x:f>IF(""="","","")</x:f>
      </x:c>
      <x:c r="AF32" s="139" t="str">
        <x:f>IF(""="","","")</x:f>
      </x:c>
    </x:row>
    <x:row r="33" ht="36" customHeight="1">
      <x:c r="A33" s="135" t="str">
        <x:v>Limits Source URL</x:v>
      </x:c>
      <x:c r="B33" s="100" t="str">
        <x:f>IF('Master'!C176="","",'Master'!C176)</x:f>
        <x:v>https://support.discord.com/hc/en-us/articles/115000435108-What-are-Nitro-Nitro-Basic</x:v>
      </x:c>
      <x:c r="C33" s="100" t="str">
        <x:f>IF('Master'!D176="","",'Master'!D176)</x:f>
      </x:c>
      <x:c r="D33" s="100" t="str">
        <x:f>IF('Master'!E176="","",'Master'!E176)</x:f>
      </x:c>
      <x:c r="E33" s="100" t="str">
        <x:f>IF('Master'!F176="","",'Master'!F176)</x:f>
      </x:c>
      <x:c r="F33" s="100" t="str">
        <x:f>IF('Master'!G176="","",'Master'!G176)</x:f>
      </x:c>
      <x:c r="G33" s="100" t="str">
        <x:f>IF('Master'!H176="","",'Master'!H176)</x:f>
        <x:v>https://fluxer.app/plutonium</x:v>
      </x:c>
      <x:c r="H33" s="100" t="str">
        <x:f>IF('Master'!I176="","",'Master'!I176)</x:f>
        <x:v>https://gamevox.com/blog/gamevox-vs-discord/</x:v>
      </x:c>
      <x:c r="I33" s="100" t="str">
        <x:f>IF('Master'!J176="","",'Master'!J176)</x:f>
      </x:c>
      <x:c r="J33" s="100" t="str">
        <x:f>IF('Master'!K176="","",'Master'!K176)</x:f>
      </x:c>
      <x:c r="K33" s="100" t="str">
        <x:f>IF('Master'!L176="","",'Master'!L176)</x:f>
        <x:v>https://kaede.chat/ | https://github.com/CookieNom/KaedeChat</x:v>
      </x:c>
      <x:c r="L33" s="100" t="str">
        <x:f>IF('Master'!M176="","",'Master'!M176)</x:f>
      </x:c>
      <x:c r="M33" s="100" t="str">
        <x:f>IF('Master'!N176="","",'Master'!N176)</x:f>
      </x:c>
      <x:c r="N33" s="100" t="str">
        <x:f>IF('Master'!O176="","",'Master'!O176)</x:f>
      </x:c>
      <x:c r="O33" s="100" t="str">
        <x:f>IF('Master'!P176="","",'Master'!P176)</x:f>
      </x:c>
      <x:c r="P33" s="100" t="str">
        <x:f>IF('Master'!Q176="","",'Master'!Q176)</x:f>
        <x:v>https://mezon.ai/docs/user/resources/FAQ/</x:v>
      </x:c>
      <x:c r="Q33" s="100" t="str">
        <x:f>IF('Master'!R176="","",'Master'!R176)</x:f>
      </x:c>
      <x:c r="R33" s="100" t="str">
        <x:f>IF('Master'!S176="","",'Master'!S176)</x:f>
      </x:c>
      <x:c r="S33" s="100" t="str">
        <x:f>IF('Master'!T176="","",'Master'!T176)</x:f>
      </x:c>
      <x:c r="T33" s="100" t="str">
        <x:f>IF('Master'!U176="","",'Master'!U176)</x:f>
      </x:c>
      <x:c r="U33" s="100" t="str">
        <x:f>IF('Master'!V176="","",'Master'!V176)</x:f>
        <x:v>https://therift.chat/de/plans/</x:v>
      </x:c>
      <x:c r="V33" s="100" t="str">
        <x:f>IF('Master'!W176="","",'Master'!W176)</x:f>
      </x:c>
      <x:c r="W33" s="100" t="str">
        <x:f>IF('Master'!X176="","",'Master'!X176)</x:f>
      </x:c>
      <x:c r="X33" s="100" t="str">
        <x:f>IF('Master'!Y176="","",'Master'!Y176)</x:f>
      </x:c>
      <x:c r="Y33" s="100" t="str">
        <x:f>IF('Master'!Z176="","",'Master'!Z176)</x:f>
      </x:c>
      <x:c r="Z33" s="100" t="str">
        <x:f>IF('Master'!AA176="","",'Master'!AA176)</x:f>
      </x:c>
      <x:c r="AA33" s="104" t="str">
        <x:f>IF('Master'!AB176="","",'Master'!AB176)</x:f>
        <x:v>https://support.teamspeak.com/hc/en-us/articles/26033099878045-Current-Community-Options</x:v>
      </x:c>
      <x:c r="AB33" s="100" t="str">
        <x:f>IF('Master'!AC176="","",'Master'!AC176)</x:f>
      </x:c>
      <x:c r="AC33" s="100" t="str">
        <x:f>IF('Master'!AD176="","",'Master'!AD176)</x:f>
      </x:c>
      <x:c r="AD33" s="100" t="str">
        <x:f>IF('Master'!AE176="","",'Master'!AE176)</x:f>
        <x:v>https://weered.ca/pricing</x:v>
      </x:c>
      <x:c r="AE33" s="100" t="str">
        <x:f>IF('Master'!AF176="","",'Master'!AF176)</x:f>
      </x:c>
      <x:c r="AF33" s="75" t="str">
        <x:f>IF('Master'!AG176="","",'Master'!AG176)</x:f>
      </x:c>
    </x:row>
    <x:row r="34" ht="36" customHeight="1">
      <x:c r="A34" s="135" t="str">
        <x:v>Limits Notes</x:v>
      </x:c>
      <x:c r="B34" s="100" t="str">
        <x:f>IF('Master'!C177="","",'Master'!C177)</x:f>
      </x:c>
      <x:c r="C34" s="100" t="str">
        <x:f>IF('Master'!D177="","",'Master'!D177)</x:f>
      </x:c>
      <x:c r="D34" s="100" t="str">
        <x:f>IF('Master'!E177="","",'Master'!E177)</x:f>
      </x:c>
      <x:c r="E34" s="100" t="str">
        <x:f>IF('Master'!F177="","",'Master'!F177)</x:f>
      </x:c>
      <x:c r="F34" s="100" t="str">
        <x:f>IF('Master'!G177="","",'Master'!G177)</x:f>
      </x:c>
      <x:c r="G34" s="100" t="str">
        <x:f>IF('Master'!H177="","",'Master'!H177)</x:f>
      </x:c>
      <x:c r="H34" s="100" t="str">
        <x:f>IF('Master'!I177="","",'Master'!I177)</x:f>
        <x:v>Server-wide tiers; all members inherit the server tier.</x:v>
      </x:c>
      <x:c r="I34" s="100" t="str">
        <x:f>IF('Master'!J177="","",'Master'!J177)</x:f>
      </x:c>
      <x:c r="J34" s="100" t="str">
        <x:f>IF('Master'!K177="","",'Master'!K177)</x:f>
      </x:c>
      <x:c r="K34" s="100" t="str">
        <x:f>IF('Master'!L177="","",'Master'!L177)</x:f>
        <x:v>Official-instance capacity limits are not comprehensively published; 15 MB upload comes from developer questionnaire; many self-host quotas are configurable.</x:v>
      </x:c>
      <x:c r="L34" s="100" t="str">
        <x:f>IF('Master'!M177="","",'Master'!M177)</x:f>
      </x:c>
      <x:c r="M34" s="100" t="str">
        <x:f>IF('Master'!N177="","",'Master'!N177)</x:f>
      </x:c>
      <x:c r="N34" s="100" t="str">
        <x:f>IF('Master'!O177="","",'Master'!O177)</x:f>
      </x:c>
      <x:c r="O34" s="100" t="str">
        <x:f>IF('Master'!P177="","",'Master'!P177)</x:f>
      </x:c>
      <x:c r="P34" s="100" t="str">
        <x:f>IF('Master'!Q177="","",'Master'!Q177)</x:f>
      </x:c>
      <x:c r="Q34" s="100" t="str">
        <x:f>IF('Master'!R177="","",'Master'!R177)</x:f>
      </x:c>
      <x:c r="R34" s="100" t="str">
        <x:f>IF('Master'!S177="","",'Master'!S177)</x:f>
      </x:c>
      <x:c r="S34" s="100" t="str">
        <x:f>IF('Master'!T177="","",'Master'!T177)</x:f>
      </x:c>
      <x:c r="T34" s="100" t="str">
        <x:f>IF('Master'!U177="","",'Master'!U177)</x:f>
      </x:c>
      <x:c r="U34" s="100" t="str">
        <x:f>IF('Master'!V177="","",'Master'!V177)</x:f>
      </x:c>
      <x:c r="V34" s="100" t="str">
        <x:f>IF('Master'!W177="","",'Master'!W177)</x:f>
      </x:c>
      <x:c r="W34" s="100" t="str">
        <x:f>IF('Master'!X177="","",'Master'!X177)</x:f>
      </x:c>
      <x:c r="X34" s="100" t="str">
        <x:f>IF('Master'!Y177="","",'Master'!Y177)</x:f>
      </x:c>
      <x:c r="Y34" s="100" t="str">
        <x:f>IF('Master'!Z177="","",'Master'!Z177)</x:f>
      </x:c>
      <x:c r="Z34" s="100" t="str">
        <x:f>IF('Master'!AA177="","",'Master'!AA177)</x:f>
      </x:c>
      <x:c r="AA34" s="104" t="str">
        <x:f>IF('Master'!AB177="","",'Master'!AB177)</x:f>
      </x:c>
      <x:c r="AB34" s="100" t="str">
        <x:f>IF('Master'!AC177="","",'Master'!AC177)</x:f>
      </x:c>
      <x:c r="AC34" s="100" t="str">
        <x:f>IF('Master'!AD177="","",'Master'!AD177)</x:f>
      </x:c>
      <x:c r="AD34" s="100" t="str">
        <x:f>IF('Master'!AE177="","",'Master'!AE177)</x:f>
      </x:c>
      <x:c r="AE34" s="100" t="str">
        <x:f>IF('Master'!AF177="","",'Master'!AF177)</x:f>
      </x:c>
      <x:c r="AF34" s="75" t="str">
        <x:f>IF('Master'!AG177="","",'Master'!AG177)</x:f>
      </x:c>
    </x:row>
    <x:row r="35" ht="22" customHeight="1">
      <x:c r="A35" s="138" t="str">
        <x:v>Additional Capacity Limits</x:v>
      </x:c>
      <x:c r="B35" s="138" t="str">
        <x:f>IF(""="","","")</x:f>
      </x:c>
      <x:c r="C35" s="138" t="str">
        <x:f>IF(""="","","")</x:f>
      </x:c>
      <x:c r="D35" s="138" t="str">
        <x:f>IF(""="","","")</x:f>
      </x:c>
      <x:c r="E35" s="138" t="str">
        <x:f>IF(""="","","")</x:f>
      </x:c>
      <x:c r="F35" s="138" t="str">
        <x:f>IF(""="","","")</x:f>
      </x:c>
      <x:c r="G35" s="138" t="str">
        <x:f>IF(""="","","")</x:f>
      </x:c>
      <x:c r="H35" s="138" t="str">
        <x:f>IF(""="","","")</x:f>
      </x:c>
      <x:c r="I35" s="138" t="str">
        <x:f>IF(""="","","")</x:f>
      </x:c>
      <x:c r="J35" s="138" t="str">
        <x:f>IF(""="","","")</x:f>
      </x:c>
      <x:c r="K35" s="138" t="str">
        <x:f>IF(""="","","")</x:f>
      </x:c>
      <x:c r="L35" s="138" t="str">
        <x:f>IF(""="","","")</x:f>
      </x:c>
      <x:c r="M35" s="138" t="str">
        <x:f>IF(""="","","")</x:f>
      </x:c>
      <x:c r="N35" s="138" t="str">
        <x:f>IF(""="","","")</x:f>
      </x:c>
      <x:c r="O35" s="138" t="str">
        <x:f>IF(""="","","")</x:f>
      </x:c>
      <x:c r="P35" s="138" t="str">
        <x:f>IF(""="","","")</x:f>
      </x:c>
      <x:c r="Q35" s="138" t="str">
        <x:f>IF(""="","","")</x:f>
      </x:c>
      <x:c r="R35" s="138" t="str">
        <x:f>IF(""="","","")</x:f>
      </x:c>
      <x:c r="S35" s="138" t="str">
        <x:f>IF(""="","","")</x:f>
      </x:c>
      <x:c r="T35" s="138" t="str">
        <x:f>IF(""="","","")</x:f>
      </x:c>
      <x:c r="U35" s="138" t="str">
        <x:f>IF(""="","","")</x:f>
      </x:c>
      <x:c r="V35" s="138" t="str">
        <x:f>IF(""="","","")</x:f>
      </x:c>
      <x:c r="W35" s="138" t="str">
        <x:f>IF(""="","","")</x:f>
      </x:c>
      <x:c r="X35" s="138" t="str">
        <x:f>IF(""="","","")</x:f>
      </x:c>
      <x:c r="Y35" s="138" t="str">
        <x:f>IF(""="","","")</x:f>
      </x:c>
      <x:c r="Z35" s="138" t="str">
        <x:f>IF(""="","","")</x:f>
      </x:c>
      <x:c r="AA35" s="138" t="str">
        <x:f>IF(""="","","")</x:f>
      </x:c>
      <x:c r="AB35" s="138" t="str">
        <x:f>IF(""="","","")</x:f>
      </x:c>
      <x:c r="AC35" s="138" t="str">
        <x:f>IF(""="","","")</x:f>
      </x:c>
      <x:c r="AD35" s="138" t="str">
        <x:f>IF(""="","","")</x:f>
      </x:c>
      <x:c r="AE35" s="138" t="str">
        <x:f>IF(""="","","")</x:f>
      </x:c>
      <x:c r="AF35" s="139" t="str">
        <x:f>IF(""="","","")</x:f>
      </x:c>
    </x:row>
    <x:row r="36" ht="22" customHeight="1">
      <x:c r="A36" s="138" t="str">
        <x:v>Max Forum Tags per Forum</x:v>
      </x:c>
      <x:c r="B36" s="138" t="str">
        <x:f>IF(""="","","")</x:f>
      </x:c>
      <x:c r="C36" s="138" t="str">
        <x:f>IF(""="","","")</x:f>
      </x:c>
      <x:c r="D36" s="138" t="str">
        <x:f>IF(""="","","")</x:f>
      </x:c>
      <x:c r="E36" s="138" t="str">
        <x:f>IF(""="","","")</x:f>
      </x:c>
      <x:c r="F36" s="138" t="str">
        <x:f>IF(""="","","")</x:f>
      </x:c>
      <x:c r="G36" s="138" t="str">
        <x:f>IF(""="","","")</x:f>
      </x:c>
      <x:c r="H36" s="138" t="str">
        <x:f>IF(""="","","")</x:f>
      </x:c>
      <x:c r="I36" s="138" t="str">
        <x:f>IF(""="","","")</x:f>
      </x:c>
      <x:c r="J36" s="138" t="str">
        <x:f>IF(""="","","")</x:f>
      </x:c>
      <x:c r="K36" s="138" t="str">
        <x:f>IF(""="","","")</x:f>
      </x:c>
      <x:c r="L36" s="138" t="str">
        <x:f>IF(""="","","")</x:f>
      </x:c>
      <x:c r="M36" s="138" t="str">
        <x:f>IF(""="","","")</x:f>
      </x:c>
      <x:c r="N36" s="138" t="str">
        <x:f>IF(""="","","")</x:f>
      </x:c>
      <x:c r="O36" s="138" t="str">
        <x:f>IF(""="","","")</x:f>
      </x:c>
      <x:c r="P36" s="138" t="str">
        <x:f>IF(""="","","")</x:f>
      </x:c>
      <x:c r="Q36" s="138" t="str">
        <x:f>IF(""="","","")</x:f>
      </x:c>
      <x:c r="R36" s="138" t="str">
        <x:f>IF(""="","","")</x:f>
      </x:c>
      <x:c r="S36" s="138" t="str">
        <x:f>IF(""="","","")</x:f>
      </x:c>
      <x:c r="T36" s="138" t="str">
        <x:f>IF(""="","","")</x:f>
      </x:c>
      <x:c r="U36" s="138" t="str">
        <x:f>IF(""="","","")</x:f>
      </x:c>
      <x:c r="V36" s="138" t="str">
        <x:f>IF(""="","","")</x:f>
      </x:c>
      <x:c r="W36" s="138" t="str">
        <x:f>IF(""="","","")</x:f>
      </x:c>
      <x:c r="X36" s="138" t="str">
        <x:f>IF(""="","","")</x:f>
      </x:c>
      <x:c r="Y36" s="138" t="str">
        <x:f>IF(""="","","")</x:f>
      </x:c>
      <x:c r="Z36" s="138" t="str">
        <x:f>IF(""="","","")</x:f>
      </x:c>
      <x:c r="AA36" s="138" t="str">
        <x:f>IF(""="","","")</x:f>
      </x:c>
      <x:c r="AB36" s="138" t="str">
        <x:f>IF(""="","","")</x:f>
      </x:c>
      <x:c r="AC36" s="138" t="str">
        <x:f>IF(""="","","")</x:f>
      </x:c>
      <x:c r="AD36" s="138" t="str">
        <x:f>IF(""="","","")</x:f>
      </x:c>
      <x:c r="AE36" s="138" t="str">
        <x:f>IF(""="","","")</x:f>
      </x:c>
      <x:c r="AF36" s="139" t="str">
        <x:f>IF(""="","","")</x:f>
      </x:c>
    </x:row>
    <x:row r="37" ht="22" customHeight="1">
      <x:c r="A37" s="138" t="str">
        <x:v>Max Scheduled Events</x:v>
      </x:c>
      <x:c r="B37" s="138" t="str">
        <x:f>IF(""="","","")</x:f>
      </x:c>
      <x:c r="C37" s="138" t="str">
        <x:f>IF(""="","","")</x:f>
      </x:c>
      <x:c r="D37" s="138" t="str">
        <x:f>IF(""="","","")</x:f>
      </x:c>
      <x:c r="E37" s="138" t="str">
        <x:f>IF(""="","","")</x:f>
      </x:c>
      <x:c r="F37" s="138" t="str">
        <x:f>IF(""="","","")</x:f>
      </x:c>
      <x:c r="G37" s="138" t="str">
        <x:f>IF(""="","","")</x:f>
      </x:c>
      <x:c r="H37" s="138" t="str">
        <x:f>IF(""="","","")</x:f>
      </x:c>
      <x:c r="I37" s="138" t="str">
        <x:f>IF(""="","","")</x:f>
      </x:c>
      <x:c r="J37" s="138" t="str">
        <x:f>IF(""="","","")</x:f>
      </x:c>
      <x:c r="K37" s="138" t="str">
        <x:f>IF(""="","","")</x:f>
      </x:c>
      <x:c r="L37" s="138" t="str">
        <x:f>IF(""="","","")</x:f>
      </x:c>
      <x:c r="M37" s="138" t="str">
        <x:f>IF(""="","","")</x:f>
      </x:c>
      <x:c r="N37" s="138" t="str">
        <x:f>IF(""="","","")</x:f>
      </x:c>
      <x:c r="O37" s="138" t="str">
        <x:f>IF(""="","","")</x:f>
      </x:c>
      <x:c r="P37" s="138" t="str">
        <x:f>IF(""="","","")</x:f>
      </x:c>
      <x:c r="Q37" s="138" t="str">
        <x:f>IF(""="","","")</x:f>
      </x:c>
      <x:c r="R37" s="138" t="str">
        <x:f>IF(""="","","")</x:f>
      </x:c>
      <x:c r="S37" s="138" t="str">
        <x:f>IF(""="","","")</x:f>
      </x:c>
      <x:c r="T37" s="138" t="str">
        <x:f>IF(""="","","")</x:f>
      </x:c>
      <x:c r="U37" s="138" t="str">
        <x:f>IF(""="","","")</x:f>
      </x:c>
      <x:c r="V37" s="138" t="str">
        <x:f>IF(""="","","")</x:f>
      </x:c>
      <x:c r="W37" s="138" t="str">
        <x:f>IF(""="","","")</x:f>
      </x:c>
      <x:c r="X37" s="138" t="str">
        <x:f>IF(""="","","")</x:f>
      </x:c>
      <x:c r="Y37" s="138" t="str">
        <x:f>IF(""="","","")</x:f>
      </x:c>
      <x:c r="Z37" s="138" t="str">
        <x:f>IF(""="","","")</x:f>
      </x:c>
      <x:c r="AA37" s="138" t="str">
        <x:f>IF(""="","","")</x:f>
      </x:c>
      <x:c r="AB37" s="138" t="str">
        <x:f>IF(""="","","")</x:f>
      </x:c>
      <x:c r="AC37" s="138" t="str">
        <x:f>IF(""="","","")</x:f>
      </x:c>
      <x:c r="AD37" s="138" t="str">
        <x:f>IF(""="","","")</x:f>
      </x:c>
      <x:c r="AE37" s="138" t="str">
        <x:f>IF(""="","","")</x:f>
      </x:c>
      <x:c r="AF37" s="139" t="str">
        <x:f>IF(""="","","")</x:f>
      </x:c>
    </x:row>
    <x:row r="38" ht="36" customHeight="1">
      <x:c r="A38" s="135" t="str">
        <x:v>Max Concurrent Voice Rooms</x:v>
      </x:c>
      <x:c r="B38" s="100" t="str">
        <x:f>IF('Master'!C178="","",'Master'!C178)</x:f>
        <x:v>Channel-count constrained</x:v>
      </x:c>
      <x:c r="C38" s="100" t="str">
        <x:f>IF('Master'!D178="","",'Master'!D178)</x:f>
      </x:c>
      <x:c r="D38" s="100" t="str">
        <x:f>IF('Master'!E178="","",'Master'!E178)</x:f>
      </x:c>
      <x:c r="E38" s="100" t="str">
        <x:f>IF('Master'!F178="","",'Master'!F178)</x:f>
      </x:c>
      <x:c r="F38" s="100" t="str">
        <x:f>IF('Master'!G178="","",'Master'!G178)</x:f>
      </x:c>
      <x:c r="G38" s="100" t="str">
        <x:f>IF('Master'!H178="","",'Master'!H178)</x:f>
      </x:c>
      <x:c r="H38" s="100" t="str">
        <x:f>IF('Master'!I178="","",'Master'!I178)</x:f>
      </x:c>
      <x:c r="I38" s="100" t="str">
        <x:f>IF('Master'!J178="","",'Master'!J178)</x:f>
      </x:c>
      <x:c r="J38" s="100" t="str">
        <x:f>IF('Master'!K178="","",'Master'!K178)</x:f>
      </x:c>
      <x:c r="K38" s="100" t="str">
        <x:f>IF('Master'!L178="","",'Master'!L178)</x:f>
      </x:c>
      <x:c r="L38" s="100" t="str">
        <x:f>IF('Master'!M178="","",'Master'!M178)</x:f>
      </x:c>
      <x:c r="M38" s="100" t="str">
        <x:f>IF('Master'!N178="","",'Master'!N178)</x:f>
      </x:c>
      <x:c r="N38" s="100" t="str">
        <x:f>IF('Master'!O178="","",'Master'!O178)</x:f>
      </x:c>
      <x:c r="O38" s="100" t="str">
        <x:f>IF('Master'!P178="","",'Master'!P178)</x:f>
      </x:c>
      <x:c r="P38" s="100" t="str">
        <x:f>IF('Master'!Q178="","",'Master'!Q178)</x:f>
      </x:c>
      <x:c r="Q38" s="100" t="str">
        <x:f>IF('Master'!R178="","",'Master'!R178)</x:f>
      </x:c>
      <x:c r="R38" s="100" t="str">
        <x:f>IF('Master'!S178="","",'Master'!S178)</x:f>
      </x:c>
      <x:c r="S38" s="100" t="str">
        <x:f>IF('Master'!T178="","",'Master'!T178)</x:f>
      </x:c>
      <x:c r="T38" s="100" t="str">
        <x:f>IF('Master'!U178="","",'Master'!U178)</x:f>
      </x:c>
      <x:c r="U38" s="100" t="str">
        <x:f>IF('Master'!V178="","",'Master'!V178)</x:f>
        <x:v>Unlimited</x:v>
      </x:c>
      <x:c r="V38" s="100" t="str">
        <x:f>IF('Master'!W178="","",'Master'!W178)</x:f>
      </x:c>
      <x:c r="W38" s="100" t="str">
        <x:f>IF('Master'!X178="","",'Master'!X178)</x:f>
      </x:c>
      <x:c r="X38" s="100" t="str">
        <x:f>IF('Master'!Y178="","",'Master'!Y178)</x:f>
      </x:c>
      <x:c r="Y38" s="100" t="str">
        <x:f>IF('Master'!Z178="","",'Master'!Z178)</x:f>
      </x:c>
      <x:c r="Z38" s="100" t="str">
        <x:f>IF('Master'!AA178="","",'Master'!AA178)</x:f>
      </x:c>
      <x:c r="AA38" s="104" t="str">
        <x:f>IF('Master'!AB178="","",'Master'!AB178)</x:f>
      </x:c>
      <x:c r="AB38" s="100" t="str">
        <x:f>IF('Master'!AC178="","",'Master'!AC178)</x:f>
      </x:c>
      <x:c r="AC38" s="100" t="str">
        <x:f>IF('Master'!AD178="","",'Master'!AD178)</x:f>
      </x:c>
      <x:c r="AD38" s="100" t="str">
        <x:f>IF('Master'!AE178="","",'Master'!AE178)</x:f>
      </x:c>
      <x:c r="AE38" s="100" t="str">
        <x:f>IF('Master'!AF178="","",'Master'!AF178)</x:f>
      </x:c>
      <x:c r="AF38" s="75" t="str">
        <x:f>IF('Master'!AG178="","",'Master'!AG178)</x:f>
      </x:c>
    </x:row>
    <x:row r="39" ht="36" customHeight="1">
      <x:c r="A39" s="135" t="str">
        <x:v>Max Portals / Embedded Panels</x:v>
      </x:c>
      <x:c r="B39" s="100" t="str">
        <x:f>IF('Master'!C179="","",'Master'!C179)</x:f>
        <x:v>Activity/session dependent</x:v>
      </x:c>
      <x:c r="C39" s="100" t="str">
        <x:f>IF('Master'!D179="","",'Master'!D179)</x:f>
      </x:c>
      <x:c r="D39" s="100" t="str">
        <x:f>IF('Master'!E179="","",'Master'!E179)</x:f>
      </x:c>
      <x:c r="E39" s="100" t="str">
        <x:f>IF('Master'!F179="","",'Master'!F179)</x:f>
      </x:c>
      <x:c r="F39" s="100" t="str">
        <x:f>IF('Master'!G179="","",'Master'!G179)</x:f>
      </x:c>
      <x:c r="G39" s="100" t="str">
        <x:f>IF('Master'!H179="","",'Master'!H179)</x:f>
      </x:c>
      <x:c r="H39" s="100" t="str">
        <x:f>IF('Master'!I179="","",'Master'!I179)</x:f>
      </x:c>
      <x:c r="I39" s="100" t="str">
        <x:f>IF('Master'!J179="","",'Master'!J179)</x:f>
      </x:c>
      <x:c r="J39" s="100" t="str">
        <x:f>IF('Master'!K179="","",'Master'!K179)</x:f>
      </x:c>
      <x:c r="K39" s="100" t="str">
        <x:f>IF('Master'!L179="","",'Master'!L179)</x:f>
        <x:v>0 — no embedded Portal/widget runtime documented</x:v>
      </x:c>
      <x:c r="L39" s="100" t="str">
        <x:f>IF('Master'!M179="","",'Master'!M179)</x:f>
      </x:c>
      <x:c r="M39" s="100" t="str">
        <x:f>IF('Master'!N179="","",'Master'!N179)</x:f>
      </x:c>
      <x:c r="N39" s="100" t="str">
        <x:f>IF('Master'!O179="","",'Master'!O179)</x:f>
      </x:c>
      <x:c r="O39" s="100" t="str">
        <x:f>IF('Master'!P179="","",'Master'!P179)</x:f>
      </x:c>
      <x:c r="P39" s="100" t="str">
        <x:f>IF('Master'!Q179="","",'Master'!Q179)</x:f>
      </x:c>
      <x:c r="Q39" s="100" t="str">
        <x:f>IF('Master'!R179="","",'Master'!R179)</x:f>
      </x:c>
      <x:c r="R39" s="100" t="str">
        <x:f>IF('Master'!S179="","",'Master'!S179)</x:f>
      </x:c>
      <x:c r="S39" s="100" t="str">
        <x:f>IF('Master'!T179="","",'Master'!T179)</x:f>
      </x:c>
      <x:c r="T39" s="100" t="str">
        <x:f>IF('Master'!U179="","",'Master'!U179)</x:f>
      </x:c>
      <x:c r="U39" s="100" t="str">
        <x:f>IF('Master'!V179="","",'Master'!V179)</x:f>
        <x:v>All Portals included; saved layout count is 2 free / 8 Rift+</x:v>
      </x:c>
      <x:c r="V39" s="100" t="str">
        <x:f>IF('Master'!W179="","",'Master'!W179)</x:f>
      </x:c>
      <x:c r="W39" s="100" t="str">
        <x:f>IF('Master'!X179="","",'Master'!X179)</x:f>
      </x:c>
      <x:c r="X39" s="100" t="str">
        <x:f>IF('Master'!Y179="","",'Master'!Y179)</x:f>
      </x:c>
      <x:c r="Y39" s="100" t="str">
        <x:f>IF('Master'!Z179="","",'Master'!Z179)</x:f>
      </x:c>
      <x:c r="Z39" s="100" t="str">
        <x:f>IF('Master'!AA179="","",'Master'!AA179)</x:f>
      </x:c>
      <x:c r="AA39" s="104" t="str">
        <x:f>IF('Master'!AB179="","",'Master'!AB179)</x:f>
      </x:c>
      <x:c r="AB39" s="100" t="str">
        <x:f>IF('Master'!AC179="","",'Master'!AC179)</x:f>
      </x:c>
      <x:c r="AC39" s="100" t="str">
        <x:f>IF('Master'!AD179="","",'Master'!AD179)</x:f>
      </x:c>
      <x:c r="AD39" s="100" t="str">
        <x:f>IF('Master'!AE179="","",'Master'!AE179)</x:f>
      </x:c>
      <x:c r="AE39" s="100" t="str">
        <x:f>IF('Master'!AF179="","",'Master'!AF179)</x:f>
      </x:c>
      <x:c r="AF39" s="75" t="str">
        <x:f>IF('Master'!AG179="","",'Master'!AG179)</x:f>
      </x:c>
    </x:row>
  </x:sheetData>
  <x:mergeCells>
    <x:mergeCell ref="A1:AF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Directory'!A1","Voice &amp; Audio"),"Voice &amp; Audio")</x:f>
        <x:v>Voice &amp; Audio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Voice Architecture (Persistent Rooms vs Ad-Hoc Calls)</x:v>
      </x:c>
      <x:c r="B3" s="100" t="str">
        <x:f>IF('Master'!C180="","",'Master'!C180)</x:f>
        <x:v>Persistent server voice channels + ad-hoc DM/GDM calls</x:v>
      </x:c>
      <x:c r="C3" s="100" t="str">
        <x:f>IF('Master'!D180="","",'Master'!D180)</x:f>
        <x:v>Live voice rooms</x:v>
      </x:c>
      <x:c r="D3" s="100" t="str">
        <x:f>IF('Master'!E180="","",'Master'!E180)</x:f>
        <x:v>Persistent server voice + messenger</x:v>
      </x:c>
      <x:c r="E3" s="100" t="str">
        <x:f>IF('Master'!F180="","",'Master'!F180)</x:f>
        <x:v>Persistent voice channels</x:v>
      </x:c>
      <x:c r="F3" s="100" t="str">
        <x:f>IF('Master'!G180="","",'Master'!G180)</x:f>
        <x:v>Persistent community voice + calls</x:v>
      </x:c>
      <x:c r="G3" s="100" t="str">
        <x:f>IF('Master'!H180="","",'Master'!H180)</x:f>
        <x:v>Persistent community voice + DM calls</x:v>
      </x:c>
      <x:c r="H3" s="100" t="str">
        <x:f>IF('Master'!I180="","",'Master'!I180)</x:f>
        <x:v>Persistent voice rooms + calls</x:v>
      </x:c>
      <x:c r="I3" s="100" t="str">
        <x:f>IF('Master'!J180="","",'Master'!J180)</x:f>
        <x:v>LiveKit-powered voice channels</x:v>
      </x:c>
      <x:c r="J3" s="100" t="str">
        <x:f>IF('Master'!K180="","",'Master'!K180)</x:f>
      </x:c>
      <x:c r="K3" s="100" t="str">
        <x:f>IF('Master'!L180="","",'Master'!L180)</x:f>
        <x:v>Persistent guild voice channels + ad-hoc 1:1/group-DM calls</x:v>
      </x:c>
      <x:c r="L3" s="100" t="str">
        <x:f>IF('Master'!M180="","",'Master'!M180)</x:f>
        <x:v>Voice channels</x:v>
      </x:c>
      <x:c r="M3" s="100" t="str">
        <x:f>IF('Master'!N180="","",'Master'!N180)</x:f>
        <x:v>Persistent voice rooms</x:v>
      </x:c>
      <x:c r="N3" s="100" t="str">
        <x:f>IF('Master'!O180="","",'Master'!O180)</x:f>
        <x:v>Client-dependent; MatrixRTC/VoIP rooms and calls</x:v>
      </x:c>
      <x:c r="O3" s="100" t="str">
        <x:f>IF('Master'!P180="","",'Master'!P180)</x:f>
        <x:v>Native Calls in channels/DMs; persistent text channels with ad-hoc calls</x:v>
      </x:c>
      <x:c r="P3" s="100" t="str">
        <x:f>IF('Master'!Q180="","",'Master'!Q180)</x:f>
        <x:v>Voice/video calls</x:v>
      </x:c>
      <x:c r="Q3" s="100" t="str">
        <x:f>IF('Master'!R180="","",'Master'!R180)</x:f>
        <x:v>Persistent hierarchical voice channels</x:v>
      </x:c>
      <x:c r="R3" s="100" t="str">
        <x:f>IF('Master'!S180="","",'Master'!S180)</x:f>
      </x:c>
      <x:c r="S3" s="100" t="str">
        <x:f>IF('Master'!T180="","",'Master'!T180)</x:f>
        <x:v>Persistent voice/video channels</x:v>
      </x:c>
      <x:c r="T3" s="100" t="str">
        <x:f>IF('Master'!U180="","",'Master'!U180)</x:f>
        <x:v>Persistent voice channels; small rooms/DM calls can be P2P; listed/larger hosted rooms use LiveKit</x:v>
      </x:c>
      <x:c r="U3" s="100" t="str">
        <x:f>IF('Master'!V180="","",'Master'!V180)</x:f>
        <x:v>Yes - Persistant voice/communities</x:v>
      </x:c>
      <x:c r="V3" s="100" t="str">
        <x:f>IF('Master'!W180="","",'Master'!W180)</x:f>
        <x:v>Calls/video depend on deployment/provider/integration; not Discord-style universal persistent voice</x:v>
      </x:c>
      <x:c r="W3" s="100" t="str">
        <x:f>IF('Master'!X180="","",'Master'!X180)</x:f>
        <x:v>No mature native voice feature verified</x:v>
      </x:c>
      <x:c r="X3" s="100" t="str">
        <x:f>IF('Master'!Y180="","",'Master'!Y180)</x:f>
        <x:v>Persistent community voice + DM calls</x:v>
      </x:c>
      <x:c r="Y3" s="100" t="str">
        <x:f>IF('Master'!Z180="","",'Master'!Z180)</x:f>
        <x:v>Optional persistent guild + DM voice via WebRTC media package</x:v>
      </x:c>
      <x:c r="Z3" s="100" t="str">
        <x:f>IF('Master'!AA180="","",'Master'!AA180)</x:f>
        <x:v>Persistent server voice channels + calls</x:v>
      </x:c>
      <x:c r="AA3" s="104" t="str">
        <x:f>IF('Master'!AB180="","",'Master'!AB180)</x:f>
        <x:v>Persistent voice channels</x:v>
      </x:c>
      <x:c r="AB3" s="100" t="str">
        <x:f>IF('Master'!AC180="","",'Master'!AC180)</x:f>
        <x:v>Persistent voice channels</x:v>
      </x:c>
      <x:c r="AC3" s="100" t="str">
        <x:f>IF('Master'!AD180="","",'Master'!AD180)</x:f>
        <x:v>Voice supported; Linux mic I/O issues reported</x:v>
      </x:c>
      <x:c r="AD3" s="100" t="str">
        <x:f>IF('Master'!AE180="","",'Master'!AE180)</x:f>
        <x:v>Voice in every room</x:v>
      </x:c>
      <x:c r="AE3" s="100" t="str">
        <x:f>IF('Master'!AF180="","",'Master'!AF180)</x:f>
        <x:v>Persistent spatial voice channels</x:v>
      </x:c>
      <x:c r="AF3" s="75" t="str">
        <x:f>IF('Master'!AG180="","",'Master'!AG180)</x:f>
        <x:v>No native persistent voice rooms; integrates external call providers</x:v>
      </x:c>
    </x:row>
    <x:row r="4" ht="36" customHeight="1">
      <x:c r="A4" s="135" t="str">
        <x:v>Audio Codec</x:v>
      </x:c>
      <x:c r="B4" s="100" t="str">
        <x:f>IF('Master'!C196="","",'Master'!C196)</x:f>
        <x:v>Opus</x:v>
      </x:c>
      <x:c r="C4" s="100" t="str">
        <x:f>IF('Master'!D196="","",'Master'!D196)</x:f>
      </x:c>
      <x:c r="D4" s="100" t="str">
        <x:f>IF('Master'!E196="","",'Master'!E196)</x:f>
        <x:v>Opus</x:v>
      </x:c>
      <x:c r="E4" s="100" t="str">
        <x:f>IF('Master'!F196="","",'Master'!F196)</x:f>
        <x:v>Opus/WebRTC</x:v>
      </x:c>
      <x:c r="F4" s="100" t="str">
        <x:f>IF('Master'!G196="","",'Master'!G196)</x:f>
        <x:v>WebRTC/LiveKit</x:v>
      </x:c>
      <x:c r="G4" s="100" t="str">
        <x:f>IF('Master'!H196="","",'Master'!H196)</x:f>
        <x:v>WebRTC/LiveKit</x:v>
      </x:c>
      <x:c r="H4" s="100" t="str">
        <x:f>IF('Master'!I196="","",'Master'!I196)</x:f>
      </x:c>
      <x:c r="I4" s="100" t="str">
        <x:f>IF('Master'!J196="","",'Master'!J196)</x:f>
      </x:c>
      <x:c r="J4" s="100" t="str">
        <x:f>IF('Master'!K196="","",'Master'!K196)</x:f>
      </x:c>
      <x:c r="K4" s="100" t="str">
        <x:f>IF('Master'!L196="","",'Master'!L196)</x:f>
        <x:v>Opus</x:v>
      </x:c>
      <x:c r="L4" s="100" t="str">
        <x:f>IF('Master'!M196="","",'Master'!M196)</x:f>
      </x:c>
      <x:c r="M4" s="100" t="str">
        <x:f>IF('Master'!N196="","",'Master'!N196)</x:f>
        <x:v>Opus/WebRTC</x:v>
      </x:c>
      <x:c r="N4" s="100" t="str">
        <x:f>IF('Master'!O196="","",'Master'!O196)</x:f>
        <x:v>Opus commonly via WebRTC; protocol/client-dependent</x:v>
      </x:c>
      <x:c r="O4" s="100" t="str">
        <x:f>IF('Master'!P196="","",'Master'!P196)</x:f>
        <x:v>WebRTC/Opus</x:v>
      </x:c>
      <x:c r="P4" s="100" t="str">
        <x:f>IF('Master'!Q196="","",'Master'!Q196)</x:f>
        <x:v>Yes</x:v>
      </x:c>
      <x:c r="Q4" s="100" t="str">
        <x:f>IF('Master'!R196="","",'Master'!R196)</x:f>
        <x:v>Opus</x:v>
      </x:c>
      <x:c r="R4" s="100" t="str">
        <x:f>IF('Master'!S196="","",'Master'!S196)</x:f>
      </x:c>
      <x:c r="S4" s="100" t="str">
        <x:f>IF('Master'!T196="","",'Master'!T196)</x:f>
      </x:c>
      <x:c r="T4" s="100" t="str">
        <x:f>IF('Master'!U196="","",'Master'!U196)</x:f>
        <x:v>Not publicly claimed</x:v>
      </x:c>
      <x:c r="U4" s="100" t="str">
        <x:f>IF('Master'!V196="","",'Master'!V196)</x:f>
      </x:c>
      <x:c r="V4" s="100" t="str">
        <x:f>IF('Master'!W196="","",'Master'!W196)</x:f>
        <x:v>WebRTC/integration-dependent</x:v>
      </x:c>
      <x:c r="W4" s="100" t="str">
        <x:f>IF('Master'!X196="","",'Master'!X196)</x:f>
        <x:v>N/A</x:v>
      </x:c>
      <x:c r="X4" s="100" t="str">
        <x:f>IF('Master'!Y196="","",'Master'!Y196)</x:f>
      </x:c>
      <x:c r="Y4" s="100" t="str">
        <x:f>IF('Master'!Z196="","",'Master'!Z196)</x:f>
        <x:v>WebRTC; implementation-dependent codecs</x:v>
      </x:c>
      <x:c r="Z4" s="100" t="str">
        <x:f>IF('Master'!AA196="","",'Master'!AA196)</x:f>
        <x:v>Opus/WebRTC via LiveKit</x:v>
      </x:c>
      <x:c r="AA4" s="104" t="str">
        <x:f>IF('Master'!AB196="","",'Master'!AB196)</x:f>
        <x:v>Opus / proprietary stack depending generation</x:v>
      </x:c>
      <x:c r="AB4" s="100" t="str">
        <x:f>IF('Master'!AC196="","",'Master'!AC196)</x:f>
        <x:v>Opus/WebRTC</x:v>
      </x:c>
      <x:c r="AC4" s="100" t="str">
        <x:f>IF('Master'!AD196="","",'Master'!AD196)</x:f>
      </x:c>
      <x:c r="AD4" s="100" t="str">
        <x:f>IF('Master'!AE196="","",'Master'!AE196)</x:f>
        <x:v>Opus/WebRTC</x:v>
      </x:c>
      <x:c r="AE4" s="100" t="str">
        <x:f>IF('Master'!AF196="","",'Master'!AF196)</x:f>
      </x:c>
      <x:c r="AF4" s="75" t="str">
        <x:f>IF('Master'!AG196="","",'Master'!AG196)</x:f>
        <x:v>Provider-dependent</x:v>
      </x:c>
    </x:row>
    <x:row r="5" ht="36" customHeight="1">
      <x:c r="A5" s="135" t="str">
        <x:v>Max Audio Bitrate (kbps)</x:v>
      </x:c>
      <x:c r="B5" s="100" t="str">
        <x:f>IF('Master'!C181="","",'Master'!C181)</x:f>
        <x:v>384 max (Level 3 boost); 96 base</x:v>
      </x:c>
      <x:c r="C5" s="100" t="str">
        <x:f>IF('Master'!D181="","",'Master'!D181)</x:f>
      </x:c>
      <x:c r="D5" s="100" t="str">
        <x:f>IF('Master'!E181="","",'Master'!E181)</x:f>
      </x:c>
      <x:c r="E5" s="100" t="str">
        <x:f>IF('Master'!F181="","",'Master'!F181)</x:f>
        <x:v>Yes</x:v>
      </x:c>
      <x:c r="F5" s="100" t="str">
        <x:f>IF('Master'!G181="","",'Master'!G181)</x:f>
      </x:c>
      <x:c r="G5" s="100" t="str">
        <x:f>IF('Master'!H181="","",'Master'!H181)</x:f>
      </x:c>
      <x:c r="H5" s="100" t="str">
        <x:f>IF('Master'!I181="","",'Master'!I181)</x:f>
      </x:c>
      <x:c r="I5" s="100" t="str">
        <x:f>IF('Master'!J181="","",'Master'!J181)</x:f>
      </x:c>
      <x:c r="J5" s="100" t="str">
        <x:f>IF('Master'!K181="","",'Master'!K181)</x:f>
      </x:c>
      <x:c r="K5" s="100" t="str">
        <x:f>IF('Master'!L181="","",'Master'!L181)</x:f>
        <x:v>128</x:v>
      </x:c>
      <x:c r="L5" s="100" t="str">
        <x:f>IF('Master'!M181="","",'Master'!M181)</x:f>
      </x:c>
      <x:c r="M5" s="100" t="str">
        <x:f>IF('Master'!N181="","",'Master'!N181)</x:f>
        <x:v>Yes</x:v>
      </x:c>
      <x:c r="N5" s="100" t="str">
        <x:f>IF('Master'!O181="","",'Master'!O181)</x:f>
        <x:v>Varies by client/media stack</x:v>
      </x:c>
      <x:c r="O5" s="100" t="str">
        <x:f>IF('Master'!P181="","",'Master'!P181)</x:f>
      </x:c>
      <x:c r="P5" s="100" t="str">
        <x:f>IF('Master'!Q181="","",'Master'!Q181)</x:f>
        <x:v>Yes</x:v>
      </x:c>
      <x:c r="Q5" s="100" t="str">
        <x:f>IF('Master'!R181="","",'Master'!R181)</x:f>
      </x:c>
      <x:c r="R5" s="100" t="str">
        <x:f>IF('Master'!S181="","",'Master'!S181)</x:f>
      </x:c>
      <x:c r="S5" s="100" t="str">
        <x:f>IF('Master'!T181="","",'Master'!T181)</x:f>
      </x:c>
      <x:c r="T5" s="100" t="str">
        <x:f>IF('Master'!U181="","",'Master'!U181)</x:f>
        <x:v>Not publicly claimed</x:v>
      </x:c>
      <x:c r="U5" s="100" t="str">
        <x:f>IF('Master'!V181="","",'Master'!V181)</x:f>
        <x:v>192 kbps on Forge Shard; personal Rift+ high-fidelity 128 kbps</x:v>
      </x:c>
      <x:c r="V5" s="100" t="str">
        <x:f>IF('Master'!W181="","",'Master'!W181)</x:f>
      </x:c>
      <x:c r="W5" s="100" t="str">
        <x:f>IF('Master'!X181="","",'Master'!X181)</x:f>
      </x:c>
      <x:c r="X5" s="100" t="str">
        <x:f>IF('Master'!Y181="","",'Master'!Y181)</x:f>
      </x:c>
      <x:c r="Y5" s="100" t="str">
        <x:f>IF('Master'!Z181="","",'Master'!Z181)</x:f>
      </x:c>
      <x:c r="Z5" s="100" t="str">
        <x:f>IF('Master'!AA181="","",'Master'!AA181)</x:f>
      </x:c>
      <x:c r="AA5" s="104" t="str">
        <x:f>IF('Master'!AB181="","",'Master'!AB181)</x:f>
      </x:c>
      <x:c r="AB5" s="100" t="str">
        <x:f>IF('Master'!AC181="","",'Master'!AC181)</x:f>
      </x:c>
      <x:c r="AC5" s="100" t="str">
        <x:f>IF('Master'!AD181="","",'Master'!AD181)</x:f>
      </x:c>
      <x:c r="AD5" s="100" t="str">
        <x:f>IF('Master'!AE181="","",'Master'!AE181)</x:f>
        <x:v>Yes</x:v>
      </x:c>
      <x:c r="AE5" s="100" t="str">
        <x:f>IF('Master'!AF181="","",'Master'!AF181)</x:f>
      </x:c>
      <x:c r="AF5" s="75" t="str">
        <x:f>IF('Master'!AG181="","",'Master'!AG181)</x:f>
        <x:v>N/A</x:v>
      </x:c>
    </x:row>
    <x:row r="6" ht="36" customHeight="1">
      <x:c r="A6" s="135" t="str">
        <x:v>Noise Suppression Engine (Krisp / RNNoise / WebRTC)</x:v>
      </x:c>
      <x:c r="B6" s="100" t="str">
        <x:f>IF('Master'!C182="","",'Master'!C182)</x:f>
        <x:v>Krisp</x:v>
      </x:c>
      <x:c r="C6" s="100" t="str">
        <x:f>IF('Master'!D182="","",'Master'!D182)</x:f>
      </x:c>
      <x:c r="D6" s="100" t="str">
        <x:f>IF('Master'!E182="","",'Master'!E182)</x:f>
        <x:v>LiveKit/WebRTC</x:v>
      </x:c>
      <x:c r="E6" s="100" t="str">
        <x:f>IF('Master'!F182="","",'Master'!F182)</x:f>
        <x:v>LiveKit</x:v>
      </x:c>
      <x:c r="F6" s="100" t="str">
        <x:f>IF('Master'!G182="","",'Master'!G182)</x:f>
        <x:v>DeepFilterNet3 local noise suppression planned/used</x:v>
      </x:c>
      <x:c r="G6" s="100" t="str">
        <x:f>IF('Master'!H182="","",'Master'!H182)</x:f>
        <x:v>DeepFilterNet3 + media processing controls</x:v>
      </x:c>
      <x:c r="H6" s="100" t="str">
        <x:f>IF('Master'!I182="","",'Master'!I182)</x:f>
        <x:v>Built-in noise/echo processing</x:v>
      </x:c>
      <x:c r="I6" s="100" t="str">
        <x:f>IF('Master'!J182="","",'Master'!J182)</x:f>
        <x:v>WebRTC</x:v>
      </x:c>
      <x:c r="J6" s="100" t="str">
        <x:f>IF('Master'!K182="","",'Master'!K182)</x:f>
        <x:v>P2P WebRTC with STUN/TURN fallback</x:v>
      </x:c>
      <x:c r="K6" s="100" t="str">
        <x:f>IF('Master'!L182="","",'Master'!L182)</x:f>
        <x:v>Desktop/mobile local suppression; no web suppression per developer report</x:v>
      </x:c>
      <x:c r="L6" s="100" t="str">
        <x:f>IF('Master'!M182="","",'Master'!M182)</x:f>
      </x:c>
      <x:c r="M6" s="100" t="str">
        <x:f>IF('Master'!N182="","",'Master'!N182)</x:f>
        <x:v>LiveKit/WebRTC</x:v>
      </x:c>
      <x:c r="N6" s="100" t="str">
        <x:f>IF('Master'!O182="","",'Master'!O182)</x:f>
        <x:v>Varies by client</x:v>
      </x:c>
      <x:c r="O6" s="100" t="str">
        <x:f>IF('Master'!P182="","",'Master'!P182)</x:f>
      </x:c>
      <x:c r="P6" s="100" t="str">
        <x:f>IF('Master'!Q182="","",'Master'!Q182)</x:f>
        <x:v>Custom WebRTC SFU</x:v>
      </x:c>
      <x:c r="Q6" s="100" t="str">
        <x:f>IF('Master'!R182="","",'Master'!R182)</x:f>
        <x:v>Built-in client processing; exact engine varies</x:v>
      </x:c>
      <x:c r="R6" s="100" t="str">
        <x:f>IF('Master'!S182="","",'Master'!S182)</x:f>
      </x:c>
      <x:c r="S6" s="100" t="str">
        <x:f>IF('Master'!T182="","",'Master'!T182)</x:f>
        <x:v>Custom voice infrastructure</x:v>
      </x:c>
      <x:c r="T6" s="100" t="str">
        <x:f>IF('Master'!U182="","",'Master'!U182)</x:f>
        <x:v>No branded/public noise-suppression engine claim</x:v>
      </x:c>
      <x:c r="U6" s="100" t="str">
        <x:f>IF('Master'!V182="","",'Master'!V182)</x:f>
      </x:c>
      <x:c r="V6" s="100" t="str">
        <x:f>IF('Master'!W182="","",'Master'!W182)</x:f>
        <x:v>Provider-dependent</x:v>
      </x:c>
      <x:c r="W6" s="100" t="str">
        <x:f>IF('Master'!X182="","",'Master'!X182)</x:f>
        <x:v>N/A</x:v>
      </x:c>
      <x:c r="X6" s="100" t="str">
        <x:f>IF('Master'!Y182="","",'Master'!Y182)</x:f>
      </x:c>
      <x:c r="Y6" s="100" t="str">
        <x:f>IF('Master'!Z182="","",'Master'!Z182)</x:f>
      </x:c>
      <x:c r="Z6" s="100" t="str">
        <x:f>IF('Master'!AA182="","",'Master'!AA182)</x:f>
        <x:v>RNNoise</x:v>
      </x:c>
      <x:c r="AA6" s="104" t="str">
        <x:f>IF('Master'!AB182="","",'Master'!AB182)</x:f>
      </x:c>
      <x:c r="AB6" s="100" t="str">
        <x:f>IF('Master'!AC182="","",'Master'!AC182)</x:f>
        <x:v>LiveKit</x:v>
      </x:c>
      <x:c r="AC6" s="100" t="str">
        <x:f>IF('Master'!AD182="","",'Master'!AD182)</x:f>
      </x:c>
      <x:c r="AD6" s="100" t="str">
        <x:f>IF('Master'!AE182="","",'Master'!AE182)</x:f>
        <x:v>LiveKit</x:v>
      </x:c>
      <x:c r="AE6" s="100" t="str">
        <x:f>IF('Master'!AF182="","",'Master'!AF182)</x:f>
        <x:v>Self-host media server</x:v>
      </x:c>
      <x:c r="AF6" s="75" t="str">
        <x:f>IF('Master'!AG182="","",'Master'!AG182)</x:f>
        <x:v>N/A</x:v>
      </x:c>
    </x:row>
    <x:row r="7" ht="36" customHeight="1">
      <x:c r="A7" s="135" t="str">
        <x:v>Push-to-Talk Support</x:v>
      </x:c>
      <x:c r="B7" s="100" t="str">
        <x:f>IF('Master'!C183="","",'Master'!C183)</x:f>
        <x:v>Yes</x:v>
      </x:c>
      <x:c r="C7" s="100" t="str">
        <x:f>IF('Master'!D183="","",'Master'!D183)</x:f>
      </x:c>
      <x:c r="D7" s="100" t="str">
        <x:f>IF('Master'!E183="","",'Master'!E183)</x:f>
        <x:v>Opus</x:v>
      </x:c>
      <x:c r="E7" s="100" t="str">
        <x:f>IF('Master'!F183="","",'Master'!F183)</x:f>
      </x:c>
      <x:c r="F7" s="100" t="str">
        <x:f>IF('Master'!G183="","",'Master'!G183)</x:f>
        <x:v>Yes</x:v>
      </x:c>
      <x:c r="G7" s="100" t="str">
        <x:f>IF('Master'!H183="","",'Master'!H183)</x:f>
        <x:v>Yes</x:v>
      </x:c>
      <x:c r="H7" s="100" t="str">
        <x:f>IF('Master'!I183="","",'Master'!I183)</x:f>
        <x:v>Yes</x:v>
      </x:c>
      <x:c r="I7" s="100" t="str">
        <x:f>IF('Master'!J183="","",'Master'!J183)</x:f>
      </x:c>
      <x:c r="J7" s="100" t="str">
        <x:f>IF('Master'!K183="","",'Master'!K183)</x:f>
      </x:c>
      <x:c r="K7" s="100" t="str">
        <x:f>IF('Master'!L183="","",'Master'!L183)</x:f>
        <x:v>Yes</x:v>
      </x:c>
      <x:c r="L7" s="100" t="str">
        <x:f>IF('Master'!M183="","",'Master'!M183)</x:f>
      </x:c>
      <x:c r="M7" s="100" t="str">
        <x:f>IF('Master'!N183="","",'Master'!N183)</x:f>
      </x:c>
      <x:c r="N7" s="100" t="str">
        <x:f>IF('Master'!O183="","",'Master'!O183)</x:f>
        <x:v>Varies by client</x:v>
      </x:c>
      <x:c r="O7" s="100" t="str">
        <x:f>IF('Master'!P183="","",'Master'!P183)</x:f>
      </x:c>
      <x:c r="P7" s="100" t="str">
        <x:f>IF('Master'!Q183="","",'Master'!Q183)</x:f>
      </x:c>
      <x:c r="Q7" s="100" t="str">
        <x:f>IF('Master'!R183="","",'Master'!R183)</x:f>
        <x:v>Yes</x:v>
      </x:c>
      <x:c r="R7" s="100" t="str">
        <x:f>IF('Master'!S183="","",'Master'!S183)</x:f>
      </x:c>
      <x:c r="S7" s="100" t="str">
        <x:f>IF('Master'!T183="","",'Master'!T183)</x:f>
      </x:c>
      <x:c r="T7" s="100" t="str">
        <x:f>IF('Master'!U183="","",'Master'!U183)</x:f>
      </x:c>
      <x:c r="U7" s="100" t="str">
        <x:f>IF('Master'!V183="","",'Master'!V183)</x:f>
        <x:v>Yes</x:v>
      </x:c>
      <x:c r="V7" s="100" t="str">
        <x:f>IF('Master'!W183="","",'Master'!W183)</x:f>
      </x:c>
      <x:c r="W7" s="100" t="str">
        <x:f>IF('Master'!X183="","",'Master'!X183)</x:f>
        <x:v>N/A</x:v>
      </x:c>
      <x:c r="X7" s="100" t="str">
        <x:f>IF('Master'!Y183="","",'Master'!Y183)</x:f>
        <x:v>Yes</x:v>
      </x:c>
      <x:c r="Y7" s="100" t="str">
        <x:f>IF('Master'!Z183="","",'Master'!Z183)</x:f>
        <x:v>Client-dependent</x:v>
      </x:c>
      <x:c r="Z7" s="100" t="str">
        <x:f>IF('Master'!AA183="","",'Master'!AA183)</x:f>
        <x:v>Yes</x:v>
      </x:c>
      <x:c r="AA7" s="104" t="str">
        <x:f>IF('Master'!AB183="","",'Master'!AB183)</x:f>
        <x:v>Yes</x:v>
      </x:c>
      <x:c r="AB7" s="100" t="str">
        <x:f>IF('Master'!AC183="","",'Master'!AC183)</x:f>
      </x:c>
      <x:c r="AC7" s="100" t="str">
        <x:f>IF('Master'!AD183="","",'Master'!AD183)</x:f>
      </x:c>
      <x:c r="AD7" s="100" t="str">
        <x:f>IF('Master'!AE183="","",'Master'!AE183)</x:f>
      </x:c>
      <x:c r="AE7" s="100" t="str">
        <x:f>IF('Master'!AF183="","",'Master'!AF183)</x:f>
      </x:c>
      <x:c r="AF7" s="75" t="str">
        <x:f>IF('Master'!AG183="","",'Master'!AG183)</x:f>
        <x:v>N/A</x:v>
      </x:c>
    </x:row>
    <x:row r="8" ht="36" customHeight="1">
      <x:c r="A8" s="135" t="str">
        <x:v>Individual User Volume Control</x:v>
      </x:c>
      <x:c r="B8" s="100" t="str">
        <x:f>IF('Master'!C184="","",'Master'!C184)</x:f>
        <x:v>Yes</x:v>
      </x:c>
      <x:c r="C8" s="100" t="str">
        <x:f>IF('Master'!D184="","",'Master'!D184)</x:f>
      </x:c>
      <x:c r="D8" s="100" t="str">
        <x:f>IF('Master'!E184="","",'Master'!E184)</x:f>
      </x:c>
      <x:c r="E8" s="100" t="str">
        <x:f>IF('Master'!F184="","",'Master'!F184)</x:f>
        <x:v>Yes</x:v>
      </x:c>
      <x:c r="F8" s="100" t="str">
        <x:f>IF('Master'!G184="","",'Master'!G184)</x:f>
        <x:v>Yes</x:v>
      </x:c>
      <x:c r="G8" s="100" t="str">
        <x:f>IF('Master'!H184="","",'Master'!H184)</x:f>
        <x:v>Yes</x:v>
      </x:c>
      <x:c r="H8" s="100" t="str">
        <x:f>IF('Master'!I184="","",'Master'!I184)</x:f>
        <x:v>Yes</x:v>
      </x:c>
      <x:c r="I8" s="100" t="str">
        <x:f>IF('Master'!J184="","",'Master'!J184)</x:f>
      </x:c>
      <x:c r="J8" s="100" t="str">
        <x:f>IF('Master'!K184="","",'Master'!K184)</x:f>
      </x:c>
      <x:c r="K8" s="100" t="str">
        <x:f>IF('Master'!L184="","",'Master'!L184)</x:f>
        <x:v>Yes — developer-reported/LiveKit client controls</x:v>
      </x:c>
      <x:c r="L8" s="100" t="str">
        <x:f>IF('Master'!M184="","",'Master'!M184)</x:f>
      </x:c>
      <x:c r="M8" s="100" t="str">
        <x:f>IF('Master'!N184="","",'Master'!N184)</x:f>
        <x:v>Yes</x:v>
      </x:c>
      <x:c r="N8" s="100" t="str">
        <x:f>IF('Master'!O184="","",'Master'!O184)</x:f>
        <x:v>Varies by client</x:v>
      </x:c>
      <x:c r="O8" s="100" t="str">
        <x:f>IF('Master'!P184="","",'Master'!P184)</x:f>
        <x:v>Yes</x:v>
      </x:c>
      <x:c r="P8" s="100" t="str">
        <x:f>IF('Master'!Q184="","",'Master'!Q184)</x:f>
      </x:c>
      <x:c r="Q8" s="100" t="str">
        <x:f>IF('Master'!R184="","",'Master'!R184)</x:f>
        <x:v>Yes</x:v>
      </x:c>
      <x:c r="R8" s="100" t="str">
        <x:f>IF('Master'!S184="","",'Master'!S184)</x:f>
      </x:c>
      <x:c r="S8" s="100" t="str">
        <x:f>IF('Master'!T184="","",'Master'!T184)</x:f>
      </x:c>
      <x:c r="T8" s="100" t="str">
        <x:f>IF('Master'!U184="","",'Master'!U184)</x:f>
        <x:v>Yes</x:v>
      </x:c>
      <x:c r="U8" s="100" t="str">
        <x:f>IF('Master'!V184="","",'Master'!V184)</x:f>
        <x:v>Yes</x:v>
      </x:c>
      <x:c r="V8" s="100" t="str">
        <x:f>IF('Master'!W184="","",'Master'!W184)</x:f>
      </x:c>
      <x:c r="W8" s="100" t="str">
        <x:f>IF('Master'!X184="","",'Master'!X184)</x:f>
        <x:v>N/A</x:v>
      </x:c>
      <x:c r="X8" s="100" t="str">
        <x:f>IF('Master'!Y184="","",'Master'!Y184)</x:f>
        <x:v>Yes</x:v>
      </x:c>
      <x:c r="Y8" s="100" t="str">
        <x:f>IF('Master'!Z184="","",'Master'!Z184)</x:f>
        <x:v>Client-dependent</x:v>
      </x:c>
      <x:c r="Z8" s="100" t="str">
        <x:f>IF('Master'!AA184="","",'Master'!AA184)</x:f>
        <x:v>Yes</x:v>
      </x:c>
      <x:c r="AA8" s="104" t="str">
        <x:f>IF('Master'!AB184="","",'Master'!AB184)</x:f>
        <x:v>Yes</x:v>
      </x:c>
      <x:c r="AB8" s="100" t="str">
        <x:f>IF('Master'!AC184="","",'Master'!AC184)</x:f>
      </x:c>
      <x:c r="AC8" s="100" t="str">
        <x:f>IF('Master'!AD184="","",'Master'!AD184)</x:f>
      </x:c>
      <x:c r="AD8" s="100" t="str">
        <x:f>IF('Master'!AE184="","",'Master'!AE184)</x:f>
        <x:v>Yes</x:v>
      </x:c>
      <x:c r="AE8" s="100" t="str">
        <x:f>IF('Master'!AF184="","",'Master'!AF184)</x:f>
      </x:c>
      <x:c r="AF8" s="75" t="str">
        <x:f>IF('Master'!AG184="","",'Master'!AG184)</x:f>
        <x:v>N/A</x:v>
      </x:c>
    </x:row>
    <x:row r="9" ht="36" customHeight="1">
      <x:c r="A9" s="135" t="str">
        <x:v>Spatial / Proximity Audio Support</x:v>
      </x:c>
      <x:c r="B9" s="100" t="str">
        <x:f>IF('Master'!C185="","",'Master'!C185)</x:f>
        <x:v>No native client proximity/spatial audio; possible in third-party game integrations</x:v>
      </x:c>
      <x:c r="C9" s="100" t="str">
        <x:f>IF('Master'!D185="","",'Master'!D185)</x:f>
        <x:v>No</x:v>
      </x:c>
      <x:c r="D9" s="100" t="str">
        <x:f>IF('Master'!E185="","",'Master'!E185)</x:f>
        <x:v>No</x:v>
      </x:c>
      <x:c r="E9" s="100" t="str">
        <x:f>IF('Master'!F185="","",'Master'!F185)</x:f>
        <x:v>No</x:v>
      </x:c>
      <x:c r="F9" s="100" t="str">
        <x:f>IF('Master'!G185="","",'Master'!G185)</x:f>
      </x:c>
      <x:c r="G9" s="100" t="str">
        <x:f>IF('Master'!H185="","",'Master'!H185)</x:f>
        <x:v>No native proximity audio</x:v>
      </x:c>
      <x:c r="H9" s="100" t="str">
        <x:f>IF('Master'!I185="","",'Master'!I185)</x:f>
        <x:v>GameLink spatial audio</x:v>
      </x:c>
      <x:c r="I9" s="100" t="str">
        <x:f>IF('Master'!J185="","",'Master'!J185)</x:f>
        <x:v>No</x:v>
      </x:c>
      <x:c r="J9" s="100" t="str">
        <x:f>IF('Master'!K185="","",'Master'!K185)</x:f>
        <x:v>No</x:v>
      </x:c>
      <x:c r="K9" s="100" t="str">
        <x:f>IF('Master'!L185="","",'Master'!L185)</x:f>
      </x:c>
      <x:c r="L9" s="100" t="str">
        <x:f>IF('Master'!M185="","",'Master'!M185)</x:f>
        <x:v>No</x:v>
      </x:c>
      <x:c r="M9" s="100" t="str">
        <x:f>IF('Master'!N185="","",'Master'!N185)</x:f>
        <x:v>No</x:v>
      </x:c>
      <x:c r="N9" s="100" t="str">
        <x:f>IF('Master'!O185="","",'Master'!O185)</x:f>
        <x:v>Possible via specialized clients; not a core default</x:v>
      </x:c>
      <x:c r="O9" s="100" t="str">
        <x:f>IF('Master'!P185="","",'Master'!P185)</x:f>
        <x:v>No</x:v>
      </x:c>
      <x:c r="P9" s="100" t="str">
        <x:f>IF('Master'!Q185="","",'Master'!Q185)</x:f>
        <x:v>No</x:v>
      </x:c>
      <x:c r="Q9" s="100" t="str">
        <x:f>IF('Master'!R185="","",'Master'!R185)</x:f>
        <x:v>Yes — positional audio supported with games/plugins</x:v>
      </x:c>
      <x:c r="R9" s="100" t="str">
        <x:f>IF('Master'!S185="","",'Master'!S185)</x:f>
        <x:v>No</x:v>
      </x:c>
      <x:c r="S9" s="100" t="str">
        <x:f>IF('Master'!T185="","",'Master'!T185)</x:f>
        <x:v>No</x:v>
      </x:c>
      <x:c r="T9" s="100" t="str">
        <x:f>IF('Master'!U185="","",'Master'!U185)</x:f>
        <x:v>No</x:v>
      </x:c>
      <x:c r="U9" s="100" t="str">
        <x:f>IF('Master'!V185="","",'Master'!V185)</x:f>
        <x:v>No</x:v>
      </x:c>
      <x:c r="V9" s="100" t="str">
        <x:f>IF('Master'!W185="","",'Master'!W185)</x:f>
        <x:v>No</x:v>
      </x:c>
      <x:c r="W9" s="100" t="str">
        <x:f>IF('Master'!X185="","",'Master'!X185)</x:f>
        <x:v>N/A</x:v>
      </x:c>
      <x:c r="X9" s="100" t="str">
        <x:f>IF('Master'!Y185="","",'Master'!Y185)</x:f>
        <x:v>No native proximity audio</x:v>
      </x:c>
      <x:c r="Y9" s="100" t="str">
        <x:f>IF('Master'!Z185="","",'Master'!Z185)</x:f>
        <x:v>No native proximity</x:v>
      </x:c>
      <x:c r="Z9" s="100" t="str">
        <x:f>IF('Master'!AA185="","",'Master'!AA185)</x:f>
        <x:v>No native proximity audio</x:v>
      </x:c>
      <x:c r="AA9" s="104" t="str">
        <x:f>IF('Master'!AB185="","",'Master'!AB185)</x:f>
      </x:c>
      <x:c r="AB9" s="100" t="str">
        <x:f>IF('Master'!AC185="","",'Master'!AC185)</x:f>
        <x:v>No</x:v>
      </x:c>
      <x:c r="AC9" s="100" t="str">
        <x:f>IF('Master'!AD185="","",'Master'!AD185)</x:f>
        <x:v>No</x:v>
      </x:c>
      <x:c r="AD9" s="100" t="str">
        <x:f>IF('Master'!AE185="","",'Master'!AE185)</x:f>
        <x:v>No</x:v>
      </x:c>
      <x:c r="AE9" s="100" t="str">
        <x:f>IF('Master'!AF185="","",'Master'!AF185)</x:f>
        <x:v>Yes — spatial/proximity</x:v>
      </x:c>
      <x:c r="AF9" s="75" t="str">
        <x:f>IF('Master'!AG185="","",'Master'!AG185)</x:f>
        <x:v>N/A</x:v>
      </x:c>
    </x:row>
    <x:row r="10" ht="36" customHeight="1">
      <x:c r="A10" s="135" t="str">
        <x:v>Stage Channels (Speaker vs Audience)</x:v>
      </x:c>
      <x:c r="B10" s="100" t="str">
        <x:f>IF('Master'!C186="","",'Master'!C186)</x:f>
        <x:v>Yes</x:v>
      </x:c>
      <x:c r="C10" s="100" t="str">
        <x:f>IF('Master'!D186="","",'Master'!D186)</x:f>
      </x:c>
      <x:c r="D10" s="100" t="str">
        <x:f>IF('Master'!E186="","",'Master'!E186)</x:f>
        <x:v>No Stage verified</x:v>
      </x:c>
      <x:c r="E10" s="100" t="str">
        <x:f>IF('Master'!F186="","",'Master'!F186)</x:f>
        <x:v>No Stage verified</x:v>
      </x:c>
      <x:c r="F10" s="100" t="str">
        <x:f>IF('Master'!G186="","",'Master'!G186)</x:f>
        <x:v>Nested voice / host-broadcasting planned</x:v>
      </x:c>
      <x:c r="G10" s="100" t="str">
        <x:f>IF('Master'!H186="","",'Master'!H186)</x:f>
      </x:c>
      <x:c r="H10" s="100" t="str">
        <x:f>IF('Master'!I186="","",'Master'!I186)</x:f>
        <x:v>No Discord-style Stage verified</x:v>
      </x:c>
      <x:c r="I10" s="100" t="str">
        <x:f>IF('Master'!J186="","",'Master'!J186)</x:f>
        <x:v>No</x:v>
      </x:c>
      <x:c r="J10" s="100" t="str">
        <x:f>IF('Master'!K186="","",'Master'!K186)</x:f>
        <x:v>No</x:v>
      </x:c>
      <x:c r="K10" s="100" t="str">
        <x:f>IF('Master'!L186="","",'Master'!L186)</x:f>
        <x:v>Yes — developer reports Stage channels</x:v>
      </x:c>
      <x:c r="L10" s="100" t="str">
        <x:f>IF('Master'!M186="","",'Master'!M186)</x:f>
        <x:v>No</x:v>
      </x:c>
      <x:c r="M10" s="100" t="str">
        <x:f>IF('Master'!N186="","",'Master'!N186)</x:f>
      </x:c>
      <x:c r="N10" s="100" t="str">
        <x:f>IF('Master'!O186="","",'Master'!O186)</x:f>
        <x:v>Client-dependent</x:v>
      </x:c>
      <x:c r="O10" s="100" t="str">
        <x:f>IF('Master'!P186="","",'Master'!P186)</x:f>
        <x:v>Raise-hand supported in Calls</x:v>
      </x:c>
      <x:c r="P10" s="100" t="str">
        <x:f>IF('Master'!Q186="","",'Master'!Q186)</x:f>
      </x:c>
      <x:c r="Q10" s="100" t="str">
        <x:f>IF('Master'!R186="","",'Master'!R186)</x:f>
        <x:v>No Discord Stage equivalent</x:v>
      </x:c>
      <x:c r="R10" s="100" t="str">
        <x:f>IF('Master'!S186="","",'Master'!S186)</x:f>
        <x:v>No</x:v>
      </x:c>
      <x:c r="S10" s="100" t="str">
        <x:f>IF('Master'!T186="","",'Master'!T186)</x:f>
        <x:v>No Stage verified</x:v>
      </x:c>
      <x:c r="T10" s="100" t="str">
        <x:f>IF('Master'!U186="","",'Master'!U186)</x:f>
        <x:v>No Stage</x:v>
      </x:c>
      <x:c r="U10" s="100" t="str">
        <x:f>IF('Master'!V186="","",'Master'!V186)</x:f>
        <x:v>No Stage</x:v>
      </x:c>
      <x:c r="V10" s="100" t="str">
        <x:f>IF('Master'!W186="","",'Master'!W186)</x:f>
      </x:c>
      <x:c r="W10" s="100" t="str">
        <x:f>IF('Master'!X186="","",'Master'!X186)</x:f>
        <x:v>N/A</x:v>
      </x:c>
      <x:c r="X10" s="100" t="str">
        <x:f>IF('Master'!Y186="","",'Master'!Y186)</x:f>
        <x:v>No dedicated Stage verified</x:v>
      </x:c>
      <x:c r="Y10" s="100" t="str">
        <x:f>IF('Master'!Z186="","",'Master'!Z186)</x:f>
      </x:c>
      <x:c r="Z10" s="100" t="str">
        <x:f>IF('Master'!AA186="","",'Master'!AA186)</x:f>
        <x:v>No Discord-style Stage verified</x:v>
      </x:c>
      <x:c r="AA10" s="104" t="str">
        <x:f>IF('Master'!AB186="","",'Master'!AB186)</x:f>
        <x:v>No Discord Stage equivalent verified</x:v>
      </x:c>
      <x:c r="AB10" s="100" t="str">
        <x:f>IF('Master'!AC186="","",'Master'!AC186)</x:f>
        <x:v>No Stage verified</x:v>
      </x:c>
      <x:c r="AC10" s="100" t="str">
        <x:f>IF('Master'!AD186="","",'Master'!AD186)</x:f>
        <x:v>No</x:v>
      </x:c>
      <x:c r="AD10" s="100" t="str">
        <x:f>IF('Master'!AE186="","",'Master'!AE186)</x:f>
        <x:v>Stage is a general room stage/media surface, not Discord Stage</x:v>
      </x:c>
      <x:c r="AE10" s="100" t="str">
        <x:f>IF('Master'!AF186="","",'Master'!AF186)</x:f>
        <x:v>No Stage</x:v>
      </x:c>
      <x:c r="AF10" s="75" t="str">
        <x:f>IF('Master'!AG186="","",'Master'!AG186)</x:f>
        <x:v>N/A</x:v>
      </x:c>
    </x:row>
    <x:row r="11" ht="36" customHeight="1">
      <x:c r="A11" s="135" t="str">
        <x:v>Raise Hand / Speaking Requests</x:v>
      </x:c>
      <x:c r="B11" s="100" t="str">
        <x:f>IF('Master'!C187="","",'Master'!C187)</x:f>
        <x:v>Yes</x:v>
      </x:c>
      <x:c r="C11" s="100" t="str">
        <x:f>IF('Master'!D187="","",'Master'!D187)</x:f>
      </x:c>
      <x:c r="D11" s="100" t="str">
        <x:f>IF('Master'!E187="","",'Master'!E187)</x:f>
      </x:c>
      <x:c r="E11" s="100" t="str">
        <x:f>IF('Master'!F187="","",'Master'!F187)</x:f>
      </x:c>
      <x:c r="F11" s="100" t="str">
        <x:f>IF('Master'!G187="","",'Master'!G187)</x:f>
      </x:c>
      <x:c r="G11" s="100" t="str">
        <x:f>IF('Master'!H187="","",'Master'!H187)</x:f>
      </x:c>
      <x:c r="H11" s="100" t="str">
        <x:f>IF('Master'!I187="","",'Master'!I187)</x:f>
      </x:c>
      <x:c r="I11" s="100" t="str">
        <x:f>IF('Master'!J187="","",'Master'!J187)</x:f>
      </x:c>
      <x:c r="J11" s="100" t="str">
        <x:f>IF('Master'!K187="","",'Master'!K187)</x:f>
      </x:c>
      <x:c r="K11" s="100" t="str">
        <x:f>IF('Master'!L187="","",'Master'!L187)</x:f>
        <x:v>Stage exists; raise-hand/speaker-request behavior not independently documented</x:v>
      </x:c>
      <x:c r="L11" s="100" t="str">
        <x:f>IF('Master'!M187="","",'Master'!M187)</x:f>
      </x:c>
      <x:c r="M11" s="100" t="str">
        <x:f>IF('Master'!N187="","",'Master'!N187)</x:f>
      </x:c>
      <x:c r="N11" s="100" t="str">
        <x:f>IF('Master'!O187="","",'Master'!O187)</x:f>
        <x:v>Client-dependent</x:v>
      </x:c>
      <x:c r="O11" s="100" t="str">
        <x:f>IF('Master'!P187="","",'Master'!P187)</x:f>
        <x:v>Yes</x:v>
      </x:c>
      <x:c r="P11" s="100" t="str">
        <x:f>IF('Master'!Q187="","",'Master'!Q187)</x:f>
      </x:c>
      <x:c r="Q11" s="100" t="str">
        <x:f>IF('Master'!R187="","",'Master'!R187)</x:f>
        <x:v>No</x:v>
      </x:c>
      <x:c r="R11" s="100" t="str">
        <x:f>IF('Master'!S187="","",'Master'!S187)</x:f>
      </x:c>
      <x:c r="S11" s="100" t="str">
        <x:f>IF('Master'!T187="","",'Master'!T187)</x:f>
      </x:c>
      <x:c r="T11" s="100" t="str">
        <x:f>IF('Master'!U187="","",'Master'!U187)</x:f>
      </x:c>
      <x:c r="U11" s="100" t="str">
        <x:f>IF('Master'!V187="","",'Master'!V187)</x:f>
        <x:v>No</x:v>
      </x:c>
      <x:c r="V11" s="100" t="str">
        <x:f>IF('Master'!W187="","",'Master'!W187)</x:f>
      </x:c>
      <x:c r="W11" s="100" t="str">
        <x:f>IF('Master'!X187="","",'Master'!X187)</x:f>
        <x:v>N/A</x:v>
      </x:c>
      <x:c r="X11" s="100" t="str">
        <x:f>IF('Master'!Y187="","",'Master'!Y187)</x:f>
      </x:c>
      <x:c r="Y11" s="100" t="str">
        <x:f>IF('Master'!Z187="","",'Master'!Z187)</x:f>
      </x:c>
      <x:c r="Z11" s="100" t="str">
        <x:f>IF('Master'!AA187="","",'Master'!AA187)</x:f>
      </x:c>
      <x:c r="AA11" s="104" t="str">
        <x:f>IF('Master'!AB187="","",'Master'!AB187)</x:f>
      </x:c>
      <x:c r="AB11" s="100" t="str">
        <x:f>IF('Master'!AC187="","",'Master'!AC187)</x:f>
      </x:c>
      <x:c r="AC11" s="100" t="str">
        <x:f>IF('Master'!AD187="","",'Master'!AD187)</x:f>
      </x:c>
      <x:c r="AD11" s="100" t="str">
        <x:f>IF('Master'!AE187="","",'Master'!AE187)</x:f>
      </x:c>
      <x:c r="AE11" s="100" t="str">
        <x:f>IF('Master'!AF187="","",'Master'!AF187)</x:f>
        <x:v>No</x:v>
      </x:c>
      <x:c r="AF11" s="75" t="str">
        <x:f>IF('Master'!AG187="","",'Master'!AG187)</x:f>
        <x:v>N/A</x:v>
      </x:c>
    </x:row>
    <x:row r="12" ht="22" customHeight="1">
      <x:c r="A12" s="138" t="str">
        <x:v>Advanced Voice Controls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DM Voice Calls?</x:v>
      </x:c>
      <x:c r="B13" s="100" t="str">
        <x:f>IF('Master'!C191="","",'Master'!C191)</x:f>
        <x:v>Yes</x:v>
      </x:c>
      <x:c r="C13" s="100" t="str">
        <x:f>IF('Master'!D191="","",'Master'!D191)</x:f>
      </x:c>
      <x:c r="D13" s="100" t="str">
        <x:f>IF('Master'!E191="","",'Master'!E191)</x:f>
      </x:c>
      <x:c r="E13" s="100" t="str">
        <x:f>IF('Master'!F191="","",'Master'!F191)</x:f>
        <x:v>Yes</x:v>
      </x:c>
      <x:c r="F13" s="100" t="str">
        <x:f>IF('Master'!G191="","",'Master'!G191)</x:f>
        <x:v>Yes</x:v>
      </x:c>
      <x:c r="G13" s="100" t="str">
        <x:f>IF('Master'!H191="","",'Master'!H191)</x:f>
        <x:v>Yes</x:v>
      </x:c>
      <x:c r="H13" s="100" t="str">
        <x:f>IF('Master'!I191="","",'Master'!I191)</x:f>
        <x:v>Yes</x:v>
      </x:c>
      <x:c r="I13" s="100" t="str">
        <x:f>IF('Master'!J191="","",'Master'!J191)</x:f>
      </x:c>
      <x:c r="J13" s="100" t="str">
        <x:f>IF('Master'!K191="","",'Master'!K191)</x:f>
      </x:c>
      <x:c r="K13" s="100" t="str">
        <x:f>IF('Master'!L191="","",'Master'!L191)</x:f>
        <x:v>Yes</x:v>
      </x:c>
      <x:c r="L13" s="100" t="str">
        <x:f>IF('Master'!M191="","",'Master'!M191)</x:f>
      </x:c>
      <x:c r="M13" s="100" t="str">
        <x:f>IF('Master'!N191="","",'Master'!N191)</x:f>
      </x:c>
      <x:c r="N13" s="100" t="str">
        <x:f>IF('Master'!O191="","",'Master'!O191)</x:f>
        <x:v>Client-dependent</x:v>
      </x:c>
      <x:c r="O13" s="100" t="str">
        <x:f>IF('Master'!P191="","",'Master'!P191)</x:f>
      </x:c>
      <x:c r="P13" s="100" t="str">
        <x:f>IF('Master'!Q191="","",'Master'!Q191)</x:f>
        <x:v>Yes</x:v>
      </x:c>
      <x:c r="Q13" s="100" t="str">
        <x:f>IF('Master'!R191="","",'Master'!R191)</x:f>
      </x:c>
      <x:c r="R13" s="100" t="str">
        <x:f>IF('Master'!S191="","",'Master'!S191)</x:f>
      </x:c>
      <x:c r="S13" s="100" t="str">
        <x:f>IF('Master'!T191="","",'Master'!T191)</x:f>
      </x:c>
      <x:c r="T13" s="100" t="str">
        <x:f>IF('Master'!U191="","",'Master'!U191)</x:f>
        <x:v>Yes</x:v>
      </x:c>
      <x:c r="U13" s="100" t="str">
        <x:f>IF('Master'!V191="","",'Master'!V191)</x:f>
        <x:v>Yes</x:v>
      </x:c>
      <x:c r="V13" s="100" t="str">
        <x:f>IF('Master'!W191="","",'Master'!W191)</x:f>
      </x:c>
      <x:c r="W13" s="100" t="str">
        <x:f>IF('Master'!X191="","",'Master'!X191)</x:f>
      </x:c>
      <x:c r="X13" s="100" t="str">
        <x:f>IF('Master'!Y191="","",'Master'!Y191)</x:f>
        <x:v>Yes</x:v>
      </x:c>
      <x:c r="Y13" s="100" t="str">
        <x:f>IF('Master'!Z191="","",'Master'!Z191)</x:f>
      </x:c>
      <x:c r="Z13" s="100" t="str">
        <x:f>IF('Master'!AA191="","",'Master'!AA191)</x:f>
      </x:c>
      <x:c r="AA13" s="104" t="str">
        <x:f>IF('Master'!AB191="","",'Master'!AB191)</x:f>
      </x:c>
      <x:c r="AB13" s="100" t="str">
        <x:f>IF('Master'!AC191="","",'Master'!AC191)</x:f>
      </x:c>
      <x:c r="AC13" s="100" t="str">
        <x:f>IF('Master'!AD191="","",'Master'!AD191)</x:f>
      </x:c>
      <x:c r="AD13" s="100" t="str">
        <x:f>IF('Master'!AE191="","",'Master'!AE191)</x:f>
        <x:v>Yes</x:v>
      </x:c>
      <x:c r="AE13" s="100" t="str">
        <x:f>IF('Master'!AF191="","",'Master'!AF191)</x:f>
      </x:c>
      <x:c r="AF13" s="75" t="str">
        <x:f>IF('Master'!AG191="","",'Master'!AG191)</x:f>
      </x:c>
    </x:row>
    <x:row r="14" ht="36" customHeight="1">
      <x:c r="A14" s="135" t="str">
        <x:v>Group DM Voice Calls?</x:v>
      </x:c>
      <x:c r="B14" s="100" t="str">
        <x:f>IF('Master'!C192="","",'Master'!C192)</x:f>
        <x:v>Yes</x:v>
      </x:c>
      <x:c r="C14" s="100" t="str">
        <x:f>IF('Master'!D192="","",'Master'!D192)</x:f>
      </x:c>
      <x:c r="D14" s="100" t="str">
        <x:f>IF('Master'!E192="","",'Master'!E192)</x:f>
      </x:c>
      <x:c r="E14" s="100" t="str">
        <x:f>IF('Master'!F192="","",'Master'!F192)</x:f>
        <x:v>Yes</x:v>
      </x:c>
      <x:c r="F14" s="100" t="str">
        <x:f>IF('Master'!G192="","",'Master'!G192)</x:f>
        <x:v>Yes</x:v>
      </x:c>
      <x:c r="G14" s="100" t="str">
        <x:f>IF('Master'!H192="","",'Master'!H192)</x:f>
        <x:v>Yes</x:v>
      </x:c>
      <x:c r="H14" s="100" t="str">
        <x:f>IF('Master'!I192="","",'Master'!I192)</x:f>
        <x:v>Yes</x:v>
      </x:c>
      <x:c r="I14" s="100" t="str">
        <x:f>IF('Master'!J192="","",'Master'!J192)</x:f>
      </x:c>
      <x:c r="J14" s="100" t="str">
        <x:f>IF('Master'!K192="","",'Master'!K192)</x:f>
      </x:c>
      <x:c r="K14" s="100" t="str">
        <x:f>IF('Master'!L192="","",'Master'!L192)</x:f>
        <x:v>Yes</x:v>
      </x:c>
      <x:c r="L14" s="100" t="str">
        <x:f>IF('Master'!M192="","",'Master'!M192)</x:f>
      </x:c>
      <x:c r="M14" s="100" t="str">
        <x:f>IF('Master'!N192="","",'Master'!N192)</x:f>
      </x:c>
      <x:c r="N14" s="100" t="str">
        <x:f>IF('Master'!O192="","",'Master'!O192)</x:f>
        <x:v>Client-dependent</x:v>
      </x:c>
      <x:c r="O14" s="100" t="str">
        <x:f>IF('Master'!P192="","",'Master'!P192)</x:f>
      </x:c>
      <x:c r="P14" s="100" t="str">
        <x:f>IF('Master'!Q192="","",'Master'!Q192)</x:f>
        <x:v>Yes</x:v>
      </x:c>
      <x:c r="Q14" s="100" t="str">
        <x:f>IF('Master'!R192="","",'Master'!R192)</x:f>
      </x:c>
      <x:c r="R14" s="100" t="str">
        <x:f>IF('Master'!S192="","",'Master'!S192)</x:f>
      </x:c>
      <x:c r="S14" s="100" t="str">
        <x:f>IF('Master'!T192="","",'Master'!T192)</x:f>
      </x:c>
      <x:c r="T14" s="100" t="str">
        <x:f>IF('Master'!U192="","",'Master'!U192)</x:f>
      </x:c>
      <x:c r="U14" s="100" t="str">
        <x:f>IF('Master'!V192="","",'Master'!V192)</x:f>
        <x:v>No</x:v>
      </x:c>
      <x:c r="V14" s="100" t="str">
        <x:f>IF('Master'!W192="","",'Master'!W192)</x:f>
      </x:c>
      <x:c r="W14" s="100" t="str">
        <x:f>IF('Master'!X192="","",'Master'!X192)</x:f>
      </x:c>
      <x:c r="X14" s="100" t="str">
        <x:f>IF('Master'!Y192="","",'Master'!Y192)</x:f>
        <x:v>Yes</x:v>
      </x:c>
      <x:c r="Y14" s="100" t="str">
        <x:f>IF('Master'!Z192="","",'Master'!Z192)</x:f>
      </x:c>
      <x:c r="Z14" s="100" t="str">
        <x:f>IF('Master'!AA192="","",'Master'!AA192)</x:f>
      </x:c>
      <x:c r="AA14" s="104" t="str">
        <x:f>IF('Master'!AB192="","",'Master'!AB192)</x:f>
      </x:c>
      <x:c r="AB14" s="100" t="str">
        <x:f>IF('Master'!AC192="","",'Master'!AC192)</x:f>
      </x:c>
      <x:c r="AC14" s="100" t="str">
        <x:f>IF('Master'!AD192="","",'Master'!AD192)</x:f>
      </x:c>
      <x:c r="AD14" s="100" t="str">
        <x:f>IF('Master'!AE192="","",'Master'!AE192)</x:f>
        <x:v>Yes</x:v>
      </x:c>
      <x:c r="AE14" s="100" t="str">
        <x:f>IF('Master'!AF192="","",'Master'!AF192)</x:f>
      </x:c>
      <x:c r="AF14" s="75" t="str">
        <x:f>IF('Master'!AG192="","",'Master'!AG192)</x:f>
      </x:c>
    </x:row>
    <x:row r="15" ht="36" customHeight="1">
      <x:c r="A15" s="135" t="str">
        <x:v>Voice Activity?</x:v>
      </x:c>
      <x:c r="B15" s="100" t="str">
        <x:f>IF('Master'!C201="","",'Master'!C201)</x:f>
        <x:v>Yes</x:v>
      </x:c>
      <x:c r="C15" s="100" t="str">
        <x:f>IF('Master'!D201="","",'Master'!D201)</x:f>
      </x:c>
      <x:c r="D15" s="100" t="str">
        <x:f>IF('Master'!E201="","",'Master'!E201)</x:f>
      </x:c>
      <x:c r="E15" s="100" t="str">
        <x:f>IF('Master'!F201="","",'Master'!F201)</x:f>
      </x:c>
      <x:c r="F15" s="100" t="str">
        <x:f>IF('Master'!G201="","",'Master'!G201)</x:f>
      </x:c>
      <x:c r="G15" s="100" t="str">
        <x:f>IF('Master'!H201="","",'Master'!H201)</x:f>
      </x:c>
      <x:c r="H15" s="100" t="str">
        <x:f>IF('Master'!I201="","",'Master'!I201)</x:f>
        <x:v>Yes</x:v>
      </x:c>
      <x:c r="I15" s="100" t="str">
        <x:f>IF('Master'!J201="","",'Master'!J201)</x:f>
      </x:c>
      <x:c r="J15" s="100" t="str">
        <x:f>IF('Master'!K201="","",'Master'!K201)</x:f>
      </x:c>
      <x:c r="K15" s="100" t="str">
        <x:f>IF('Master'!L201="","",'Master'!L201)</x:f>
        <x:v>Yes</x:v>
      </x:c>
      <x:c r="L15" s="100" t="str">
        <x:f>IF('Master'!M201="","",'Master'!M201)</x:f>
      </x:c>
      <x:c r="M15" s="100" t="str">
        <x:f>IF('Master'!N201="","",'Master'!N201)</x:f>
      </x:c>
      <x:c r="N15" s="100" t="str">
        <x:f>IF('Master'!O201="","",'Master'!O201)</x:f>
      </x:c>
      <x:c r="O15" s="100" t="str">
        <x:f>IF('Master'!P201="","",'Master'!P201)</x:f>
      </x:c>
      <x:c r="P15" s="100" t="str">
        <x:f>IF('Master'!Q201="","",'Master'!Q201)</x:f>
      </x:c>
      <x:c r="Q15" s="100" t="str">
        <x:f>IF('Master'!R201="","",'Master'!R201)</x:f>
        <x:v>Yes</x:v>
      </x:c>
      <x:c r="R15" s="100" t="str">
        <x:f>IF('Master'!S201="","",'Master'!S201)</x:f>
      </x:c>
      <x:c r="S15" s="100" t="str">
        <x:f>IF('Master'!T201="","",'Master'!T201)</x:f>
      </x:c>
      <x:c r="T15" s="100" t="str">
        <x:f>IF('Master'!U201="","",'Master'!U201)</x:f>
      </x:c>
      <x:c r="U15" s="100" t="str">
        <x:f>IF('Master'!V201="","",'Master'!V201)</x:f>
        <x:v>Yes</x:v>
      </x:c>
      <x:c r="V15" s="100" t="str">
        <x:f>IF('Master'!W201="","",'Master'!W201)</x:f>
      </x:c>
      <x:c r="W15" s="100" t="str">
        <x:f>IF('Master'!X201="","",'Master'!X201)</x:f>
      </x:c>
      <x:c r="X15" s="100" t="str">
        <x:f>IF('Master'!Y201="","",'Master'!Y201)</x:f>
      </x:c>
      <x:c r="Y15" s="100" t="str">
        <x:f>IF('Master'!Z201="","",'Master'!Z201)</x:f>
      </x:c>
      <x:c r="Z15" s="100" t="str">
        <x:f>IF('Master'!AA201="","",'Master'!AA201)</x:f>
      </x:c>
      <x:c r="AA15" s="104" t="str">
        <x:f>IF('Master'!AB201="","",'Master'!AB201)</x:f>
        <x:v>Yes</x:v>
      </x:c>
      <x:c r="AB15" s="100" t="str">
        <x:f>IF('Master'!AC201="","",'Master'!AC201)</x:f>
      </x:c>
      <x:c r="AC15" s="100" t="str">
        <x:f>IF('Master'!AD201="","",'Master'!AD201)</x:f>
      </x:c>
      <x:c r="AD15" s="100" t="str">
        <x:f>IF('Master'!AE201="","",'Master'!AE201)</x:f>
        <x:v>Yes</x:v>
      </x:c>
      <x:c r="AE15" s="100" t="str">
        <x:f>IF('Master'!AF201="","",'Master'!AF201)</x:f>
      </x:c>
      <x:c r="AF15" s="75" t="str">
        <x:f>IF('Master'!AG201="","",'Master'!AG201)</x:f>
      </x:c>
    </x:row>
    <x:row r="16" ht="36" customHeight="1">
      <x:c r="A16" s="135" t="str">
        <x:v>Echo Cancellation?</x:v>
      </x:c>
      <x:c r="B16" s="100" t="str">
        <x:f>IF('Master'!C206="","",'Master'!C206)</x:f>
        <x:v>Yes</x:v>
      </x:c>
      <x:c r="C16" s="100" t="str">
        <x:f>IF('Master'!D206="","",'Master'!D206)</x:f>
      </x:c>
      <x:c r="D16" s="100" t="str">
        <x:f>IF('Master'!E206="","",'Master'!E206)</x:f>
      </x:c>
      <x:c r="E16" s="100" t="str">
        <x:f>IF('Master'!F206="","",'Master'!F206)</x:f>
        <x:v>Yes</x:v>
      </x:c>
      <x:c r="F16" s="100" t="str">
        <x:f>IF('Master'!G206="","",'Master'!G206)</x:f>
        <x:v>Yes</x:v>
      </x:c>
      <x:c r="G16" s="100" t="str">
        <x:f>IF('Master'!H206="","",'Master'!H206)</x:f>
        <x:v>Yes</x:v>
      </x:c>
      <x:c r="H16" s="100" t="str">
        <x:f>IF('Master'!I206="","",'Master'!I206)</x:f>
        <x:v>Yes</x:v>
      </x:c>
      <x:c r="I16" s="100" t="str">
        <x:f>IF('Master'!J206="","",'Master'!J206)</x:f>
      </x:c>
      <x:c r="J16" s="100" t="str">
        <x:f>IF('Master'!K206="","",'Master'!K206)</x:f>
      </x:c>
      <x:c r="K16" s="100" t="str">
        <x:f>IF('Master'!L206="","",'Master'!L206)</x:f>
        <x:v>Yes — desktop native graph; mobile uses native audio processing</x:v>
      </x:c>
      <x:c r="L16" s="100" t="str">
        <x:f>IF('Master'!M206="","",'Master'!M206)</x:f>
      </x:c>
      <x:c r="M16" s="100" t="str">
        <x:f>IF('Master'!N206="","",'Master'!N206)</x:f>
      </x:c>
      <x:c r="N16" s="100" t="str">
        <x:f>IF('Master'!O206="","",'Master'!O206)</x:f>
      </x:c>
      <x:c r="O16" s="100" t="str">
        <x:f>IF('Master'!P206="","",'Master'!P206)</x:f>
      </x:c>
      <x:c r="P16" s="100" t="str">
        <x:f>IF('Master'!Q206="","",'Master'!Q206)</x:f>
        <x:v>Yes</x:v>
      </x:c>
      <x:c r="Q16" s="100" t="str">
        <x:f>IF('Master'!R206="","",'Master'!R206)</x:f>
      </x:c>
      <x:c r="R16" s="100" t="str">
        <x:f>IF('Master'!S206="","",'Master'!S206)</x:f>
      </x:c>
      <x:c r="S16" s="100" t="str">
        <x:f>IF('Master'!T206="","",'Master'!T206)</x:f>
      </x:c>
      <x:c r="T16" s="100" t="str">
        <x:f>IF('Master'!U206="","",'Master'!U206)</x:f>
      </x:c>
      <x:c r="U16" s="100" t="str">
        <x:f>IF('Master'!V206="","",'Master'!V206)</x:f>
        <x:v>Yes</x:v>
      </x:c>
      <x:c r="V16" s="100" t="str">
        <x:f>IF('Master'!W206="","",'Master'!W206)</x:f>
      </x:c>
      <x:c r="W16" s="100" t="str">
        <x:f>IF('Master'!X206="","",'Master'!X206)</x:f>
      </x:c>
      <x:c r="X16" s="100" t="str">
        <x:f>IF('Master'!Y206="","",'Master'!Y206)</x:f>
      </x:c>
      <x:c r="Y16" s="100" t="str">
        <x:f>IF('Master'!Z206="","",'Master'!Z206)</x:f>
      </x:c>
      <x:c r="Z16" s="100" t="str">
        <x:f>IF('Master'!AA206="","",'Master'!AA206)</x:f>
      </x:c>
      <x:c r="AA16" s="104" t="str">
        <x:f>IF('Master'!AB206="","",'Master'!AB206)</x:f>
      </x:c>
      <x:c r="AB16" s="100" t="str">
        <x:f>IF('Master'!AC206="","",'Master'!AC206)</x:f>
      </x:c>
      <x:c r="AC16" s="100" t="str">
        <x:f>IF('Master'!AD206="","",'Master'!AD206)</x:f>
      </x:c>
      <x:c r="AD16" s="100" t="str">
        <x:f>IF('Master'!AE206="","",'Master'!AE206)</x:f>
        <x:v>Yes</x:v>
      </x:c>
      <x:c r="AE16" s="100" t="str">
        <x:f>IF('Master'!AF206="","",'Master'!AF206)</x:f>
      </x:c>
      <x:c r="AF16" s="75" t="str">
        <x:f>IF('Master'!AG206="","",'Master'!AG206)</x:f>
      </x:c>
    </x:row>
    <x:row r="17" ht="36" customHeight="1">
      <x:c r="A17" s="135" t="str">
        <x:v>Automatic Gain Control?</x:v>
      </x:c>
      <x:c r="B17" s="100" t="str">
        <x:f>IF('Master'!C207="","",'Master'!C207)</x:f>
      </x:c>
      <x:c r="C17" s="100" t="str">
        <x:f>IF('Master'!D207="","",'Master'!D207)</x:f>
      </x:c>
      <x:c r="D17" s="100" t="str">
        <x:f>IF('Master'!E207="","",'Master'!E207)</x:f>
      </x:c>
      <x:c r="E17" s="100" t="str">
        <x:f>IF('Master'!F207="","",'Master'!F207)</x:f>
        <x:v>Yes</x:v>
      </x:c>
      <x:c r="F17" s="100" t="str">
        <x:f>IF('Master'!G207="","",'Master'!G207)</x:f>
      </x:c>
      <x:c r="G17" s="100" t="str">
        <x:f>IF('Master'!H207="","",'Master'!H207)</x:f>
      </x:c>
      <x:c r="H17" s="100" t="str">
        <x:f>IF('Master'!I207="","",'Master'!I207)</x:f>
        <x:v>Yes</x:v>
      </x:c>
      <x:c r="I17" s="100" t="str">
        <x:f>IF('Master'!J207="","",'Master'!J207)</x:f>
      </x:c>
      <x:c r="J17" s="100" t="str">
        <x:f>IF('Master'!K207="","",'Master'!K207)</x:f>
      </x:c>
      <x:c r="K17" s="100" t="str">
        <x:f>IF('Master'!L207="","",'Master'!L207)</x:f>
        <x:v>Not independently documented</x:v>
      </x:c>
      <x:c r="L17" s="100" t="str">
        <x:f>IF('Master'!M207="","",'Master'!M207)</x:f>
      </x:c>
      <x:c r="M17" s="100" t="str">
        <x:f>IF('Master'!N207="","",'Master'!N207)</x:f>
      </x:c>
      <x:c r="N17" s="100" t="str">
        <x:f>IF('Master'!O207="","",'Master'!O207)</x:f>
      </x:c>
      <x:c r="O17" s="100" t="str">
        <x:f>IF('Master'!P207="","",'Master'!P207)</x:f>
      </x:c>
      <x:c r="P17" s="100" t="str">
        <x:f>IF('Master'!Q207="","",'Master'!Q207)</x:f>
      </x:c>
      <x:c r="Q17" s="100" t="str">
        <x:f>IF('Master'!R207="","",'Master'!R207)</x:f>
      </x:c>
      <x:c r="R17" s="100" t="str">
        <x:f>IF('Master'!S207="","",'Master'!S207)</x:f>
      </x:c>
      <x:c r="S17" s="100" t="str">
        <x:f>IF('Master'!T207="","",'Master'!T207)</x:f>
      </x:c>
      <x:c r="T17" s="100" t="str">
        <x:f>IF('Master'!U207="","",'Master'!U207)</x:f>
      </x:c>
      <x:c r="U17" s="100" t="str">
        <x:f>IF('Master'!V207="","",'Master'!V207)</x:f>
        <x:v>Yes</x:v>
      </x:c>
      <x:c r="V17" s="100" t="str">
        <x:f>IF('Master'!W207="","",'Master'!W207)</x:f>
      </x:c>
      <x:c r="W17" s="100" t="str">
        <x:f>IF('Master'!X207="","",'Master'!X207)</x:f>
      </x:c>
      <x:c r="X17" s="100" t="str">
        <x:f>IF('Master'!Y207="","",'Master'!Y207)</x:f>
      </x:c>
      <x:c r="Y17" s="100" t="str">
        <x:f>IF('Master'!Z207="","",'Master'!Z207)</x:f>
      </x:c>
      <x:c r="Z17" s="100" t="str">
        <x:f>IF('Master'!AA207="","",'Master'!AA207)</x:f>
      </x:c>
      <x:c r="AA17" s="104" t="str">
        <x:f>IF('Master'!AB207="","",'Master'!AB207)</x:f>
      </x:c>
      <x:c r="AB17" s="100" t="str">
        <x:f>IF('Master'!AC207="","",'Master'!AC207)</x:f>
      </x:c>
      <x:c r="AC17" s="100" t="str">
        <x:f>IF('Master'!AD207="","",'Master'!AD207)</x:f>
      </x:c>
      <x:c r="AD17" s="100" t="str">
        <x:f>IF('Master'!AE207="","",'Master'!AE207)</x:f>
      </x:c>
      <x:c r="AE17" s="100" t="str">
        <x:f>IF('Master'!AF207="","",'Master'!AF207)</x:f>
      </x:c>
      <x:c r="AF17" s="75" t="str">
        <x:f>IF('Master'!AG207="","",'Master'!AG207)</x:f>
      </x:c>
    </x:row>
    <x:row r="18" ht="23.100000381469727" customHeight="1">
      <x:c r="A18" s="135" t="str">
        <x:v>Voice Recording Native?</x:v>
      </x:c>
      <x:c r="B18" s="102" t="str">
        <x:f>IF('Master'!C210="","",'Master'!C210)</x:f>
      </x:c>
      <x:c r="C18" s="102" t="str">
        <x:f>IF('Master'!D210="","",'Master'!D210)</x:f>
      </x:c>
      <x:c r="D18" s="102" t="str">
        <x:f>IF('Master'!E210="","",'Master'!E210)</x:f>
      </x:c>
      <x:c r="E18" s="102" t="str">
        <x:f>IF('Master'!F210="","",'Master'!F210)</x:f>
      </x:c>
      <x:c r="F18" s="102" t="str">
        <x:f>IF('Master'!G210="","",'Master'!G210)</x:f>
      </x:c>
      <x:c r="G18" s="102" t="str">
        <x:f>IF('Master'!H210="","",'Master'!H210)</x:f>
      </x:c>
      <x:c r="H18" s="102" t="str">
        <x:f>IF('Master'!I210="","",'Master'!I210)</x:f>
      </x:c>
      <x:c r="I18" s="102" t="str">
        <x:f>IF('Master'!J210="","",'Master'!J210)</x:f>
      </x:c>
      <x:c r="J18" s="102" t="str">
        <x:f>IF('Master'!K210="","",'Master'!K210)</x:f>
      </x:c>
      <x:c r="K18" s="102" t="str">
        <x:f>IF('Master'!L210="","",'Master'!L210)</x:f>
        <x:v>No native recording</x:v>
      </x:c>
      <x:c r="L18" s="102" t="str">
        <x:f>IF('Master'!M210="","",'Master'!M210)</x:f>
      </x:c>
      <x:c r="M18" s="102" t="str">
        <x:f>IF('Master'!N210="","",'Master'!N210)</x:f>
      </x:c>
      <x:c r="N18" s="102" t="str">
        <x:f>IF('Master'!O210="","",'Master'!O210)</x:f>
      </x:c>
      <x:c r="O18" s="102" t="str">
        <x:f>IF('Master'!P210="","",'Master'!P210)</x:f>
      </x:c>
      <x:c r="P18" s="102" t="str">
        <x:f>IF('Master'!Q210="","",'Master'!Q210)</x:f>
      </x:c>
      <x:c r="Q18" s="102" t="str">
        <x:f>IF('Master'!R210="","",'Master'!R210)</x:f>
      </x:c>
      <x:c r="R18" s="102" t="str">
        <x:f>IF('Master'!S210="","",'Master'!S210)</x:f>
      </x:c>
      <x:c r="S18" s="102" t="str">
        <x:f>IF('Master'!T210="","",'Master'!T210)</x:f>
      </x:c>
      <x:c r="T18" s="102" t="str">
        <x:f>IF('Master'!U210="","",'Master'!U210)</x:f>
      </x:c>
      <x:c r="U18" s="102" t="str">
        <x:f>IF('Master'!V210="","",'Master'!V210)</x:f>
      </x:c>
      <x:c r="V18" s="102" t="str">
        <x:f>IF('Master'!W210="","",'Master'!W210)</x:f>
      </x:c>
      <x:c r="W18" s="102" t="str">
        <x:f>IF('Master'!X210="","",'Master'!X210)</x:f>
      </x:c>
      <x:c r="X18" s="102" t="str">
        <x:f>IF('Master'!Y210="","",'Master'!Y210)</x:f>
      </x:c>
      <x:c r="Y18" s="102" t="str">
        <x:f>IF('Master'!Z210="","",'Master'!Z210)</x:f>
      </x:c>
      <x:c r="Z18" s="102" t="str">
        <x:f>IF('Master'!AA210="","",'Master'!AA210)</x:f>
      </x:c>
      <x:c r="AA18" s="103" t="str">
        <x:f>IF('Master'!AB210="","",'Master'!AB210)</x:f>
      </x:c>
      <x:c r="AB18" s="102" t="str">
        <x:f>IF('Master'!AC210="","",'Master'!AC210)</x:f>
      </x:c>
      <x:c r="AC18" s="102" t="str">
        <x:f>IF('Master'!AD210="","",'Master'!AD210)</x:f>
      </x:c>
      <x:c r="AD18" s="102" t="str">
        <x:f>IF('Master'!AE210="","",'Master'!AE210)</x:f>
      </x:c>
      <x:c r="AE18" s="102" t="str">
        <x:f>IF('Master'!AF210="","",'Master'!AF210)</x:f>
      </x:c>
      <x:c r="AF18" s="75" t="str">
        <x:f>IF('Master'!AG210="","",'Master'!AG210)</x:f>
      </x:c>
    </x:row>
    <x:row r="19" ht="36" customHeight="1">
      <x:c r="A19" s="135" t="str">
        <x:v>Voice Transcription Native?</x:v>
      </x:c>
      <x:c r="B19" s="100" t="str">
        <x:f>IF('Master'!C211="","",'Master'!C211)</x:f>
      </x:c>
      <x:c r="C19" s="100" t="str">
        <x:f>IF('Master'!D211="","",'Master'!D211)</x:f>
      </x:c>
      <x:c r="D19" s="100" t="str">
        <x:f>IF('Master'!E211="","",'Master'!E211)</x:f>
      </x:c>
      <x:c r="E19" s="100" t="str">
        <x:f>IF('Master'!F211="","",'Master'!F211)</x:f>
      </x:c>
      <x:c r="F19" s="100" t="str">
        <x:f>IF('Master'!G211="","",'Master'!G211)</x:f>
      </x:c>
      <x:c r="G19" s="100" t="str">
        <x:f>IF('Master'!H211="","",'Master'!H211)</x:f>
      </x:c>
      <x:c r="H19" s="100" t="str">
        <x:f>IF('Master'!I211="","",'Master'!I211)</x:f>
      </x:c>
      <x:c r="I19" s="100" t="str">
        <x:f>IF('Master'!J211="","",'Master'!J211)</x:f>
      </x:c>
      <x:c r="J19" s="100" t="str">
        <x:f>IF('Master'!K211="","",'Master'!K211)</x:f>
      </x:c>
      <x:c r="K19" s="100" t="str">
        <x:f>IF('Master'!L211="","",'Master'!L211)</x:f>
        <x:v>No native transcription</x:v>
      </x:c>
      <x:c r="L19" s="100" t="str">
        <x:f>IF('Master'!M211="","",'Master'!M211)</x:f>
      </x:c>
      <x:c r="M19" s="100" t="str">
        <x:f>IF('Master'!N211="","",'Master'!N211)</x:f>
      </x:c>
      <x:c r="N19" s="100" t="str">
        <x:f>IF('Master'!O211="","",'Master'!O211)</x:f>
      </x:c>
      <x:c r="O19" s="100" t="str">
        <x:f>IF('Master'!P211="","",'Master'!P211)</x:f>
        <x:v>Yes</x:v>
      </x:c>
      <x:c r="P19" s="100" t="str">
        <x:f>IF('Master'!Q211="","",'Master'!Q211)</x:f>
        <x:v>Yes</x:v>
      </x:c>
      <x:c r="Q19" s="100" t="str">
        <x:f>IF('Master'!R211="","",'Master'!R211)</x:f>
      </x:c>
      <x:c r="R19" s="100" t="str">
        <x:f>IF('Master'!S211="","",'Master'!S211)</x:f>
      </x:c>
      <x:c r="S19" s="100" t="str">
        <x:f>IF('Master'!T211="","",'Master'!T211)</x:f>
      </x:c>
      <x:c r="T19" s="100" t="str">
        <x:f>IF('Master'!U211="","",'Master'!U211)</x:f>
      </x:c>
      <x:c r="U19" s="100" t="str">
        <x:f>IF('Master'!V211="","",'Master'!V211)</x:f>
        <x:v>No</x:v>
      </x:c>
      <x:c r="V19" s="100" t="str">
        <x:f>IF('Master'!W211="","",'Master'!W211)</x:f>
      </x:c>
      <x:c r="W19" s="100" t="str">
        <x:f>IF('Master'!X211="","",'Master'!X211)</x:f>
      </x:c>
      <x:c r="X19" s="100" t="str">
        <x:f>IF('Master'!Y211="","",'Master'!Y211)</x:f>
      </x:c>
      <x:c r="Y19" s="100" t="str">
        <x:f>IF('Master'!Z211="","",'Master'!Z211)</x:f>
      </x:c>
      <x:c r="Z19" s="100" t="str">
        <x:f>IF('Master'!AA211="","",'Master'!AA211)</x:f>
      </x:c>
      <x:c r="AA19" s="104" t="str">
        <x:f>IF('Master'!AB211="","",'Master'!AB211)</x:f>
      </x:c>
      <x:c r="AB19" s="100" t="str">
        <x:f>IF('Master'!AC211="","",'Master'!AC211)</x:f>
      </x:c>
      <x:c r="AC19" s="100" t="str">
        <x:f>IF('Master'!AD211="","",'Master'!AD211)</x:f>
      </x:c>
      <x:c r="AD19" s="100" t="str">
        <x:f>IF('Master'!AE211="","",'Master'!AE211)</x:f>
      </x:c>
      <x:c r="AE19" s="100" t="str">
        <x:f>IF('Master'!AF211="","",'Master'!AF211)</x:f>
      </x:c>
      <x:c r="AF19" s="75" t="str">
        <x:f>IF('Master'!AG211="","",'Master'!AG211)</x:f>
      </x:c>
    </x:row>
    <x:row r="20" ht="36" customHeight="1">
      <x:c r="A20" s="135" t="str">
        <x:v>Temporary / Launcher Voice Rooms</x:v>
      </x:c>
      <x:c r="B20" s="100" t="str">
        <x:f>IF('Master'!C188="","",'Master'!C188)</x:f>
        <x:v>No native launcher</x:v>
      </x:c>
      <x:c r="C20" s="100" t="str">
        <x:f>IF('Master'!D188="","",'Master'!D188)</x:f>
      </x:c>
      <x:c r="D20" s="100" t="str">
        <x:f>IF('Master'!E188="","",'Master'!E188)</x:f>
      </x:c>
      <x:c r="E20" s="100" t="str">
        <x:f>IF('Master'!F188="","",'Master'!F188)</x:f>
      </x:c>
      <x:c r="F20" s="100" t="str">
        <x:f>IF('Master'!G188="","",'Master'!G188)</x:f>
      </x:c>
      <x:c r="G20" s="100" t="str">
        <x:f>IF('Master'!H188="","",'Master'!H188)</x:f>
      </x:c>
      <x:c r="H20" s="100" t="str">
        <x:f>IF('Master'!I188="","",'Master'!I188)</x:f>
      </x:c>
      <x:c r="I20" s="100" t="str">
        <x:f>IF('Master'!J188="","",'Master'!J188)</x:f>
      </x:c>
      <x:c r="J20" s="100" t="str">
        <x:f>IF('Master'!K188="","",'Master'!K188)</x:f>
      </x:c>
      <x:c r="K20" s="100" t="str">
        <x:f>IF('Master'!L188="","",'Master'!L188)</x:f>
        <x:v>No temporary/launcher voice-room workflow documented</x:v>
      </x:c>
      <x:c r="L20" s="100" t="str">
        <x:f>IF('Master'!M188="","",'Master'!M188)</x:f>
      </x:c>
      <x:c r="M20" s="100" t="str">
        <x:f>IF('Master'!N188="","",'Master'!N188)</x:f>
      </x:c>
      <x:c r="N20" s="100" t="str">
        <x:f>IF('Master'!O188="","",'Master'!O188)</x:f>
      </x:c>
      <x:c r="O20" s="100" t="str">
        <x:f>IF('Master'!P188="","",'Master'!P188)</x:f>
      </x:c>
      <x:c r="P20" s="100" t="str">
        <x:f>IF('Master'!Q188="","",'Master'!Q188)</x:f>
      </x:c>
      <x:c r="Q20" s="100" t="str">
        <x:f>IF('Master'!R188="","",'Master'!R188)</x:f>
      </x:c>
      <x:c r="R20" s="100" t="str">
        <x:f>IF('Master'!S188="","",'Master'!S188)</x:f>
      </x:c>
      <x:c r="S20" s="100" t="str">
        <x:f>IF('Master'!T188="","",'Master'!T188)</x:f>
      </x:c>
      <x:c r="T20" s="100" t="str">
        <x:f>IF('Master'!U188="","",'Master'!U188)</x:f>
      </x:c>
      <x:c r="U20" s="100" t="str">
        <x:f>IF('Master'!V188="","",'Master'!V188)</x:f>
        <x:v>Yes — auto-spawn/delete rooms</x:v>
      </x:c>
      <x:c r="V20" s="100" t="str">
        <x:f>IF('Master'!W188="","",'Master'!W188)</x:f>
      </x:c>
      <x:c r="W20" s="100" t="str">
        <x:f>IF('Master'!X188="","",'Master'!X188)</x:f>
      </x:c>
      <x:c r="X20" s="100" t="str">
        <x:f>IF('Master'!Y188="","",'Master'!Y188)</x:f>
      </x:c>
      <x:c r="Y20" s="100" t="str">
        <x:f>IF('Master'!Z188="","",'Master'!Z188)</x:f>
      </x:c>
      <x:c r="Z20" s="100" t="str">
        <x:f>IF('Master'!AA188="","",'Master'!AA188)</x:f>
      </x:c>
      <x:c r="AA20" s="104" t="str">
        <x:f>IF('Master'!AB188="","",'Master'!AB188)</x:f>
      </x:c>
      <x:c r="AB20" s="100" t="str">
        <x:f>IF('Master'!AC188="","",'Master'!AC188)</x:f>
      </x:c>
      <x:c r="AC20" s="100" t="str">
        <x:f>IF('Master'!AD188="","",'Master'!AD188)</x:f>
      </x:c>
      <x:c r="AD20" s="100" t="str">
        <x:f>IF('Master'!AE188="","",'Master'!AE188)</x:f>
      </x:c>
      <x:c r="AE20" s="100" t="str">
        <x:f>IF('Master'!AF188="","",'Master'!AF188)</x:f>
      </x:c>
      <x:c r="AF20" s="75" t="str">
        <x:f>IF('Master'!AG188="","",'Master'!AG188)</x:f>
      </x:c>
    </x:row>
  </x:sheetData>
  <x:mergeCells>
    <x:mergeCell ref="A1:A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Directory'!A1","Voice &amp; Audio — Normalized Detail"),"Voice &amp; Audio — Normalized Detail")</x:f>
        <x:v>Voice &amp; Audio — Normalized Detail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3.100000381469727" customHeight="1">
      <x:c r="A3" s="135" t="str">
        <x:v>Voice Modes</x:v>
      </x:c>
      <x:c r="B3" s="102" t="str">
        <x:f>IF('Master'!C189="","",'Master'!C189)</x:f>
      </x:c>
      <x:c r="C3" s="102" t="str">
        <x:f>IF('Master'!D189="","",'Master'!D189)</x:f>
      </x:c>
      <x:c r="D3" s="102" t="str">
        <x:f>IF('Master'!E189="","",'Master'!E189)</x:f>
      </x:c>
      <x:c r="E3" s="102" t="str">
        <x:f>IF('Master'!F189="","",'Master'!F189)</x:f>
      </x:c>
      <x:c r="F3" s="102" t="str">
        <x:f>IF('Master'!G189="","",'Master'!G189)</x:f>
      </x:c>
      <x:c r="G3" s="102" t="str">
        <x:f>IF('Master'!H189="","",'Master'!H189)</x:f>
      </x:c>
      <x:c r="H3" s="102" t="str">
        <x:f>IF('Master'!I189="","",'Master'!I189)</x:f>
      </x:c>
      <x:c r="I3" s="102" t="str">
        <x:f>IF('Master'!J189="","",'Master'!J189)</x:f>
      </x:c>
      <x:c r="J3" s="102" t="str">
        <x:f>IF('Master'!K189="","",'Master'!K189)</x:f>
      </x:c>
      <x:c r="K3" s="102" t="str">
        <x:f>IF('Master'!L189="","",'Master'!L189)</x:f>
        <x:v>Persistent guild voice channels + ad-hoc 1:1/group-DM calls</x:v>
      </x:c>
      <x:c r="L3" s="102" t="str">
        <x:f>IF('Master'!M189="","",'Master'!M189)</x:f>
      </x:c>
      <x:c r="M3" s="102" t="str">
        <x:f>IF('Master'!N189="","",'Master'!N189)</x:f>
      </x:c>
      <x:c r="N3" s="102" t="str">
        <x:f>IF('Master'!O189="","",'Master'!O189)</x:f>
      </x:c>
      <x:c r="O3" s="102" t="str">
        <x:f>IF('Master'!P189="","",'Master'!P189)</x:f>
      </x:c>
      <x:c r="P3" s="102" t="str">
        <x:f>IF('Master'!Q189="","",'Master'!Q189)</x:f>
      </x:c>
      <x:c r="Q3" s="102" t="str">
        <x:f>IF('Master'!R189="","",'Master'!R189)</x:f>
      </x:c>
      <x:c r="R3" s="102" t="str">
        <x:f>IF('Master'!S189="","",'Master'!S189)</x:f>
      </x:c>
      <x:c r="S3" s="102" t="str">
        <x:f>IF('Master'!T189="","",'Master'!T189)</x:f>
      </x:c>
      <x:c r="T3" s="102" t="str">
        <x:f>IF('Master'!U189="","",'Master'!U189)</x:f>
      </x:c>
      <x:c r="U3" s="102" t="str">
        <x:f>IF('Master'!V189="","",'Master'!V189)</x:f>
      </x:c>
      <x:c r="V3" s="102" t="str">
        <x:f>IF('Master'!W189="","",'Master'!W189)</x:f>
      </x:c>
      <x:c r="W3" s="102" t="str">
        <x:f>IF('Master'!X189="","",'Master'!X189)</x:f>
      </x:c>
      <x:c r="X3" s="102" t="str">
        <x:f>IF('Master'!Y189="","",'Master'!Y189)</x:f>
      </x:c>
      <x:c r="Y3" s="102" t="str">
        <x:f>IF('Master'!Z189="","",'Master'!Z189)</x:f>
      </x:c>
      <x:c r="Z3" s="102" t="str">
        <x:f>IF('Master'!AA189="","",'Master'!AA189)</x:f>
      </x:c>
      <x:c r="AA3" s="103" t="str">
        <x:f>IF('Master'!AB189="","",'Master'!AB189)</x:f>
      </x:c>
      <x:c r="AB3" s="102" t="str">
        <x:f>IF('Master'!AC189="","",'Master'!AC189)</x:f>
      </x:c>
      <x:c r="AC3" s="102" t="str">
        <x:f>IF('Master'!AD189="","",'Master'!AD189)</x:f>
      </x:c>
      <x:c r="AD3" s="102" t="str">
        <x:f>IF('Master'!AE189="","",'Master'!AE189)</x:f>
      </x:c>
      <x:c r="AE3" s="102" t="str">
        <x:f>IF('Master'!AF189="","",'Master'!AF189)</x:f>
      </x:c>
      <x:c r="AF3" s="75" t="str">
        <x:f>IF('Master'!AG189="","",'Master'!AG189)</x:f>
      </x:c>
    </x:row>
    <x:row r="4" ht="36" customHeight="1">
      <x:c r="A4" s="135" t="str">
        <x:v>Persistent Voice Channels?</x:v>
      </x:c>
      <x:c r="B4" s="100" t="str">
        <x:f>IF('Master'!C190="","",'Master'!C190)</x:f>
        <x:v>Persistent server voice channels + ad-hoc DM/GDM calls</x:v>
      </x:c>
      <x:c r="C4" s="100" t="str">
        <x:f>IF('Master'!D190="","",'Master'!D190)</x:f>
        <x:v>Live voice rooms</x:v>
      </x:c>
      <x:c r="D4" s="100" t="str">
        <x:f>IF('Master'!E190="","",'Master'!E190)</x:f>
        <x:v>Persistent server voice + messenger</x:v>
      </x:c>
      <x:c r="E4" s="100" t="str">
        <x:f>IF('Master'!F190="","",'Master'!F190)</x:f>
        <x:v>Persistent voice channels</x:v>
      </x:c>
      <x:c r="F4" s="100" t="str">
        <x:f>IF('Master'!G190="","",'Master'!G190)</x:f>
        <x:v>Persistent community voice + calls</x:v>
      </x:c>
      <x:c r="G4" s="100" t="str">
        <x:f>IF('Master'!H190="","",'Master'!H190)</x:f>
        <x:v>Persistent community voice + DM calls</x:v>
      </x:c>
      <x:c r="H4" s="100" t="str">
        <x:f>IF('Master'!I190="","",'Master'!I190)</x:f>
        <x:v>Persistent voice rooms + calls</x:v>
      </x:c>
      <x:c r="I4" s="100" t="str">
        <x:f>IF('Master'!J190="","",'Master'!J190)</x:f>
        <x:v>Yes — LiveKit</x:v>
      </x:c>
      <x:c r="J4" s="100" t="str">
        <x:f>IF('Master'!K190="","",'Master'!K190)</x:f>
      </x:c>
      <x:c r="K4" s="100" t="str">
        <x:f>IF('Master'!L190="","",'Master'!L190)</x:f>
        <x:v>Yes</x:v>
      </x:c>
      <x:c r="L4" s="100" t="str">
        <x:f>IF('Master'!M190="","",'Master'!M190)</x:f>
        <x:v>Voice channels</x:v>
      </x:c>
      <x:c r="M4" s="100" t="str">
        <x:f>IF('Master'!N190="","",'Master'!N190)</x:f>
        <x:v>Persistent voice rooms</x:v>
      </x:c>
      <x:c r="N4" s="100" t="str">
        <x:f>IF('Master'!O190="","",'Master'!O190)</x:f>
        <x:v>Client-dependent; MatrixRTC/VoIP rooms and calls</x:v>
      </x:c>
      <x:c r="O4" s="100" t="str">
        <x:f>IF('Master'!P190="","",'Master'!P190)</x:f>
        <x:v>Native Calls in channels/DMs; persistent text channels with ad-hoc calls</x:v>
      </x:c>
      <x:c r="P4" s="100" t="str">
        <x:f>IF('Master'!Q190="","",'Master'!Q190)</x:f>
        <x:v>Voice/video calls</x:v>
      </x:c>
      <x:c r="Q4" s="100" t="str">
        <x:f>IF('Master'!R190="","",'Master'!R190)</x:f>
        <x:v>Persistent hierarchical voice channels</x:v>
      </x:c>
      <x:c r="R4" s="100" t="str">
        <x:f>IF('Master'!S190="","",'Master'!S190)</x:f>
      </x:c>
      <x:c r="S4" s="100" t="str">
        <x:f>IF('Master'!T190="","",'Master'!T190)</x:f>
        <x:v>Persistent voice/video channels</x:v>
      </x:c>
      <x:c r="T4" s="100" t="str">
        <x:f>IF('Master'!U190="","",'Master'!U190)</x:f>
        <x:v>Yes</x:v>
      </x:c>
      <x:c r="U4" s="100" t="str">
        <x:f>IF('Master'!V190="","",'Master'!V190)</x:f>
        <x:v>Yes — voice/communities</x:v>
      </x:c>
      <x:c r="V4" s="100" t="str">
        <x:f>IF('Master'!W190="","",'Master'!W190)</x:f>
        <x:v>Calls/video depend on deployment/provider/integration; not Discord-style universal persistent voice</x:v>
      </x:c>
      <x:c r="W4" s="100" t="str">
        <x:f>IF('Master'!X190="","",'Master'!X190)</x:f>
        <x:v>No mature native voice feature verified</x:v>
      </x:c>
      <x:c r="X4" s="100" t="str">
        <x:f>IF('Master'!Y190="","",'Master'!Y190)</x:f>
        <x:v>Persistent community voice + DM calls</x:v>
      </x:c>
      <x:c r="Y4" s="100" t="str">
        <x:f>IF('Master'!Z190="","",'Master'!Z190)</x:f>
        <x:v>Optional persistent guild + DM voice via WebRTC media package</x:v>
      </x:c>
      <x:c r="Z4" s="100" t="str">
        <x:f>IF('Master'!AA190="","",'Master'!AA190)</x:f>
        <x:v>Persistent server voice channels + calls</x:v>
      </x:c>
      <x:c r="AA4" s="104" t="str">
        <x:f>IF('Master'!AB190="","",'Master'!AB190)</x:f>
        <x:v>Persistent voice channels</x:v>
      </x:c>
      <x:c r="AB4" s="100" t="str">
        <x:f>IF('Master'!AC190="","",'Master'!AC190)</x:f>
        <x:v>Persistent voice channels</x:v>
      </x:c>
      <x:c r="AC4" s="100" t="str">
        <x:f>IF('Master'!AD190="","",'Master'!AD190)</x:f>
        <x:v>Voice supported; Linux mic I/O issues reported</x:v>
      </x:c>
      <x:c r="AD4" s="100" t="str">
        <x:f>IF('Master'!AE190="","",'Master'!AE190)</x:f>
        <x:v>Voice in every room</x:v>
      </x:c>
      <x:c r="AE4" s="100" t="str">
        <x:f>IF('Master'!AF190="","",'Master'!AF190)</x:f>
        <x:v>Persistent spatial voice channels</x:v>
      </x:c>
      <x:c r="AF4" s="75" t="str">
        <x:f>IF('Master'!AG190="","",'Master'!AG190)</x:f>
        <x:v>No native persistent voice rooms; integrates external call providers</x:v>
      </x:c>
    </x:row>
    <x:row r="5" ht="36" customHeight="1">
      <x:c r="A5" s="135" t="str">
        <x:v>DM Voice Calls?</x:v>
      </x:c>
      <x:c r="B5" s="100" t="str">
        <x:f>IF('Master'!C191="","",'Master'!C191)</x:f>
        <x:v>Yes</x:v>
      </x:c>
      <x:c r="C5" s="100" t="str">
        <x:f>IF('Master'!D191="","",'Master'!D191)</x:f>
      </x:c>
      <x:c r="D5" s="100" t="str">
        <x:f>IF('Master'!E191="","",'Master'!E191)</x:f>
      </x:c>
      <x:c r="E5" s="100" t="str">
        <x:f>IF('Master'!F191="","",'Master'!F191)</x:f>
        <x:v>Yes</x:v>
      </x:c>
      <x:c r="F5" s="100" t="str">
        <x:f>IF('Master'!G191="","",'Master'!G191)</x:f>
        <x:v>Yes</x:v>
      </x:c>
      <x:c r="G5" s="100" t="str">
        <x:f>IF('Master'!H191="","",'Master'!H191)</x:f>
        <x:v>Yes</x:v>
      </x:c>
      <x:c r="H5" s="100" t="str">
        <x:f>IF('Master'!I191="","",'Master'!I191)</x:f>
        <x:v>Yes</x:v>
      </x:c>
      <x:c r="I5" s="100" t="str">
        <x:f>IF('Master'!J191="","",'Master'!J191)</x:f>
      </x:c>
      <x:c r="J5" s="100" t="str">
        <x:f>IF('Master'!K191="","",'Master'!K191)</x:f>
      </x:c>
      <x:c r="K5" s="100" t="str">
        <x:f>IF('Master'!L191="","",'Master'!L191)</x:f>
        <x:v>Yes</x:v>
      </x:c>
      <x:c r="L5" s="100" t="str">
        <x:f>IF('Master'!M191="","",'Master'!M191)</x:f>
      </x:c>
      <x:c r="M5" s="100" t="str">
        <x:f>IF('Master'!N191="","",'Master'!N191)</x:f>
      </x:c>
      <x:c r="N5" s="100" t="str">
        <x:f>IF('Master'!O191="","",'Master'!O191)</x:f>
        <x:v>Client-dependent</x:v>
      </x:c>
      <x:c r="O5" s="100" t="str">
        <x:f>IF('Master'!P191="","",'Master'!P191)</x:f>
      </x:c>
      <x:c r="P5" s="100" t="str">
        <x:f>IF('Master'!Q191="","",'Master'!Q191)</x:f>
        <x:v>Yes</x:v>
      </x:c>
      <x:c r="Q5" s="100" t="str">
        <x:f>IF('Master'!R191="","",'Master'!R191)</x:f>
      </x:c>
      <x:c r="R5" s="100" t="str">
        <x:f>IF('Master'!S191="","",'Master'!S191)</x:f>
      </x:c>
      <x:c r="S5" s="100" t="str">
        <x:f>IF('Master'!T191="","",'Master'!T191)</x:f>
      </x:c>
      <x:c r="T5" s="100" t="str">
        <x:f>IF('Master'!U191="","",'Master'!U191)</x:f>
        <x:v>Yes</x:v>
      </x:c>
      <x:c r="U5" s="100" t="str">
        <x:f>IF('Master'!V191="","",'Master'!V191)</x:f>
        <x:v>Yes</x:v>
      </x:c>
      <x:c r="V5" s="100" t="str">
        <x:f>IF('Master'!W191="","",'Master'!W191)</x:f>
      </x:c>
      <x:c r="W5" s="100" t="str">
        <x:f>IF('Master'!X191="","",'Master'!X191)</x:f>
      </x:c>
      <x:c r="X5" s="100" t="str">
        <x:f>IF('Master'!Y191="","",'Master'!Y191)</x:f>
        <x:v>Yes</x:v>
      </x:c>
      <x:c r="Y5" s="100" t="str">
        <x:f>IF('Master'!Z191="","",'Master'!Z191)</x:f>
      </x:c>
      <x:c r="Z5" s="100" t="str">
        <x:f>IF('Master'!AA191="","",'Master'!AA191)</x:f>
      </x:c>
      <x:c r="AA5" s="104" t="str">
        <x:f>IF('Master'!AB191="","",'Master'!AB191)</x:f>
      </x:c>
      <x:c r="AB5" s="100" t="str">
        <x:f>IF('Master'!AC191="","",'Master'!AC191)</x:f>
      </x:c>
      <x:c r="AC5" s="100" t="str">
        <x:f>IF('Master'!AD191="","",'Master'!AD191)</x:f>
      </x:c>
      <x:c r="AD5" s="100" t="str">
        <x:f>IF('Master'!AE191="","",'Master'!AE191)</x:f>
        <x:v>Yes</x:v>
      </x:c>
      <x:c r="AE5" s="100" t="str">
        <x:f>IF('Master'!AF191="","",'Master'!AF191)</x:f>
      </x:c>
      <x:c r="AF5" s="75" t="str">
        <x:f>IF('Master'!AG191="","",'Master'!AG191)</x:f>
      </x:c>
    </x:row>
    <x:row r="6" ht="36" customHeight="1">
      <x:c r="A6" s="135" t="str">
        <x:v>Group DM Voice Calls?</x:v>
      </x:c>
      <x:c r="B6" s="100" t="str">
        <x:f>IF('Master'!C192="","",'Master'!C192)</x:f>
        <x:v>Yes</x:v>
      </x:c>
      <x:c r="C6" s="100" t="str">
        <x:f>IF('Master'!D192="","",'Master'!D192)</x:f>
      </x:c>
      <x:c r="D6" s="100" t="str">
        <x:f>IF('Master'!E192="","",'Master'!E192)</x:f>
      </x:c>
      <x:c r="E6" s="100" t="str">
        <x:f>IF('Master'!F192="","",'Master'!F192)</x:f>
        <x:v>Yes</x:v>
      </x:c>
      <x:c r="F6" s="100" t="str">
        <x:f>IF('Master'!G192="","",'Master'!G192)</x:f>
        <x:v>Yes</x:v>
      </x:c>
      <x:c r="G6" s="100" t="str">
        <x:f>IF('Master'!H192="","",'Master'!H192)</x:f>
        <x:v>Yes</x:v>
      </x:c>
      <x:c r="H6" s="100" t="str">
        <x:f>IF('Master'!I192="","",'Master'!I192)</x:f>
        <x:v>Yes</x:v>
      </x:c>
      <x:c r="I6" s="100" t="str">
        <x:f>IF('Master'!J192="","",'Master'!J192)</x:f>
      </x:c>
      <x:c r="J6" s="100" t="str">
        <x:f>IF('Master'!K192="","",'Master'!K192)</x:f>
      </x:c>
      <x:c r="K6" s="100" t="str">
        <x:f>IF('Master'!L192="","",'Master'!L192)</x:f>
        <x:v>Yes</x:v>
      </x:c>
      <x:c r="L6" s="100" t="str">
        <x:f>IF('Master'!M192="","",'Master'!M192)</x:f>
      </x:c>
      <x:c r="M6" s="100" t="str">
        <x:f>IF('Master'!N192="","",'Master'!N192)</x:f>
      </x:c>
      <x:c r="N6" s="100" t="str">
        <x:f>IF('Master'!O192="","",'Master'!O192)</x:f>
        <x:v>Client-dependent</x:v>
      </x:c>
      <x:c r="O6" s="100" t="str">
        <x:f>IF('Master'!P192="","",'Master'!P192)</x:f>
      </x:c>
      <x:c r="P6" s="100" t="str">
        <x:f>IF('Master'!Q192="","",'Master'!Q192)</x:f>
        <x:v>Yes</x:v>
      </x:c>
      <x:c r="Q6" s="100" t="str">
        <x:f>IF('Master'!R192="","",'Master'!R192)</x:f>
      </x:c>
      <x:c r="R6" s="100" t="str">
        <x:f>IF('Master'!S192="","",'Master'!S192)</x:f>
      </x:c>
      <x:c r="S6" s="100" t="str">
        <x:f>IF('Master'!T192="","",'Master'!T192)</x:f>
      </x:c>
      <x:c r="T6" s="100" t="str">
        <x:f>IF('Master'!U192="","",'Master'!U192)</x:f>
      </x:c>
      <x:c r="U6" s="100" t="str">
        <x:f>IF('Master'!V192="","",'Master'!V192)</x:f>
        <x:v>No</x:v>
      </x:c>
      <x:c r="V6" s="100" t="str">
        <x:f>IF('Master'!W192="","",'Master'!W192)</x:f>
      </x:c>
      <x:c r="W6" s="100" t="str">
        <x:f>IF('Master'!X192="","",'Master'!X192)</x:f>
      </x:c>
      <x:c r="X6" s="100" t="str">
        <x:f>IF('Master'!Y192="","",'Master'!Y192)</x:f>
        <x:v>Yes</x:v>
      </x:c>
      <x:c r="Y6" s="100" t="str">
        <x:f>IF('Master'!Z192="","",'Master'!Z192)</x:f>
      </x:c>
      <x:c r="Z6" s="100" t="str">
        <x:f>IF('Master'!AA192="","",'Master'!AA192)</x:f>
      </x:c>
      <x:c r="AA6" s="104" t="str">
        <x:f>IF('Master'!AB192="","",'Master'!AB192)</x:f>
      </x:c>
      <x:c r="AB6" s="100" t="str">
        <x:f>IF('Master'!AC192="","",'Master'!AC192)</x:f>
      </x:c>
      <x:c r="AC6" s="100" t="str">
        <x:f>IF('Master'!AD192="","",'Master'!AD192)</x:f>
      </x:c>
      <x:c r="AD6" s="100" t="str">
        <x:f>IF('Master'!AE192="","",'Master'!AE192)</x:f>
        <x:v>Yes</x:v>
      </x:c>
      <x:c r="AE6" s="100" t="str">
        <x:f>IF('Master'!AF192="","",'Master'!AF192)</x:f>
      </x:c>
      <x:c r="AF6" s="75" t="str">
        <x:f>IF('Master'!AG192="","",'Master'!AG192)</x:f>
      </x:c>
    </x:row>
    <x:row r="7" ht="36" customHeight="1">
      <x:c r="A7" s="135" t="str">
        <x:v>Stage / Broadcast Voice?</x:v>
      </x:c>
      <x:c r="B7" s="100" t="str">
        <x:f>IF('Master'!C193="","",'Master'!C193)</x:f>
        <x:v>Yes</x:v>
      </x:c>
      <x:c r="C7" s="100" t="str">
        <x:f>IF('Master'!D193="","",'Master'!D193)</x:f>
      </x:c>
      <x:c r="D7" s="100" t="str">
        <x:f>IF('Master'!E193="","",'Master'!E193)</x:f>
        <x:v>No Stage verified</x:v>
      </x:c>
      <x:c r="E7" s="100" t="str">
        <x:f>IF('Master'!F193="","",'Master'!F193)</x:f>
        <x:v>No Stage verified</x:v>
      </x:c>
      <x:c r="F7" s="100" t="str">
        <x:f>IF('Master'!G193="","",'Master'!G193)</x:f>
        <x:v>Nested voice / host-broadcasting planned</x:v>
      </x:c>
      <x:c r="G7" s="100" t="str">
        <x:f>IF('Master'!H193="","",'Master'!H193)</x:f>
      </x:c>
      <x:c r="H7" s="100" t="str">
        <x:f>IF('Master'!I193="","",'Master'!I193)</x:f>
        <x:v>No Discord-style Stage verified</x:v>
      </x:c>
      <x:c r="I7" s="100" t="str">
        <x:f>IF('Master'!J193="","",'Master'!J193)</x:f>
        <x:v>No</x:v>
      </x:c>
      <x:c r="J7" s="100" t="str">
        <x:f>IF('Master'!K193="","",'Master'!K193)</x:f>
        <x:v>No</x:v>
      </x:c>
      <x:c r="K7" s="100" t="str">
        <x:f>IF('Master'!L193="","",'Master'!L193)</x:f>
        <x:v>Yes — developer reports Stage channels</x:v>
      </x:c>
      <x:c r="L7" s="100" t="str">
        <x:f>IF('Master'!M193="","",'Master'!M193)</x:f>
        <x:v>No</x:v>
      </x:c>
      <x:c r="M7" s="100" t="str">
        <x:f>IF('Master'!N193="","",'Master'!N193)</x:f>
      </x:c>
      <x:c r="N7" s="100" t="str">
        <x:f>IF('Master'!O193="","",'Master'!O193)</x:f>
        <x:v>Client-dependent</x:v>
      </x:c>
      <x:c r="O7" s="100" t="str">
        <x:f>IF('Master'!P193="","",'Master'!P193)</x:f>
        <x:v>Raise-hand supported in Calls</x:v>
      </x:c>
      <x:c r="P7" s="100" t="str">
        <x:f>IF('Master'!Q193="","",'Master'!Q193)</x:f>
      </x:c>
      <x:c r="Q7" s="100" t="str">
        <x:f>IF('Master'!R193="","",'Master'!R193)</x:f>
        <x:v>No Discord Stage equivalent</x:v>
      </x:c>
      <x:c r="R7" s="100" t="str">
        <x:f>IF('Master'!S193="","",'Master'!S193)</x:f>
        <x:v>No</x:v>
      </x:c>
      <x:c r="S7" s="100" t="str">
        <x:f>IF('Master'!T193="","",'Master'!T193)</x:f>
        <x:v>No Stage verified</x:v>
      </x:c>
      <x:c r="T7" s="100" t="str">
        <x:f>IF('Master'!U193="","",'Master'!U193)</x:f>
        <x:v>No Stage</x:v>
      </x:c>
      <x:c r="U7" s="100" t="str">
        <x:f>IF('Master'!V193="","",'Master'!V193)</x:f>
        <x:v>No Stage</x:v>
      </x:c>
      <x:c r="V7" s="100" t="str">
        <x:f>IF('Master'!W193="","",'Master'!W193)</x:f>
      </x:c>
      <x:c r="W7" s="100" t="str">
        <x:f>IF('Master'!X193="","",'Master'!X193)</x:f>
        <x:v>N/A</x:v>
      </x:c>
      <x:c r="X7" s="100" t="str">
        <x:f>IF('Master'!Y193="","",'Master'!Y193)</x:f>
        <x:v>No dedicated Stage verified</x:v>
      </x:c>
      <x:c r="Y7" s="100" t="str">
        <x:f>IF('Master'!Z193="","",'Master'!Z193)</x:f>
      </x:c>
      <x:c r="Z7" s="100" t="str">
        <x:f>IF('Master'!AA193="","",'Master'!AA193)</x:f>
        <x:v>No Discord-style Stage verified</x:v>
      </x:c>
      <x:c r="AA7" s="104" t="str">
        <x:f>IF('Master'!AB193="","",'Master'!AB193)</x:f>
        <x:v>No Discord Stage equivalent verified</x:v>
      </x:c>
      <x:c r="AB7" s="100" t="str">
        <x:f>IF('Master'!AC193="","",'Master'!AC193)</x:f>
        <x:v>No Stage verified</x:v>
      </x:c>
      <x:c r="AC7" s="100" t="str">
        <x:f>IF('Master'!AD193="","",'Master'!AD193)</x:f>
        <x:v>No</x:v>
      </x:c>
      <x:c r="AD7" s="100" t="str">
        <x:f>IF('Master'!AE193="","",'Master'!AE193)</x:f>
        <x:v>Stage is a general room stage/media surface, not Discord Stage</x:v>
      </x:c>
      <x:c r="AE7" s="100" t="str">
        <x:f>IF('Master'!AF193="","",'Master'!AF193)</x:f>
        <x:v>No Stage</x:v>
      </x:c>
      <x:c r="AF7" s="75" t="str">
        <x:f>IF('Master'!AG193="","",'Master'!AG193)</x:f>
        <x:v>N/A</x:v>
      </x:c>
    </x:row>
    <x:row r="8" ht="36" customHeight="1">
      <x:c r="A8" s="135" t="str">
        <x:v>Speaker / Audience Roles?</x:v>
      </x:c>
      <x:c r="B8" s="100" t="str">
        <x:f>IF('Master'!C194="","",'Master'!C194)</x:f>
        <x:v>Yes</x:v>
      </x:c>
      <x:c r="C8" s="100" t="str">
        <x:f>IF('Master'!D194="","",'Master'!D194)</x:f>
      </x:c>
      <x:c r="D8" s="100" t="str">
        <x:f>IF('Master'!E194="","",'Master'!E194)</x:f>
      </x:c>
      <x:c r="E8" s="100" t="str">
        <x:f>IF('Master'!F194="","",'Master'!F194)</x:f>
      </x:c>
      <x:c r="F8" s="100" t="str">
        <x:f>IF('Master'!G194="","",'Master'!G194)</x:f>
      </x:c>
      <x:c r="G8" s="100" t="str">
        <x:f>IF('Master'!H194="","",'Master'!H194)</x:f>
      </x:c>
      <x:c r="H8" s="100" t="str">
        <x:f>IF('Master'!I194="","",'Master'!I194)</x:f>
      </x:c>
      <x:c r="I8" s="100" t="str">
        <x:f>IF('Master'!J194="","",'Master'!J194)</x:f>
      </x:c>
      <x:c r="J8" s="100" t="str">
        <x:f>IF('Master'!K194="","",'Master'!K194)</x:f>
      </x:c>
      <x:c r="K8" s="100" t="str">
        <x:f>IF('Master'!L194="","",'Master'!L194)</x:f>
        <x:v>Stage exists; raise-hand/speaker-request behavior not independently documented</x:v>
      </x:c>
      <x:c r="L8" s="100" t="str">
        <x:f>IF('Master'!M194="","",'Master'!M194)</x:f>
      </x:c>
      <x:c r="M8" s="100" t="str">
        <x:f>IF('Master'!N194="","",'Master'!N194)</x:f>
      </x:c>
      <x:c r="N8" s="100" t="str">
        <x:f>IF('Master'!O194="","",'Master'!O194)</x:f>
        <x:v>Client-dependent</x:v>
      </x:c>
      <x:c r="O8" s="100" t="str">
        <x:f>IF('Master'!P194="","",'Master'!P194)</x:f>
      </x:c>
      <x:c r="P8" s="100" t="str">
        <x:f>IF('Master'!Q194="","",'Master'!Q194)</x:f>
        <x:v>Yes</x:v>
      </x:c>
      <x:c r="Q8" s="100" t="str">
        <x:f>IF('Master'!R194="","",'Master'!R194)</x:f>
      </x:c>
      <x:c r="R8" s="100" t="str">
        <x:f>IF('Master'!S194="","",'Master'!S194)</x:f>
      </x:c>
      <x:c r="S8" s="100" t="str">
        <x:f>IF('Master'!T194="","",'Master'!T194)</x:f>
      </x:c>
      <x:c r="T8" s="100" t="str">
        <x:f>IF('Master'!U194="","",'Master'!U194)</x:f>
      </x:c>
      <x:c r="U8" s="100" t="str">
        <x:f>IF('Master'!V194="","",'Master'!V194)</x:f>
        <x:v>No</x:v>
      </x:c>
      <x:c r="V8" s="100" t="str">
        <x:f>IF('Master'!W194="","",'Master'!W194)</x:f>
      </x:c>
      <x:c r="W8" s="100" t="str">
        <x:f>IF('Master'!X194="","",'Master'!X194)</x:f>
      </x:c>
      <x:c r="X8" s="100" t="str">
        <x:f>IF('Master'!Y194="","",'Master'!Y194)</x:f>
      </x:c>
      <x:c r="Y8" s="100" t="str">
        <x:f>IF('Master'!Z194="","",'Master'!Z194)</x:f>
      </x:c>
      <x:c r="Z8" s="100" t="str">
        <x:f>IF('Master'!AA194="","",'Master'!AA194)</x:f>
      </x:c>
      <x:c r="AA8" s="104" t="str">
        <x:f>IF('Master'!AB194="","",'Master'!AB194)</x:f>
      </x:c>
      <x:c r="AB8" s="100" t="str">
        <x:f>IF('Master'!AC194="","",'Master'!AC194)</x:f>
      </x:c>
      <x:c r="AC8" s="100" t="str">
        <x:f>IF('Master'!AD194="","",'Master'!AD194)</x:f>
      </x:c>
      <x:c r="AD8" s="100" t="str">
        <x:f>IF('Master'!AE194="","",'Master'!AE194)</x:f>
      </x:c>
      <x:c r="AE8" s="100" t="str">
        <x:f>IF('Master'!AF194="","",'Master'!AF194)</x:f>
      </x:c>
      <x:c r="AF8" s="75" t="str">
        <x:f>IF('Master'!AG194="","",'Master'!AG194)</x:f>
      </x:c>
    </x:row>
    <x:row r="9" ht="36" customHeight="1">
      <x:c r="A9" s="135" t="str">
        <x:v>Raise Hand?</x:v>
      </x:c>
      <x:c r="B9" s="100" t="str">
        <x:f>IF('Master'!C195="","",'Master'!C195)</x:f>
        <x:v>Yes</x:v>
      </x:c>
      <x:c r="C9" s="100" t="str">
        <x:f>IF('Master'!D195="","",'Master'!D195)</x:f>
      </x:c>
      <x:c r="D9" s="100" t="str">
        <x:f>IF('Master'!E195="","",'Master'!E195)</x:f>
      </x:c>
      <x:c r="E9" s="100" t="str">
        <x:f>IF('Master'!F195="","",'Master'!F195)</x:f>
      </x:c>
      <x:c r="F9" s="100" t="str">
        <x:f>IF('Master'!G195="","",'Master'!G195)</x:f>
      </x:c>
      <x:c r="G9" s="100" t="str">
        <x:f>IF('Master'!H195="","",'Master'!H195)</x:f>
      </x:c>
      <x:c r="H9" s="100" t="str">
        <x:f>IF('Master'!I195="","",'Master'!I195)</x:f>
      </x:c>
      <x:c r="I9" s="100" t="str">
        <x:f>IF('Master'!J195="","",'Master'!J195)</x:f>
      </x:c>
      <x:c r="J9" s="100" t="str">
        <x:f>IF('Master'!K195="","",'Master'!K195)</x:f>
      </x:c>
      <x:c r="K9" s="100" t="str">
        <x:f>IF('Master'!L195="","",'Master'!L195)</x:f>
        <x:v>Stage exists; raise-hand/speaker-request behavior not independently documented</x:v>
      </x:c>
      <x:c r="L9" s="100" t="str">
        <x:f>IF('Master'!M195="","",'Master'!M195)</x:f>
      </x:c>
      <x:c r="M9" s="100" t="str">
        <x:f>IF('Master'!N195="","",'Master'!N195)</x:f>
      </x:c>
      <x:c r="N9" s="100" t="str">
        <x:f>IF('Master'!O195="","",'Master'!O195)</x:f>
        <x:v>Client-dependent</x:v>
      </x:c>
      <x:c r="O9" s="100" t="str">
        <x:f>IF('Master'!P195="","",'Master'!P195)</x:f>
        <x:v>Yes</x:v>
      </x:c>
      <x:c r="P9" s="100" t="str">
        <x:f>IF('Master'!Q195="","",'Master'!Q195)</x:f>
      </x:c>
      <x:c r="Q9" s="100" t="str">
        <x:f>IF('Master'!R195="","",'Master'!R195)</x:f>
        <x:v>No</x:v>
      </x:c>
      <x:c r="R9" s="100" t="str">
        <x:f>IF('Master'!S195="","",'Master'!S195)</x:f>
      </x:c>
      <x:c r="S9" s="100" t="str">
        <x:f>IF('Master'!T195="","",'Master'!T195)</x:f>
      </x:c>
      <x:c r="T9" s="100" t="str">
        <x:f>IF('Master'!U195="","",'Master'!U195)</x:f>
      </x:c>
      <x:c r="U9" s="100" t="str">
        <x:f>IF('Master'!V195="","",'Master'!V195)</x:f>
        <x:v>No</x:v>
      </x:c>
      <x:c r="V9" s="100" t="str">
        <x:f>IF('Master'!W195="","",'Master'!W195)</x:f>
      </x:c>
      <x:c r="W9" s="100" t="str">
        <x:f>IF('Master'!X195="","",'Master'!X195)</x:f>
        <x:v>N/A</x:v>
      </x:c>
      <x:c r="X9" s="100" t="str">
        <x:f>IF('Master'!Y195="","",'Master'!Y195)</x:f>
      </x:c>
      <x:c r="Y9" s="100" t="str">
        <x:f>IF('Master'!Z195="","",'Master'!Z195)</x:f>
      </x:c>
      <x:c r="Z9" s="100" t="str">
        <x:f>IF('Master'!AA195="","",'Master'!AA195)</x:f>
      </x:c>
      <x:c r="AA9" s="104" t="str">
        <x:f>IF('Master'!AB195="","",'Master'!AB195)</x:f>
      </x:c>
      <x:c r="AB9" s="100" t="str">
        <x:f>IF('Master'!AC195="","",'Master'!AC195)</x:f>
      </x:c>
      <x:c r="AC9" s="100" t="str">
        <x:f>IF('Master'!AD195="","",'Master'!AD195)</x:f>
      </x:c>
      <x:c r="AD9" s="100" t="str">
        <x:f>IF('Master'!AE195="","",'Master'!AE195)</x:f>
      </x:c>
      <x:c r="AE9" s="100" t="str">
        <x:f>IF('Master'!AF195="","",'Master'!AF195)</x:f>
        <x:v>No</x:v>
      </x:c>
      <x:c r="AF9" s="75" t="str">
        <x:f>IF('Master'!AG195="","",'Master'!AG195)</x:f>
        <x:v>N/A</x:v>
      </x:c>
    </x:row>
    <x:row r="10" ht="22" customHeight="1">
      <x:c r="A10" s="138" t="str">
        <x:v>Audio Quality</x:v>
      </x:c>
      <x:c r="B10" s="138" t="str">
        <x:f>IF(""="","","")</x:f>
      </x:c>
      <x:c r="C10" s="138" t="str">
        <x:f>IF(""="","","")</x:f>
      </x:c>
      <x:c r="D10" s="138" t="str">
        <x:f>IF(""="","","")</x:f>
      </x:c>
      <x:c r="E10" s="138" t="str">
        <x:f>IF(""="","","")</x:f>
      </x:c>
      <x:c r="F10" s="138" t="str">
        <x:f>IF(""="","","")</x:f>
      </x:c>
      <x:c r="G10" s="138" t="str">
        <x:f>IF(""="","","")</x:f>
      </x:c>
      <x:c r="H10" s="138" t="str">
        <x:f>IF(""="","","")</x:f>
      </x:c>
      <x:c r="I10" s="138" t="str">
        <x:f>IF(""="","","")</x:f>
      </x:c>
      <x:c r="J10" s="138" t="str">
        <x:f>IF(""="","","")</x:f>
      </x:c>
      <x:c r="K10" s="138" t="str">
        <x:f>IF(""="","","")</x:f>
      </x:c>
      <x:c r="L10" s="138" t="str">
        <x:f>IF(""="","","")</x:f>
      </x:c>
      <x:c r="M10" s="138" t="str">
        <x:f>IF(""="","","")</x:f>
      </x:c>
      <x:c r="N10" s="138" t="str">
        <x:f>IF(""="","","")</x:f>
      </x:c>
      <x:c r="O10" s="138" t="str">
        <x:f>IF(""="","","")</x:f>
      </x:c>
      <x:c r="P10" s="138" t="str">
        <x:f>IF(""="","","")</x:f>
      </x:c>
      <x:c r="Q10" s="138" t="str">
        <x:f>IF(""="","","")</x:f>
      </x:c>
      <x:c r="R10" s="138" t="str">
        <x:f>IF(""="","","")</x:f>
      </x:c>
      <x:c r="S10" s="138" t="str">
        <x:f>IF(""="","","")</x:f>
      </x:c>
      <x:c r="T10" s="138" t="str">
        <x:f>IF(""="","","")</x:f>
      </x:c>
      <x:c r="U10" s="138" t="str">
        <x:f>IF(""="","","")</x:f>
      </x:c>
      <x:c r="V10" s="138" t="str">
        <x:f>IF(""="","","")</x:f>
      </x:c>
      <x:c r="W10" s="138" t="str">
        <x:f>IF(""="","","")</x:f>
      </x:c>
      <x:c r="X10" s="138" t="str">
        <x:f>IF(""="","","")</x:f>
      </x:c>
      <x:c r="Y10" s="138" t="str">
        <x:f>IF(""="","","")</x:f>
      </x:c>
      <x:c r="Z10" s="138" t="str">
        <x:f>IF(""="","","")</x:f>
      </x:c>
      <x:c r="AA10" s="138" t="str">
        <x:f>IF(""="","","")</x:f>
      </x:c>
      <x:c r="AB10" s="138" t="str">
        <x:f>IF(""="","","")</x:f>
      </x:c>
      <x:c r="AC10" s="138" t="str">
        <x:f>IF(""="","","")</x:f>
      </x:c>
      <x:c r="AD10" s="138" t="str">
        <x:f>IF(""="","","")</x:f>
      </x:c>
      <x:c r="AE10" s="138" t="str">
        <x:f>IF(""="","","")</x:f>
      </x:c>
      <x:c r="AF10" s="139" t="str">
        <x:f>IF(""="","","")</x:f>
      </x:c>
    </x:row>
    <x:row r="11" ht="36" customHeight="1">
      <x:c r="A11" s="135" t="str">
        <x:v>Audio Codec</x:v>
      </x:c>
      <x:c r="B11" s="100" t="str">
        <x:f>IF('Master'!C196="","",'Master'!C196)</x:f>
        <x:v>Opus</x:v>
      </x:c>
      <x:c r="C11" s="100" t="str">
        <x:f>IF('Master'!D196="","",'Master'!D196)</x:f>
      </x:c>
      <x:c r="D11" s="100" t="str">
        <x:f>IF('Master'!E196="","",'Master'!E196)</x:f>
        <x:v>Opus</x:v>
      </x:c>
      <x:c r="E11" s="100" t="str">
        <x:f>IF('Master'!F196="","",'Master'!F196)</x:f>
        <x:v>Opus/WebRTC</x:v>
      </x:c>
      <x:c r="F11" s="100" t="str">
        <x:f>IF('Master'!G196="","",'Master'!G196)</x:f>
        <x:v>WebRTC/LiveKit</x:v>
      </x:c>
      <x:c r="G11" s="100" t="str">
        <x:f>IF('Master'!H196="","",'Master'!H196)</x:f>
        <x:v>WebRTC/LiveKit</x:v>
      </x:c>
      <x:c r="H11" s="100" t="str">
        <x:f>IF('Master'!I196="","",'Master'!I196)</x:f>
      </x:c>
      <x:c r="I11" s="100" t="str">
        <x:f>IF('Master'!J196="","",'Master'!J196)</x:f>
      </x:c>
      <x:c r="J11" s="100" t="str">
        <x:f>IF('Master'!K196="","",'Master'!K196)</x:f>
      </x:c>
      <x:c r="K11" s="100" t="str">
        <x:f>IF('Master'!L196="","",'Master'!L196)</x:f>
        <x:v>Opus</x:v>
      </x:c>
      <x:c r="L11" s="100" t="str">
        <x:f>IF('Master'!M196="","",'Master'!M196)</x:f>
      </x:c>
      <x:c r="M11" s="100" t="str">
        <x:f>IF('Master'!N196="","",'Master'!N196)</x:f>
        <x:v>Opus/WebRTC</x:v>
      </x:c>
      <x:c r="N11" s="100" t="str">
        <x:f>IF('Master'!O196="","",'Master'!O196)</x:f>
        <x:v>Opus commonly via WebRTC; protocol/client-dependent</x:v>
      </x:c>
      <x:c r="O11" s="100" t="str">
        <x:f>IF('Master'!P196="","",'Master'!P196)</x:f>
        <x:v>WebRTC/Opus</x:v>
      </x:c>
      <x:c r="P11" s="100" t="str">
        <x:f>IF('Master'!Q196="","",'Master'!Q196)</x:f>
        <x:v>Yes</x:v>
      </x:c>
      <x:c r="Q11" s="100" t="str">
        <x:f>IF('Master'!R196="","",'Master'!R196)</x:f>
        <x:v>Opus</x:v>
      </x:c>
      <x:c r="R11" s="100" t="str">
        <x:f>IF('Master'!S196="","",'Master'!S196)</x:f>
      </x:c>
      <x:c r="S11" s="100" t="str">
        <x:f>IF('Master'!T196="","",'Master'!T196)</x:f>
      </x:c>
      <x:c r="T11" s="100" t="str">
        <x:f>IF('Master'!U196="","",'Master'!U196)</x:f>
        <x:v>Not publicly claimed</x:v>
      </x:c>
      <x:c r="U11" s="100" t="str">
        <x:f>IF('Master'!V196="","",'Master'!V196)</x:f>
      </x:c>
      <x:c r="V11" s="100" t="str">
        <x:f>IF('Master'!W196="","",'Master'!W196)</x:f>
        <x:v>WebRTC/integration-dependent</x:v>
      </x:c>
      <x:c r="W11" s="100" t="str">
        <x:f>IF('Master'!X196="","",'Master'!X196)</x:f>
        <x:v>N/A</x:v>
      </x:c>
      <x:c r="X11" s="100" t="str">
        <x:f>IF('Master'!Y196="","",'Master'!Y196)</x:f>
      </x:c>
      <x:c r="Y11" s="100" t="str">
        <x:f>IF('Master'!Z196="","",'Master'!Z196)</x:f>
        <x:v>WebRTC; implementation-dependent codecs</x:v>
      </x:c>
      <x:c r="Z11" s="100" t="str">
        <x:f>IF('Master'!AA196="","",'Master'!AA196)</x:f>
        <x:v>Opus/WebRTC via LiveKit</x:v>
      </x:c>
      <x:c r="AA11" s="104" t="str">
        <x:f>IF('Master'!AB196="","",'Master'!AB196)</x:f>
        <x:v>Opus / proprietary stack depending generation</x:v>
      </x:c>
      <x:c r="AB11" s="100" t="str">
        <x:f>IF('Master'!AC196="","",'Master'!AC196)</x:f>
        <x:v>Opus/WebRTC</x:v>
      </x:c>
      <x:c r="AC11" s="100" t="str">
        <x:f>IF('Master'!AD196="","",'Master'!AD196)</x:f>
      </x:c>
      <x:c r="AD11" s="100" t="str">
        <x:f>IF('Master'!AE196="","",'Master'!AE196)</x:f>
        <x:v>Opus/WebRTC</x:v>
      </x:c>
      <x:c r="AE11" s="100" t="str">
        <x:f>IF('Master'!AF196="","",'Master'!AF196)</x:f>
      </x:c>
      <x:c r="AF11" s="75" t="str">
        <x:f>IF('Master'!AG196="","",'Master'!AG196)</x:f>
        <x:v>Provider-dependent</x:v>
      </x:c>
    </x:row>
    <x:row r="12" ht="36" customHeight="1">
      <x:c r="A12" s="135" t="str">
        <x:v>Free / Base Voice Bitrate (kbps)</x:v>
      </x:c>
      <x:c r="B12" s="100" t="str">
        <x:f>IF('Master'!C197="","",'Master'!C197)</x:f>
        <x:v>96</x:v>
      </x:c>
      <x:c r="C12" s="100" t="str">
        <x:f>IF('Master'!D197="","",'Master'!D197)</x:f>
      </x:c>
      <x:c r="D12" s="100" t="str">
        <x:f>IF('Master'!E197="","",'Master'!E197)</x:f>
      </x:c>
      <x:c r="E12" s="100" t="str">
        <x:f>IF('Master'!F197="","",'Master'!F197)</x:f>
      </x:c>
      <x:c r="F12" s="100" t="str">
        <x:f>IF('Master'!G197="","",'Master'!G197)</x:f>
      </x:c>
      <x:c r="G12" s="100" t="str">
        <x:f>IF('Master'!H197="","",'Master'!H197)</x:f>
      </x:c>
      <x:c r="H12" s="100" t="str">
        <x:f>IF('Master'!I197="","",'Master'!I197)</x:f>
        <x:v>64</x:v>
      </x:c>
      <x:c r="I12" s="100" t="str">
        <x:f>IF('Master'!J197="","",'Master'!J197)</x:f>
      </x:c>
      <x:c r="J12" s="100" t="str">
        <x:f>IF('Master'!K197="","",'Master'!K197)</x:f>
      </x:c>
      <x:c r="K12" s="100" t="str">
        <x:f>IF('Master'!L197="","",'Master'!L197)</x:f>
        <x:v>24 / 48 / 96 / 128 kbps selectable Opus ceilings</x:v>
      </x:c>
      <x:c r="L12" s="100" t="str">
        <x:f>IF('Master'!M197="","",'Master'!M197)</x:f>
      </x:c>
      <x:c r="M12" s="100" t="str">
        <x:f>IF('Master'!N197="","",'Master'!N197)</x:f>
      </x:c>
      <x:c r="N12" s="100" t="str">
        <x:f>IF('Master'!O197="","",'Master'!O197)</x:f>
      </x:c>
      <x:c r="O12" s="100" t="str">
        <x:f>IF('Master'!P197="","",'Master'!P197)</x:f>
      </x:c>
      <x:c r="P12" s="100" t="str">
        <x:f>IF('Master'!Q197="","",'Master'!Q197)</x:f>
      </x:c>
      <x:c r="Q12" s="100" t="str">
        <x:f>IF('Master'!R197="","",'Master'!R197)</x:f>
        <x:v>Server-configurable</x:v>
      </x:c>
      <x:c r="R12" s="100" t="str">
        <x:f>IF('Master'!S197="","",'Master'!S197)</x:f>
      </x:c>
      <x:c r="S12" s="100" t="str">
        <x:f>IF('Master'!T197="","",'Master'!T197)</x:f>
      </x:c>
      <x:c r="T12" s="100" t="str">
        <x:f>IF('Master'!U197="","",'Master'!U197)</x:f>
        <x:v>Not publicly claimed</x:v>
      </x:c>
      <x:c r="U12" s="100" t="str">
        <x:f>IF('Master'!V197="","",'Master'!V197)</x:f>
        <x:v>96</x:v>
      </x:c>
      <x:c r="V12" s="100" t="str">
        <x:f>IF('Master'!W197="","",'Master'!W197)</x:f>
      </x:c>
      <x:c r="W12" s="100" t="str">
        <x:f>IF('Master'!X197="","",'Master'!X197)</x:f>
      </x:c>
      <x:c r="X12" s="100" t="str">
        <x:f>IF('Master'!Y197="","",'Master'!Y197)</x:f>
      </x:c>
      <x:c r="Y12" s="100" t="str">
        <x:f>IF('Master'!Z197="","",'Master'!Z197)</x:f>
      </x:c>
      <x:c r="Z12" s="100" t="str">
        <x:f>IF('Master'!AA197="","",'Master'!AA197)</x:f>
      </x:c>
      <x:c r="AA12" s="104" t="str">
        <x:f>IF('Master'!AB197="","",'Master'!AB197)</x:f>
      </x:c>
      <x:c r="AB12" s="100" t="str">
        <x:f>IF('Master'!AC197="","",'Master'!AC197)</x:f>
      </x:c>
      <x:c r="AC12" s="100" t="str">
        <x:f>IF('Master'!AD197="","",'Master'!AD197)</x:f>
      </x:c>
      <x:c r="AD12" s="100" t="str">
        <x:f>IF('Master'!AE197="","",'Master'!AE197)</x:f>
      </x:c>
      <x:c r="AE12" s="100" t="str">
        <x:f>IF('Master'!AF197="","",'Master'!AF197)</x:f>
      </x:c>
      <x:c r="AF12" s="75" t="str">
        <x:f>IF('Master'!AG197="","",'Master'!AG197)</x:f>
      </x:c>
    </x:row>
    <x:row r="13" ht="36" customHeight="1">
      <x:c r="A13" s="135" t="str">
        <x:v>Paid / Boost Max Voice Bitrate (kbps)</x:v>
      </x:c>
      <x:c r="B13" s="100" t="str">
        <x:f>IF('Master'!C198="","",'Master'!C198)</x:f>
        <x:v>384</x:v>
      </x:c>
      <x:c r="C13" s="100" t="str">
        <x:f>IF('Master'!D198="","",'Master'!D198)</x:f>
      </x:c>
      <x:c r="D13" s="100" t="str">
        <x:f>IF('Master'!E198="","",'Master'!E198)</x:f>
      </x:c>
      <x:c r="E13" s="100" t="str">
        <x:f>IF('Master'!F198="","",'Master'!F198)</x:f>
        <x:v>Yes</x:v>
      </x:c>
      <x:c r="F13" s="100" t="str">
        <x:f>IF('Master'!G198="","",'Master'!G198)</x:f>
      </x:c>
      <x:c r="G13" s="100" t="str">
        <x:f>IF('Master'!H198="","",'Master'!H198)</x:f>
      </x:c>
      <x:c r="H13" s="100" t="str">
        <x:f>IF('Master'!I198="","",'Master'!I198)</x:f>
        <x:v>256</x:v>
      </x:c>
      <x:c r="I13" s="100" t="str">
        <x:f>IF('Master'!J198="","",'Master'!J198)</x:f>
      </x:c>
      <x:c r="J13" s="100" t="str">
        <x:f>IF('Master'!K198="","",'Master'!K198)</x:f>
      </x:c>
      <x:c r="K13" s="100" t="str">
        <x:f>IF('Master'!L198="","",'Master'!L198)</x:f>
        <x:v>128</x:v>
      </x:c>
      <x:c r="L13" s="100" t="str">
        <x:f>IF('Master'!M198="","",'Master'!M198)</x:f>
      </x:c>
      <x:c r="M13" s="100" t="str">
        <x:f>IF('Master'!N198="","",'Master'!N198)</x:f>
        <x:v>Yes</x:v>
      </x:c>
      <x:c r="N13" s="100" t="str">
        <x:f>IF('Master'!O198="","",'Master'!O198)</x:f>
        <x:v>Varies by client/media stack</x:v>
      </x:c>
      <x:c r="O13" s="100" t="str">
        <x:f>IF('Master'!P198="","",'Master'!P198)</x:f>
      </x:c>
      <x:c r="P13" s="100" t="str">
        <x:f>IF('Master'!Q198="","",'Master'!Q198)</x:f>
        <x:v>Yes</x:v>
      </x:c>
      <x:c r="Q13" s="100" t="str">
        <x:f>IF('Master'!R198="","",'Master'!R198)</x:f>
      </x:c>
      <x:c r="R13" s="100" t="str">
        <x:f>IF('Master'!S198="","",'Master'!S198)</x:f>
      </x:c>
      <x:c r="S13" s="100" t="str">
        <x:f>IF('Master'!T198="","",'Master'!T198)</x:f>
      </x:c>
      <x:c r="T13" s="100" t="str">
        <x:f>IF('Master'!U198="","",'Master'!U198)</x:f>
        <x:v>No paid tier; exact bitrate not publicly claimed</x:v>
      </x:c>
      <x:c r="U13" s="100" t="str">
        <x:f>IF('Master'!V198="","",'Master'!V198)</x:f>
        <x:v>192</x:v>
      </x:c>
      <x:c r="V13" s="100" t="str">
        <x:f>IF('Master'!W198="","",'Master'!W198)</x:f>
      </x:c>
      <x:c r="W13" s="100" t="str">
        <x:f>IF('Master'!X198="","",'Master'!X198)</x:f>
      </x:c>
      <x:c r="X13" s="100" t="str">
        <x:f>IF('Master'!Y198="","",'Master'!Y198)</x:f>
      </x:c>
      <x:c r="Y13" s="100" t="str">
        <x:f>IF('Master'!Z198="","",'Master'!Z198)</x:f>
      </x:c>
      <x:c r="Z13" s="100" t="str">
        <x:f>IF('Master'!AA198="","",'Master'!AA198)</x:f>
      </x:c>
      <x:c r="AA13" s="104" t="str">
        <x:f>IF('Master'!AB198="","",'Master'!AB198)</x:f>
      </x:c>
      <x:c r="AB13" s="100" t="str">
        <x:f>IF('Master'!AC198="","",'Master'!AC198)</x:f>
      </x:c>
      <x:c r="AC13" s="100" t="str">
        <x:f>IF('Master'!AD198="","",'Master'!AD198)</x:f>
      </x:c>
      <x:c r="AD13" s="100" t="str">
        <x:f>IF('Master'!AE198="","",'Master'!AE198)</x:f>
        <x:v>Yes</x:v>
      </x:c>
      <x:c r="AE13" s="100" t="str">
        <x:f>IF('Master'!AF198="","",'Master'!AF198)</x:f>
      </x:c>
      <x:c r="AF13" s="75" t="str">
        <x:f>IF('Master'!AG198="","",'Master'!AG198)</x:f>
        <x:v>N/A</x:v>
      </x:c>
    </x:row>
    <x:row r="14" ht="36" customHeight="1">
      <x:c r="A14" s="135" t="str">
        <x:v>Voice Bitrate User-Selectable?</x:v>
      </x:c>
      <x:c r="B14" s="100" t="str">
        <x:f>IF('Master'!C199="","",'Master'!C199)</x:f>
        <x:v>Yes / server-configurable</x:v>
      </x:c>
      <x:c r="C14" s="100" t="str">
        <x:f>IF('Master'!D199="","",'Master'!D199)</x:f>
      </x:c>
      <x:c r="D14" s="100" t="str">
        <x:f>IF('Master'!E199="","",'Master'!E199)</x:f>
      </x:c>
      <x:c r="E14" s="100" t="str">
        <x:f>IF('Master'!F199="","",'Master'!F199)</x:f>
      </x:c>
      <x:c r="F14" s="100" t="str">
        <x:f>IF('Master'!G199="","",'Master'!G199)</x:f>
      </x:c>
      <x:c r="G14" s="100" t="str">
        <x:f>IF('Master'!H199="","",'Master'!H199)</x:f>
      </x:c>
      <x:c r="H14" s="100" t="str">
        <x:f>IF('Master'!I199="","",'Master'!I199)</x:f>
        <x:v>Yes / server-configurable</x:v>
      </x:c>
      <x:c r="I14" s="100" t="str">
        <x:f>IF('Master'!J199="","",'Master'!J199)</x:f>
      </x:c>
      <x:c r="J14" s="100" t="str">
        <x:f>IF('Master'!K199="","",'Master'!K199)</x:f>
      </x:c>
      <x:c r="K14" s="100" t="str">
        <x:f>IF('Master'!L199="","",'Master'!L199)</x:f>
        <x:v>Yes — audio-quality preset is user-selectable</x:v>
      </x:c>
      <x:c r="L14" s="100" t="str">
        <x:f>IF('Master'!M199="","",'Master'!M199)</x:f>
      </x:c>
      <x:c r="M14" s="100" t="str">
        <x:f>IF('Master'!N199="","",'Master'!N199)</x:f>
      </x:c>
      <x:c r="N14" s="100" t="str">
        <x:f>IF('Master'!O199="","",'Master'!O199)</x:f>
      </x:c>
      <x:c r="O14" s="100" t="str">
        <x:f>IF('Master'!P199="","",'Master'!P199)</x:f>
      </x:c>
      <x:c r="P14" s="100" t="str">
        <x:f>IF('Master'!Q199="","",'Master'!Q199)</x:f>
      </x:c>
      <x:c r="Q14" s="100" t="str">
        <x:f>IF('Master'!R199="","",'Master'!R199)</x:f>
        <x:v>Yes / server-configurable</x:v>
      </x:c>
      <x:c r="R14" s="100" t="str">
        <x:f>IF('Master'!S199="","",'Master'!S199)</x:f>
      </x:c>
      <x:c r="S14" s="100" t="str">
        <x:f>IF('Master'!T199="","",'Master'!T199)</x:f>
      </x:c>
      <x:c r="T14" s="100" t="str">
        <x:f>IF('Master'!U199="","",'Master'!U199)</x:f>
      </x:c>
      <x:c r="U14" s="100" t="str">
        <x:f>IF('Master'!V199="","",'Master'!V199)</x:f>
        <x:v>Yes / server-configurable</x:v>
      </x:c>
      <x:c r="V14" s="100" t="str">
        <x:f>IF('Master'!W199="","",'Master'!W199)</x:f>
      </x:c>
      <x:c r="W14" s="100" t="str">
        <x:f>IF('Master'!X199="","",'Master'!X199)</x:f>
      </x:c>
      <x:c r="X14" s="100" t="str">
        <x:f>IF('Master'!Y199="","",'Master'!Y199)</x:f>
      </x:c>
      <x:c r="Y14" s="100" t="str">
        <x:f>IF('Master'!Z199="","",'Master'!Z199)</x:f>
      </x:c>
      <x:c r="Z14" s="100" t="str">
        <x:f>IF('Master'!AA199="","",'Master'!AA199)</x:f>
      </x:c>
      <x:c r="AA14" s="104" t="str">
        <x:f>IF('Master'!AB199="","",'Master'!AB199)</x:f>
      </x:c>
      <x:c r="AB14" s="100" t="str">
        <x:f>IF('Master'!AC199="","",'Master'!AC199)</x:f>
      </x:c>
      <x:c r="AC14" s="100" t="str">
        <x:f>IF('Master'!AD199="","",'Master'!AD199)</x:f>
      </x:c>
      <x:c r="AD14" s="100" t="str">
        <x:f>IF('Master'!AE199="","",'Master'!AE199)</x:f>
      </x:c>
      <x:c r="AE14" s="100" t="str">
        <x:f>IF('Master'!AF199="","",'Master'!AF199)</x:f>
      </x:c>
      <x:c r="AF14" s="75" t="str">
        <x:f>IF('Master'!AG199="","",'Master'!AG199)</x:f>
      </x:c>
    </x:row>
    <x:row r="15" ht="22" customHeight="1">
      <x:c r="A15" s="138" t="str">
        <x:v>Controls</x:v>
      </x:c>
      <x:c r="B15" s="138" t="str">
        <x:f>IF(""="","","")</x:f>
      </x:c>
      <x:c r="C15" s="138" t="str">
        <x:f>IF(""="","","")</x:f>
      </x:c>
      <x:c r="D15" s="138" t="str">
        <x:f>IF(""="","","")</x:f>
      </x:c>
      <x:c r="E15" s="138" t="str">
        <x:f>IF(""="","","")</x:f>
      </x:c>
      <x:c r="F15" s="138" t="str">
        <x:f>IF(""="","","")</x:f>
      </x:c>
      <x:c r="G15" s="138" t="str">
        <x:f>IF(""="","","")</x:f>
      </x:c>
      <x:c r="H15" s="138" t="str">
        <x:f>IF(""="","","")</x:f>
      </x:c>
      <x:c r="I15" s="138" t="str">
        <x:f>IF(""="","","")</x:f>
      </x:c>
      <x:c r="J15" s="138" t="str">
        <x:f>IF(""="","","")</x:f>
      </x:c>
      <x:c r="K15" s="138" t="str">
        <x:f>IF(""="","","")</x:f>
      </x:c>
      <x:c r="L15" s="138" t="str">
        <x:f>IF(""="","","")</x:f>
      </x:c>
      <x:c r="M15" s="138" t="str">
        <x:f>IF(""="","","")</x:f>
      </x:c>
      <x:c r="N15" s="138" t="str">
        <x:f>IF(""="","","")</x:f>
      </x:c>
      <x:c r="O15" s="138" t="str">
        <x:f>IF(""="","","")</x:f>
      </x:c>
      <x:c r="P15" s="138" t="str">
        <x:f>IF(""="","","")</x:f>
      </x:c>
      <x:c r="Q15" s="138" t="str">
        <x:f>IF(""="","","")</x:f>
      </x:c>
      <x:c r="R15" s="138" t="str">
        <x:f>IF(""="","","")</x:f>
      </x:c>
      <x:c r="S15" s="138" t="str">
        <x:f>IF(""="","","")</x:f>
      </x:c>
      <x:c r="T15" s="138" t="str">
        <x:f>IF(""="","","")</x:f>
      </x:c>
      <x:c r="U15" s="138" t="str">
        <x:f>IF(""="","","")</x:f>
      </x:c>
      <x:c r="V15" s="138" t="str">
        <x:f>IF(""="","","")</x:f>
      </x:c>
      <x:c r="W15" s="138" t="str">
        <x:f>IF(""="","","")</x:f>
      </x:c>
      <x:c r="X15" s="138" t="str">
        <x:f>IF(""="","","")</x:f>
      </x:c>
      <x:c r="Y15" s="138" t="str">
        <x:f>IF(""="","","")</x:f>
      </x:c>
      <x:c r="Z15" s="138" t="str">
        <x:f>IF(""="","","")</x:f>
      </x:c>
      <x:c r="AA15" s="138" t="str">
        <x:f>IF(""="","","")</x:f>
      </x:c>
      <x:c r="AB15" s="138" t="str">
        <x:f>IF(""="","","")</x:f>
      </x:c>
      <x:c r="AC15" s="138" t="str">
        <x:f>IF(""="","","")</x:f>
      </x:c>
      <x:c r="AD15" s="138" t="str">
        <x:f>IF(""="","","")</x:f>
      </x:c>
      <x:c r="AE15" s="138" t="str">
        <x:f>IF(""="","","")</x:f>
      </x:c>
      <x:c r="AF15" s="139" t="str">
        <x:f>IF(""="","","")</x:f>
      </x:c>
    </x:row>
    <x:row r="16" ht="36" customHeight="1">
      <x:c r="A16" s="135" t="str">
        <x:v>Push-to-Talk?</x:v>
      </x:c>
      <x:c r="B16" s="100" t="str">
        <x:f>IF('Master'!C200="","",'Master'!C200)</x:f>
        <x:v>Yes</x:v>
      </x:c>
      <x:c r="C16" s="100" t="str">
        <x:f>IF('Master'!D200="","",'Master'!D200)</x:f>
      </x:c>
      <x:c r="D16" s="100" t="str">
        <x:f>IF('Master'!E200="","",'Master'!E200)</x:f>
        <x:v>Opus</x:v>
      </x:c>
      <x:c r="E16" s="100" t="str">
        <x:f>IF('Master'!F200="","",'Master'!F200)</x:f>
      </x:c>
      <x:c r="F16" s="100" t="str">
        <x:f>IF('Master'!G200="","",'Master'!G200)</x:f>
        <x:v>Yes</x:v>
      </x:c>
      <x:c r="G16" s="100" t="str">
        <x:f>IF('Master'!H200="","",'Master'!H200)</x:f>
        <x:v>Yes</x:v>
      </x:c>
      <x:c r="H16" s="100" t="str">
        <x:f>IF('Master'!I200="","",'Master'!I200)</x:f>
        <x:v>Yes</x:v>
      </x:c>
      <x:c r="I16" s="100" t="str">
        <x:f>IF('Master'!J200="","",'Master'!J200)</x:f>
      </x:c>
      <x:c r="J16" s="100" t="str">
        <x:f>IF('Master'!K200="","",'Master'!K200)</x:f>
      </x:c>
      <x:c r="K16" s="100" t="str">
        <x:f>IF('Master'!L200="","",'Master'!L200)</x:f>
        <x:v>Yes</x:v>
      </x:c>
      <x:c r="L16" s="100" t="str">
        <x:f>IF('Master'!M200="","",'Master'!M200)</x:f>
      </x:c>
      <x:c r="M16" s="100" t="str">
        <x:f>IF('Master'!N200="","",'Master'!N200)</x:f>
      </x:c>
      <x:c r="N16" s="100" t="str">
        <x:f>IF('Master'!O200="","",'Master'!O200)</x:f>
        <x:v>Varies by client</x:v>
      </x:c>
      <x:c r="O16" s="100" t="str">
        <x:f>IF('Master'!P200="","",'Master'!P200)</x:f>
      </x:c>
      <x:c r="P16" s="100" t="str">
        <x:f>IF('Master'!Q200="","",'Master'!Q200)</x:f>
      </x:c>
      <x:c r="Q16" s="100" t="str">
        <x:f>IF('Master'!R200="","",'Master'!R200)</x:f>
        <x:v>Yes</x:v>
      </x:c>
      <x:c r="R16" s="100" t="str">
        <x:f>IF('Master'!S200="","",'Master'!S200)</x:f>
      </x:c>
      <x:c r="S16" s="100" t="str">
        <x:f>IF('Master'!T200="","",'Master'!T200)</x:f>
      </x:c>
      <x:c r="T16" s="100" t="str">
        <x:f>IF('Master'!U200="","",'Master'!U200)</x:f>
      </x:c>
      <x:c r="U16" s="100" t="str">
        <x:f>IF('Master'!V200="","",'Master'!V200)</x:f>
        <x:v>Yes</x:v>
      </x:c>
      <x:c r="V16" s="100" t="str">
        <x:f>IF('Master'!W200="","",'Master'!W200)</x:f>
      </x:c>
      <x:c r="W16" s="100" t="str">
        <x:f>IF('Master'!X200="","",'Master'!X200)</x:f>
        <x:v>N/A</x:v>
      </x:c>
      <x:c r="X16" s="100" t="str">
        <x:f>IF('Master'!Y200="","",'Master'!Y200)</x:f>
        <x:v>Yes</x:v>
      </x:c>
      <x:c r="Y16" s="100" t="str">
        <x:f>IF('Master'!Z200="","",'Master'!Z200)</x:f>
        <x:v>Client-dependent</x:v>
      </x:c>
      <x:c r="Z16" s="100" t="str">
        <x:f>IF('Master'!AA200="","",'Master'!AA200)</x:f>
        <x:v>Yes</x:v>
      </x:c>
      <x:c r="AA16" s="104" t="str">
        <x:f>IF('Master'!AB200="","",'Master'!AB200)</x:f>
        <x:v>Yes</x:v>
      </x:c>
      <x:c r="AB16" s="100" t="str">
        <x:f>IF('Master'!AC200="","",'Master'!AC200)</x:f>
      </x:c>
      <x:c r="AC16" s="100" t="str">
        <x:f>IF('Master'!AD200="","",'Master'!AD200)</x:f>
      </x:c>
      <x:c r="AD16" s="100" t="str">
        <x:f>IF('Master'!AE200="","",'Master'!AE200)</x:f>
      </x:c>
      <x:c r="AE16" s="100" t="str">
        <x:f>IF('Master'!AF200="","",'Master'!AF200)</x:f>
      </x:c>
      <x:c r="AF16" s="75" t="str">
        <x:f>IF('Master'!AG200="","",'Master'!AG200)</x:f>
        <x:v>N/A</x:v>
      </x:c>
    </x:row>
    <x:row r="17" ht="36" customHeight="1">
      <x:c r="A17" s="135" t="str">
        <x:v>Voice Activity?</x:v>
      </x:c>
      <x:c r="B17" s="100" t="str">
        <x:f>IF('Master'!C201="","",'Master'!C201)</x:f>
        <x:v>Yes</x:v>
      </x:c>
      <x:c r="C17" s="100" t="str">
        <x:f>IF('Master'!D201="","",'Master'!D201)</x:f>
      </x:c>
      <x:c r="D17" s="100" t="str">
        <x:f>IF('Master'!E201="","",'Master'!E201)</x:f>
      </x:c>
      <x:c r="E17" s="100" t="str">
        <x:f>IF('Master'!F201="","",'Master'!F201)</x:f>
      </x:c>
      <x:c r="F17" s="100" t="str">
        <x:f>IF('Master'!G201="","",'Master'!G201)</x:f>
      </x:c>
      <x:c r="G17" s="100" t="str">
        <x:f>IF('Master'!H201="","",'Master'!H201)</x:f>
      </x:c>
      <x:c r="H17" s="100" t="str">
        <x:f>IF('Master'!I201="","",'Master'!I201)</x:f>
        <x:v>Yes</x:v>
      </x:c>
      <x:c r="I17" s="100" t="str">
        <x:f>IF('Master'!J201="","",'Master'!J201)</x:f>
      </x:c>
      <x:c r="J17" s="100" t="str">
        <x:f>IF('Master'!K201="","",'Master'!K201)</x:f>
      </x:c>
      <x:c r="K17" s="100" t="str">
        <x:f>IF('Master'!L201="","",'Master'!L201)</x:f>
        <x:v>Yes</x:v>
      </x:c>
      <x:c r="L17" s="100" t="str">
        <x:f>IF('Master'!M201="","",'Master'!M201)</x:f>
      </x:c>
      <x:c r="M17" s="100" t="str">
        <x:f>IF('Master'!N201="","",'Master'!N201)</x:f>
      </x:c>
      <x:c r="N17" s="100" t="str">
        <x:f>IF('Master'!O201="","",'Master'!O201)</x:f>
      </x:c>
      <x:c r="O17" s="100" t="str">
        <x:f>IF('Master'!P201="","",'Master'!P201)</x:f>
      </x:c>
      <x:c r="P17" s="100" t="str">
        <x:f>IF('Master'!Q201="","",'Master'!Q201)</x:f>
      </x:c>
      <x:c r="Q17" s="100" t="str">
        <x:f>IF('Master'!R201="","",'Master'!R201)</x:f>
        <x:v>Yes</x:v>
      </x:c>
      <x:c r="R17" s="100" t="str">
        <x:f>IF('Master'!S201="","",'Master'!S201)</x:f>
      </x:c>
      <x:c r="S17" s="100" t="str">
        <x:f>IF('Master'!T201="","",'Master'!T201)</x:f>
      </x:c>
      <x:c r="T17" s="100" t="str">
        <x:f>IF('Master'!U201="","",'Master'!U201)</x:f>
      </x:c>
      <x:c r="U17" s="100" t="str">
        <x:f>IF('Master'!V201="","",'Master'!V201)</x:f>
        <x:v>Yes</x:v>
      </x:c>
      <x:c r="V17" s="100" t="str">
        <x:f>IF('Master'!W201="","",'Master'!W201)</x:f>
      </x:c>
      <x:c r="W17" s="100" t="str">
        <x:f>IF('Master'!X201="","",'Master'!X201)</x:f>
      </x:c>
      <x:c r="X17" s="100" t="str">
        <x:f>IF('Master'!Y201="","",'Master'!Y201)</x:f>
      </x:c>
      <x:c r="Y17" s="100" t="str">
        <x:f>IF('Master'!Z201="","",'Master'!Z201)</x:f>
      </x:c>
      <x:c r="Z17" s="100" t="str">
        <x:f>IF('Master'!AA201="","",'Master'!AA201)</x:f>
      </x:c>
      <x:c r="AA17" s="104" t="str">
        <x:f>IF('Master'!AB201="","",'Master'!AB201)</x:f>
        <x:v>Yes</x:v>
      </x:c>
      <x:c r="AB17" s="100" t="str">
        <x:f>IF('Master'!AC201="","",'Master'!AC201)</x:f>
      </x:c>
      <x:c r="AC17" s="100" t="str">
        <x:f>IF('Master'!AD201="","",'Master'!AD201)</x:f>
      </x:c>
      <x:c r="AD17" s="100" t="str">
        <x:f>IF('Master'!AE201="","",'Master'!AE201)</x:f>
        <x:v>Yes</x:v>
      </x:c>
      <x:c r="AE17" s="100" t="str">
        <x:f>IF('Master'!AF201="","",'Master'!AF201)</x:f>
      </x:c>
      <x:c r="AF17" s="75" t="str">
        <x:f>IF('Master'!AG201="","",'Master'!AG201)</x:f>
      </x:c>
    </x:row>
    <x:row r="18" ht="36" customHeight="1">
      <x:c r="A18" s="135" t="str">
        <x:v>Per-User Volume?</x:v>
      </x:c>
      <x:c r="B18" s="100" t="str">
        <x:f>IF('Master'!C202="","",'Master'!C202)</x:f>
        <x:v>Yes</x:v>
      </x:c>
      <x:c r="C18" s="100" t="str">
        <x:f>IF('Master'!D202="","",'Master'!D202)</x:f>
      </x:c>
      <x:c r="D18" s="100" t="str">
        <x:f>IF('Master'!E202="","",'Master'!E202)</x:f>
      </x:c>
      <x:c r="E18" s="100" t="str">
        <x:f>IF('Master'!F202="","",'Master'!F202)</x:f>
        <x:v>Yes</x:v>
      </x:c>
      <x:c r="F18" s="100" t="str">
        <x:f>IF('Master'!G202="","",'Master'!G202)</x:f>
        <x:v>Yes</x:v>
      </x:c>
      <x:c r="G18" s="100" t="str">
        <x:f>IF('Master'!H202="","",'Master'!H202)</x:f>
        <x:v>Yes</x:v>
      </x:c>
      <x:c r="H18" s="100" t="str">
        <x:f>IF('Master'!I202="","",'Master'!I202)</x:f>
        <x:v>Yes</x:v>
      </x:c>
      <x:c r="I18" s="100" t="str">
        <x:f>IF('Master'!J202="","",'Master'!J202)</x:f>
      </x:c>
      <x:c r="J18" s="100" t="str">
        <x:f>IF('Master'!K202="","",'Master'!K202)</x:f>
      </x:c>
      <x:c r="K18" s="100" t="str">
        <x:f>IF('Master'!L202="","",'Master'!L202)</x:f>
        <x:v>Yes — developer-reported/LiveKit client controls</x:v>
      </x:c>
      <x:c r="L18" s="100" t="str">
        <x:f>IF('Master'!M202="","",'Master'!M202)</x:f>
      </x:c>
      <x:c r="M18" s="100" t="str">
        <x:f>IF('Master'!N202="","",'Master'!N202)</x:f>
        <x:v>Yes</x:v>
      </x:c>
      <x:c r="N18" s="100" t="str">
        <x:f>IF('Master'!O202="","",'Master'!O202)</x:f>
        <x:v>Varies by client</x:v>
      </x:c>
      <x:c r="O18" s="100" t="str">
        <x:f>IF('Master'!P202="","",'Master'!P202)</x:f>
        <x:v>Yes</x:v>
      </x:c>
      <x:c r="P18" s="100" t="str">
        <x:f>IF('Master'!Q202="","",'Master'!Q202)</x:f>
      </x:c>
      <x:c r="Q18" s="100" t="str">
        <x:f>IF('Master'!R202="","",'Master'!R202)</x:f>
        <x:v>Yes</x:v>
      </x:c>
      <x:c r="R18" s="100" t="str">
        <x:f>IF('Master'!S202="","",'Master'!S202)</x:f>
      </x:c>
      <x:c r="S18" s="100" t="str">
        <x:f>IF('Master'!T202="","",'Master'!T202)</x:f>
      </x:c>
      <x:c r="T18" s="100" t="str">
        <x:f>IF('Master'!U202="","",'Master'!U202)</x:f>
        <x:v>Yes</x:v>
      </x:c>
      <x:c r="U18" s="100" t="str">
        <x:f>IF('Master'!V202="","",'Master'!V202)</x:f>
        <x:v>Yes</x:v>
      </x:c>
      <x:c r="V18" s="100" t="str">
        <x:f>IF('Master'!W202="","",'Master'!W202)</x:f>
      </x:c>
      <x:c r="W18" s="100" t="str">
        <x:f>IF('Master'!X202="","",'Master'!X202)</x:f>
        <x:v>N/A</x:v>
      </x:c>
      <x:c r="X18" s="100" t="str">
        <x:f>IF('Master'!Y202="","",'Master'!Y202)</x:f>
        <x:v>Yes</x:v>
      </x:c>
      <x:c r="Y18" s="100" t="str">
        <x:f>IF('Master'!Z202="","",'Master'!Z202)</x:f>
        <x:v>Client-dependent</x:v>
      </x:c>
      <x:c r="Z18" s="100" t="str">
        <x:f>IF('Master'!AA202="","",'Master'!AA202)</x:f>
        <x:v>Yes</x:v>
      </x:c>
      <x:c r="AA18" s="104" t="str">
        <x:f>IF('Master'!AB202="","",'Master'!AB202)</x:f>
        <x:v>Yes</x:v>
      </x:c>
      <x:c r="AB18" s="100" t="str">
        <x:f>IF('Master'!AC202="","",'Master'!AC202)</x:f>
      </x:c>
      <x:c r="AC18" s="100" t="str">
        <x:f>IF('Master'!AD202="","",'Master'!AD202)</x:f>
      </x:c>
      <x:c r="AD18" s="100" t="str">
        <x:f>IF('Master'!AE202="","",'Master'!AE202)</x:f>
        <x:v>Yes</x:v>
      </x:c>
      <x:c r="AE18" s="100" t="str">
        <x:f>IF('Master'!AF202="","",'Master'!AF202)</x:f>
      </x:c>
      <x:c r="AF18" s="75" t="str">
        <x:f>IF('Master'!AG202="","",'Master'!AG202)</x:f>
        <x:v>N/A</x:v>
      </x:c>
    </x:row>
    <x:row r="19" ht="23.100000381469727" customHeight="1">
      <x:c r="A19" s="135" t="str">
        <x:v>Input Gain Control?</x:v>
      </x:c>
      <x:c r="B19" s="102" t="str">
        <x:f>IF('Master'!C203="","",'Master'!C203)</x:f>
      </x:c>
      <x:c r="C19" s="102" t="str">
        <x:f>IF('Master'!D203="","",'Master'!D203)</x:f>
      </x:c>
      <x:c r="D19" s="102" t="str">
        <x:f>IF('Master'!E203="","",'Master'!E203)</x:f>
      </x:c>
      <x:c r="E19" s="102" t="str">
        <x:f>IF('Master'!F203="","",'Master'!F203)</x:f>
      </x:c>
      <x:c r="F19" s="102" t="str">
        <x:f>IF('Master'!G203="","",'Master'!G203)</x:f>
      </x:c>
      <x:c r="G19" s="102" t="str">
        <x:f>IF('Master'!H203="","",'Master'!H203)</x:f>
      </x:c>
      <x:c r="H19" s="102" t="str">
        <x:f>IF('Master'!I203="","",'Master'!I203)</x:f>
      </x:c>
      <x:c r="I19" s="102" t="str">
        <x:f>IF('Master'!J203="","",'Master'!J203)</x:f>
      </x:c>
      <x:c r="J19" s="102" t="str">
        <x:f>IF('Master'!K203="","",'Master'!K203)</x:f>
      </x:c>
      <x:c r="K19" s="102" t="str">
        <x:f>IF('Master'!L203="","",'Master'!L203)</x:f>
        <x:v>Not independently documented</x:v>
      </x:c>
      <x:c r="L19" s="102" t="str">
        <x:f>IF('Master'!M203="","",'Master'!M203)</x:f>
      </x:c>
      <x:c r="M19" s="102" t="str">
        <x:f>IF('Master'!N203="","",'Master'!N203)</x:f>
      </x:c>
      <x:c r="N19" s="102" t="str">
        <x:f>IF('Master'!O203="","",'Master'!O203)</x:f>
      </x:c>
      <x:c r="O19" s="102" t="str">
        <x:f>IF('Master'!P203="","",'Master'!P203)</x:f>
      </x:c>
      <x:c r="P19" s="102" t="str">
        <x:f>IF('Master'!Q203="","",'Master'!Q203)</x:f>
      </x:c>
      <x:c r="Q19" s="102" t="str">
        <x:f>IF('Master'!R203="","",'Master'!R203)</x:f>
      </x:c>
      <x:c r="R19" s="102" t="str">
        <x:f>IF('Master'!S203="","",'Master'!S203)</x:f>
      </x:c>
      <x:c r="S19" s="102" t="str">
        <x:f>IF('Master'!T203="","",'Master'!T203)</x:f>
      </x:c>
      <x:c r="T19" s="102" t="str">
        <x:f>IF('Master'!U203="","",'Master'!U203)</x:f>
      </x:c>
      <x:c r="U19" s="102" t="str">
        <x:f>IF('Master'!V203="","",'Master'!V203)</x:f>
      </x:c>
      <x:c r="V19" s="102" t="str">
        <x:f>IF('Master'!W203="","",'Master'!W203)</x:f>
      </x:c>
      <x:c r="W19" s="102" t="str">
        <x:f>IF('Master'!X203="","",'Master'!X203)</x:f>
      </x:c>
      <x:c r="X19" s="102" t="str">
        <x:f>IF('Master'!Y203="","",'Master'!Y203)</x:f>
      </x:c>
      <x:c r="Y19" s="102" t="str">
        <x:f>IF('Master'!Z203="","",'Master'!Z203)</x:f>
      </x:c>
      <x:c r="Z19" s="102" t="str">
        <x:f>IF('Master'!AA203="","",'Master'!AA203)</x:f>
      </x:c>
      <x:c r="AA19" s="103" t="str">
        <x:f>IF('Master'!AB203="","",'Master'!AB203)</x:f>
      </x:c>
      <x:c r="AB19" s="102" t="str">
        <x:f>IF('Master'!AC203="","",'Master'!AC203)</x:f>
      </x:c>
      <x:c r="AC19" s="102" t="str">
        <x:f>IF('Master'!AD203="","",'Master'!AD203)</x:f>
      </x:c>
      <x:c r="AD19" s="102" t="str">
        <x:f>IF('Master'!AE203="","",'Master'!AE203)</x:f>
      </x:c>
      <x:c r="AE19" s="102" t="str">
        <x:f>IF('Master'!AF203="","",'Master'!AF203)</x:f>
      </x:c>
      <x:c r="AF19" s="75" t="str">
        <x:f>IF('Master'!AG203="","",'Master'!AG203)</x:f>
      </x:c>
    </x:row>
    <x:row r="20" ht="22" customHeight="1">
      <x:c r="A20" s="138" t="str">
        <x:v>Processing</x:v>
      </x:c>
      <x:c r="B20" s="138" t="str">
        <x:f>IF(""="","","")</x:f>
      </x:c>
      <x:c r="C20" s="138" t="str">
        <x:f>IF(""="","","")</x:f>
      </x:c>
      <x:c r="D20" s="138" t="str">
        <x:f>IF(""="","","")</x:f>
      </x:c>
      <x:c r="E20" s="138" t="str">
        <x:f>IF(""="","","")</x:f>
      </x:c>
      <x:c r="F20" s="138" t="str">
        <x:f>IF(""="","","")</x:f>
      </x:c>
      <x:c r="G20" s="138" t="str">
        <x:f>IF(""="","","")</x:f>
      </x:c>
      <x:c r="H20" s="138" t="str">
        <x:f>IF(""="","","")</x:f>
      </x:c>
      <x:c r="I20" s="138" t="str">
        <x:f>IF(""="","","")</x:f>
      </x:c>
      <x:c r="J20" s="138" t="str">
        <x:f>IF(""="","","")</x:f>
      </x:c>
      <x:c r="K20" s="138" t="str">
        <x:f>IF(""="","","")</x:f>
      </x:c>
      <x:c r="L20" s="138" t="str">
        <x:f>IF(""="","","")</x:f>
      </x:c>
      <x:c r="M20" s="138" t="str">
        <x:f>IF(""="","","")</x:f>
      </x:c>
      <x:c r="N20" s="138" t="str">
        <x:f>IF(""="","","")</x:f>
      </x:c>
      <x:c r="O20" s="138" t="str">
        <x:f>IF(""="","","")</x:f>
      </x:c>
      <x:c r="P20" s="138" t="str">
        <x:f>IF(""="","","")</x:f>
      </x:c>
      <x:c r="Q20" s="138" t="str">
        <x:f>IF(""="","","")</x:f>
      </x:c>
      <x:c r="R20" s="138" t="str">
        <x:f>IF(""="","","")</x:f>
      </x:c>
      <x:c r="S20" s="138" t="str">
        <x:f>IF(""="","","")</x:f>
      </x:c>
      <x:c r="T20" s="138" t="str">
        <x:f>IF(""="","","")</x:f>
      </x:c>
      <x:c r="U20" s="138" t="str">
        <x:f>IF(""="","","")</x:f>
      </x:c>
      <x:c r="V20" s="138" t="str">
        <x:f>IF(""="","","")</x:f>
      </x:c>
      <x:c r="W20" s="138" t="str">
        <x:f>IF(""="","","")</x:f>
      </x:c>
      <x:c r="X20" s="138" t="str">
        <x:f>IF(""="","","")</x:f>
      </x:c>
      <x:c r="Y20" s="138" t="str">
        <x:f>IF(""="","","")</x:f>
      </x:c>
      <x:c r="Z20" s="138" t="str">
        <x:f>IF(""="","","")</x:f>
      </x:c>
      <x:c r="AA20" s="138" t="str">
        <x:f>IF(""="","","")</x:f>
      </x:c>
      <x:c r="AB20" s="138" t="str">
        <x:f>IF(""="","","")</x:f>
      </x:c>
      <x:c r="AC20" s="138" t="str">
        <x:f>IF(""="","","")</x:f>
      </x:c>
      <x:c r="AD20" s="138" t="str">
        <x:f>IF(""="","","")</x:f>
      </x:c>
      <x:c r="AE20" s="138" t="str">
        <x:f>IF(""="","","")</x:f>
      </x:c>
      <x:c r="AF20" s="139" t="str">
        <x:f>IF(""="","","")</x:f>
      </x:c>
    </x:row>
    <x:row r="21" ht="36" customHeight="1">
      <x:c r="A21" s="135" t="str">
        <x:v>Noise Suppression?</x:v>
      </x:c>
      <x:c r="B21" s="100" t="str">
        <x:f>IF('Master'!C204="","",'Master'!C204)</x:f>
        <x:v>Yes</x:v>
      </x:c>
      <x:c r="C21" s="100" t="str">
        <x:f>IF('Master'!D204="","",'Master'!D204)</x:f>
      </x:c>
      <x:c r="D21" s="100" t="str">
        <x:f>IF('Master'!E204="","",'Master'!E204)</x:f>
        <x:v>Yes</x:v>
      </x:c>
      <x:c r="E21" s="100" t="str">
        <x:f>IF('Master'!F204="","",'Master'!F204)</x:f>
        <x:v>Yes</x:v>
      </x:c>
      <x:c r="F21" s="100" t="str">
        <x:f>IF('Master'!G204="","",'Master'!G204)</x:f>
        <x:v>Yes</x:v>
      </x:c>
      <x:c r="G21" s="100" t="str">
        <x:f>IF('Master'!H204="","",'Master'!H204)</x:f>
        <x:v>Yes</x:v>
      </x:c>
      <x:c r="H21" s="100" t="str">
        <x:f>IF('Master'!I204="","",'Master'!I204)</x:f>
        <x:v>Yes</x:v>
      </x:c>
      <x:c r="I21" s="100" t="str">
        <x:f>IF('Master'!J204="","",'Master'!J204)</x:f>
        <x:v>Yes</x:v>
      </x:c>
      <x:c r="J21" s="100" t="str">
        <x:f>IF('Master'!K204="","",'Master'!K204)</x:f>
        <x:v>Yes</x:v>
      </x:c>
      <x:c r="K21" s="100" t="str">
        <x:f>IF('Master'!L204="","",'Master'!L204)</x:f>
        <x:v>Desktop/mobile local suppression; no web suppression per developer report</x:v>
      </x:c>
      <x:c r="L21" s="100" t="str">
        <x:f>IF('Master'!M204="","",'Master'!M204)</x:f>
      </x:c>
      <x:c r="M21" s="100" t="str">
        <x:f>IF('Master'!N204="","",'Master'!N204)</x:f>
        <x:v>Yes</x:v>
      </x:c>
      <x:c r="N21" s="100" t="str">
        <x:f>IF('Master'!O204="","",'Master'!O204)</x:f>
        <x:v>Yes</x:v>
      </x:c>
      <x:c r="O21" s="100" t="str">
        <x:f>IF('Master'!P204="","",'Master'!P204)</x:f>
      </x:c>
      <x:c r="P21" s="100" t="str">
        <x:f>IF('Master'!Q204="","",'Master'!Q204)</x:f>
        <x:v>Yes</x:v>
      </x:c>
      <x:c r="Q21" s="100" t="str">
        <x:f>IF('Master'!R204="","",'Master'!R204)</x:f>
        <x:v>Yes</x:v>
      </x:c>
      <x:c r="R21" s="100" t="str">
        <x:f>IF('Master'!S204="","",'Master'!S204)</x:f>
      </x:c>
      <x:c r="S21" s="100" t="str">
        <x:f>IF('Master'!T204="","",'Master'!T204)</x:f>
        <x:v>Yes</x:v>
      </x:c>
      <x:c r="T21" s="100" t="str">
        <x:f>IF('Master'!U204="","",'Master'!U204)</x:f>
        <x:v>No branded/public engine claim</x:v>
      </x:c>
      <x:c r="U21" s="100" t="str">
        <x:f>IF('Master'!V204="","",'Master'!V204)</x:f>
        <x:v>Yes</x:v>
      </x:c>
      <x:c r="V21" s="100" t="str">
        <x:f>IF('Master'!W204="","",'Master'!W204)</x:f>
        <x:v>Yes</x:v>
      </x:c>
      <x:c r="W21" s="100" t="str">
        <x:f>IF('Master'!X204="","",'Master'!X204)</x:f>
        <x:v>No</x:v>
      </x:c>
      <x:c r="X21" s="100" t="str">
        <x:f>IF('Master'!Y204="","",'Master'!Y204)</x:f>
      </x:c>
      <x:c r="Y21" s="100" t="str">
        <x:f>IF('Master'!Z204="","",'Master'!Z204)</x:f>
      </x:c>
      <x:c r="Z21" s="100" t="str">
        <x:f>IF('Master'!AA204="","",'Master'!AA204)</x:f>
        <x:v>Yes</x:v>
      </x:c>
      <x:c r="AA21" s="104" t="str">
        <x:f>IF('Master'!AB204="","",'Master'!AB204)</x:f>
      </x:c>
      <x:c r="AB21" s="100" t="str">
        <x:f>IF('Master'!AC204="","",'Master'!AC204)</x:f>
        <x:v>Yes</x:v>
      </x:c>
      <x:c r="AC21" s="100" t="str">
        <x:f>IF('Master'!AD204="","",'Master'!AD204)</x:f>
      </x:c>
      <x:c r="AD21" s="100" t="str">
        <x:f>IF('Master'!AE204="","",'Master'!AE204)</x:f>
        <x:v>Yes</x:v>
      </x:c>
      <x:c r="AE21" s="100" t="str">
        <x:f>IF('Master'!AF204="","",'Master'!AF204)</x:f>
        <x:v>Yes</x:v>
      </x:c>
      <x:c r="AF21" s="75" t="str">
        <x:f>IF('Master'!AG204="","",'Master'!AG204)</x:f>
        <x:v>No</x:v>
      </x:c>
    </x:row>
    <x:row r="22" ht="36" customHeight="1">
      <x:c r="A22" s="135" t="str">
        <x:v>Noise Suppression Engine</x:v>
      </x:c>
      <x:c r="B22" s="100" t="str">
        <x:f>IF('Master'!C205="","",'Master'!C205)</x:f>
        <x:v>Krisp</x:v>
      </x:c>
      <x:c r="C22" s="100" t="str">
        <x:f>IF('Master'!D205="","",'Master'!D205)</x:f>
      </x:c>
      <x:c r="D22" s="100" t="str">
        <x:f>IF('Master'!E205="","",'Master'!E205)</x:f>
        <x:v>LiveKit/WebRTC</x:v>
      </x:c>
      <x:c r="E22" s="100" t="str">
        <x:f>IF('Master'!F205="","",'Master'!F205)</x:f>
        <x:v>LiveKit</x:v>
      </x:c>
      <x:c r="F22" s="100" t="str">
        <x:f>IF('Master'!G205="","",'Master'!G205)</x:f>
        <x:v>DeepFilterNet3 local noise suppression planned/used</x:v>
      </x:c>
      <x:c r="G22" s="100" t="str">
        <x:f>IF('Master'!H205="","",'Master'!H205)</x:f>
        <x:v>DeepFilterNet3 + media processing controls</x:v>
      </x:c>
      <x:c r="H22" s="100" t="str">
        <x:f>IF('Master'!I205="","",'Master'!I205)</x:f>
        <x:v>Built-in noise/echo processing</x:v>
      </x:c>
      <x:c r="I22" s="100" t="str">
        <x:f>IF('Master'!J205="","",'Master'!J205)</x:f>
        <x:v>WebRTC</x:v>
      </x:c>
      <x:c r="J22" s="100" t="str">
        <x:f>IF('Master'!K205="","",'Master'!K205)</x:f>
        <x:v>P2P WebRTC with STUN/TURN fallback</x:v>
      </x:c>
      <x:c r="K22" s="100" t="str">
        <x:f>IF('Master'!L205="","",'Master'!L205)</x:f>
        <x:v>Desktop/mobile local suppression; no web suppression per developer report</x:v>
      </x:c>
      <x:c r="L22" s="100" t="str">
        <x:f>IF('Master'!M205="","",'Master'!M205)</x:f>
      </x:c>
      <x:c r="M22" s="100" t="str">
        <x:f>IF('Master'!N205="","",'Master'!N205)</x:f>
        <x:v>LiveKit/WebRTC</x:v>
      </x:c>
      <x:c r="N22" s="100" t="str">
        <x:f>IF('Master'!O205="","",'Master'!O205)</x:f>
        <x:v>Varies by client</x:v>
      </x:c>
      <x:c r="O22" s="100" t="str">
        <x:f>IF('Master'!P205="","",'Master'!P205)</x:f>
      </x:c>
      <x:c r="P22" s="100" t="str">
        <x:f>IF('Master'!Q205="","",'Master'!Q205)</x:f>
        <x:v>Custom WebRTC SFU</x:v>
      </x:c>
      <x:c r="Q22" s="100" t="str">
        <x:f>IF('Master'!R205="","",'Master'!R205)</x:f>
        <x:v>Built-in client processing; exact engine varies</x:v>
      </x:c>
      <x:c r="R22" s="100" t="str">
        <x:f>IF('Master'!S205="","",'Master'!S205)</x:f>
      </x:c>
      <x:c r="S22" s="100" t="str">
        <x:f>IF('Master'!T205="","",'Master'!T205)</x:f>
        <x:v>Custom voice infrastructure</x:v>
      </x:c>
      <x:c r="T22" s="100" t="str">
        <x:f>IF('Master'!U205="","",'Master'!U205)</x:f>
        <x:v>Not publicly claimed</x:v>
      </x:c>
      <x:c r="U22" s="100" t="str">
        <x:f>IF('Master'!V205="","",'Master'!V205)</x:f>
        <x:v>Yes</x:v>
      </x:c>
      <x:c r="V22" s="100" t="str">
        <x:f>IF('Master'!W205="","",'Master'!W205)</x:f>
        <x:v>Provider-dependent</x:v>
      </x:c>
      <x:c r="W22" s="100" t="str">
        <x:f>IF('Master'!X205="","",'Master'!X205)</x:f>
        <x:v>N/A</x:v>
      </x:c>
      <x:c r="X22" s="100" t="str">
        <x:f>IF('Master'!Y205="","",'Master'!Y205)</x:f>
      </x:c>
      <x:c r="Y22" s="100" t="str">
        <x:f>IF('Master'!Z205="","",'Master'!Z205)</x:f>
      </x:c>
      <x:c r="Z22" s="100" t="str">
        <x:f>IF('Master'!AA205="","",'Master'!AA205)</x:f>
        <x:v>RNNoise</x:v>
      </x:c>
      <x:c r="AA22" s="104" t="str">
        <x:f>IF('Master'!AB205="","",'Master'!AB205)</x:f>
      </x:c>
      <x:c r="AB22" s="100" t="str">
        <x:f>IF('Master'!AC205="","",'Master'!AC205)</x:f>
        <x:v>LiveKit</x:v>
      </x:c>
      <x:c r="AC22" s="100" t="str">
        <x:f>IF('Master'!AD205="","",'Master'!AD205)</x:f>
      </x:c>
      <x:c r="AD22" s="100" t="str">
        <x:f>IF('Master'!AE205="","",'Master'!AE205)</x:f>
        <x:v>LiveKit</x:v>
      </x:c>
      <x:c r="AE22" s="100" t="str">
        <x:f>IF('Master'!AF205="","",'Master'!AF205)</x:f>
        <x:v>Self-host media server</x:v>
      </x:c>
      <x:c r="AF22" s="75" t="str">
        <x:f>IF('Master'!AG205="","",'Master'!AG205)</x:f>
        <x:v>N/A</x:v>
      </x:c>
    </x:row>
    <x:row r="23" ht="36" customHeight="1">
      <x:c r="A23" s="135" t="str">
        <x:v>Echo Cancellation?</x:v>
      </x:c>
      <x:c r="B23" s="100" t="str">
        <x:f>IF('Master'!C206="","",'Master'!C206)</x:f>
        <x:v>Yes</x:v>
      </x:c>
      <x:c r="C23" s="100" t="str">
        <x:f>IF('Master'!D206="","",'Master'!D206)</x:f>
      </x:c>
      <x:c r="D23" s="100" t="str">
        <x:f>IF('Master'!E206="","",'Master'!E206)</x:f>
      </x:c>
      <x:c r="E23" s="100" t="str">
        <x:f>IF('Master'!F206="","",'Master'!F206)</x:f>
        <x:v>Yes</x:v>
      </x:c>
      <x:c r="F23" s="100" t="str">
        <x:f>IF('Master'!G206="","",'Master'!G206)</x:f>
        <x:v>Yes</x:v>
      </x:c>
      <x:c r="G23" s="100" t="str">
        <x:f>IF('Master'!H206="","",'Master'!H206)</x:f>
        <x:v>Yes</x:v>
      </x:c>
      <x:c r="H23" s="100" t="str">
        <x:f>IF('Master'!I206="","",'Master'!I206)</x:f>
        <x:v>Yes</x:v>
      </x:c>
      <x:c r="I23" s="100" t="str">
        <x:f>IF('Master'!J206="","",'Master'!J206)</x:f>
      </x:c>
      <x:c r="J23" s="100" t="str">
        <x:f>IF('Master'!K206="","",'Master'!K206)</x:f>
      </x:c>
      <x:c r="K23" s="100" t="str">
        <x:f>IF('Master'!L206="","",'Master'!L206)</x:f>
        <x:v>Yes — desktop native graph; mobile uses native audio processing</x:v>
      </x:c>
      <x:c r="L23" s="100" t="str">
        <x:f>IF('Master'!M206="","",'Master'!M206)</x:f>
      </x:c>
      <x:c r="M23" s="100" t="str">
        <x:f>IF('Master'!N206="","",'Master'!N206)</x:f>
      </x:c>
      <x:c r="N23" s="100" t="str">
        <x:f>IF('Master'!O206="","",'Master'!O206)</x:f>
      </x:c>
      <x:c r="O23" s="100" t="str">
        <x:f>IF('Master'!P206="","",'Master'!P206)</x:f>
      </x:c>
      <x:c r="P23" s="100" t="str">
        <x:f>IF('Master'!Q206="","",'Master'!Q206)</x:f>
        <x:v>Yes</x:v>
      </x:c>
      <x:c r="Q23" s="100" t="str">
        <x:f>IF('Master'!R206="","",'Master'!R206)</x:f>
      </x:c>
      <x:c r="R23" s="100" t="str">
        <x:f>IF('Master'!S206="","",'Master'!S206)</x:f>
      </x:c>
      <x:c r="S23" s="100" t="str">
        <x:f>IF('Master'!T206="","",'Master'!T206)</x:f>
      </x:c>
      <x:c r="T23" s="100" t="str">
        <x:f>IF('Master'!U206="","",'Master'!U206)</x:f>
      </x:c>
      <x:c r="U23" s="100" t="str">
        <x:f>IF('Master'!V206="","",'Master'!V206)</x:f>
        <x:v>Yes</x:v>
      </x:c>
      <x:c r="V23" s="100" t="str">
        <x:f>IF('Master'!W206="","",'Master'!W206)</x:f>
      </x:c>
      <x:c r="W23" s="100" t="str">
        <x:f>IF('Master'!X206="","",'Master'!X206)</x:f>
      </x:c>
      <x:c r="X23" s="100" t="str">
        <x:f>IF('Master'!Y206="","",'Master'!Y206)</x:f>
      </x:c>
      <x:c r="Y23" s="100" t="str">
        <x:f>IF('Master'!Z206="","",'Master'!Z206)</x:f>
      </x:c>
      <x:c r="Z23" s="100" t="str">
        <x:f>IF('Master'!AA206="","",'Master'!AA206)</x:f>
      </x:c>
      <x:c r="AA23" s="104" t="str">
        <x:f>IF('Master'!AB206="","",'Master'!AB206)</x:f>
      </x:c>
      <x:c r="AB23" s="100" t="str">
        <x:f>IF('Master'!AC206="","",'Master'!AC206)</x:f>
      </x:c>
      <x:c r="AC23" s="100" t="str">
        <x:f>IF('Master'!AD206="","",'Master'!AD206)</x:f>
      </x:c>
      <x:c r="AD23" s="100" t="str">
        <x:f>IF('Master'!AE206="","",'Master'!AE206)</x:f>
        <x:v>Yes</x:v>
      </x:c>
      <x:c r="AE23" s="100" t="str">
        <x:f>IF('Master'!AF206="","",'Master'!AF206)</x:f>
      </x:c>
      <x:c r="AF23" s="75" t="str">
        <x:f>IF('Master'!AG206="","",'Master'!AG206)</x:f>
      </x:c>
    </x:row>
    <x:row r="24" ht="36" customHeight="1">
      <x:c r="A24" s="135" t="str">
        <x:v>Automatic Gain Control?</x:v>
      </x:c>
      <x:c r="B24" s="100" t="str">
        <x:f>IF('Master'!C207="","",'Master'!C207)</x:f>
      </x:c>
      <x:c r="C24" s="100" t="str">
        <x:f>IF('Master'!D207="","",'Master'!D207)</x:f>
      </x:c>
      <x:c r="D24" s="100" t="str">
        <x:f>IF('Master'!E207="","",'Master'!E207)</x:f>
      </x:c>
      <x:c r="E24" s="100" t="str">
        <x:f>IF('Master'!F207="","",'Master'!F207)</x:f>
        <x:v>Yes</x:v>
      </x:c>
      <x:c r="F24" s="100" t="str">
        <x:f>IF('Master'!G207="","",'Master'!G207)</x:f>
      </x:c>
      <x:c r="G24" s="100" t="str">
        <x:f>IF('Master'!H207="","",'Master'!H207)</x:f>
      </x:c>
      <x:c r="H24" s="100" t="str">
        <x:f>IF('Master'!I207="","",'Master'!I207)</x:f>
        <x:v>Yes</x:v>
      </x:c>
      <x:c r="I24" s="100" t="str">
        <x:f>IF('Master'!J207="","",'Master'!J207)</x:f>
      </x:c>
      <x:c r="J24" s="100" t="str">
        <x:f>IF('Master'!K207="","",'Master'!K207)</x:f>
      </x:c>
      <x:c r="K24" s="100" t="str">
        <x:f>IF('Master'!L207="","",'Master'!L207)</x:f>
        <x:v>Not independently documented</x:v>
      </x:c>
      <x:c r="L24" s="100" t="str">
        <x:f>IF('Master'!M207="","",'Master'!M207)</x:f>
      </x:c>
      <x:c r="M24" s="100" t="str">
        <x:f>IF('Master'!N207="","",'Master'!N207)</x:f>
      </x:c>
      <x:c r="N24" s="100" t="str">
        <x:f>IF('Master'!O207="","",'Master'!O207)</x:f>
      </x:c>
      <x:c r="O24" s="100" t="str">
        <x:f>IF('Master'!P207="","",'Master'!P207)</x:f>
      </x:c>
      <x:c r="P24" s="100" t="str">
        <x:f>IF('Master'!Q207="","",'Master'!Q207)</x:f>
      </x:c>
      <x:c r="Q24" s="100" t="str">
        <x:f>IF('Master'!R207="","",'Master'!R207)</x:f>
      </x:c>
      <x:c r="R24" s="100" t="str">
        <x:f>IF('Master'!S207="","",'Master'!S207)</x:f>
      </x:c>
      <x:c r="S24" s="100" t="str">
        <x:f>IF('Master'!T207="","",'Master'!T207)</x:f>
      </x:c>
      <x:c r="T24" s="100" t="str">
        <x:f>IF('Master'!U207="","",'Master'!U207)</x:f>
      </x:c>
      <x:c r="U24" s="100" t="str">
        <x:f>IF('Master'!V207="","",'Master'!V207)</x:f>
        <x:v>Yes</x:v>
      </x:c>
      <x:c r="V24" s="100" t="str">
        <x:f>IF('Master'!W207="","",'Master'!W207)</x:f>
      </x:c>
      <x:c r="W24" s="100" t="str">
        <x:f>IF('Master'!X207="","",'Master'!X207)</x:f>
      </x:c>
      <x:c r="X24" s="100" t="str">
        <x:f>IF('Master'!Y207="","",'Master'!Y207)</x:f>
      </x:c>
      <x:c r="Y24" s="100" t="str">
        <x:f>IF('Master'!Z207="","",'Master'!Z207)</x:f>
      </x:c>
      <x:c r="Z24" s="100" t="str">
        <x:f>IF('Master'!AA207="","",'Master'!AA207)</x:f>
      </x:c>
      <x:c r="AA24" s="104" t="str">
        <x:f>IF('Master'!AB207="","",'Master'!AB207)</x:f>
      </x:c>
      <x:c r="AB24" s="100" t="str">
        <x:f>IF('Master'!AC207="","",'Master'!AC207)</x:f>
      </x:c>
      <x:c r="AC24" s="100" t="str">
        <x:f>IF('Master'!AD207="","",'Master'!AD207)</x:f>
      </x:c>
      <x:c r="AD24" s="100" t="str">
        <x:f>IF('Master'!AE207="","",'Master'!AE207)</x:f>
      </x:c>
      <x:c r="AE24" s="100" t="str">
        <x:f>IF('Master'!AF207="","",'Master'!AF207)</x:f>
      </x:c>
      <x:c r="AF24" s="75" t="str">
        <x:f>IF('Master'!AG207="","",'Master'!AG207)</x:f>
      </x:c>
    </x:row>
    <x:row r="25" ht="22" customHeight="1">
      <x:c r="A25" s="138" t="str">
        <x:v>Special Audio</x:v>
      </x:c>
      <x:c r="B25" s="138" t="str">
        <x:f>IF(""="","","")</x:f>
      </x:c>
      <x:c r="C25" s="138" t="str">
        <x:f>IF(""="","","")</x:f>
      </x:c>
      <x:c r="D25" s="138" t="str">
        <x:f>IF(""="","","")</x:f>
      </x:c>
      <x:c r="E25" s="138" t="str">
        <x:f>IF(""="","","")</x:f>
      </x:c>
      <x:c r="F25" s="138" t="str">
        <x:f>IF(""="","","")</x:f>
      </x:c>
      <x:c r="G25" s="138" t="str">
        <x:f>IF(""="","","")</x:f>
      </x:c>
      <x:c r="H25" s="138" t="str">
        <x:f>IF(""="","","")</x:f>
      </x:c>
      <x:c r="I25" s="138" t="str">
        <x:f>IF(""="","","")</x:f>
      </x:c>
      <x:c r="J25" s="138" t="str">
        <x:f>IF(""="","","")</x:f>
      </x:c>
      <x:c r="K25" s="138" t="str">
        <x:f>IF(""="","","")</x:f>
      </x:c>
      <x:c r="L25" s="138" t="str">
        <x:f>IF(""="","","")</x:f>
      </x:c>
      <x:c r="M25" s="138" t="str">
        <x:f>IF(""="","","")</x:f>
      </x:c>
      <x:c r="N25" s="138" t="str">
        <x:f>IF(""="","","")</x:f>
      </x:c>
      <x:c r="O25" s="138" t="str">
        <x:f>IF(""="","","")</x:f>
      </x:c>
      <x:c r="P25" s="138" t="str">
        <x:f>IF(""="","","")</x:f>
      </x:c>
      <x:c r="Q25" s="138" t="str">
        <x:f>IF(""="","","")</x:f>
      </x:c>
      <x:c r="R25" s="138" t="str">
        <x:f>IF(""="","","")</x:f>
      </x:c>
      <x:c r="S25" s="138" t="str">
        <x:f>IF(""="","","")</x:f>
      </x:c>
      <x:c r="T25" s="138" t="str">
        <x:f>IF(""="","","")</x:f>
      </x:c>
      <x:c r="U25" s="138" t="str">
        <x:f>IF(""="","","")</x:f>
      </x:c>
      <x:c r="V25" s="138" t="str">
        <x:f>IF(""="","","")</x:f>
      </x:c>
      <x:c r="W25" s="138" t="str">
        <x:f>IF(""="","","")</x:f>
      </x:c>
      <x:c r="X25" s="138" t="str">
        <x:f>IF(""="","","")</x:f>
      </x:c>
      <x:c r="Y25" s="138" t="str">
        <x:f>IF(""="","","")</x:f>
      </x:c>
      <x:c r="Z25" s="138" t="str">
        <x:f>IF(""="","","")</x:f>
      </x:c>
      <x:c r="AA25" s="138" t="str">
        <x:f>IF(""="","","")</x:f>
      </x:c>
      <x:c r="AB25" s="138" t="str">
        <x:f>IF(""="","","")</x:f>
      </x:c>
      <x:c r="AC25" s="138" t="str">
        <x:f>IF(""="","","")</x:f>
      </x:c>
      <x:c r="AD25" s="138" t="str">
        <x:f>IF(""="","","")</x:f>
      </x:c>
      <x:c r="AE25" s="138" t="str">
        <x:f>IF(""="","","")</x:f>
      </x:c>
      <x:c r="AF25" s="139" t="str">
        <x:f>IF(""="","","")</x:f>
      </x:c>
    </x:row>
    <x:row r="26" ht="36" customHeight="1">
      <x:c r="A26" s="135" t="str">
        <x:v>Spatial Audio?</x:v>
      </x:c>
      <x:c r="B26" s="100" t="str">
        <x:f>IF('Master'!C208="","",'Master'!C208)</x:f>
        <x:v>No native client proximity/spatial audio; possible in third-party game integrations</x:v>
      </x:c>
      <x:c r="C26" s="100" t="str">
        <x:f>IF('Master'!D208="","",'Master'!D208)</x:f>
        <x:v>No</x:v>
      </x:c>
      <x:c r="D26" s="100" t="str">
        <x:f>IF('Master'!E208="","",'Master'!E208)</x:f>
        <x:v>No</x:v>
      </x:c>
      <x:c r="E26" s="100" t="str">
        <x:f>IF('Master'!F208="","",'Master'!F208)</x:f>
        <x:v>No</x:v>
      </x:c>
      <x:c r="F26" s="100" t="str">
        <x:f>IF('Master'!G208="","",'Master'!G208)</x:f>
      </x:c>
      <x:c r="G26" s="100" t="str">
        <x:f>IF('Master'!H208="","",'Master'!H208)</x:f>
        <x:v>No native proximity audio</x:v>
      </x:c>
      <x:c r="H26" s="100" t="str">
        <x:f>IF('Master'!I208="","",'Master'!I208)</x:f>
        <x:v>GameLink spatial audio</x:v>
      </x:c>
      <x:c r="I26" s="100" t="str">
        <x:f>IF('Master'!J208="","",'Master'!J208)</x:f>
        <x:v>No</x:v>
      </x:c>
      <x:c r="J26" s="100" t="str">
        <x:f>IF('Master'!K208="","",'Master'!K208)</x:f>
        <x:v>No</x:v>
      </x:c>
      <x:c r="K26" s="100" t="str">
        <x:f>IF('Master'!L208="","",'Master'!L208)</x:f>
      </x:c>
      <x:c r="L26" s="100" t="str">
        <x:f>IF('Master'!M208="","",'Master'!M208)</x:f>
        <x:v>No</x:v>
      </x:c>
      <x:c r="M26" s="100" t="str">
        <x:f>IF('Master'!N208="","",'Master'!N208)</x:f>
        <x:v>No</x:v>
      </x:c>
      <x:c r="N26" s="100" t="str">
        <x:f>IF('Master'!O208="","",'Master'!O208)</x:f>
        <x:v>Possible via specialized clients; not a core default</x:v>
      </x:c>
      <x:c r="O26" s="100" t="str">
        <x:f>IF('Master'!P208="","",'Master'!P208)</x:f>
        <x:v>No</x:v>
      </x:c>
      <x:c r="P26" s="100" t="str">
        <x:f>IF('Master'!Q208="","",'Master'!Q208)</x:f>
        <x:v>No</x:v>
      </x:c>
      <x:c r="Q26" s="100" t="str">
        <x:f>IF('Master'!R208="","",'Master'!R208)</x:f>
        <x:v>Yes — positional audio supported with games/plugins</x:v>
      </x:c>
      <x:c r="R26" s="100" t="str">
        <x:f>IF('Master'!S208="","",'Master'!S208)</x:f>
        <x:v>No</x:v>
      </x:c>
      <x:c r="S26" s="100" t="str">
        <x:f>IF('Master'!T208="","",'Master'!T208)</x:f>
        <x:v>No</x:v>
      </x:c>
      <x:c r="T26" s="100" t="str">
        <x:f>IF('Master'!U208="","",'Master'!U208)</x:f>
        <x:v>No</x:v>
      </x:c>
      <x:c r="U26" s="100" t="str">
        <x:f>IF('Master'!V208="","",'Master'!V208)</x:f>
        <x:v>No</x:v>
      </x:c>
      <x:c r="V26" s="100" t="str">
        <x:f>IF('Master'!W208="","",'Master'!W208)</x:f>
        <x:v>No</x:v>
      </x:c>
      <x:c r="W26" s="100" t="str">
        <x:f>IF('Master'!X208="","",'Master'!X208)</x:f>
        <x:v>N/A</x:v>
      </x:c>
      <x:c r="X26" s="100" t="str">
        <x:f>IF('Master'!Y208="","",'Master'!Y208)</x:f>
        <x:v>No native proximity audio</x:v>
      </x:c>
      <x:c r="Y26" s="100" t="str">
        <x:f>IF('Master'!Z208="","",'Master'!Z208)</x:f>
        <x:v>No native proximity</x:v>
      </x:c>
      <x:c r="Z26" s="100" t="str">
        <x:f>IF('Master'!AA208="","",'Master'!AA208)</x:f>
        <x:v>No native proximity audio</x:v>
      </x:c>
      <x:c r="AA26" s="104" t="str">
        <x:f>IF('Master'!AB208="","",'Master'!AB208)</x:f>
      </x:c>
      <x:c r="AB26" s="100" t="str">
        <x:f>IF('Master'!AC208="","",'Master'!AC208)</x:f>
        <x:v>No</x:v>
      </x:c>
      <x:c r="AC26" s="100" t="str">
        <x:f>IF('Master'!AD208="","",'Master'!AD208)</x:f>
        <x:v>No</x:v>
      </x:c>
      <x:c r="AD26" s="100" t="str">
        <x:f>IF('Master'!AE208="","",'Master'!AE208)</x:f>
        <x:v>No</x:v>
      </x:c>
      <x:c r="AE26" s="100" t="str">
        <x:f>IF('Master'!AF208="","",'Master'!AF208)</x:f>
        <x:v>Yes — spatial/proximity</x:v>
      </x:c>
      <x:c r="AF26" s="75" t="str">
        <x:f>IF('Master'!AG208="","",'Master'!AG208)</x:f>
        <x:v>N/A</x:v>
      </x:c>
    </x:row>
    <x:row r="27" ht="36" customHeight="1">
      <x:c r="A27" s="135" t="str">
        <x:v>Proximity Audio?</x:v>
      </x:c>
      <x:c r="B27" s="100" t="str">
        <x:f>IF('Master'!C209="","",'Master'!C209)</x:f>
        <x:v>No</x:v>
      </x:c>
      <x:c r="C27" s="100" t="str">
        <x:f>IF('Master'!D209="","",'Master'!D209)</x:f>
      </x:c>
      <x:c r="D27" s="100" t="str">
        <x:f>IF('Master'!E209="","",'Master'!E209)</x:f>
      </x:c>
      <x:c r="E27" s="100" t="str">
        <x:f>IF('Master'!F209="","",'Master'!F209)</x:f>
      </x:c>
      <x:c r="F27" s="100" t="str">
        <x:f>IF('Master'!G209="","",'Master'!G209)</x:f>
      </x:c>
      <x:c r="G27" s="100" t="str">
        <x:f>IF('Master'!H209="","",'Master'!H209)</x:f>
        <x:v>No</x:v>
      </x:c>
      <x:c r="H27" s="100" t="str">
        <x:f>IF('Master'!I209="","",'Master'!I209)</x:f>
        <x:v>Yes</x:v>
      </x:c>
      <x:c r="I27" s="100" t="str">
        <x:f>IF('Master'!J209="","",'Master'!J209)</x:f>
      </x:c>
      <x:c r="J27" s="100" t="str">
        <x:f>IF('Master'!K209="","",'Master'!K209)</x:f>
      </x:c>
      <x:c r="K27" s="100" t="str">
        <x:f>IF('Master'!L209="","",'Master'!L209)</x:f>
      </x:c>
      <x:c r="L27" s="100" t="str">
        <x:f>IF('Master'!M209="","",'Master'!M209)</x:f>
      </x:c>
      <x:c r="M27" s="100" t="str">
        <x:f>IF('Master'!N209="","",'Master'!N209)</x:f>
      </x:c>
      <x:c r="N27" s="100" t="str">
        <x:f>IF('Master'!O209="","",'Master'!O209)</x:f>
      </x:c>
      <x:c r="O27" s="100" t="str">
        <x:f>IF('Master'!P209="","",'Master'!P209)</x:f>
      </x:c>
      <x:c r="P27" s="100" t="str">
        <x:f>IF('Master'!Q209="","",'Master'!Q209)</x:f>
      </x:c>
      <x:c r="Q27" s="100" t="str">
        <x:f>IF('Master'!R209="","",'Master'!R209)</x:f>
        <x:v>Yes</x:v>
      </x:c>
      <x:c r="R27" s="100" t="str">
        <x:f>IF('Master'!S209="","",'Master'!S209)</x:f>
      </x:c>
      <x:c r="S27" s="100" t="str">
        <x:f>IF('Master'!T209="","",'Master'!T209)</x:f>
      </x:c>
      <x:c r="T27" s="100" t="str">
        <x:f>IF('Master'!U209="","",'Master'!U209)</x:f>
      </x:c>
      <x:c r="U27" s="100" t="str">
        <x:f>IF('Master'!V209="","",'Master'!V209)</x:f>
        <x:v>No</x:v>
      </x:c>
      <x:c r="V27" s="100" t="str">
        <x:f>IF('Master'!W209="","",'Master'!W209)</x:f>
      </x:c>
      <x:c r="W27" s="100" t="str">
        <x:f>IF('Master'!X209="","",'Master'!X209)</x:f>
      </x:c>
      <x:c r="X27" s="100" t="str">
        <x:f>IF('Master'!Y209="","",'Master'!Y209)</x:f>
        <x:v>No</x:v>
      </x:c>
      <x:c r="Y27" s="100" t="str">
        <x:f>IF('Master'!Z209="","",'Master'!Z209)</x:f>
      </x:c>
      <x:c r="Z27" s="100" t="str">
        <x:f>IF('Master'!AA209="","",'Master'!AA209)</x:f>
      </x:c>
      <x:c r="AA27" s="104" t="str">
        <x:f>IF('Master'!AB209="","",'Master'!AB209)</x:f>
      </x:c>
      <x:c r="AB27" s="100" t="str">
        <x:f>IF('Master'!AC209="","",'Master'!AC209)</x:f>
      </x:c>
      <x:c r="AC27" s="100" t="str">
        <x:f>IF('Master'!AD209="","",'Master'!AD209)</x:f>
      </x:c>
      <x:c r="AD27" s="100" t="str">
        <x:f>IF('Master'!AE209="","",'Master'!AE209)</x:f>
      </x:c>
      <x:c r="AE27" s="100" t="str">
        <x:f>IF('Master'!AF209="","",'Master'!AF209)</x:f>
        <x:v>Yes</x:v>
      </x:c>
      <x:c r="AF27" s="75" t="str">
        <x:f>IF('Master'!AG209="","",'Master'!AG209)</x:f>
      </x:c>
    </x:row>
    <x:row r="28" ht="23.100000381469727" customHeight="1">
      <x:c r="A28" s="135" t="str">
        <x:v>Voice Recording Native?</x:v>
      </x:c>
      <x:c r="B28" s="102" t="str">
        <x:f>IF('Master'!C210="","",'Master'!C210)</x:f>
      </x:c>
      <x:c r="C28" s="102" t="str">
        <x:f>IF('Master'!D210="","",'Master'!D210)</x:f>
      </x:c>
      <x:c r="D28" s="102" t="str">
        <x:f>IF('Master'!E210="","",'Master'!E210)</x:f>
      </x:c>
      <x:c r="E28" s="102" t="str">
        <x:f>IF('Master'!F210="","",'Master'!F210)</x:f>
      </x:c>
      <x:c r="F28" s="102" t="str">
        <x:f>IF('Master'!G210="","",'Master'!G210)</x:f>
      </x:c>
      <x:c r="G28" s="102" t="str">
        <x:f>IF('Master'!H210="","",'Master'!H210)</x:f>
      </x:c>
      <x:c r="H28" s="102" t="str">
        <x:f>IF('Master'!I210="","",'Master'!I210)</x:f>
      </x:c>
      <x:c r="I28" s="102" t="str">
        <x:f>IF('Master'!J210="","",'Master'!J210)</x:f>
      </x:c>
      <x:c r="J28" s="102" t="str">
        <x:f>IF('Master'!K210="","",'Master'!K210)</x:f>
      </x:c>
      <x:c r="K28" s="102" t="str">
        <x:f>IF('Master'!L210="","",'Master'!L210)</x:f>
        <x:v>No native recording</x:v>
      </x:c>
      <x:c r="L28" s="102" t="str">
        <x:f>IF('Master'!M210="","",'Master'!M210)</x:f>
      </x:c>
      <x:c r="M28" s="102" t="str">
        <x:f>IF('Master'!N210="","",'Master'!N210)</x:f>
      </x:c>
      <x:c r="N28" s="102" t="str">
        <x:f>IF('Master'!O210="","",'Master'!O210)</x:f>
      </x:c>
      <x:c r="O28" s="102" t="str">
        <x:f>IF('Master'!P210="","",'Master'!P210)</x:f>
      </x:c>
      <x:c r="P28" s="102" t="str">
        <x:f>IF('Master'!Q210="","",'Master'!Q210)</x:f>
      </x:c>
      <x:c r="Q28" s="102" t="str">
        <x:f>IF('Master'!R210="","",'Master'!R210)</x:f>
      </x:c>
      <x:c r="R28" s="102" t="str">
        <x:f>IF('Master'!S210="","",'Master'!S210)</x:f>
      </x:c>
      <x:c r="S28" s="102" t="str">
        <x:f>IF('Master'!T210="","",'Master'!T210)</x:f>
      </x:c>
      <x:c r="T28" s="102" t="str">
        <x:f>IF('Master'!U210="","",'Master'!U210)</x:f>
      </x:c>
      <x:c r="U28" s="102" t="str">
        <x:f>IF('Master'!V210="","",'Master'!V210)</x:f>
      </x:c>
      <x:c r="V28" s="102" t="str">
        <x:f>IF('Master'!W210="","",'Master'!W210)</x:f>
      </x:c>
      <x:c r="W28" s="102" t="str">
        <x:f>IF('Master'!X210="","",'Master'!X210)</x:f>
      </x:c>
      <x:c r="X28" s="102" t="str">
        <x:f>IF('Master'!Y210="","",'Master'!Y210)</x:f>
      </x:c>
      <x:c r="Y28" s="102" t="str">
        <x:f>IF('Master'!Z210="","",'Master'!Z210)</x:f>
      </x:c>
      <x:c r="Z28" s="102" t="str">
        <x:f>IF('Master'!AA210="","",'Master'!AA210)</x:f>
      </x:c>
      <x:c r="AA28" s="103" t="str">
        <x:f>IF('Master'!AB210="","",'Master'!AB210)</x:f>
      </x:c>
      <x:c r="AB28" s="102" t="str">
        <x:f>IF('Master'!AC210="","",'Master'!AC210)</x:f>
      </x:c>
      <x:c r="AC28" s="102" t="str">
        <x:f>IF('Master'!AD210="","",'Master'!AD210)</x:f>
      </x:c>
      <x:c r="AD28" s="102" t="str">
        <x:f>IF('Master'!AE210="","",'Master'!AE210)</x:f>
      </x:c>
      <x:c r="AE28" s="102" t="str">
        <x:f>IF('Master'!AF210="","",'Master'!AF210)</x:f>
      </x:c>
      <x:c r="AF28" s="75" t="str">
        <x:f>IF('Master'!AG210="","",'Master'!AG210)</x:f>
      </x:c>
    </x:row>
    <x:row r="29" ht="36" customHeight="1">
      <x:c r="A29" s="135" t="str">
        <x:v>Voice Transcription Native?</x:v>
      </x:c>
      <x:c r="B29" s="100" t="str">
        <x:f>IF('Master'!C211="","",'Master'!C211)</x:f>
      </x:c>
      <x:c r="C29" s="100" t="str">
        <x:f>IF('Master'!D211="","",'Master'!D211)</x:f>
      </x:c>
      <x:c r="D29" s="100" t="str">
        <x:f>IF('Master'!E211="","",'Master'!E211)</x:f>
      </x:c>
      <x:c r="E29" s="100" t="str">
        <x:f>IF('Master'!F211="","",'Master'!F211)</x:f>
      </x:c>
      <x:c r="F29" s="100" t="str">
        <x:f>IF('Master'!G211="","",'Master'!G211)</x:f>
      </x:c>
      <x:c r="G29" s="100" t="str">
        <x:f>IF('Master'!H211="","",'Master'!H211)</x:f>
      </x:c>
      <x:c r="H29" s="100" t="str">
        <x:f>IF('Master'!I211="","",'Master'!I211)</x:f>
      </x:c>
      <x:c r="I29" s="100" t="str">
        <x:f>IF('Master'!J211="","",'Master'!J211)</x:f>
      </x:c>
      <x:c r="J29" s="100" t="str">
        <x:f>IF('Master'!K211="","",'Master'!K211)</x:f>
      </x:c>
      <x:c r="K29" s="100" t="str">
        <x:f>IF('Master'!L211="","",'Master'!L211)</x:f>
        <x:v>No native transcription</x:v>
      </x:c>
      <x:c r="L29" s="100" t="str">
        <x:f>IF('Master'!M211="","",'Master'!M211)</x:f>
      </x:c>
      <x:c r="M29" s="100" t="str">
        <x:f>IF('Master'!N211="","",'Master'!N211)</x:f>
      </x:c>
      <x:c r="N29" s="100" t="str">
        <x:f>IF('Master'!O211="","",'Master'!O211)</x:f>
      </x:c>
      <x:c r="O29" s="100" t="str">
        <x:f>IF('Master'!P211="","",'Master'!P211)</x:f>
        <x:v>Yes</x:v>
      </x:c>
      <x:c r="P29" s="100" t="str">
        <x:f>IF('Master'!Q211="","",'Master'!Q211)</x:f>
        <x:v>Yes</x:v>
      </x:c>
      <x:c r="Q29" s="100" t="str">
        <x:f>IF('Master'!R211="","",'Master'!R211)</x:f>
      </x:c>
      <x:c r="R29" s="100" t="str">
        <x:f>IF('Master'!S211="","",'Master'!S211)</x:f>
      </x:c>
      <x:c r="S29" s="100" t="str">
        <x:f>IF('Master'!T211="","",'Master'!T211)</x:f>
      </x:c>
      <x:c r="T29" s="100" t="str">
        <x:f>IF('Master'!U211="","",'Master'!U211)</x:f>
      </x:c>
      <x:c r="U29" s="100" t="str">
        <x:f>IF('Master'!V211="","",'Master'!V211)</x:f>
        <x:v>No</x:v>
      </x:c>
      <x:c r="V29" s="100" t="str">
        <x:f>IF('Master'!W211="","",'Master'!W211)</x:f>
      </x:c>
      <x:c r="W29" s="100" t="str">
        <x:f>IF('Master'!X211="","",'Master'!X211)</x:f>
      </x:c>
      <x:c r="X29" s="100" t="str">
        <x:f>IF('Master'!Y211="","",'Master'!Y211)</x:f>
      </x:c>
      <x:c r="Y29" s="100" t="str">
        <x:f>IF('Master'!Z211="","",'Master'!Z211)</x:f>
      </x:c>
      <x:c r="Z29" s="100" t="str">
        <x:f>IF('Master'!AA211="","",'Master'!AA211)</x:f>
      </x:c>
      <x:c r="AA29" s="104" t="str">
        <x:f>IF('Master'!AB211="","",'Master'!AB211)</x:f>
      </x:c>
      <x:c r="AB29" s="100" t="str">
        <x:f>IF('Master'!AC211="","",'Master'!AC211)</x:f>
      </x:c>
      <x:c r="AC29" s="100" t="str">
        <x:f>IF('Master'!AD211="","",'Master'!AD211)</x:f>
      </x:c>
      <x:c r="AD29" s="100" t="str">
        <x:f>IF('Master'!AE211="","",'Master'!AE211)</x:f>
      </x:c>
      <x:c r="AE29" s="100" t="str">
        <x:f>IF('Master'!AF211="","",'Master'!AF211)</x:f>
      </x:c>
      <x:c r="AF29" s="75" t="str">
        <x:f>IF('Master'!AG211="","",'Master'!AG211)</x:f>
      </x:c>
    </x:row>
    <x:row r="30" ht="22" customHeight="1">
      <x:c r="A30" s="138" t="str">
        <x:v>Source &amp; Notes</x:v>
      </x:c>
      <x:c r="B30" s="138" t="str">
        <x:f>IF(""="","","")</x:f>
      </x:c>
      <x:c r="C30" s="138" t="str">
        <x:f>IF(""="","","")</x:f>
      </x:c>
      <x:c r="D30" s="138" t="str">
        <x:f>IF(""="","","")</x:f>
      </x:c>
      <x:c r="E30" s="138" t="str">
        <x:f>IF(""="","","")</x:f>
      </x:c>
      <x:c r="F30" s="138" t="str">
        <x:f>IF(""="","","")</x:f>
      </x:c>
      <x:c r="G30" s="138" t="str">
        <x:f>IF(""="","","")</x:f>
      </x:c>
      <x:c r="H30" s="138" t="str">
        <x:f>IF(""="","","")</x:f>
      </x:c>
      <x:c r="I30" s="138" t="str">
        <x:f>IF(""="","","")</x:f>
      </x:c>
      <x:c r="J30" s="138" t="str">
        <x:f>IF(""="","","")</x:f>
      </x:c>
      <x:c r="K30" s="138" t="str">
        <x:f>IF(""="","","")</x:f>
      </x:c>
      <x:c r="L30" s="138" t="str">
        <x:f>IF(""="","","")</x:f>
      </x:c>
      <x:c r="M30" s="138" t="str">
        <x:f>IF(""="","","")</x:f>
      </x:c>
      <x:c r="N30" s="138" t="str">
        <x:f>IF(""="","","")</x:f>
      </x:c>
      <x:c r="O30" s="138" t="str">
        <x:f>IF(""="","","")</x:f>
      </x:c>
      <x:c r="P30" s="138" t="str">
        <x:f>IF(""="","","")</x:f>
      </x:c>
      <x:c r="Q30" s="138" t="str">
        <x:f>IF(""="","","")</x:f>
      </x:c>
      <x:c r="R30" s="138" t="str">
        <x:f>IF(""="","","")</x:f>
      </x:c>
      <x:c r="S30" s="138" t="str">
        <x:f>IF(""="","","")</x:f>
      </x:c>
      <x:c r="T30" s="138" t="str">
        <x:f>IF(""="","","")</x:f>
      </x:c>
      <x:c r="U30" s="138" t="str">
        <x:f>IF(""="","","")</x:f>
      </x:c>
      <x:c r="V30" s="138" t="str">
        <x:f>IF(""="","","")</x:f>
      </x:c>
      <x:c r="W30" s="138" t="str">
        <x:f>IF(""="","","")</x:f>
      </x:c>
      <x:c r="X30" s="138" t="str">
        <x:f>IF(""="","","")</x:f>
      </x:c>
      <x:c r="Y30" s="138" t="str">
        <x:f>IF(""="","","")</x:f>
      </x:c>
      <x:c r="Z30" s="138" t="str">
        <x:f>IF(""="","","")</x:f>
      </x:c>
      <x:c r="AA30" s="138" t="str">
        <x:f>IF(""="","","")</x:f>
      </x:c>
      <x:c r="AB30" s="138" t="str">
        <x:f>IF(""="","","")</x:f>
      </x:c>
      <x:c r="AC30" s="138" t="str">
        <x:f>IF(""="","","")</x:f>
      </x:c>
      <x:c r="AD30" s="138" t="str">
        <x:f>IF(""="","","")</x:f>
      </x:c>
      <x:c r="AE30" s="138" t="str">
        <x:f>IF(""="","","")</x:f>
      </x:c>
      <x:c r="AF30" s="139" t="str">
        <x:f>IF(""="","","")</x:f>
      </x:c>
    </x:row>
    <x:row r="31" ht="36" customHeight="1">
      <x:c r="A31" s="135" t="str">
        <x:v>Voice Source URL</x:v>
      </x:c>
      <x:c r="B31" s="100" t="str">
        <x:f>IF('Master'!C212="","",'Master'!C212)</x:f>
        <x:v>https://support.discord.com/</x:v>
      </x:c>
      <x:c r="C31" s="100" t="str">
        <x:f>IF('Master'!D212="","",'Master'!D212)</x:f>
        <x:v>See Research Sources</x:v>
      </x:c>
      <x:c r="D31" s="100" t="str">
        <x:f>IF('Master'!E212="","",'Master'!E212)</x:f>
        <x:v>See Research Sources</x:v>
      </x:c>
      <x:c r="E31" s="100" t="str">
        <x:f>IF('Master'!F212="","",'Master'!F212)</x:f>
        <x:v>See Research Sources</x:v>
      </x:c>
      <x:c r="F31" s="100" t="str">
        <x:f>IF('Master'!G212="","",'Master'!G212)</x:f>
        <x:v>See Research Sources</x:v>
      </x:c>
      <x:c r="G31" s="100" t="str">
        <x:f>IF('Master'!H212="","",'Master'!H212)</x:f>
        <x:v>See Research Sources</x:v>
      </x:c>
      <x:c r="H31" s="100" t="str">
        <x:f>IF('Master'!I212="","",'Master'!I212)</x:f>
        <x:v>https://gamevox.com/</x:v>
      </x:c>
      <x:c r="I31" s="100" t="str">
        <x:f>IF('Master'!J212="","",'Master'!J212)</x:f>
        <x:v>See Research Sources</x:v>
      </x:c>
      <x:c r="J31" s="100" t="str">
        <x:f>IF('Master'!K212="","",'Master'!K212)</x:f>
        <x:v>See Research Sources</x:v>
      </x:c>
      <x:c r="K31" s="100" t="str">
        <x:f>IF('Master'!L212="","",'Master'!L212)</x:f>
      </x:c>
      <x:c r="L31" s="100" t="str">
        <x:f>IF('Master'!M212="","",'Master'!M212)</x:f>
        <x:v>See Research Sources</x:v>
      </x:c>
      <x:c r="M31" s="100" t="str">
        <x:f>IF('Master'!N212="","",'Master'!N212)</x:f>
        <x:v>See Research Sources</x:v>
      </x:c>
      <x:c r="N31" s="100" t="str">
        <x:f>IF('Master'!O212="","",'Master'!O212)</x:f>
        <x:v>See Research Sources</x:v>
      </x:c>
      <x:c r="O31" s="100" t="str">
        <x:f>IF('Master'!P212="","",'Master'!P212)</x:f>
        <x:v>See Research Sources</x:v>
      </x:c>
      <x:c r="P31" s="100" t="str">
        <x:f>IF('Master'!Q212="","",'Master'!Q212)</x:f>
        <x:v>See Research Sources</x:v>
      </x:c>
      <x:c r="Q31" s="100" t="str">
        <x:f>IF('Master'!R212="","",'Master'!R212)</x:f>
        <x:v>See Research Sources</x:v>
      </x:c>
      <x:c r="R31" s="100" t="str">
        <x:f>IF('Master'!S212="","",'Master'!S212)</x:f>
        <x:v>See Research Sources</x:v>
      </x:c>
      <x:c r="S31" s="100" t="str">
        <x:f>IF('Master'!T212="","",'Master'!T212)</x:f>
        <x:v>See Research Sources</x:v>
      </x:c>
      <x:c r="T31" s="100" t="str">
        <x:f>IF('Master'!U212="","",'Master'!U212)</x:f>
        <x:v>See Research Sources</x:v>
      </x:c>
      <x:c r="U31" s="100" t="str">
        <x:f>IF('Master'!V212="","",'Master'!V212)</x:f>
        <x:v>https://therift.chat/plans/</x:v>
      </x:c>
      <x:c r="V31" s="100" t="str">
        <x:f>IF('Master'!W212="","",'Master'!W212)</x:f>
        <x:v>See Research Sources</x:v>
      </x:c>
      <x:c r="W31" s="100" t="str">
        <x:f>IF('Master'!X212="","",'Master'!X212)</x:f>
        <x:v>See Research Sources</x:v>
      </x:c>
      <x:c r="X31" s="100" t="str">
        <x:f>IF('Master'!Y212="","",'Master'!Y212)</x:f>
        <x:v>See Research Sources</x:v>
      </x:c>
      <x:c r="Y31" s="100" t="str">
        <x:f>IF('Master'!Z212="","",'Master'!Z212)</x:f>
        <x:v>See Research Sources</x:v>
      </x:c>
      <x:c r="Z31" s="100" t="str">
        <x:f>IF('Master'!AA212="","",'Master'!AA212)</x:f>
        <x:v>See Research Sources</x:v>
      </x:c>
      <x:c r="AA31" s="104" t="str">
        <x:f>IF('Master'!AB212="","",'Master'!AB212)</x:f>
        <x:v>See Research Sources</x:v>
      </x:c>
      <x:c r="AB31" s="100" t="str">
        <x:f>IF('Master'!AC212="","",'Master'!AC212)</x:f>
        <x:v>See Research Sources</x:v>
      </x:c>
      <x:c r="AC31" s="100" t="str">
        <x:f>IF('Master'!AD212="","",'Master'!AD212)</x:f>
        <x:v>See Research Sources</x:v>
      </x:c>
      <x:c r="AD31" s="100" t="str">
        <x:f>IF('Master'!AE212="","",'Master'!AE212)</x:f>
        <x:v>See Research Sources</x:v>
      </x:c>
      <x:c r="AE31" s="100" t="str">
        <x:f>IF('Master'!AF212="","",'Master'!AF212)</x:f>
        <x:v>See Research Sources</x:v>
      </x:c>
      <x:c r="AF31" s="75" t="str">
        <x:f>IF('Master'!AG212="","",'Master'!AG212)</x:f>
        <x:v>See Research Sources</x:v>
      </x:c>
    </x:row>
    <x:row r="32" ht="36" customHeight="1">
      <x:c r="A32" s="135" t="str">
        <x:v>Voice Notes</x:v>
      </x:c>
      <x:c r="B32" s="100" t="str">
        <x:f>IF('Master'!C213="","",'Master'!C213)</x:f>
        <x:v>Voice/video/Go Live E2EE by default except Stage.</x:v>
      </x:c>
      <x:c r="C32" s="100" t="str">
        <x:f>IF('Master'!D213="","",'Master'!D213)</x:f>
        <x:v>Voice exists; detailed limits are not publicly documented.</x:v>
      </x:c>
      <x:c r="D32" s="100" t="str">
        <x:f>IF('Master'!E213="","",'Master'!E213)</x:f>
        <x:v>Media limits are software/operator-configurable rather than a paid tier.</x:v>
      </x:c>
      <x:c r="E32" s="100" t="str">
        <x:f>IF('Master'!F213="","",'Master'!F213)</x:f>
        <x:v>LiveKit-based voice/video/screen sharing.</x:v>
      </x:c>
      <x:c r="F32" s="100" t="str">
        <x:f>IF('Master'!G213="","",'Master'!G213)</x:f>
        <x:v>Alpha behavior/limits can change.</x:v>
      </x:c>
      <x:c r="G32" s="100" t="str">
        <x:f>IF('Master'!H213="","",'Master'!H213)</x:f>
        <x:v>Nothing is E2EE yet per Sep 13 privacy policy.</x:v>
      </x:c>
      <x:c r="H32" s="100" t="str">
        <x:f>IF('Master'!I213="","",'Master'!I213)</x:f>
        <x:v>Voice-first gaming platform.</x:v>
      </x:c>
      <x:c r="I32" s="100" t="str">
        <x:f>IF('Master'!J213="","",'Master'!J213)</x:f>
        <x:v>Media is early/incomplete.</x:v>
      </x:c>
      <x:c r="J32" s="100" t="str">
        <x:f>IF('Master'!K213="","",'Master'!K213)</x:f>
        <x:v>Media is peer-to-peer rather than server-room focused.</x:v>
      </x:c>
      <x:c r="K32" s="100" t="str">
        <x:f>IF('Master'!L213="","",'Master'!L213)</x:f>
        <x:v>LiveKit; guild voice uses guild authority, DM calls use conversation/caller authority; existing calls may continue during federation outage but new joins need the authority</x:v>
      </x:c>
      <x:c r="L32" s="100" t="str">
        <x:f>IF('Master'!M213="","",'Master'!M213)</x:f>
        <x:v>Media limits not well documented.</x:v>
      </x:c>
      <x:c r="M32" s="100" t="str">
        <x:f>IF('Master'!N213="","",'Master'!N213)</x:f>
        <x:v>Voice/video/screen share are live in open beta.</x:v>
      </x:c>
      <x:c r="N32" s="100" t="str">
        <x:f>IF('Master'!O213="","",'Master'!O213)</x:f>
        <x:v>Media limits belong to a client/homeserver/SFU deployment, not to Matrix as a universal platform.</x:v>
      </x:c>
      <x:c r="O32" s="100" t="str">
        <x:f>IF('Master'!P213="","",'Master'!P213)</x:f>
        <x:v>Native Calls supports screen share and meeting-style controls.</x:v>
      </x:c>
      <x:c r="P32" s="100" t="str">
        <x:f>IF('Master'!Q213="","",'Master'!Q213)</x:f>
        <x:v>No paywall on voice/video quality claimed.</x:v>
      </x:c>
      <x:c r="Q32" s="100" t="str">
        <x:f>IF('Master'!R213="","",'Master'!R213)</x:f>
        <x:v>Purpose-built voice; no webcam/screen-sharing core.</x:v>
      </x:c>
      <x:c r="R32" s="100" t="str">
        <x:f>IF('Master'!S213="","",'Master'!S213)</x:f>
        <x:v>Public docs emphasize chat more than media limits.</x:v>
      </x:c>
      <x:c r="S32" s="100" t="str">
        <x:f>IF('Master'!T213="","",'Master'!T213)</x:f>
        <x:v>Custom voice infrastructure is a headline feature.</x:v>
      </x:c>
      <x:c r="T32" s="100" t="str">
        <x:f>IF('Master'!U213="","",'Master'!U213)</x:f>
        <x:v>Persistent voice; P2P for small/DM calls; LiveKit for listed/larger hosted rooms. Hosted watch party has exceeded 100 participants.</x:v>
      </x:c>
      <x:c r="U32" s="100" t="str">
        <x:f>IF('Master'!V213="","",'Master'!V213)</x:f>
        <x:v>Public site does not publish detailed media limits.</x:v>
      </x:c>
      <x:c r="V32" s="100" t="str">
        <x:f>IF('Master'!W213="","",'Master'!W213)</x:f>
        <x:v>Media calling is not a single fixed platform profile across all Rocket.Chat deployments.</x:v>
      </x:c>
      <x:c r="W32" s="100" t="str">
        <x:f>IF('Master'!X213="","",'Master'!X213)</x:f>
        <x:v>Text/community-gardening focus.</x:v>
      </x:c>
      <x:c r="X32" s="100" t="str">
        <x:f>IF('Master'!Y213="","",'Master'!Y213)</x:f>
        <x:v>Mobile can view shared screens.</x:v>
      </x:c>
      <x:c r="Y32" s="100" t="str">
        <x:f>IF('Master'!Z213="","",'Master'!Z213)</x:f>
        <x:v>Voice is optional and disabled unless operator installs a compatible media implementation.</x:v>
      </x:c>
      <x:c r="Z32" s="100" t="str">
        <x:f>IF('Master'!AA213="","",'Master'!AA213)</x:f>
        <x:v>Screen sharing/video rolled out in 2026; exact plan limits are not comprehensively documented.</x:v>
      </x:c>
      <x:c r="AA32" s="104" t="str">
        <x:f>IF('Master'!AB213="","",'Master'!AB213)</x:f>
        <x:v>TS6 is beta, so limits/features are changing.</x:v>
      </x:c>
      <x:c r="AB32" s="100" t="str">
        <x:f>IF('Master'!AC213="","",'Master'!AC213)</x:f>
      </x:c>
      <x:c r="AC32" s="100" t="str">
        <x:f>IF('Master'!AD213="","",'Master'!AD213)</x:f>
        <x:v>Media details sparse.</x:v>
      </x:c>
      <x:c r="AD32" s="100" t="str">
        <x:f>IF('Master'!AE213="","",'Master'!AE213)</x:f>
        <x:v>Designed around always-present game-room media.</x:v>
      </x:c>
      <x:c r="AE32" s="100" t="str">
        <x:f>IF('Master'!AF213="","",'Master'!AF213)</x:f>
        <x:v>Self-host resource capacity determines practical limits.</x:v>
      </x:c>
      <x:c r="AF32" s="75" t="str">
        <x:f>IF('Master'!AG213="","",'Master'!AG213)</x:f>
        <x:v>Voice/video are intentionally delegated to services such as Jitsi/Zoom/BigBlueButton.</x:v>
      </x:c>
    </x:row>
    <x:row r="33" ht="22" customHeight="1">
      <x:c r="A33" s="138" t="str">
        <x:v>Voice Experience Extras</x:v>
      </x:c>
      <x:c r="B33" s="138" t="str">
        <x:f>IF(""="","","")</x:f>
      </x:c>
      <x:c r="C33" s="138" t="str">
        <x:f>IF(""="","","")</x:f>
      </x:c>
      <x:c r="D33" s="138" t="str">
        <x:f>IF(""="","","")</x:f>
      </x:c>
      <x:c r="E33" s="138" t="str">
        <x:f>IF(""="","","")</x:f>
      </x:c>
      <x:c r="F33" s="138" t="str">
        <x:f>IF(""="","","")</x:f>
      </x:c>
      <x:c r="G33" s="138" t="str">
        <x:f>IF(""="","","")</x:f>
      </x:c>
      <x:c r="H33" s="138" t="str">
        <x:f>IF(""="","","")</x:f>
      </x:c>
      <x:c r="I33" s="138" t="str">
        <x:f>IF(""="","","")</x:f>
      </x:c>
      <x:c r="J33" s="138" t="str">
        <x:f>IF(""="","","")</x:f>
      </x:c>
      <x:c r="K33" s="138" t="str">
        <x:f>IF(""="","","")</x:f>
      </x:c>
      <x:c r="L33" s="138" t="str">
        <x:f>IF(""="","","")</x:f>
      </x:c>
      <x:c r="M33" s="138" t="str">
        <x:f>IF(""="","","")</x:f>
      </x:c>
      <x:c r="N33" s="138" t="str">
        <x:f>IF(""="","","")</x:f>
      </x:c>
      <x:c r="O33" s="138" t="str">
        <x:f>IF(""="","","")</x:f>
      </x:c>
      <x:c r="P33" s="138" t="str">
        <x:f>IF(""="","","")</x:f>
      </x:c>
      <x:c r="Q33" s="138" t="str">
        <x:f>IF(""="","","")</x:f>
      </x:c>
      <x:c r="R33" s="138" t="str">
        <x:f>IF(""="","","")</x:f>
      </x:c>
      <x:c r="S33" s="138" t="str">
        <x:f>IF(""="","","")</x:f>
      </x:c>
      <x:c r="T33" s="138" t="str">
        <x:f>IF(""="","","")</x:f>
      </x:c>
      <x:c r="U33" s="138" t="str">
        <x:f>IF(""="","","")</x:f>
      </x:c>
      <x:c r="V33" s="138" t="str">
        <x:f>IF(""="","","")</x:f>
      </x:c>
      <x:c r="W33" s="138" t="str">
        <x:f>IF(""="","","")</x:f>
      </x:c>
      <x:c r="X33" s="138" t="str">
        <x:f>IF(""="","","")</x:f>
      </x:c>
      <x:c r="Y33" s="138" t="str">
        <x:f>IF(""="","","")</x:f>
      </x:c>
      <x:c r="Z33" s="138" t="str">
        <x:f>IF(""="","","")</x:f>
      </x:c>
      <x:c r="AA33" s="138" t="str">
        <x:f>IF(""="","","")</x:f>
      </x:c>
      <x:c r="AB33" s="138" t="str">
        <x:f>IF(""="","","")</x:f>
      </x:c>
      <x:c r="AC33" s="138" t="str">
        <x:f>IF(""="","","")</x:f>
      </x:c>
      <x:c r="AD33" s="138" t="str">
        <x:f>IF(""="","","")</x:f>
      </x:c>
      <x:c r="AE33" s="138" t="str">
        <x:f>IF(""="","","")</x:f>
      </x:c>
      <x:c r="AF33" s="139" t="str">
        <x:f>IF(""="","","")</x:f>
      </x:c>
    </x:row>
    <x:row r="34" ht="36" customHeight="1">
      <x:c r="A34" s="135" t="str">
        <x:v>Voice Overlay?</x:v>
      </x:c>
      <x:c r="B34" s="100" t="str">
        <x:f>IF('Master'!C214="","",'Master'!C214)</x:f>
        <x:v>Yes</x:v>
      </x:c>
      <x:c r="C34" s="100" t="str">
        <x:f>IF('Master'!D214="","",'Master'!D214)</x:f>
      </x:c>
      <x:c r="D34" s="100" t="str">
        <x:f>IF('Master'!E214="","",'Master'!E214)</x:f>
      </x:c>
      <x:c r="E34" s="100" t="str">
        <x:f>IF('Master'!F214="","",'Master'!F214)</x:f>
      </x:c>
      <x:c r="F34" s="100" t="str">
        <x:f>IF('Master'!G214="","",'Master'!G214)</x:f>
      </x:c>
      <x:c r="G34" s="100" t="str">
        <x:f>IF('Master'!H214="","",'Master'!H214)</x:f>
      </x:c>
      <x:c r="H34" s="100" t="str">
        <x:f>IF('Master'!I214="","",'Master'!I214)</x:f>
      </x:c>
      <x:c r="I34" s="100" t="str">
        <x:f>IF('Master'!J214="","",'Master'!J214)</x:f>
      </x:c>
      <x:c r="J34" s="100" t="str">
        <x:f>IF('Master'!K214="","",'Master'!K214)</x:f>
      </x:c>
      <x:c r="K34" s="100" t="str">
        <x:f>IF('Master'!L214="","",'Master'!L214)</x:f>
      </x:c>
      <x:c r="L34" s="100" t="str">
        <x:f>IF('Master'!M214="","",'Master'!M214)</x:f>
      </x:c>
      <x:c r="M34" s="100" t="str">
        <x:f>IF('Master'!N214="","",'Master'!N214)</x:f>
      </x:c>
      <x:c r="N34" s="100" t="str">
        <x:f>IF('Master'!O214="","",'Master'!O214)</x:f>
      </x:c>
      <x:c r="O34" s="100" t="str">
        <x:f>IF('Master'!P214="","",'Master'!P214)</x:f>
      </x:c>
      <x:c r="P34" s="100" t="str">
        <x:f>IF('Master'!Q214="","",'Master'!Q214)</x:f>
      </x:c>
      <x:c r="Q34" s="100" t="str">
        <x:f>IF('Master'!R214="","",'Master'!R214)</x:f>
      </x:c>
      <x:c r="R34" s="100" t="str">
        <x:f>IF('Master'!S214="","",'Master'!S214)</x:f>
      </x:c>
      <x:c r="S34" s="100" t="str">
        <x:f>IF('Master'!T214="","",'Master'!T214)</x:f>
      </x:c>
      <x:c r="T34" s="100" t="str">
        <x:f>IF('Master'!U214="","",'Master'!U214)</x:f>
      </x:c>
      <x:c r="U34" s="100" t="str">
        <x:f>IF('Master'!V214="","",'Master'!V214)</x:f>
        <x:v>Yes</x:v>
      </x:c>
      <x:c r="V34" s="100" t="str">
        <x:f>IF('Master'!W214="","",'Master'!W214)</x:f>
      </x:c>
      <x:c r="W34" s="100" t="str">
        <x:f>IF('Master'!X214="","",'Master'!X214)</x:f>
      </x:c>
      <x:c r="X34" s="100" t="str">
        <x:f>IF('Master'!Y214="","",'Master'!Y214)</x:f>
      </x:c>
      <x:c r="Y34" s="100" t="str">
        <x:f>IF('Master'!Z214="","",'Master'!Z214)</x:f>
      </x:c>
      <x:c r="Z34" s="100" t="str">
        <x:f>IF('Master'!AA214="","",'Master'!AA214)</x:f>
      </x:c>
      <x:c r="AA34" s="104" t="str">
        <x:f>IF('Master'!AB214="","",'Master'!AB214)</x:f>
      </x:c>
      <x:c r="AB34" s="100" t="str">
        <x:f>IF('Master'!AC214="","",'Master'!AC214)</x:f>
      </x:c>
      <x:c r="AC34" s="100" t="str">
        <x:f>IF('Master'!AD214="","",'Master'!AD214)</x:f>
      </x:c>
      <x:c r="AD34" s="100" t="str">
        <x:f>IF('Master'!AE214="","",'Master'!AE214)</x:f>
      </x:c>
      <x:c r="AE34" s="100" t="str">
        <x:f>IF('Master'!AF214="","",'Master'!AF214)</x:f>
      </x:c>
      <x:c r="AF34" s="75" t="str">
        <x:f>IF('Master'!AG214="","",'Master'!AG214)</x:f>
      </x:c>
    </x:row>
    <x:row r="35" ht="36" customHeight="1">
      <x:c r="A35" s="135" t="str">
        <x:v>Temporary / Launcher Voice Rooms?</x:v>
      </x:c>
      <x:c r="B35" s="100" t="str">
        <x:f>IF('Master'!C215="","",'Master'!C215)</x:f>
        <x:v>No native</x:v>
      </x:c>
      <x:c r="C35" s="100" t="str">
        <x:f>IF('Master'!D215="","",'Master'!D215)</x:f>
      </x:c>
      <x:c r="D35" s="100" t="str">
        <x:f>IF('Master'!E215="","",'Master'!E215)</x:f>
      </x:c>
      <x:c r="E35" s="100" t="str">
        <x:f>IF('Master'!F215="","",'Master'!F215)</x:f>
      </x:c>
      <x:c r="F35" s="100" t="str">
        <x:f>IF('Master'!G215="","",'Master'!G215)</x:f>
      </x:c>
      <x:c r="G35" s="100" t="str">
        <x:f>IF('Master'!H215="","",'Master'!H215)</x:f>
      </x:c>
      <x:c r="H35" s="100" t="str">
        <x:f>IF('Master'!I215="","",'Master'!I215)</x:f>
      </x:c>
      <x:c r="I35" s="100" t="str">
        <x:f>IF('Master'!J215="","",'Master'!J215)</x:f>
      </x:c>
      <x:c r="J35" s="100" t="str">
        <x:f>IF('Master'!K215="","",'Master'!K215)</x:f>
      </x:c>
      <x:c r="K35" s="100" t="str">
        <x:f>IF('Master'!L215="","",'Master'!L215)</x:f>
        <x:v>No temporary/launcher voice-room workflow documented</x:v>
      </x:c>
      <x:c r="L35" s="100" t="str">
        <x:f>IF('Master'!M215="","",'Master'!M215)</x:f>
      </x:c>
      <x:c r="M35" s="100" t="str">
        <x:f>IF('Master'!N215="","",'Master'!N215)</x:f>
      </x:c>
      <x:c r="N35" s="100" t="str">
        <x:f>IF('Master'!O215="","",'Master'!O215)</x:f>
      </x:c>
      <x:c r="O35" s="100" t="str">
        <x:f>IF('Master'!P215="","",'Master'!P215)</x:f>
      </x:c>
      <x:c r="P35" s="100" t="str">
        <x:f>IF('Master'!Q215="","",'Master'!Q215)</x:f>
      </x:c>
      <x:c r="Q35" s="100" t="str">
        <x:f>IF('Master'!R215="","",'Master'!R215)</x:f>
      </x:c>
      <x:c r="R35" s="100" t="str">
        <x:f>IF('Master'!S215="","",'Master'!S215)</x:f>
      </x:c>
      <x:c r="S35" s="100" t="str">
        <x:f>IF('Master'!T215="","",'Master'!T215)</x:f>
      </x:c>
      <x:c r="T35" s="100" t="str">
        <x:f>IF('Master'!U215="","",'Master'!U215)</x:f>
      </x:c>
      <x:c r="U35" s="100" t="str">
        <x:f>IF('Master'!V215="","",'Master'!V215)</x:f>
        <x:v>Yes</x:v>
      </x:c>
      <x:c r="V35" s="100" t="str">
        <x:f>IF('Master'!W215="","",'Master'!W215)</x:f>
      </x:c>
      <x:c r="W35" s="100" t="str">
        <x:f>IF('Master'!X215="","",'Master'!X215)</x:f>
      </x:c>
      <x:c r="X35" s="100" t="str">
        <x:f>IF('Master'!Y215="","",'Master'!Y215)</x:f>
      </x:c>
      <x:c r="Y35" s="100" t="str">
        <x:f>IF('Master'!Z215="","",'Master'!Z215)</x:f>
      </x:c>
      <x:c r="Z35" s="100" t="str">
        <x:f>IF('Master'!AA215="","",'Master'!AA215)</x:f>
      </x:c>
      <x:c r="AA35" s="104" t="str">
        <x:f>IF('Master'!AB215="","",'Master'!AB215)</x:f>
      </x:c>
      <x:c r="AB35" s="100" t="str">
        <x:f>IF('Master'!AC215="","",'Master'!AC215)</x:f>
      </x:c>
      <x:c r="AC35" s="100" t="str">
        <x:f>IF('Master'!AD215="","",'Master'!AD215)</x:f>
      </x:c>
      <x:c r="AD35" s="100" t="str">
        <x:f>IF('Master'!AE215="","",'Master'!AE215)</x:f>
      </x:c>
      <x:c r="AE35" s="100" t="str">
        <x:f>IF('Master'!AF215="","",'Master'!AF215)</x:f>
      </x:c>
      <x:c r="AF35" s="75" t="str">
        <x:f>IF('Master'!AG215="","",'Master'!AG215)</x:f>
      </x:c>
    </x:row>
    <x:row r="36" ht="36" customHeight="1">
      <x:c r="A36" s="135" t="str">
        <x:v>Music / High-Fidelity Mode?</x:v>
      </x:c>
      <x:c r="B36" s="100" t="str">
        <x:f>IF('Master'!C216="","",'Master'!C216)</x:f>
      </x:c>
      <x:c r="C36" s="100" t="str">
        <x:f>IF('Master'!D216="","",'Master'!D216)</x:f>
      </x:c>
      <x:c r="D36" s="100" t="str">
        <x:f>IF('Master'!E216="","",'Master'!E216)</x:f>
      </x:c>
      <x:c r="E36" s="100" t="str">
        <x:f>IF('Master'!F216="","",'Master'!F216)</x:f>
      </x:c>
      <x:c r="F36" s="100" t="str">
        <x:f>IF('Master'!G216="","",'Master'!G216)</x:f>
      </x:c>
      <x:c r="G36" s="100" t="str">
        <x:f>IF('Master'!H216="","",'Master'!H216)</x:f>
      </x:c>
      <x:c r="H36" s="100" t="str">
        <x:f>IF('Master'!I216="","",'Master'!I216)</x:f>
      </x:c>
      <x:c r="I36" s="100" t="str">
        <x:f>IF('Master'!J216="","",'Master'!J216)</x:f>
      </x:c>
      <x:c r="J36" s="100" t="str">
        <x:f>IF('Master'!K216="","",'Master'!K216)</x:f>
      </x:c>
      <x:c r="K36" s="100" t="str">
        <x:f>IF('Master'!L216="","",'Master'!L216)</x:f>
        <x:v>Partial — browser 128 kbps Studio requests stereo/DTX-off; desktop remains processed mono</x:v>
      </x:c>
      <x:c r="L36" s="100" t="str">
        <x:f>IF('Master'!M216="","",'Master'!M216)</x:f>
      </x:c>
      <x:c r="M36" s="100" t="str">
        <x:f>IF('Master'!N216="","",'Master'!N216)</x:f>
      </x:c>
      <x:c r="N36" s="100" t="str">
        <x:f>IF('Master'!O216="","",'Master'!O216)</x:f>
      </x:c>
      <x:c r="O36" s="100" t="str">
        <x:f>IF('Master'!P216="","",'Master'!P216)</x:f>
      </x:c>
      <x:c r="P36" s="100" t="str">
        <x:f>IF('Master'!Q216="","",'Master'!Q216)</x:f>
      </x:c>
      <x:c r="Q36" s="100" t="str">
        <x:f>IF('Master'!R216="","",'Master'!R216)</x:f>
      </x:c>
      <x:c r="R36" s="100" t="str">
        <x:f>IF('Master'!S216="","",'Master'!S216)</x:f>
      </x:c>
      <x:c r="S36" s="100" t="str">
        <x:f>IF('Master'!T216="","",'Master'!T216)</x:f>
      </x:c>
      <x:c r="T36" s="100" t="str">
        <x:f>IF('Master'!U216="","",'Master'!U216)</x:f>
      </x:c>
      <x:c r="U36" s="100" t="str">
        <x:f>IF('Master'!V216="","",'Master'!V216)</x:f>
        <x:v>No</x:v>
      </x:c>
      <x:c r="V36" s="100" t="str">
        <x:f>IF('Master'!W216="","",'Master'!W216)</x:f>
      </x:c>
      <x:c r="W36" s="100" t="str">
        <x:f>IF('Master'!X216="","",'Master'!X216)</x:f>
      </x:c>
      <x:c r="X36" s="100" t="str">
        <x:f>IF('Master'!Y216="","",'Master'!Y216)</x:f>
      </x:c>
      <x:c r="Y36" s="100" t="str">
        <x:f>IF('Master'!Z216="","",'Master'!Z216)</x:f>
      </x:c>
      <x:c r="Z36" s="100" t="str">
        <x:f>IF('Master'!AA216="","",'Master'!AA216)</x:f>
      </x:c>
      <x:c r="AA36" s="104" t="str">
        <x:f>IF('Master'!AB216="","",'Master'!AB216)</x:f>
        <x:v>Configurable/codecs</x:v>
      </x:c>
      <x:c r="AB36" s="100" t="str">
        <x:f>IF('Master'!AC216="","",'Master'!AC216)</x:f>
      </x:c>
      <x:c r="AC36" s="100" t="str">
        <x:f>IF('Master'!AD216="","",'Master'!AD216)</x:f>
      </x:c>
      <x:c r="AD36" s="100" t="str">
        <x:f>IF('Master'!AE216="","",'Master'!AE216)</x:f>
      </x:c>
      <x:c r="AE36" s="100" t="str">
        <x:f>IF('Master'!AF216="","",'Master'!AF216)</x:f>
      </x:c>
      <x:c r="AF36" s="75" t="str">
        <x:f>IF('Master'!AG216="","",'Master'!AG216)</x:f>
      </x:c>
    </x:row>
    <x:row r="37" ht="36" customHeight="1">
      <x:c r="A37" s="135" t="str">
        <x:v>Voice Changer Native?</x:v>
      </x:c>
      <x:c r="B37" s="100" t="str">
        <x:f>IF('Master'!C217="","",'Master'!C217)</x:f>
        <x:v>No</x:v>
      </x:c>
      <x:c r="C37" s="100" t="str">
        <x:f>IF('Master'!D217="","",'Master'!D217)</x:f>
      </x:c>
      <x:c r="D37" s="100" t="str">
        <x:f>IF('Master'!E217="","",'Master'!E217)</x:f>
      </x:c>
      <x:c r="E37" s="100" t="str">
        <x:f>IF('Master'!F217="","",'Master'!F217)</x:f>
      </x:c>
      <x:c r="F37" s="100" t="str">
        <x:f>IF('Master'!G217="","",'Master'!G217)</x:f>
      </x:c>
      <x:c r="G37" s="100" t="str">
        <x:f>IF('Master'!H217="","",'Master'!H217)</x:f>
      </x:c>
      <x:c r="H37" s="100" t="str">
        <x:f>IF('Master'!I217="","",'Master'!I217)</x:f>
      </x:c>
      <x:c r="I37" s="100" t="str">
        <x:f>IF('Master'!J217="","",'Master'!J217)</x:f>
      </x:c>
      <x:c r="J37" s="100" t="str">
        <x:f>IF('Master'!K217="","",'Master'!K217)</x:f>
      </x:c>
      <x:c r="K37" s="100" t="str">
        <x:f>IF('Master'!L217="","",'Master'!L217)</x:f>
        <x:v>No native voice changer documented</x:v>
      </x:c>
      <x:c r="L37" s="100" t="str">
        <x:f>IF('Master'!M217="","",'Master'!M217)</x:f>
      </x:c>
      <x:c r="M37" s="100" t="str">
        <x:f>IF('Master'!N217="","",'Master'!N217)</x:f>
      </x:c>
      <x:c r="N37" s="100" t="str">
        <x:f>IF('Master'!O217="","",'Master'!O217)</x:f>
      </x:c>
      <x:c r="O37" s="100" t="str">
        <x:f>IF('Master'!P217="","",'Master'!P217)</x:f>
      </x:c>
      <x:c r="P37" s="100" t="str">
        <x:f>IF('Master'!Q217="","",'Master'!Q217)</x:f>
      </x:c>
      <x:c r="Q37" s="100" t="str">
        <x:f>IF('Master'!R217="","",'Master'!R217)</x:f>
      </x:c>
      <x:c r="R37" s="100" t="str">
        <x:f>IF('Master'!S217="","",'Master'!S217)</x:f>
      </x:c>
      <x:c r="S37" s="100" t="str">
        <x:f>IF('Master'!T217="","",'Master'!T217)</x:f>
      </x:c>
      <x:c r="T37" s="100" t="str">
        <x:f>IF('Master'!U217="","",'Master'!U217)</x:f>
      </x:c>
      <x:c r="U37" s="100" t="str">
        <x:f>IF('Master'!V217="","",'Master'!V217)</x:f>
        <x:v>Yes</x:v>
      </x:c>
      <x:c r="V37" s="100" t="str">
        <x:f>IF('Master'!W217="","",'Master'!W217)</x:f>
      </x:c>
      <x:c r="W37" s="100" t="str">
        <x:f>IF('Master'!X217="","",'Master'!X217)</x:f>
      </x:c>
      <x:c r="X37" s="100" t="str">
        <x:f>IF('Master'!Y217="","",'Master'!Y217)</x:f>
      </x:c>
      <x:c r="Y37" s="100" t="str">
        <x:f>IF('Master'!Z217="","",'Master'!Z217)</x:f>
      </x:c>
      <x:c r="Z37" s="100" t="str">
        <x:f>IF('Master'!AA217="","",'Master'!AA217)</x:f>
      </x:c>
      <x:c r="AA37" s="104" t="str">
        <x:f>IF('Master'!AB217="","",'Master'!AB217)</x:f>
      </x:c>
      <x:c r="AB37" s="100" t="str">
        <x:f>IF('Master'!AC217="","",'Master'!AC217)</x:f>
      </x:c>
      <x:c r="AC37" s="100" t="str">
        <x:f>IF('Master'!AD217="","",'Master'!AD217)</x:f>
      </x:c>
      <x:c r="AD37" s="100" t="str">
        <x:f>IF('Master'!AE217="","",'Master'!AE217)</x:f>
      </x:c>
      <x:c r="AE37" s="100" t="str">
        <x:f>IF('Master'!AF217="","",'Master'!AF217)</x:f>
      </x:c>
      <x:c r="AF37" s="75" t="str">
        <x:f>IF('Master'!AG217="","",'Master'!AG217)</x:f>
      </x:c>
    </x:row>
  </x:sheetData>
  <x:mergeCells>
    <x:mergeCell ref="A1:A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Directory'!A1","Video &amp; Screen Sharing"),"Video &amp; Screen Sharing")</x:f>
        <x:v>Video &amp; Screen Sharing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Free Screen Share Max Resolution</x:v>
      </x:c>
      <x:c r="B3" s="100" t="str">
        <x:f>IF('Master'!C218="","",'Master'!C218)</x:f>
        <x:v>720p</x:v>
      </x:c>
      <x:c r="C3" s="100" t="str">
        <x:f>IF('Master'!D218="","",'Master'!D218)</x:f>
      </x:c>
      <x:c r="D3" s="100" t="str">
        <x:f>IF('Master'!E218="","",'Master'!E218)</x:f>
        <x:v>Up to 4K theoretical/configurable</x:v>
      </x:c>
      <x:c r="E3" s="100" t="str">
        <x:f>IF('Master'!F218="","",'Master'!F218)</x:f>
      </x:c>
      <x:c r="F3" s="100" t="str">
        <x:f>IF('Master'!G218="","",'Master'!G218)</x:f>
      </x:c>
      <x:c r="G3" s="100" t="str">
        <x:f>IF('Master'!H218="","",'Master'!H218)</x:f>
        <x:v>720p</x:v>
      </x:c>
      <x:c r="H3" s="100" t="str">
        <x:f>IF('Master'!I218="","",'Master'!I218)</x:f>
        <x:v>1080p</x:v>
      </x:c>
      <x:c r="I3" s="100" t="str">
        <x:f>IF('Master'!J218="","",'Master'!J218)</x:f>
        <x:v>In development</x:v>
      </x:c>
      <x:c r="J3" s="100" t="str">
        <x:f>IF('Master'!K218="","",'Master'!K218)</x:f>
        <x:v>P2P/client dependent</x:v>
      </x:c>
      <x:c r="K3" s="100" t="str">
        <x:f>IF('Master'!L218="","",'Master'!L218)</x:f>
      </x:c>
      <x:c r="L3" s="100" t="str">
        <x:f>IF('Master'!M218="","",'Master'!M218)</x:f>
      </x:c>
      <x:c r="M3" s="100" t="str">
        <x:f>IF('Master'!N218="","",'Master'!N218)</x:f>
      </x:c>
      <x:c r="N3" s="100" t="str">
        <x:f>IF('Master'!O218="","",'Master'!O218)</x:f>
        <x:v>Varies by client</x:v>
      </x:c>
      <x:c r="O3" s="100" t="str">
        <x:f>IF('Master'!P218="","",'Master'!P218)</x:f>
        <x:v>Provider/deployment dependent; native Calls screen share</x:v>
      </x:c>
      <x:c r="P3" s="100" t="str">
        <x:f>IF('Master'!Q218="","",'Master'!Q218)</x:f>
        <x:v>Unlimited resolution claim</x:v>
      </x:c>
      <x:c r="Q3" s="100" t="str">
        <x:f>IF('Master'!R218="","",'Master'!R218)</x:f>
        <x:v>N/A</x:v>
      </x:c>
      <x:c r="R3" s="100" t="str">
        <x:f>IF('Master'!S218="","",'Master'!S218)</x:f>
      </x:c>
      <x:c r="S3" s="100" t="str">
        <x:f>IF('Master'!T218="","",'Master'!T218)</x:f>
      </x:c>
      <x:c r="T3" s="100" t="str">
        <x:f>IF('Master'!U218="","",'Master'!U218)</x:f>
        <x:v>1080p</x:v>
      </x:c>
      <x:c r="U3" s="100" t="str">
        <x:f>IF('Master'!V218="","",'Master'!V218)</x:f>
        <x:v>1080p free</x:v>
      </x:c>
      <x:c r="V3" s="100" t="str">
        <x:f>IF('Master'!W218="","",'Master'!W218)</x:f>
        <x:v>Provider/deployment-dependent</x:v>
      </x:c>
      <x:c r="W3" s="100" t="str">
        <x:f>IF('Master'!X218="","",'Master'!X218)</x:f>
      </x:c>
      <x:c r="X3" s="100" t="str">
        <x:f>IF('Master'!Y218="","",'Master'!Y218)</x:f>
        <x:v>720p Game Mode / Source mode</x:v>
      </x:c>
      <x:c r="Y3" s="100" t="str">
        <x:f>IF('Master'!Z218="","",'Master'!Z218)</x:f>
        <x:v>Supported by recommended Pion voice implementation</x:v>
      </x:c>
      <x:c r="Z3" s="100" t="str">
        <x:f>IF('Master'!AA218="","",'Master'!AA218)</x:f>
        <x:v>720p</x:v>
      </x:c>
      <x:c r="AA3" s="104" t="str">
        <x:f>IF('Master'!AB218="","",'Master'!AB218)</x:f>
      </x:c>
      <x:c r="AB3" s="100" t="str">
        <x:f>IF('Master'!AC218="","",'Master'!AC218)</x:f>
      </x:c>
      <x:c r="AC3" s="100" t="str">
        <x:f>IF('Master'!AD218="","",'Master'!AD218)</x:f>
      </x:c>
      <x:c r="AD3" s="100" t="str">
        <x:f>IF('Master'!AE218="","",'Master'!AE218)</x:f>
      </x:c>
      <x:c r="AE3" s="100" t="str">
        <x:f>IF('Master'!AF218="","",'Master'!AF218)</x:f>
        <x:v>Up to 1440p included</x:v>
      </x:c>
      <x:c r="AF3" s="75" t="str">
        <x:f>IF('Master'!AG218="","",'Master'!AG218)</x:f>
        <x:v>External call provider-dependent</x:v>
      </x:c>
    </x:row>
    <x:row r="4" ht="36" customHeight="1">
      <x:c r="A4" s="135" t="str">
        <x:v>Free Screen Share Max FPS</x:v>
      </x:c>
      <x:c r="B4" s="100" t="str">
        <x:f>IF('Master'!C219="","",'Master'!C219)</x:f>
        <x:v>30 fps</x:v>
      </x:c>
      <x:c r="C4" s="100" t="str">
        <x:f>IF('Master'!D219="","",'Master'!D219)</x:f>
      </x:c>
      <x:c r="D4" s="100" t="str">
        <x:f>IF('Master'!E219="","",'Master'!E219)</x:f>
        <x:v>Up to 60/120 depending docs/version</x:v>
      </x:c>
      <x:c r="E4" s="100" t="str">
        <x:f>IF('Master'!F219="","",'Master'!F219)</x:f>
      </x:c>
      <x:c r="F4" s="100" t="str">
        <x:f>IF('Master'!G219="","",'Master'!G219)</x:f>
      </x:c>
      <x:c r="G4" s="100" t="str">
        <x:f>IF('Master'!H219="","",'Master'!H219)</x:f>
        <x:v>30 fps</x:v>
      </x:c>
      <x:c r="H4" s="100" t="str">
        <x:f>IF('Master'!I219="","",'Master'!I219)</x:f>
        <x:v>30 fps</x:v>
      </x:c>
      <x:c r="I4" s="100" t="str">
        <x:f>IF('Master'!J219="","",'Master'!J219)</x:f>
        <x:v>In development</x:v>
      </x:c>
      <x:c r="J4" s="100" t="str">
        <x:f>IF('Master'!K219="","",'Master'!K219)</x:f>
      </x:c>
      <x:c r="K4" s="100" t="str">
        <x:f>IF('Master'!L219="","",'Master'!L219)</x:f>
        <x:v>30 FPS in current documented presets; developer questionnaire reported 60 FPS</x:v>
      </x:c>
      <x:c r="L4" s="100" t="str">
        <x:f>IF('Master'!M219="","",'Master'!M219)</x:f>
      </x:c>
      <x:c r="M4" s="100" t="str">
        <x:f>IF('Master'!N219="","",'Master'!N219)</x:f>
      </x:c>
      <x:c r="N4" s="100" t="str">
        <x:f>IF('Master'!O219="","",'Master'!O219)</x:f>
        <x:v>Varies by client</x:v>
      </x:c>
      <x:c r="O4" s="100" t="str">
        <x:f>IF('Master'!P219="","",'Master'!P219)</x:f>
      </x:c>
      <x:c r="P4" s="100" t="str">
        <x:f>IF('Master'!Q219="","",'Master'!Q219)</x:f>
      </x:c>
      <x:c r="Q4" s="100" t="str">
        <x:f>IF('Master'!R219="","",'Master'!R219)</x:f>
        <x:v>N/A</x:v>
      </x:c>
      <x:c r="R4" s="100" t="str">
        <x:f>IF('Master'!S219="","",'Master'!S219)</x:f>
      </x:c>
      <x:c r="S4" s="100" t="str">
        <x:f>IF('Master'!T219="","",'Master'!T219)</x:f>
      </x:c>
      <x:c r="T4" s="100" t="str">
        <x:f>IF('Master'!U219="","",'Master'!U219)</x:f>
        <x:v>Not publicly claimed</x:v>
      </x:c>
      <x:c r="U4" s="100" t="str">
        <x:f>IF('Master'!V219="","",'Master'!V219)</x:f>
        <x:v>60 FPS free</x:v>
      </x:c>
      <x:c r="V4" s="100" t="str">
        <x:f>IF('Master'!W219="","",'Master'!W219)</x:f>
      </x:c>
      <x:c r="W4" s="100" t="str">
        <x:f>IF('Master'!X219="","",'Master'!X219)</x:f>
      </x:c>
      <x:c r="X4" s="100" t="str">
        <x:f>IF('Master'!Y219="","",'Master'!Y219)</x:f>
        <x:v>30 fps Game Mode / 5 fps Source mode</x:v>
      </x:c>
      <x:c r="Y4" s="100" t="str">
        <x:f>IF('Master'!Z219="","",'Master'!Z219)</x:f>
      </x:c>
      <x:c r="Z4" s="100" t="str">
        <x:f>IF('Master'!AA219="","",'Master'!AA219)</x:f>
        <x:v>30 fps</x:v>
      </x:c>
      <x:c r="AA4" s="104" t="str">
        <x:f>IF('Master'!AB219="","",'Master'!AB219)</x:f>
      </x:c>
      <x:c r="AB4" s="100" t="str">
        <x:f>IF('Master'!AC219="","",'Master'!AC219)</x:f>
      </x:c>
      <x:c r="AC4" s="100" t="str">
        <x:f>IF('Master'!AD219="","",'Master'!AD219)</x:f>
      </x:c>
      <x:c r="AD4" s="100" t="str">
        <x:f>IF('Master'!AE219="","",'Master'!AE219)</x:f>
      </x:c>
      <x:c r="AE4" s="100" t="str">
        <x:f>IF('Master'!AF219="","",'Master'!AF219)</x:f>
      </x:c>
      <x:c r="AF4" s="75" t="str">
        <x:f>IF('Master'!AG219="","",'Master'!AG219)</x:f>
        <x:v>Provider-dependent</x:v>
      </x:c>
    </x:row>
    <x:row r="5" ht="36" customHeight="1">
      <x:c r="A5" s="135" t="str">
        <x:v>Paid / Boost Screen Share Max</x:v>
      </x:c>
      <x:c r="B5" s="100" t="str">
        <x:f>IF('Master'!C220="","",'Master'!C220)</x:f>
        <x:v>Up to 4K/60 fps with Nitro/Nitro Classic</x:v>
      </x:c>
      <x:c r="C5" s="100" t="str">
        <x:f>IF('Master'!D220="","",'Master'!D220)</x:f>
      </x:c>
      <x:c r="D5" s="100" t="str">
        <x:f>IF('Master'!E220="","",'Master'!E220)</x:f>
        <x:v>Operator-configurable</x:v>
      </x:c>
      <x:c r="E5" s="100" t="str">
        <x:f>IF('Master'!F220="","",'Master'!F220)</x:f>
      </x:c>
      <x:c r="F5" s="100" t="str">
        <x:f>IF('Master'!G220="","",'Master'!G220)</x:f>
      </x:c>
      <x:c r="G5" s="100" t="str">
        <x:f>IF('Master'!H220="","",'Master'!H220)</x:f>
        <x:v>Up to 4K/60 with Plutonium</x:v>
      </x:c>
      <x:c r="H5" s="100" t="str">
        <x:f>IF('Master'!I220="","",'Master'!I220)</x:f>
        <x:v>Up to 4K/60 Diamond</x:v>
      </x:c>
      <x:c r="I5" s="100" t="str">
        <x:f>IF('Master'!J220="","",'Master'!J220)</x:f>
        <x:v>N/A</x:v>
      </x:c>
      <x:c r="J5" s="100" t="str">
        <x:f>IF('Master'!K220="","",'Master'!K220)</x:f>
        <x:v>N/A</x:v>
      </x:c>
      <x:c r="K5" s="100" t="str">
        <x:f>IF('Master'!L220="","",'Master'!L220)</x:f>
        <x:v>No paid quality tier; documented presets are current/free</x:v>
      </x:c>
      <x:c r="L5" s="100" t="str">
        <x:f>IF('Master'!M220="","",'Master'!M220)</x:f>
      </x:c>
      <x:c r="M5" s="100" t="str">
        <x:f>IF('Master'!N220="","",'Master'!N220)</x:f>
      </x:c>
      <x:c r="N5" s="100" t="str">
        <x:f>IF('Master'!O220="","",'Master'!O220)</x:f>
        <x:v>Client/provider-dependent</x:v>
      </x:c>
      <x:c r="O5" s="100" t="str">
        <x:f>IF('Master'!P220="","",'Master'!P220)</x:f>
        <x:v>Plan/deployment-dependent</x:v>
      </x:c>
      <x:c r="P5" s="100" t="str">
        <x:f>IF('Master'!Q220="","",'Master'!Q220)</x:f>
        <x:v>No paid cap claimed</x:v>
      </x:c>
      <x:c r="Q5" s="100" t="str">
        <x:f>IF('Master'!R220="","",'Master'!R220)</x:f>
        <x:v>N/A</x:v>
      </x:c>
      <x:c r="R5" s="100" t="str">
        <x:f>IF('Master'!S220="","",'Master'!S220)</x:f>
      </x:c>
      <x:c r="S5" s="100" t="str">
        <x:f>IF('Master'!T220="","",'Master'!T220)</x:f>
      </x:c>
      <x:c r="T5" s="100" t="str">
        <x:f>IF('Master'!U220="","",'Master'!U220)</x:f>
        <x:v>No paid tier — 1080p free</x:v>
      </x:c>
      <x:c r="U5" s="100" t="str">
        <x:f>IF('Master'!V220="","",'Master'!V220)</x:f>
        <x:v>1440p60 with Rift+</x:v>
      </x:c>
      <x:c r="V5" s="100" t="str">
        <x:f>IF('Master'!W220="","",'Master'!W220)</x:f>
        <x:v>Provider-dependent</x:v>
      </x:c>
      <x:c r="W5" s="100" t="str">
        <x:f>IF('Master'!X220="","",'Master'!X220)</x:f>
        <x:v>N/A</x:v>
      </x:c>
      <x:c r="X5" s="100" t="str">
        <x:f>IF('Master'!Y220="","",'Master'!Y220)</x:f>
        <x:v>Up to 1440p/60 with Sudo</x:v>
      </x:c>
      <x:c r="Y5" s="100" t="str">
        <x:f>IF('Master'!Z220="","",'Master'!Z220)</x:f>
        <x:v>Operator/config dependent</x:v>
      </x:c>
      <x:c r="Z5" s="100" t="str">
        <x:f>IF('Master'!AA220="","",'Master'!AA220)</x:f>
        <x:v>No separate paid screen-share entitlement publicly stated</x:v>
      </x:c>
      <x:c r="AA5" s="104" t="str">
        <x:f>IF('Master'!AB220="","",'Master'!AB220)</x:f>
      </x:c>
      <x:c r="AB5" s="100" t="str">
        <x:f>IF('Master'!AC220="","",'Master'!AC220)</x:f>
      </x:c>
      <x:c r="AC5" s="100" t="str">
        <x:f>IF('Master'!AD220="","",'Master'!AD220)</x:f>
      </x:c>
      <x:c r="AD5" s="100" t="str">
        <x:f>IF('Master'!AE220="","",'Master'!AE220)</x:f>
        <x:v>Free/unmetered claim</x:v>
      </x:c>
      <x:c r="AE5" s="100" t="str">
        <x:f>IF('Master'!AF220="","",'Master'!AF220)</x:f>
        <x:v>Up to 1440p included</x:v>
      </x:c>
      <x:c r="AF5" s="75" t="str">
        <x:f>IF('Master'!AG220="","",'Master'!AG220)</x:f>
        <x:v>Provider-dependent</x:v>
      </x:c>
    </x:row>
    <x:row r="6" ht="36" customHeight="1">
      <x:c r="A6" s="135" t="str">
        <x:v>Application Audio Capture</x:v>
      </x:c>
      <x:c r="B6" s="100" t="str">
        <x:f>IF('Master'!C251="","",'Master'!C251)</x:f>
        <x:v>Yes — Windows, macOS, Chrome, mobile; Linux audio sharing unavailable</x:v>
      </x:c>
      <x:c r="C6" s="100" t="str">
        <x:f>IF('Master'!D251="","",'Master'!D251)</x:f>
      </x:c>
      <x:c r="D6" s="100" t="str">
        <x:f>IF('Master'!E251="","",'Master'!E251)</x:f>
        <x:v>Yes</x:v>
      </x:c>
      <x:c r="E6" s="100" t="str">
        <x:f>IF('Master'!F251="","",'Master'!F251)</x:f>
        <x:v>Yes</x:v>
      </x:c>
      <x:c r="F6" s="100" t="str">
        <x:f>IF('Master'!G251="","",'Master'!G251)</x:f>
        <x:v>Yes — screen sharing exists in alpha</x:v>
      </x:c>
      <x:c r="G6" s="100" t="str">
        <x:f>IF('Master'!H251="","",'Master'!H251)</x:f>
        <x:v>Yes</x:v>
      </x:c>
      <x:c r="H6" s="100" t="str">
        <x:f>IF('Master'!I251="","",'Master'!I251)</x:f>
        <x:v>Yes</x:v>
      </x:c>
      <x:c r="I6" s="100" t="str">
        <x:f>IF('Master'!J251="","",'Master'!J251)</x:f>
      </x:c>
      <x:c r="J6" s="100" t="str">
        <x:f>IF('Master'!K251="","",'Master'!K251)</x:f>
        <x:v>Yes on supported desktop platforms; per-app capture documented for Windows/Linux</x:v>
      </x:c>
      <x:c r="K6" s="100" t="str">
        <x:f>IF('Master'!L251="","",'Master'!L251)</x:f>
        <x:v>Browser: depends on browser/surface. Native desktop system-audio loopback is currently disabled. Android/iOS screen share excludes system audio.</x:v>
      </x:c>
      <x:c r="L6" s="100" t="str">
        <x:f>IF('Master'!M251="","",'Master'!M251)</x:f>
      </x:c>
      <x:c r="M6" s="100" t="str">
        <x:f>IF('Master'!N251="","",'Master'!N251)</x:f>
        <x:v>Yes</x:v>
      </x:c>
      <x:c r="N6" s="100" t="str">
        <x:f>IF('Master'!O251="","",'Master'!O251)</x:f>
        <x:v>Varies by client</x:v>
      </x:c>
      <x:c r="O6" s="100" t="str">
        <x:f>IF('Master'!P251="","",'Master'!P251)</x:f>
        <x:v>Yes</x:v>
      </x:c>
      <x:c r="P6" s="100" t="str">
        <x:f>IF('Master'!Q251="","",'Master'!Q251)</x:f>
        <x:v>Yes</x:v>
      </x:c>
      <x:c r="Q6" s="100" t="str">
        <x:f>IF('Master'!R251="","",'Master'!R251)</x:f>
        <x:v>N/A</x:v>
      </x:c>
      <x:c r="R6" s="100" t="str">
        <x:f>IF('Master'!S251="","",'Master'!S251)</x:f>
      </x:c>
      <x:c r="S6" s="100" t="str">
        <x:f>IF('Master'!T251="","",'Master'!T251)</x:f>
        <x:v>Yes</x:v>
      </x:c>
      <x:c r="T6" s="100" t="str">
        <x:f>IF('Master'!U251="","",'Master'!U251)</x:f>
        <x:v>Yes — browser tab audio</x:v>
      </x:c>
      <x:c r="U6" s="100" t="str">
        <x:f>IF('Master'!V251="","",'Master'!V251)</x:f>
        <x:v>Yes</x:v>
      </x:c>
      <x:c r="V6" s="100" t="str">
        <x:f>IF('Master'!W251="","",'Master'!W251)</x:f>
        <x:v>Provider-dependent</x:v>
      </x:c>
      <x:c r="W6" s="100" t="str">
        <x:f>IF('Master'!X251="","",'Master'!X251)</x:f>
        <x:v>N/A</x:v>
      </x:c>
      <x:c r="X6" s="100" t="str">
        <x:f>IF('Master'!Y251="","",'Master'!Y251)</x:f>
        <x:v>Yes — share stream audio</x:v>
      </x:c>
      <x:c r="Y6" s="100" t="str">
        <x:f>IF('Master'!Z251="","",'Master'!Z251)</x:f>
        <x:v>Go Live supported by recommended Pion implementation</x:v>
      </x:c>
      <x:c r="Z6" s="100" t="str">
        <x:f>IF('Master'!AA251="","",'Master'!AA251)</x:f>
        <x:v>Yes — whole-screen and window audio</x:v>
      </x:c>
      <x:c r="AA6" s="104" t="str">
        <x:f>IF('Master'!AB251="","",'Master'!AB251)</x:f>
        <x:v>Yes</x:v>
      </x:c>
      <x:c r="AB6" s="100" t="str">
        <x:f>IF('Master'!AC251="","",'Master'!AC251)</x:f>
      </x:c>
      <x:c r="AC6" s="100" t="str">
        <x:f>IF('Master'!AD251="","",'Master'!AD251)</x:f>
      </x:c>
      <x:c r="AD6" s="100" t="str">
        <x:f>IF('Master'!AE251="","",'Master'!AE251)</x:f>
        <x:v>Yes</x:v>
      </x:c>
      <x:c r="AE6" s="100" t="str">
        <x:f>IF('Master'!AF251="","",'Master'!AF251)</x:f>
        <x:v>Yes — screen share with audio</x:v>
      </x:c>
      <x:c r="AF6" s="75" t="str">
        <x:f>IF('Master'!AG251="","",'Master'!AG251)</x:f>
        <x:v>Provider-dependent</x:v>
      </x:c>
    </x:row>
    <x:row r="7" ht="36" customHeight="1">
      <x:c r="A7" s="135" t="str">
        <x:v>System Audio Capture</x:v>
      </x:c>
      <x:c r="B7" s="100" t="str">
        <x:f>IF('Master'!C252="","",'Master'!C252)</x:f>
        <x:v>Yes on supported platforms</x:v>
      </x:c>
      <x:c r="C7" s="100" t="str">
        <x:f>IF('Master'!D252="","",'Master'!D252)</x:f>
      </x:c>
      <x:c r="D7" s="100" t="str">
        <x:f>IF('Master'!E252="","",'Master'!E252)</x:f>
      </x:c>
      <x:c r="E7" s="100" t="str">
        <x:f>IF('Master'!F252="","",'Master'!F252)</x:f>
      </x:c>
      <x:c r="F7" s="100" t="str">
        <x:f>IF('Master'!G252="","",'Master'!G252)</x:f>
      </x:c>
      <x:c r="G7" s="100" t="str">
        <x:f>IF('Master'!H252="","",'Master'!H252)</x:f>
        <x:v>Yes on supported desktop paths</x:v>
      </x:c>
      <x:c r="H7" s="100" t="str">
        <x:f>IF('Master'!I252="","",'Master'!I252)</x:f>
      </x:c>
      <x:c r="I7" s="100" t="str">
        <x:f>IF('Master'!J252="","",'Master'!J252)</x:f>
      </x:c>
      <x:c r="J7" s="100" t="str">
        <x:f>IF('Master'!K252="","",'Master'!K252)</x:f>
      </x:c>
      <x:c r="K7" s="100" t="str">
        <x:f>IF('Master'!L252="","",'Master'!L252)</x:f>
        <x:v>Browser: depends on browser/surface. Native desktop system-audio loopback is currently disabled. Android/iOS screen share excludes system audio.</x:v>
      </x:c>
      <x:c r="L7" s="100" t="str">
        <x:f>IF('Master'!M252="","",'Master'!M252)</x:f>
      </x:c>
      <x:c r="M7" s="100" t="str">
        <x:f>IF('Master'!N252="","",'Master'!N252)</x:f>
      </x:c>
      <x:c r="N7" s="100" t="str">
        <x:f>IF('Master'!O252="","",'Master'!O252)</x:f>
        <x:v>Varies by client</x:v>
      </x:c>
      <x:c r="O7" s="100" t="str">
        <x:f>IF('Master'!P252="","",'Master'!P252)</x:f>
        <x:v>Yes</x:v>
      </x:c>
      <x:c r="P7" s="100" t="str">
        <x:f>IF('Master'!Q252="","",'Master'!Q252)</x:f>
      </x:c>
      <x:c r="Q7" s="100" t="str">
        <x:f>IF('Master'!R252="","",'Master'!R252)</x:f>
        <x:v>N/A</x:v>
      </x:c>
      <x:c r="R7" s="100" t="str">
        <x:f>IF('Master'!S252="","",'Master'!S252)</x:f>
      </x:c>
      <x:c r="S7" s="100" t="str">
        <x:f>IF('Master'!T252="","",'Master'!T252)</x:f>
      </x:c>
      <x:c r="T7" s="100" t="str">
        <x:f>IF('Master'!U252="","",'Master'!U252)</x:f>
        <x:v>Browser tab audio supported; full system-audio capture not publicly claimed</x:v>
      </x:c>
      <x:c r="U7" s="100" t="str">
        <x:f>IF('Master'!V252="","",'Master'!V252)</x:f>
        <x:v>Yes</x:v>
      </x:c>
      <x:c r="V7" s="100" t="str">
        <x:f>IF('Master'!W252="","",'Master'!W252)</x:f>
        <x:v>Provider-dependent</x:v>
      </x:c>
      <x:c r="W7" s="100" t="str">
        <x:f>IF('Master'!X252="","",'Master'!X252)</x:f>
        <x:v>N/A</x:v>
      </x:c>
      <x:c r="X7" s="100" t="str">
        <x:f>IF('Master'!Y252="","",'Master'!Y252)</x:f>
        <x:v>Yes on supported desktop</x:v>
      </x:c>
      <x:c r="Y7" s="100" t="str">
        <x:f>IF('Master'!Z252="","",'Master'!Z252)</x:f>
      </x:c>
      <x:c r="Z7" s="100" t="str">
        <x:f>IF('Master'!AA252="","",'Master'!AA252)</x:f>
        <x:v>Yes — whole-screen/window audio; Wayland audio can be unreliable</x:v>
      </x:c>
      <x:c r="AA7" s="104" t="str">
        <x:f>IF('Master'!AB252="","",'Master'!AB252)</x:f>
      </x:c>
      <x:c r="AB7" s="100" t="str">
        <x:f>IF('Master'!AC252="","",'Master'!AC252)</x:f>
      </x:c>
      <x:c r="AC7" s="100" t="str">
        <x:f>IF('Master'!AD252="","",'Master'!AD252)</x:f>
      </x:c>
      <x:c r="AD7" s="100" t="str">
        <x:f>IF('Master'!AE252="","",'Master'!AE252)</x:f>
      </x:c>
      <x:c r="AE7" s="100" t="str">
        <x:f>IF('Master'!AF252="","",'Master'!AF252)</x:f>
      </x:c>
      <x:c r="AF7" s="75" t="str">
        <x:f>IF('Master'!AG252="","",'Master'!AG252)</x:f>
        <x:v>Provider-dependent</x:v>
      </x:c>
    </x:row>
    <x:row r="8" ht="36" customHeight="1">
      <x:c r="A8" s="135" t="str">
        <x:v>Simultaneous Multi-Stream Viewing</x:v>
      </x:c>
      <x:c r="B8" s="100" t="str">
        <x:f>IF('Master'!C257="","",'Master'!C257)</x:f>
        <x:v>Yes</x:v>
      </x:c>
      <x:c r="C8" s="100" t="str">
        <x:f>IF('Master'!D257="","",'Master'!D257)</x:f>
      </x:c>
      <x:c r="D8" s="100" t="str">
        <x:f>IF('Master'!E257="","",'Master'!E257)</x:f>
      </x:c>
      <x:c r="E8" s="100" t="str">
        <x:f>IF('Master'!F257="","",'Master'!F257)</x:f>
        <x:v>Yes</x:v>
      </x:c>
      <x:c r="F8" s="100" t="str">
        <x:f>IF('Master'!G257="","",'Master'!G257)</x:f>
        <x:v>Yes</x:v>
      </x:c>
      <x:c r="G8" s="100" t="str">
        <x:f>IF('Master'!H257="","",'Master'!H257)</x:f>
        <x:v>Yes</x:v>
      </x:c>
      <x:c r="H8" s="100" t="str">
        <x:f>IF('Master'!I257="","",'Master'!I257)</x:f>
        <x:v>Yes</x:v>
      </x:c>
      <x:c r="I8" s="100" t="str">
        <x:f>IF('Master'!J257="","",'Master'!J257)</x:f>
      </x:c>
      <x:c r="J8" s="100" t="str">
        <x:f>IF('Master'!K257="","",'Master'!K257)</x:f>
      </x:c>
      <x:c r="K8" s="100" t="str">
        <x:f>IF('Master'!L257="","",'Master'!L257)</x:f>
        <x:v>Not documented</x:v>
      </x:c>
      <x:c r="L8" s="100" t="str">
        <x:f>IF('Master'!M257="","",'Master'!M257)</x:f>
      </x:c>
      <x:c r="M8" s="100" t="str">
        <x:f>IF('Master'!N257="","",'Master'!N257)</x:f>
        <x:v>Yes</x:v>
      </x:c>
      <x:c r="N8" s="100" t="str">
        <x:f>IF('Master'!O257="","",'Master'!O257)</x:f>
        <x:v>Varies by client</x:v>
      </x:c>
      <x:c r="O8" s="100" t="str">
        <x:f>IF('Master'!P257="","",'Master'!P257)</x:f>
        <x:v>Yes</x:v>
      </x:c>
      <x:c r="P8" s="100" t="str">
        <x:f>IF('Master'!Q257="","",'Master'!Q257)</x:f>
        <x:v>Yes</x:v>
      </x:c>
      <x:c r="Q8" s="100" t="str">
        <x:f>IF('Master'!R257="","",'Master'!R257)</x:f>
        <x:v>N/A</x:v>
      </x:c>
      <x:c r="R8" s="100" t="str">
        <x:f>IF('Master'!S257="","",'Master'!S257)</x:f>
      </x:c>
      <x:c r="S8" s="100" t="str">
        <x:f>IF('Master'!T257="","",'Master'!T257)</x:f>
        <x:v>Yes</x:v>
      </x:c>
      <x:c r="T8" s="100" t="str">
        <x:f>IF('Master'!U257="","",'Master'!U257)</x:f>
        <x:v>Yes — 2 presenters in smaller rooms, 4 in big rooms</x:v>
      </x:c>
      <x:c r="U8" s="100" t="str">
        <x:f>IF('Master'!V257="","",'Master'!V257)</x:f>
        <x:v>Yes</x:v>
      </x:c>
      <x:c r="V8" s="100" t="str">
        <x:f>IF('Master'!W257="","",'Master'!W257)</x:f>
        <x:v>Provider-dependent</x:v>
      </x:c>
      <x:c r="W8" s="100" t="str">
        <x:f>IF('Master'!X257="","",'Master'!X257)</x:f>
        <x:v>N/A</x:v>
      </x:c>
      <x:c r="X8" s="100" t="str">
        <x:f>IF('Master'!Y257="","",'Master'!Y257)</x:f>
        <x:v>Yes</x:v>
      </x:c>
      <x:c r="Y8" s="100" t="str">
        <x:f>IF('Master'!Z257="","",'Master'!Z257)</x:f>
      </x:c>
      <x:c r="Z8" s="100" t="str">
        <x:f>IF('Master'!AA257="","",'Master'!AA257)</x:f>
        <x:v>Yes — no stated limit on simultaneous shared screens</x:v>
      </x:c>
      <x:c r="AA8" s="104" t="str">
        <x:f>IF('Master'!AB257="","",'Master'!AB257)</x:f>
        <x:v>Yes</x:v>
      </x:c>
      <x:c r="AB8" s="100" t="str">
        <x:f>IF('Master'!AC257="","",'Master'!AC257)</x:f>
      </x:c>
      <x:c r="AC8" s="100" t="str">
        <x:f>IF('Master'!AD257="","",'Master'!AD257)</x:f>
      </x:c>
      <x:c r="AD8" s="100" t="str">
        <x:f>IF('Master'!AE257="","",'Master'!AE257)</x:f>
        <x:v>Yes</x:v>
      </x:c>
      <x:c r="AE8" s="100" t="str">
        <x:f>IF('Master'!AF257="","",'Master'!AF257)</x:f>
      </x:c>
      <x:c r="AF8" s="75" t="str">
        <x:f>IF('Master'!AG257="","",'Master'!AG257)</x:f>
        <x:v>Provider-dependent</x:v>
      </x:c>
    </x:row>
    <x:row r="9" ht="36" customHeight="1">
      <x:c r="A9" s="135" t="str">
        <x:v>Webcam Grid Limit</x:v>
      </x:c>
      <x:c r="B9" s="100" t="str">
        <x:f>IF('Master'!C221="","",'Master'!C221)</x:f>
        <x:v>25 participants in a server voice channel when video is active</x:v>
      </x:c>
      <x:c r="C9" s="100" t="str">
        <x:f>IF('Master'!D221="","",'Master'!D221)</x:f>
      </x:c>
      <x:c r="D9" s="100" t="str">
        <x:f>IF('Master'!E221="","",'Master'!E221)</x:f>
      </x:c>
      <x:c r="E9" s="100" t="str">
        <x:f>IF('Master'!F221="","",'Master'!F221)</x:f>
      </x:c>
      <x:c r="F9" s="100" t="str">
        <x:f>IF('Master'!G221="","",'Master'!G221)</x:f>
      </x:c>
      <x:c r="G9" s="100" t="str">
        <x:f>IF('Master'!H221="","",'Master'!H221)</x:f>
      </x:c>
      <x:c r="H9" s="100" t="str">
        <x:f>IF('Master'!I221="","",'Master'!I221)</x:f>
      </x:c>
      <x:c r="I9" s="100" t="str">
        <x:f>IF('Master'!J221="","",'Master'!J221)</x:f>
      </x:c>
      <x:c r="J9" s="100" t="str">
        <x:f>IF('Master'!K221="","",'Master'!K221)</x:f>
      </x:c>
      <x:c r="K9" s="100" t="str">
        <x:f>IF('Master'!L221="","",'Master'!L221)</x:f>
        <x:v>Not documented</x:v>
      </x:c>
      <x:c r="L9" s="100" t="str">
        <x:f>IF('Master'!M221="","",'Master'!M221)</x:f>
      </x:c>
      <x:c r="M9" s="100" t="str">
        <x:f>IF('Master'!N221="","",'Master'!N221)</x:f>
        <x:v>25+ grid claimed</x:v>
      </x:c>
      <x:c r="N9" s="100" t="str">
        <x:f>IF('Master'!O221="","",'Master'!O221)</x:f>
        <x:v>Varies by client</x:v>
      </x:c>
      <x:c r="O9" s="100" t="str">
        <x:f>IF('Master'!P221="","",'Master'!P221)</x:f>
        <x:v>Up to plan/deployment limit</x:v>
      </x:c>
      <x:c r="P9" s="100" t="str">
        <x:f>IF('Master'!Q221="","",'Master'!Q221)</x:f>
      </x:c>
      <x:c r="Q9" s="100" t="str">
        <x:f>IF('Master'!R221="","",'Master'!R221)</x:f>
        <x:v>N/A</x:v>
      </x:c>
      <x:c r="R9" s="100" t="str">
        <x:f>IF('Master'!S221="","",'Master'!S221)</x:f>
      </x:c>
      <x:c r="S9" s="100" t="str">
        <x:f>IF('Master'!T221="","",'Master'!T221)</x:f>
      </x:c>
      <x:c r="T9" s="100" t="str">
        <x:f>IF('Master'!U221="","",'Master'!U221)</x:f>
        <x:v>Not publicly claimed; camera is available in DM calls</x:v>
      </x:c>
      <x:c r="U9" s="100" t="str">
        <x:f>IF('Master'!V221="","",'Master'!V221)</x:f>
      </x:c>
      <x:c r="V9" s="100" t="str">
        <x:f>IF('Master'!W221="","",'Master'!W221)</x:f>
        <x:v>Provider-dependent</x:v>
      </x:c>
      <x:c r="W9" s="100" t="str">
        <x:f>IF('Master'!X221="","",'Master'!X221)</x:f>
        <x:v>N/A</x:v>
      </x:c>
      <x:c r="X9" s="100" t="str">
        <x:f>IF('Master'!Y221="","",'Master'!Y221)</x:f>
      </x:c>
      <x:c r="Y9" s="100" t="str">
        <x:f>IF('Master'!Z221="","",'Master'!Z221)</x:f>
      </x:c>
      <x:c r="Z9" s="100" t="str">
        <x:f>IF('Master'!AA221="","",'Master'!AA221)</x:f>
        <x:v>No stated camera-per-call limit</x:v>
      </x:c>
      <x:c r="AA9" s="104" t="str">
        <x:f>IF('Master'!AB221="","",'Master'!AB221)</x:f>
      </x:c>
      <x:c r="AB9" s="100" t="str">
        <x:f>IF('Master'!AC221="","",'Master'!AC221)</x:f>
      </x:c>
      <x:c r="AC9" s="100" t="str">
        <x:f>IF('Master'!AD221="","",'Master'!AD221)</x:f>
      </x:c>
      <x:c r="AD9" s="100" t="str">
        <x:f>IF('Master'!AE221="","",'Master'!AE221)</x:f>
      </x:c>
      <x:c r="AE9" s="100" t="str">
        <x:f>IF('Master'!AF221="","",'Master'!AF221)</x:f>
      </x:c>
      <x:c r="AF9" s="75" t="str">
        <x:f>IF('Master'!AG221="","",'Master'!AG221)</x:f>
        <x:v>Provider-dependent</x:v>
      </x:c>
    </x:row>
    <x:row r="10" ht="36" customHeight="1">
      <x:c r="A10" s="135" t="str">
        <x:v>Stage Presentation Mode</x:v>
      </x:c>
      <x:c r="B10" s="100" t="str">
        <x:f>IF('Master'!C222="","",'Master'!C222)</x:f>
        <x:v>Yes — Stage supports video/screen share; 1 shared screen at a time</x:v>
      </x:c>
      <x:c r="C10" s="100" t="str">
        <x:f>IF('Master'!D222="","",'Master'!D222)</x:f>
      </x:c>
      <x:c r="D10" s="100" t="str">
        <x:f>IF('Master'!E222="","",'Master'!E222)</x:f>
      </x:c>
      <x:c r="E10" s="100" t="str">
        <x:f>IF('Master'!F222="","",'Master'!F222)</x:f>
      </x:c>
      <x:c r="F10" s="100" t="str">
        <x:f>IF('Master'!G222="","",'Master'!G222)</x:f>
      </x:c>
      <x:c r="G10" s="100" t="str">
        <x:f>IF('Master'!H222="","",'Master'!H222)</x:f>
      </x:c>
      <x:c r="H10" s="100" t="str">
        <x:f>IF('Master'!I222="","",'Master'!I222)</x:f>
      </x:c>
      <x:c r="I10" s="100" t="str">
        <x:f>IF('Master'!J222="","",'Master'!J222)</x:f>
      </x:c>
      <x:c r="J10" s="100" t="str">
        <x:f>IF('Master'!K222="","",'Master'!K222)</x:f>
      </x:c>
      <x:c r="K10" s="100" t="str">
        <x:f>IF('Master'!L222="","",'Master'!L222)</x:f>
        <x:v>Yes — developer reports Stage channels; screen-share publication is separately permissioned</x:v>
      </x:c>
      <x:c r="L10" s="100" t="str">
        <x:f>IF('Master'!M222="","",'Master'!M222)</x:f>
      </x:c>
      <x:c r="M10" s="100" t="str">
        <x:f>IF('Master'!N222="","",'Master'!N222)</x:f>
      </x:c>
      <x:c r="N10" s="100" t="str">
        <x:f>IF('Master'!O222="","",'Master'!O222)</x:f>
        <x:v>Varies by client</x:v>
      </x:c>
      <x:c r="O10" s="100" t="str">
        <x:f>IF('Master'!P222="","",'Master'!P222)</x:f>
        <x:v>Presentation via Calls</x:v>
      </x:c>
      <x:c r="P10" s="100" t="str">
        <x:f>IF('Master'!Q222="","",'Master'!Q222)</x:f>
      </x:c>
      <x:c r="Q10" s="100" t="str">
        <x:f>IF('Master'!R222="","",'Master'!R222)</x:f>
        <x:v>N/A</x:v>
      </x:c>
      <x:c r="R10" s="100" t="str">
        <x:f>IF('Master'!S222="","",'Master'!S222)</x:f>
      </x:c>
      <x:c r="S10" s="100" t="str">
        <x:f>IF('Master'!T222="","",'Master'!T222)</x:f>
      </x:c>
      <x:c r="T10" s="100" t="str">
        <x:f>IF('Master'!U222="","",'Master'!U222)</x:f>
        <x:v>No Stage</x:v>
      </x:c>
      <x:c r="U10" s="100" t="str">
        <x:f>IF('Master'!V222="","",'Master'!V222)</x:f>
        <x:v>No Stage</x:v>
      </x:c>
      <x:c r="V10" s="100" t="str">
        <x:f>IF('Master'!W222="","",'Master'!W222)</x:f>
        <x:v>Provider-dependent</x:v>
      </x:c>
      <x:c r="W10" s="100" t="str">
        <x:f>IF('Master'!X222="","",'Master'!X222)</x:f>
        <x:v>N/A</x:v>
      </x:c>
      <x:c r="X10" s="100" t="str">
        <x:f>IF('Master'!Y222="","",'Master'!Y222)</x:f>
        <x:v>No dedicated Stage mode verified</x:v>
      </x:c>
      <x:c r="Y10" s="100" t="str">
        <x:f>IF('Master'!Z222="","",'Master'!Z222)</x:f>
      </x:c>
      <x:c r="Z10" s="100" t="str">
        <x:f>IF('Master'!AA222="","",'Master'!AA222)</x:f>
      </x:c>
      <x:c r="AA10" s="104" t="str">
        <x:f>IF('Master'!AB222="","",'Master'!AB222)</x:f>
      </x:c>
      <x:c r="AB10" s="100" t="str">
        <x:f>IF('Master'!AC222="","",'Master'!AC222)</x:f>
      </x:c>
      <x:c r="AC10" s="100" t="str">
        <x:f>IF('Master'!AD222="","",'Master'!AD222)</x:f>
      </x:c>
      <x:c r="AD10" s="100" t="str">
        <x:f>IF('Master'!AE222="","",'Master'!AE222)</x:f>
        <x:v>Room stage supports media</x:v>
      </x:c>
      <x:c r="AE10" s="100" t="str">
        <x:f>IF('Master'!AF222="","",'Master'!AF222)</x:f>
      </x:c>
      <x:c r="AF10" s="75" t="str">
        <x:f>IF('Master'!AG222="","",'Master'!AG222)</x:f>
        <x:v>Provider-dependent</x:v>
      </x:c>
    </x:row>
    <x:row r="11" ht="22" customHeight="1">
      <x:c r="A11" s="138" t="str">
        <x:v>Capture, Mobile &amp; Multi-Stream</x:v>
      </x:c>
      <x:c r="B11" s="138" t="str">
        <x:f>IF(""="","","")</x:f>
      </x:c>
      <x:c r="C11" s="138" t="str">
        <x:f>IF(""="","","")</x:f>
      </x:c>
      <x:c r="D11" s="138" t="str">
        <x:f>IF(""="","","")</x:f>
      </x:c>
      <x:c r="E11" s="138" t="str">
        <x:f>IF(""="","","")</x:f>
      </x:c>
      <x:c r="F11" s="138" t="str">
        <x:f>IF(""="","","")</x:f>
      </x:c>
      <x:c r="G11" s="138" t="str">
        <x:f>IF(""="","","")</x:f>
      </x:c>
      <x:c r="H11" s="138" t="str">
        <x:f>IF(""="","","")</x:f>
      </x:c>
      <x:c r="I11" s="138" t="str">
        <x:f>IF(""="","","")</x:f>
      </x:c>
      <x:c r="J11" s="138" t="str">
        <x:f>IF(""="","","")</x:f>
      </x:c>
      <x:c r="K11" s="138" t="str">
        <x:f>IF(""="","","")</x:f>
      </x:c>
      <x:c r="L11" s="138" t="str">
        <x:f>IF(""="","","")</x:f>
      </x:c>
      <x:c r="M11" s="138" t="str">
        <x:f>IF(""="","","")</x:f>
      </x:c>
      <x:c r="N11" s="138" t="str">
        <x:f>IF(""="","","")</x:f>
      </x:c>
      <x:c r="O11" s="138" t="str">
        <x:f>IF(""="","","")</x:f>
      </x:c>
      <x:c r="P11" s="138" t="str">
        <x:f>IF(""="","","")</x:f>
      </x:c>
      <x:c r="Q11" s="138" t="str">
        <x:f>IF(""="","","")</x:f>
      </x:c>
      <x:c r="R11" s="138" t="str">
        <x:f>IF(""="","","")</x:f>
      </x:c>
      <x:c r="S11" s="138" t="str">
        <x:f>IF(""="","","")</x:f>
      </x:c>
      <x:c r="T11" s="138" t="str">
        <x:f>IF(""="","","")</x:f>
      </x:c>
      <x:c r="U11" s="138" t="str">
        <x:f>IF(""="","","")</x:f>
      </x:c>
      <x:c r="V11" s="138" t="str">
        <x:f>IF(""="","","")</x:f>
      </x:c>
      <x:c r="W11" s="138" t="str">
        <x:f>IF(""="","","")</x:f>
      </x:c>
      <x:c r="X11" s="138" t="str">
        <x:f>IF(""="","","")</x:f>
      </x:c>
      <x:c r="Y11" s="138" t="str">
        <x:f>IF(""="","","")</x:f>
      </x:c>
      <x:c r="Z11" s="138" t="str">
        <x:f>IF(""="","","")</x:f>
      </x:c>
      <x:c r="AA11" s="138" t="str">
        <x:f>IF(""="","","")</x:f>
      </x:c>
      <x:c r="AB11" s="138" t="str">
        <x:f>IF(""="","","")</x:f>
      </x:c>
      <x:c r="AC11" s="138" t="str">
        <x:f>IF(""="","","")</x:f>
      </x:c>
      <x:c r="AD11" s="138" t="str">
        <x:f>IF(""="","","")</x:f>
      </x:c>
      <x:c r="AE11" s="138" t="str">
        <x:f>IF(""="","","")</x:f>
      </x:c>
      <x:c r="AF11" s="139" t="str">
        <x:f>IF(""="","","")</x:f>
      </x:c>
    </x:row>
    <x:row r="12" ht="36" customHeight="1">
      <x:c r="A12" s="135" t="str">
        <x:v>Application Audio Capture?</x:v>
      </x:c>
      <x:c r="B12" s="100" t="str">
        <x:f>IF('Master'!C251="","",'Master'!C251)</x:f>
        <x:v>Yes — Windows, macOS, Chrome, mobile; Linux audio sharing unavailable</x:v>
      </x:c>
      <x:c r="C12" s="100" t="str">
        <x:f>IF('Master'!D251="","",'Master'!D251)</x:f>
      </x:c>
      <x:c r="D12" s="100" t="str">
        <x:f>IF('Master'!E251="","",'Master'!E251)</x:f>
        <x:v>Yes</x:v>
      </x:c>
      <x:c r="E12" s="100" t="str">
        <x:f>IF('Master'!F251="","",'Master'!F251)</x:f>
        <x:v>Yes</x:v>
      </x:c>
      <x:c r="F12" s="100" t="str">
        <x:f>IF('Master'!G251="","",'Master'!G251)</x:f>
        <x:v>Yes — screen sharing exists in alpha</x:v>
      </x:c>
      <x:c r="G12" s="100" t="str">
        <x:f>IF('Master'!H251="","",'Master'!H251)</x:f>
        <x:v>Yes</x:v>
      </x:c>
      <x:c r="H12" s="100" t="str">
        <x:f>IF('Master'!I251="","",'Master'!I251)</x:f>
        <x:v>Yes</x:v>
      </x:c>
      <x:c r="I12" s="100" t="str">
        <x:f>IF('Master'!J251="","",'Master'!J251)</x:f>
      </x:c>
      <x:c r="J12" s="100" t="str">
        <x:f>IF('Master'!K251="","",'Master'!K251)</x:f>
        <x:v>Yes on supported desktop platforms; per-app capture documented for Windows/Linux</x:v>
      </x:c>
      <x:c r="K12" s="100" t="str">
        <x:f>IF('Master'!L251="","",'Master'!L251)</x:f>
        <x:v>Browser: depends on browser/surface. Native desktop system-audio loopback is currently disabled. Android/iOS screen share excludes system audio.</x:v>
      </x:c>
      <x:c r="L12" s="100" t="str">
        <x:f>IF('Master'!M251="","",'Master'!M251)</x:f>
      </x:c>
      <x:c r="M12" s="100" t="str">
        <x:f>IF('Master'!N251="","",'Master'!N251)</x:f>
        <x:v>Yes</x:v>
      </x:c>
      <x:c r="N12" s="100" t="str">
        <x:f>IF('Master'!O251="","",'Master'!O251)</x:f>
        <x:v>Varies by client</x:v>
      </x:c>
      <x:c r="O12" s="100" t="str">
        <x:f>IF('Master'!P251="","",'Master'!P251)</x:f>
        <x:v>Yes</x:v>
      </x:c>
      <x:c r="P12" s="100" t="str">
        <x:f>IF('Master'!Q251="","",'Master'!Q251)</x:f>
        <x:v>Yes</x:v>
      </x:c>
      <x:c r="Q12" s="100" t="str">
        <x:f>IF('Master'!R251="","",'Master'!R251)</x:f>
        <x:v>N/A</x:v>
      </x:c>
      <x:c r="R12" s="100" t="str">
        <x:f>IF('Master'!S251="","",'Master'!S251)</x:f>
      </x:c>
      <x:c r="S12" s="100" t="str">
        <x:f>IF('Master'!T251="","",'Master'!T251)</x:f>
        <x:v>Yes</x:v>
      </x:c>
      <x:c r="T12" s="100" t="str">
        <x:f>IF('Master'!U251="","",'Master'!U251)</x:f>
        <x:v>Yes — browser tab audio</x:v>
      </x:c>
      <x:c r="U12" s="100" t="str">
        <x:f>IF('Master'!V251="","",'Master'!V251)</x:f>
        <x:v>Yes</x:v>
      </x:c>
      <x:c r="V12" s="100" t="str">
        <x:f>IF('Master'!W251="","",'Master'!W251)</x:f>
        <x:v>Provider-dependent</x:v>
      </x:c>
      <x:c r="W12" s="100" t="str">
        <x:f>IF('Master'!X251="","",'Master'!X251)</x:f>
        <x:v>N/A</x:v>
      </x:c>
      <x:c r="X12" s="100" t="str">
        <x:f>IF('Master'!Y251="","",'Master'!Y251)</x:f>
        <x:v>Yes — share stream audio</x:v>
      </x:c>
      <x:c r="Y12" s="100" t="str">
        <x:f>IF('Master'!Z251="","",'Master'!Z251)</x:f>
        <x:v>Go Live supported by recommended Pion implementation</x:v>
      </x:c>
      <x:c r="Z12" s="100" t="str">
        <x:f>IF('Master'!AA251="","",'Master'!AA251)</x:f>
        <x:v>Yes — whole-screen and window audio</x:v>
      </x:c>
      <x:c r="AA12" s="104" t="str">
        <x:f>IF('Master'!AB251="","",'Master'!AB251)</x:f>
        <x:v>Yes</x:v>
      </x:c>
      <x:c r="AB12" s="100" t="str">
        <x:f>IF('Master'!AC251="","",'Master'!AC251)</x:f>
      </x:c>
      <x:c r="AC12" s="100" t="str">
        <x:f>IF('Master'!AD251="","",'Master'!AD251)</x:f>
      </x:c>
      <x:c r="AD12" s="100" t="str">
        <x:f>IF('Master'!AE251="","",'Master'!AE251)</x:f>
        <x:v>Yes</x:v>
      </x:c>
      <x:c r="AE12" s="100" t="str">
        <x:f>IF('Master'!AF251="","",'Master'!AF251)</x:f>
        <x:v>Yes — screen share with audio</x:v>
      </x:c>
      <x:c r="AF12" s="75" t="str">
        <x:f>IF('Master'!AG251="","",'Master'!AG251)</x:f>
        <x:v>Provider-dependent</x:v>
      </x:c>
    </x:row>
    <x:row r="13" ht="36" customHeight="1">
      <x:c r="A13" s="135" t="str">
        <x:v>System Audio Capture?</x:v>
      </x:c>
      <x:c r="B13" s="100" t="str">
        <x:f>IF('Master'!C252="","",'Master'!C252)</x:f>
        <x:v>Yes on supported platforms</x:v>
      </x:c>
      <x:c r="C13" s="100" t="str">
        <x:f>IF('Master'!D252="","",'Master'!D252)</x:f>
      </x:c>
      <x:c r="D13" s="100" t="str">
        <x:f>IF('Master'!E252="","",'Master'!E252)</x:f>
      </x:c>
      <x:c r="E13" s="100" t="str">
        <x:f>IF('Master'!F252="","",'Master'!F252)</x:f>
      </x:c>
      <x:c r="F13" s="100" t="str">
        <x:f>IF('Master'!G252="","",'Master'!G252)</x:f>
      </x:c>
      <x:c r="G13" s="100" t="str">
        <x:f>IF('Master'!H252="","",'Master'!H252)</x:f>
        <x:v>Yes on supported desktop paths</x:v>
      </x:c>
      <x:c r="H13" s="100" t="str">
        <x:f>IF('Master'!I252="","",'Master'!I252)</x:f>
      </x:c>
      <x:c r="I13" s="100" t="str">
        <x:f>IF('Master'!J252="","",'Master'!J252)</x:f>
      </x:c>
      <x:c r="J13" s="100" t="str">
        <x:f>IF('Master'!K252="","",'Master'!K252)</x:f>
      </x:c>
      <x:c r="K13" s="100" t="str">
        <x:f>IF('Master'!L252="","",'Master'!L252)</x:f>
        <x:v>Browser: depends on browser/surface. Native desktop system-audio loopback is currently disabled. Android/iOS screen share excludes system audio.</x:v>
      </x:c>
      <x:c r="L13" s="100" t="str">
        <x:f>IF('Master'!M252="","",'Master'!M252)</x:f>
      </x:c>
      <x:c r="M13" s="100" t="str">
        <x:f>IF('Master'!N252="","",'Master'!N252)</x:f>
      </x:c>
      <x:c r="N13" s="100" t="str">
        <x:f>IF('Master'!O252="","",'Master'!O252)</x:f>
        <x:v>Varies by client</x:v>
      </x:c>
      <x:c r="O13" s="100" t="str">
        <x:f>IF('Master'!P252="","",'Master'!P252)</x:f>
        <x:v>Yes</x:v>
      </x:c>
      <x:c r="P13" s="100" t="str">
        <x:f>IF('Master'!Q252="","",'Master'!Q252)</x:f>
      </x:c>
      <x:c r="Q13" s="100" t="str">
        <x:f>IF('Master'!R252="","",'Master'!R252)</x:f>
        <x:v>N/A</x:v>
      </x:c>
      <x:c r="R13" s="100" t="str">
        <x:f>IF('Master'!S252="","",'Master'!S252)</x:f>
      </x:c>
      <x:c r="S13" s="100" t="str">
        <x:f>IF('Master'!T252="","",'Master'!T252)</x:f>
      </x:c>
      <x:c r="T13" s="100" t="str">
        <x:f>IF('Master'!U252="","",'Master'!U252)</x:f>
        <x:v>Browser tab audio supported; full system-audio capture not publicly claimed</x:v>
      </x:c>
      <x:c r="U13" s="100" t="str">
        <x:f>IF('Master'!V252="","",'Master'!V252)</x:f>
        <x:v>Yes</x:v>
      </x:c>
      <x:c r="V13" s="100" t="str">
        <x:f>IF('Master'!W252="","",'Master'!W252)</x:f>
        <x:v>Provider-dependent</x:v>
      </x:c>
      <x:c r="W13" s="100" t="str">
        <x:f>IF('Master'!X252="","",'Master'!X252)</x:f>
        <x:v>N/A</x:v>
      </x:c>
      <x:c r="X13" s="100" t="str">
        <x:f>IF('Master'!Y252="","",'Master'!Y252)</x:f>
        <x:v>Yes on supported desktop</x:v>
      </x:c>
      <x:c r="Y13" s="100" t="str">
        <x:f>IF('Master'!Z252="","",'Master'!Z252)</x:f>
      </x:c>
      <x:c r="Z13" s="100" t="str">
        <x:f>IF('Master'!AA252="","",'Master'!AA252)</x:f>
        <x:v>Yes — whole-screen/window audio; Wayland audio can be unreliable</x:v>
      </x:c>
      <x:c r="AA13" s="104" t="str">
        <x:f>IF('Master'!AB252="","",'Master'!AB252)</x:f>
      </x:c>
      <x:c r="AB13" s="100" t="str">
        <x:f>IF('Master'!AC252="","",'Master'!AC252)</x:f>
      </x:c>
      <x:c r="AC13" s="100" t="str">
        <x:f>IF('Master'!AD252="","",'Master'!AD252)</x:f>
      </x:c>
      <x:c r="AD13" s="100" t="str">
        <x:f>IF('Master'!AE252="","",'Master'!AE252)</x:f>
      </x:c>
      <x:c r="AE13" s="100" t="str">
        <x:f>IF('Master'!AF252="","",'Master'!AF252)</x:f>
      </x:c>
      <x:c r="AF13" s="75" t="str">
        <x:f>IF('Master'!AG252="","",'Master'!AG252)</x:f>
        <x:v>Provider-dependent</x:v>
      </x:c>
    </x:row>
    <x:row r="14" ht="36" customHeight="1">
      <x:c r="A14" s="135" t="str">
        <x:v>Linux Screen Audio?</x:v>
      </x:c>
      <x:c r="B14" s="100" t="str">
        <x:f>IF('Master'!C253="","",'Master'!C253)</x:f>
        <x:v>Linux audio-share limitations</x:v>
      </x:c>
      <x:c r="C14" s="100" t="str">
        <x:f>IF('Master'!D253="","",'Master'!D253)</x:f>
      </x:c>
      <x:c r="D14" s="100" t="str">
        <x:f>IF('Master'!E253="","",'Master'!E253)</x:f>
      </x:c>
      <x:c r="E14" s="100" t="str">
        <x:f>IF('Master'!F253="","",'Master'!F253)</x:f>
      </x:c>
      <x:c r="F14" s="100" t="str">
        <x:f>IF('Master'!G253="","",'Master'!G253)</x:f>
      </x:c>
      <x:c r="G14" s="100" t="str">
        <x:f>IF('Master'!H253="","",'Master'!H253)</x:f>
      </x:c>
      <x:c r="H14" s="100" t="str">
        <x:f>IF('Master'!I253="","",'Master'!I253)</x:f>
      </x:c>
      <x:c r="I14" s="100" t="str">
        <x:f>IF('Master'!J253="","",'Master'!J253)</x:f>
      </x:c>
      <x:c r="J14" s="100" t="str">
        <x:f>IF('Master'!K253="","",'Master'!K253)</x:f>
      </x:c>
      <x:c r="K14" s="100" t="str">
        <x:f>IF('Master'!L253="","",'Master'!L253)</x:f>
        <x:v>No — current native desktop common mixer contract is not enabled; browser may provide surface audio</x:v>
      </x:c>
      <x:c r="L14" s="100" t="str">
        <x:f>IF('Master'!M253="","",'Master'!M253)</x:f>
      </x:c>
      <x:c r="M14" s="100" t="str">
        <x:f>IF('Master'!N253="","",'Master'!N253)</x:f>
      </x:c>
      <x:c r="N14" s="100" t="str">
        <x:f>IF('Master'!O253="","",'Master'!O253)</x:f>
        <x:v>Client-dependent</x:v>
      </x:c>
      <x:c r="O14" s="100" t="str">
        <x:f>IF('Master'!P253="","",'Master'!P253)</x:f>
        <x:v>Depends desktop/Linux support</x:v>
      </x:c>
      <x:c r="P14" s="100" t="str">
        <x:f>IF('Master'!Q253="","",'Master'!Q253)</x:f>
      </x:c>
      <x:c r="Q14" s="100" t="str">
        <x:f>IF('Master'!R253="","",'Master'!R253)</x:f>
        <x:v>N/A</x:v>
      </x:c>
      <x:c r="R14" s="100" t="str">
        <x:f>IF('Master'!S253="","",'Master'!S253)</x:f>
      </x:c>
      <x:c r="S14" s="100" t="str">
        <x:f>IF('Master'!T253="","",'Master'!T253)</x:f>
      </x:c>
      <x:c r="T14" s="100" t="str">
        <x:f>IF('Master'!U253="","",'Master'!U253)</x:f>
        <x:v>Not publicly claimed separately</x:v>
      </x:c>
      <x:c r="U14" s="100" t="str">
        <x:f>IF('Master'!V253="","",'Master'!V253)</x:f>
        <x:v>Yes</x:v>
      </x:c>
      <x:c r="V14" s="100" t="str">
        <x:f>IF('Master'!W253="","",'Master'!W253)</x:f>
        <x:v>Provider-dependent</x:v>
      </x:c>
      <x:c r="W14" s="100" t="str">
        <x:f>IF('Master'!X253="","",'Master'!X253)</x:f>
        <x:v>N/A</x:v>
      </x:c>
      <x:c r="X14" s="100" t="str">
        <x:f>IF('Master'!Y253="","",'Master'!Y253)</x:f>
      </x:c>
      <x:c r="Y14" s="100" t="str">
        <x:f>IF('Master'!Z253="","",'Master'!Z253)</x:f>
      </x:c>
      <x:c r="Z14" s="100" t="str">
        <x:f>IF('Master'!AA253="","",'Master'!AA253)</x:f>
        <x:v>Yes — Wayland sound broadcasting may be unreliable</x:v>
      </x:c>
      <x:c r="AA14" s="104" t="str">
        <x:f>IF('Master'!AB253="","",'Master'!AB253)</x:f>
      </x:c>
      <x:c r="AB14" s="100" t="str">
        <x:f>IF('Master'!AC253="","",'Master'!AC253)</x:f>
      </x:c>
      <x:c r="AC14" s="100" t="str">
        <x:f>IF('Master'!AD253="","",'Master'!AD253)</x:f>
        <x:v>Linux mic I/O known rough edge</x:v>
      </x:c>
      <x:c r="AD14" s="100" t="str">
        <x:f>IF('Master'!AE253="","",'Master'!AE253)</x:f>
      </x:c>
      <x:c r="AE14" s="100" t="str">
        <x:f>IF('Master'!AF253="","",'Master'!AF253)</x:f>
      </x:c>
      <x:c r="AF14" s="75" t="str">
        <x:f>IF('Master'!AG253="","",'Master'!AG253)</x:f>
        <x:v>Provider-dependent</x:v>
      </x:c>
    </x:row>
    <x:row r="15" ht="36" customHeight="1">
      <x:c r="A15" s="135" t="str">
        <x:v>Mobile Screen Share?</x:v>
      </x:c>
      <x:c r="B15" s="100" t="str">
        <x:f>IF('Master'!C254="","",'Master'!C254)</x:f>
        <x:v>Mobile screen share supported</x:v>
      </x:c>
      <x:c r="C15" s="100" t="str">
        <x:f>IF('Master'!D254="","",'Master'!D254)</x:f>
      </x:c>
      <x:c r="D15" s="100" t="str">
        <x:f>IF('Master'!E254="","",'Master'!E254)</x:f>
      </x:c>
      <x:c r="E15" s="100" t="str">
        <x:f>IF('Master'!F254="","",'Master'!F254)</x:f>
      </x:c>
      <x:c r="F15" s="100" t="str">
        <x:f>IF('Master'!G254="","",'Master'!G254)</x:f>
      </x:c>
      <x:c r="G15" s="100" t="str">
        <x:f>IF('Master'!H254="","",'Master'!H254)</x:f>
      </x:c>
      <x:c r="H15" s="100" t="str">
        <x:f>IF('Master'!I254="","",'Master'!I254)</x:f>
      </x:c>
      <x:c r="I15" s="100" t="str">
        <x:f>IF('Master'!J254="","",'Master'!J254)</x:f>
      </x:c>
      <x:c r="J15" s="100" t="str">
        <x:f>IF('Master'!K254="","",'Master'!K254)</x:f>
      </x:c>
      <x:c r="K15" s="100" t="str">
        <x:f>IF('Master'!L254="","",'Master'!L254)</x:f>
        <x:v>Yes — Android MediaProjection and iOS ReplayKit paths documented</x:v>
      </x:c>
      <x:c r="L15" s="100" t="str">
        <x:f>IF('Master'!M254="","",'Master'!M254)</x:f>
      </x:c>
      <x:c r="M15" s="100" t="str">
        <x:f>IF('Master'!N254="","",'Master'!N254)</x:f>
      </x:c>
      <x:c r="N15" s="100" t="str">
        <x:f>IF('Master'!O254="","",'Master'!O254)</x:f>
        <x:v>Client-dependent</x:v>
      </x:c>
      <x:c r="O15" s="100" t="str">
        <x:f>IF('Master'!P254="","",'Master'!P254)</x:f>
        <x:v>Mobile behavior varies</x:v>
      </x:c>
      <x:c r="P15" s="100" t="str">
        <x:f>IF('Master'!Q254="","",'Master'!Q254)</x:f>
      </x:c>
      <x:c r="Q15" s="100" t="str">
        <x:f>IF('Master'!R254="","",'Master'!R254)</x:f>
        <x:v>N/A</x:v>
      </x:c>
      <x:c r="R15" s="100" t="str">
        <x:f>IF('Master'!S254="","",'Master'!S254)</x:f>
      </x:c>
      <x:c r="S15" s="100" t="str">
        <x:f>IF('Master'!T254="","",'Master'!T254)</x:f>
      </x:c>
      <x:c r="T15" s="100" t="str">
        <x:f>IF('Master'!U254="","",'Master'!U254)</x:f>
      </x:c>
      <x:c r="U15" s="100" t="str">
        <x:f>IF('Master'!V254="","",'Master'!V254)</x:f>
        <x:v>Yes - App or Screen</x:v>
      </x:c>
      <x:c r="V15" s="100" t="str">
        <x:f>IF('Master'!W254="","",'Master'!W254)</x:f>
        <x:v>Provider-dependent</x:v>
      </x:c>
      <x:c r="W15" s="100" t="str">
        <x:f>IF('Master'!X254="","",'Master'!X254)</x:f>
        <x:v>N/A</x:v>
      </x:c>
      <x:c r="X15" s="100" t="str">
        <x:f>IF('Master'!Y254="","",'Master'!Y254)</x:f>
        <x:v>No sharing from mobile</x:v>
      </x:c>
      <x:c r="Y15" s="100" t="str">
        <x:f>IF('Master'!Z254="","",'Master'!Z254)</x:f>
      </x:c>
      <x:c r="Z15" s="100" t="str">
        <x:f>IF('Master'!AA254="","",'Master'!AA254)</x:f>
        <x:v>Yes — mobile web, iOS TestFlight and Android</x:v>
      </x:c>
      <x:c r="AA15" s="104" t="str">
        <x:f>IF('Master'!AB254="","",'Master'!AB254)</x:f>
      </x:c>
      <x:c r="AB15" s="100" t="str">
        <x:f>IF('Master'!AC254="","",'Master'!AC254)</x:f>
      </x:c>
      <x:c r="AC15" s="100" t="str">
        <x:f>IF('Master'!AD254="","",'Master'!AD254)</x:f>
      </x:c>
      <x:c r="AD15" s="100" t="str">
        <x:f>IF('Master'!AE254="","",'Master'!AE254)</x:f>
      </x:c>
      <x:c r="AE15" s="100" t="str">
        <x:f>IF('Master'!AF254="","",'Master'!AF254)</x:f>
      </x:c>
      <x:c r="AF15" s="75" t="str">
        <x:f>IF('Master'!AG254="","",'Master'!AG254)</x:f>
        <x:v>Provider-dependent</x:v>
      </x:c>
    </x:row>
    <x:row r="16" ht="36" customHeight="1">
      <x:c r="A16" s="135" t="str">
        <x:v>Multiple Concurrent Screen Shares?</x:v>
      </x:c>
      <x:c r="B16" s="100" t="str">
        <x:f>IF('Master'!C255="","",'Master'!C255)</x:f>
      </x:c>
      <x:c r="C16" s="100" t="str">
        <x:f>IF('Master'!D255="","",'Master'!D255)</x:f>
      </x:c>
      <x:c r="D16" s="100" t="str">
        <x:f>IF('Master'!E255="","",'Master'!E255)</x:f>
      </x:c>
      <x:c r="E16" s="100" t="str">
        <x:f>IF('Master'!F255="","",'Master'!F255)</x:f>
      </x:c>
      <x:c r="F16" s="100" t="str">
        <x:f>IF('Master'!G255="","",'Master'!G255)</x:f>
      </x:c>
      <x:c r="G16" s="100" t="str">
        <x:f>IF('Master'!H255="","",'Master'!H255)</x:f>
      </x:c>
      <x:c r="H16" s="100" t="str">
        <x:f>IF('Master'!I255="","",'Master'!I255)</x:f>
      </x:c>
      <x:c r="I16" s="100" t="str">
        <x:f>IF('Master'!J255="","",'Master'!J255)</x:f>
      </x:c>
      <x:c r="J16" s="100" t="str">
        <x:f>IF('Master'!K255="","",'Master'!K255)</x:f>
        <x:v>P2P</x:v>
      </x:c>
      <x:c r="K16" s="100" t="str">
        <x:f>IF('Master'!L255="","",'Master'!L255)</x:f>
        <x:v>Not documented</x:v>
      </x:c>
      <x:c r="L16" s="100" t="str">
        <x:f>IF('Master'!M255="","",'Master'!M255)</x:f>
      </x:c>
      <x:c r="M16" s="100" t="str">
        <x:f>IF('Master'!N255="","",'Master'!N255)</x:f>
      </x:c>
      <x:c r="N16" s="100" t="str">
        <x:f>IF('Master'!O255="","",'Master'!O255)</x:f>
        <x:v>Client/provider-dependent</x:v>
      </x:c>
      <x:c r="O16" s="100" t="str">
        <x:f>IF('Master'!P255="","",'Master'!P255)</x:f>
        <x:v>Plan-dependent</x:v>
      </x:c>
      <x:c r="P16" s="100" t="str">
        <x:f>IF('Master'!Q255="","",'Master'!Q255)</x:f>
      </x:c>
      <x:c r="Q16" s="100" t="str">
        <x:f>IF('Master'!R255="","",'Master'!R255)</x:f>
        <x:v>N/A</x:v>
      </x:c>
      <x:c r="R16" s="100" t="str">
        <x:f>IF('Master'!S255="","",'Master'!S255)</x:f>
      </x:c>
      <x:c r="S16" s="100" t="str">
        <x:f>IF('Master'!T255="","",'Master'!T255)</x:f>
      </x:c>
      <x:c r="T16" s="100" t="str">
        <x:f>IF('Master'!U255="","",'Master'!U255)</x:f>
        <x:v>Yes — 2 in smaller rooms, 4 in big rooms</x:v>
      </x:c>
      <x:c r="U16" s="100" t="str">
        <x:f>IF('Master'!V255="","",'Master'!V255)</x:f>
        <x:v>Yes</x:v>
      </x:c>
      <x:c r="V16" s="100" t="str">
        <x:f>IF('Master'!W255="","",'Master'!W255)</x:f>
        <x:v>Provider-dependent</x:v>
      </x:c>
      <x:c r="W16" s="100" t="str">
        <x:f>IF('Master'!X255="","",'Master'!X255)</x:f>
        <x:v>N/A</x:v>
      </x:c>
      <x:c r="X16" s="100" t="str">
        <x:f>IF('Master'!Y255="","",'Master'!Y255)</x:f>
      </x:c>
      <x:c r="Y16" s="100" t="str">
        <x:f>IF('Master'!Z255="","",'Master'!Z255)</x:f>
        <x:v>Implementation-dependent</x:v>
      </x:c>
      <x:c r="Z16" s="100" t="str">
        <x:f>IF('Master'!AA255="","",'Master'!AA255)</x:f>
        <x:v>Yes — no stated limit</x:v>
      </x:c>
      <x:c r="AA16" s="104" t="str">
        <x:f>IF('Master'!AB255="","",'Master'!AB255)</x:f>
      </x:c>
      <x:c r="AB16" s="100" t="str">
        <x:f>IF('Master'!AC255="","",'Master'!AC255)</x:f>
      </x:c>
      <x:c r="AC16" s="100" t="str">
        <x:f>IF('Master'!AD255="","",'Master'!AD255)</x:f>
      </x:c>
      <x:c r="AD16" s="100" t="str">
        <x:f>IF('Master'!AE255="","",'Master'!AE255)</x:f>
      </x:c>
      <x:c r="AE16" s="100" t="str">
        <x:f>IF('Master'!AF255="","",'Master'!AF255)</x:f>
      </x:c>
      <x:c r="AF16" s="75" t="str">
        <x:f>IF('Master'!AG255="","",'Master'!AG255)</x:f>
        <x:v>Provider-dependent</x:v>
      </x:c>
    </x:row>
    <x:row r="17" ht="36" customHeight="1">
      <x:c r="A17" s="135" t="str">
        <x:v>Simultaneous Multi-Stream Viewing?</x:v>
      </x:c>
      <x:c r="B17" s="100" t="str">
        <x:f>IF('Master'!C257="","",'Master'!C257)</x:f>
        <x:v>Yes</x:v>
      </x:c>
      <x:c r="C17" s="100" t="str">
        <x:f>IF('Master'!D257="","",'Master'!D257)</x:f>
      </x:c>
      <x:c r="D17" s="100" t="str">
        <x:f>IF('Master'!E257="","",'Master'!E257)</x:f>
      </x:c>
      <x:c r="E17" s="100" t="str">
        <x:f>IF('Master'!F257="","",'Master'!F257)</x:f>
        <x:v>Yes</x:v>
      </x:c>
      <x:c r="F17" s="100" t="str">
        <x:f>IF('Master'!G257="","",'Master'!G257)</x:f>
        <x:v>Yes</x:v>
      </x:c>
      <x:c r="G17" s="100" t="str">
        <x:f>IF('Master'!H257="","",'Master'!H257)</x:f>
        <x:v>Yes</x:v>
      </x:c>
      <x:c r="H17" s="100" t="str">
        <x:f>IF('Master'!I257="","",'Master'!I257)</x:f>
        <x:v>Yes</x:v>
      </x:c>
      <x:c r="I17" s="100" t="str">
        <x:f>IF('Master'!J257="","",'Master'!J257)</x:f>
      </x:c>
      <x:c r="J17" s="100" t="str">
        <x:f>IF('Master'!K257="","",'Master'!K257)</x:f>
      </x:c>
      <x:c r="K17" s="100" t="str">
        <x:f>IF('Master'!L257="","",'Master'!L257)</x:f>
        <x:v>Not documented</x:v>
      </x:c>
      <x:c r="L17" s="100" t="str">
        <x:f>IF('Master'!M257="","",'Master'!M257)</x:f>
      </x:c>
      <x:c r="M17" s="100" t="str">
        <x:f>IF('Master'!N257="","",'Master'!N257)</x:f>
        <x:v>Yes</x:v>
      </x:c>
      <x:c r="N17" s="100" t="str">
        <x:f>IF('Master'!O257="","",'Master'!O257)</x:f>
        <x:v>Varies by client</x:v>
      </x:c>
      <x:c r="O17" s="100" t="str">
        <x:f>IF('Master'!P257="","",'Master'!P257)</x:f>
        <x:v>Yes</x:v>
      </x:c>
      <x:c r="P17" s="100" t="str">
        <x:f>IF('Master'!Q257="","",'Master'!Q257)</x:f>
        <x:v>Yes</x:v>
      </x:c>
      <x:c r="Q17" s="100" t="str">
        <x:f>IF('Master'!R257="","",'Master'!R257)</x:f>
        <x:v>N/A</x:v>
      </x:c>
      <x:c r="R17" s="100" t="str">
        <x:f>IF('Master'!S257="","",'Master'!S257)</x:f>
      </x:c>
      <x:c r="S17" s="100" t="str">
        <x:f>IF('Master'!T257="","",'Master'!T257)</x:f>
        <x:v>Yes</x:v>
      </x:c>
      <x:c r="T17" s="100" t="str">
        <x:f>IF('Master'!U257="","",'Master'!U257)</x:f>
        <x:v>Yes — 2 presenters in smaller rooms, 4 in big rooms</x:v>
      </x:c>
      <x:c r="U17" s="100" t="str">
        <x:f>IF('Master'!V257="","",'Master'!V257)</x:f>
        <x:v>Yes</x:v>
      </x:c>
      <x:c r="V17" s="100" t="str">
        <x:f>IF('Master'!W257="","",'Master'!W257)</x:f>
        <x:v>Provider-dependent</x:v>
      </x:c>
      <x:c r="W17" s="100" t="str">
        <x:f>IF('Master'!X257="","",'Master'!X257)</x:f>
        <x:v>N/A</x:v>
      </x:c>
      <x:c r="X17" s="100" t="str">
        <x:f>IF('Master'!Y257="","",'Master'!Y257)</x:f>
        <x:v>Yes</x:v>
      </x:c>
      <x:c r="Y17" s="100" t="str">
        <x:f>IF('Master'!Z257="","",'Master'!Z257)</x:f>
      </x:c>
      <x:c r="Z17" s="100" t="str">
        <x:f>IF('Master'!AA257="","",'Master'!AA257)</x:f>
        <x:v>Yes — no stated limit on simultaneous shared screens</x:v>
      </x:c>
      <x:c r="AA17" s="104" t="str">
        <x:f>IF('Master'!AB257="","",'Master'!AB257)</x:f>
        <x:v>Yes</x:v>
      </x:c>
      <x:c r="AB17" s="100" t="str">
        <x:f>IF('Master'!AC257="","",'Master'!AC257)</x:f>
      </x:c>
      <x:c r="AC17" s="100" t="str">
        <x:f>IF('Master'!AD257="","",'Master'!AD257)</x:f>
      </x:c>
      <x:c r="AD17" s="100" t="str">
        <x:f>IF('Master'!AE257="","",'Master'!AE257)</x:f>
        <x:v>Yes</x:v>
      </x:c>
      <x:c r="AE17" s="100" t="str">
        <x:f>IF('Master'!AF257="","",'Master'!AF257)</x:f>
      </x:c>
      <x:c r="AF17" s="75" t="str">
        <x:f>IF('Master'!AG257="","",'Master'!AG257)</x:f>
        <x:v>Provider-dependent</x:v>
      </x:c>
    </x:row>
    <x:row r="18" ht="23.100000381469727" customHeight="1">
      <x:c r="A18" s="135" t="str">
        <x:v>Stage / Presentation Mode?</x:v>
      </x:c>
      <x:c r="B18" s="102" t="str">
        <x:f>IF('Master'!C259="","",'Master'!C259)</x:f>
      </x:c>
      <x:c r="C18" s="102" t="str">
        <x:f>IF('Master'!D259="","",'Master'!D259)</x:f>
      </x:c>
      <x:c r="D18" s="102" t="str">
        <x:f>IF('Master'!E259="","",'Master'!E259)</x:f>
      </x:c>
      <x:c r="E18" s="102" t="str">
        <x:f>IF('Master'!F259="","",'Master'!F259)</x:f>
      </x:c>
      <x:c r="F18" s="102" t="str">
        <x:f>IF('Master'!G259="","",'Master'!G259)</x:f>
      </x:c>
      <x:c r="G18" s="102" t="str">
        <x:f>IF('Master'!H259="","",'Master'!H259)</x:f>
      </x:c>
      <x:c r="H18" s="102" t="str">
        <x:f>IF('Master'!I259="","",'Master'!I259)</x:f>
      </x:c>
      <x:c r="I18" s="102" t="str">
        <x:f>IF('Master'!J259="","",'Master'!J259)</x:f>
      </x:c>
      <x:c r="J18" s="102" t="str">
        <x:f>IF('Master'!K259="","",'Master'!K259)</x:f>
      </x:c>
      <x:c r="K18" s="102" t="str">
        <x:f>IF('Master'!L259="","",'Master'!L259)</x:f>
        <x:v>Yes — developer reports Stage channels; screen-share publication is separately permissioned</x:v>
      </x:c>
      <x:c r="L18" s="102" t="str">
        <x:f>IF('Master'!M259="","",'Master'!M259)</x:f>
      </x:c>
      <x:c r="M18" s="102" t="str">
        <x:f>IF('Master'!N259="","",'Master'!N259)</x:f>
      </x:c>
      <x:c r="N18" s="102" t="str">
        <x:f>IF('Master'!O259="","",'Master'!O259)</x:f>
      </x:c>
      <x:c r="O18" s="102" t="str">
        <x:f>IF('Master'!P259="","",'Master'!P259)</x:f>
      </x:c>
      <x:c r="P18" s="102" t="str">
        <x:f>IF('Master'!Q259="","",'Master'!Q259)</x:f>
      </x:c>
      <x:c r="Q18" s="102" t="str">
        <x:f>IF('Master'!R259="","",'Master'!R259)</x:f>
      </x:c>
      <x:c r="R18" s="102" t="str">
        <x:f>IF('Master'!S259="","",'Master'!S259)</x:f>
      </x:c>
      <x:c r="S18" s="102" t="str">
        <x:f>IF('Master'!T259="","",'Master'!T259)</x:f>
      </x:c>
      <x:c r="T18" s="102" t="str">
        <x:f>IF('Master'!U259="","",'Master'!U259)</x:f>
      </x:c>
      <x:c r="U18" s="102" t="str">
        <x:f>IF('Master'!V259="","",'Master'!V259)</x:f>
      </x:c>
      <x:c r="V18" s="102" t="str">
        <x:f>IF('Master'!W259="","",'Master'!W259)</x:f>
      </x:c>
      <x:c r="W18" s="102" t="str">
        <x:f>IF('Master'!X259="","",'Master'!X259)</x:f>
      </x:c>
      <x:c r="X18" s="102" t="str">
        <x:f>IF('Master'!Y259="","",'Master'!Y259)</x:f>
      </x:c>
      <x:c r="Y18" s="102" t="str">
        <x:f>IF('Master'!Z259="","",'Master'!Z259)</x:f>
      </x:c>
      <x:c r="Z18" s="102" t="str">
        <x:f>IF('Master'!AA259="","",'Master'!AA259)</x:f>
      </x:c>
      <x:c r="AA18" s="103" t="str">
        <x:f>IF('Master'!AB259="","",'Master'!AB259)</x:f>
      </x:c>
      <x:c r="AB18" s="102" t="str">
        <x:f>IF('Master'!AC259="","",'Master'!AC259)</x:f>
      </x:c>
      <x:c r="AC18" s="102" t="str">
        <x:f>IF('Master'!AD259="","",'Master'!AD259)</x:f>
      </x:c>
      <x:c r="AD18" s="102" t="str">
        <x:f>IF('Master'!AE259="","",'Master'!AE259)</x:f>
      </x:c>
      <x:c r="AE18" s="102" t="str">
        <x:f>IF('Master'!AF259="","",'Master'!AF259)</x:f>
      </x:c>
      <x:c r="AF18" s="75" t="str">
        <x:f>IF('Master'!AG259="","",'Master'!AG259)</x:f>
      </x:c>
    </x:row>
  </x:sheetData>
  <x:mergeCells>
    <x:mergeCell ref="A1:AF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Directory'!A1","Screen Share / Video Quality — Free vs Paid"),"Screen Share / Video Quality — Free vs Paid")</x:f>
        <x:v>Screen Share / Video Quality — Free vs Paid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Core Availability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Webcam Video Available?</x:v>
      </x:c>
      <x:c r="B4" s="100" t="str">
        <x:f>IF('Master'!C223="","",'Master'!C223)</x:f>
        <x:v>Yes</x:v>
      </x:c>
      <x:c r="C4" s="100" t="str">
        <x:f>IF('Master'!D223="","",'Master'!D223)</x:f>
        <x:v>Yes</x:v>
      </x:c>
      <x:c r="D4" s="100" t="str">
        <x:f>IF('Master'!E223="","",'Master'!E223)</x:f>
      </x:c>
      <x:c r="E4" s="100" t="str">
        <x:f>IF('Master'!F223="","",'Master'!F223)</x:f>
        <x:v>Yes</x:v>
      </x:c>
      <x:c r="F4" s="100" t="str">
        <x:f>IF('Master'!G223="","",'Master'!G223)</x:f>
        <x:v>Yes</x:v>
      </x:c>
      <x:c r="G4" s="100" t="str">
        <x:f>IF('Master'!H223="","",'Master'!H223)</x:f>
      </x:c>
      <x:c r="H4" s="100" t="str">
        <x:f>IF('Master'!I223="","",'Master'!I223)</x:f>
        <x:v>Yes</x:v>
      </x:c>
      <x:c r="I4" s="100" t="str">
        <x:f>IF('Master'!J223="","",'Master'!J223)</x:f>
      </x:c>
      <x:c r="J4" s="100" t="str">
        <x:f>IF('Master'!K223="","",'Master'!K223)</x:f>
        <x:v>No</x:v>
      </x:c>
      <x:c r="K4" s="100" t="str">
        <x:f>IF('Master'!L223="","",'Master'!L223)</x:f>
      </x:c>
      <x:c r="L4" s="100" t="str">
        <x:f>IF('Master'!M223="","",'Master'!M223)</x:f>
      </x:c>
      <x:c r="M4" s="100" t="str">
        <x:f>IF('Master'!N223="","",'Master'!N223)</x:f>
        <x:v>Yes</x:v>
      </x:c>
      <x:c r="N4" s="100" t="str">
        <x:f>IF('Master'!O223="","",'Master'!O223)</x:f>
        <x:v>Client-dependent</x:v>
      </x:c>
      <x:c r="O4" s="100" t="str">
        <x:f>IF('Master'!P223="","",'Master'!P223)</x:f>
        <x:v>Yes</x:v>
      </x:c>
      <x:c r="P4" s="100" t="str">
        <x:f>IF('Master'!Q223="","",'Master'!Q223)</x:f>
        <x:v>Yes</x:v>
      </x:c>
      <x:c r="Q4" s="100" t="str">
        <x:f>IF('Master'!R223="","",'Master'!R223)</x:f>
        <x:v>No</x:v>
      </x:c>
      <x:c r="R4" s="100" t="str">
        <x:f>IF('Master'!S223="","",'Master'!S223)</x:f>
      </x:c>
      <x:c r="S4" s="100" t="str">
        <x:f>IF('Master'!T223="","",'Master'!T223)</x:f>
        <x:v>Yes</x:v>
      </x:c>
      <x:c r="T4" s="100" t="str">
        <x:f>IF('Master'!U223="","",'Master'!U223)</x:f>
        <x:v>Yes — camera in DM calls</x:v>
      </x:c>
      <x:c r="U4" s="100" t="str">
        <x:f>IF('Master'!V223="","",'Master'!V223)</x:f>
        <x:v>Yes</x:v>
      </x:c>
      <x:c r="V4" s="100" t="str">
        <x:f>IF('Master'!W223="","",'Master'!W223)</x:f>
        <x:v>Provider-dependent</x:v>
      </x:c>
      <x:c r="W4" s="100" t="str">
        <x:f>IF('Master'!X223="","",'Master'!X223)</x:f>
        <x:v>N/A</x:v>
      </x:c>
      <x:c r="X4" s="100" t="str">
        <x:f>IF('Master'!Y223="","",'Master'!Y223)</x:f>
        <x:v>Yes</x:v>
      </x:c>
      <x:c r="Y4" s="100" t="str">
        <x:f>IF('Master'!Z223="","",'Master'!Z223)</x:f>
      </x:c>
      <x:c r="Z4" s="100" t="str">
        <x:f>IF('Master'!AA223="","",'Master'!AA223)</x:f>
        <x:v>Yes — voice channels, DMs and group DMs</x:v>
      </x:c>
      <x:c r="AA4" s="104" t="str">
        <x:f>IF('Master'!AB223="","",'Master'!AB223)</x:f>
      </x:c>
      <x:c r="AB4" s="100" t="str">
        <x:f>IF('Master'!AC223="","",'Master'!AC223)</x:f>
      </x:c>
      <x:c r="AC4" s="100" t="str">
        <x:f>IF('Master'!AD223="","",'Master'!AD223)</x:f>
      </x:c>
      <x:c r="AD4" s="100" t="str">
        <x:f>IF('Master'!AE223="","",'Master'!AE223)</x:f>
        <x:v>Yes</x:v>
      </x:c>
      <x:c r="AE4" s="100" t="str">
        <x:f>IF('Master'!AF223="","",'Master'!AF223)</x:f>
        <x:v>No</x:v>
      </x:c>
      <x:c r="AF4" s="75" t="str">
        <x:f>IF('Master'!AG223="","",'Master'!AG223)</x:f>
        <x:v>Provider-dependent</x:v>
      </x:c>
    </x:row>
    <x:row r="5" ht="36" customHeight="1">
      <x:c r="A5" s="135" t="str">
        <x:v>Screen Share Available?</x:v>
      </x:c>
      <x:c r="B5" s="100" t="str">
        <x:f>IF('Master'!C224="","",'Master'!C224)</x:f>
        <x:v>Yes</x:v>
      </x:c>
      <x:c r="C5" s="100" t="str">
        <x:f>IF('Master'!D224="","",'Master'!D224)</x:f>
        <x:v>Yes</x:v>
      </x:c>
      <x:c r="D5" s="100" t="str">
        <x:f>IF('Master'!E224="","",'Master'!E224)</x:f>
        <x:v>Yes</x:v>
      </x:c>
      <x:c r="E5" s="100" t="str">
        <x:f>IF('Master'!F224="","",'Master'!F224)</x:f>
        <x:v>Yes</x:v>
      </x:c>
      <x:c r="F5" s="100" t="str">
        <x:f>IF('Master'!G224="","",'Master'!G224)</x:f>
        <x:v>Yes</x:v>
      </x:c>
      <x:c r="G5" s="100" t="str">
        <x:f>IF('Master'!H224="","",'Master'!H224)</x:f>
        <x:v>Yes</x:v>
      </x:c>
      <x:c r="H5" s="100" t="str">
        <x:f>IF('Master'!I224="","",'Master'!I224)</x:f>
        <x:v>Yes</x:v>
      </x:c>
      <x:c r="I5" s="100" t="str">
        <x:f>IF('Master'!J224="","",'Master'!J224)</x:f>
        <x:v>In development</x:v>
      </x:c>
      <x:c r="J5" s="100" t="str">
        <x:f>IF('Master'!K224="","",'Master'!K224)</x:f>
        <x:v>Yes</x:v>
      </x:c>
      <x:c r="K5" s="100" t="str">
        <x:f>IF('Master'!L224="","",'Master'!L224)</x:f>
        <x:v>Yes</x:v>
      </x:c>
      <x:c r="L5" s="100" t="str">
        <x:f>IF('Master'!M224="","",'Master'!M224)</x:f>
        <x:v>Yes</x:v>
      </x:c>
      <x:c r="M5" s="100" t="str">
        <x:f>IF('Master'!N224="","",'Master'!N224)</x:f>
        <x:v>Yes</x:v>
      </x:c>
      <x:c r="N5" s="100" t="str">
        <x:f>IF('Master'!O224="","",'Master'!O224)</x:f>
        <x:v>Client-dependent</x:v>
      </x:c>
      <x:c r="O5" s="100" t="str">
        <x:f>IF('Master'!P224="","",'Master'!P224)</x:f>
        <x:v>Yes</x:v>
      </x:c>
      <x:c r="P5" s="100" t="str">
        <x:f>IF('Master'!Q224="","",'Master'!Q224)</x:f>
        <x:v>Yes</x:v>
      </x:c>
      <x:c r="Q5" s="100" t="str">
        <x:f>IF('Master'!R224="","",'Master'!R224)</x:f>
        <x:v>No</x:v>
      </x:c>
      <x:c r="R5" s="100" t="str">
        <x:f>IF('Master'!S224="","",'Master'!S224)</x:f>
      </x:c>
      <x:c r="S5" s="100" t="str">
        <x:f>IF('Master'!T224="","",'Master'!T224)</x:f>
        <x:v>Yes</x:v>
      </x:c>
      <x:c r="T5" s="100" t="str">
        <x:f>IF('Master'!U224="","",'Master'!U224)</x:f>
        <x:v>Yes — browser screen share</x:v>
      </x:c>
      <x:c r="U5" s="100" t="str">
        <x:f>IF('Master'!V224="","",'Master'!V224)</x:f>
        <x:v>Yes</x:v>
      </x:c>
      <x:c r="V5" s="100" t="str">
        <x:f>IF('Master'!W224="","",'Master'!W224)</x:f>
        <x:v>Provider-dependent</x:v>
      </x:c>
      <x:c r="W5" s="100" t="str">
        <x:f>IF('Master'!X224="","",'Master'!X224)</x:f>
        <x:v>N/A</x:v>
      </x:c>
      <x:c r="X5" s="100" t="str">
        <x:f>IF('Master'!Y224="","",'Master'!Y224)</x:f>
        <x:v>Yes</x:v>
      </x:c>
      <x:c r="Y5" s="100" t="str">
        <x:f>IF('Master'!Z224="","",'Master'!Z224)</x:f>
        <x:v>Yes with Pion implementation</x:v>
      </x:c>
      <x:c r="Z5" s="100" t="str">
        <x:f>IF('Master'!AA224="","",'Master'!AA224)</x:f>
        <x:v>Yes</x:v>
      </x:c>
      <x:c r="AA5" s="104" t="str">
        <x:f>IF('Master'!AB224="","",'Master'!AB224)</x:f>
        <x:v>Yes — TS6 beta / P2P</x:v>
      </x:c>
      <x:c r="AB5" s="100" t="str">
        <x:f>IF('Master'!AC224="","",'Master'!AC224)</x:f>
      </x:c>
      <x:c r="AC5" s="100" t="str">
        <x:f>IF('Master'!AD224="","",'Master'!AD224)</x:f>
      </x:c>
      <x:c r="AD5" s="100" t="str">
        <x:f>IF('Master'!AE224="","",'Master'!AE224)</x:f>
        <x:v>Yes</x:v>
      </x:c>
      <x:c r="AE5" s="100" t="str">
        <x:f>IF('Master'!AF224="","",'Master'!AF224)</x:f>
        <x:v>Yes</x:v>
      </x:c>
      <x:c r="AF5" s="75" t="str">
        <x:f>IF('Master'!AG224="","",'Master'!AG224)</x:f>
        <x:v>External provider</x:v>
      </x:c>
    </x:row>
    <x:row r="6" ht="36" customHeight="1">
      <x:c r="A6" s="135" t="str">
        <x:v>Screen Share Available on Free Plan?</x:v>
      </x:c>
      <x:c r="B6" s="100" t="str">
        <x:f>IF('Master'!C225="","",'Master'!C225)</x:f>
        <x:v>Yes</x:v>
      </x:c>
      <x:c r="C6" s="100" t="str">
        <x:f>IF('Master'!D225="","",'Master'!D225)</x:f>
        <x:v>Yes</x:v>
      </x:c>
      <x:c r="D6" s="100" t="str">
        <x:f>IF('Master'!E225="","",'Master'!E225)</x:f>
        <x:v>Yes</x:v>
      </x:c>
      <x:c r="E6" s="100" t="str">
        <x:f>IF('Master'!F225="","",'Master'!F225)</x:f>
        <x:v>Yes</x:v>
      </x:c>
      <x:c r="F6" s="100" t="str">
        <x:f>IF('Master'!G225="","",'Master'!G225)</x:f>
        <x:v>Yes</x:v>
      </x:c>
      <x:c r="G6" s="100" t="str">
        <x:f>IF('Master'!H225="","",'Master'!H225)</x:f>
        <x:v>Yes</x:v>
      </x:c>
      <x:c r="H6" s="100" t="str">
        <x:f>IF('Master'!I225="","",'Master'!I225)</x:f>
        <x:v>Yes</x:v>
      </x:c>
      <x:c r="I6" s="100" t="str">
        <x:f>IF('Master'!J225="","",'Master'!J225)</x:f>
        <x:v>No</x:v>
      </x:c>
      <x:c r="J6" s="100" t="str">
        <x:f>IF('Master'!K225="","",'Master'!K225)</x:f>
        <x:v>Yes</x:v>
      </x:c>
      <x:c r="K6" s="100" t="str">
        <x:f>IF('Master'!L225="","",'Master'!L225)</x:f>
        <x:v>Yes</x:v>
      </x:c>
      <x:c r="L6" s="100" t="str">
        <x:f>IF('Master'!M225="","",'Master'!M225)</x:f>
        <x:v>Yes</x:v>
      </x:c>
      <x:c r="M6" s="100" t="str">
        <x:f>IF('Master'!N225="","",'Master'!N225)</x:f>
        <x:v>Yes</x:v>
      </x:c>
      <x:c r="N6" s="100" t="str">
        <x:f>IF('Master'!O225="","",'Master'!O225)</x:f>
        <x:v>Yes</x:v>
      </x:c>
      <x:c r="O6" s="100" t="str">
        <x:f>IF('Master'!P225="","",'Master'!P225)</x:f>
        <x:v>Yes</x:v>
      </x:c>
      <x:c r="P6" s="100" t="str">
        <x:f>IF('Master'!Q225="","",'Master'!Q225)</x:f>
        <x:v>Yes</x:v>
      </x:c>
      <x:c r="Q6" s="100" t="str">
        <x:f>IF('Master'!R225="","",'Master'!R225)</x:f>
        <x:v>No</x:v>
      </x:c>
      <x:c r="R6" s="100" t="str">
        <x:f>IF('Master'!S225="","",'Master'!S225)</x:f>
      </x:c>
      <x:c r="S6" s="100" t="str">
        <x:f>IF('Master'!T225="","",'Master'!T225)</x:f>
      </x:c>
      <x:c r="T6" s="100" t="str">
        <x:f>IF('Master'!U225="","",'Master'!U225)</x:f>
        <x:v>Yes</x:v>
      </x:c>
      <x:c r="U6" s="100" t="str">
        <x:f>IF('Master'!V225="","",'Master'!V225)</x:f>
        <x:v>Yes</x:v>
      </x:c>
      <x:c r="V6" s="100" t="str">
        <x:f>IF('Master'!W225="","",'Master'!W225)</x:f>
        <x:v>Yes</x:v>
      </x:c>
      <x:c r="W6" s="100" t="str">
        <x:f>IF('Master'!X225="","",'Master'!X225)</x:f>
        <x:v>No</x:v>
      </x:c>
      <x:c r="X6" s="100" t="str">
        <x:f>IF('Master'!Y225="","",'Master'!Y225)</x:f>
        <x:v>Yes</x:v>
      </x:c>
      <x:c r="Y6" s="100" t="str">
        <x:f>IF('Master'!Z225="","",'Master'!Z225)</x:f>
        <x:v>Yes</x:v>
      </x:c>
      <x:c r="Z6" s="100" t="str">
        <x:f>IF('Master'!AA225="","",'Master'!AA225)</x:f>
        <x:v>Yes</x:v>
      </x:c>
      <x:c r="AA6" s="104" t="str">
        <x:f>IF('Master'!AB225="","",'Master'!AB225)</x:f>
        <x:v>Yes with TS6 client/self-host context; exact hosting limits vary</x:v>
      </x:c>
      <x:c r="AB6" s="100" t="str">
        <x:f>IF('Master'!AC225="","",'Master'!AC225)</x:f>
      </x:c>
      <x:c r="AC6" s="100" t="str">
        <x:f>IF('Master'!AD225="","",'Master'!AD225)</x:f>
      </x:c>
      <x:c r="AD6" s="100" t="str">
        <x:f>IF('Master'!AE225="","",'Master'!AE225)</x:f>
        <x:v>Yes</x:v>
      </x:c>
      <x:c r="AE6" s="100" t="str">
        <x:f>IF('Master'!AF225="","",'Master'!AF225)</x:f>
        <x:v>Yes</x:v>
      </x:c>
      <x:c r="AF6" s="75" t="str">
        <x:f>IF('Master'!AG225="","",'Master'!AG225)</x:f>
        <x:v>Yes</x:v>
      </x:c>
    </x:row>
    <x:row r="7" ht="22" customHeight="1">
      <x:c r="A7" s="138" t="str">
        <x:v>Resolution Entitlements</x:v>
      </x:c>
      <x:c r="B7" s="138" t="str">
        <x:f>IF(""="","","")</x:f>
      </x:c>
      <x:c r="C7" s="138" t="str">
        <x:f>IF(""="","","")</x:f>
      </x:c>
      <x:c r="D7" s="138" t="str">
        <x:f>IF(""="","","")</x:f>
      </x:c>
      <x:c r="E7" s="138" t="str">
        <x:f>IF(""="","","")</x:f>
      </x:c>
      <x:c r="F7" s="138" t="str">
        <x:f>IF(""="","","")</x:f>
      </x:c>
      <x:c r="G7" s="138" t="str">
        <x:f>IF(""="","","")</x:f>
      </x:c>
      <x:c r="H7" s="138" t="str">
        <x:f>IF(""="","","")</x:f>
      </x:c>
      <x:c r="I7" s="138" t="str">
        <x:f>IF(""="","","")</x:f>
      </x:c>
      <x:c r="J7" s="138" t="str">
        <x:f>IF(""="","","")</x:f>
      </x:c>
      <x:c r="K7" s="138" t="str">
        <x:f>IF(""="","","")</x:f>
      </x:c>
      <x:c r="L7" s="138" t="str">
        <x:f>IF(""="","","")</x:f>
      </x:c>
      <x:c r="M7" s="138" t="str">
        <x:f>IF(""="","","")</x:f>
      </x:c>
      <x:c r="N7" s="138" t="str">
        <x:f>IF(""="","","")</x:f>
      </x:c>
      <x:c r="O7" s="138" t="str">
        <x:f>IF(""="","","")</x:f>
      </x:c>
      <x:c r="P7" s="138" t="str">
        <x:f>IF(""="","","")</x:f>
      </x:c>
      <x:c r="Q7" s="138" t="str">
        <x:f>IF(""="","","")</x:f>
      </x:c>
      <x:c r="R7" s="138" t="str">
        <x:f>IF(""="","","")</x:f>
      </x:c>
      <x:c r="S7" s="138" t="str">
        <x:f>IF(""="","","")</x:f>
      </x:c>
      <x:c r="T7" s="138" t="str">
        <x:f>IF(""="","","")</x:f>
      </x:c>
      <x:c r="U7" s="138" t="str">
        <x:f>IF(""="","","")</x:f>
      </x:c>
      <x:c r="V7" s="138" t="str">
        <x:f>IF(""="","","")</x:f>
      </x:c>
      <x:c r="W7" s="138" t="str">
        <x:f>IF(""="","","")</x:f>
      </x:c>
      <x:c r="X7" s="138" t="str">
        <x:f>IF(""="","","")</x:f>
      </x:c>
      <x:c r="Y7" s="138" t="str">
        <x:f>IF(""="","","")</x:f>
      </x:c>
      <x:c r="Z7" s="138" t="str">
        <x:f>IF(""="","","")</x:f>
      </x:c>
      <x:c r="AA7" s="138" t="str">
        <x:f>IF(""="","","")</x:f>
      </x:c>
      <x:c r="AB7" s="138" t="str">
        <x:f>IF(""="","","")</x:f>
      </x:c>
      <x:c r="AC7" s="138" t="str">
        <x:f>IF(""="","","")</x:f>
      </x:c>
      <x:c r="AD7" s="138" t="str">
        <x:f>IF(""="","","")</x:f>
      </x:c>
      <x:c r="AE7" s="138" t="str">
        <x:f>IF(""="","","")</x:f>
      </x:c>
      <x:c r="AF7" s="139" t="str">
        <x:f>IF(""="","","")</x:f>
      </x:c>
    </x:row>
    <x:row r="8" ht="36" customHeight="1">
      <x:c r="A8" s="135" t="str">
        <x:v>480p Available?</x:v>
      </x:c>
      <x:c r="B8" s="100" t="str">
        <x:f>IF('Master'!C226="","",'Master'!C226)</x:f>
        <x:v>Yes</x:v>
      </x:c>
      <x:c r="C8" s="100" t="str">
        <x:f>IF('Master'!D226="","",'Master'!D226)</x:f>
      </x:c>
      <x:c r="D8" s="100" t="str">
        <x:f>IF('Master'!E226="","",'Master'!E226)</x:f>
      </x:c>
      <x:c r="E8" s="100" t="str">
        <x:f>IF('Master'!F226="","",'Master'!F226)</x:f>
      </x:c>
      <x:c r="F8" s="100" t="str">
        <x:f>IF('Master'!G226="","",'Master'!G226)</x:f>
      </x:c>
      <x:c r="G8" s="100" t="str">
        <x:f>IF('Master'!H226="","",'Master'!H226)</x:f>
        <x:v>Yes</x:v>
      </x:c>
      <x:c r="H8" s="100" t="str">
        <x:f>IF('Master'!I226="","",'Master'!I226)</x:f>
        <x:v>Yes</x:v>
      </x:c>
      <x:c r="I8" s="100" t="str">
        <x:f>IF('Master'!J226="","",'Master'!J226)</x:f>
      </x:c>
      <x:c r="J8" s="100" t="str">
        <x:f>IF('Master'!K226="","",'Master'!K226)</x:f>
      </x:c>
      <x:c r="K8" s="100" t="str">
        <x:f>IF('Master'!L226="","",'Master'!L226)</x:f>
        <x:v>Yes</x:v>
      </x:c>
      <x:c r="L8" s="100" t="str">
        <x:f>IF('Master'!M226="","",'Master'!M226)</x:f>
      </x:c>
      <x:c r="M8" s="100" t="str">
        <x:f>IF('Master'!N226="","",'Master'!N226)</x:f>
      </x:c>
      <x:c r="N8" s="100" t="str">
        <x:f>IF('Master'!O226="","",'Master'!O226)</x:f>
      </x:c>
      <x:c r="O8" s="100" t="str">
        <x:f>IF('Master'!P226="","",'Master'!P226)</x:f>
      </x:c>
      <x:c r="P8" s="100" t="str">
        <x:f>IF('Master'!Q226="","",'Master'!Q226)</x:f>
      </x:c>
      <x:c r="Q8" s="100" t="str">
        <x:f>IF('Master'!R226="","",'Master'!R226)</x:f>
      </x:c>
      <x:c r="R8" s="100" t="str">
        <x:f>IF('Master'!S226="","",'Master'!S226)</x:f>
      </x:c>
      <x:c r="S8" s="100" t="str">
        <x:f>IF('Master'!T226="","",'Master'!T226)</x:f>
      </x:c>
      <x:c r="T8" s="100" t="str">
        <x:f>IF('Master'!U226="","",'Master'!U226)</x:f>
      </x:c>
      <x:c r="U8" s="100" t="str">
        <x:f>IF('Master'!V226="","",'Master'!V226)</x:f>
        <x:v>Yes</x:v>
      </x:c>
      <x:c r="V8" s="100" t="str">
        <x:f>IF('Master'!W226="","",'Master'!W226)</x:f>
      </x:c>
      <x:c r="W8" s="100" t="str">
        <x:f>IF('Master'!X226="","",'Master'!X226)</x:f>
      </x:c>
      <x:c r="X8" s="100" t="str">
        <x:f>IF('Master'!Y226="","",'Master'!Y226)</x:f>
      </x:c>
      <x:c r="Y8" s="100" t="str">
        <x:f>IF('Master'!Z226="","",'Master'!Z226)</x:f>
      </x:c>
      <x:c r="Z8" s="100" t="str">
        <x:f>IF('Master'!AA226="","",'Master'!AA226)</x:f>
      </x:c>
      <x:c r="AA8" s="104" t="str">
        <x:f>IF('Master'!AB226="","",'Master'!AB226)</x:f>
      </x:c>
      <x:c r="AB8" s="100" t="str">
        <x:f>IF('Master'!AC226="","",'Master'!AC226)</x:f>
      </x:c>
      <x:c r="AC8" s="100" t="str">
        <x:f>IF('Master'!AD226="","",'Master'!AD226)</x:f>
      </x:c>
      <x:c r="AD8" s="100" t="str">
        <x:f>IF('Master'!AE226="","",'Master'!AE226)</x:f>
      </x:c>
      <x:c r="AE8" s="100" t="str">
        <x:f>IF('Master'!AF226="","",'Master'!AF226)</x:f>
      </x:c>
      <x:c r="AF8" s="75" t="str">
        <x:f>IF('Master'!AG226="","",'Master'!AG226)</x:f>
      </x:c>
    </x:row>
    <x:row r="9" ht="36" customHeight="1">
      <x:c r="A9" s="135" t="str">
        <x:v>480p Access (Free / Paid / Configurable)</x:v>
      </x:c>
      <x:c r="B9" s="100" t="str">
        <x:f>IF('Master'!C227="","",'Master'!C227)</x:f>
        <x:v>Free</x:v>
      </x:c>
      <x:c r="C9" s="100" t="str">
        <x:f>IF('Master'!D227="","",'Master'!D227)</x:f>
      </x:c>
      <x:c r="D9" s="100" t="str">
        <x:f>IF('Master'!E227="","",'Master'!E227)</x:f>
      </x:c>
      <x:c r="E9" s="100" t="str">
        <x:f>IF('Master'!F227="","",'Master'!F227)</x:f>
      </x:c>
      <x:c r="F9" s="100" t="str">
        <x:f>IF('Master'!G227="","",'Master'!G227)</x:f>
      </x:c>
      <x:c r="G9" s="100" t="str">
        <x:f>IF('Master'!H227="","",'Master'!H227)</x:f>
        <x:v>Free/configurable</x:v>
      </x:c>
      <x:c r="H9" s="100" t="str">
        <x:f>IF('Master'!I227="","",'Master'!I227)</x:f>
        <x:v>Free/configurable</x:v>
      </x:c>
      <x:c r="I9" s="100" t="str">
        <x:f>IF('Master'!J227="","",'Master'!J227)</x:f>
      </x:c>
      <x:c r="J9" s="100" t="str">
        <x:f>IF('Master'!K227="","",'Master'!K227)</x:f>
      </x:c>
      <x:c r="K9" s="100" t="str">
        <x:f>IF('Master'!L227="","",'Master'!L227)</x:f>
        <x:v>Free/current</x:v>
      </x:c>
      <x:c r="L9" s="100" t="str">
        <x:f>IF('Master'!M227="","",'Master'!M227)</x:f>
      </x:c>
      <x:c r="M9" s="100" t="str">
        <x:f>IF('Master'!N227="","",'Master'!N227)</x:f>
      </x:c>
      <x:c r="N9" s="100" t="str">
        <x:f>IF('Master'!O227="","",'Master'!O227)</x:f>
      </x:c>
      <x:c r="O9" s="100" t="str">
        <x:f>IF('Master'!P227="","",'Master'!P227)</x:f>
      </x:c>
      <x:c r="P9" s="100" t="str">
        <x:f>IF('Master'!Q227="","",'Master'!Q227)</x:f>
        <x:v>Free</x:v>
      </x:c>
      <x:c r="Q9" s="100" t="str">
        <x:f>IF('Master'!R227="","",'Master'!R227)</x:f>
      </x:c>
      <x:c r="R9" s="100" t="str">
        <x:f>IF('Master'!S227="","",'Master'!S227)</x:f>
      </x:c>
      <x:c r="S9" s="100" t="str">
        <x:f>IF('Master'!T227="","",'Master'!T227)</x:f>
      </x:c>
      <x:c r="T9" s="100" t="str">
        <x:f>IF('Master'!U227="","",'Master'!U227)</x:f>
      </x:c>
      <x:c r="U9" s="100" t="str">
        <x:f>IF('Master'!V227="","",'Master'!V227)</x:f>
        <x:v>Free/configurable</x:v>
      </x:c>
      <x:c r="V9" s="100" t="str">
        <x:f>IF('Master'!W227="","",'Master'!W227)</x:f>
      </x:c>
      <x:c r="W9" s="100" t="str">
        <x:f>IF('Master'!X227="","",'Master'!X227)</x:f>
      </x:c>
      <x:c r="X9" s="100" t="str">
        <x:f>IF('Master'!Y227="","",'Master'!Y227)</x:f>
      </x:c>
      <x:c r="Y9" s="100" t="str">
        <x:f>IF('Master'!Z227="","",'Master'!Z227)</x:f>
      </x:c>
      <x:c r="Z9" s="100" t="str">
        <x:f>IF('Master'!AA227="","",'Master'!AA227)</x:f>
      </x:c>
      <x:c r="AA9" s="104" t="str">
        <x:f>IF('Master'!AB227="","",'Master'!AB227)</x:f>
      </x:c>
      <x:c r="AB9" s="100" t="str">
        <x:f>IF('Master'!AC227="","",'Master'!AC227)</x:f>
      </x:c>
      <x:c r="AC9" s="100" t="str">
        <x:f>IF('Master'!AD227="","",'Master'!AD227)</x:f>
      </x:c>
      <x:c r="AD9" s="100" t="str">
        <x:f>IF('Master'!AE227="","",'Master'!AE227)</x:f>
      </x:c>
      <x:c r="AE9" s="100" t="str">
        <x:f>IF('Master'!AF227="","",'Master'!AF227)</x:f>
      </x:c>
      <x:c r="AF9" s="75" t="str">
        <x:f>IF('Master'!AG227="","",'Master'!AG227)</x:f>
      </x:c>
    </x:row>
    <x:row r="10" ht="36" customHeight="1">
      <x:c r="A10" s="135" t="str">
        <x:v>720p Available?</x:v>
      </x:c>
      <x:c r="B10" s="100" t="str">
        <x:f>IF('Master'!C228="","",'Master'!C228)</x:f>
        <x:v>Yes</x:v>
      </x:c>
      <x:c r="C10" s="100" t="str">
        <x:f>IF('Master'!D228="","",'Master'!D228)</x:f>
      </x:c>
      <x:c r="D10" s="100" t="str">
        <x:f>IF('Master'!E228="","",'Master'!E228)</x:f>
      </x:c>
      <x:c r="E10" s="100" t="str">
        <x:f>IF('Master'!F228="","",'Master'!F228)</x:f>
      </x:c>
      <x:c r="F10" s="100" t="str">
        <x:f>IF('Master'!G228="","",'Master'!G228)</x:f>
      </x:c>
      <x:c r="G10" s="100" t="str">
        <x:f>IF('Master'!H228="","",'Master'!H228)</x:f>
        <x:v>Yes</x:v>
      </x:c>
      <x:c r="H10" s="100" t="str">
        <x:f>IF('Master'!I228="","",'Master'!I228)</x:f>
        <x:v>Yes</x:v>
      </x:c>
      <x:c r="I10" s="100" t="str">
        <x:f>IF('Master'!J228="","",'Master'!J228)</x:f>
      </x:c>
      <x:c r="J10" s="100" t="str">
        <x:f>IF('Master'!K228="","",'Master'!K228)</x:f>
      </x:c>
      <x:c r="K10" s="100" t="str">
        <x:f>IF('Master'!L228="","",'Master'!L228)</x:f>
        <x:v>Yes</x:v>
      </x:c>
      <x:c r="L10" s="100" t="str">
        <x:f>IF('Master'!M228="","",'Master'!M228)</x:f>
      </x:c>
      <x:c r="M10" s="100" t="str">
        <x:f>IF('Master'!N228="","",'Master'!N228)</x:f>
      </x:c>
      <x:c r="N10" s="100" t="str">
        <x:f>IF('Master'!O228="","",'Master'!O228)</x:f>
      </x:c>
      <x:c r="O10" s="100" t="str">
        <x:f>IF('Master'!P228="","",'Master'!P228)</x:f>
      </x:c>
      <x:c r="P10" s="100" t="str">
        <x:f>IF('Master'!Q228="","",'Master'!Q228)</x:f>
      </x:c>
      <x:c r="Q10" s="100" t="str">
        <x:f>IF('Master'!R228="","",'Master'!R228)</x:f>
      </x:c>
      <x:c r="R10" s="100" t="str">
        <x:f>IF('Master'!S228="","",'Master'!S228)</x:f>
      </x:c>
      <x:c r="S10" s="100" t="str">
        <x:f>IF('Master'!T228="","",'Master'!T228)</x:f>
      </x:c>
      <x:c r="T10" s="100" t="str">
        <x:f>IF('Master'!U228="","",'Master'!U228)</x:f>
        <x:v>Yes</x:v>
      </x:c>
      <x:c r="U10" s="100" t="str">
        <x:f>IF('Master'!V228="","",'Master'!V228)</x:f>
        <x:v>Yes</x:v>
      </x:c>
      <x:c r="V10" s="100" t="str">
        <x:f>IF('Master'!W228="","",'Master'!W228)</x:f>
      </x:c>
      <x:c r="W10" s="100" t="str">
        <x:f>IF('Master'!X228="","",'Master'!X228)</x:f>
      </x:c>
      <x:c r="X10" s="100" t="str">
        <x:f>IF('Master'!Y228="","",'Master'!Y228)</x:f>
        <x:v>Yes</x:v>
      </x:c>
      <x:c r="Y10" s="100" t="str">
        <x:f>IF('Master'!Z228="","",'Master'!Z228)</x:f>
      </x:c>
      <x:c r="Z10" s="100" t="str">
        <x:f>IF('Master'!AA228="","",'Master'!AA228)</x:f>
        <x:v>Yes</x:v>
      </x:c>
      <x:c r="AA10" s="104" t="str">
        <x:f>IF('Master'!AB228="","",'Master'!AB228)</x:f>
        <x:v>Yes</x:v>
      </x:c>
      <x:c r="AB10" s="100" t="str">
        <x:f>IF('Master'!AC228="","",'Master'!AC228)</x:f>
      </x:c>
      <x:c r="AC10" s="100" t="str">
        <x:f>IF('Master'!AD228="","",'Master'!AD228)</x:f>
      </x:c>
      <x:c r="AD10" s="100" t="str">
        <x:f>IF('Master'!AE228="","",'Master'!AE228)</x:f>
      </x:c>
      <x:c r="AE10" s="100" t="str">
        <x:f>IF('Master'!AF228="","",'Master'!AF228)</x:f>
      </x:c>
      <x:c r="AF10" s="75" t="str">
        <x:f>IF('Master'!AG228="","",'Master'!AG228)</x:f>
      </x:c>
    </x:row>
    <x:row r="11" ht="36" customHeight="1">
      <x:c r="A11" s="135" t="str">
        <x:v>720p Access (Free / Paid / Configurable)</x:v>
      </x:c>
      <x:c r="B11" s="100" t="str">
        <x:f>IF('Master'!C229="","",'Master'!C229)</x:f>
        <x:v>Free</x:v>
      </x:c>
      <x:c r="C11" s="100" t="str">
        <x:f>IF('Master'!D229="","",'Master'!D229)</x:f>
      </x:c>
      <x:c r="D11" s="100" t="str">
        <x:f>IF('Master'!E229="","",'Master'!E229)</x:f>
      </x:c>
      <x:c r="E11" s="100" t="str">
        <x:f>IF('Master'!F229="","",'Master'!F229)</x:f>
      </x:c>
      <x:c r="F11" s="100" t="str">
        <x:f>IF('Master'!G229="","",'Master'!G229)</x:f>
      </x:c>
      <x:c r="G11" s="100" t="str">
        <x:f>IF('Master'!H229="","",'Master'!H229)</x:f>
        <x:v>Free</x:v>
      </x:c>
      <x:c r="H11" s="100" t="str">
        <x:f>IF('Master'!I229="","",'Master'!I229)</x:f>
        <x:v>Free</x:v>
      </x:c>
      <x:c r="I11" s="100" t="str">
        <x:f>IF('Master'!J229="","",'Master'!J229)</x:f>
      </x:c>
      <x:c r="J11" s="100" t="str">
        <x:f>IF('Master'!K229="","",'Master'!K229)</x:f>
      </x:c>
      <x:c r="K11" s="100" t="str">
        <x:f>IF('Master'!L229="","",'Master'!L229)</x:f>
        <x:v>Free/current</x:v>
      </x:c>
      <x:c r="L11" s="100" t="str">
        <x:f>IF('Master'!M229="","",'Master'!M229)</x:f>
      </x:c>
      <x:c r="M11" s="100" t="str">
        <x:f>IF('Master'!N229="","",'Master'!N229)</x:f>
      </x:c>
      <x:c r="N11" s="100" t="str">
        <x:f>IF('Master'!O229="","",'Master'!O229)</x:f>
      </x:c>
      <x:c r="O11" s="100" t="str">
        <x:f>IF('Master'!P229="","",'Master'!P229)</x:f>
      </x:c>
      <x:c r="P11" s="100" t="str">
        <x:f>IF('Master'!Q229="","",'Master'!Q229)</x:f>
        <x:v>Free</x:v>
      </x:c>
      <x:c r="Q11" s="100" t="str">
        <x:f>IF('Master'!R229="","",'Master'!R229)</x:f>
      </x:c>
      <x:c r="R11" s="100" t="str">
        <x:f>IF('Master'!S229="","",'Master'!S229)</x:f>
      </x:c>
      <x:c r="S11" s="100" t="str">
        <x:f>IF('Master'!T229="","",'Master'!T229)</x:f>
      </x:c>
      <x:c r="T11" s="100" t="str">
        <x:f>IF('Master'!U229="","",'Master'!U229)</x:f>
        <x:v>Free</x:v>
      </x:c>
      <x:c r="U11" s="100" t="str">
        <x:f>IF('Master'!V229="","",'Master'!V229)</x:f>
        <x:v>Free</x:v>
      </x:c>
      <x:c r="V11" s="100" t="str">
        <x:f>IF('Master'!W229="","",'Master'!W229)</x:f>
      </x:c>
      <x:c r="W11" s="100" t="str">
        <x:f>IF('Master'!X229="","",'Master'!X229)</x:f>
      </x:c>
      <x:c r="X11" s="100" t="str">
        <x:f>IF('Master'!Y229="","",'Master'!Y229)</x:f>
        <x:v>Free + Sudo selectable</x:v>
      </x:c>
      <x:c r="Y11" s="100" t="str">
        <x:f>IF('Master'!Z229="","",'Master'!Z229)</x:f>
      </x:c>
      <x:c r="Z11" s="100" t="str">
        <x:f>IF('Master'!AA229="","",'Master'!AA229)</x:f>
        <x:v>Free / current default</x:v>
      </x:c>
      <x:c r="AA11" s="104" t="str">
        <x:f>IF('Master'!AB229="","",'Master'!AB229)</x:f>
        <x:v>Configurable/P2P</x:v>
      </x:c>
      <x:c r="AB11" s="100" t="str">
        <x:f>IF('Master'!AC229="","",'Master'!AC229)</x:f>
      </x:c>
      <x:c r="AC11" s="100" t="str">
        <x:f>IF('Master'!AD229="","",'Master'!AD229)</x:f>
      </x:c>
      <x:c r="AD11" s="100" t="str">
        <x:f>IF('Master'!AE229="","",'Master'!AE229)</x:f>
        <x:v>Free</x:v>
      </x:c>
      <x:c r="AE11" s="100" t="str">
        <x:f>IF('Master'!AF229="","",'Master'!AF229)</x:f>
      </x:c>
      <x:c r="AF11" s="75" t="str">
        <x:f>IF('Master'!AG229="","",'Master'!AG229)</x:f>
      </x:c>
    </x:row>
    <x:row r="12" ht="36" customHeight="1">
      <x:c r="A12" s="135" t="str">
        <x:v>720p Max FPS</x:v>
      </x:c>
      <x:c r="B12" s="100" t="str">
        <x:f>IF('Master'!C230="","",'Master'!C230)</x:f>
        <x:v>30</x:v>
      </x:c>
      <x:c r="C12" s="100" t="str">
        <x:f>IF('Master'!D230="","",'Master'!D230)</x:f>
      </x:c>
      <x:c r="D12" s="100" t="str">
        <x:f>IF('Master'!E230="","",'Master'!E230)</x:f>
      </x:c>
      <x:c r="E12" s="100" t="str">
        <x:f>IF('Master'!F230="","",'Master'!F230)</x:f>
      </x:c>
      <x:c r="F12" s="100" t="str">
        <x:f>IF('Master'!G230="","",'Master'!G230)</x:f>
      </x:c>
      <x:c r="G12" s="100" t="str">
        <x:f>IF('Master'!H230="","",'Master'!H230)</x:f>
        <x:v>30</x:v>
      </x:c>
      <x:c r="H12" s="100" t="str">
        <x:f>IF('Master'!I230="","",'Master'!I230)</x:f>
        <x:v>30</x:v>
      </x:c>
      <x:c r="I12" s="100" t="str">
        <x:f>IF('Master'!J230="","",'Master'!J230)</x:f>
      </x:c>
      <x:c r="J12" s="100" t="str">
        <x:f>IF('Master'!K230="","",'Master'!K230)</x:f>
      </x:c>
      <x:c r="K12" s="100" t="str">
        <x:f>IF('Master'!L230="","",'Master'!L230)</x:f>
        <x:v>30</x:v>
      </x:c>
      <x:c r="L12" s="100" t="str">
        <x:f>IF('Master'!M230="","",'Master'!M230)</x:f>
      </x:c>
      <x:c r="M12" s="100" t="str">
        <x:f>IF('Master'!N230="","",'Master'!N230)</x:f>
      </x:c>
      <x:c r="N12" s="100" t="str">
        <x:f>IF('Master'!O230="","",'Master'!O230)</x:f>
      </x:c>
      <x:c r="O12" s="100" t="str">
        <x:f>IF('Master'!P230="","",'Master'!P230)</x:f>
      </x:c>
      <x:c r="P12" s="100" t="str">
        <x:f>IF('Master'!Q230="","",'Master'!Q230)</x:f>
      </x:c>
      <x:c r="Q12" s="100" t="str">
        <x:f>IF('Master'!R230="","",'Master'!R230)</x:f>
      </x:c>
      <x:c r="R12" s="100" t="str">
        <x:f>IF('Master'!S230="","",'Master'!S230)</x:f>
      </x:c>
      <x:c r="S12" s="100" t="str">
        <x:f>IF('Master'!T230="","",'Master'!T230)</x:f>
      </x:c>
      <x:c r="T12" s="100" t="str">
        <x:f>IF('Master'!U230="","",'Master'!U230)</x:f>
      </x:c>
      <x:c r="U12" s="100" t="str">
        <x:f>IF('Master'!V230="","",'Master'!V230)</x:f>
        <x:v>60</x:v>
      </x:c>
      <x:c r="V12" s="100" t="str">
        <x:f>IF('Master'!W230="","",'Master'!W230)</x:f>
      </x:c>
      <x:c r="W12" s="100" t="str">
        <x:f>IF('Master'!X230="","",'Master'!X230)</x:f>
      </x:c>
      <x:c r="X12" s="100" t="str">
        <x:f>IF('Master'!Y230="","",'Master'!Y230)</x:f>
      </x:c>
      <x:c r="Y12" s="100" t="str">
        <x:f>IF('Master'!Z230="","",'Master'!Z230)</x:f>
      </x:c>
      <x:c r="Z12" s="100" t="n">
        <x:f>IF('Master'!AA230="","",'Master'!AA230)</x:f>
        <x:v>30</x:v>
      </x:c>
      <x:c r="AA12" s="104" t="str">
        <x:f>IF('Master'!AB230="","",'Master'!AB230)</x:f>
      </x:c>
      <x:c r="AB12" s="100" t="str">
        <x:f>IF('Master'!AC230="","",'Master'!AC230)</x:f>
      </x:c>
      <x:c r="AC12" s="100" t="str">
        <x:f>IF('Master'!AD230="","",'Master'!AD230)</x:f>
      </x:c>
      <x:c r="AD12" s="100" t="str">
        <x:f>IF('Master'!AE230="","",'Master'!AE230)</x:f>
      </x:c>
      <x:c r="AE12" s="100" t="str">
        <x:f>IF('Master'!AF230="","",'Master'!AF230)</x:f>
      </x:c>
      <x:c r="AF12" s="75" t="str">
        <x:f>IF('Master'!AG230="","",'Master'!AG230)</x:f>
      </x:c>
    </x:row>
    <x:row r="13" ht="36" customHeight="1">
      <x:c r="A13" s="135" t="str">
        <x:v>1080p Available?</x:v>
      </x:c>
      <x:c r="B13" s="100" t="str">
        <x:f>IF('Master'!C231="","",'Master'!C231)</x:f>
        <x:v>Yes</x:v>
      </x:c>
      <x:c r="C13" s="100" t="str">
        <x:f>IF('Master'!D231="","",'Master'!D231)</x:f>
      </x:c>
      <x:c r="D13" s="100" t="str">
        <x:f>IF('Master'!E231="","",'Master'!E231)</x:f>
      </x:c>
      <x:c r="E13" s="100" t="str">
        <x:f>IF('Master'!F231="","",'Master'!F231)</x:f>
      </x:c>
      <x:c r="F13" s="100" t="str">
        <x:f>IF('Master'!G231="","",'Master'!G231)</x:f>
      </x:c>
      <x:c r="G13" s="100" t="str">
        <x:f>IF('Master'!H231="","",'Master'!H231)</x:f>
        <x:v>Yes</x:v>
      </x:c>
      <x:c r="H13" s="100" t="str">
        <x:f>IF('Master'!I231="","",'Master'!I231)</x:f>
        <x:v>Yes</x:v>
      </x:c>
      <x:c r="I13" s="100" t="str">
        <x:f>IF('Master'!J231="","",'Master'!J231)</x:f>
      </x:c>
      <x:c r="J13" s="100" t="str">
        <x:f>IF('Master'!K231="","",'Master'!K231)</x:f>
      </x:c>
      <x:c r="K13" s="100" t="str">
        <x:f>IF('Master'!L231="","",'Master'!L231)</x:f>
        <x:v>Yes</x:v>
      </x:c>
      <x:c r="L13" s="100" t="str">
        <x:f>IF('Master'!M231="","",'Master'!M231)</x:f>
      </x:c>
      <x:c r="M13" s="100" t="str">
        <x:f>IF('Master'!N231="","",'Master'!N231)</x:f>
      </x:c>
      <x:c r="N13" s="100" t="str">
        <x:f>IF('Master'!O231="","",'Master'!O231)</x:f>
      </x:c>
      <x:c r="O13" s="100" t="str">
        <x:f>IF('Master'!P231="","",'Master'!P231)</x:f>
      </x:c>
      <x:c r="P13" s="100" t="str">
        <x:f>IF('Master'!Q231="","",'Master'!Q231)</x:f>
      </x:c>
      <x:c r="Q13" s="100" t="str">
        <x:f>IF('Master'!R231="","",'Master'!R231)</x:f>
      </x:c>
      <x:c r="R13" s="100" t="str">
        <x:f>IF('Master'!S231="","",'Master'!S231)</x:f>
      </x:c>
      <x:c r="S13" s="100" t="str">
        <x:f>IF('Master'!T231="","",'Master'!T231)</x:f>
      </x:c>
      <x:c r="T13" s="100" t="str">
        <x:f>IF('Master'!U231="","",'Master'!U231)</x:f>
        <x:v>Yes</x:v>
      </x:c>
      <x:c r="U13" s="100" t="str">
        <x:f>IF('Master'!V231="","",'Master'!V231)</x:f>
        <x:v>Yes</x:v>
      </x:c>
      <x:c r="V13" s="100" t="str">
        <x:f>IF('Master'!W231="","",'Master'!W231)</x:f>
      </x:c>
      <x:c r="W13" s="100" t="str">
        <x:f>IF('Master'!X231="","",'Master'!X231)</x:f>
      </x:c>
      <x:c r="X13" s="100" t="str">
        <x:f>IF('Master'!Y231="","",'Master'!Y231)</x:f>
        <x:v>Yes</x:v>
      </x:c>
      <x:c r="Y13" s="100" t="str">
        <x:f>IF('Master'!Z231="","",'Master'!Z231)</x:f>
      </x:c>
      <x:c r="Z13" s="100" t="str">
        <x:f>IF('Master'!AA231="","",'Master'!AA231)</x:f>
      </x:c>
      <x:c r="AA13" s="104" t="str">
        <x:f>IF('Master'!AB231="","",'Master'!AB231)</x:f>
        <x:v>Yes</x:v>
      </x:c>
      <x:c r="AB13" s="100" t="str">
        <x:f>IF('Master'!AC231="","",'Master'!AC231)</x:f>
      </x:c>
      <x:c r="AC13" s="100" t="str">
        <x:f>IF('Master'!AD231="","",'Master'!AD231)</x:f>
      </x:c>
      <x:c r="AD13" s="100" t="str">
        <x:f>IF('Master'!AE231="","",'Master'!AE231)</x:f>
      </x:c>
      <x:c r="AE13" s="100" t="str">
        <x:f>IF('Master'!AF231="","",'Master'!AF231)</x:f>
      </x:c>
      <x:c r="AF13" s="75" t="str">
        <x:f>IF('Master'!AG231="","",'Master'!AG231)</x:f>
      </x:c>
    </x:row>
    <x:row r="14" ht="36" customHeight="1">
      <x:c r="A14" s="135" t="str">
        <x:v>1080p Access (Free / Paid / Configurable)</x:v>
      </x:c>
      <x:c r="B14" s="100" t="str">
        <x:f>IF('Master'!C232="","",'Master'!C232)</x:f>
        <x:v>Paid — Nitro</x:v>
      </x:c>
      <x:c r="C14" s="100" t="str">
        <x:f>IF('Master'!D232="","",'Master'!D232)</x:f>
      </x:c>
      <x:c r="D14" s="100" t="str">
        <x:f>IF('Master'!E232="","",'Master'!E232)</x:f>
      </x:c>
      <x:c r="E14" s="100" t="str">
        <x:f>IF('Master'!F232="","",'Master'!F232)</x:f>
      </x:c>
      <x:c r="F14" s="100" t="str">
        <x:f>IF('Master'!G232="","",'Master'!G232)</x:f>
      </x:c>
      <x:c r="G14" s="100" t="str">
        <x:f>IF('Master'!H232="","",'Master'!H232)</x:f>
        <x:v>Paid — Plutonium</x:v>
      </x:c>
      <x:c r="H14" s="100" t="str">
        <x:f>IF('Master'!I232="","",'Master'!I232)</x:f>
        <x:v>Free 30 FPS; Gold+ 60 FPS</x:v>
      </x:c>
      <x:c r="I14" s="100" t="str">
        <x:f>IF('Master'!J232="","",'Master'!J232)</x:f>
      </x:c>
      <x:c r="J14" s="100" t="str">
        <x:f>IF('Master'!K232="","",'Master'!K232)</x:f>
      </x:c>
      <x:c r="K14" s="100" t="str">
        <x:f>IF('Master'!L232="","",'Master'!L232)</x:f>
        <x:v>Free/current</x:v>
      </x:c>
      <x:c r="L14" s="100" t="str">
        <x:f>IF('Master'!M232="","",'Master'!M232)</x:f>
      </x:c>
      <x:c r="M14" s="100" t="str">
        <x:f>IF('Master'!N232="","",'Master'!N232)</x:f>
      </x:c>
      <x:c r="N14" s="100" t="str">
        <x:f>IF('Master'!O232="","",'Master'!O232)</x:f>
      </x:c>
      <x:c r="O14" s="100" t="str">
        <x:f>IF('Master'!P232="","",'Master'!P232)</x:f>
      </x:c>
      <x:c r="P14" s="100" t="str">
        <x:f>IF('Master'!Q232="","",'Master'!Q232)</x:f>
        <x:v>Free</x:v>
      </x:c>
      <x:c r="Q14" s="100" t="str">
        <x:f>IF('Master'!R232="","",'Master'!R232)</x:f>
      </x:c>
      <x:c r="R14" s="100" t="str">
        <x:f>IF('Master'!S232="","",'Master'!S232)</x:f>
      </x:c>
      <x:c r="S14" s="100" t="str">
        <x:f>IF('Master'!T232="","",'Master'!T232)</x:f>
      </x:c>
      <x:c r="T14" s="100" t="str">
        <x:f>IF('Master'!U232="","",'Master'!U232)</x:f>
        <x:v>Free</x:v>
      </x:c>
      <x:c r="U14" s="100" t="str">
        <x:f>IF('Master'!V232="","",'Master'!V232)</x:f>
        <x:v>Free</x:v>
      </x:c>
      <x:c r="V14" s="100" t="str">
        <x:f>IF('Master'!W232="","",'Master'!W232)</x:f>
      </x:c>
      <x:c r="W14" s="100" t="str">
        <x:f>IF('Master'!X232="","",'Master'!X232)</x:f>
      </x:c>
      <x:c r="X14" s="100" t="str">
        <x:f>IF('Master'!Y232="","",'Master'!Y232)</x:f>
        <x:v>Paid — Sudo</x:v>
      </x:c>
      <x:c r="Y14" s="100" t="str">
        <x:f>IF('Master'!Z232="","",'Master'!Z232)</x:f>
      </x:c>
      <x:c r="Z14" s="100" t="str">
        <x:f>IF('Master'!AA232="","",'Master'!AA232)</x:f>
      </x:c>
      <x:c r="AA14" s="104" t="str">
        <x:f>IF('Master'!AB232="","",'Master'!AB232)</x:f>
        <x:v>Configurable/P2P</x:v>
      </x:c>
      <x:c r="AB14" s="100" t="str">
        <x:f>IF('Master'!AC232="","",'Master'!AC232)</x:f>
      </x:c>
      <x:c r="AC14" s="100" t="str">
        <x:f>IF('Master'!AD232="","",'Master'!AD232)</x:f>
      </x:c>
      <x:c r="AD14" s="100" t="str">
        <x:f>IF('Master'!AE232="","",'Master'!AE232)</x:f>
        <x:v>Free if supported</x:v>
      </x:c>
      <x:c r="AE14" s="100" t="str">
        <x:f>IF('Master'!AF232="","",'Master'!AF232)</x:f>
      </x:c>
      <x:c r="AF14" s="75" t="str">
        <x:f>IF('Master'!AG232="","",'Master'!AG232)</x:f>
      </x:c>
    </x:row>
    <x:row r="15" ht="36" customHeight="1">
      <x:c r="A15" s="135" t="str">
        <x:v>1080p Max FPS</x:v>
      </x:c>
      <x:c r="B15" s="100" t="str">
        <x:f>IF('Master'!C233="","",'Master'!C233)</x:f>
        <x:v>60</x:v>
      </x:c>
      <x:c r="C15" s="100" t="str">
        <x:f>IF('Master'!D233="","",'Master'!D233)</x:f>
      </x:c>
      <x:c r="D15" s="100" t="str">
        <x:f>IF('Master'!E233="","",'Master'!E233)</x:f>
      </x:c>
      <x:c r="E15" s="100" t="str">
        <x:f>IF('Master'!F233="","",'Master'!F233)</x:f>
      </x:c>
      <x:c r="F15" s="100" t="str">
        <x:f>IF('Master'!G233="","",'Master'!G233)</x:f>
      </x:c>
      <x:c r="G15" s="100" t="str">
        <x:f>IF('Master'!H233="","",'Master'!H233)</x:f>
        <x:v>60</x:v>
      </x:c>
      <x:c r="H15" s="100" t="str">
        <x:f>IF('Master'!I233="","",'Master'!I233)</x:f>
        <x:v>60</x:v>
      </x:c>
      <x:c r="I15" s="100" t="str">
        <x:f>IF('Master'!J233="","",'Master'!J233)</x:f>
      </x:c>
      <x:c r="J15" s="100" t="str">
        <x:f>IF('Master'!K233="","",'Master'!K233)</x:f>
      </x:c>
      <x:c r="K15" s="100" t="str">
        <x:f>IF('Master'!L233="","",'Master'!L233)</x:f>
        <x:v>30</x:v>
      </x:c>
      <x:c r="L15" s="100" t="str">
        <x:f>IF('Master'!M233="","",'Master'!M233)</x:f>
      </x:c>
      <x:c r="M15" s="100" t="str">
        <x:f>IF('Master'!N233="","",'Master'!N233)</x:f>
      </x:c>
      <x:c r="N15" s="100" t="str">
        <x:f>IF('Master'!O233="","",'Master'!O233)</x:f>
      </x:c>
      <x:c r="O15" s="100" t="str">
        <x:f>IF('Master'!P233="","",'Master'!P233)</x:f>
      </x:c>
      <x:c r="P15" s="100" t="str">
        <x:f>IF('Master'!Q233="","",'Master'!Q233)</x:f>
      </x:c>
      <x:c r="Q15" s="100" t="str">
        <x:f>IF('Master'!R233="","",'Master'!R233)</x:f>
      </x:c>
      <x:c r="R15" s="100" t="str">
        <x:f>IF('Master'!S233="","",'Master'!S233)</x:f>
      </x:c>
      <x:c r="S15" s="100" t="str">
        <x:f>IF('Master'!T233="","",'Master'!T233)</x:f>
      </x:c>
      <x:c r="T15" s="100" t="str">
        <x:f>IF('Master'!U233="","",'Master'!U233)</x:f>
        <x:v>Not publicly claimed</x:v>
      </x:c>
      <x:c r="U15" s="100" t="str">
        <x:f>IF('Master'!V233="","",'Master'!V233)</x:f>
        <x:v>60</x:v>
      </x:c>
      <x:c r="V15" s="100" t="str">
        <x:f>IF('Master'!W233="","",'Master'!W233)</x:f>
      </x:c>
      <x:c r="W15" s="100" t="str">
        <x:f>IF('Master'!X233="","",'Master'!X233)</x:f>
      </x:c>
      <x:c r="X15" s="100" t="str">
        <x:f>IF('Master'!Y233="","",'Master'!Y233)</x:f>
        <x:v>60</x:v>
      </x:c>
      <x:c r="Y15" s="100" t="str">
        <x:f>IF('Master'!Z233="","",'Master'!Z233)</x:f>
      </x:c>
      <x:c r="Z15" s="100" t="str">
        <x:f>IF('Master'!AA233="","",'Master'!AA233)</x:f>
      </x:c>
      <x:c r="AA15" s="104" t="str">
        <x:f>IF('Master'!AB233="","",'Master'!AB233)</x:f>
        <x:v>60 observed/configurable</x:v>
      </x:c>
      <x:c r="AB15" s="100" t="str">
        <x:f>IF('Master'!AC233="","",'Master'!AC233)</x:f>
      </x:c>
      <x:c r="AC15" s="100" t="str">
        <x:f>IF('Master'!AD233="","",'Master'!AD233)</x:f>
      </x:c>
      <x:c r="AD15" s="100" t="str">
        <x:f>IF('Master'!AE233="","",'Master'!AE233)</x:f>
      </x:c>
      <x:c r="AE15" s="100" t="str">
        <x:f>IF('Master'!AF233="","",'Master'!AF233)</x:f>
      </x:c>
      <x:c r="AF15" s="75" t="str">
        <x:f>IF('Master'!AG233="","",'Master'!AG233)</x:f>
      </x:c>
    </x:row>
    <x:row r="16" ht="36" customHeight="1">
      <x:c r="A16" s="135" t="str">
        <x:v>1440p Available?</x:v>
      </x:c>
      <x:c r="B16" s="100" t="str">
        <x:f>IF('Master'!C234="","",'Master'!C234)</x:f>
      </x:c>
      <x:c r="C16" s="100" t="str">
        <x:f>IF('Master'!D234="","",'Master'!D234)</x:f>
      </x:c>
      <x:c r="D16" s="100" t="str">
        <x:f>IF('Master'!E234="","",'Master'!E234)</x:f>
      </x:c>
      <x:c r="E16" s="100" t="str">
        <x:f>IF('Master'!F234="","",'Master'!F234)</x:f>
      </x:c>
      <x:c r="F16" s="100" t="str">
        <x:f>IF('Master'!G234="","",'Master'!G234)</x:f>
      </x:c>
      <x:c r="G16" s="100" t="str">
        <x:f>IF('Master'!H234="","",'Master'!H234)</x:f>
        <x:v>Yes (within paid max)</x:v>
      </x:c>
      <x:c r="H16" s="100" t="str">
        <x:f>IF('Master'!I234="","",'Master'!I234)</x:f>
        <x:v>Yes</x:v>
      </x:c>
      <x:c r="I16" s="100" t="str">
        <x:f>IF('Master'!J234="","",'Master'!J234)</x:f>
      </x:c>
      <x:c r="J16" s="100" t="str">
        <x:f>IF('Master'!K234="","",'Master'!K234)</x:f>
      </x:c>
      <x:c r="K16" s="100" t="str">
        <x:f>IF('Master'!L234="","",'Master'!L234)</x:f>
        <x:v>Yes</x:v>
      </x:c>
      <x:c r="L16" s="100" t="str">
        <x:f>IF('Master'!M234="","",'Master'!M234)</x:f>
      </x:c>
      <x:c r="M16" s="100" t="str">
        <x:f>IF('Master'!N234="","",'Master'!N234)</x:f>
      </x:c>
      <x:c r="N16" s="100" t="str">
        <x:f>IF('Master'!O234="","",'Master'!O234)</x:f>
      </x:c>
      <x:c r="O16" s="100" t="str">
        <x:f>IF('Master'!P234="","",'Master'!P234)</x:f>
      </x:c>
      <x:c r="P16" s="100" t="str">
        <x:f>IF('Master'!Q234="","",'Master'!Q234)</x:f>
      </x:c>
      <x:c r="Q16" s="100" t="str">
        <x:f>IF('Master'!R234="","",'Master'!R234)</x:f>
      </x:c>
      <x:c r="R16" s="100" t="str">
        <x:f>IF('Master'!S234="","",'Master'!S234)</x:f>
      </x:c>
      <x:c r="S16" s="100" t="str">
        <x:f>IF('Master'!T234="","",'Master'!T234)</x:f>
      </x:c>
      <x:c r="T16" s="100" t="str">
        <x:f>IF('Master'!U234="","",'Master'!U234)</x:f>
        <x:v>No — current published hosted range tops out at 1080p</x:v>
      </x:c>
      <x:c r="U16" s="100" t="str">
        <x:f>IF('Master'!V234="","",'Master'!V234)</x:f>
        <x:v>Yes</x:v>
      </x:c>
      <x:c r="V16" s="100" t="str">
        <x:f>IF('Master'!W234="","",'Master'!W234)</x:f>
      </x:c>
      <x:c r="W16" s="100" t="str">
        <x:f>IF('Master'!X234="","",'Master'!X234)</x:f>
      </x:c>
      <x:c r="X16" s="100" t="str">
        <x:f>IF('Master'!Y234="","",'Master'!Y234)</x:f>
        <x:v>Yes</x:v>
      </x:c>
      <x:c r="Y16" s="100" t="str">
        <x:f>IF('Master'!Z234="","",'Master'!Z234)</x:f>
      </x:c>
      <x:c r="Z16" s="100" t="str">
        <x:f>IF('Master'!AA234="","",'Master'!AA234)</x:f>
      </x:c>
      <x:c r="AA16" s="104" t="str">
        <x:f>IF('Master'!AB234="","",'Master'!AB234)</x:f>
      </x:c>
      <x:c r="AB16" s="100" t="str">
        <x:f>IF('Master'!AC234="","",'Master'!AC234)</x:f>
      </x:c>
      <x:c r="AC16" s="100" t="str">
        <x:f>IF('Master'!AD234="","",'Master'!AD234)</x:f>
      </x:c>
      <x:c r="AD16" s="100" t="str">
        <x:f>IF('Master'!AE234="","",'Master'!AE234)</x:f>
      </x:c>
      <x:c r="AE16" s="100" t="str">
        <x:f>IF('Master'!AF234="","",'Master'!AF234)</x:f>
      </x:c>
      <x:c r="AF16" s="75" t="str">
        <x:f>IF('Master'!AG234="","",'Master'!AG234)</x:f>
      </x:c>
    </x:row>
    <x:row r="17" ht="36" customHeight="1">
      <x:c r="A17" s="135" t="str">
        <x:v>1440p Access (Free / Paid / Configurable)</x:v>
      </x:c>
      <x:c r="B17" s="100" t="str">
        <x:f>IF('Master'!C235="","",'Master'!C235)</x:f>
      </x:c>
      <x:c r="C17" s="100" t="str">
        <x:f>IF('Master'!D235="","",'Master'!D235)</x:f>
      </x:c>
      <x:c r="D17" s="100" t="str">
        <x:f>IF('Master'!E235="","",'Master'!E235)</x:f>
      </x:c>
      <x:c r="E17" s="100" t="str">
        <x:f>IF('Master'!F235="","",'Master'!F235)</x:f>
      </x:c>
      <x:c r="F17" s="100" t="str">
        <x:f>IF('Master'!G235="","",'Master'!G235)</x:f>
      </x:c>
      <x:c r="G17" s="100" t="str">
        <x:f>IF('Master'!H235="","",'Master'!H235)</x:f>
        <x:v>Paid — Plutonium</x:v>
      </x:c>
      <x:c r="H17" s="100" t="str">
        <x:f>IF('Master'!I235="","",'Master'!I235)</x:f>
        <x:v>Paid — Diamond</x:v>
      </x:c>
      <x:c r="I17" s="100" t="str">
        <x:f>IF('Master'!J235="","",'Master'!J235)</x:f>
      </x:c>
      <x:c r="J17" s="100" t="str">
        <x:f>IF('Master'!K235="","",'Master'!K235)</x:f>
      </x:c>
      <x:c r="K17" s="100" t="str">
        <x:f>IF('Master'!L235="","",'Master'!L235)</x:f>
        <x:v>Free/current</x:v>
      </x:c>
      <x:c r="L17" s="100" t="str">
        <x:f>IF('Master'!M235="","",'Master'!M235)</x:f>
      </x:c>
      <x:c r="M17" s="100" t="str">
        <x:f>IF('Master'!N235="","",'Master'!N235)</x:f>
      </x:c>
      <x:c r="N17" s="100" t="str">
        <x:f>IF('Master'!O235="","",'Master'!O235)</x:f>
      </x:c>
      <x:c r="O17" s="100" t="str">
        <x:f>IF('Master'!P235="","",'Master'!P235)</x:f>
      </x:c>
      <x:c r="P17" s="100" t="str">
        <x:f>IF('Master'!Q235="","",'Master'!Q235)</x:f>
        <x:v>Free if supported; no paywall</x:v>
      </x:c>
      <x:c r="Q17" s="100" t="str">
        <x:f>IF('Master'!R235="","",'Master'!R235)</x:f>
      </x:c>
      <x:c r="R17" s="100" t="str">
        <x:f>IF('Master'!S235="","",'Master'!S235)</x:f>
      </x:c>
      <x:c r="S17" s="100" t="str">
        <x:f>IF('Master'!T235="","",'Master'!T235)</x:f>
      </x:c>
      <x:c r="T17" s="100" t="str">
        <x:f>IF('Master'!U235="","",'Master'!U235)</x:f>
        <x:v>No</x:v>
      </x:c>
      <x:c r="U17" s="100" t="str">
        <x:f>IF('Master'!V235="","",'Master'!V235)</x:f>
        <x:v>Paid — Rift+ or Shard Ember</x:v>
      </x:c>
      <x:c r="V17" s="100" t="str">
        <x:f>IF('Master'!W235="","",'Master'!W235)</x:f>
      </x:c>
      <x:c r="W17" s="100" t="str">
        <x:f>IF('Master'!X235="","",'Master'!X235)</x:f>
      </x:c>
      <x:c r="X17" s="100" t="str">
        <x:f>IF('Master'!Y235="","",'Master'!Y235)</x:f>
        <x:v>Paid — Sudo</x:v>
      </x:c>
      <x:c r="Y17" s="100" t="str">
        <x:f>IF('Master'!Z235="","",'Master'!Z235)</x:f>
      </x:c>
      <x:c r="Z17" s="100" t="str">
        <x:f>IF('Master'!AA235="","",'Master'!AA235)</x:f>
      </x:c>
      <x:c r="AA17" s="104" t="str">
        <x:f>IF('Master'!AB235="","",'Master'!AB235)</x:f>
      </x:c>
      <x:c r="AB17" s="100" t="str">
        <x:f>IF('Master'!AC235="","",'Master'!AC235)</x:f>
      </x:c>
      <x:c r="AC17" s="100" t="str">
        <x:f>IF('Master'!AD235="","",'Master'!AD235)</x:f>
      </x:c>
      <x:c r="AD17" s="100" t="str">
        <x:f>IF('Master'!AE235="","",'Master'!AE235)</x:f>
        <x:v>Free if supported</x:v>
      </x:c>
      <x:c r="AE17" s="100" t="str">
        <x:f>IF('Master'!AF235="","",'Master'!AF235)</x:f>
      </x:c>
      <x:c r="AF17" s="75" t="str">
        <x:f>IF('Master'!AG235="","",'Master'!AG235)</x:f>
      </x:c>
    </x:row>
    <x:row r="18" ht="36" customHeight="1">
      <x:c r="A18" s="135" t="str">
        <x:v>1440p Max FPS</x:v>
      </x:c>
      <x:c r="B18" s="100" t="str">
        <x:f>IF('Master'!C236="","",'Master'!C236)</x:f>
      </x:c>
      <x:c r="C18" s="100" t="str">
        <x:f>IF('Master'!D236="","",'Master'!D236)</x:f>
      </x:c>
      <x:c r="D18" s="100" t="str">
        <x:f>IF('Master'!E236="","",'Master'!E236)</x:f>
      </x:c>
      <x:c r="E18" s="100" t="str">
        <x:f>IF('Master'!F236="","",'Master'!F236)</x:f>
      </x:c>
      <x:c r="F18" s="100" t="str">
        <x:f>IF('Master'!G236="","",'Master'!G236)</x:f>
      </x:c>
      <x:c r="G18" s="100" t="str">
        <x:f>IF('Master'!H236="","",'Master'!H236)</x:f>
        <x:v>60</x:v>
      </x:c>
      <x:c r="H18" s="100" t="str">
        <x:f>IF('Master'!I236="","",'Master'!I236)</x:f>
        <x:v>60</x:v>
      </x:c>
      <x:c r="I18" s="100" t="str">
        <x:f>IF('Master'!J236="","",'Master'!J236)</x:f>
      </x:c>
      <x:c r="J18" s="100" t="str">
        <x:f>IF('Master'!K236="","",'Master'!K236)</x:f>
      </x:c>
      <x:c r="K18" s="100" t="str">
        <x:f>IF('Master'!L236="","",'Master'!L236)</x:f>
        <x:v>30</x:v>
      </x:c>
      <x:c r="L18" s="100" t="str">
        <x:f>IF('Master'!M236="","",'Master'!M236)</x:f>
      </x:c>
      <x:c r="M18" s="100" t="str">
        <x:f>IF('Master'!N236="","",'Master'!N236)</x:f>
      </x:c>
      <x:c r="N18" s="100" t="str">
        <x:f>IF('Master'!O236="","",'Master'!O236)</x:f>
      </x:c>
      <x:c r="O18" s="100" t="str">
        <x:f>IF('Master'!P236="","",'Master'!P236)</x:f>
      </x:c>
      <x:c r="P18" s="100" t="str">
        <x:f>IF('Master'!Q236="","",'Master'!Q236)</x:f>
      </x:c>
      <x:c r="Q18" s="100" t="str">
        <x:f>IF('Master'!R236="","",'Master'!R236)</x:f>
      </x:c>
      <x:c r="R18" s="100" t="str">
        <x:f>IF('Master'!S236="","",'Master'!S236)</x:f>
      </x:c>
      <x:c r="S18" s="100" t="str">
        <x:f>IF('Master'!T236="","",'Master'!T236)</x:f>
      </x:c>
      <x:c r="T18" s="100" t="str">
        <x:f>IF('Master'!U236="","",'Master'!U236)</x:f>
        <x:v>N/A</x:v>
      </x:c>
      <x:c r="U18" s="100" t="str">
        <x:f>IF('Master'!V236="","",'Master'!V236)</x:f>
        <x:v>60</x:v>
      </x:c>
      <x:c r="V18" s="100" t="str">
        <x:f>IF('Master'!W236="","",'Master'!W236)</x:f>
      </x:c>
      <x:c r="W18" s="100" t="str">
        <x:f>IF('Master'!X236="","",'Master'!X236)</x:f>
      </x:c>
      <x:c r="X18" s="100" t="str">
        <x:f>IF('Master'!Y236="","",'Master'!Y236)</x:f>
        <x:v>60</x:v>
      </x:c>
      <x:c r="Y18" s="100" t="str">
        <x:f>IF('Master'!Z236="","",'Master'!Z236)</x:f>
      </x:c>
      <x:c r="Z18" s="100" t="str">
        <x:f>IF('Master'!AA236="","",'Master'!AA236)</x:f>
      </x:c>
      <x:c r="AA18" s="104" t="str">
        <x:f>IF('Master'!AB236="","",'Master'!AB236)</x:f>
      </x:c>
      <x:c r="AB18" s="100" t="str">
        <x:f>IF('Master'!AC236="","",'Master'!AC236)</x:f>
      </x:c>
      <x:c r="AC18" s="100" t="str">
        <x:f>IF('Master'!AD236="","",'Master'!AD236)</x:f>
      </x:c>
      <x:c r="AD18" s="100" t="str">
        <x:f>IF('Master'!AE236="","",'Master'!AE236)</x:f>
      </x:c>
      <x:c r="AE18" s="100" t="str">
        <x:f>IF('Master'!AF236="","",'Master'!AF236)</x:f>
      </x:c>
      <x:c r="AF18" s="75" t="str">
        <x:f>IF('Master'!AG236="","",'Master'!AG236)</x:f>
      </x:c>
    </x:row>
    <x:row r="19" ht="36" customHeight="1">
      <x:c r="A19" s="135" t="str">
        <x:v>4K Available?</x:v>
      </x:c>
      <x:c r="B19" s="100" t="str">
        <x:f>IF('Master'!C237="","",'Master'!C237)</x:f>
        <x:v>Yes</x:v>
      </x:c>
      <x:c r="C19" s="100" t="str">
        <x:f>IF('Master'!D237="","",'Master'!D237)</x:f>
      </x:c>
      <x:c r="D19" s="100" t="str">
        <x:f>IF('Master'!E237="","",'Master'!E237)</x:f>
      </x:c>
      <x:c r="E19" s="100" t="str">
        <x:f>IF('Master'!F237="","",'Master'!F237)</x:f>
      </x:c>
      <x:c r="F19" s="100" t="str">
        <x:f>IF('Master'!G237="","",'Master'!G237)</x:f>
      </x:c>
      <x:c r="G19" s="100" t="str">
        <x:f>IF('Master'!H237="","",'Master'!H237)</x:f>
        <x:v>Yes</x:v>
      </x:c>
      <x:c r="H19" s="100" t="str">
        <x:f>IF('Master'!I237="","",'Master'!I237)</x:f>
        <x:v>Yes</x:v>
      </x:c>
      <x:c r="I19" s="100" t="str">
        <x:f>IF('Master'!J237="","",'Master'!J237)</x:f>
      </x:c>
      <x:c r="J19" s="100" t="str">
        <x:f>IF('Master'!K237="","",'Master'!K237)</x:f>
      </x:c>
      <x:c r="K19" s="100" t="str">
        <x:f>IF('Master'!L237="","",'Master'!L237)</x:f>
        <x:v>Yes</x:v>
      </x:c>
      <x:c r="L19" s="100" t="str">
        <x:f>IF('Master'!M237="","",'Master'!M237)</x:f>
      </x:c>
      <x:c r="M19" s="100" t="str">
        <x:f>IF('Master'!N237="","",'Master'!N237)</x:f>
      </x:c>
      <x:c r="N19" s="100" t="str">
        <x:f>IF('Master'!O237="","",'Master'!O237)</x:f>
      </x:c>
      <x:c r="O19" s="100" t="str">
        <x:f>IF('Master'!P237="","",'Master'!P237)</x:f>
      </x:c>
      <x:c r="P19" s="100" t="str">
        <x:f>IF('Master'!Q237="","",'Master'!Q237)</x:f>
      </x:c>
      <x:c r="Q19" s="100" t="str">
        <x:f>IF('Master'!R237="","",'Master'!R237)</x:f>
      </x:c>
      <x:c r="R19" s="100" t="str">
        <x:f>IF('Master'!S237="","",'Master'!S237)</x:f>
      </x:c>
      <x:c r="S19" s="100" t="str">
        <x:f>IF('Master'!T237="","",'Master'!T237)</x:f>
      </x:c>
      <x:c r="T19" s="100" t="str">
        <x:f>IF('Master'!U237="","",'Master'!U237)</x:f>
        <x:v>No — current published hosted range tops out at 1080p</x:v>
      </x:c>
      <x:c r="U19" s="100" t="str">
        <x:f>IF('Master'!V237="","",'Master'!V237)</x:f>
        <x:v>No documented</x:v>
      </x:c>
      <x:c r="V19" s="100" t="str">
        <x:f>IF('Master'!W237="","",'Master'!W237)</x:f>
      </x:c>
      <x:c r="W19" s="100" t="str">
        <x:f>IF('Master'!X237="","",'Master'!X237)</x:f>
      </x:c>
      <x:c r="X19" s="100" t="str">
        <x:f>IF('Master'!Y237="","",'Master'!Y237)</x:f>
        <x:v>No documented</x:v>
      </x:c>
      <x:c r="Y19" s="100" t="str">
        <x:f>IF('Master'!Z237="","",'Master'!Z237)</x:f>
      </x:c>
      <x:c r="Z19" s="100" t="str">
        <x:f>IF('Master'!AA237="","",'Master'!AA237)</x:f>
      </x:c>
      <x:c r="AA19" s="104" t="str">
        <x:f>IF('Master'!AB237="","",'Master'!AB237)</x:f>
      </x:c>
      <x:c r="AB19" s="100" t="str">
        <x:f>IF('Master'!AC237="","",'Master'!AC237)</x:f>
      </x:c>
      <x:c r="AC19" s="100" t="str">
        <x:f>IF('Master'!AD237="","",'Master'!AD237)</x:f>
      </x:c>
      <x:c r="AD19" s="100" t="str">
        <x:f>IF('Master'!AE237="","",'Master'!AE237)</x:f>
      </x:c>
      <x:c r="AE19" s="100" t="str">
        <x:f>IF('Master'!AF237="","",'Master'!AF237)</x:f>
      </x:c>
      <x:c r="AF19" s="75" t="str">
        <x:f>IF('Master'!AG237="","",'Master'!AG237)</x:f>
      </x:c>
    </x:row>
    <x:row r="20" ht="36" customHeight="1">
      <x:c r="A20" s="135" t="str">
        <x:v>4K Access (Free / Paid / Configurable)</x:v>
      </x:c>
      <x:c r="B20" s="100" t="str">
        <x:f>IF('Master'!C238="","",'Master'!C238)</x:f>
        <x:v>Paid — Nitro</x:v>
      </x:c>
      <x:c r="C20" s="100" t="str">
        <x:f>IF('Master'!D238="","",'Master'!D238)</x:f>
      </x:c>
      <x:c r="D20" s="100" t="str">
        <x:f>IF('Master'!E238="","",'Master'!E238)</x:f>
      </x:c>
      <x:c r="E20" s="100" t="str">
        <x:f>IF('Master'!F238="","",'Master'!F238)</x:f>
      </x:c>
      <x:c r="F20" s="100" t="str">
        <x:f>IF('Master'!G238="","",'Master'!G238)</x:f>
      </x:c>
      <x:c r="G20" s="100" t="str">
        <x:f>IF('Master'!H238="","",'Master'!H238)</x:f>
        <x:v>Paid — Plutonium</x:v>
      </x:c>
      <x:c r="H20" s="100" t="str">
        <x:f>IF('Master'!I238="","",'Master'!I238)</x:f>
        <x:v>Paid — Diamond</x:v>
      </x:c>
      <x:c r="I20" s="100" t="str">
        <x:f>IF('Master'!J238="","",'Master'!J238)</x:f>
      </x:c>
      <x:c r="J20" s="100" t="str">
        <x:f>IF('Master'!K238="","",'Master'!K238)</x:f>
      </x:c>
      <x:c r="K20" s="100" t="str">
        <x:f>IF('Master'!L238="","",'Master'!L238)</x:f>
        <x:v>Free/current</x:v>
      </x:c>
      <x:c r="L20" s="100" t="str">
        <x:f>IF('Master'!M238="","",'Master'!M238)</x:f>
      </x:c>
      <x:c r="M20" s="100" t="str">
        <x:f>IF('Master'!N238="","",'Master'!N238)</x:f>
      </x:c>
      <x:c r="N20" s="100" t="str">
        <x:f>IF('Master'!O238="","",'Master'!O238)</x:f>
      </x:c>
      <x:c r="O20" s="100" t="str">
        <x:f>IF('Master'!P238="","",'Master'!P238)</x:f>
      </x:c>
      <x:c r="P20" s="100" t="str">
        <x:f>IF('Master'!Q238="","",'Master'!Q238)</x:f>
        <x:v>Free if supported; no paywall</x:v>
      </x:c>
      <x:c r="Q20" s="100" t="str">
        <x:f>IF('Master'!R238="","",'Master'!R238)</x:f>
      </x:c>
      <x:c r="R20" s="100" t="str">
        <x:f>IF('Master'!S238="","",'Master'!S238)</x:f>
      </x:c>
      <x:c r="S20" s="100" t="str">
        <x:f>IF('Master'!T238="","",'Master'!T238)</x:f>
      </x:c>
      <x:c r="T20" s="100" t="str">
        <x:f>IF('Master'!U238="","",'Master'!U238)</x:f>
        <x:v>No</x:v>
      </x:c>
      <x:c r="U20" s="100" t="str">
        <x:f>IF('Master'!V238="","",'Master'!V238)</x:f>
        <x:v>N/A</x:v>
      </x:c>
      <x:c r="V20" s="100" t="str">
        <x:f>IF('Master'!W238="","",'Master'!W238)</x:f>
      </x:c>
      <x:c r="W20" s="100" t="str">
        <x:f>IF('Master'!X238="","",'Master'!X238)</x:f>
      </x:c>
      <x:c r="X20" s="100" t="str">
        <x:f>IF('Master'!Y238="","",'Master'!Y238)</x:f>
        <x:v>N/A</x:v>
      </x:c>
      <x:c r="Y20" s="100" t="str">
        <x:f>IF('Master'!Z238="","",'Master'!Z238)</x:f>
      </x:c>
      <x:c r="Z20" s="100" t="str">
        <x:f>IF('Master'!AA238="","",'Master'!AA238)</x:f>
      </x:c>
      <x:c r="AA20" s="104" t="str">
        <x:f>IF('Master'!AB238="","",'Master'!AB238)</x:f>
      </x:c>
      <x:c r="AB20" s="100" t="str">
        <x:f>IF('Master'!AC238="","",'Master'!AC238)</x:f>
      </x:c>
      <x:c r="AC20" s="100" t="str">
        <x:f>IF('Master'!AD238="","",'Master'!AD238)</x:f>
      </x:c>
      <x:c r="AD20" s="100" t="str">
        <x:f>IF('Master'!AE238="","",'Master'!AE238)</x:f>
        <x:v>Free if supported</x:v>
      </x:c>
      <x:c r="AE20" s="100" t="str">
        <x:f>IF('Master'!AF238="","",'Master'!AF238)</x:f>
      </x:c>
      <x:c r="AF20" s="75" t="str">
        <x:f>IF('Master'!AG238="","",'Master'!AG238)</x:f>
      </x:c>
    </x:row>
    <x:row r="21" ht="36" customHeight="1">
      <x:c r="A21" s="135" t="str">
        <x:v>4K Max FPS</x:v>
      </x:c>
      <x:c r="B21" s="100" t="str">
        <x:f>IF('Master'!C239="","",'Master'!C239)</x:f>
        <x:v>60</x:v>
      </x:c>
      <x:c r="C21" s="100" t="str">
        <x:f>IF('Master'!D239="","",'Master'!D239)</x:f>
      </x:c>
      <x:c r="D21" s="100" t="str">
        <x:f>IF('Master'!E239="","",'Master'!E239)</x:f>
      </x:c>
      <x:c r="E21" s="100" t="str">
        <x:f>IF('Master'!F239="","",'Master'!F239)</x:f>
      </x:c>
      <x:c r="F21" s="100" t="str">
        <x:f>IF('Master'!G239="","",'Master'!G239)</x:f>
      </x:c>
      <x:c r="G21" s="100" t="str">
        <x:f>IF('Master'!H239="","",'Master'!H239)</x:f>
        <x:v>60</x:v>
      </x:c>
      <x:c r="H21" s="100" t="str">
        <x:f>IF('Master'!I239="","",'Master'!I239)</x:f>
        <x:v>60</x:v>
      </x:c>
      <x:c r="I21" s="100" t="str">
        <x:f>IF('Master'!J239="","",'Master'!J239)</x:f>
      </x:c>
      <x:c r="J21" s="100" t="str">
        <x:f>IF('Master'!K239="","",'Master'!K239)</x:f>
      </x:c>
      <x:c r="K21" s="100" t="str">
        <x:f>IF('Master'!L239="","",'Master'!L239)</x:f>
        <x:v>30</x:v>
      </x:c>
      <x:c r="L21" s="100" t="str">
        <x:f>IF('Master'!M239="","",'Master'!M239)</x:f>
      </x:c>
      <x:c r="M21" s="100" t="str">
        <x:f>IF('Master'!N239="","",'Master'!N239)</x:f>
      </x:c>
      <x:c r="N21" s="100" t="str">
        <x:f>IF('Master'!O239="","",'Master'!O239)</x:f>
      </x:c>
      <x:c r="O21" s="100" t="str">
        <x:f>IF('Master'!P239="","",'Master'!P239)</x:f>
      </x:c>
      <x:c r="P21" s="100" t="str">
        <x:f>IF('Master'!Q239="","",'Master'!Q239)</x:f>
      </x:c>
      <x:c r="Q21" s="100" t="str">
        <x:f>IF('Master'!R239="","",'Master'!R239)</x:f>
      </x:c>
      <x:c r="R21" s="100" t="str">
        <x:f>IF('Master'!S239="","",'Master'!S239)</x:f>
      </x:c>
      <x:c r="S21" s="100" t="str">
        <x:f>IF('Master'!T239="","",'Master'!T239)</x:f>
      </x:c>
      <x:c r="T21" s="100" t="str">
        <x:f>IF('Master'!U239="","",'Master'!U239)</x:f>
        <x:v>N/A</x:v>
      </x:c>
      <x:c r="U21" s="100" t="str">
        <x:f>IF('Master'!V239="","",'Master'!V239)</x:f>
        <x:v>N/A</x:v>
      </x:c>
      <x:c r="V21" s="100" t="str">
        <x:f>IF('Master'!W239="","",'Master'!W239)</x:f>
      </x:c>
      <x:c r="W21" s="100" t="str">
        <x:f>IF('Master'!X239="","",'Master'!X239)</x:f>
      </x:c>
      <x:c r="X21" s="100" t="str">
        <x:f>IF('Master'!Y239="","",'Master'!Y239)</x:f>
        <x:v>N/A</x:v>
      </x:c>
      <x:c r="Y21" s="100" t="str">
        <x:f>IF('Master'!Z239="","",'Master'!Z239)</x:f>
      </x:c>
      <x:c r="Z21" s="100" t="str">
        <x:f>IF('Master'!AA239="","",'Master'!AA239)</x:f>
      </x:c>
      <x:c r="AA21" s="104" t="str">
        <x:f>IF('Master'!AB239="","",'Master'!AB239)</x:f>
      </x:c>
      <x:c r="AB21" s="100" t="str">
        <x:f>IF('Master'!AC239="","",'Master'!AC239)</x:f>
      </x:c>
      <x:c r="AC21" s="100" t="str">
        <x:f>IF('Master'!AD239="","",'Master'!AD239)</x:f>
      </x:c>
      <x:c r="AD21" s="100" t="str">
        <x:f>IF('Master'!AE239="","",'Master'!AE239)</x:f>
      </x:c>
      <x:c r="AE21" s="100" t="str">
        <x:f>IF('Master'!AF239="","",'Master'!AF239)</x:f>
      </x:c>
      <x:c r="AF21" s="75" t="str">
        <x:f>IF('Master'!AG239="","",'Master'!AG239)</x:f>
      </x:c>
    </x:row>
    <x:row r="22" ht="22" customHeight="1">
      <x:c r="A22" s="138" t="str">
        <x:v>Frame Rate Entitlements</x:v>
      </x:c>
      <x:c r="B22" s="138" t="str">
        <x:f>IF(""="","","")</x:f>
      </x:c>
      <x:c r="C22" s="138" t="str">
        <x:f>IF(""="","","")</x:f>
      </x:c>
      <x:c r="D22" s="138" t="str">
        <x:f>IF(""="","","")</x:f>
      </x:c>
      <x:c r="E22" s="138" t="str">
        <x:f>IF(""="","","")</x:f>
      </x:c>
      <x:c r="F22" s="138" t="str">
        <x:f>IF(""="","","")</x:f>
      </x:c>
      <x:c r="G22" s="138" t="str">
        <x:f>IF(""="","","")</x:f>
      </x:c>
      <x:c r="H22" s="138" t="str">
        <x:f>IF(""="","","")</x:f>
      </x:c>
      <x:c r="I22" s="138" t="str">
        <x:f>IF(""="","","")</x:f>
      </x:c>
      <x:c r="J22" s="138" t="str">
        <x:f>IF(""="","","")</x:f>
      </x:c>
      <x:c r="K22" s="138" t="str">
        <x:f>IF(""="","","")</x:f>
      </x:c>
      <x:c r="L22" s="138" t="str">
        <x:f>IF(""="","","")</x:f>
      </x:c>
      <x:c r="M22" s="138" t="str">
        <x:f>IF(""="","","")</x:f>
      </x:c>
      <x:c r="N22" s="138" t="str">
        <x:f>IF(""="","","")</x:f>
      </x:c>
      <x:c r="O22" s="138" t="str">
        <x:f>IF(""="","","")</x:f>
      </x:c>
      <x:c r="P22" s="138" t="str">
        <x:f>IF(""="","","")</x:f>
      </x:c>
      <x:c r="Q22" s="138" t="str">
        <x:f>IF(""="","","")</x:f>
      </x:c>
      <x:c r="R22" s="138" t="str">
        <x:f>IF(""="","","")</x:f>
      </x:c>
      <x:c r="S22" s="138" t="str">
        <x:f>IF(""="","","")</x:f>
      </x:c>
      <x:c r="T22" s="138" t="str">
        <x:f>IF(""="","","")</x:f>
      </x:c>
      <x:c r="U22" s="138" t="str">
        <x:f>IF(""="","","")</x:f>
      </x:c>
      <x:c r="V22" s="138" t="str">
        <x:f>IF(""="","","")</x:f>
      </x:c>
      <x:c r="W22" s="138" t="str">
        <x:f>IF(""="","","")</x:f>
      </x:c>
      <x:c r="X22" s="138" t="str">
        <x:f>IF(""="","","")</x:f>
      </x:c>
      <x:c r="Y22" s="138" t="str">
        <x:f>IF(""="","","")</x:f>
      </x:c>
      <x:c r="Z22" s="138" t="str">
        <x:f>IF(""="","","")</x:f>
      </x:c>
      <x:c r="AA22" s="138" t="str">
        <x:f>IF(""="","","")</x:f>
      </x:c>
      <x:c r="AB22" s="138" t="str">
        <x:f>IF(""="","","")</x:f>
      </x:c>
      <x:c r="AC22" s="138" t="str">
        <x:f>IF(""="","","")</x:f>
      </x:c>
      <x:c r="AD22" s="138" t="str">
        <x:f>IF(""="","","")</x:f>
      </x:c>
      <x:c r="AE22" s="138" t="str">
        <x:f>IF(""="","","")</x:f>
      </x:c>
      <x:c r="AF22" s="139" t="str">
        <x:f>IF(""="","","")</x:f>
      </x:c>
    </x:row>
    <x:row r="23" ht="36" customHeight="1">
      <x:c r="A23" s="135" t="str">
        <x:v>30 FPS Available?</x:v>
      </x:c>
      <x:c r="B23" s="100" t="str">
        <x:f>IF('Master'!C240="","",'Master'!C240)</x:f>
        <x:v>Yes</x:v>
      </x:c>
      <x:c r="C23" s="100" t="str">
        <x:f>IF('Master'!D240="","",'Master'!D240)</x:f>
      </x:c>
      <x:c r="D23" s="100" t="str">
        <x:f>IF('Master'!E240="","",'Master'!E240)</x:f>
      </x:c>
      <x:c r="E23" s="100" t="str">
        <x:f>IF('Master'!F240="","",'Master'!F240)</x:f>
      </x:c>
      <x:c r="F23" s="100" t="str">
        <x:f>IF('Master'!G240="","",'Master'!G240)</x:f>
      </x:c>
      <x:c r="G23" s="100" t="str">
        <x:f>IF('Master'!H240="","",'Master'!H240)</x:f>
        <x:v>Yes</x:v>
      </x:c>
      <x:c r="H23" s="100" t="str">
        <x:f>IF('Master'!I240="","",'Master'!I240)</x:f>
        <x:v>Yes</x:v>
      </x:c>
      <x:c r="I23" s="100" t="str">
        <x:f>IF('Master'!J240="","",'Master'!J240)</x:f>
      </x:c>
      <x:c r="J23" s="100" t="str">
        <x:f>IF('Master'!K240="","",'Master'!K240)</x:f>
      </x:c>
      <x:c r="K23" s="100" t="str">
        <x:f>IF('Master'!L240="","",'Master'!L240)</x:f>
        <x:v>Yes</x:v>
      </x:c>
      <x:c r="L23" s="100" t="str">
        <x:f>IF('Master'!M240="","",'Master'!M240)</x:f>
      </x:c>
      <x:c r="M23" s="100" t="str">
        <x:f>IF('Master'!N240="","",'Master'!N240)</x:f>
      </x:c>
      <x:c r="N23" s="100" t="str">
        <x:f>IF('Master'!O240="","",'Master'!O240)</x:f>
      </x:c>
      <x:c r="O23" s="100" t="str">
        <x:f>IF('Master'!P240="","",'Master'!P240)</x:f>
      </x:c>
      <x:c r="P23" s="100" t="str">
        <x:f>IF('Master'!Q240="","",'Master'!Q240)</x:f>
      </x:c>
      <x:c r="Q23" s="100" t="str">
        <x:f>IF('Master'!R240="","",'Master'!R240)</x:f>
      </x:c>
      <x:c r="R23" s="100" t="str">
        <x:f>IF('Master'!S240="","",'Master'!S240)</x:f>
      </x:c>
      <x:c r="S23" s="100" t="str">
        <x:f>IF('Master'!T240="","",'Master'!T240)</x:f>
      </x:c>
      <x:c r="T23" s="100" t="str">
        <x:f>IF('Master'!U240="","",'Master'!U240)</x:f>
        <x:v>Not publicly claimed</x:v>
      </x:c>
      <x:c r="U23" s="100" t="str">
        <x:f>IF('Master'!V240="","",'Master'!V240)</x:f>
        <x:v>Yes</x:v>
      </x:c>
      <x:c r="V23" s="100" t="str">
        <x:f>IF('Master'!W240="","",'Master'!W240)</x:f>
      </x:c>
      <x:c r="W23" s="100" t="str">
        <x:f>IF('Master'!X240="","",'Master'!X240)</x:f>
      </x:c>
      <x:c r="X23" s="100" t="str">
        <x:f>IF('Master'!Y240="","",'Master'!Y240)</x:f>
        <x:v>Yes</x:v>
      </x:c>
      <x:c r="Y23" s="100" t="str">
        <x:f>IF('Master'!Z240="","",'Master'!Z240)</x:f>
      </x:c>
      <x:c r="Z23" s="100" t="str">
        <x:f>IF('Master'!AA240="","",'Master'!AA240)</x:f>
        <x:v>Yes</x:v>
      </x:c>
      <x:c r="AA23" s="104" t="str">
        <x:f>IF('Master'!AB240="","",'Master'!AB240)</x:f>
      </x:c>
      <x:c r="AB23" s="100" t="str">
        <x:f>IF('Master'!AC240="","",'Master'!AC240)</x:f>
      </x:c>
      <x:c r="AC23" s="100" t="str">
        <x:f>IF('Master'!AD240="","",'Master'!AD240)</x:f>
      </x:c>
      <x:c r="AD23" s="100" t="str">
        <x:f>IF('Master'!AE240="","",'Master'!AE240)</x:f>
      </x:c>
      <x:c r="AE23" s="100" t="str">
        <x:f>IF('Master'!AF240="","",'Master'!AF240)</x:f>
      </x:c>
      <x:c r="AF23" s="75" t="str">
        <x:f>IF('Master'!AG240="","",'Master'!AG240)</x:f>
      </x:c>
    </x:row>
    <x:row r="24" ht="36" customHeight="1">
      <x:c r="A24" s="135" t="str">
        <x:v>30 FPS Access</x:v>
      </x:c>
      <x:c r="B24" s="100" t="str">
        <x:f>IF('Master'!C241="","",'Master'!C241)</x:f>
        <x:v>Free</x:v>
      </x:c>
      <x:c r="C24" s="100" t="str">
        <x:f>IF('Master'!D241="","",'Master'!D241)</x:f>
      </x:c>
      <x:c r="D24" s="100" t="str">
        <x:f>IF('Master'!E241="","",'Master'!E241)</x:f>
      </x:c>
      <x:c r="E24" s="100" t="str">
        <x:f>IF('Master'!F241="","",'Master'!F241)</x:f>
      </x:c>
      <x:c r="F24" s="100" t="str">
        <x:f>IF('Master'!G241="","",'Master'!G241)</x:f>
      </x:c>
      <x:c r="G24" s="100" t="str">
        <x:f>IF('Master'!H241="","",'Master'!H241)</x:f>
        <x:v>Free</x:v>
      </x:c>
      <x:c r="H24" s="100" t="str">
        <x:f>IF('Master'!I241="","",'Master'!I241)</x:f>
        <x:v>Free</x:v>
      </x:c>
      <x:c r="I24" s="100" t="str">
        <x:f>IF('Master'!J241="","",'Master'!J241)</x:f>
      </x:c>
      <x:c r="J24" s="100" t="str">
        <x:f>IF('Master'!K241="","",'Master'!K241)</x:f>
      </x:c>
      <x:c r="K24" s="100" t="str">
        <x:f>IF('Master'!L241="","",'Master'!L241)</x:f>
        <x:v>Free/current</x:v>
      </x:c>
      <x:c r="L24" s="100" t="str">
        <x:f>IF('Master'!M241="","",'Master'!M241)</x:f>
      </x:c>
      <x:c r="M24" s="100" t="str">
        <x:f>IF('Master'!N241="","",'Master'!N241)</x:f>
      </x:c>
      <x:c r="N24" s="100" t="str">
        <x:f>IF('Master'!O241="","",'Master'!O241)</x:f>
      </x:c>
      <x:c r="O24" s="100" t="str">
        <x:f>IF('Master'!P241="","",'Master'!P241)</x:f>
      </x:c>
      <x:c r="P24" s="100" t="str">
        <x:f>IF('Master'!Q241="","",'Master'!Q241)</x:f>
        <x:v>Free if supported</x:v>
      </x:c>
      <x:c r="Q24" s="100" t="str">
        <x:f>IF('Master'!R241="","",'Master'!R241)</x:f>
      </x:c>
      <x:c r="R24" s="100" t="str">
        <x:f>IF('Master'!S241="","",'Master'!S241)</x:f>
      </x:c>
      <x:c r="S24" s="100" t="str">
        <x:f>IF('Master'!T241="","",'Master'!T241)</x:f>
      </x:c>
      <x:c r="T24" s="100" t="str">
        <x:f>IF('Master'!U241="","",'Master'!U241)</x:f>
      </x:c>
      <x:c r="U24" s="100" t="str">
        <x:f>IF('Master'!V241="","",'Master'!V241)</x:f>
        <x:v>Free</x:v>
      </x:c>
      <x:c r="V24" s="100" t="str">
        <x:f>IF('Master'!W241="","",'Master'!W241)</x:f>
      </x:c>
      <x:c r="W24" s="100" t="str">
        <x:f>IF('Master'!X241="","",'Master'!X241)</x:f>
      </x:c>
      <x:c r="X24" s="100" t="str">
        <x:f>IF('Master'!Y241="","",'Master'!Y241)</x:f>
        <x:v>Free / paid selectable</x:v>
      </x:c>
      <x:c r="Y24" s="100" t="str">
        <x:f>IF('Master'!Z241="","",'Master'!Z241)</x:f>
      </x:c>
      <x:c r="Z24" s="100" t="str">
        <x:f>IF('Master'!AA241="","",'Master'!AA241)</x:f>
        <x:v>Free / current default</x:v>
      </x:c>
      <x:c r="AA24" s="104" t="str">
        <x:f>IF('Master'!AB241="","",'Master'!AB241)</x:f>
        <x:v>Configurable</x:v>
      </x:c>
      <x:c r="AB24" s="100" t="str">
        <x:f>IF('Master'!AC241="","",'Master'!AC241)</x:f>
      </x:c>
      <x:c r="AC24" s="100" t="str">
        <x:f>IF('Master'!AD241="","",'Master'!AD241)</x:f>
      </x:c>
      <x:c r="AD24" s="100" t="str">
        <x:f>IF('Master'!AE241="","",'Master'!AE241)</x:f>
        <x:v>Free if supported</x:v>
      </x:c>
      <x:c r="AE24" s="100" t="str">
        <x:f>IF('Master'!AF241="","",'Master'!AF241)</x:f>
      </x:c>
      <x:c r="AF24" s="75" t="str">
        <x:f>IF('Master'!AG241="","",'Master'!AG241)</x:f>
      </x:c>
    </x:row>
    <x:row r="25" ht="36" customHeight="1">
      <x:c r="A25" s="135" t="str">
        <x:v>60 FPS Available?</x:v>
      </x:c>
      <x:c r="B25" s="100" t="str">
        <x:f>IF('Master'!C242="","",'Master'!C242)</x:f>
        <x:v>Yes</x:v>
      </x:c>
      <x:c r="C25" s="100" t="str">
        <x:f>IF('Master'!D242="","",'Master'!D242)</x:f>
      </x:c>
      <x:c r="D25" s="100" t="str">
        <x:f>IF('Master'!E242="","",'Master'!E242)</x:f>
        <x:v>Yes</x:v>
      </x:c>
      <x:c r="E25" s="100" t="str">
        <x:f>IF('Master'!F242="","",'Master'!F242)</x:f>
      </x:c>
      <x:c r="F25" s="100" t="str">
        <x:f>IF('Master'!G242="","",'Master'!G242)</x:f>
      </x:c>
      <x:c r="G25" s="100" t="str">
        <x:f>IF('Master'!H242="","",'Master'!H242)</x:f>
        <x:v>Yes</x:v>
      </x:c>
      <x:c r="H25" s="100" t="str">
        <x:f>IF('Master'!I242="","",'Master'!I242)</x:f>
        <x:v>Yes</x:v>
      </x:c>
      <x:c r="I25" s="100" t="str">
        <x:f>IF('Master'!J242="","",'Master'!J242)</x:f>
      </x:c>
      <x:c r="J25" s="100" t="str">
        <x:f>IF('Master'!K242="","",'Master'!K242)</x:f>
      </x:c>
      <x:c r="K25" s="100" t="str">
        <x:f>IF('Master'!L242="","",'Master'!L242)</x:f>
        <x:v>No in the current documented quality presets; developer questionnaire reported 4K60</x:v>
      </x:c>
      <x:c r="L25" s="100" t="str">
        <x:f>IF('Master'!M242="","",'Master'!M242)</x:f>
      </x:c>
      <x:c r="M25" s="100" t="str">
        <x:f>IF('Master'!N242="","",'Master'!N242)</x:f>
      </x:c>
      <x:c r="N25" s="100" t="str">
        <x:f>IF('Master'!O242="","",'Master'!O242)</x:f>
      </x:c>
      <x:c r="O25" s="100" t="str">
        <x:f>IF('Master'!P242="","",'Master'!P242)</x:f>
      </x:c>
      <x:c r="P25" s="100" t="str">
        <x:f>IF('Master'!Q242="","",'Master'!Q242)</x:f>
      </x:c>
      <x:c r="Q25" s="100" t="str">
        <x:f>IF('Master'!R242="","",'Master'!R242)</x:f>
      </x:c>
      <x:c r="R25" s="100" t="str">
        <x:f>IF('Master'!S242="","",'Master'!S242)</x:f>
      </x:c>
      <x:c r="S25" s="100" t="str">
        <x:f>IF('Master'!T242="","",'Master'!T242)</x:f>
      </x:c>
      <x:c r="T25" s="100" t="str">
        <x:f>IF('Master'!U242="","",'Master'!U242)</x:f>
        <x:v>Not publicly claimed</x:v>
      </x:c>
      <x:c r="U25" s="100" t="str">
        <x:f>IF('Master'!V242="","",'Master'!V242)</x:f>
        <x:v>Yes</x:v>
      </x:c>
      <x:c r="V25" s="100" t="str">
        <x:f>IF('Master'!W242="","",'Master'!W242)</x:f>
      </x:c>
      <x:c r="W25" s="100" t="str">
        <x:f>IF('Master'!X242="","",'Master'!X242)</x:f>
      </x:c>
      <x:c r="X25" s="100" t="str">
        <x:f>IF('Master'!Y242="","",'Master'!Y242)</x:f>
        <x:v>Yes</x:v>
      </x:c>
      <x:c r="Y25" s="100" t="str">
        <x:f>IF('Master'!Z242="","",'Master'!Z242)</x:f>
      </x:c>
      <x:c r="Z25" s="100" t="str">
        <x:f>IF('Master'!AA242="","",'Master'!AA242)</x:f>
      </x:c>
      <x:c r="AA25" s="104" t="str">
        <x:f>IF('Master'!AB242="","",'Master'!AB242)</x:f>
      </x:c>
      <x:c r="AB25" s="100" t="str">
        <x:f>IF('Master'!AC242="","",'Master'!AC242)</x:f>
      </x:c>
      <x:c r="AC25" s="100" t="str">
        <x:f>IF('Master'!AD242="","",'Master'!AD242)</x:f>
      </x:c>
      <x:c r="AD25" s="100" t="str">
        <x:f>IF('Master'!AE242="","",'Master'!AE242)</x:f>
      </x:c>
      <x:c r="AE25" s="100" t="str">
        <x:f>IF('Master'!AF242="","",'Master'!AF242)</x:f>
      </x:c>
      <x:c r="AF25" s="75" t="str">
        <x:f>IF('Master'!AG242="","",'Master'!AG242)</x:f>
      </x:c>
    </x:row>
    <x:row r="26" ht="36" customHeight="1">
      <x:c r="A26" s="135" t="str">
        <x:v>60 FPS Access</x:v>
      </x:c>
      <x:c r="B26" s="100" t="str">
        <x:f>IF('Master'!C243="","",'Master'!C243)</x:f>
        <x:v>Paid — Nitro</x:v>
      </x:c>
      <x:c r="C26" s="100" t="str">
        <x:f>IF('Master'!D243="","",'Master'!D243)</x:f>
      </x:c>
      <x:c r="D26" s="100" t="str">
        <x:f>IF('Master'!E243="","",'Master'!E243)</x:f>
      </x:c>
      <x:c r="E26" s="100" t="str">
        <x:f>IF('Master'!F243="","",'Master'!F243)</x:f>
      </x:c>
      <x:c r="F26" s="100" t="str">
        <x:f>IF('Master'!G243="","",'Master'!G243)</x:f>
      </x:c>
      <x:c r="G26" s="100" t="str">
        <x:f>IF('Master'!H243="","",'Master'!H243)</x:f>
        <x:v>Paid — Plutonium</x:v>
      </x:c>
      <x:c r="H26" s="100" t="str">
        <x:f>IF('Master'!I243="","",'Master'!I243)</x:f>
        <x:v>Gold+ / Diamond</x:v>
      </x:c>
      <x:c r="I26" s="100" t="str">
        <x:f>IF('Master'!J243="","",'Master'!J243)</x:f>
      </x:c>
      <x:c r="J26" s="100" t="str">
        <x:f>IF('Master'!K243="","",'Master'!K243)</x:f>
      </x:c>
      <x:c r="K26" s="100" t="str">
        <x:f>IF('Master'!L243="","",'Master'!L243)</x:f>
        <x:v>Developer-reported 4K60 claim; public docs currently document 30 FPS presets</x:v>
      </x:c>
      <x:c r="L26" s="100" t="str">
        <x:f>IF('Master'!M243="","",'Master'!M243)</x:f>
      </x:c>
      <x:c r="M26" s="100" t="str">
        <x:f>IF('Master'!N243="","",'Master'!N243)</x:f>
      </x:c>
      <x:c r="N26" s="100" t="str">
        <x:f>IF('Master'!O243="","",'Master'!O243)</x:f>
      </x:c>
      <x:c r="O26" s="100" t="str">
        <x:f>IF('Master'!P243="","",'Master'!P243)</x:f>
      </x:c>
      <x:c r="P26" s="100" t="str">
        <x:f>IF('Master'!Q243="","",'Master'!Q243)</x:f>
        <x:v>Free if supported</x:v>
      </x:c>
      <x:c r="Q26" s="100" t="str">
        <x:f>IF('Master'!R243="","",'Master'!R243)</x:f>
      </x:c>
      <x:c r="R26" s="100" t="str">
        <x:f>IF('Master'!S243="","",'Master'!S243)</x:f>
      </x:c>
      <x:c r="S26" s="100" t="str">
        <x:f>IF('Master'!T243="","",'Master'!T243)</x:f>
      </x:c>
      <x:c r="T26" s="100" t="str">
        <x:f>IF('Master'!U243="","",'Master'!U243)</x:f>
      </x:c>
      <x:c r="U26" s="100" t="str">
        <x:f>IF('Master'!V243="","",'Master'!V243)</x:f>
        <x:v>Free at 720p; paid for higher resolution</x:v>
      </x:c>
      <x:c r="V26" s="100" t="str">
        <x:f>IF('Master'!W243="","",'Master'!W243)</x:f>
      </x:c>
      <x:c r="W26" s="100" t="str">
        <x:f>IF('Master'!X243="","",'Master'!X243)</x:f>
      </x:c>
      <x:c r="X26" s="100" t="str">
        <x:f>IF('Master'!Y243="","",'Master'!Y243)</x:f>
        <x:v>Paid — Sudo</x:v>
      </x:c>
      <x:c r="Y26" s="100" t="str">
        <x:f>IF('Master'!Z243="","",'Master'!Z243)</x:f>
      </x:c>
      <x:c r="Z26" s="100" t="str">
        <x:f>IF('Master'!AA243="","",'Master'!AA243)</x:f>
      </x:c>
      <x:c r="AA26" s="104" t="str">
        <x:f>IF('Master'!AB243="","",'Master'!AB243)</x:f>
        <x:v>Configurable</x:v>
      </x:c>
      <x:c r="AB26" s="100" t="str">
        <x:f>IF('Master'!AC243="","",'Master'!AC243)</x:f>
      </x:c>
      <x:c r="AC26" s="100" t="str">
        <x:f>IF('Master'!AD243="","",'Master'!AD243)</x:f>
      </x:c>
      <x:c r="AD26" s="100" t="str">
        <x:f>IF('Master'!AE243="","",'Master'!AE243)</x:f>
        <x:v>Free if supported</x:v>
      </x:c>
      <x:c r="AE26" s="100" t="str">
        <x:f>IF('Master'!AF243="","",'Master'!AF243)</x:f>
      </x:c>
      <x:c r="AF26" s="75" t="str">
        <x:f>IF('Master'!AG243="","",'Master'!AG243)</x:f>
      </x:c>
    </x:row>
    <x:row r="27" ht="36" customHeight="1">
      <x:c r="A27" s="135" t="str">
        <x:v>120 FPS Available?</x:v>
      </x:c>
      <x:c r="B27" s="100" t="str">
        <x:f>IF('Master'!C244="","",'Master'!C244)</x:f>
        <x:v>No</x:v>
      </x:c>
      <x:c r="C27" s="100" t="str">
        <x:f>IF('Master'!D244="","",'Master'!D244)</x:f>
      </x:c>
      <x:c r="D27" s="100" t="str">
        <x:f>IF('Master'!E244="","",'Master'!E244)</x:f>
        <x:v>Yes</x:v>
      </x:c>
      <x:c r="E27" s="100" t="str">
        <x:f>IF('Master'!F244="","",'Master'!F244)</x:f>
      </x:c>
      <x:c r="F27" s="100" t="str">
        <x:f>IF('Master'!G244="","",'Master'!G244)</x:f>
      </x:c>
      <x:c r="G27" s="100" t="str">
        <x:f>IF('Master'!H244="","",'Master'!H244)</x:f>
        <x:v>No</x:v>
      </x:c>
      <x:c r="H27" s="100" t="str">
        <x:f>IF('Master'!I244="","",'Master'!I244)</x:f>
        <x:v>No</x:v>
      </x:c>
      <x:c r="I27" s="100" t="str">
        <x:f>IF('Master'!J244="","",'Master'!J244)</x:f>
      </x:c>
      <x:c r="J27" s="100" t="str">
        <x:f>IF('Master'!K244="","",'Master'!K244)</x:f>
      </x:c>
      <x:c r="K27" s="100" t="str">
        <x:f>IF('Master'!L244="","",'Master'!L244)</x:f>
        <x:v>No documented 120 FPS mode</x:v>
      </x:c>
      <x:c r="L27" s="100" t="str">
        <x:f>IF('Master'!M244="","",'Master'!M244)</x:f>
      </x:c>
      <x:c r="M27" s="100" t="str">
        <x:f>IF('Master'!N244="","",'Master'!N244)</x:f>
      </x:c>
      <x:c r="N27" s="100" t="str">
        <x:f>IF('Master'!O244="","",'Master'!O244)</x:f>
      </x:c>
      <x:c r="O27" s="100" t="str">
        <x:f>IF('Master'!P244="","",'Master'!P244)</x:f>
      </x:c>
      <x:c r="P27" s="100" t="str">
        <x:f>IF('Master'!Q244="","",'Master'!Q244)</x:f>
      </x:c>
      <x:c r="Q27" s="100" t="str">
        <x:f>IF('Master'!R244="","",'Master'!R244)</x:f>
      </x:c>
      <x:c r="R27" s="100" t="str">
        <x:f>IF('Master'!S244="","",'Master'!S244)</x:f>
      </x:c>
      <x:c r="S27" s="100" t="str">
        <x:f>IF('Master'!T244="","",'Master'!T244)</x:f>
      </x:c>
      <x:c r="T27" s="100" t="str">
        <x:f>IF('Master'!U244="","",'Master'!U244)</x:f>
      </x:c>
      <x:c r="U27" s="100" t="str">
        <x:f>IF('Master'!V244="","",'Master'!V244)</x:f>
        <x:v>N/A</x:v>
      </x:c>
      <x:c r="V27" s="100" t="str">
        <x:f>IF('Master'!W244="","",'Master'!W244)</x:f>
      </x:c>
      <x:c r="W27" s="100" t="str">
        <x:f>IF('Master'!X244="","",'Master'!X244)</x:f>
      </x:c>
      <x:c r="X27" s="100" t="str">
        <x:f>IF('Master'!Y244="","",'Master'!Y244)</x:f>
        <x:v>No</x:v>
      </x:c>
      <x:c r="Y27" s="100" t="str">
        <x:f>IF('Master'!Z244="","",'Master'!Z244)</x:f>
      </x:c>
      <x:c r="Z27" s="100" t="str">
        <x:f>IF('Master'!AA244="","",'Master'!AA244)</x:f>
      </x:c>
      <x:c r="AA27" s="104" t="str">
        <x:f>IF('Master'!AB244="","",'Master'!AB244)</x:f>
      </x:c>
      <x:c r="AB27" s="100" t="str">
        <x:f>IF('Master'!AC244="","",'Master'!AC244)</x:f>
      </x:c>
      <x:c r="AC27" s="100" t="str">
        <x:f>IF('Master'!AD244="","",'Master'!AD244)</x:f>
      </x:c>
      <x:c r="AD27" s="100" t="str">
        <x:f>IF('Master'!AE244="","",'Master'!AE244)</x:f>
      </x:c>
      <x:c r="AE27" s="100" t="str">
        <x:f>IF('Master'!AF244="","",'Master'!AF244)</x:f>
      </x:c>
      <x:c r="AF27" s="75" t="str">
        <x:f>IF('Master'!AG244="","",'Master'!AG244)</x:f>
      </x:c>
    </x:row>
    <x:row r="28" ht="36" customHeight="1">
      <x:c r="A28" s="135" t="str">
        <x:v>120 FPS Access</x:v>
      </x:c>
      <x:c r="B28" s="100" t="str">
        <x:f>IF('Master'!C245="","",'Master'!C245)</x:f>
        <x:v>No documented</x:v>
      </x:c>
      <x:c r="C28" s="100" t="str">
        <x:f>IF('Master'!D245="","",'Master'!D245)</x:f>
      </x:c>
      <x:c r="D28" s="100" t="str">
        <x:f>IF('Master'!E245="","",'Master'!E245)</x:f>
      </x:c>
      <x:c r="E28" s="100" t="str">
        <x:f>IF('Master'!F245="","",'Master'!F245)</x:f>
      </x:c>
      <x:c r="F28" s="100" t="str">
        <x:f>IF('Master'!G245="","",'Master'!G245)</x:f>
      </x:c>
      <x:c r="G28" s="100" t="str">
        <x:f>IF('Master'!H245="","",'Master'!H245)</x:f>
        <x:v>No documented</x:v>
      </x:c>
      <x:c r="H28" s="100" t="str">
        <x:f>IF('Master'!I245="","",'Master'!I245)</x:f>
        <x:v>No documented</x:v>
      </x:c>
      <x:c r="I28" s="100" t="str">
        <x:f>IF('Master'!J245="","",'Master'!J245)</x:f>
      </x:c>
      <x:c r="J28" s="100" t="str">
        <x:f>IF('Master'!K245="","",'Master'!K245)</x:f>
      </x:c>
      <x:c r="K28" s="100" t="str">
        <x:f>IF('Master'!L245="","",'Master'!L245)</x:f>
        <x:v>No documented 120 FPS mode</x:v>
      </x:c>
      <x:c r="L28" s="100" t="str">
        <x:f>IF('Master'!M245="","",'Master'!M245)</x:f>
      </x:c>
      <x:c r="M28" s="100" t="str">
        <x:f>IF('Master'!N245="","",'Master'!N245)</x:f>
      </x:c>
      <x:c r="N28" s="100" t="str">
        <x:f>IF('Master'!O245="","",'Master'!O245)</x:f>
      </x:c>
      <x:c r="O28" s="100" t="str">
        <x:f>IF('Master'!P245="","",'Master'!P245)</x:f>
      </x:c>
      <x:c r="P28" s="100" t="str">
        <x:f>IF('Master'!Q245="","",'Master'!Q245)</x:f>
      </x:c>
      <x:c r="Q28" s="100" t="str">
        <x:f>IF('Master'!R245="","",'Master'!R245)</x:f>
      </x:c>
      <x:c r="R28" s="100" t="str">
        <x:f>IF('Master'!S245="","",'Master'!S245)</x:f>
      </x:c>
      <x:c r="S28" s="100" t="str">
        <x:f>IF('Master'!T245="","",'Master'!T245)</x:f>
      </x:c>
      <x:c r="T28" s="100" t="str">
        <x:f>IF('Master'!U245="","",'Master'!U245)</x:f>
      </x:c>
      <x:c r="U28" s="100" t="str">
        <x:f>IF('Master'!V245="","",'Master'!V245)</x:f>
        <x:v>N/A</x:v>
      </x:c>
      <x:c r="V28" s="100" t="str">
        <x:f>IF('Master'!W245="","",'Master'!W245)</x:f>
      </x:c>
      <x:c r="W28" s="100" t="str">
        <x:f>IF('Master'!X245="","",'Master'!X245)</x:f>
      </x:c>
      <x:c r="X28" s="100" t="str">
        <x:f>IF('Master'!Y245="","",'Master'!Y245)</x:f>
        <x:v>No documented</x:v>
      </x:c>
      <x:c r="Y28" s="100" t="str">
        <x:f>IF('Master'!Z245="","",'Master'!Z245)</x:f>
      </x:c>
      <x:c r="Z28" s="100" t="str">
        <x:f>IF('Master'!AA245="","",'Master'!AA245)</x:f>
      </x:c>
      <x:c r="AA28" s="104" t="str">
        <x:f>IF('Master'!AB245="","",'Master'!AB245)</x:f>
      </x:c>
      <x:c r="AB28" s="100" t="str">
        <x:f>IF('Master'!AC245="","",'Master'!AC245)</x:f>
      </x:c>
      <x:c r="AC28" s="100" t="str">
        <x:f>IF('Master'!AD245="","",'Master'!AD245)</x:f>
      </x:c>
      <x:c r="AD28" s="100" t="str">
        <x:f>IF('Master'!AE245="","",'Master'!AE245)</x:f>
      </x:c>
      <x:c r="AE28" s="100" t="str">
        <x:f>IF('Master'!AF245="","",'Master'!AF245)</x:f>
      </x:c>
      <x:c r="AF28" s="75" t="str">
        <x:f>IF('Master'!AG245="","",'Master'!AG245)</x:f>
      </x:c>
    </x:row>
    <x:row r="29" ht="22" customHeight="1">
      <x:c r="A29" s="138" t="str">
        <x:v>Maximums</x:v>
      </x:c>
      <x:c r="B29" s="138" t="str">
        <x:f>IF(""="","","")</x:f>
      </x:c>
      <x:c r="C29" s="138" t="str">
        <x:f>IF(""="","","")</x:f>
      </x:c>
      <x:c r="D29" s="138" t="str">
        <x:f>IF(""="","","")</x:f>
      </x:c>
      <x:c r="E29" s="138" t="str">
        <x:f>IF(""="","","")</x:f>
      </x:c>
      <x:c r="F29" s="138" t="str">
        <x:f>IF(""="","","")</x:f>
      </x:c>
      <x:c r="G29" s="138" t="str">
        <x:f>IF(""="","","")</x:f>
      </x:c>
      <x:c r="H29" s="138" t="str">
        <x:f>IF(""="","","")</x:f>
      </x:c>
      <x:c r="I29" s="138" t="str">
        <x:f>IF(""="","","")</x:f>
      </x:c>
      <x:c r="J29" s="138" t="str">
        <x:f>IF(""="","","")</x:f>
      </x:c>
      <x:c r="K29" s="138" t="str">
        <x:f>IF(""="","","")</x:f>
      </x:c>
      <x:c r="L29" s="138" t="str">
        <x:f>IF(""="","","")</x:f>
      </x:c>
      <x:c r="M29" s="138" t="str">
        <x:f>IF(""="","","")</x:f>
      </x:c>
      <x:c r="N29" s="138" t="str">
        <x:f>IF(""="","","")</x:f>
      </x:c>
      <x:c r="O29" s="138" t="str">
        <x:f>IF(""="","","")</x:f>
      </x:c>
      <x:c r="P29" s="138" t="str">
        <x:f>IF(""="","","")</x:f>
      </x:c>
      <x:c r="Q29" s="138" t="str">
        <x:f>IF(""="","","")</x:f>
      </x:c>
      <x:c r="R29" s="138" t="str">
        <x:f>IF(""="","","")</x:f>
      </x:c>
      <x:c r="S29" s="138" t="str">
        <x:f>IF(""="","","")</x:f>
      </x:c>
      <x:c r="T29" s="138" t="str">
        <x:f>IF(""="","","")</x:f>
      </x:c>
      <x:c r="U29" s="138" t="str">
        <x:f>IF(""="","","")</x:f>
      </x:c>
      <x:c r="V29" s="138" t="str">
        <x:f>IF(""="","","")</x:f>
      </x:c>
      <x:c r="W29" s="138" t="str">
        <x:f>IF(""="","","")</x:f>
      </x:c>
      <x:c r="X29" s="138" t="str">
        <x:f>IF(""="","","")</x:f>
      </x:c>
      <x:c r="Y29" s="138" t="str">
        <x:f>IF(""="","","")</x:f>
      </x:c>
      <x:c r="Z29" s="138" t="str">
        <x:f>IF(""="","","")</x:f>
      </x:c>
      <x:c r="AA29" s="138" t="str">
        <x:f>IF(""="","","")</x:f>
      </x:c>
      <x:c r="AB29" s="138" t="str">
        <x:f>IF(""="","","")</x:f>
      </x:c>
      <x:c r="AC29" s="138" t="str">
        <x:f>IF(""="","","")</x:f>
      </x:c>
      <x:c r="AD29" s="138" t="str">
        <x:f>IF(""="","","")</x:f>
      </x:c>
      <x:c r="AE29" s="138" t="str">
        <x:f>IF(""="","","")</x:f>
      </x:c>
      <x:c r="AF29" s="139" t="str">
        <x:f>IF(""="","","")</x:f>
      </x:c>
    </x:row>
    <x:row r="30" ht="36" customHeight="1">
      <x:c r="A30" s="135" t="str">
        <x:v>Free Max Resolution</x:v>
      </x:c>
      <x:c r="B30" s="100" t="str">
        <x:f>IF('Master'!C246="","",'Master'!C246)</x:f>
        <x:v>720p</x:v>
      </x:c>
      <x:c r="C30" s="100" t="str">
        <x:f>IF('Master'!D246="","",'Master'!D246)</x:f>
      </x:c>
      <x:c r="D30" s="100" t="str">
        <x:f>IF('Master'!E246="","",'Master'!E246)</x:f>
        <x:v>Up to 4K</x:v>
      </x:c>
      <x:c r="E30" s="100" t="str">
        <x:f>IF('Master'!F246="","",'Master'!F246)</x:f>
      </x:c>
      <x:c r="F30" s="100" t="str">
        <x:f>IF('Master'!G246="","",'Master'!G246)</x:f>
      </x:c>
      <x:c r="G30" s="100" t="str">
        <x:f>IF('Master'!H246="","",'Master'!H246)</x:f>
        <x:v>720p</x:v>
      </x:c>
      <x:c r="H30" s="100" t="str">
        <x:f>IF('Master'!I246="","",'Master'!I246)</x:f>
        <x:v>1080p</x:v>
      </x:c>
      <x:c r="I30" s="100" t="str">
        <x:f>IF('Master'!J246="","",'Master'!J246)</x:f>
        <x:v>N/A</x:v>
      </x:c>
      <x:c r="J30" s="100" t="str">
        <x:f>IF('Master'!K246="","",'Master'!K246)</x:f>
      </x:c>
      <x:c r="K30" s="100" t="str">
        <x:f>IF('Master'!L246="","",'Master'!L246)</x:f>
        <x:v>4K native Source preset at 30 FPS is publicly documented; browser Source has an 8K defensive bound. Developer questionnaire reported 4K60.</x:v>
      </x:c>
      <x:c r="L30" s="100" t="str">
        <x:f>IF('Master'!M246="","",'Master'!M246)</x:f>
      </x:c>
      <x:c r="M30" s="100" t="str">
        <x:f>IF('Master'!N246="","",'Master'!N246)</x:f>
      </x:c>
      <x:c r="N30" s="100" t="str">
        <x:f>IF('Master'!O246="","",'Master'!O246)</x:f>
        <x:v>Client-dependent</x:v>
      </x:c>
      <x:c r="O30" s="100" t="str">
        <x:f>IF('Master'!P246="","",'Master'!P246)</x:f>
        <x:v>Deployment/plan dependent</x:v>
      </x:c>
      <x:c r="P30" s="100" t="str">
        <x:f>IF('Master'!Q246="","",'Master'!Q246)</x:f>
      </x:c>
      <x:c r="Q30" s="100" t="str">
        <x:f>IF('Master'!R246="","",'Master'!R246)</x:f>
        <x:v>N/A</x:v>
      </x:c>
      <x:c r="R30" s="100" t="str">
        <x:f>IF('Master'!S246="","",'Master'!S246)</x:f>
      </x:c>
      <x:c r="S30" s="100" t="str">
        <x:f>IF('Master'!T246="","",'Master'!T246)</x:f>
      </x:c>
      <x:c r="T30" s="100" t="str">
        <x:f>IF('Master'!U246="","",'Master'!U246)</x:f>
        <x:v>1080p</x:v>
      </x:c>
      <x:c r="U30" s="100" t="str">
        <x:f>IF('Master'!V246="","",'Master'!V246)</x:f>
        <x:v>720p</x:v>
      </x:c>
      <x:c r="V30" s="100" t="str">
        <x:f>IF('Master'!W246="","",'Master'!W246)</x:f>
        <x:v>Provider-dependent</x:v>
      </x:c>
      <x:c r="W30" s="100" t="str">
        <x:f>IF('Master'!X246="","",'Master'!X246)</x:f>
        <x:v>N/A</x:v>
      </x:c>
      <x:c r="X30" s="100" t="str">
        <x:f>IF('Master'!Y246="","",'Master'!Y246)</x:f>
        <x:v>720p game / Source text mode</x:v>
      </x:c>
      <x:c r="Y30" s="100" t="str">
        <x:f>IF('Master'!Z246="","",'Master'!Z246)</x:f>
        <x:v>Operator/config dependent</x:v>
      </x:c>
      <x:c r="Z30" s="100" t="str">
        <x:f>IF('Master'!AA246="","",'Master'!AA246)</x:f>
        <x:v>720p</x:v>
      </x:c>
      <x:c r="AA30" s="104" t="str">
        <x:f>IF('Master'!AB246="","",'Master'!AB246)</x:f>
      </x:c>
      <x:c r="AB30" s="100" t="str">
        <x:f>IF('Master'!AC246="","",'Master'!AC246)</x:f>
      </x:c>
      <x:c r="AC30" s="100" t="str">
        <x:f>IF('Master'!AD246="","",'Master'!AD246)</x:f>
      </x:c>
      <x:c r="AD30" s="100" t="str">
        <x:f>IF('Master'!AE246="","",'Master'!AE246)</x:f>
      </x:c>
      <x:c r="AE30" s="100" t="str">
        <x:f>IF('Master'!AF246="","",'Master'!AF246)</x:f>
        <x:v>Up to 1440p</x:v>
      </x:c>
      <x:c r="AF30" s="75" t="str">
        <x:f>IF('Master'!AG246="","",'Master'!AG246)</x:f>
        <x:v>Provider-dependent</x:v>
      </x:c>
    </x:row>
    <x:row r="31" ht="36" customHeight="1">
      <x:c r="A31" s="135" t="str">
        <x:v>Free Max FPS</x:v>
      </x:c>
      <x:c r="B31" s="100" t="str">
        <x:f>IF('Master'!C247="","",'Master'!C247)</x:f>
        <x:v>30</x:v>
      </x:c>
      <x:c r="C31" s="100" t="str">
        <x:f>IF('Master'!D247="","",'Master'!D247)</x:f>
      </x:c>
      <x:c r="D31" s="100" t="str">
        <x:f>IF('Master'!E247="","",'Master'!E247)</x:f>
        <x:v>Up to 60/120 by version/config</x:v>
      </x:c>
      <x:c r="E31" s="100" t="str">
        <x:f>IF('Master'!F247="","",'Master'!F247)</x:f>
      </x:c>
      <x:c r="F31" s="100" t="str">
        <x:f>IF('Master'!G247="","",'Master'!G247)</x:f>
      </x:c>
      <x:c r="G31" s="100" t="str">
        <x:f>IF('Master'!H247="","",'Master'!H247)</x:f>
        <x:v>30</x:v>
      </x:c>
      <x:c r="H31" s="100" t="str">
        <x:f>IF('Master'!I247="","",'Master'!I247)</x:f>
        <x:v>30</x:v>
      </x:c>
      <x:c r="I31" s="100" t="str">
        <x:f>IF('Master'!J247="","",'Master'!J247)</x:f>
        <x:v>N/A</x:v>
      </x:c>
      <x:c r="J31" s="100" t="str">
        <x:f>IF('Master'!K247="","",'Master'!K247)</x:f>
      </x:c>
      <x:c r="K31" s="100" t="str">
        <x:f>IF('Master'!L247="","",'Master'!L247)</x:f>
        <x:v>30 FPS in current documented presets; developer questionnaire reported 60 FPS</x:v>
      </x:c>
      <x:c r="L31" s="100" t="str">
        <x:f>IF('Master'!M247="","",'Master'!M247)</x:f>
      </x:c>
      <x:c r="M31" s="100" t="str">
        <x:f>IF('Master'!N247="","",'Master'!N247)</x:f>
      </x:c>
      <x:c r="N31" s="100" t="str">
        <x:f>IF('Master'!O247="","",'Master'!O247)</x:f>
        <x:v>Client-dependent</x:v>
      </x:c>
      <x:c r="O31" s="100" t="str">
        <x:f>IF('Master'!P247="","",'Master'!P247)</x:f>
        <x:v>Deployment/plan dependent</x:v>
      </x:c>
      <x:c r="P31" s="100" t="str">
        <x:f>IF('Master'!Q247="","",'Master'!Q247)</x:f>
      </x:c>
      <x:c r="Q31" s="100" t="str">
        <x:f>IF('Master'!R247="","",'Master'!R247)</x:f>
        <x:v>N/A</x:v>
      </x:c>
      <x:c r="R31" s="100" t="str">
        <x:f>IF('Master'!S247="","",'Master'!S247)</x:f>
      </x:c>
      <x:c r="S31" s="100" t="str">
        <x:f>IF('Master'!T247="","",'Master'!T247)</x:f>
      </x:c>
      <x:c r="T31" s="100" t="str">
        <x:f>IF('Master'!U247="","",'Master'!U247)</x:f>
        <x:v>Not publicly claimed</x:v>
      </x:c>
      <x:c r="U31" s="100" t="str">
        <x:f>IF('Master'!V247="","",'Master'!V247)</x:f>
        <x:v>60</x:v>
      </x:c>
      <x:c r="V31" s="100" t="str">
        <x:f>IF('Master'!W247="","",'Master'!W247)</x:f>
        <x:v>Provider-dependent</x:v>
      </x:c>
      <x:c r="W31" s="100" t="str">
        <x:f>IF('Master'!X247="","",'Master'!X247)</x:f>
        <x:v>N/A</x:v>
      </x:c>
      <x:c r="X31" s="100" t="str">
        <x:f>IF('Master'!Y247="","",'Master'!Y247)</x:f>
        <x:v>30 game / 5 source</x:v>
      </x:c>
      <x:c r="Y31" s="100" t="str">
        <x:f>IF('Master'!Z247="","",'Master'!Z247)</x:f>
      </x:c>
      <x:c r="Z31" s="100" t="n">
        <x:f>IF('Master'!AA247="","",'Master'!AA247)</x:f>
        <x:v>30</x:v>
      </x:c>
      <x:c r="AA31" s="104" t="str">
        <x:f>IF('Master'!AB247="","",'Master'!AB247)</x:f>
      </x:c>
      <x:c r="AB31" s="100" t="str">
        <x:f>IF('Master'!AC247="","",'Master'!AC247)</x:f>
      </x:c>
      <x:c r="AC31" s="100" t="str">
        <x:f>IF('Master'!AD247="","",'Master'!AD247)</x:f>
      </x:c>
      <x:c r="AD31" s="100" t="str">
        <x:f>IF('Master'!AE247="","",'Master'!AE247)</x:f>
      </x:c>
      <x:c r="AE31" s="100" t="str">
        <x:f>IF('Master'!AF247="","",'Master'!AF247)</x:f>
      </x:c>
      <x:c r="AF31" s="75" t="str">
        <x:f>IF('Master'!AG247="","",'Master'!AG247)</x:f>
        <x:v>Provider-dependent</x:v>
      </x:c>
    </x:row>
    <x:row r="32" ht="36" customHeight="1">
      <x:c r="A32" s="135" t="str">
        <x:v>Absolute Max Resolution</x:v>
      </x:c>
      <x:c r="B32" s="100" t="str">
        <x:f>IF('Master'!C248="","",'Master'!C248)</x:f>
        <x:v>4K</x:v>
      </x:c>
      <x:c r="C32" s="100" t="str">
        <x:f>IF('Master'!D248="","",'Master'!D248)</x:f>
      </x:c>
      <x:c r="D32" s="100" t="str">
        <x:f>IF('Master'!E248="","",'Master'!E248)</x:f>
      </x:c>
      <x:c r="E32" s="100" t="str">
        <x:f>IF('Master'!F248="","",'Master'!F248)</x:f>
      </x:c>
      <x:c r="F32" s="100" t="str">
        <x:f>IF('Master'!G248="","",'Master'!G248)</x:f>
      </x:c>
      <x:c r="G32" s="100" t="str">
        <x:f>IF('Master'!H248="","",'Master'!H248)</x:f>
        <x:v>4K</x:v>
      </x:c>
      <x:c r="H32" s="100" t="str">
        <x:f>IF('Master'!I248="","",'Master'!I248)</x:f>
        <x:v>4K</x:v>
      </x:c>
      <x:c r="I32" s="100" t="str">
        <x:f>IF('Master'!J248="","",'Master'!J248)</x:f>
      </x:c>
      <x:c r="J32" s="100" t="str">
        <x:f>IF('Master'!K248="","",'Master'!K248)</x:f>
      </x:c>
      <x:c r="K32" s="100" t="str">
        <x:f>IF('Master'!L248="","",'Master'!L248)</x:f>
        <x:v>4K native Source preset at 30 FPS is publicly documented; browser Source has an 8K defensive bound. Developer questionnaire reported 4K60.</x:v>
      </x:c>
      <x:c r="L32" s="100" t="str">
        <x:f>IF('Master'!M248="","",'Master'!M248)</x:f>
      </x:c>
      <x:c r="M32" s="100" t="str">
        <x:f>IF('Master'!N248="","",'Master'!N248)</x:f>
      </x:c>
      <x:c r="N32" s="100" t="str">
        <x:f>IF('Master'!O248="","",'Master'!O248)</x:f>
      </x:c>
      <x:c r="O32" s="100" t="str">
        <x:f>IF('Master'!P248="","",'Master'!P248)</x:f>
      </x:c>
      <x:c r="P32" s="100" t="str">
        <x:f>IF('Master'!Q248="","",'Master'!Q248)</x:f>
      </x:c>
      <x:c r="Q32" s="100" t="str">
        <x:f>IF('Master'!R248="","",'Master'!R248)</x:f>
      </x:c>
      <x:c r="R32" s="100" t="str">
        <x:f>IF('Master'!S248="","",'Master'!S248)</x:f>
      </x:c>
      <x:c r="S32" s="100" t="str">
        <x:f>IF('Master'!T248="","",'Master'!T248)</x:f>
      </x:c>
      <x:c r="T32" s="100" t="str">
        <x:f>IF('Master'!U248="","",'Master'!U248)</x:f>
        <x:v>1080p</x:v>
      </x:c>
      <x:c r="U32" s="100" t="str">
        <x:f>IF('Master'!V248="","",'Master'!V248)</x:f>
        <x:v>1440p</x:v>
      </x:c>
      <x:c r="V32" s="100" t="str">
        <x:f>IF('Master'!W248="","",'Master'!W248)</x:f>
      </x:c>
      <x:c r="W32" s="100" t="str">
        <x:f>IF('Master'!X248="","",'Master'!X248)</x:f>
      </x:c>
      <x:c r="X32" s="100" t="str">
        <x:f>IF('Master'!Y248="","",'Master'!Y248)</x:f>
        <x:v>1440p</x:v>
      </x:c>
      <x:c r="Y32" s="100" t="str">
        <x:f>IF('Master'!Z248="","",'Master'!Z248)</x:f>
      </x:c>
      <x:c r="Z32" s="100" t="str">
        <x:f>IF('Master'!AA248="","",'Master'!AA248)</x:f>
        <x:v>720p currently published</x:v>
      </x:c>
      <x:c r="AA32" s="104" t="str">
        <x:f>IF('Master'!AB248="","",'Master'!AB248)</x:f>
      </x:c>
      <x:c r="AB32" s="100" t="str">
        <x:f>IF('Master'!AC248="","",'Master'!AC248)</x:f>
      </x:c>
      <x:c r="AC32" s="100" t="str">
        <x:f>IF('Master'!AD248="","",'Master'!AD248)</x:f>
      </x:c>
      <x:c r="AD32" s="100" t="str">
        <x:f>IF('Master'!AE248="","",'Master'!AE248)</x:f>
      </x:c>
      <x:c r="AE32" s="100" t="str">
        <x:f>IF('Master'!AF248="","",'Master'!AF248)</x:f>
      </x:c>
      <x:c r="AF32" s="75" t="str">
        <x:f>IF('Master'!AG248="","",'Master'!AG248)</x:f>
      </x:c>
    </x:row>
    <x:row r="33" ht="36" customHeight="1">
      <x:c r="A33" s="135" t="str">
        <x:v>Absolute Max FPS</x:v>
      </x:c>
      <x:c r="B33" s="100" t="str">
        <x:f>IF('Master'!C249="","",'Master'!C249)</x:f>
        <x:v>60</x:v>
      </x:c>
      <x:c r="C33" s="100" t="str">
        <x:f>IF('Master'!D249="","",'Master'!D249)</x:f>
      </x:c>
      <x:c r="D33" s="100" t="str">
        <x:f>IF('Master'!E249="","",'Master'!E249)</x:f>
      </x:c>
      <x:c r="E33" s="100" t="str">
        <x:f>IF('Master'!F249="","",'Master'!F249)</x:f>
      </x:c>
      <x:c r="F33" s="100" t="str">
        <x:f>IF('Master'!G249="","",'Master'!G249)</x:f>
      </x:c>
      <x:c r="G33" s="100" t="str">
        <x:f>IF('Master'!H249="","",'Master'!H249)</x:f>
        <x:v>60</x:v>
      </x:c>
      <x:c r="H33" s="100" t="str">
        <x:f>IF('Master'!I249="","",'Master'!I249)</x:f>
        <x:v>60</x:v>
      </x:c>
      <x:c r="I33" s="100" t="str">
        <x:f>IF('Master'!J249="","",'Master'!J249)</x:f>
      </x:c>
      <x:c r="J33" s="100" t="str">
        <x:f>IF('Master'!K249="","",'Master'!K249)</x:f>
      </x:c>
      <x:c r="K33" s="100" t="str">
        <x:f>IF('Master'!L249="","",'Master'!L249)</x:f>
        <x:v>30 FPS in current documented presets; developer questionnaire reported 60 FPS</x:v>
      </x:c>
      <x:c r="L33" s="100" t="str">
        <x:f>IF('Master'!M249="","",'Master'!M249)</x:f>
      </x:c>
      <x:c r="M33" s="100" t="str">
        <x:f>IF('Master'!N249="","",'Master'!N249)</x:f>
      </x:c>
      <x:c r="N33" s="100" t="str">
        <x:f>IF('Master'!O249="","",'Master'!O249)</x:f>
      </x:c>
      <x:c r="O33" s="100" t="str">
        <x:f>IF('Master'!P249="","",'Master'!P249)</x:f>
      </x:c>
      <x:c r="P33" s="100" t="str">
        <x:f>IF('Master'!Q249="","",'Master'!Q249)</x:f>
      </x:c>
      <x:c r="Q33" s="100" t="str">
        <x:f>IF('Master'!R249="","",'Master'!R249)</x:f>
      </x:c>
      <x:c r="R33" s="100" t="str">
        <x:f>IF('Master'!S249="","",'Master'!S249)</x:f>
      </x:c>
      <x:c r="S33" s="100" t="str">
        <x:f>IF('Master'!T249="","",'Master'!T249)</x:f>
      </x:c>
      <x:c r="T33" s="100" t="str">
        <x:f>IF('Master'!U249="","",'Master'!U249)</x:f>
        <x:v>Not publicly claimed</x:v>
      </x:c>
      <x:c r="U33" s="100" t="str">
        <x:f>IF('Master'!V249="","",'Master'!V249)</x:f>
        <x:v>60</x:v>
      </x:c>
      <x:c r="V33" s="100" t="str">
        <x:f>IF('Master'!W249="","",'Master'!W249)</x:f>
      </x:c>
      <x:c r="W33" s="100" t="str">
        <x:f>IF('Master'!X249="","",'Master'!X249)</x:f>
      </x:c>
      <x:c r="X33" s="100" t="str">
        <x:f>IF('Master'!Y249="","",'Master'!Y249)</x:f>
        <x:v>60</x:v>
      </x:c>
      <x:c r="Y33" s="100" t="str">
        <x:f>IF('Master'!Z249="","",'Master'!Z249)</x:f>
      </x:c>
      <x:c r="Z33" s="100" t="n">
        <x:f>IF('Master'!AA249="","",'Master'!AA249)</x:f>
        <x:v>30</x:v>
      </x:c>
      <x:c r="AA33" s="104" t="str">
        <x:f>IF('Master'!AB249="","",'Master'!AB249)</x:f>
      </x:c>
      <x:c r="AB33" s="100" t="str">
        <x:f>IF('Master'!AC249="","",'Master'!AC249)</x:f>
      </x:c>
      <x:c r="AC33" s="100" t="str">
        <x:f>IF('Master'!AD249="","",'Master'!AD249)</x:f>
      </x:c>
      <x:c r="AD33" s="100" t="str">
        <x:f>IF('Master'!AE249="","",'Master'!AE249)</x:f>
      </x:c>
      <x:c r="AE33" s="100" t="str">
        <x:f>IF('Master'!AF249="","",'Master'!AF249)</x:f>
      </x:c>
      <x:c r="AF33" s="75" t="str">
        <x:f>IF('Master'!AG249="","",'Master'!AG249)</x:f>
      </x:c>
    </x:row>
    <x:row r="34" ht="36" customHeight="1">
      <x:c r="A34" s="135" t="str">
        <x:v>Paid Tier Needed for Absolute Max</x:v>
      </x:c>
      <x:c r="B34" s="100" t="str">
        <x:f>IF('Master'!C250="","",'Master'!C250)</x:f>
        <x:v>Nitro</x:v>
      </x:c>
      <x:c r="C34" s="100" t="str">
        <x:f>IF('Master'!D250="","",'Master'!D250)</x:f>
      </x:c>
      <x:c r="D34" s="100" t="str">
        <x:f>IF('Master'!E250="","",'Master'!E250)</x:f>
      </x:c>
      <x:c r="E34" s="100" t="str">
        <x:f>IF('Master'!F250="","",'Master'!F250)</x:f>
      </x:c>
      <x:c r="F34" s="100" t="str">
        <x:f>IF('Master'!G250="","",'Master'!G250)</x:f>
      </x:c>
      <x:c r="G34" s="100" t="str">
        <x:f>IF('Master'!H250="","",'Master'!H250)</x:f>
        <x:v>Plutonium</x:v>
      </x:c>
      <x:c r="H34" s="100" t="str">
        <x:f>IF('Master'!I250="","",'Master'!I250)</x:f>
        <x:v>Diamond</x:v>
      </x:c>
      <x:c r="I34" s="100" t="str">
        <x:f>IF('Master'!J250="","",'Master'!J250)</x:f>
      </x:c>
      <x:c r="J34" s="100" t="str">
        <x:f>IF('Master'!K250="","",'Master'!K250)</x:f>
      </x:c>
      <x:c r="K34" s="100" t="str">
        <x:f>IF('Master'!L250="","",'Master'!L250)</x:f>
        <x:v>No paid tier</x:v>
      </x:c>
      <x:c r="L34" s="100" t="str">
        <x:f>IF('Master'!M250="","",'Master'!M250)</x:f>
      </x:c>
      <x:c r="M34" s="100" t="str">
        <x:f>IF('Master'!N250="","",'Master'!N250)</x:f>
      </x:c>
      <x:c r="N34" s="100" t="str">
        <x:f>IF('Master'!O250="","",'Master'!O250)</x:f>
      </x:c>
      <x:c r="O34" s="100" t="str">
        <x:f>IF('Master'!P250="","",'Master'!P250)</x:f>
      </x:c>
      <x:c r="P34" s="100" t="str">
        <x:f>IF('Master'!Q250="","",'Master'!Q250)</x:f>
        <x:v>None</x:v>
      </x:c>
      <x:c r="Q34" s="100" t="str">
        <x:f>IF('Master'!R250="","",'Master'!R250)</x:f>
      </x:c>
      <x:c r="R34" s="100" t="str">
        <x:f>IF('Master'!S250="","",'Master'!S250)</x:f>
      </x:c>
      <x:c r="S34" s="100" t="str">
        <x:f>IF('Master'!T250="","",'Master'!T250)</x:f>
      </x:c>
      <x:c r="T34" s="100" t="str">
        <x:f>IF('Master'!U250="","",'Master'!U250)</x:f>
        <x:v>No</x:v>
      </x:c>
      <x:c r="U34" s="100" t="str">
        <x:f>IF('Master'!V250="","",'Master'!V250)</x:f>
        <x:v>Shard Forge</x:v>
      </x:c>
      <x:c r="V34" s="100" t="str">
        <x:f>IF('Master'!W250="","",'Master'!W250)</x:f>
      </x:c>
      <x:c r="W34" s="100" t="str">
        <x:f>IF('Master'!X250="","",'Master'!X250)</x:f>
      </x:c>
      <x:c r="X34" s="100" t="str">
        <x:f>IF('Master'!Y250="","",'Master'!Y250)</x:f>
        <x:v>Sudo</x:v>
      </x:c>
      <x:c r="Y34" s="100" t="str">
        <x:f>IF('Master'!Z250="","",'Master'!Z250)</x:f>
      </x:c>
      <x:c r="Z34" s="100" t="str">
        <x:f>IF('Master'!AA250="","",'Master'!AA250)</x:f>
        <x:v>No separate tier stated</x:v>
      </x:c>
      <x:c r="AA34" s="104" t="str">
        <x:f>IF('Master'!AB250="","",'Master'!AB250)</x:f>
      </x:c>
      <x:c r="AB34" s="100" t="str">
        <x:f>IF('Master'!AC250="","",'Master'!AC250)</x:f>
      </x:c>
      <x:c r="AC34" s="100" t="str">
        <x:f>IF('Master'!AD250="","",'Master'!AD250)</x:f>
      </x:c>
      <x:c r="AD34" s="100" t="str">
        <x:f>IF('Master'!AE250="","",'Master'!AE250)</x:f>
        <x:v>None for core voice/video/screen share</x:v>
      </x:c>
      <x:c r="AE34" s="100" t="str">
        <x:f>IF('Master'!AF250="","",'Master'!AF250)</x:f>
      </x:c>
      <x:c r="AF34" s="75" t="str">
        <x:f>IF('Master'!AG250="","",'Master'!AG250)</x:f>
      </x:c>
    </x:row>
    <x:row r="35" ht="22" customHeight="1">
      <x:c r="A35" s="138" t="str">
        <x:v>Capture &amp; Viewing</x:v>
      </x:c>
      <x:c r="B35" s="138" t="str">
        <x:f>IF(""="","","")</x:f>
      </x:c>
      <x:c r="C35" s="138" t="str">
        <x:f>IF(""="","","")</x:f>
      </x:c>
      <x:c r="D35" s="138" t="str">
        <x:f>IF(""="","","")</x:f>
      </x:c>
      <x:c r="E35" s="138" t="str">
        <x:f>IF(""="","","")</x:f>
      </x:c>
      <x:c r="F35" s="138" t="str">
        <x:f>IF(""="","","")</x:f>
      </x:c>
      <x:c r="G35" s="138" t="str">
        <x:f>IF(""="","","")</x:f>
      </x:c>
      <x:c r="H35" s="138" t="str">
        <x:f>IF(""="","","")</x:f>
      </x:c>
      <x:c r="I35" s="138" t="str">
        <x:f>IF(""="","","")</x:f>
      </x:c>
      <x:c r="J35" s="138" t="str">
        <x:f>IF(""="","","")</x:f>
      </x:c>
      <x:c r="K35" s="138" t="str">
        <x:f>IF(""="","","")</x:f>
      </x:c>
      <x:c r="L35" s="138" t="str">
        <x:f>IF(""="","","")</x:f>
      </x:c>
      <x:c r="M35" s="138" t="str">
        <x:f>IF(""="","","")</x:f>
      </x:c>
      <x:c r="N35" s="138" t="str">
        <x:f>IF(""="","","")</x:f>
      </x:c>
      <x:c r="O35" s="138" t="str">
        <x:f>IF(""="","","")</x:f>
      </x:c>
      <x:c r="P35" s="138" t="str">
        <x:f>IF(""="","","")</x:f>
      </x:c>
      <x:c r="Q35" s="138" t="str">
        <x:f>IF(""="","","")</x:f>
      </x:c>
      <x:c r="R35" s="138" t="str">
        <x:f>IF(""="","","")</x:f>
      </x:c>
      <x:c r="S35" s="138" t="str">
        <x:f>IF(""="","","")</x:f>
      </x:c>
      <x:c r="T35" s="138" t="str">
        <x:f>IF(""="","","")</x:f>
      </x:c>
      <x:c r="U35" s="138" t="str">
        <x:f>IF(""="","","")</x:f>
      </x:c>
      <x:c r="V35" s="138" t="str">
        <x:f>IF(""="","","")</x:f>
      </x:c>
      <x:c r="W35" s="138" t="str">
        <x:f>IF(""="","","")</x:f>
      </x:c>
      <x:c r="X35" s="138" t="str">
        <x:f>IF(""="","","")</x:f>
      </x:c>
      <x:c r="Y35" s="138" t="str">
        <x:f>IF(""="","","")</x:f>
      </x:c>
      <x:c r="Z35" s="138" t="str">
        <x:f>IF(""="","","")</x:f>
      </x:c>
      <x:c r="AA35" s="138" t="str">
        <x:f>IF(""="","","")</x:f>
      </x:c>
      <x:c r="AB35" s="138" t="str">
        <x:f>IF(""="","","")</x:f>
      </x:c>
      <x:c r="AC35" s="138" t="str">
        <x:f>IF(""="","","")</x:f>
      </x:c>
      <x:c r="AD35" s="138" t="str">
        <x:f>IF(""="","","")</x:f>
      </x:c>
      <x:c r="AE35" s="138" t="str">
        <x:f>IF(""="","","")</x:f>
      </x:c>
      <x:c r="AF35" s="139" t="str">
        <x:f>IF(""="","","")</x:f>
      </x:c>
    </x:row>
    <x:row r="36" ht="36" customHeight="1">
      <x:c r="A36" s="135" t="str">
        <x:v>Application Audio Capture?</x:v>
      </x:c>
      <x:c r="B36" s="100" t="str">
        <x:f>IF('Master'!C251="","",'Master'!C251)</x:f>
        <x:v>Yes — Windows, macOS, Chrome, mobile; Linux audio sharing unavailable</x:v>
      </x:c>
      <x:c r="C36" s="100" t="str">
        <x:f>IF('Master'!D251="","",'Master'!D251)</x:f>
      </x:c>
      <x:c r="D36" s="100" t="str">
        <x:f>IF('Master'!E251="","",'Master'!E251)</x:f>
        <x:v>Yes</x:v>
      </x:c>
      <x:c r="E36" s="100" t="str">
        <x:f>IF('Master'!F251="","",'Master'!F251)</x:f>
        <x:v>Yes</x:v>
      </x:c>
      <x:c r="F36" s="100" t="str">
        <x:f>IF('Master'!G251="","",'Master'!G251)</x:f>
        <x:v>Yes — screen sharing exists in alpha</x:v>
      </x:c>
      <x:c r="G36" s="100" t="str">
        <x:f>IF('Master'!H251="","",'Master'!H251)</x:f>
        <x:v>Yes</x:v>
      </x:c>
      <x:c r="H36" s="100" t="str">
        <x:f>IF('Master'!I251="","",'Master'!I251)</x:f>
        <x:v>Yes</x:v>
      </x:c>
      <x:c r="I36" s="100" t="str">
        <x:f>IF('Master'!J251="","",'Master'!J251)</x:f>
      </x:c>
      <x:c r="J36" s="100" t="str">
        <x:f>IF('Master'!K251="","",'Master'!K251)</x:f>
        <x:v>Yes on supported desktop platforms; per-app capture documented for Windows/Linux</x:v>
      </x:c>
      <x:c r="K36" s="100" t="str">
        <x:f>IF('Master'!L251="","",'Master'!L251)</x:f>
        <x:v>Browser: depends on browser/surface. Native desktop system-audio loopback is currently disabled. Android/iOS screen share excludes system audio.</x:v>
      </x:c>
      <x:c r="L36" s="100" t="str">
        <x:f>IF('Master'!M251="","",'Master'!M251)</x:f>
      </x:c>
      <x:c r="M36" s="100" t="str">
        <x:f>IF('Master'!N251="","",'Master'!N251)</x:f>
        <x:v>Yes</x:v>
      </x:c>
      <x:c r="N36" s="100" t="str">
        <x:f>IF('Master'!O251="","",'Master'!O251)</x:f>
        <x:v>Varies by client</x:v>
      </x:c>
      <x:c r="O36" s="100" t="str">
        <x:f>IF('Master'!P251="","",'Master'!P251)</x:f>
        <x:v>Yes</x:v>
      </x:c>
      <x:c r="P36" s="100" t="str">
        <x:f>IF('Master'!Q251="","",'Master'!Q251)</x:f>
        <x:v>Yes</x:v>
      </x:c>
      <x:c r="Q36" s="100" t="str">
        <x:f>IF('Master'!R251="","",'Master'!R251)</x:f>
        <x:v>N/A</x:v>
      </x:c>
      <x:c r="R36" s="100" t="str">
        <x:f>IF('Master'!S251="","",'Master'!S251)</x:f>
      </x:c>
      <x:c r="S36" s="100" t="str">
        <x:f>IF('Master'!T251="","",'Master'!T251)</x:f>
        <x:v>Yes</x:v>
      </x:c>
      <x:c r="T36" s="100" t="str">
        <x:f>IF('Master'!U251="","",'Master'!U251)</x:f>
        <x:v>Yes — browser tab audio</x:v>
      </x:c>
      <x:c r="U36" s="100" t="str">
        <x:f>IF('Master'!V251="","",'Master'!V251)</x:f>
        <x:v>Yes</x:v>
      </x:c>
      <x:c r="V36" s="100" t="str">
        <x:f>IF('Master'!W251="","",'Master'!W251)</x:f>
        <x:v>Provider-dependent</x:v>
      </x:c>
      <x:c r="W36" s="100" t="str">
        <x:f>IF('Master'!X251="","",'Master'!X251)</x:f>
        <x:v>N/A</x:v>
      </x:c>
      <x:c r="X36" s="100" t="str">
        <x:f>IF('Master'!Y251="","",'Master'!Y251)</x:f>
        <x:v>Yes — share stream audio</x:v>
      </x:c>
      <x:c r="Y36" s="100" t="str">
        <x:f>IF('Master'!Z251="","",'Master'!Z251)</x:f>
        <x:v>Go Live supported by recommended Pion implementation</x:v>
      </x:c>
      <x:c r="Z36" s="100" t="str">
        <x:f>IF('Master'!AA251="","",'Master'!AA251)</x:f>
        <x:v>Yes — whole-screen and window audio</x:v>
      </x:c>
      <x:c r="AA36" s="104" t="str">
        <x:f>IF('Master'!AB251="","",'Master'!AB251)</x:f>
        <x:v>Yes</x:v>
      </x:c>
      <x:c r="AB36" s="100" t="str">
        <x:f>IF('Master'!AC251="","",'Master'!AC251)</x:f>
      </x:c>
      <x:c r="AC36" s="100" t="str">
        <x:f>IF('Master'!AD251="","",'Master'!AD251)</x:f>
      </x:c>
      <x:c r="AD36" s="100" t="str">
        <x:f>IF('Master'!AE251="","",'Master'!AE251)</x:f>
        <x:v>Yes</x:v>
      </x:c>
      <x:c r="AE36" s="100" t="str">
        <x:f>IF('Master'!AF251="","",'Master'!AF251)</x:f>
        <x:v>Yes — screen share with audio</x:v>
      </x:c>
      <x:c r="AF36" s="75" t="str">
        <x:f>IF('Master'!AG251="","",'Master'!AG251)</x:f>
        <x:v>Provider-dependent</x:v>
      </x:c>
    </x:row>
    <x:row r="37" ht="36" customHeight="1">
      <x:c r="A37" s="135" t="str">
        <x:v>System Audio Capture?</x:v>
      </x:c>
      <x:c r="B37" s="100" t="str">
        <x:f>IF('Master'!C252="","",'Master'!C252)</x:f>
        <x:v>Yes on supported platforms</x:v>
      </x:c>
      <x:c r="C37" s="100" t="str">
        <x:f>IF('Master'!D252="","",'Master'!D252)</x:f>
      </x:c>
      <x:c r="D37" s="100" t="str">
        <x:f>IF('Master'!E252="","",'Master'!E252)</x:f>
      </x:c>
      <x:c r="E37" s="100" t="str">
        <x:f>IF('Master'!F252="","",'Master'!F252)</x:f>
      </x:c>
      <x:c r="F37" s="100" t="str">
        <x:f>IF('Master'!G252="","",'Master'!G252)</x:f>
      </x:c>
      <x:c r="G37" s="100" t="str">
        <x:f>IF('Master'!H252="","",'Master'!H252)</x:f>
        <x:v>Yes on supported desktop paths</x:v>
      </x:c>
      <x:c r="H37" s="100" t="str">
        <x:f>IF('Master'!I252="","",'Master'!I252)</x:f>
      </x:c>
      <x:c r="I37" s="100" t="str">
        <x:f>IF('Master'!J252="","",'Master'!J252)</x:f>
      </x:c>
      <x:c r="J37" s="100" t="str">
        <x:f>IF('Master'!K252="","",'Master'!K252)</x:f>
      </x:c>
      <x:c r="K37" s="100" t="str">
        <x:f>IF('Master'!L252="","",'Master'!L252)</x:f>
        <x:v>Browser: depends on browser/surface. Native desktop system-audio loopback is currently disabled. Android/iOS screen share excludes system audio.</x:v>
      </x:c>
      <x:c r="L37" s="100" t="str">
        <x:f>IF('Master'!M252="","",'Master'!M252)</x:f>
      </x:c>
      <x:c r="M37" s="100" t="str">
        <x:f>IF('Master'!N252="","",'Master'!N252)</x:f>
      </x:c>
      <x:c r="N37" s="100" t="str">
        <x:f>IF('Master'!O252="","",'Master'!O252)</x:f>
        <x:v>Varies by client</x:v>
      </x:c>
      <x:c r="O37" s="100" t="str">
        <x:f>IF('Master'!P252="","",'Master'!P252)</x:f>
        <x:v>Yes</x:v>
      </x:c>
      <x:c r="P37" s="100" t="str">
        <x:f>IF('Master'!Q252="","",'Master'!Q252)</x:f>
      </x:c>
      <x:c r="Q37" s="100" t="str">
        <x:f>IF('Master'!R252="","",'Master'!R252)</x:f>
        <x:v>N/A</x:v>
      </x:c>
      <x:c r="R37" s="100" t="str">
        <x:f>IF('Master'!S252="","",'Master'!S252)</x:f>
      </x:c>
      <x:c r="S37" s="100" t="str">
        <x:f>IF('Master'!T252="","",'Master'!T252)</x:f>
      </x:c>
      <x:c r="T37" s="100" t="str">
        <x:f>IF('Master'!U252="","",'Master'!U252)</x:f>
        <x:v>Browser tab audio supported; full system-audio capture not publicly claimed</x:v>
      </x:c>
      <x:c r="U37" s="100" t="str">
        <x:f>IF('Master'!V252="","",'Master'!V252)</x:f>
        <x:v>Yes</x:v>
      </x:c>
      <x:c r="V37" s="100" t="str">
        <x:f>IF('Master'!W252="","",'Master'!W252)</x:f>
        <x:v>Provider-dependent</x:v>
      </x:c>
      <x:c r="W37" s="100" t="str">
        <x:f>IF('Master'!X252="","",'Master'!X252)</x:f>
        <x:v>N/A</x:v>
      </x:c>
      <x:c r="X37" s="100" t="str">
        <x:f>IF('Master'!Y252="","",'Master'!Y252)</x:f>
        <x:v>Yes on supported desktop</x:v>
      </x:c>
      <x:c r="Y37" s="100" t="str">
        <x:f>IF('Master'!Z252="","",'Master'!Z252)</x:f>
      </x:c>
      <x:c r="Z37" s="100" t="str">
        <x:f>IF('Master'!AA252="","",'Master'!AA252)</x:f>
        <x:v>Yes — whole-screen/window audio; Wayland audio can be unreliable</x:v>
      </x:c>
      <x:c r="AA37" s="104" t="str">
        <x:f>IF('Master'!AB252="","",'Master'!AB252)</x:f>
      </x:c>
      <x:c r="AB37" s="100" t="str">
        <x:f>IF('Master'!AC252="","",'Master'!AC252)</x:f>
      </x:c>
      <x:c r="AC37" s="100" t="str">
        <x:f>IF('Master'!AD252="","",'Master'!AD252)</x:f>
      </x:c>
      <x:c r="AD37" s="100" t="str">
        <x:f>IF('Master'!AE252="","",'Master'!AE252)</x:f>
      </x:c>
      <x:c r="AE37" s="100" t="str">
        <x:f>IF('Master'!AF252="","",'Master'!AF252)</x:f>
      </x:c>
      <x:c r="AF37" s="75" t="str">
        <x:f>IF('Master'!AG252="","",'Master'!AG252)</x:f>
        <x:v>Provider-dependent</x:v>
      </x:c>
    </x:row>
    <x:row r="38" ht="36" customHeight="1">
      <x:c r="A38" s="135" t="str">
        <x:v>Linux Screen Audio?</x:v>
      </x:c>
      <x:c r="B38" s="100" t="str">
        <x:f>IF('Master'!C253="","",'Master'!C253)</x:f>
        <x:v>Linux audio-share limitations</x:v>
      </x:c>
      <x:c r="C38" s="100" t="str">
        <x:f>IF('Master'!D253="","",'Master'!D253)</x:f>
      </x:c>
      <x:c r="D38" s="100" t="str">
        <x:f>IF('Master'!E253="","",'Master'!E253)</x:f>
      </x:c>
      <x:c r="E38" s="100" t="str">
        <x:f>IF('Master'!F253="","",'Master'!F253)</x:f>
      </x:c>
      <x:c r="F38" s="100" t="str">
        <x:f>IF('Master'!G253="","",'Master'!G253)</x:f>
      </x:c>
      <x:c r="G38" s="100" t="str">
        <x:f>IF('Master'!H253="","",'Master'!H253)</x:f>
      </x:c>
      <x:c r="H38" s="100" t="str">
        <x:f>IF('Master'!I253="","",'Master'!I253)</x:f>
      </x:c>
      <x:c r="I38" s="100" t="str">
        <x:f>IF('Master'!J253="","",'Master'!J253)</x:f>
      </x:c>
      <x:c r="J38" s="100" t="str">
        <x:f>IF('Master'!K253="","",'Master'!K253)</x:f>
      </x:c>
      <x:c r="K38" s="100" t="str">
        <x:f>IF('Master'!L253="","",'Master'!L253)</x:f>
        <x:v>No — current native desktop common mixer contract is not enabled; browser may provide surface audio</x:v>
      </x:c>
      <x:c r="L38" s="100" t="str">
        <x:f>IF('Master'!M253="","",'Master'!M253)</x:f>
      </x:c>
      <x:c r="M38" s="100" t="str">
        <x:f>IF('Master'!N253="","",'Master'!N253)</x:f>
      </x:c>
      <x:c r="N38" s="100" t="str">
        <x:f>IF('Master'!O253="","",'Master'!O253)</x:f>
        <x:v>Client-dependent</x:v>
      </x:c>
      <x:c r="O38" s="100" t="str">
        <x:f>IF('Master'!P253="","",'Master'!P253)</x:f>
        <x:v>Depends desktop/Linux support</x:v>
      </x:c>
      <x:c r="P38" s="100" t="str">
        <x:f>IF('Master'!Q253="","",'Master'!Q253)</x:f>
      </x:c>
      <x:c r="Q38" s="100" t="str">
        <x:f>IF('Master'!R253="","",'Master'!R253)</x:f>
        <x:v>N/A</x:v>
      </x:c>
      <x:c r="R38" s="100" t="str">
        <x:f>IF('Master'!S253="","",'Master'!S253)</x:f>
      </x:c>
      <x:c r="S38" s="100" t="str">
        <x:f>IF('Master'!T253="","",'Master'!T253)</x:f>
      </x:c>
      <x:c r="T38" s="100" t="str">
        <x:f>IF('Master'!U253="","",'Master'!U253)</x:f>
        <x:v>Not publicly claimed separately</x:v>
      </x:c>
      <x:c r="U38" s="100" t="str">
        <x:f>IF('Master'!V253="","",'Master'!V253)</x:f>
        <x:v>Yes</x:v>
      </x:c>
      <x:c r="V38" s="100" t="str">
        <x:f>IF('Master'!W253="","",'Master'!W253)</x:f>
        <x:v>Provider-dependent</x:v>
      </x:c>
      <x:c r="W38" s="100" t="str">
        <x:f>IF('Master'!X253="","",'Master'!X253)</x:f>
        <x:v>N/A</x:v>
      </x:c>
      <x:c r="X38" s="100" t="str">
        <x:f>IF('Master'!Y253="","",'Master'!Y253)</x:f>
      </x:c>
      <x:c r="Y38" s="100" t="str">
        <x:f>IF('Master'!Z253="","",'Master'!Z253)</x:f>
      </x:c>
      <x:c r="Z38" s="100" t="str">
        <x:f>IF('Master'!AA253="","",'Master'!AA253)</x:f>
        <x:v>Yes — Wayland sound broadcasting may be unreliable</x:v>
      </x:c>
      <x:c r="AA38" s="104" t="str">
        <x:f>IF('Master'!AB253="","",'Master'!AB253)</x:f>
      </x:c>
      <x:c r="AB38" s="100" t="str">
        <x:f>IF('Master'!AC253="","",'Master'!AC253)</x:f>
      </x:c>
      <x:c r="AC38" s="100" t="str">
        <x:f>IF('Master'!AD253="","",'Master'!AD253)</x:f>
        <x:v>Linux mic I/O known rough edge</x:v>
      </x:c>
      <x:c r="AD38" s="100" t="str">
        <x:f>IF('Master'!AE253="","",'Master'!AE253)</x:f>
      </x:c>
      <x:c r="AE38" s="100" t="str">
        <x:f>IF('Master'!AF253="","",'Master'!AF253)</x:f>
      </x:c>
      <x:c r="AF38" s="75" t="str">
        <x:f>IF('Master'!AG253="","",'Master'!AG253)</x:f>
        <x:v>Provider-dependent</x:v>
      </x:c>
    </x:row>
    <x:row r="39" ht="36" customHeight="1">
      <x:c r="A39" s="135" t="str">
        <x:v>Mobile Screen Share?</x:v>
      </x:c>
      <x:c r="B39" s="100" t="str">
        <x:f>IF('Master'!C254="","",'Master'!C254)</x:f>
        <x:v>Mobile screen share supported</x:v>
      </x:c>
      <x:c r="C39" s="100" t="str">
        <x:f>IF('Master'!D254="","",'Master'!D254)</x:f>
      </x:c>
      <x:c r="D39" s="100" t="str">
        <x:f>IF('Master'!E254="","",'Master'!E254)</x:f>
      </x:c>
      <x:c r="E39" s="100" t="str">
        <x:f>IF('Master'!F254="","",'Master'!F254)</x:f>
      </x:c>
      <x:c r="F39" s="100" t="str">
        <x:f>IF('Master'!G254="","",'Master'!G254)</x:f>
      </x:c>
      <x:c r="G39" s="100" t="str">
        <x:f>IF('Master'!H254="","",'Master'!H254)</x:f>
      </x:c>
      <x:c r="H39" s="100" t="str">
        <x:f>IF('Master'!I254="","",'Master'!I254)</x:f>
      </x:c>
      <x:c r="I39" s="100" t="str">
        <x:f>IF('Master'!J254="","",'Master'!J254)</x:f>
      </x:c>
      <x:c r="J39" s="100" t="str">
        <x:f>IF('Master'!K254="","",'Master'!K254)</x:f>
      </x:c>
      <x:c r="K39" s="100" t="str">
        <x:f>IF('Master'!L254="","",'Master'!L254)</x:f>
        <x:v>Yes — Android MediaProjection and iOS ReplayKit paths documented</x:v>
      </x:c>
      <x:c r="L39" s="100" t="str">
        <x:f>IF('Master'!M254="","",'Master'!M254)</x:f>
      </x:c>
      <x:c r="M39" s="100" t="str">
        <x:f>IF('Master'!N254="","",'Master'!N254)</x:f>
      </x:c>
      <x:c r="N39" s="100" t="str">
        <x:f>IF('Master'!O254="","",'Master'!O254)</x:f>
        <x:v>Client-dependent</x:v>
      </x:c>
      <x:c r="O39" s="100" t="str">
        <x:f>IF('Master'!P254="","",'Master'!P254)</x:f>
        <x:v>Mobile behavior varies</x:v>
      </x:c>
      <x:c r="P39" s="100" t="str">
        <x:f>IF('Master'!Q254="","",'Master'!Q254)</x:f>
      </x:c>
      <x:c r="Q39" s="100" t="str">
        <x:f>IF('Master'!R254="","",'Master'!R254)</x:f>
        <x:v>N/A</x:v>
      </x:c>
      <x:c r="R39" s="100" t="str">
        <x:f>IF('Master'!S254="","",'Master'!S254)</x:f>
      </x:c>
      <x:c r="S39" s="100" t="str">
        <x:f>IF('Master'!T254="","",'Master'!T254)</x:f>
      </x:c>
      <x:c r="T39" s="100" t="str">
        <x:f>IF('Master'!U254="","",'Master'!U254)</x:f>
      </x:c>
      <x:c r="U39" s="100" t="str">
        <x:f>IF('Master'!V254="","",'Master'!V254)</x:f>
        <x:v>Yes - App or Screen</x:v>
      </x:c>
      <x:c r="V39" s="100" t="str">
        <x:f>IF('Master'!W254="","",'Master'!W254)</x:f>
        <x:v>Provider-dependent</x:v>
      </x:c>
      <x:c r="W39" s="100" t="str">
        <x:f>IF('Master'!X254="","",'Master'!X254)</x:f>
        <x:v>N/A</x:v>
      </x:c>
      <x:c r="X39" s="100" t="str">
        <x:f>IF('Master'!Y254="","",'Master'!Y254)</x:f>
        <x:v>No sharing from mobile</x:v>
      </x:c>
      <x:c r="Y39" s="100" t="str">
        <x:f>IF('Master'!Z254="","",'Master'!Z254)</x:f>
      </x:c>
      <x:c r="Z39" s="100" t="str">
        <x:f>IF('Master'!AA254="","",'Master'!AA254)</x:f>
        <x:v>Yes — mobile web, iOS TestFlight and Android</x:v>
      </x:c>
      <x:c r="AA39" s="104" t="str">
        <x:f>IF('Master'!AB254="","",'Master'!AB254)</x:f>
      </x:c>
      <x:c r="AB39" s="100" t="str">
        <x:f>IF('Master'!AC254="","",'Master'!AC254)</x:f>
      </x:c>
      <x:c r="AC39" s="100" t="str">
        <x:f>IF('Master'!AD254="","",'Master'!AD254)</x:f>
      </x:c>
      <x:c r="AD39" s="100" t="str">
        <x:f>IF('Master'!AE254="","",'Master'!AE254)</x:f>
      </x:c>
      <x:c r="AE39" s="100" t="str">
        <x:f>IF('Master'!AF254="","",'Master'!AF254)</x:f>
      </x:c>
      <x:c r="AF39" s="75" t="str">
        <x:f>IF('Master'!AG254="","",'Master'!AG254)</x:f>
        <x:v>Provider-dependent</x:v>
      </x:c>
    </x:row>
    <x:row r="40" ht="36" customHeight="1">
      <x:c r="A40" s="135" t="str">
        <x:v>Multiple Concurrent Screen Shares?</x:v>
      </x:c>
      <x:c r="B40" s="100" t="str">
        <x:f>IF('Master'!C255="","",'Master'!C255)</x:f>
      </x:c>
      <x:c r="C40" s="100" t="str">
        <x:f>IF('Master'!D255="","",'Master'!D255)</x:f>
      </x:c>
      <x:c r="D40" s="100" t="str">
        <x:f>IF('Master'!E255="","",'Master'!E255)</x:f>
      </x:c>
      <x:c r="E40" s="100" t="str">
        <x:f>IF('Master'!F255="","",'Master'!F255)</x:f>
      </x:c>
      <x:c r="F40" s="100" t="str">
        <x:f>IF('Master'!G255="","",'Master'!G255)</x:f>
      </x:c>
      <x:c r="G40" s="100" t="str">
        <x:f>IF('Master'!H255="","",'Master'!H255)</x:f>
      </x:c>
      <x:c r="H40" s="100" t="str">
        <x:f>IF('Master'!I255="","",'Master'!I255)</x:f>
      </x:c>
      <x:c r="I40" s="100" t="str">
        <x:f>IF('Master'!J255="","",'Master'!J255)</x:f>
      </x:c>
      <x:c r="J40" s="100" t="str">
        <x:f>IF('Master'!K255="","",'Master'!K255)</x:f>
        <x:v>P2P</x:v>
      </x:c>
      <x:c r="K40" s="100" t="str">
        <x:f>IF('Master'!L255="","",'Master'!L255)</x:f>
        <x:v>Not documented</x:v>
      </x:c>
      <x:c r="L40" s="100" t="str">
        <x:f>IF('Master'!M255="","",'Master'!M255)</x:f>
      </x:c>
      <x:c r="M40" s="100" t="str">
        <x:f>IF('Master'!N255="","",'Master'!N255)</x:f>
      </x:c>
      <x:c r="N40" s="100" t="str">
        <x:f>IF('Master'!O255="","",'Master'!O255)</x:f>
        <x:v>Client/provider-dependent</x:v>
      </x:c>
      <x:c r="O40" s="100" t="str">
        <x:f>IF('Master'!P255="","",'Master'!P255)</x:f>
        <x:v>Plan-dependent</x:v>
      </x:c>
      <x:c r="P40" s="100" t="str">
        <x:f>IF('Master'!Q255="","",'Master'!Q255)</x:f>
      </x:c>
      <x:c r="Q40" s="100" t="str">
        <x:f>IF('Master'!R255="","",'Master'!R255)</x:f>
        <x:v>N/A</x:v>
      </x:c>
      <x:c r="R40" s="100" t="str">
        <x:f>IF('Master'!S255="","",'Master'!S255)</x:f>
      </x:c>
      <x:c r="S40" s="100" t="str">
        <x:f>IF('Master'!T255="","",'Master'!T255)</x:f>
      </x:c>
      <x:c r="T40" s="100" t="str">
        <x:f>IF('Master'!U255="","",'Master'!U255)</x:f>
        <x:v>Yes — 2 in smaller rooms, 4 in big rooms</x:v>
      </x:c>
      <x:c r="U40" s="100" t="str">
        <x:f>IF('Master'!V255="","",'Master'!V255)</x:f>
        <x:v>Yes</x:v>
      </x:c>
      <x:c r="V40" s="100" t="str">
        <x:f>IF('Master'!W255="","",'Master'!W255)</x:f>
        <x:v>Provider-dependent</x:v>
      </x:c>
      <x:c r="W40" s="100" t="str">
        <x:f>IF('Master'!X255="","",'Master'!X255)</x:f>
        <x:v>N/A</x:v>
      </x:c>
      <x:c r="X40" s="100" t="str">
        <x:f>IF('Master'!Y255="","",'Master'!Y255)</x:f>
      </x:c>
      <x:c r="Y40" s="100" t="str">
        <x:f>IF('Master'!Z255="","",'Master'!Z255)</x:f>
        <x:v>Implementation-dependent</x:v>
      </x:c>
      <x:c r="Z40" s="100" t="str">
        <x:f>IF('Master'!AA255="","",'Master'!AA255)</x:f>
        <x:v>Yes — no stated limit</x:v>
      </x:c>
      <x:c r="AA40" s="104" t="str">
        <x:f>IF('Master'!AB255="","",'Master'!AB255)</x:f>
      </x:c>
      <x:c r="AB40" s="100" t="str">
        <x:f>IF('Master'!AC255="","",'Master'!AC255)</x:f>
      </x:c>
      <x:c r="AC40" s="100" t="str">
        <x:f>IF('Master'!AD255="","",'Master'!AD255)</x:f>
      </x:c>
      <x:c r="AD40" s="100" t="str">
        <x:f>IF('Master'!AE255="","",'Master'!AE255)</x:f>
      </x:c>
      <x:c r="AE40" s="100" t="str">
        <x:f>IF('Master'!AF255="","",'Master'!AF255)</x:f>
      </x:c>
      <x:c r="AF40" s="75" t="str">
        <x:f>IF('Master'!AG255="","",'Master'!AG255)</x:f>
        <x:v>Provider-dependent</x:v>
      </x:c>
    </x:row>
    <x:row r="41" ht="36" customHeight="1">
      <x:c r="A41" s="135" t="str">
        <x:v>Max Concurrent Screen Shares</x:v>
      </x:c>
      <x:c r="B41" s="100" t="str">
        <x:f>IF('Master'!C256="","",'Master'!C256)</x:f>
      </x:c>
      <x:c r="C41" s="100" t="str">
        <x:f>IF('Master'!D256="","",'Master'!D256)</x:f>
      </x:c>
      <x:c r="D41" s="100" t="str">
        <x:f>IF('Master'!E256="","",'Master'!E256)</x:f>
      </x:c>
      <x:c r="E41" s="100" t="str">
        <x:f>IF('Master'!F256="","",'Master'!F256)</x:f>
      </x:c>
      <x:c r="F41" s="100" t="str">
        <x:f>IF('Master'!G256="","",'Master'!G256)</x:f>
      </x:c>
      <x:c r="G41" s="100" t="str">
        <x:f>IF('Master'!H256="","",'Master'!H256)</x:f>
      </x:c>
      <x:c r="H41" s="100" t="str">
        <x:f>IF('Master'!I256="","",'Master'!I256)</x:f>
      </x:c>
      <x:c r="I41" s="100" t="str">
        <x:f>IF('Master'!J256="","",'Master'!J256)</x:f>
      </x:c>
      <x:c r="J41" s="100" t="str">
        <x:f>IF('Master'!K256="","",'Master'!K256)</x:f>
      </x:c>
      <x:c r="K41" s="100" t="str">
        <x:f>IF('Master'!L256="","",'Master'!L256)</x:f>
        <x:v>Not documented</x:v>
      </x:c>
      <x:c r="L41" s="100" t="str">
        <x:f>IF('Master'!M256="","",'Master'!M256)</x:f>
      </x:c>
      <x:c r="M41" s="100" t="str">
        <x:f>IF('Master'!N256="","",'Master'!N256)</x:f>
      </x:c>
      <x:c r="N41" s="100" t="str">
        <x:f>IF('Master'!O256="","",'Master'!O256)</x:f>
      </x:c>
      <x:c r="O41" s="100" t="str">
        <x:f>IF('Master'!P256="","",'Master'!P256)</x:f>
      </x:c>
      <x:c r="P41" s="100" t="str">
        <x:f>IF('Master'!Q256="","",'Master'!Q256)</x:f>
      </x:c>
      <x:c r="Q41" s="100" t="str">
        <x:f>IF('Master'!R256="","",'Master'!R256)</x:f>
      </x:c>
      <x:c r="R41" s="100" t="str">
        <x:f>IF('Master'!S256="","",'Master'!S256)</x:f>
      </x:c>
      <x:c r="S41" s="100" t="str">
        <x:f>IF('Master'!T256="","",'Master'!T256)</x:f>
      </x:c>
      <x:c r="T41" s="100" t="str">
        <x:f>IF('Master'!U256="","",'Master'!U256)</x:f>
        <x:v>4 in big rooms; 2 in smaller rooms</x:v>
      </x:c>
      <x:c r="U41" s="100" t="str">
        <x:f>IF('Master'!V256="","",'Master'!V256)</x:f>
      </x:c>
      <x:c r="V41" s="100" t="str">
        <x:f>IF('Master'!W256="","",'Master'!W256)</x:f>
      </x:c>
      <x:c r="W41" s="100" t="str">
        <x:f>IF('Master'!X256="","",'Master'!X256)</x:f>
      </x:c>
      <x:c r="X41" s="100" t="str">
        <x:f>IF('Master'!Y256="","",'Master'!Y256)</x:f>
      </x:c>
      <x:c r="Y41" s="100" t="str">
        <x:f>IF('Master'!Z256="","",'Master'!Z256)</x:f>
      </x:c>
      <x:c r="Z41" s="100" t="str">
        <x:f>IF('Master'!AA256="","",'Master'!AA256)</x:f>
        <x:v>No stated limit</x:v>
      </x:c>
      <x:c r="AA41" s="104" t="str">
        <x:f>IF('Master'!AB256="","",'Master'!AB256)</x:f>
      </x:c>
      <x:c r="AB41" s="100" t="str">
        <x:f>IF('Master'!AC256="","",'Master'!AC256)</x:f>
      </x:c>
      <x:c r="AC41" s="100" t="str">
        <x:f>IF('Master'!AD256="","",'Master'!AD256)</x:f>
      </x:c>
      <x:c r="AD41" s="100" t="str">
        <x:f>IF('Master'!AE256="","",'Master'!AE256)</x:f>
      </x:c>
      <x:c r="AE41" s="100" t="str">
        <x:f>IF('Master'!AF256="","",'Master'!AF256)</x:f>
      </x:c>
      <x:c r="AF41" s="75" t="str">
        <x:f>IF('Master'!AG256="","",'Master'!AG256)</x:f>
      </x:c>
    </x:row>
    <x:row r="42" ht="36" customHeight="1">
      <x:c r="A42" s="135" t="str">
        <x:v>Simultaneous Multi-Stream Viewing?</x:v>
      </x:c>
      <x:c r="B42" s="100" t="str">
        <x:f>IF('Master'!C257="","",'Master'!C257)</x:f>
        <x:v>Yes</x:v>
      </x:c>
      <x:c r="C42" s="100" t="str">
        <x:f>IF('Master'!D257="","",'Master'!D257)</x:f>
      </x:c>
      <x:c r="D42" s="100" t="str">
        <x:f>IF('Master'!E257="","",'Master'!E257)</x:f>
      </x:c>
      <x:c r="E42" s="100" t="str">
        <x:f>IF('Master'!F257="","",'Master'!F257)</x:f>
        <x:v>Yes</x:v>
      </x:c>
      <x:c r="F42" s="100" t="str">
        <x:f>IF('Master'!G257="","",'Master'!G257)</x:f>
        <x:v>Yes</x:v>
      </x:c>
      <x:c r="G42" s="100" t="str">
        <x:f>IF('Master'!H257="","",'Master'!H257)</x:f>
        <x:v>Yes</x:v>
      </x:c>
      <x:c r="H42" s="100" t="str">
        <x:f>IF('Master'!I257="","",'Master'!I257)</x:f>
        <x:v>Yes</x:v>
      </x:c>
      <x:c r="I42" s="100" t="str">
        <x:f>IF('Master'!J257="","",'Master'!J257)</x:f>
      </x:c>
      <x:c r="J42" s="100" t="str">
        <x:f>IF('Master'!K257="","",'Master'!K257)</x:f>
      </x:c>
      <x:c r="K42" s="100" t="str">
        <x:f>IF('Master'!L257="","",'Master'!L257)</x:f>
        <x:v>Not documented</x:v>
      </x:c>
      <x:c r="L42" s="100" t="str">
        <x:f>IF('Master'!M257="","",'Master'!M257)</x:f>
      </x:c>
      <x:c r="M42" s="100" t="str">
        <x:f>IF('Master'!N257="","",'Master'!N257)</x:f>
        <x:v>Yes</x:v>
      </x:c>
      <x:c r="N42" s="100" t="str">
        <x:f>IF('Master'!O257="","",'Master'!O257)</x:f>
        <x:v>Varies by client</x:v>
      </x:c>
      <x:c r="O42" s="100" t="str">
        <x:f>IF('Master'!P257="","",'Master'!P257)</x:f>
        <x:v>Yes</x:v>
      </x:c>
      <x:c r="P42" s="100" t="str">
        <x:f>IF('Master'!Q257="","",'Master'!Q257)</x:f>
        <x:v>Yes</x:v>
      </x:c>
      <x:c r="Q42" s="100" t="str">
        <x:f>IF('Master'!R257="","",'Master'!R257)</x:f>
        <x:v>N/A</x:v>
      </x:c>
      <x:c r="R42" s="100" t="str">
        <x:f>IF('Master'!S257="","",'Master'!S257)</x:f>
      </x:c>
      <x:c r="S42" s="100" t="str">
        <x:f>IF('Master'!T257="","",'Master'!T257)</x:f>
        <x:v>Yes</x:v>
      </x:c>
      <x:c r="T42" s="100" t="str">
        <x:f>IF('Master'!U257="","",'Master'!U257)</x:f>
        <x:v>Yes — 2 presenters in smaller rooms, 4 in big rooms</x:v>
      </x:c>
      <x:c r="U42" s="100" t="str">
        <x:f>IF('Master'!V257="","",'Master'!V257)</x:f>
        <x:v>Yes</x:v>
      </x:c>
      <x:c r="V42" s="100" t="str">
        <x:f>IF('Master'!W257="","",'Master'!W257)</x:f>
        <x:v>Provider-dependent</x:v>
      </x:c>
      <x:c r="W42" s="100" t="str">
        <x:f>IF('Master'!X257="","",'Master'!X257)</x:f>
        <x:v>N/A</x:v>
      </x:c>
      <x:c r="X42" s="100" t="str">
        <x:f>IF('Master'!Y257="","",'Master'!Y257)</x:f>
        <x:v>Yes</x:v>
      </x:c>
      <x:c r="Y42" s="100" t="str">
        <x:f>IF('Master'!Z257="","",'Master'!Z257)</x:f>
      </x:c>
      <x:c r="Z42" s="100" t="str">
        <x:f>IF('Master'!AA257="","",'Master'!AA257)</x:f>
        <x:v>Yes — no stated limit on simultaneous shared screens</x:v>
      </x:c>
      <x:c r="AA42" s="104" t="str">
        <x:f>IF('Master'!AB257="","",'Master'!AB257)</x:f>
        <x:v>Yes</x:v>
      </x:c>
      <x:c r="AB42" s="100" t="str">
        <x:f>IF('Master'!AC257="","",'Master'!AC257)</x:f>
      </x:c>
      <x:c r="AC42" s="100" t="str">
        <x:f>IF('Master'!AD257="","",'Master'!AD257)</x:f>
      </x:c>
      <x:c r="AD42" s="100" t="str">
        <x:f>IF('Master'!AE257="","",'Master'!AE257)</x:f>
        <x:v>Yes</x:v>
      </x:c>
      <x:c r="AE42" s="100" t="str">
        <x:f>IF('Master'!AF257="","",'Master'!AF257)</x:f>
      </x:c>
      <x:c r="AF42" s="75" t="str">
        <x:f>IF('Master'!AG257="","",'Master'!AG257)</x:f>
        <x:v>Provider-dependent</x:v>
      </x:c>
    </x:row>
    <x:row r="43" ht="23.100000381469727" customHeight="1">
      <x:c r="A43" s="135" t="str">
        <x:v>Webcam Participant Limit</x:v>
      </x:c>
      <x:c r="B43" s="102" t="str">
        <x:f>IF('Master'!C258="","",'Master'!C258)</x:f>
        <x:v>25 when video active in server voice</x:v>
      </x:c>
      <x:c r="C43" s="102" t="str">
        <x:f>IF('Master'!D258="","",'Master'!D258)</x:f>
      </x:c>
      <x:c r="D43" s="102" t="str">
        <x:f>IF('Master'!E258="","",'Master'!E258)</x:f>
      </x:c>
      <x:c r="E43" s="102" t="str">
        <x:f>IF('Master'!F258="","",'Master'!F258)</x:f>
      </x:c>
      <x:c r="F43" s="102" t="str">
        <x:f>IF('Master'!G258="","",'Master'!G258)</x:f>
      </x:c>
      <x:c r="G43" s="102" t="str">
        <x:f>IF('Master'!H258="","",'Master'!H258)</x:f>
      </x:c>
      <x:c r="H43" s="102" t="str">
        <x:f>IF('Master'!I258="","",'Master'!I258)</x:f>
      </x:c>
      <x:c r="I43" s="102" t="str">
        <x:f>IF('Master'!J258="","",'Master'!J258)</x:f>
      </x:c>
      <x:c r="J43" s="102" t="str">
        <x:f>IF('Master'!K258="","",'Master'!K258)</x:f>
        <x:v>No</x:v>
      </x:c>
      <x:c r="K43" s="102" t="str">
        <x:f>IF('Master'!L258="","",'Master'!L258)</x:f>
        <x:v>Not documented</x:v>
      </x:c>
      <x:c r="L43" s="102" t="str">
        <x:f>IF('Master'!M258="","",'Master'!M258)</x:f>
      </x:c>
      <x:c r="M43" s="102" t="str">
        <x:f>IF('Master'!N258="","",'Master'!N258)</x:f>
      </x:c>
      <x:c r="N43" s="102" t="str">
        <x:f>IF('Master'!O258="","",'Master'!O258)</x:f>
        <x:v>Client-dependent</x:v>
      </x:c>
      <x:c r="O43" s="102" t="str">
        <x:f>IF('Master'!P258="","",'Master'!P258)</x:f>
        <x:v>Yes</x:v>
      </x:c>
      <x:c r="P43" s="102" t="str">
        <x:f>IF('Master'!Q258="","",'Master'!Q258)</x:f>
      </x:c>
      <x:c r="Q43" s="102" t="str">
        <x:f>IF('Master'!R258="","",'Master'!R258)</x:f>
        <x:v>No</x:v>
      </x:c>
      <x:c r="R43" s="102" t="str">
        <x:f>IF('Master'!S258="","",'Master'!S258)</x:f>
      </x:c>
      <x:c r="S43" s="102" t="str">
        <x:f>IF('Master'!T258="","",'Master'!T258)</x:f>
      </x:c>
      <x:c r="T43" s="102" t="str">
        <x:f>IF('Master'!U258="","",'Master'!U258)</x:f>
      </x:c>
      <x:c r="U43" s="102" t="str">
        <x:f>IF('Master'!V258="","",'Master'!V258)</x:f>
      </x:c>
      <x:c r="V43" s="102" t="str">
        <x:f>IF('Master'!W258="","",'Master'!W258)</x:f>
        <x:v>Provider-dependent</x:v>
      </x:c>
      <x:c r="W43" s="102" t="str">
        <x:f>IF('Master'!X258="","",'Master'!X258)</x:f>
        <x:v>N/A</x:v>
      </x:c>
      <x:c r="X43" s="102" t="str">
        <x:f>IF('Master'!Y258="","",'Master'!Y258)</x:f>
      </x:c>
      <x:c r="Y43" s="102" t="str">
        <x:f>IF('Master'!Z258="","",'Master'!Z258)</x:f>
      </x:c>
      <x:c r="Z43" s="102" t="str">
        <x:f>IF('Master'!AA258="","",'Master'!AA258)</x:f>
        <x:v>No stated camera-per-call limit</x:v>
      </x:c>
      <x:c r="AA43" s="103" t="str">
        <x:f>IF('Master'!AB258="","",'Master'!AB258)</x:f>
      </x:c>
      <x:c r="AB43" s="102" t="str">
        <x:f>IF('Master'!AC258="","",'Master'!AC258)</x:f>
      </x:c>
      <x:c r="AC43" s="102" t="str">
        <x:f>IF('Master'!AD258="","",'Master'!AD258)</x:f>
      </x:c>
      <x:c r="AD43" s="102" t="str">
        <x:f>IF('Master'!AE258="","",'Master'!AE258)</x:f>
      </x:c>
      <x:c r="AE43" s="102" t="str">
        <x:f>IF('Master'!AF258="","",'Master'!AF258)</x:f>
        <x:v>No</x:v>
      </x:c>
      <x:c r="AF43" s="75" t="str">
        <x:f>IF('Master'!AG258="","",'Master'!AG258)</x:f>
        <x:v>Provider-dependent</x:v>
      </x:c>
    </x:row>
    <x:row r="44" ht="23.100000381469727" customHeight="1">
      <x:c r="A44" s="135" t="str">
        <x:v>Stage / Presentation Mode?</x:v>
      </x:c>
      <x:c r="B44" s="102" t="str">
        <x:f>IF('Master'!C259="","",'Master'!C259)</x:f>
      </x:c>
      <x:c r="C44" s="102" t="str">
        <x:f>IF('Master'!D259="","",'Master'!D259)</x:f>
      </x:c>
      <x:c r="D44" s="102" t="str">
        <x:f>IF('Master'!E259="","",'Master'!E259)</x:f>
      </x:c>
      <x:c r="E44" s="102" t="str">
        <x:f>IF('Master'!F259="","",'Master'!F259)</x:f>
      </x:c>
      <x:c r="F44" s="102" t="str">
        <x:f>IF('Master'!G259="","",'Master'!G259)</x:f>
      </x:c>
      <x:c r="G44" s="102" t="str">
        <x:f>IF('Master'!H259="","",'Master'!H259)</x:f>
      </x:c>
      <x:c r="H44" s="102" t="str">
        <x:f>IF('Master'!I259="","",'Master'!I259)</x:f>
      </x:c>
      <x:c r="I44" s="102" t="str">
        <x:f>IF('Master'!J259="","",'Master'!J259)</x:f>
      </x:c>
      <x:c r="J44" s="102" t="str">
        <x:f>IF('Master'!K259="","",'Master'!K259)</x:f>
      </x:c>
      <x:c r="K44" s="102" t="str">
        <x:f>IF('Master'!L259="","",'Master'!L259)</x:f>
        <x:v>Yes — developer reports Stage channels; screen-share publication is separately permissioned</x:v>
      </x:c>
      <x:c r="L44" s="102" t="str">
        <x:f>IF('Master'!M259="","",'Master'!M259)</x:f>
      </x:c>
      <x:c r="M44" s="102" t="str">
        <x:f>IF('Master'!N259="","",'Master'!N259)</x:f>
      </x:c>
      <x:c r="N44" s="102" t="str">
        <x:f>IF('Master'!O259="","",'Master'!O259)</x:f>
      </x:c>
      <x:c r="O44" s="102" t="str">
        <x:f>IF('Master'!P259="","",'Master'!P259)</x:f>
      </x:c>
      <x:c r="P44" s="102" t="str">
        <x:f>IF('Master'!Q259="","",'Master'!Q259)</x:f>
      </x:c>
      <x:c r="Q44" s="102" t="str">
        <x:f>IF('Master'!R259="","",'Master'!R259)</x:f>
      </x:c>
      <x:c r="R44" s="102" t="str">
        <x:f>IF('Master'!S259="","",'Master'!S259)</x:f>
      </x:c>
      <x:c r="S44" s="102" t="str">
        <x:f>IF('Master'!T259="","",'Master'!T259)</x:f>
      </x:c>
      <x:c r="T44" s="102" t="str">
        <x:f>IF('Master'!U259="","",'Master'!U259)</x:f>
      </x:c>
      <x:c r="U44" s="102" t="str">
        <x:f>IF('Master'!V259="","",'Master'!V259)</x:f>
      </x:c>
      <x:c r="V44" s="102" t="str">
        <x:f>IF('Master'!W259="","",'Master'!W259)</x:f>
      </x:c>
      <x:c r="W44" s="102" t="str">
        <x:f>IF('Master'!X259="","",'Master'!X259)</x:f>
      </x:c>
      <x:c r="X44" s="102" t="str">
        <x:f>IF('Master'!Y259="","",'Master'!Y259)</x:f>
      </x:c>
      <x:c r="Y44" s="102" t="str">
        <x:f>IF('Master'!Z259="","",'Master'!Z259)</x:f>
      </x:c>
      <x:c r="Z44" s="102" t="str">
        <x:f>IF('Master'!AA259="","",'Master'!AA259)</x:f>
      </x:c>
      <x:c r="AA44" s="103" t="str">
        <x:f>IF('Master'!AB259="","",'Master'!AB259)</x:f>
      </x:c>
      <x:c r="AB44" s="102" t="str">
        <x:f>IF('Master'!AC259="","",'Master'!AC259)</x:f>
      </x:c>
      <x:c r="AC44" s="102" t="str">
        <x:f>IF('Master'!AD259="","",'Master'!AD259)</x:f>
      </x:c>
      <x:c r="AD44" s="102" t="str">
        <x:f>IF('Master'!AE259="","",'Master'!AE259)</x:f>
      </x:c>
      <x:c r="AE44" s="102" t="str">
        <x:f>IF('Master'!AF259="","",'Master'!AF259)</x:f>
      </x:c>
      <x:c r="AF44" s="75" t="str">
        <x:f>IF('Master'!AG259="","",'Master'!AG259)</x:f>
      </x:c>
    </x:row>
    <x:row r="45" ht="22" customHeight="1">
      <x:c r="A45" s="138" t="str">
        <x:v>Source &amp; Notes</x:v>
      </x:c>
      <x:c r="B45" s="138" t="str">
        <x:f>IF(""="","","")</x:f>
      </x:c>
      <x:c r="C45" s="138" t="str">
        <x:f>IF(""="","","")</x:f>
      </x:c>
      <x:c r="D45" s="138" t="str">
        <x:f>IF(""="","","")</x:f>
      </x:c>
      <x:c r="E45" s="138" t="str">
        <x:f>IF(""="","","")</x:f>
      </x:c>
      <x:c r="F45" s="138" t="str">
        <x:f>IF(""="","","")</x:f>
      </x:c>
      <x:c r="G45" s="138" t="str">
        <x:f>IF(""="","","")</x:f>
      </x:c>
      <x:c r="H45" s="138" t="str">
        <x:f>IF(""="","","")</x:f>
      </x:c>
      <x:c r="I45" s="138" t="str">
        <x:f>IF(""="","","")</x:f>
      </x:c>
      <x:c r="J45" s="138" t="str">
        <x:f>IF(""="","","")</x:f>
      </x:c>
      <x:c r="K45" s="138" t="str">
        <x:f>IF(""="","","")</x:f>
      </x:c>
      <x:c r="L45" s="138" t="str">
        <x:f>IF(""="","","")</x:f>
      </x:c>
      <x:c r="M45" s="138" t="str">
        <x:f>IF(""="","","")</x:f>
      </x:c>
      <x:c r="N45" s="138" t="str">
        <x:f>IF(""="","","")</x:f>
      </x:c>
      <x:c r="O45" s="138" t="str">
        <x:f>IF(""="","","")</x:f>
      </x:c>
      <x:c r="P45" s="138" t="str">
        <x:f>IF(""="","","")</x:f>
      </x:c>
      <x:c r="Q45" s="138" t="str">
        <x:f>IF(""="","","")</x:f>
      </x:c>
      <x:c r="R45" s="138" t="str">
        <x:f>IF(""="","","")</x:f>
      </x:c>
      <x:c r="S45" s="138" t="str">
        <x:f>IF(""="","","")</x:f>
      </x:c>
      <x:c r="T45" s="138" t="str">
        <x:f>IF(""="","","")</x:f>
      </x:c>
      <x:c r="U45" s="138" t="str">
        <x:f>IF(""="","","")</x:f>
      </x:c>
      <x:c r="V45" s="138" t="str">
        <x:f>IF(""="","","")</x:f>
      </x:c>
      <x:c r="W45" s="138" t="str">
        <x:f>IF(""="","","")</x:f>
      </x:c>
      <x:c r="X45" s="138" t="str">
        <x:f>IF(""="","","")</x:f>
      </x:c>
      <x:c r="Y45" s="138" t="str">
        <x:f>IF(""="","","")</x:f>
      </x:c>
      <x:c r="Z45" s="138" t="str">
        <x:f>IF(""="","","")</x:f>
      </x:c>
      <x:c r="AA45" s="138" t="str">
        <x:f>IF(""="","","")</x:f>
      </x:c>
      <x:c r="AB45" s="138" t="str">
        <x:f>IF(""="","","")</x:f>
      </x:c>
      <x:c r="AC45" s="138" t="str">
        <x:f>IF(""="","","")</x:f>
      </x:c>
      <x:c r="AD45" s="138" t="str">
        <x:f>IF(""="","","")</x:f>
      </x:c>
      <x:c r="AE45" s="138" t="str">
        <x:f>IF(""="","","")</x:f>
      </x:c>
      <x:c r="AF45" s="139" t="str">
        <x:f>IF(""="","","")</x:f>
      </x:c>
    </x:row>
    <x:row r="46" ht="36" customHeight="1">
      <x:c r="A46" s="135" t="str">
        <x:v>Screen Share Source URL</x:v>
      </x:c>
      <x:c r="B46" s="100" t="str">
        <x:f>IF('Master'!C260="","",'Master'!C260)</x:f>
        <x:v>https://support.discord.com/hc/en-us/articles/360040816151-Go-Live-and-Screen-Share</x:v>
      </x:c>
      <x:c r="C46" s="100" t="str">
        <x:f>IF('Master'!D260="","",'Master'!D260)</x:f>
      </x:c>
      <x:c r="D46" s="100" t="str">
        <x:f>IF('Master'!E260="","",'Master'!E260)</x:f>
      </x:c>
      <x:c r="E46" s="100" t="str">
        <x:f>IF('Master'!F260="","",'Master'!F260)</x:f>
      </x:c>
      <x:c r="F46" s="100" t="str">
        <x:f>IF('Master'!G260="","",'Master'!G260)</x:f>
      </x:c>
      <x:c r="G46" s="100" t="str">
        <x:f>IF('Master'!H260="","",'Master'!H260)</x:f>
        <x:v>https://fluxer.app/plutonium</x:v>
      </x:c>
      <x:c r="H46" s="100" t="str">
        <x:f>IF('Master'!I260="","",'Master'!I260)</x:f>
        <x:v>https://gamevox.com/</x:v>
      </x:c>
      <x:c r="I46" s="100" t="str">
        <x:f>IF('Master'!J260="","",'Master'!J260)</x:f>
      </x:c>
      <x:c r="J46" s="100" t="str">
        <x:f>IF('Master'!K260="","",'Master'!K260)</x:f>
      </x:c>
      <x:c r="K46" s="100" t="str">
        <x:f>IF('Master'!L260="","",'Master'!L260)</x:f>
        <x:v>https://github.com/CookieNom/KaedeChat/blob/main/docs/screen-sharing-quality.md</x:v>
      </x:c>
      <x:c r="L46" s="100" t="str">
        <x:f>IF('Master'!M260="","",'Master'!M260)</x:f>
      </x:c>
      <x:c r="M46" s="100" t="str">
        <x:f>IF('Master'!N260="","",'Master'!N260)</x:f>
      </x:c>
      <x:c r="N46" s="100" t="str">
        <x:f>IF('Master'!O260="","",'Master'!O260)</x:f>
      </x:c>
      <x:c r="O46" s="100" t="str">
        <x:f>IF('Master'!P260="","",'Master'!P260)</x:f>
      </x:c>
      <x:c r="P46" s="100" t="str">
        <x:f>IF('Master'!Q260="","",'Master'!Q260)</x:f>
        <x:v>https://mezon.ai/docs/user/resources/FAQ/</x:v>
      </x:c>
      <x:c r="Q46" s="100" t="str">
        <x:f>IF('Master'!R260="","",'Master'!R260)</x:f>
      </x:c>
      <x:c r="R46" s="100" t="str">
        <x:f>IF('Master'!S260="","",'Master'!S260)</x:f>
      </x:c>
      <x:c r="S46" s="100" t="str">
        <x:f>IF('Master'!T260="","",'Master'!T260)</x:f>
      </x:c>
      <x:c r="T46" s="100" t="str">
        <x:f>IF('Master'!U260="","",'Master'!U260)</x:f>
        <x:v>https://pqp.gg/</x:v>
      </x:c>
      <x:c r="U46" s="100" t="str">
        <x:f>IF('Master'!V260="","",'Master'!V260)</x:f>
        <x:v>https://therift.chat/de/plans/</x:v>
      </x:c>
      <x:c r="V46" s="100" t="str">
        <x:f>IF('Master'!W260="","",'Master'!W260)</x:f>
      </x:c>
      <x:c r="W46" s="100" t="str">
        <x:f>IF('Master'!X260="","",'Master'!X260)</x:f>
      </x:c>
      <x:c r="X46" s="100" t="str">
        <x:f>IF('Master'!Y260="","",'Master'!Y260)</x:f>
        <x:v>https://support.rootapp.com/docs/sudo/get-started/sudo-faqs/</x:v>
      </x:c>
      <x:c r="Y46" s="100" t="str">
        <x:f>IF('Master'!Z260="","",'Master'!Z260)</x:f>
      </x:c>
      <x:c r="Z46" s="100" t="str">
        <x:f>IF('Master'!AA260="","",'Master'!AA260)</x:f>
        <x:v>https://stoat.chat/release-notes/93eb1f4ec77444ca9fb13617e0e6c0b1</x:v>
      </x:c>
      <x:c r="AA46" s="104" t="str">
        <x:f>IF('Master'!AB260="","",'Master'!AB260)</x:f>
        <x:v>https://community.teamspeak.com/t/teamspeak-6-0-0-beta1-screen-camera-sharing-communities-design-overhaul/54925</x:v>
      </x:c>
      <x:c r="AB46" s="100" t="str">
        <x:f>IF('Master'!AC260="","",'Master'!AC260)</x:f>
      </x:c>
      <x:c r="AC46" s="100" t="str">
        <x:f>IF('Master'!AD260="","",'Master'!AD260)</x:f>
      </x:c>
      <x:c r="AD46" s="100" t="str">
        <x:f>IF('Master'!AE260="","",'Master'!AE260)</x:f>
        <x:v>https://weered.ca/alternatives/discord</x:v>
      </x:c>
      <x:c r="AE46" s="100" t="str">
        <x:f>IF('Master'!AF260="","",'Master'!AF260)</x:f>
      </x:c>
      <x:c r="AF46" s="75" t="str">
        <x:f>IF('Master'!AG260="","",'Master'!AG260)</x:f>
      </x:c>
    </x:row>
    <x:row r="47" ht="36" customHeight="1">
      <x:c r="A47" s="135" t="str">
        <x:v>Screen Share Notes</x:v>
      </x:c>
      <x:c r="B47" s="100" t="str">
        <x:f>IF('Master'!C261="","",'Master'!C261)</x:f>
        <x:v>Voice/video/Go Live E2EE by default except Stage.</x:v>
      </x:c>
      <x:c r="C47" s="100" t="str">
        <x:f>IF('Master'!D261="","",'Master'!D261)</x:f>
        <x:v>Voice exists; detailed limits are not publicly documented.</x:v>
      </x:c>
      <x:c r="D47" s="100" t="str">
        <x:f>IF('Master'!E261="","",'Master'!E261)</x:f>
        <x:v>Media limits are software/operator-configurable rather than a paid tier.</x:v>
      </x:c>
      <x:c r="E47" s="100" t="str">
        <x:f>IF('Master'!F261="","",'Master'!F261)</x:f>
        <x:v>LiveKit-based voice/video/screen sharing.</x:v>
      </x:c>
      <x:c r="F47" s="100" t="str">
        <x:f>IF('Master'!G261="","",'Master'!G261)</x:f>
        <x:v>Alpha behavior/limits can change.</x:v>
      </x:c>
      <x:c r="G47" s="100" t="str">
        <x:f>IF('Master'!H261="","",'Master'!H261)</x:f>
        <x:v>Nothing is E2EE yet per Sep 13 privacy policy.</x:v>
      </x:c>
      <x:c r="H47" s="100" t="str">
        <x:f>IF('Master'!I261="","",'Master'!I261)</x:f>
        <x:v>Voice-first gaming platform.</x:v>
      </x:c>
      <x:c r="I47" s="100" t="str">
        <x:f>IF('Master'!J261="","",'Master'!J261)</x:f>
        <x:v>Media is early/incomplete.</x:v>
      </x:c>
      <x:c r="J47" s="100" t="str">
        <x:f>IF('Master'!K261="","",'Master'!K261)</x:f>
        <x:v>Media is peer-to-peer rather than server-room focused.</x:v>
      </x:c>
      <x:c r="K47" s="100" t="str">
        <x:f>IF('Master'!L261="","",'Master'!L261)</x:f>
        <x:v>Current public docs: 720p15/30, 1080p30, Source up to 4K native at 30 FPS; audio-capture behavior varies by platform. Developer questionnaire separately reported 4K60 + audio capture.</x:v>
      </x:c>
      <x:c r="L47" s="100" t="str">
        <x:f>IF('Master'!M261="","",'Master'!M261)</x:f>
        <x:v>Media limits not well documented.</x:v>
      </x:c>
      <x:c r="M47" s="100" t="str">
        <x:f>IF('Master'!N261="","",'Master'!N261)</x:f>
        <x:v>Voice/video/screen share are live in open beta.</x:v>
      </x:c>
      <x:c r="N47" s="100" t="str">
        <x:f>IF('Master'!O261="","",'Master'!O261)</x:f>
        <x:v>Media limits belong to a client/homeserver/SFU deployment, not to Matrix as a universal platform.</x:v>
      </x:c>
      <x:c r="O47" s="100" t="str">
        <x:f>IF('Master'!P261="","",'Master'!P261)</x:f>
        <x:v>Native Calls supports screen share and meeting-style controls.</x:v>
      </x:c>
      <x:c r="P47" s="100" t="str">
        <x:f>IF('Master'!Q261="","",'Master'!Q261)</x:f>
        <x:v>No paywall on voice/video quality claimed.</x:v>
      </x:c>
      <x:c r="Q47" s="100" t="str">
        <x:f>IF('Master'!R261="","",'Master'!R261)</x:f>
        <x:v>Purpose-built voice; no webcam/screen-sharing core.</x:v>
      </x:c>
      <x:c r="R47" s="100" t="str">
        <x:f>IF('Master'!S261="","",'Master'!S261)</x:f>
        <x:v>Public docs emphasize chat more than media limits.</x:v>
      </x:c>
      <x:c r="S47" s="100" t="str">
        <x:f>IF('Master'!T261="","",'Master'!T261)</x:f>
        <x:v>Custom voice infrastructure is a headline feature.</x:v>
      </x:c>
      <x:c r="T47" s="100" t="str">
        <x:f>IF('Master'!U261="","",'Master'!U261)</x:f>
        <x:v>Browser screen share with tab audio; 360p–1080p; 2 presenters in smaller rooms and 4 in big rooms; hosted watch party has exceeded 100 participants.</x:v>
      </x:c>
      <x:c r="U47" s="100" t="str">
        <x:f>IF('Master'!V261="","",'Master'!V261)</x:f>
        <x:v>Rift's current pricing page lists 720p free, 1080p Ember/Rift+, 1440p Forge. Some comparison copy elsewhere has differed; pricing page used as authority.</x:v>
      </x:c>
      <x:c r="V47" s="100" t="str">
        <x:f>IF('Master'!W261="","",'Master'!W261)</x:f>
        <x:v>Media calling is not a single fixed platform profile across all Rocket.Chat deployments.</x:v>
      </x:c>
      <x:c r="W47" s="100" t="str">
        <x:f>IF('Master'!X261="","",'Master'!X261)</x:f>
        <x:v>Text/community-gardening focus.</x:v>
      </x:c>
      <x:c r="X47" s="100" t="str">
        <x:f>IF('Master'!Y261="","",'Master'!Y261)</x:f>
        <x:v>Mobile can view shared screens.</x:v>
      </x:c>
      <x:c r="Y47" s="100" t="str">
        <x:f>IF('Master'!Z261="","",'Master'!Z261)</x:f>
        <x:v>Voice is optional and disabled unless operator installs a compatible media implementation.</x:v>
      </x:c>
      <x:c r="Z47" s="100" t="str">
        <x:f>IF('Master'!AA261="","",'Master'!AA261)</x:f>
        <x:v>Video chat and screen share launched 2026-07-17: 720p30 current quality, whole-screen/window sharing with audio, no stated screen/camera count limit, desktop/browser/mobile support.</x:v>
      </x:c>
      <x:c r="AA47" s="104" t="str">
        <x:f>IF('Master'!AB261="","",'Master'!AB261)</x:f>
        <x:v>TS6 screen sharing is still evolving; server-side streaming has lagged behind P2P. No stable official resolution-tier table was found.</x:v>
      </x:c>
      <x:c r="AB47" s="100" t="str">
        <x:f>IF('Master'!AC261="","",'Master'!AC261)</x:f>
      </x:c>
      <x:c r="AC47" s="100" t="str">
        <x:f>IF('Master'!AD261="","",'Master'!AD261)</x:f>
        <x:v>Media details sparse.</x:v>
      </x:c>
      <x:c r="AD47" s="100" t="str">
        <x:f>IF('Master'!AE261="","",'Master'!AE261)</x:f>
        <x:v>Designed around always-present game-room media.</x:v>
      </x:c>
      <x:c r="AE47" s="100" t="str">
        <x:f>IF('Master'!AF261="","",'Master'!AF261)</x:f>
        <x:v>Self-host resource capacity determines practical limits.</x:v>
      </x:c>
      <x:c r="AF47" s="75" t="str">
        <x:f>IF('Master'!AG261="","",'Master'!AG261)</x:f>
        <x:v>Voice/video are intentionally delegated to services such as Jitsi/Zoom/BigBlueButton.</x:v>
      </x:c>
    </x:row>
    <x:row r="48" ht="22" customHeight="1">
      <x:c r="A48" s="138" t="str">
        <x:v>Delivery &amp; Experience</x:v>
      </x:c>
      <x:c r="B48" s="138" t="str">
        <x:f>IF(""="","","")</x:f>
      </x:c>
      <x:c r="C48" s="138" t="str">
        <x:f>IF(""="","","")</x:f>
      </x:c>
      <x:c r="D48" s="138" t="str">
        <x:f>IF(""="","","")</x:f>
      </x:c>
      <x:c r="E48" s="138" t="str">
        <x:f>IF(""="","","")</x:f>
      </x:c>
      <x:c r="F48" s="138" t="str">
        <x:f>IF(""="","","")</x:f>
      </x:c>
      <x:c r="G48" s="138" t="str">
        <x:f>IF(""="","","")</x:f>
      </x:c>
      <x:c r="H48" s="138" t="str">
        <x:f>IF(""="","","")</x:f>
      </x:c>
      <x:c r="I48" s="138" t="str">
        <x:f>IF(""="","","")</x:f>
      </x:c>
      <x:c r="J48" s="138" t="str">
        <x:f>IF(""="","","")</x:f>
      </x:c>
      <x:c r="K48" s="138" t="str">
        <x:f>IF(""="","","")</x:f>
      </x:c>
      <x:c r="L48" s="138" t="str">
        <x:f>IF(""="","","")</x:f>
      </x:c>
      <x:c r="M48" s="138" t="str">
        <x:f>IF(""="","","")</x:f>
      </x:c>
      <x:c r="N48" s="138" t="str">
        <x:f>IF(""="","","")</x:f>
      </x:c>
      <x:c r="O48" s="138" t="str">
        <x:f>IF(""="","","")</x:f>
      </x:c>
      <x:c r="P48" s="138" t="str">
        <x:f>IF(""="","","")</x:f>
      </x:c>
      <x:c r="Q48" s="138" t="str">
        <x:f>IF(""="","","")</x:f>
      </x:c>
      <x:c r="R48" s="138" t="str">
        <x:f>IF(""="","","")</x:f>
      </x:c>
      <x:c r="S48" s="138" t="str">
        <x:f>IF(""="","","")</x:f>
      </x:c>
      <x:c r="T48" s="138" t="str">
        <x:f>IF(""="","","")</x:f>
      </x:c>
      <x:c r="U48" s="138" t="str">
        <x:f>IF(""="","","")</x:f>
      </x:c>
      <x:c r="V48" s="138" t="str">
        <x:f>IF(""="","","")</x:f>
      </x:c>
      <x:c r="W48" s="138" t="str">
        <x:f>IF(""="","","")</x:f>
      </x:c>
      <x:c r="X48" s="138" t="str">
        <x:f>IF(""="","","")</x:f>
      </x:c>
      <x:c r="Y48" s="138" t="str">
        <x:f>IF(""="","","")</x:f>
      </x:c>
      <x:c r="Z48" s="138" t="str">
        <x:f>IF(""="","","")</x:f>
      </x:c>
      <x:c r="AA48" s="138" t="str">
        <x:f>IF(""="","","")</x:f>
      </x:c>
      <x:c r="AB48" s="138" t="str">
        <x:f>IF(""="","","")</x:f>
      </x:c>
      <x:c r="AC48" s="138" t="str">
        <x:f>IF(""="","","")</x:f>
      </x:c>
      <x:c r="AD48" s="138" t="str">
        <x:f>IF(""="","","")</x:f>
      </x:c>
      <x:c r="AE48" s="138" t="str">
        <x:f>IF(""="","","")</x:f>
      </x:c>
      <x:c r="AF48" s="139" t="str">
        <x:f>IF(""="","","")</x:f>
      </x:c>
    </x:row>
    <x:row r="49" ht="23.100000381469727" customHeight="1">
      <x:c r="A49" s="135" t="str">
        <x:v>Picture-in-Picture / Pop-Out Viewing?</x:v>
      </x:c>
      <x:c r="B49" s="102" t="str">
        <x:f>IF('Master'!C262="","",'Master'!C262)</x:f>
      </x:c>
      <x:c r="C49" s="102" t="str">
        <x:f>IF('Master'!D262="","",'Master'!D262)</x:f>
      </x:c>
      <x:c r="D49" s="102" t="str">
        <x:f>IF('Master'!E262="","",'Master'!E262)</x:f>
      </x:c>
      <x:c r="E49" s="102" t="str">
        <x:f>IF('Master'!F262="","",'Master'!F262)</x:f>
      </x:c>
      <x:c r="F49" s="102" t="str">
        <x:f>IF('Master'!G262="","",'Master'!G262)</x:f>
      </x:c>
      <x:c r="G49" s="102" t="str">
        <x:f>IF('Master'!H262="","",'Master'!H262)</x:f>
      </x:c>
      <x:c r="H49" s="102" t="str">
        <x:f>IF('Master'!I262="","",'Master'!I262)</x:f>
      </x:c>
      <x:c r="I49" s="102" t="str">
        <x:f>IF('Master'!J262="","",'Master'!J262)</x:f>
      </x:c>
      <x:c r="J49" s="102" t="str">
        <x:f>IF('Master'!K262="","",'Master'!K262)</x:f>
      </x:c>
      <x:c r="K49" s="102" t="str">
        <x:f>IF('Master'!L262="","",'Master'!L262)</x:f>
        <x:v>Yes — mobile and desktop PiP/pop-out behavior documented</x:v>
      </x:c>
      <x:c r="L49" s="102" t="str">
        <x:f>IF('Master'!M262="","",'Master'!M262)</x:f>
      </x:c>
      <x:c r="M49" s="102" t="str">
        <x:f>IF('Master'!N262="","",'Master'!N262)</x:f>
      </x:c>
      <x:c r="N49" s="102" t="str">
        <x:f>IF('Master'!O262="","",'Master'!O262)</x:f>
      </x:c>
      <x:c r="O49" s="102" t="str">
        <x:f>IF('Master'!P262="","",'Master'!P262)</x:f>
      </x:c>
      <x:c r="P49" s="102" t="str">
        <x:f>IF('Master'!Q262="","",'Master'!Q262)</x:f>
      </x:c>
      <x:c r="Q49" s="102" t="str">
        <x:f>IF('Master'!R262="","",'Master'!R262)</x:f>
      </x:c>
      <x:c r="R49" s="102" t="str">
        <x:f>IF('Master'!S262="","",'Master'!S262)</x:f>
      </x:c>
      <x:c r="S49" s="102" t="str">
        <x:f>IF('Master'!T262="","",'Master'!T262)</x:f>
      </x:c>
      <x:c r="T49" s="102" t="str">
        <x:f>IF('Master'!U262="","",'Master'!U262)</x:f>
      </x:c>
      <x:c r="U49" s="102" t="str">
        <x:f>IF('Master'!V262="","",'Master'!V262)</x:f>
      </x:c>
      <x:c r="V49" s="102" t="str">
        <x:f>IF('Master'!W262="","",'Master'!W262)</x:f>
      </x:c>
      <x:c r="W49" s="102" t="str">
        <x:f>IF('Master'!X262="","",'Master'!X262)</x:f>
      </x:c>
      <x:c r="X49" s="102" t="str">
        <x:f>IF('Master'!Y262="","",'Master'!Y262)</x:f>
      </x:c>
      <x:c r="Y49" s="102" t="str">
        <x:f>IF('Master'!Z262="","",'Master'!Z262)</x:f>
      </x:c>
      <x:c r="Z49" s="102" t="str">
        <x:f>IF('Master'!AA262="","",'Master'!AA262)</x:f>
      </x:c>
      <x:c r="AA49" s="103" t="str">
        <x:f>IF('Master'!AB262="","",'Master'!AB262)</x:f>
      </x:c>
      <x:c r="AB49" s="102" t="str">
        <x:f>IF('Master'!AC262="","",'Master'!AC262)</x:f>
      </x:c>
      <x:c r="AC49" s="102" t="str">
        <x:f>IF('Master'!AD262="","",'Master'!AD262)</x:f>
      </x:c>
      <x:c r="AD49" s="102" t="str">
        <x:f>IF('Master'!AE262="","",'Master'!AE262)</x:f>
      </x:c>
      <x:c r="AE49" s="102" t="str">
        <x:f>IF('Master'!AF262="","",'Master'!AF262)</x:f>
      </x:c>
      <x:c r="AF49" s="75" t="str">
        <x:f>IF('Master'!AG262="","",'Master'!AG262)</x:f>
      </x:c>
    </x:row>
    <x:row r="50" ht="23.100000381469727" customHeight="1">
      <x:c r="A50" s="135" t="str">
        <x:v>Adaptive Quality / Congestion Control?</x:v>
      </x:c>
      <x:c r="B50" s="102" t="str">
        <x:f>IF('Master'!C263="","",'Master'!C263)</x:f>
      </x:c>
      <x:c r="C50" s="102" t="str">
        <x:f>IF('Master'!D263="","",'Master'!D263)</x:f>
      </x:c>
      <x:c r="D50" s="102" t="str">
        <x:f>IF('Master'!E263="","",'Master'!E263)</x:f>
      </x:c>
      <x:c r="E50" s="102" t="str">
        <x:f>IF('Master'!F263="","",'Master'!F263)</x:f>
      </x:c>
      <x:c r="F50" s="102" t="str">
        <x:f>IF('Master'!G263="","",'Master'!G263)</x:f>
      </x:c>
      <x:c r="G50" s="102" t="str">
        <x:f>IF('Master'!H263="","",'Master'!H263)</x:f>
      </x:c>
      <x:c r="H50" s="102" t="str">
        <x:f>IF('Master'!I263="","",'Master'!I263)</x:f>
      </x:c>
      <x:c r="I50" s="102" t="str">
        <x:f>IF('Master'!J263="","",'Master'!J263)</x:f>
      </x:c>
      <x:c r="J50" s="102" t="str">
        <x:f>IF('Master'!K263="","",'Master'!K263)</x:f>
      </x:c>
      <x:c r="K50" s="102" t="str">
        <x:f>IF('Master'!L263="","",'Master'!L263)</x:f>
        <x:v>Yes — WebRTC may reduce resolution/frame rate under congestion</x:v>
      </x:c>
      <x:c r="L50" s="102" t="str">
        <x:f>IF('Master'!M263="","",'Master'!M263)</x:f>
      </x:c>
      <x:c r="M50" s="102" t="str">
        <x:f>IF('Master'!N263="","",'Master'!N263)</x:f>
      </x:c>
      <x:c r="N50" s="102" t="str">
        <x:f>IF('Master'!O263="","",'Master'!O263)</x:f>
      </x:c>
      <x:c r="O50" s="102" t="str">
        <x:f>IF('Master'!P263="","",'Master'!P263)</x:f>
      </x:c>
      <x:c r="P50" s="102" t="str">
        <x:f>IF('Master'!Q263="","",'Master'!Q263)</x:f>
      </x:c>
      <x:c r="Q50" s="102" t="str">
        <x:f>IF('Master'!R263="","",'Master'!R263)</x:f>
      </x:c>
      <x:c r="R50" s="102" t="str">
        <x:f>IF('Master'!S263="","",'Master'!S263)</x:f>
      </x:c>
      <x:c r="S50" s="102" t="str">
        <x:f>IF('Master'!T263="","",'Master'!T263)</x:f>
      </x:c>
      <x:c r="T50" s="102" t="str">
        <x:f>IF('Master'!U263="","",'Master'!U263)</x:f>
      </x:c>
      <x:c r="U50" s="102" t="str">
        <x:f>IF('Master'!V263="","",'Master'!V263)</x:f>
      </x:c>
      <x:c r="V50" s="102" t="str">
        <x:f>IF('Master'!W263="","",'Master'!W263)</x:f>
      </x:c>
      <x:c r="W50" s="102" t="str">
        <x:f>IF('Master'!X263="","",'Master'!X263)</x:f>
      </x:c>
      <x:c r="X50" s="102" t="str">
        <x:f>IF('Master'!Y263="","",'Master'!Y263)</x:f>
      </x:c>
      <x:c r="Y50" s="102" t="str">
        <x:f>IF('Master'!Z263="","",'Master'!Z263)</x:f>
      </x:c>
      <x:c r="Z50" s="102" t="str">
        <x:f>IF('Master'!AA263="","",'Master'!AA263)</x:f>
      </x:c>
      <x:c r="AA50" s="103" t="str">
        <x:f>IF('Master'!AB263="","",'Master'!AB263)</x:f>
      </x:c>
      <x:c r="AB50" s="102" t="str">
        <x:f>IF('Master'!AC263="","",'Master'!AC263)</x:f>
      </x:c>
      <x:c r="AC50" s="102" t="str">
        <x:f>IF('Master'!AD263="","",'Master'!AD263)</x:f>
      </x:c>
      <x:c r="AD50" s="102" t="str">
        <x:f>IF('Master'!AE263="","",'Master'!AE263)</x:f>
      </x:c>
      <x:c r="AE50" s="102" t="str">
        <x:f>IF('Master'!AF263="","",'Master'!AF263)</x:f>
      </x:c>
      <x:c r="AF50" s="75" t="str">
        <x:f>IF('Master'!AG263="","",'Master'!AG263)</x:f>
      </x:c>
    </x:row>
    <x:row r="51" ht="36" customHeight="1">
      <x:c r="A51" s="135" t="str">
        <x:v>Hardware-Accelerated Encoding?</x:v>
      </x:c>
      <x:c r="B51" s="100" t="str">
        <x:f>IF('Master'!C264="","",'Master'!C264)</x:f>
        <x:v>Client/platform dependent</x:v>
      </x:c>
      <x:c r="C51" s="100" t="str">
        <x:f>IF('Master'!D264="","",'Master'!D264)</x:f>
      </x:c>
      <x:c r="D51" s="100" t="str">
        <x:f>IF('Master'!E264="","",'Master'!E264)</x:f>
      </x:c>
      <x:c r="E51" s="100" t="str">
        <x:f>IF('Master'!F264="","",'Master'!F264)</x:f>
      </x:c>
      <x:c r="F51" s="100" t="str">
        <x:f>IF('Master'!G264="","",'Master'!G264)</x:f>
      </x:c>
      <x:c r="G51" s="100" t="str">
        <x:f>IF('Master'!H264="","",'Master'!H264)</x:f>
      </x:c>
      <x:c r="H51" s="100" t="str">
        <x:f>IF('Master'!I264="","",'Master'!I264)</x:f>
      </x:c>
      <x:c r="I51" s="100" t="str">
        <x:f>IF('Master'!J264="","",'Master'!J264)</x:f>
      </x:c>
      <x:c r="J51" s="100" t="str">
        <x:f>IF('Master'!K264="","",'Master'!K264)</x:f>
      </x:c>
      <x:c r="K51" s="100" t="str">
        <x:f>IF('Master'!L264="","",'Master'!L264)</x:f>
        <x:v>Not explicitly documented</x:v>
      </x:c>
      <x:c r="L51" s="100" t="str">
        <x:f>IF('Master'!M264="","",'Master'!M264)</x:f>
      </x:c>
      <x:c r="M51" s="100" t="str">
        <x:f>IF('Master'!N264="","",'Master'!N264)</x:f>
      </x:c>
      <x:c r="N51" s="100" t="str">
        <x:f>IF('Master'!O264="","",'Master'!O264)</x:f>
      </x:c>
      <x:c r="O51" s="100" t="str">
        <x:f>IF('Master'!P264="","",'Master'!P264)</x:f>
      </x:c>
      <x:c r="P51" s="100" t="str">
        <x:f>IF('Master'!Q264="","",'Master'!Q264)</x:f>
      </x:c>
      <x:c r="Q51" s="100" t="str">
        <x:f>IF('Master'!R264="","",'Master'!R264)</x:f>
      </x:c>
      <x:c r="R51" s="100" t="str">
        <x:f>IF('Master'!S264="","",'Master'!S264)</x:f>
      </x:c>
      <x:c r="S51" s="100" t="str">
        <x:f>IF('Master'!T264="","",'Master'!T264)</x:f>
      </x:c>
      <x:c r="T51" s="100" t="str">
        <x:f>IF('Master'!U264="","",'Master'!U264)</x:f>
      </x:c>
      <x:c r="U51" s="100" t="str">
        <x:f>IF('Master'!V264="","",'Master'!V264)</x:f>
      </x:c>
      <x:c r="V51" s="100" t="str">
        <x:f>IF('Master'!W264="","",'Master'!W264)</x:f>
      </x:c>
      <x:c r="W51" s="100" t="str">
        <x:f>IF('Master'!X264="","",'Master'!X264)</x:f>
      </x:c>
      <x:c r="X51" s="100" t="str">
        <x:f>IF('Master'!Y264="","",'Master'!Y264)</x:f>
      </x:c>
      <x:c r="Y51" s="100" t="str">
        <x:f>IF('Master'!Z264="","",'Master'!Z264)</x:f>
      </x:c>
      <x:c r="Z51" s="100" t="str">
        <x:f>IF('Master'!AA264="","",'Master'!AA264)</x:f>
      </x:c>
      <x:c r="AA51" s="104" t="str">
        <x:f>IF('Master'!AB264="","",'Master'!AB264)</x:f>
      </x:c>
      <x:c r="AB51" s="100" t="str">
        <x:f>IF('Master'!AC264="","",'Master'!AC264)</x:f>
      </x:c>
      <x:c r="AC51" s="100" t="str">
        <x:f>IF('Master'!AD264="","",'Master'!AD264)</x:f>
      </x:c>
      <x:c r="AD51" s="100" t="str">
        <x:f>IF('Master'!AE264="","",'Master'!AE264)</x:f>
      </x:c>
      <x:c r="AE51" s="100" t="str">
        <x:f>IF('Master'!AF264="","",'Master'!AF264)</x:f>
      </x:c>
      <x:c r="AF51" s="75" t="str">
        <x:f>IF('Master'!AG264="","",'Master'!AG264)</x:f>
      </x:c>
    </x:row>
    <x:row r="52" ht="36" customHeight="1">
      <x:c r="A52" s="135" t="str">
        <x:v>Synchronized Watch Party?</x:v>
      </x:c>
      <x:c r="B52" s="100" t="str">
        <x:f>IF('Master'!C265="","",'Master'!C265)</x:f>
        <x:v>Via Activities</x:v>
      </x:c>
      <x:c r="C52" s="100" t="str">
        <x:f>IF('Master'!D265="","",'Master'!D265)</x:f>
      </x:c>
      <x:c r="D52" s="100" t="str">
        <x:f>IF('Master'!E265="","",'Master'!E265)</x:f>
      </x:c>
      <x:c r="E52" s="100" t="str">
        <x:f>IF('Master'!F265="","",'Master'!F265)</x:f>
      </x:c>
      <x:c r="F52" s="100" t="str">
        <x:f>IF('Master'!G265="","",'Master'!G265)</x:f>
      </x:c>
      <x:c r="G52" s="100" t="str">
        <x:f>IF('Master'!H265="","",'Master'!H265)</x:f>
      </x:c>
      <x:c r="H52" s="100" t="str">
        <x:f>IF('Master'!I265="","",'Master'!I265)</x:f>
      </x:c>
      <x:c r="I52" s="100" t="str">
        <x:f>IF('Master'!J265="","",'Master'!J265)</x:f>
      </x:c>
      <x:c r="J52" s="100" t="str">
        <x:f>IF('Master'!K265="","",'Master'!K265)</x:f>
      </x:c>
      <x:c r="K52" s="100" t="str">
        <x:f>IF('Master'!L265="","",'Master'!L265)</x:f>
        <x:v>No synchronized watch-party feature documented</x:v>
      </x:c>
      <x:c r="L52" s="100" t="str">
        <x:f>IF('Master'!M265="","",'Master'!M265)</x:f>
      </x:c>
      <x:c r="M52" s="100" t="str">
        <x:f>IF('Master'!N265="","",'Master'!N265)</x:f>
      </x:c>
      <x:c r="N52" s="100" t="str">
        <x:f>IF('Master'!O265="","",'Master'!O265)</x:f>
      </x:c>
      <x:c r="O52" s="100" t="str">
        <x:f>IF('Master'!P265="","",'Master'!P265)</x:f>
      </x:c>
      <x:c r="P52" s="100" t="str">
        <x:f>IF('Master'!Q265="","",'Master'!Q265)</x:f>
      </x:c>
      <x:c r="Q52" s="100" t="str">
        <x:f>IF('Master'!R265="","",'Master'!R265)</x:f>
      </x:c>
      <x:c r="R52" s="100" t="str">
        <x:f>IF('Master'!S265="","",'Master'!S265)</x:f>
      </x:c>
      <x:c r="S52" s="100" t="str">
        <x:f>IF('Master'!T265="","",'Master'!T265)</x:f>
      </x:c>
      <x:c r="T52" s="100" t="str">
        <x:f>IF('Master'!U265="","",'Master'!U265)</x:f>
        <x:v>Yes</x:v>
      </x:c>
      <x:c r="U52" s="100" t="str">
        <x:f>IF('Master'!V265="","",'Master'!V265)</x:f>
        <x:v>Yes — YouTube/Twitch Portal Watch Party</x:v>
      </x:c>
      <x:c r="V52" s="100" t="str">
        <x:f>IF('Master'!W265="","",'Master'!W265)</x:f>
      </x:c>
      <x:c r="W52" s="100" t="str">
        <x:f>IF('Master'!X265="","",'Master'!X265)</x:f>
      </x:c>
      <x:c r="X52" s="100" t="str">
        <x:f>IF('Master'!Y265="","",'Master'!Y265)</x:f>
      </x:c>
      <x:c r="Y52" s="100" t="str">
        <x:f>IF('Master'!Z265="","",'Master'!Z265)</x:f>
      </x:c>
      <x:c r="Z52" s="100" t="str">
        <x:f>IF('Master'!AA265="","",'Master'!AA265)</x:f>
      </x:c>
      <x:c r="AA52" s="104" t="str">
        <x:f>IF('Master'!AB265="","",'Master'!AB265)</x:f>
      </x:c>
      <x:c r="AB52" s="100" t="str">
        <x:f>IF('Master'!AC265="","",'Master'!AC265)</x:f>
      </x:c>
      <x:c r="AC52" s="100" t="str">
        <x:f>IF('Master'!AD265="","",'Master'!AD265)</x:f>
      </x:c>
      <x:c r="AD52" s="100" t="str">
        <x:f>IF('Master'!AE265="","",'Master'!AE265)</x:f>
      </x:c>
      <x:c r="AE52" s="100" t="str">
        <x:f>IF('Master'!AF265="","",'Master'!AF265)</x:f>
      </x:c>
      <x:c r="AF52" s="75" t="str">
        <x:f>IF('Master'!AG265="","",'Master'!AG265)</x:f>
      </x:c>
    </x:row>
  </x:sheetData>
  <x:mergeCells>
    <x:mergeCell ref="A1:AF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Directory'!A1","Media &amp; Limits"),"Media &amp; Limits")</x:f>
        <x:v>Media &amp; Limits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Persistent Voice Rooms</x:v>
      </x:c>
      <x:c r="B3" s="100" t="str">
        <x:f>IF('Master'!C266="","",'Master'!C266)</x:f>
        <x:v>Yes — persistent server voice channels</x:v>
      </x:c>
      <x:c r="C3" s="100" t="str">
        <x:f>IF('Master'!D266="","",'Master'!D266)</x:f>
        <x:v>Yes</x:v>
      </x:c>
      <x:c r="D3" s="100" t="str">
        <x:f>IF('Master'!E266="","",'Master'!E266)</x:f>
        <x:v>Yes</x:v>
      </x:c>
      <x:c r="E3" s="100" t="str">
        <x:f>IF('Master'!F266="","",'Master'!F266)</x:f>
        <x:v>Yes</x:v>
      </x:c>
      <x:c r="F3" s="100" t="str">
        <x:f>IF('Master'!G266="","",'Master'!G266)</x:f>
        <x:v>Yes</x:v>
      </x:c>
      <x:c r="G3" s="100" t="str">
        <x:f>IF('Master'!H266="","",'Master'!H266)</x:f>
        <x:v>Yes</x:v>
      </x:c>
      <x:c r="H3" s="100" t="str">
        <x:f>IF('Master'!I266="","",'Master'!I266)</x:f>
        <x:v>Yes</x:v>
      </x:c>
      <x:c r="I3" s="100" t="str">
        <x:f>IF('Master'!J266="","",'Master'!J266)</x:f>
        <x:v>Yes — LiveKit voice channels</x:v>
      </x:c>
      <x:c r="J3" s="100" t="str">
        <x:f>IF('Master'!K266="","",'Master'!K266)</x:f>
        <x:v>No persistent voice-room model verified</x:v>
      </x:c>
      <x:c r="K3" s="100" t="str">
        <x:f>IF('Master'!L266="","",'Master'!L266)</x:f>
        <x:v>Yes</x:v>
      </x:c>
      <x:c r="L3" s="100" t="str">
        <x:f>IF('Master'!M266="","",'Master'!M266)</x:f>
        <x:v>Yes</x:v>
      </x:c>
      <x:c r="M3" s="100" t="str">
        <x:f>IF('Master'!N266="","",'Master'!N266)</x:f>
        <x:v>Yes</x:v>
      </x:c>
      <x:c r="N3" s="100" t="str">
        <x:f>IF('Master'!O266="","",'Master'!O266)</x:f>
        <x:v>Client-dependent; many clients support calls/rooms</x:v>
      </x:c>
      <x:c r="O3" s="100" t="str">
        <x:f>IF('Master'!P266="","",'Master'!P266)</x:f>
        <x:v>Calls available; not Discord-style always-on voice-first UX</x:v>
      </x:c>
      <x:c r="P3" s="100" t="str">
        <x:f>IF('Master'!Q266="","",'Master'!Q266)</x:f>
        <x:v>Yes</x:v>
      </x:c>
      <x:c r="Q3" s="100" t="str">
        <x:f>IF('Master'!R266="","",'Master'!R266)</x:f>
        <x:v>Yes — voice channels are the core product</x:v>
      </x:c>
      <x:c r="R3" s="100" t="str">
        <x:f>IF('Master'!S266="","",'Master'!S266)</x:f>
      </x:c>
      <x:c r="S3" s="100" t="str">
        <x:f>IF('Master'!T266="","",'Master'!T266)</x:f>
        <x:v>Yes</x:v>
      </x:c>
      <x:c r="T3" s="100" t="str">
        <x:f>IF('Master'!U266="","",'Master'!U266)</x:f>
        <x:v>Yes</x:v>
      </x:c>
      <x:c r="U3" s="100" t="str">
        <x:f>IF('Master'!V266="","",'Master'!V266)</x:f>
        <x:v>Yes</x:v>
      </x:c>
      <x:c r="V3" s="100" t="str">
        <x:f>IF('Master'!W266="","",'Master'!W266)</x:f>
        <x:v>Voice/video deployment/provider-dependent</x:v>
      </x:c>
      <x:c r="W3" s="100" t="str">
        <x:f>IF('Master'!X266="","",'Master'!X266)</x:f>
        <x:v>No mature voice verified</x:v>
      </x:c>
      <x:c r="X3" s="100" t="str">
        <x:f>IF('Master'!Y266="","",'Master'!Y266)</x:f>
        <x:v>Yes</x:v>
      </x:c>
      <x:c r="Y3" s="100" t="str">
        <x:f>IF('Master'!Z266="","",'Master'!Z266)</x:f>
        <x:v>Yes when optional voice package is installed</x:v>
      </x:c>
      <x:c r="Z3" s="100" t="str">
        <x:f>IF('Master'!AA266="","",'Master'!AA266)</x:f>
        <x:v>Yes — persistent server voice channels</x:v>
      </x:c>
      <x:c r="AA3" s="104" t="str">
        <x:f>IF('Master'!AB266="","",'Master'!AB266)</x:f>
        <x:v>Yes</x:v>
      </x:c>
      <x:c r="AB3" s="100" t="str">
        <x:f>IF('Master'!AC266="","",'Master'!AC266)</x:f>
        <x:v>Yes</x:v>
      </x:c>
      <x:c r="AC3" s="100" t="str">
        <x:f>IF('Master'!AD266="","",'Master'!AD266)</x:f>
      </x:c>
      <x:c r="AD3" s="100" t="str">
        <x:f>IF('Master'!AE266="","",'Master'!AE266)</x:f>
        <x:v>Yes — voice in rooms</x:v>
      </x:c>
      <x:c r="AE3" s="100" t="str">
        <x:f>IF('Master'!AF266="","",'Master'!AF266)</x:f>
        <x:v>Yes</x:v>
      </x:c>
      <x:c r="AF3" s="75" t="str">
        <x:f>IF('Master'!AG266="","",'Master'!AG266)</x:f>
        <x:v>No native persistent voice rooms</x:v>
      </x:c>
    </x:row>
    <x:row r="4" ht="36" customHeight="1">
      <x:c r="A4" s="135" t="str">
        <x:v>DM Calls</x:v>
      </x:c>
      <x:c r="B4" s="100" t="str">
        <x:f>IF('Master'!C267="","",'Master'!C267)</x:f>
        <x:v>Yes</x:v>
      </x:c>
      <x:c r="C4" s="100" t="str">
        <x:f>IF('Master'!D267="","",'Master'!D267)</x:f>
      </x:c>
      <x:c r="D4" s="100" t="str">
        <x:f>IF('Master'!E267="","",'Master'!E267)</x:f>
      </x:c>
      <x:c r="E4" s="100" t="str">
        <x:f>IF('Master'!F267="","",'Master'!F267)</x:f>
        <x:v>Yes</x:v>
      </x:c>
      <x:c r="F4" s="100" t="str">
        <x:f>IF('Master'!G267="","",'Master'!G267)</x:f>
        <x:v>Yes</x:v>
      </x:c>
      <x:c r="G4" s="100" t="str">
        <x:f>IF('Master'!H267="","",'Master'!H267)</x:f>
        <x:v>Yes</x:v>
      </x:c>
      <x:c r="H4" s="100" t="str">
        <x:f>IF('Master'!I267="","",'Master'!I267)</x:f>
      </x:c>
      <x:c r="I4" s="100" t="str">
        <x:f>IF('Master'!J267="","",'Master'!J267)</x:f>
      </x:c>
      <x:c r="J4" s="100" t="str">
        <x:f>IF('Master'!K267="","",'Master'!K267)</x:f>
        <x:v>Yes calls</x:v>
      </x:c>
      <x:c r="K4" s="100" t="str">
        <x:f>IF('Master'!L267="","",'Master'!L267)</x:f>
        <x:v>Yes</x:v>
      </x:c>
      <x:c r="L4" s="100" t="str">
        <x:f>IF('Master'!M267="","",'Master'!M267)</x:f>
      </x:c>
      <x:c r="M4" s="100" t="str">
        <x:f>IF('Master'!N267="","",'Master'!N267)</x:f>
        <x:v>Yes</x:v>
      </x:c>
      <x:c r="N4" s="100" t="str">
        <x:f>IF('Master'!O267="","",'Master'!O267)</x:f>
        <x:v>Client-dependent</x:v>
      </x:c>
      <x:c r="O4" s="100" t="str">
        <x:f>IF('Master'!P267="","",'Master'!P267)</x:f>
        <x:v>Yes</x:v>
      </x:c>
      <x:c r="P4" s="100" t="str">
        <x:f>IF('Master'!Q267="","",'Master'!Q267)</x:f>
        <x:v>Yes</x:v>
      </x:c>
      <x:c r="Q4" s="100" t="str">
        <x:f>IF('Master'!R267="","",'Master'!R267)</x:f>
        <x:v>No persistent DM call model</x:v>
      </x:c>
      <x:c r="R4" s="100" t="str">
        <x:f>IF('Master'!S267="","",'Master'!S267)</x:f>
      </x:c>
      <x:c r="S4" s="100" t="str">
        <x:f>IF('Master'!T267="","",'Master'!T267)</x:f>
      </x:c>
      <x:c r="T4" s="100" t="str">
        <x:f>IF('Master'!U267="","",'Master'!U267)</x:f>
        <x:v>Yes</x:v>
      </x:c>
      <x:c r="U4" s="100" t="str">
        <x:f>IF('Master'!V267="","",'Master'!V267)</x:f>
        <x:v>Yes - Encrypted</x:v>
      </x:c>
      <x:c r="V4" s="100" t="str">
        <x:f>IF('Master'!W267="","",'Master'!W267)</x:f>
        <x:v>Provider/deployment dependent</x:v>
      </x:c>
      <x:c r="W4" s="100" t="str">
        <x:f>IF('Master'!X267="","",'Master'!X267)</x:f>
      </x:c>
      <x:c r="X4" s="100" t="str">
        <x:f>IF('Master'!Y267="","",'Master'!Y267)</x:f>
        <x:v>Yes</x:v>
      </x:c>
      <x:c r="Y4" s="100" t="str">
        <x:f>IF('Master'!Z267="","",'Master'!Z267)</x:f>
        <x:v>Yes</x:v>
      </x:c>
      <x:c r="Z4" s="100" t="str">
        <x:f>IF('Master'!AA267="","",'Master'!AA267)</x:f>
      </x:c>
      <x:c r="AA4" s="104" t="str">
        <x:f>IF('Master'!AB267="","",'Master'!AB267)</x:f>
      </x:c>
      <x:c r="AB4" s="100" t="str">
        <x:f>IF('Master'!AC267="","",'Master'!AC267)</x:f>
      </x:c>
      <x:c r="AC4" s="100" t="str">
        <x:f>IF('Master'!AD267="","",'Master'!AD267)</x:f>
      </x:c>
      <x:c r="AD4" s="100" t="str">
        <x:f>IF('Master'!AE267="","",'Master'!AE267)</x:f>
        <x:v>Yes</x:v>
      </x:c>
      <x:c r="AE4" s="100" t="str">
        <x:f>IF('Master'!AF267="","",'Master'!AF267)</x:f>
      </x:c>
      <x:c r="AF4" s="75" t="str">
        <x:f>IF('Master'!AG267="","",'Master'!AG267)</x:f>
        <x:v>External provider</x:v>
      </x:c>
    </x:row>
    <x:row r="5" ht="36" customHeight="1">
      <x:c r="A5" s="135" t="str">
        <x:v>Group Calls</x:v>
      </x:c>
      <x:c r="B5" s="100" t="str">
        <x:f>IF('Master'!C268="","",'Master'!C268)</x:f>
        <x:v>Yes</x:v>
      </x:c>
      <x:c r="C5" s="100" t="str">
        <x:f>IF('Master'!D268="","",'Master'!D268)</x:f>
      </x:c>
      <x:c r="D5" s="100" t="str">
        <x:f>IF('Master'!E268="","",'Master'!E268)</x:f>
      </x:c>
      <x:c r="E5" s="100" t="str">
        <x:f>IF('Master'!F268="","",'Master'!F268)</x:f>
        <x:v>Yes</x:v>
      </x:c>
      <x:c r="F5" s="100" t="str">
        <x:f>IF('Master'!G268="","",'Master'!G268)</x:f>
        <x:v>Yes</x:v>
      </x:c>
      <x:c r="G5" s="100" t="str">
        <x:f>IF('Master'!H268="","",'Master'!H268)</x:f>
        <x:v>Yes</x:v>
      </x:c>
      <x:c r="H5" s="100" t="str">
        <x:f>IF('Master'!I268="","",'Master'!I268)</x:f>
      </x:c>
      <x:c r="I5" s="100" t="str">
        <x:f>IF('Master'!J268="","",'Master'!J268)</x:f>
      </x:c>
      <x:c r="J5" s="100" t="str">
        <x:f>IF('Master'!K268="","",'Master'!K268)</x:f>
      </x:c>
      <x:c r="K5" s="100" t="str">
        <x:f>IF('Master'!L268="","",'Master'!L268)</x:f>
        <x:v>Yes</x:v>
      </x:c>
      <x:c r="L5" s="100" t="str">
        <x:f>IF('Master'!M268="","",'Master'!M268)</x:f>
      </x:c>
      <x:c r="M5" s="100" t="str">
        <x:f>IF('Master'!N268="","",'Master'!N268)</x:f>
        <x:v>Yes</x:v>
      </x:c>
      <x:c r="N5" s="100" t="str">
        <x:f>IF('Master'!O268="","",'Master'!O268)</x:f>
        <x:v>Client-dependent</x:v>
      </x:c>
      <x:c r="O5" s="100" t="str">
        <x:f>IF('Master'!P268="","",'Master'!P268)</x:f>
        <x:v>Yes</x:v>
      </x:c>
      <x:c r="P5" s="100" t="str">
        <x:f>IF('Master'!Q268="","",'Master'!Q268)</x:f>
        <x:v>Yes</x:v>
      </x:c>
      <x:c r="Q5" s="100" t="str">
        <x:f>IF('Master'!R268="","",'Master'!R268)</x:f>
        <x:v>No group call model separate from channels</x:v>
      </x:c>
      <x:c r="R5" s="100" t="str">
        <x:f>IF('Master'!S268="","",'Master'!S268)</x:f>
      </x:c>
      <x:c r="S5" s="100" t="str">
        <x:f>IF('Master'!T268="","",'Master'!T268)</x:f>
      </x:c>
      <x:c r="T5" s="100" t="str">
        <x:f>IF('Master'!U268="","",'Master'!U268)</x:f>
        <x:v>Yes</x:v>
      </x:c>
      <x:c r="U5" s="100" t="str">
        <x:f>IF('Master'!V268="","",'Master'!V268)</x:f>
        <x:v>No</x:v>
      </x:c>
      <x:c r="V5" s="100" t="str">
        <x:f>IF('Master'!W268="","",'Master'!W268)</x:f>
        <x:v>Provider/deployment dependent</x:v>
      </x:c>
      <x:c r="W5" s="100" t="str">
        <x:f>IF('Master'!X268="","",'Master'!X268)</x:f>
      </x:c>
      <x:c r="X5" s="100" t="str">
        <x:f>IF('Master'!Y268="","",'Master'!Y268)</x:f>
        <x:v>Yes</x:v>
      </x:c>
      <x:c r="Y5" s="100" t="str">
        <x:f>IF('Master'!Z268="","",'Master'!Z268)</x:f>
        <x:v>Yes</x:v>
      </x:c>
      <x:c r="Z5" s="100" t="str">
        <x:f>IF('Master'!AA268="","",'Master'!AA268)</x:f>
      </x:c>
      <x:c r="AA5" s="104" t="str">
        <x:f>IF('Master'!AB268="","",'Master'!AB268)</x:f>
      </x:c>
      <x:c r="AB5" s="100" t="str">
        <x:f>IF('Master'!AC268="","",'Master'!AC268)</x:f>
      </x:c>
      <x:c r="AC5" s="100" t="str">
        <x:f>IF('Master'!AD268="","",'Master'!AD268)</x:f>
      </x:c>
      <x:c r="AD5" s="100" t="str">
        <x:f>IF('Master'!AE268="","",'Master'!AE268)</x:f>
        <x:v>Yes</x:v>
      </x:c>
      <x:c r="AE5" s="100" t="str">
        <x:f>IF('Master'!AF268="","",'Master'!AF268)</x:f>
      </x:c>
      <x:c r="AF5" s="75" t="str">
        <x:f>IF('Master'!AG268="","",'Master'!AG268)</x:f>
        <x:v>External provider</x:v>
      </x:c>
    </x:row>
    <x:row r="6" ht="36" customHeight="1">
      <x:c r="A6" s="135" t="str">
        <x:v>Media Backend / SFU</x:v>
      </x:c>
      <x:c r="B6" s="100" t="str">
        <x:f>IF('Master'!C269="","",'Master'!C269)</x:f>
        <x:v>Discord media infrastructure / DAVE</x:v>
      </x:c>
      <x:c r="C6" s="100" t="str">
        <x:f>IF('Master'!D269="","",'Master'!D269)</x:f>
      </x:c>
      <x:c r="D6" s="100" t="str">
        <x:f>IF('Master'!E269="","",'Master'!E269)</x:f>
        <x:v>LiveKit</x:v>
      </x:c>
      <x:c r="E6" s="100" t="str">
        <x:f>IF('Master'!F269="","",'Master'!F269)</x:f>
        <x:v>LiveKit</x:v>
      </x:c>
      <x:c r="F6" s="100" t="str">
        <x:f>IF('Master'!G269="","",'Master'!G269)</x:f>
        <x:v>LiveKit</x:v>
      </x:c>
      <x:c r="G6" s="100" t="str">
        <x:f>IF('Master'!H269="","",'Master'!H269)</x:f>
        <x:v>LiveKit + Fluxer media stack</x:v>
      </x:c>
      <x:c r="H6" s="100" t="str">
        <x:f>IF('Master'!I269="","",'Master'!I269)</x:f>
        <x:v>GameVox media stack</x:v>
      </x:c>
      <x:c r="I6" s="100" t="str">
        <x:f>IF('Master'!J269="","",'Master'!J269)</x:f>
        <x:v>LiveKit</x:v>
      </x:c>
      <x:c r="J6" s="100" t="str">
        <x:f>IF('Master'!K269="","",'Master'!K269)</x:f>
        <x:v>P2P WebRTC + TURN fallback</x:v>
      </x:c>
      <x:c r="K6" s="100" t="str">
        <x:f>IF('Master'!L269="","",'Master'!L269)</x:f>
        <x:v>LiveKit</x:v>
      </x:c>
      <x:c r="L6" s="100" t="str">
        <x:f>IF('Master'!M269="","",'Master'!M269)</x:f>
      </x:c>
      <x:c r="M6" s="100" t="str">
        <x:f>IF('Master'!N269="","",'Master'!N269)</x:f>
        <x:v>LiveKit</x:v>
      </x:c>
      <x:c r="N6" s="100" t="str">
        <x:f>IF('Master'!O269="","",'Master'!O269)</x:f>
        <x:v>MatrixRTC + deployment SFU(s), or legacy/provider integrations</x:v>
      </x:c>
      <x:c r="O6" s="100" t="str">
        <x:f>IF('Master'!P269="","",'Master'!P269)</x:f>
        <x:v>Mattermost Calls WebRTC/SFU</x:v>
      </x:c>
      <x:c r="P6" s="100" t="str">
        <x:f>IF('Master'!Q269="","",'Master'!Q269)</x:f>
        <x:v>Custom WebRTC SFU</x:v>
      </x:c>
      <x:c r="Q6" s="100" t="str">
        <x:f>IF('Master'!R269="","",'Master'!R269)</x:f>
        <x:v>Mumble server mixes/routes voice</x:v>
      </x:c>
      <x:c r="R6" s="100" t="str">
        <x:f>IF('Master'!S269="","",'Master'!S269)</x:f>
      </x:c>
      <x:c r="S6" s="100" t="str">
        <x:f>IF('Master'!T269="","",'Master'!T269)</x:f>
        <x:v>Custom media infrastructure</x:v>
      </x:c>
      <x:c r="T6" s="100" t="str">
        <x:f>IF('Master'!U269="","",'Master'!U269)</x:f>
        <x:v>Small rooms/DM calls may be P2P; listed/larger hosted rooms use LiveKit</x:v>
      </x:c>
      <x:c r="U6" s="100" t="str">
        <x:f>IF('Master'!V269="","",'Master'!V269)</x:f>
      </x:c>
      <x:c r="V6" s="100" t="str">
        <x:f>IF('Master'!W269="","",'Master'!W269)</x:f>
        <x:v>Deployment/integration dependent</x:v>
      </x:c>
      <x:c r="W6" s="100" t="str">
        <x:f>IF('Master'!X269="","",'Master'!X269)</x:f>
        <x:v>N/A</x:v>
      </x:c>
      <x:c r="X6" s="100" t="str">
        <x:f>IF('Master'!Y269="","",'Master'!Y269)</x:f>
      </x:c>
      <x:c r="Y6" s="100" t="str">
        <x:f>IF('Master'!Z269="","",'Master'!Z269)</x:f>
        <x:v>Optional Pion/Medooze/Mediasoup WebRTC implementations</x:v>
      </x:c>
      <x:c r="Z6" s="100" t="str">
        <x:f>IF('Master'!AA269="","",'Master'!AA269)</x:f>
        <x:v>LiveKit</x:v>
      </x:c>
      <x:c r="AA6" s="104" t="str">
        <x:f>IF('Master'!AB269="","",'Master'!AB269)</x:f>
        <x:v>TeamSpeak media server</x:v>
      </x:c>
      <x:c r="AB6" s="100" t="str">
        <x:f>IF('Master'!AC269="","",'Master'!AC269)</x:f>
        <x:v>LiveKit</x:v>
      </x:c>
      <x:c r="AC6" s="100" t="str">
        <x:f>IF('Master'!AD269="","",'Master'!AD269)</x:f>
      </x:c>
      <x:c r="AD6" s="100" t="str">
        <x:f>IF('Master'!AE269="","",'Master'!AE269)</x:f>
        <x:v>LiveKit</x:v>
      </x:c>
      <x:c r="AE6" s="100" t="str">
        <x:f>IF('Master'!AF269="","",'Master'!AF269)</x:f>
        <x:v>Self-host media</x:v>
      </x:c>
      <x:c r="AF6" s="75" t="str">
        <x:f>IF('Master'!AG269="","",'Master'!AG269)</x:f>
        <x:v>External integration/provider</x:v>
      </x:c>
    </x:row>
    <x:row r="7" ht="36" customHeight="1">
      <x:c r="A7" s="135" t="str">
        <x:v>Audio Codec</x:v>
      </x:c>
      <x:c r="B7" s="100" t="str">
        <x:f>IF('Master'!C196="","",'Master'!C196)</x:f>
        <x:v>Opus</x:v>
      </x:c>
      <x:c r="C7" s="100" t="str">
        <x:f>IF('Master'!D196="","",'Master'!D196)</x:f>
      </x:c>
      <x:c r="D7" s="100" t="str">
        <x:f>IF('Master'!E196="","",'Master'!E196)</x:f>
        <x:v>Opus</x:v>
      </x:c>
      <x:c r="E7" s="100" t="str">
        <x:f>IF('Master'!F196="","",'Master'!F196)</x:f>
        <x:v>Opus/WebRTC</x:v>
      </x:c>
      <x:c r="F7" s="100" t="str">
        <x:f>IF('Master'!G196="","",'Master'!G196)</x:f>
        <x:v>WebRTC/LiveKit</x:v>
      </x:c>
      <x:c r="G7" s="100" t="str">
        <x:f>IF('Master'!H196="","",'Master'!H196)</x:f>
        <x:v>WebRTC/LiveKit</x:v>
      </x:c>
      <x:c r="H7" s="100" t="str">
        <x:f>IF('Master'!I196="","",'Master'!I196)</x:f>
      </x:c>
      <x:c r="I7" s="100" t="str">
        <x:f>IF('Master'!J196="","",'Master'!J196)</x:f>
      </x:c>
      <x:c r="J7" s="100" t="str">
        <x:f>IF('Master'!K196="","",'Master'!K196)</x:f>
      </x:c>
      <x:c r="K7" s="100" t="str">
        <x:f>IF('Master'!L196="","",'Master'!L196)</x:f>
        <x:v>Opus</x:v>
      </x:c>
      <x:c r="L7" s="100" t="str">
        <x:f>IF('Master'!M196="","",'Master'!M196)</x:f>
      </x:c>
      <x:c r="M7" s="100" t="str">
        <x:f>IF('Master'!N196="","",'Master'!N196)</x:f>
        <x:v>Opus/WebRTC</x:v>
      </x:c>
      <x:c r="N7" s="100" t="str">
        <x:f>IF('Master'!O196="","",'Master'!O196)</x:f>
        <x:v>Opus commonly via WebRTC; protocol/client-dependent</x:v>
      </x:c>
      <x:c r="O7" s="100" t="str">
        <x:f>IF('Master'!P196="","",'Master'!P196)</x:f>
        <x:v>WebRTC/Opus</x:v>
      </x:c>
      <x:c r="P7" s="100" t="str">
        <x:f>IF('Master'!Q196="","",'Master'!Q196)</x:f>
        <x:v>Yes</x:v>
      </x:c>
      <x:c r="Q7" s="100" t="str">
        <x:f>IF('Master'!R196="","",'Master'!R196)</x:f>
        <x:v>Opus</x:v>
      </x:c>
      <x:c r="R7" s="100" t="str">
        <x:f>IF('Master'!S196="","",'Master'!S196)</x:f>
      </x:c>
      <x:c r="S7" s="100" t="str">
        <x:f>IF('Master'!T196="","",'Master'!T196)</x:f>
      </x:c>
      <x:c r="T7" s="100" t="str">
        <x:f>IF('Master'!U196="","",'Master'!U196)</x:f>
        <x:v>Not publicly claimed</x:v>
      </x:c>
      <x:c r="U7" s="100" t="str">
        <x:f>IF('Master'!V196="","",'Master'!V196)</x:f>
      </x:c>
      <x:c r="V7" s="100" t="str">
        <x:f>IF('Master'!W196="","",'Master'!W196)</x:f>
        <x:v>WebRTC/integration-dependent</x:v>
      </x:c>
      <x:c r="W7" s="100" t="str">
        <x:f>IF('Master'!X196="","",'Master'!X196)</x:f>
        <x:v>N/A</x:v>
      </x:c>
      <x:c r="X7" s="100" t="str">
        <x:f>IF('Master'!Y196="","",'Master'!Y196)</x:f>
      </x:c>
      <x:c r="Y7" s="100" t="str">
        <x:f>IF('Master'!Z196="","",'Master'!Z196)</x:f>
        <x:v>WebRTC; implementation-dependent codecs</x:v>
      </x:c>
      <x:c r="Z7" s="100" t="str">
        <x:f>IF('Master'!AA196="","",'Master'!AA196)</x:f>
        <x:v>Opus/WebRTC via LiveKit</x:v>
      </x:c>
      <x:c r="AA7" s="104" t="str">
        <x:f>IF('Master'!AB196="","",'Master'!AB196)</x:f>
        <x:v>Opus / proprietary stack depending generation</x:v>
      </x:c>
      <x:c r="AB7" s="100" t="str">
        <x:f>IF('Master'!AC196="","",'Master'!AC196)</x:f>
        <x:v>Opus/WebRTC</x:v>
      </x:c>
      <x:c r="AC7" s="100" t="str">
        <x:f>IF('Master'!AD196="","",'Master'!AD196)</x:f>
      </x:c>
      <x:c r="AD7" s="100" t="str">
        <x:f>IF('Master'!AE196="","",'Master'!AE196)</x:f>
        <x:v>Opus/WebRTC</x:v>
      </x:c>
      <x:c r="AE7" s="100" t="str">
        <x:f>IF('Master'!AF196="","",'Master'!AF196)</x:f>
      </x:c>
      <x:c r="AF7" s="75" t="str">
        <x:f>IF('Master'!AG196="","",'Master'!AG196)</x:f>
        <x:v>Provider-dependent</x:v>
      </x:c>
    </x:row>
    <x:row r="8" ht="36" customHeight="1">
      <x:c r="A8" s="135" t="str">
        <x:v>Free / Base Audio Bitrate</x:v>
      </x:c>
      <x:c r="B8" s="100" t="str">
        <x:f>IF('Master'!C270="","",'Master'!C270)</x:f>
        <x:v>96 kbps base server voice</x:v>
      </x:c>
      <x:c r="C8" s="100" t="str">
        <x:f>IF('Master'!D270="","",'Master'!D270)</x:f>
      </x:c>
      <x:c r="D8" s="100" t="str">
        <x:f>IF('Master'!E270="","",'Master'!E270)</x:f>
      </x:c>
      <x:c r="E8" s="100" t="str">
        <x:f>IF('Master'!F270="","",'Master'!F270)</x:f>
      </x:c>
      <x:c r="F8" s="100" t="str">
        <x:f>IF('Master'!G270="","",'Master'!G270)</x:f>
      </x:c>
      <x:c r="G8" s="100" t="str">
        <x:f>IF('Master'!H270="","",'Master'!H270)</x:f>
      </x:c>
      <x:c r="H8" s="100" t="str">
        <x:f>IF('Master'!I270="","",'Master'!I270)</x:f>
      </x:c>
      <x:c r="I8" s="100" t="str">
        <x:f>IF('Master'!J270="","",'Master'!J270)</x:f>
      </x:c>
      <x:c r="J8" s="100" t="str">
        <x:f>IF('Master'!K270="","",'Master'!K270)</x:f>
      </x:c>
      <x:c r="K8" s="100" t="str">
        <x:f>IF('Master'!L270="","",'Master'!L270)</x:f>
        <x:v>24 / 48 / 96 / 128 kbps selectable Opus ceilings</x:v>
      </x:c>
      <x:c r="L8" s="100" t="str">
        <x:f>IF('Master'!M270="","",'Master'!M270)</x:f>
      </x:c>
      <x:c r="M8" s="100" t="str">
        <x:f>IF('Master'!N270="","",'Master'!N270)</x:f>
      </x:c>
      <x:c r="N8" s="100" t="str">
        <x:f>IF('Master'!O270="","",'Master'!O270)</x:f>
        <x:v>Client/provider-dependent</x:v>
      </x:c>
      <x:c r="O8" s="100" t="str">
        <x:f>IF('Master'!P270="","",'Master'!P270)</x:f>
      </x:c>
      <x:c r="P8" s="100" t="str">
        <x:f>IF('Master'!Q270="","",'Master'!Q270)</x:f>
      </x:c>
      <x:c r="Q8" s="100" t="str">
        <x:f>IF('Master'!R270="","",'Master'!R270)</x:f>
        <x:v>Server configured</x:v>
      </x:c>
      <x:c r="R8" s="100" t="str">
        <x:f>IF('Master'!S270="","",'Master'!S270)</x:f>
      </x:c>
      <x:c r="S8" s="100" t="str">
        <x:f>IF('Master'!T270="","",'Master'!T270)</x:f>
      </x:c>
      <x:c r="T8" s="100" t="str">
        <x:f>IF('Master'!U270="","",'Master'!U270)</x:f>
        <x:v>Not publicly claimed</x:v>
      </x:c>
      <x:c r="U8" s="100" t="str">
        <x:f>IF('Master'!V270="","",'Master'!V270)</x:f>
        <x:v>96 kbps</x:v>
      </x:c>
      <x:c r="V8" s="100" t="str">
        <x:f>IF('Master'!W270="","",'Master'!W270)</x:f>
      </x:c>
      <x:c r="W8" s="100" t="str">
        <x:f>IF('Master'!X270="","",'Master'!X270)</x:f>
        <x:v>N/A</x:v>
      </x:c>
      <x:c r="X8" s="100" t="str">
        <x:f>IF('Master'!Y270="","",'Master'!Y270)</x:f>
      </x:c>
      <x:c r="Y8" s="100" t="str">
        <x:f>IF('Master'!Z270="","",'Master'!Z270)</x:f>
      </x:c>
      <x:c r="Z8" s="100" t="str">
        <x:f>IF('Master'!AA270="","",'Master'!AA270)</x:f>
      </x:c>
      <x:c r="AA8" s="104" t="str">
        <x:f>IF('Master'!AB270="","",'Master'!AB270)</x:f>
      </x:c>
      <x:c r="AB8" s="100" t="str">
        <x:f>IF('Master'!AC270="","",'Master'!AC270)</x:f>
      </x:c>
      <x:c r="AC8" s="100" t="str">
        <x:f>IF('Master'!AD270="","",'Master'!AD270)</x:f>
      </x:c>
      <x:c r="AD8" s="100" t="str">
        <x:f>IF('Master'!AE270="","",'Master'!AE270)</x:f>
      </x:c>
      <x:c r="AE8" s="100" t="str">
        <x:f>IF('Master'!AF270="","",'Master'!AF270)</x:f>
      </x:c>
      <x:c r="AF8" s="75" t="str">
        <x:f>IF('Master'!AG270="","",'Master'!AG270)</x:f>
        <x:v>Provider-dependent</x:v>
      </x:c>
    </x:row>
    <x:row r="9" ht="36" customHeight="1">
      <x:c r="A9" s="135" t="str">
        <x:v>Maximum Audio Bitrate</x:v>
      </x:c>
      <x:c r="B9" s="100" t="str">
        <x:f>IF('Master'!C271="","",'Master'!C271)</x:f>
        <x:v>384 kbps boosted</x:v>
      </x:c>
      <x:c r="C9" s="100" t="str">
        <x:f>IF('Master'!D271="","",'Master'!D271)</x:f>
      </x:c>
      <x:c r="D9" s="100" t="str">
        <x:f>IF('Master'!E271="","",'Master'!E271)</x:f>
        <x:v>Configurable up to very high</x:v>
      </x:c>
      <x:c r="E9" s="100" t="str">
        <x:f>IF('Master'!F271="","",'Master'!F271)</x:f>
      </x:c>
      <x:c r="F9" s="100" t="str">
        <x:f>IF('Master'!G271="","",'Master'!G271)</x:f>
      </x:c>
      <x:c r="G9" s="100" t="str">
        <x:f>IF('Master'!H271="","",'Master'!H271)</x:f>
      </x:c>
      <x:c r="H9" s="100" t="str">
        <x:f>IF('Master'!I271="","",'Master'!I271)</x:f>
      </x:c>
      <x:c r="I9" s="100" t="str">
        <x:f>IF('Master'!J271="","",'Master'!J271)</x:f>
      </x:c>
      <x:c r="J9" s="100" t="str">
        <x:f>IF('Master'!K271="","",'Master'!K271)</x:f>
      </x:c>
      <x:c r="K9" s="100" t="str">
        <x:f>IF('Master'!L271="","",'Master'!L271)</x:f>
        <x:v>128 kbps</x:v>
      </x:c>
      <x:c r="L9" s="100" t="str">
        <x:f>IF('Master'!M271="","",'Master'!M271)</x:f>
      </x:c>
      <x:c r="M9" s="100" t="str">
        <x:f>IF('Master'!N271="","",'Master'!N271)</x:f>
      </x:c>
      <x:c r="N9" s="100" t="str">
        <x:f>IF('Master'!O271="","",'Master'!O271)</x:f>
        <x:v>Client/provider-dependent</x:v>
      </x:c>
      <x:c r="O9" s="100" t="str">
        <x:f>IF('Master'!P271="","",'Master'!P271)</x:f>
      </x:c>
      <x:c r="P9" s="100" t="str">
        <x:f>IF('Master'!Q271="","",'Master'!Q271)</x:f>
      </x:c>
      <x:c r="Q9" s="100" t="str">
        <x:f>IF('Master'!R271="","",'Master'!R271)</x:f>
        <x:v>Server configured</x:v>
      </x:c>
      <x:c r="R9" s="100" t="str">
        <x:f>IF('Master'!S271="","",'Master'!S271)</x:f>
      </x:c>
      <x:c r="S9" s="100" t="str">
        <x:f>IF('Master'!T271="","",'Master'!T271)</x:f>
      </x:c>
      <x:c r="T9" s="100" t="str">
        <x:f>IF('Master'!U271="","",'Master'!U271)</x:f>
        <x:v>Not publicly claimed</x:v>
      </x:c>
      <x:c r="U9" s="100" t="str">
        <x:f>IF('Master'!V271="","",'Master'!V271)</x:f>
        <x:v>192 kbps (Forge Shard)</x:v>
      </x:c>
      <x:c r="V9" s="100" t="str">
        <x:f>IF('Master'!W271="","",'Master'!W271)</x:f>
      </x:c>
      <x:c r="W9" s="100" t="str">
        <x:f>IF('Master'!X271="","",'Master'!X271)</x:f>
        <x:v>N/A</x:v>
      </x:c>
      <x:c r="X9" s="100" t="str">
        <x:f>IF('Master'!Y271="","",'Master'!Y271)</x:f>
      </x:c>
      <x:c r="Y9" s="100" t="str">
        <x:f>IF('Master'!Z271="","",'Master'!Z271)</x:f>
      </x:c>
      <x:c r="Z9" s="100" t="str">
        <x:f>IF('Master'!AA271="","",'Master'!AA271)</x:f>
      </x:c>
      <x:c r="AA9" s="104" t="str">
        <x:f>IF('Master'!AB271="","",'Master'!AB271)</x:f>
      </x:c>
      <x:c r="AB9" s="100" t="str">
        <x:f>IF('Master'!AC271="","",'Master'!AC271)</x:f>
      </x:c>
      <x:c r="AC9" s="100" t="str">
        <x:f>IF('Master'!AD271="","",'Master'!AD271)</x:f>
      </x:c>
      <x:c r="AD9" s="100" t="str">
        <x:f>IF('Master'!AE271="","",'Master'!AE271)</x:f>
      </x:c>
      <x:c r="AE9" s="100" t="str">
        <x:f>IF('Master'!AF271="","",'Master'!AF271)</x:f>
      </x:c>
      <x:c r="AF9" s="75" t="str">
        <x:f>IF('Master'!AG271="","",'Master'!AG271)</x:f>
        <x:v>Provider-dependent</x:v>
      </x:c>
    </x:row>
    <x:row r="10" ht="36" customHeight="1">
      <x:c r="A10" s="135" t="str">
        <x:v>Push-to-Talk</x:v>
      </x:c>
      <x:c r="B10" s="100" t="str">
        <x:f>IF('Master'!C272="","",'Master'!C272)</x:f>
        <x:v>Yes</x:v>
      </x:c>
      <x:c r="C10" s="100" t="str">
        <x:f>IF('Master'!D272="","",'Master'!D272)</x:f>
      </x:c>
      <x:c r="D10" s="100" t="str">
        <x:f>IF('Master'!E272="","",'Master'!E272)</x:f>
      </x:c>
      <x:c r="E10" s="100" t="str">
        <x:f>IF('Master'!F272="","",'Master'!F272)</x:f>
      </x:c>
      <x:c r="F10" s="100" t="str">
        <x:f>IF('Master'!G272="","",'Master'!G272)</x:f>
        <x:v>Yes</x:v>
      </x:c>
      <x:c r="G10" s="100" t="str">
        <x:f>IF('Master'!H272="","",'Master'!H272)</x:f>
        <x:v>Yes</x:v>
      </x:c>
      <x:c r="H10" s="100" t="str">
        <x:f>IF('Master'!I272="","",'Master'!I272)</x:f>
        <x:v>Yes</x:v>
      </x:c>
      <x:c r="I10" s="100" t="str">
        <x:f>IF('Master'!J272="","",'Master'!J272)</x:f>
      </x:c>
      <x:c r="J10" s="100" t="str">
        <x:f>IF('Master'!K272="","",'Master'!K272)</x:f>
      </x:c>
      <x:c r="K10" s="100" t="str">
        <x:f>IF('Master'!L272="","",'Master'!L272)</x:f>
        <x:v>Yes</x:v>
      </x:c>
      <x:c r="L10" s="100" t="str">
        <x:f>IF('Master'!M272="","",'Master'!M272)</x:f>
      </x:c>
      <x:c r="M10" s="100" t="str">
        <x:f>IF('Master'!N272="","",'Master'!N272)</x:f>
        <x:v>Yes</x:v>
      </x:c>
      <x:c r="N10" s="100" t="str">
        <x:f>IF('Master'!O272="","",'Master'!O272)</x:f>
        <x:v>Client-dependent</x:v>
      </x:c>
      <x:c r="O10" s="100" t="str">
        <x:f>IF('Master'!P272="","",'Master'!P272)</x:f>
      </x:c>
      <x:c r="P10" s="100" t="str">
        <x:f>IF('Master'!Q272="","",'Master'!Q272)</x:f>
      </x:c>
      <x:c r="Q10" s="100" t="str">
        <x:f>IF('Master'!R272="","",'Master'!R272)</x:f>
        <x:v>Yes</x:v>
      </x:c>
      <x:c r="R10" s="100" t="str">
        <x:f>IF('Master'!S272="","",'Master'!S272)</x:f>
      </x:c>
      <x:c r="S10" s="100" t="str">
        <x:f>IF('Master'!T272="","",'Master'!T272)</x:f>
      </x:c>
      <x:c r="T10" s="100" t="str">
        <x:f>IF('Master'!U272="","",'Master'!U272)</x:f>
        <x:v>Yes</x:v>
      </x:c>
      <x:c r="U10" s="100" t="str">
        <x:f>IF('Master'!V272="","",'Master'!V272)</x:f>
        <x:v>Yes</x:v>
      </x:c>
      <x:c r="V10" s="100" t="str">
        <x:f>IF('Master'!W272="","",'Master'!W272)</x:f>
      </x:c>
      <x:c r="W10" s="100" t="str">
        <x:f>IF('Master'!X272="","",'Master'!X272)</x:f>
        <x:v>N/A</x:v>
      </x:c>
      <x:c r="X10" s="100" t="str">
        <x:f>IF('Master'!Y272="","",'Master'!Y272)</x:f>
        <x:v>Yes</x:v>
      </x:c>
      <x:c r="Y10" s="100" t="str">
        <x:f>IF('Master'!Z272="","",'Master'!Z272)</x:f>
        <x:v>Client-dependent</x:v>
      </x:c>
      <x:c r="Z10" s="100" t="str">
        <x:f>IF('Master'!AA272="","",'Master'!AA272)</x:f>
        <x:v>Yes</x:v>
      </x:c>
      <x:c r="AA10" s="104" t="str">
        <x:f>IF('Master'!AB272="","",'Master'!AB272)</x:f>
        <x:v>Yes</x:v>
      </x:c>
      <x:c r="AB10" s="100" t="str">
        <x:f>IF('Master'!AC272="","",'Master'!AC272)</x:f>
      </x:c>
      <x:c r="AC10" s="100" t="str">
        <x:f>IF('Master'!AD272="","",'Master'!AD272)</x:f>
      </x:c>
      <x:c r="AD10" s="100" t="str">
        <x:f>IF('Master'!AE272="","",'Master'!AE272)</x:f>
        <x:v>Yes</x:v>
      </x:c>
      <x:c r="AE10" s="100" t="str">
        <x:f>IF('Master'!AF272="","",'Master'!AF272)</x:f>
      </x:c>
      <x:c r="AF10" s="75" t="str">
        <x:f>IF('Master'!AG272="","",'Master'!AG272)</x:f>
        <x:v>Provider-dependent</x:v>
      </x:c>
    </x:row>
    <x:row r="11" ht="36" customHeight="1">
      <x:c r="A11" s="135" t="str">
        <x:v>Per-User Volume</x:v>
      </x:c>
      <x:c r="B11" s="100" t="str">
        <x:f>IF('Master'!C273="","",'Master'!C273)</x:f>
        <x:v>Yes</x:v>
      </x:c>
      <x:c r="C11" s="100" t="str">
        <x:f>IF('Master'!D273="","",'Master'!D273)</x:f>
      </x:c>
      <x:c r="D11" s="100" t="str">
        <x:f>IF('Master'!E273="","",'Master'!E273)</x:f>
      </x:c>
      <x:c r="E11" s="100" t="str">
        <x:f>IF('Master'!F273="","",'Master'!F273)</x:f>
      </x:c>
      <x:c r="F11" s="100" t="str">
        <x:f>IF('Master'!G273="","",'Master'!G273)</x:f>
        <x:v>Yes</x:v>
      </x:c>
      <x:c r="G11" s="100" t="str">
        <x:f>IF('Master'!H273="","",'Master'!H273)</x:f>
        <x:v>Yes</x:v>
      </x:c>
      <x:c r="H11" s="100" t="str">
        <x:f>IF('Master'!I273="","",'Master'!I273)</x:f>
        <x:v>Yes</x:v>
      </x:c>
      <x:c r="I11" s="100" t="str">
        <x:f>IF('Master'!J273="","",'Master'!J273)</x:f>
      </x:c>
      <x:c r="J11" s="100" t="str">
        <x:f>IF('Master'!K273="","",'Master'!K273)</x:f>
      </x:c>
      <x:c r="K11" s="100" t="str">
        <x:f>IF('Master'!L273="","",'Master'!L273)</x:f>
      </x:c>
      <x:c r="L11" s="100" t="str">
        <x:f>IF('Master'!M273="","",'Master'!M273)</x:f>
      </x:c>
      <x:c r="M11" s="100" t="str">
        <x:f>IF('Master'!N273="","",'Master'!N273)</x:f>
        <x:v>Yes</x:v>
      </x:c>
      <x:c r="N11" s="100" t="str">
        <x:f>IF('Master'!O273="","",'Master'!O273)</x:f>
        <x:v>Client-dependent</x:v>
      </x:c>
      <x:c r="O11" s="100" t="str">
        <x:f>IF('Master'!P273="","",'Master'!P273)</x:f>
        <x:v>Yes</x:v>
      </x:c>
      <x:c r="P11" s="100" t="str">
        <x:f>IF('Master'!Q273="","",'Master'!Q273)</x:f>
      </x:c>
      <x:c r="Q11" s="100" t="str">
        <x:f>IF('Master'!R273="","",'Master'!R273)</x:f>
        <x:v>Yes</x:v>
      </x:c>
      <x:c r="R11" s="100" t="str">
        <x:f>IF('Master'!S273="","",'Master'!S273)</x:f>
      </x:c>
      <x:c r="S11" s="100" t="str">
        <x:f>IF('Master'!T273="","",'Master'!T273)</x:f>
      </x:c>
      <x:c r="T11" s="100" t="str">
        <x:f>IF('Master'!U273="","",'Master'!U273)</x:f>
        <x:v>Yes</x:v>
      </x:c>
      <x:c r="U11" s="100" t="str">
        <x:f>IF('Master'!V273="","",'Master'!V273)</x:f>
        <x:v>Yes</x:v>
      </x:c>
      <x:c r="V11" s="100" t="str">
        <x:f>IF('Master'!W273="","",'Master'!W273)</x:f>
      </x:c>
      <x:c r="W11" s="100" t="str">
        <x:f>IF('Master'!X273="","",'Master'!X273)</x:f>
        <x:v>N/A</x:v>
      </x:c>
      <x:c r="X11" s="100" t="str">
        <x:f>IF('Master'!Y273="","",'Master'!Y273)</x:f>
        <x:v>Yes</x:v>
      </x:c>
      <x:c r="Y11" s="100" t="str">
        <x:f>IF('Master'!Z273="","",'Master'!Z273)</x:f>
        <x:v>Client-dependent</x:v>
      </x:c>
      <x:c r="Z11" s="100" t="str">
        <x:f>IF('Master'!AA273="","",'Master'!AA273)</x:f>
        <x:v>Yes</x:v>
      </x:c>
      <x:c r="AA11" s="104" t="str">
        <x:f>IF('Master'!AB273="","",'Master'!AB273)</x:f>
        <x:v>Yes</x:v>
      </x:c>
      <x:c r="AB11" s="100" t="str">
        <x:f>IF('Master'!AC273="","",'Master'!AC273)</x:f>
      </x:c>
      <x:c r="AC11" s="100" t="str">
        <x:f>IF('Master'!AD273="","",'Master'!AD273)</x:f>
      </x:c>
      <x:c r="AD11" s="100" t="str">
        <x:f>IF('Master'!AE273="","",'Master'!AE273)</x:f>
      </x:c>
      <x:c r="AE11" s="100" t="str">
        <x:f>IF('Master'!AF273="","",'Master'!AF273)</x:f>
      </x:c>
      <x:c r="AF11" s="75" t="str">
        <x:f>IF('Master'!AG273="","",'Master'!AG273)</x:f>
        <x:v>Provider-dependent</x:v>
      </x:c>
    </x:row>
    <x:row r="12" ht="36" customHeight="1">
      <x:c r="A12" s="135" t="str">
        <x:v>Noise Suppression</x:v>
      </x:c>
      <x:c r="B12" s="100" t="str">
        <x:f>IF('Master'!C274="","",'Master'!C274)</x:f>
        <x:v>Krisp</x:v>
      </x:c>
      <x:c r="C12" s="100" t="str">
        <x:f>IF('Master'!D274="","",'Master'!D274)</x:f>
      </x:c>
      <x:c r="D12" s="100" t="str">
        <x:f>IF('Master'!E274="","",'Master'!E274)</x:f>
        <x:v>Noise/echo cancellation</x:v>
      </x:c>
      <x:c r="E12" s="100" t="str">
        <x:f>IF('Master'!F274="","",'Master'!F274)</x:f>
        <x:v>Echo cancellation/noise suppression/auto gain</x:v>
      </x:c>
      <x:c r="F12" s="100" t="str">
        <x:f>IF('Master'!G274="","",'Master'!G274)</x:f>
        <x:v>DeepFilterNet3/local processing</x:v>
      </x:c>
      <x:c r="G12" s="100" t="str">
        <x:f>IF('Master'!H274="","",'Master'!H274)</x:f>
        <x:v>DeepFilterNet3</x:v>
      </x:c>
      <x:c r="H12" s="100" t="str">
        <x:f>IF('Master'!I274="","",'Master'!I274)</x:f>
        <x:v>Built-in processing</x:v>
      </x:c>
      <x:c r="I12" s="100" t="str">
        <x:f>IF('Master'!J274="","",'Master'!J274)</x:f>
      </x:c>
      <x:c r="J12" s="100" t="str">
        <x:f>IF('Master'!K274="","",'Master'!K274)</x:f>
      </x:c>
      <x:c r="K12" s="100" t="str">
        <x:f>IF('Master'!L274="","",'Master'!L274)</x:f>
        <x:v>Yes — desktop/mobile; web suppression unavailable per developer report</x:v>
      </x:c>
      <x:c r="L12" s="100" t="str">
        <x:f>IF('Master'!M274="","",'Master'!M274)</x:f>
      </x:c>
      <x:c r="M12" s="100" t="str">
        <x:f>IF('Master'!N274="","",'Master'!N274)</x:f>
        <x:v>Noise suppression</x:v>
      </x:c>
      <x:c r="N12" s="100" t="str">
        <x:f>IF('Master'!O274="","",'Master'!O274)</x:f>
        <x:v>Client-dependent</x:v>
      </x:c>
      <x:c r="O12" s="100" t="str">
        <x:f>IF('Master'!P274="","",'Master'!P274)</x:f>
        <x:v>WebRTC processing</x:v>
      </x:c>
      <x:c r="P12" s="100" t="str">
        <x:f>IF('Master'!Q274="","",'Master'!Q274)</x:f>
      </x:c>
      <x:c r="Q12" s="100" t="str">
        <x:f>IF('Master'!R274="","",'Master'!R274)</x:f>
        <x:v>Built-in processing</x:v>
      </x:c>
      <x:c r="R12" s="100" t="str">
        <x:f>IF('Master'!S274="","",'Master'!S274)</x:f>
      </x:c>
      <x:c r="S12" s="100" t="str">
        <x:f>IF('Master'!T274="","",'Master'!T274)</x:f>
      </x:c>
      <x:c r="T12" s="100" t="str">
        <x:f>IF('Master'!U274="","",'Master'!U274)</x:f>
        <x:v>No branded/public engine claim</x:v>
      </x:c>
      <x:c r="U12" s="100" t="str">
        <x:f>IF('Master'!V274="","",'Master'!V274)</x:f>
        <x:v>Yes</x:v>
      </x:c>
      <x:c r="V12" s="100" t="str">
        <x:f>IF('Master'!W274="","",'Master'!W274)</x:f>
        <x:v>Provider-dependent</x:v>
      </x:c>
      <x:c r="W12" s="100" t="str">
        <x:f>IF('Master'!X274="","",'Master'!X274)</x:f>
        <x:v>N/A</x:v>
      </x:c>
      <x:c r="X12" s="100" t="str">
        <x:f>IF('Master'!Y274="","",'Master'!Y274)</x:f>
      </x:c>
      <x:c r="Y12" s="100" t="str">
        <x:f>IF('Master'!Z274="","",'Master'!Z274)</x:f>
      </x:c>
      <x:c r="Z12" s="100" t="str">
        <x:f>IF('Master'!AA274="","",'Master'!AA274)</x:f>
        <x:v>RNNoise</x:v>
      </x:c>
      <x:c r="AA12" s="104" t="str">
        <x:f>IF('Master'!AB274="","",'Master'!AB274)</x:f>
        <x:v>Built-in</x:v>
      </x:c>
      <x:c r="AB12" s="100" t="str">
        <x:f>IF('Master'!AC274="","",'Master'!AC274)</x:f>
      </x:c>
      <x:c r="AC12" s="100" t="str">
        <x:f>IF('Master'!AD274="","",'Master'!AD274)</x:f>
      </x:c>
      <x:c r="AD12" s="100" t="str">
        <x:f>IF('Master'!AE274="","",'Master'!AE274)</x:f>
      </x:c>
      <x:c r="AE12" s="100" t="str">
        <x:f>IF('Master'!AF274="","",'Master'!AF274)</x:f>
      </x:c>
      <x:c r="AF12" s="75" t="str">
        <x:f>IF('Master'!AG274="","",'Master'!AG274)</x:f>
        <x:v>Provider-dependent</x:v>
      </x:c>
    </x:row>
    <x:row r="13" ht="36" customHeight="1">
      <x:c r="A13" s="135" t="str">
        <x:v>Spatial / Proximity Audio</x:v>
      </x:c>
      <x:c r="B13" s="100" t="str">
        <x:f>IF('Master'!C275="","",'Master'!C275)</x:f>
        <x:v>No native proximity</x:v>
      </x:c>
      <x:c r="C13" s="100" t="str">
        <x:f>IF('Master'!D275="","",'Master'!D275)</x:f>
        <x:v>No</x:v>
      </x:c>
      <x:c r="D13" s="100" t="str">
        <x:f>IF('Master'!E275="","",'Master'!E275)</x:f>
        <x:v>No</x:v>
      </x:c>
      <x:c r="E13" s="100" t="str">
        <x:f>IF('Master'!F275="","",'Master'!F275)</x:f>
        <x:v>No</x:v>
      </x:c>
      <x:c r="F13" s="100" t="str">
        <x:f>IF('Master'!G275="","",'Master'!G275)</x:f>
        <x:v>No</x:v>
      </x:c>
      <x:c r="G13" s="100" t="str">
        <x:f>IF('Master'!H275="","",'Master'!H275)</x:f>
        <x:v>No</x:v>
      </x:c>
      <x:c r="H13" s="100" t="str">
        <x:f>IF('Master'!I275="","",'Master'!I275)</x:f>
        <x:v>GameLink spatial audio</x:v>
      </x:c>
      <x:c r="I13" s="100" t="str">
        <x:f>IF('Master'!J275="","",'Master'!J275)</x:f>
        <x:v>No</x:v>
      </x:c>
      <x:c r="J13" s="100" t="str">
        <x:f>IF('Master'!K275="","",'Master'!K275)</x:f>
        <x:v>No</x:v>
      </x:c>
      <x:c r="K13" s="100" t="str">
        <x:f>IF('Master'!L275="","",'Master'!L275)</x:f>
      </x:c>
      <x:c r="L13" s="100" t="str">
        <x:f>IF('Master'!M275="","",'Master'!M275)</x:f>
        <x:v>No</x:v>
      </x:c>
      <x:c r="M13" s="100" t="str">
        <x:f>IF('Master'!N275="","",'Master'!N275)</x:f>
        <x:v>No</x:v>
      </x:c>
      <x:c r="N13" s="100" t="str">
        <x:f>IF('Master'!O275="","",'Master'!O275)</x:f>
        <x:v>Client-dependent</x:v>
      </x:c>
      <x:c r="O13" s="100" t="str">
        <x:f>IF('Master'!P275="","",'Master'!P275)</x:f>
        <x:v>No</x:v>
      </x:c>
      <x:c r="P13" s="100" t="str">
        <x:f>IF('Master'!Q275="","",'Master'!Q275)</x:f>
        <x:v>No</x:v>
      </x:c>
      <x:c r="Q13" s="100" t="str">
        <x:f>IF('Master'!R275="","",'Master'!R275)</x:f>
        <x:v>Yes — positional audio</x:v>
      </x:c>
      <x:c r="R13" s="100" t="str">
        <x:f>IF('Master'!S275="","",'Master'!S275)</x:f>
        <x:v>No</x:v>
      </x:c>
      <x:c r="S13" s="100" t="str">
        <x:f>IF('Master'!T275="","",'Master'!T275)</x:f>
        <x:v>No</x:v>
      </x:c>
      <x:c r="T13" s="100" t="str">
        <x:f>IF('Master'!U275="","",'Master'!U275)</x:f>
        <x:v>No</x:v>
      </x:c>
      <x:c r="U13" s="100" t="str">
        <x:f>IF('Master'!V275="","",'Master'!V275)</x:f>
        <x:v>No</x:v>
      </x:c>
      <x:c r="V13" s="100" t="str">
        <x:f>IF('Master'!W275="","",'Master'!W275)</x:f>
        <x:v>No</x:v>
      </x:c>
      <x:c r="W13" s="100" t="str">
        <x:f>IF('Master'!X275="","",'Master'!X275)</x:f>
        <x:v>N/A</x:v>
      </x:c>
      <x:c r="X13" s="100" t="str">
        <x:f>IF('Master'!Y275="","",'Master'!Y275)</x:f>
        <x:v>No</x:v>
      </x:c>
      <x:c r="Y13" s="100" t="str">
        <x:f>IF('Master'!Z275="","",'Master'!Z275)</x:f>
        <x:v>No</x:v>
      </x:c>
      <x:c r="Z13" s="100" t="str">
        <x:f>IF('Master'!AA275="","",'Master'!AA275)</x:f>
        <x:v>No</x:v>
      </x:c>
      <x:c r="AA13" s="104" t="str">
        <x:f>IF('Master'!AB275="","",'Master'!AB275)</x:f>
        <x:v>3D/positional support historically</x:v>
      </x:c>
      <x:c r="AB13" s="100" t="str">
        <x:f>IF('Master'!AC275="","",'Master'!AC275)</x:f>
        <x:v>No</x:v>
      </x:c>
      <x:c r="AC13" s="100" t="str">
        <x:f>IF('Master'!AD275="","",'Master'!AD275)</x:f>
        <x:v>No</x:v>
      </x:c>
      <x:c r="AD13" s="100" t="str">
        <x:f>IF('Master'!AE275="","",'Master'!AE275)</x:f>
        <x:v>No</x:v>
      </x:c>
      <x:c r="AE13" s="100" t="str">
        <x:f>IF('Master'!AF275="","",'Master'!AF275)</x:f>
        <x:v>Yes — spatial/proximity</x:v>
      </x:c>
      <x:c r="AF13" s="75" t="str">
        <x:f>IF('Master'!AG275="","",'Master'!AG275)</x:f>
        <x:v>No</x:v>
      </x:c>
    </x:row>
    <x:row r="14" ht="36" customHeight="1">
      <x:c r="A14" s="135" t="str">
        <x:v>Stage / Broadcast Mode</x:v>
      </x:c>
      <x:c r="B14" s="100" t="str">
        <x:f>IF('Master'!C276="","",'Master'!C276)</x:f>
        <x:v>Yes — Stage</x:v>
      </x:c>
      <x:c r="C14" s="100" t="str">
        <x:f>IF('Master'!D276="","",'Master'!D276)</x:f>
      </x:c>
      <x:c r="D14" s="100" t="str">
        <x:f>IF('Master'!E276="","",'Master'!E276)</x:f>
        <x:v>No</x:v>
      </x:c>
      <x:c r="E14" s="100" t="str">
        <x:f>IF('Master'!F276="","",'Master'!F276)</x:f>
        <x:v>No</x:v>
      </x:c>
      <x:c r="F14" s="100" t="str">
        <x:f>IF('Master'!G276="","",'Master'!G276)</x:f>
        <x:v>Nested voice/host-broadcasting direction</x:v>
      </x:c>
      <x:c r="G14" s="100" t="str">
        <x:f>IF('Master'!H276="","",'Master'!H276)</x:f>
      </x:c>
      <x:c r="H14" s="100" t="str">
        <x:f>IF('Master'!I276="","",'Master'!I276)</x:f>
        <x:v>No Stage verified</x:v>
      </x:c>
      <x:c r="I14" s="100" t="str">
        <x:f>IF('Master'!J276="","",'Master'!J276)</x:f>
        <x:v>No</x:v>
      </x:c>
      <x:c r="J14" s="100" t="str">
        <x:f>IF('Master'!K276="","",'Master'!K276)</x:f>
        <x:v>No</x:v>
      </x:c>
      <x:c r="K14" s="100" t="str">
        <x:f>IF('Master'!L276="","",'Master'!L276)</x:f>
        <x:v>Developer-reported Stage channels</x:v>
      </x:c>
      <x:c r="L14" s="100" t="str">
        <x:f>IF('Master'!M276="","",'Master'!M276)</x:f>
        <x:v>No</x:v>
      </x:c>
      <x:c r="M14" s="100" t="str">
        <x:f>IF('Master'!N276="","",'Master'!N276)</x:f>
        <x:v>Stage/channel model</x:v>
      </x:c>
      <x:c r="N14" s="100" t="str">
        <x:f>IF('Master'!O276="","",'Master'!O276)</x:f>
        <x:v>Client-dependent</x:v>
      </x:c>
      <x:c r="O14" s="100" t="str">
        <x:f>IF('Master'!P276="","",'Master'!P276)</x:f>
        <x:v>Call presentation</x:v>
      </x:c>
      <x:c r="P14" s="100" t="str">
        <x:f>IF('Master'!Q276="","",'Master'!Q276)</x:f>
      </x:c>
      <x:c r="Q14" s="100" t="str">
        <x:f>IF('Master'!R276="","",'Master'!R276)</x:f>
        <x:v>No</x:v>
      </x:c>
      <x:c r="R14" s="100" t="str">
        <x:f>IF('Master'!S276="","",'Master'!S276)</x:f>
        <x:v>No</x:v>
      </x:c>
      <x:c r="S14" s="100" t="str">
        <x:f>IF('Master'!T276="","",'Master'!T276)</x:f>
        <x:v>No Stage verified</x:v>
      </x:c>
      <x:c r="T14" s="100" t="str">
        <x:f>IF('Master'!U276="","",'Master'!U276)</x:f>
        <x:v>No</x:v>
      </x:c>
      <x:c r="U14" s="100" t="str">
        <x:f>IF('Master'!V276="","",'Master'!V276)</x:f>
        <x:v>No dedicated Stage; announcements + permissions / voice launchers</x:v>
      </x:c>
      <x:c r="V14" s="100" t="str">
        <x:f>IF('Master'!W276="","",'Master'!W276)</x:f>
        <x:v>Provider-dependent</x:v>
      </x:c>
      <x:c r="W14" s="100" t="str">
        <x:f>IF('Master'!X276="","",'Master'!X276)</x:f>
        <x:v>N/A</x:v>
      </x:c>
      <x:c r="X14" s="100" t="str">
        <x:f>IF('Master'!Y276="","",'Master'!Y276)</x:f>
        <x:v>No dedicated stage</x:v>
      </x:c>
      <x:c r="Y14" s="100" t="str">
        <x:f>IF('Master'!Z276="","",'Master'!Z276)</x:f>
      </x:c>
      <x:c r="Z14" s="100" t="str">
        <x:f>IF('Master'!AA276="","",'Master'!AA276)</x:f>
        <x:v>No verified</x:v>
      </x:c>
      <x:c r="AA14" s="104" t="str">
        <x:f>IF('Master'!AB276="","",'Master'!AB276)</x:f>
        <x:v>No Discord stage equivalent</x:v>
      </x:c>
      <x:c r="AB14" s="100" t="str">
        <x:f>IF('Master'!AC276="","",'Master'!AC276)</x:f>
        <x:v>No</x:v>
      </x:c>
      <x:c r="AC14" s="100" t="str">
        <x:f>IF('Master'!AD276="","",'Master'!AD276)</x:f>
        <x:v>No</x:v>
      </x:c>
      <x:c r="AD14" s="100" t="str">
        <x:f>IF('Master'!AE276="","",'Master'!AE276)</x:f>
        <x:v>Room stage/media surface</x:v>
      </x:c>
      <x:c r="AE14" s="100" t="str">
        <x:f>IF('Master'!AF276="","",'Master'!AF276)</x:f>
        <x:v>No</x:v>
      </x:c>
      <x:c r="AF14" s="75" t="str">
        <x:f>IF('Master'!AG276="","",'Master'!AG276)</x:f>
        <x:v>Provider-dependent</x:v>
      </x:c>
    </x:row>
    <x:row r="15" ht="36" customHeight="1">
      <x:c r="A15" s="135" t="str">
        <x:v>Raise Hand / Speaker Requests</x:v>
      </x:c>
      <x:c r="B15" s="100" t="str">
        <x:f>IF('Master'!C277="","",'Master'!C277)</x:f>
        <x:v>Yes</x:v>
      </x:c>
      <x:c r="C15" s="100" t="str">
        <x:f>IF('Master'!D277="","",'Master'!D277)</x:f>
      </x:c>
      <x:c r="D15" s="100" t="str">
        <x:f>IF('Master'!E277="","",'Master'!E277)</x:f>
      </x:c>
      <x:c r="E15" s="100" t="str">
        <x:f>IF('Master'!F277="","",'Master'!F277)</x:f>
      </x:c>
      <x:c r="F15" s="100" t="str">
        <x:f>IF('Master'!G277="","",'Master'!G277)</x:f>
      </x:c>
      <x:c r="G15" s="100" t="str">
        <x:f>IF('Master'!H277="","",'Master'!H277)</x:f>
      </x:c>
      <x:c r="H15" s="100" t="str">
        <x:f>IF('Master'!I277="","",'Master'!I277)</x:f>
      </x:c>
      <x:c r="I15" s="100" t="str">
        <x:f>IF('Master'!J277="","",'Master'!J277)</x:f>
      </x:c>
      <x:c r="J15" s="100" t="str">
        <x:f>IF('Master'!K277="","",'Master'!K277)</x:f>
        <x:v>No</x:v>
      </x:c>
      <x:c r="K15" s="100" t="str">
        <x:f>IF('Master'!L277="","",'Master'!L277)</x:f>
        <x:v>Not documented</x:v>
      </x:c>
      <x:c r="L15" s="100" t="str">
        <x:f>IF('Master'!M277="","",'Master'!M277)</x:f>
      </x:c>
      <x:c r="M15" s="100" t="str">
        <x:f>IF('Master'!N277="","",'Master'!N277)</x:f>
      </x:c>
      <x:c r="N15" s="100" t="str">
        <x:f>IF('Master'!O277="","",'Master'!O277)</x:f>
        <x:v>Client-dependent</x:v>
      </x:c>
      <x:c r="O15" s="100" t="str">
        <x:f>IF('Master'!P277="","",'Master'!P277)</x:f>
        <x:v>Yes</x:v>
      </x:c>
      <x:c r="P15" s="100" t="str">
        <x:f>IF('Master'!Q277="","",'Master'!Q277)</x:f>
      </x:c>
      <x:c r="Q15" s="100" t="str">
        <x:f>IF('Master'!R277="","",'Master'!R277)</x:f>
        <x:v>No</x:v>
      </x:c>
      <x:c r="R15" s="100" t="str">
        <x:f>IF('Master'!S277="","",'Master'!S277)</x:f>
      </x:c>
      <x:c r="S15" s="100" t="str">
        <x:f>IF('Master'!T277="","",'Master'!T277)</x:f>
      </x:c>
      <x:c r="T15" s="100" t="str">
        <x:f>IF('Master'!U277="","",'Master'!U277)</x:f>
      </x:c>
      <x:c r="U15" s="100" t="str">
        <x:f>IF('Master'!V277="","",'Master'!V277)</x:f>
        <x:v>No</x:v>
      </x:c>
      <x:c r="V15" s="100" t="str">
        <x:f>IF('Master'!W277="","",'Master'!W277)</x:f>
        <x:v>Provider-dependent</x:v>
      </x:c>
      <x:c r="W15" s="100" t="str">
        <x:f>IF('Master'!X277="","",'Master'!X277)</x:f>
        <x:v>N/A</x:v>
      </x:c>
      <x:c r="X15" s="100" t="str">
        <x:f>IF('Master'!Y277="","",'Master'!Y277)</x:f>
      </x:c>
      <x:c r="Y15" s="100" t="str">
        <x:f>IF('Master'!Z277="","",'Master'!Z277)</x:f>
      </x:c>
      <x:c r="Z15" s="100" t="str">
        <x:f>IF('Master'!AA277="","",'Master'!AA277)</x:f>
      </x:c>
      <x:c r="AA15" s="104" t="str">
        <x:f>IF('Master'!AB277="","",'Master'!AB277)</x:f>
      </x:c>
      <x:c r="AB15" s="100" t="str">
        <x:f>IF('Master'!AC277="","",'Master'!AC277)</x:f>
      </x:c>
      <x:c r="AC15" s="100" t="str">
        <x:f>IF('Master'!AD277="","",'Master'!AD277)</x:f>
      </x:c>
      <x:c r="AD15" s="100" t="str">
        <x:f>IF('Master'!AE277="","",'Master'!AE277)</x:f>
      </x:c>
      <x:c r="AE15" s="100" t="str">
        <x:f>IF('Master'!AF277="","",'Master'!AF277)</x:f>
        <x:v>No</x:v>
      </x:c>
      <x:c r="AF15" s="75" t="str">
        <x:f>IF('Master'!AG277="","",'Master'!AG277)</x:f>
        <x:v>Provider-dependent</x:v>
      </x:c>
    </x:row>
    <x:row r="16" ht="36" customHeight="1">
      <x:c r="A16" s="135" t="str">
        <x:v>Webcam Video</x:v>
      </x:c>
      <x:c r="B16" s="100" t="str">
        <x:f>IF('Master'!C278="","",'Master'!C278)</x:f>
        <x:v>Yes</x:v>
      </x:c>
      <x:c r="C16" s="100" t="str">
        <x:f>IF('Master'!D278="","",'Master'!D278)</x:f>
      </x:c>
      <x:c r="D16" s="100" t="str">
        <x:f>IF('Master'!E278="","",'Master'!E278)</x:f>
      </x:c>
      <x:c r="E16" s="100" t="str">
        <x:f>IF('Master'!F278="","",'Master'!F278)</x:f>
        <x:v>Yes</x:v>
      </x:c>
      <x:c r="F16" s="100" t="str">
        <x:f>IF('Master'!G278="","",'Master'!G278)</x:f>
        <x:v>Yes</x:v>
      </x:c>
      <x:c r="G16" s="100" t="str">
        <x:f>IF('Master'!H278="","",'Master'!H278)</x:f>
        <x:v>Yes</x:v>
      </x:c>
      <x:c r="H16" s="100" t="str">
        <x:f>IF('Master'!I278="","",'Master'!I278)</x:f>
        <x:v>Yes</x:v>
      </x:c>
      <x:c r="I16" s="100" t="str">
        <x:f>IF('Master'!J278="","",'Master'!J278)</x:f>
        <x:v>In development</x:v>
      </x:c>
      <x:c r="J16" s="100" t="str">
        <x:f>IF('Master'!K278="","",'Master'!K278)</x:f>
      </x:c>
      <x:c r="K16" s="100" t="str">
        <x:f>IF('Master'!L278="","",'Master'!L278)</x:f>
        <x:v>Yes</x:v>
      </x:c>
      <x:c r="L16" s="100" t="str">
        <x:f>IF('Master'!M278="","",'Master'!M278)</x:f>
      </x:c>
      <x:c r="M16" s="100" t="str">
        <x:f>IF('Master'!N278="","",'Master'!N278)</x:f>
        <x:v>Yes</x:v>
      </x:c>
      <x:c r="N16" s="100" t="str">
        <x:f>IF('Master'!O278="","",'Master'!O278)</x:f>
        <x:v>Client-dependent</x:v>
      </x:c>
      <x:c r="O16" s="100" t="str">
        <x:f>IF('Master'!P278="","",'Master'!P278)</x:f>
        <x:v>Yes</x:v>
      </x:c>
      <x:c r="P16" s="100" t="str">
        <x:f>IF('Master'!Q278="","",'Master'!Q278)</x:f>
        <x:v>Yes</x:v>
      </x:c>
      <x:c r="Q16" s="100" t="str">
        <x:f>IF('Master'!R278="","",'Master'!R278)</x:f>
        <x:v>No</x:v>
      </x:c>
      <x:c r="R16" s="100" t="str">
        <x:f>IF('Master'!S278="","",'Master'!S278)</x:f>
      </x:c>
      <x:c r="S16" s="100" t="str">
        <x:f>IF('Master'!T278="","",'Master'!T278)</x:f>
        <x:v>Yes</x:v>
      </x:c>
      <x:c r="T16" s="100" t="str">
        <x:f>IF('Master'!U278="","",'Master'!U278)</x:f>
        <x:v>Yes — camera in DM calls</x:v>
      </x:c>
      <x:c r="U16" s="100" t="str">
        <x:f>IF('Master'!V278="","",'Master'!V278)</x:f>
        <x:v>Yes</x:v>
      </x:c>
      <x:c r="V16" s="100" t="str">
        <x:f>IF('Master'!W278="","",'Master'!W278)</x:f>
        <x:v>Provider-dependent</x:v>
      </x:c>
      <x:c r="W16" s="100" t="str">
        <x:f>IF('Master'!X278="","",'Master'!X278)</x:f>
        <x:v>N/A</x:v>
      </x:c>
      <x:c r="X16" s="100" t="str">
        <x:f>IF('Master'!Y278="","",'Master'!Y278)</x:f>
        <x:v>Yes</x:v>
      </x:c>
      <x:c r="Y16" s="100" t="str">
        <x:f>IF('Master'!Z278="","",'Master'!Z278)</x:f>
        <x:v>Yes with Pion implementation</x:v>
      </x:c>
      <x:c r="Z16" s="100" t="str">
        <x:f>IF('Master'!AA278="","",'Master'!AA278)</x:f>
        <x:v>Yes/rollout</x:v>
      </x:c>
      <x:c r="AA16" s="104" t="str">
        <x:f>IF('Master'!AB278="","",'Master'!AB278)</x:f>
      </x:c>
      <x:c r="AB16" s="100" t="str">
        <x:f>IF('Master'!AC278="","",'Master'!AC278)</x:f>
      </x:c>
      <x:c r="AC16" s="100" t="str">
        <x:f>IF('Master'!AD278="","",'Master'!AD278)</x:f>
      </x:c>
      <x:c r="AD16" s="100" t="str">
        <x:f>IF('Master'!AE278="","",'Master'!AE278)</x:f>
        <x:v>Yes</x:v>
      </x:c>
      <x:c r="AE16" s="100" t="str">
        <x:f>IF('Master'!AF278="","",'Master'!AF278)</x:f>
      </x:c>
      <x:c r="AF16" s="75" t="str">
        <x:f>IF('Master'!AG278="","",'Master'!AG278)</x:f>
        <x:v>External provider</x:v>
      </x:c>
    </x:row>
    <x:row r="17" ht="36" customHeight="1">
      <x:c r="A17" s="135" t="str">
        <x:v>Screen Sharing</x:v>
      </x:c>
      <x:c r="B17" s="100" t="str">
        <x:f>IF('Master'!C279="","",'Master'!C279)</x:f>
        <x:v>Yes</x:v>
      </x:c>
      <x:c r="C17" s="100" t="str">
        <x:f>IF('Master'!D279="","",'Master'!D279)</x:f>
      </x:c>
      <x:c r="D17" s="100" t="str">
        <x:f>IF('Master'!E279="","",'Master'!E279)</x:f>
        <x:v>Yes</x:v>
      </x:c>
      <x:c r="E17" s="100" t="str">
        <x:f>IF('Master'!F279="","",'Master'!F279)</x:f>
        <x:v>Yes</x:v>
      </x:c>
      <x:c r="F17" s="100" t="str">
        <x:f>IF('Master'!G279="","",'Master'!G279)</x:f>
        <x:v>Yes</x:v>
      </x:c>
      <x:c r="G17" s="100" t="str">
        <x:f>IF('Master'!H279="","",'Master'!H279)</x:f>
        <x:v>Yes</x:v>
      </x:c>
      <x:c r="H17" s="100" t="str">
        <x:f>IF('Master'!I279="","",'Master'!I279)</x:f>
        <x:v>Yes</x:v>
      </x:c>
      <x:c r="I17" s="100" t="str">
        <x:f>IF('Master'!J279="","",'Master'!J279)</x:f>
        <x:v>In development</x:v>
      </x:c>
      <x:c r="J17" s="100" t="str">
        <x:f>IF('Master'!K279="","",'Master'!K279)</x:f>
      </x:c>
      <x:c r="K17" s="100" t="str">
        <x:f>IF('Master'!L279="","",'Master'!L279)</x:f>
        <x:v>Yes</x:v>
      </x:c>
      <x:c r="L17" s="100" t="str">
        <x:f>IF('Master'!M279="","",'Master'!M279)</x:f>
        <x:v>Yes — screen share advertised</x:v>
      </x:c>
      <x:c r="M17" s="100" t="str">
        <x:f>IF('Master'!N279="","",'Master'!N279)</x:f>
        <x:v>Yes</x:v>
      </x:c>
      <x:c r="N17" s="100" t="str">
        <x:f>IF('Master'!O279="","",'Master'!O279)</x:f>
        <x:v>Client-dependent</x:v>
      </x:c>
      <x:c r="O17" s="100" t="str">
        <x:f>IF('Master'!P279="","",'Master'!P279)</x:f>
        <x:v>Yes</x:v>
      </x:c>
      <x:c r="P17" s="100" t="str">
        <x:f>IF('Master'!Q279="","",'Master'!Q279)</x:f>
        <x:v>Yes</x:v>
      </x:c>
      <x:c r="Q17" s="100" t="str">
        <x:f>IF('Master'!R279="","",'Master'!R279)</x:f>
        <x:v>No</x:v>
      </x:c>
      <x:c r="R17" s="100" t="str">
        <x:f>IF('Master'!S279="","",'Master'!S279)</x:f>
      </x:c>
      <x:c r="S17" s="100" t="str">
        <x:f>IF('Master'!T279="","",'Master'!T279)</x:f>
        <x:v>Yes</x:v>
      </x:c>
      <x:c r="T17" s="100" t="str">
        <x:f>IF('Master'!U279="","",'Master'!U279)</x:f>
        <x:v>Yes — browser screen share</x:v>
      </x:c>
      <x:c r="U17" s="100" t="str">
        <x:f>IF('Master'!V279="","",'Master'!V279)</x:f>
        <x:v>Yes</x:v>
      </x:c>
      <x:c r="V17" s="100" t="str">
        <x:f>IF('Master'!W279="","",'Master'!W279)</x:f>
        <x:v>Provider-dependent</x:v>
      </x:c>
      <x:c r="W17" s="100" t="str">
        <x:f>IF('Master'!X279="","",'Master'!X279)</x:f>
        <x:v>N/A</x:v>
      </x:c>
      <x:c r="X17" s="100" t="str">
        <x:f>IF('Master'!Y279="","",'Master'!Y279)</x:f>
        <x:v>Yes</x:v>
      </x:c>
      <x:c r="Y17" s="100" t="str">
        <x:f>IF('Master'!Z279="","",'Master'!Z279)</x:f>
        <x:v>Yes — Go Live with Pion</x:v>
      </x:c>
      <x:c r="Z17" s="100" t="str">
        <x:f>IF('Master'!AA279="","",'Master'!AA279)</x:f>
        <x:v>Yes/rollout</x:v>
      </x:c>
      <x:c r="AA17" s="104" t="str">
        <x:f>IF('Master'!AB279="","",'Master'!AB279)</x:f>
        <x:v>Yes — TS6</x:v>
      </x:c>
      <x:c r="AB17" s="100" t="str">
        <x:f>IF('Master'!AC279="","",'Master'!AC279)</x:f>
      </x:c>
      <x:c r="AC17" s="100" t="str">
        <x:f>IF('Master'!AD279="","",'Master'!AD279)</x:f>
      </x:c>
      <x:c r="AD17" s="100" t="str">
        <x:f>IF('Master'!AE279="","",'Master'!AE279)</x:f>
        <x:v>Yes</x:v>
      </x:c>
      <x:c r="AE17" s="100" t="str">
        <x:f>IF('Master'!AF279="","",'Master'!AF279)</x:f>
        <x:v>Yes</x:v>
      </x:c>
      <x:c r="AF17" s="75" t="str">
        <x:f>IF('Master'!AG279="","",'Master'!AG279)</x:f>
        <x:v>External provider</x:v>
      </x:c>
    </x:row>
    <x:row r="18" ht="36" customHeight="1">
      <x:c r="A18" s="135" t="str">
        <x:v>Free Screen Share Resolution</x:v>
      </x:c>
      <x:c r="B18" s="100" t="str">
        <x:f>IF('Master'!C280="","",'Master'!C280)</x:f>
        <x:v>720p</x:v>
      </x:c>
      <x:c r="C18" s="100" t="str">
        <x:f>IF('Master'!D280="","",'Master'!D280)</x:f>
      </x:c>
      <x:c r="D18" s="100" t="str">
        <x:f>IF('Master'!E280="","",'Master'!E280)</x:f>
        <x:v>Up to 4K</x:v>
      </x:c>
      <x:c r="E18" s="100" t="str">
        <x:f>IF('Master'!F280="","",'Master'!F280)</x:f>
      </x:c>
      <x:c r="F18" s="100" t="str">
        <x:f>IF('Master'!G280="","",'Master'!G280)</x:f>
      </x:c>
      <x:c r="G18" s="100" t="str">
        <x:f>IF('Master'!H280="","",'Master'!H280)</x:f>
        <x:v>720p</x:v>
      </x:c>
      <x:c r="H18" s="100" t="str">
        <x:f>IF('Master'!I280="","",'Master'!I280)</x:f>
        <x:v>1080p</x:v>
      </x:c>
      <x:c r="I18" s="100" t="str">
        <x:f>IF('Master'!J280="","",'Master'!J280)</x:f>
        <x:v>N/A</x:v>
      </x:c>
      <x:c r="J18" s="100" t="str">
        <x:f>IF('Master'!K280="","",'Master'!K280)</x:f>
      </x:c>
      <x:c r="K18" s="100" t="str">
        <x:f>IF('Master'!L280="","",'Master'!L280)</x:f>
        <x:v>4K native Source preset at 30 FPS is publicly documented; browser Source has an 8K defensive bound. Developer questionnaire reported 4K60.</x:v>
      </x:c>
      <x:c r="L18" s="100" t="str">
        <x:f>IF('Master'!M280="","",'Master'!M280)</x:f>
      </x:c>
      <x:c r="M18" s="100" t="str">
        <x:f>IF('Master'!N280="","",'Master'!N280)</x:f>
      </x:c>
      <x:c r="N18" s="100" t="str">
        <x:f>IF('Master'!O280="","",'Master'!O280)</x:f>
        <x:v>Client-dependent</x:v>
      </x:c>
      <x:c r="O18" s="100" t="str">
        <x:f>IF('Master'!P280="","",'Master'!P280)</x:f>
        <x:v>Deployment/plan dependent</x:v>
      </x:c>
      <x:c r="P18" s="100" t="str">
        <x:f>IF('Master'!Q280="","",'Master'!Q280)</x:f>
        <x:v>Unlimited-resolution claim</x:v>
      </x:c>
      <x:c r="Q18" s="100" t="str">
        <x:f>IF('Master'!R280="","",'Master'!R280)</x:f>
        <x:v>N/A</x:v>
      </x:c>
      <x:c r="R18" s="100" t="str">
        <x:f>IF('Master'!S280="","",'Master'!S280)</x:f>
      </x:c>
      <x:c r="S18" s="100" t="str">
        <x:f>IF('Master'!T280="","",'Master'!T280)</x:f>
      </x:c>
      <x:c r="T18" s="100" t="str">
        <x:f>IF('Master'!U280="","",'Master'!U280)</x:f>
        <x:v>1080p</x:v>
      </x:c>
      <x:c r="U18" s="100" t="str">
        <x:f>IF('Master'!V280="","",'Master'!V280)</x:f>
        <x:v>1080p free</x:v>
      </x:c>
      <x:c r="V18" s="100" t="str">
        <x:f>IF('Master'!W280="","",'Master'!W280)</x:f>
        <x:v>Provider-dependent</x:v>
      </x:c>
      <x:c r="W18" s="100" t="str">
        <x:f>IF('Master'!X280="","",'Master'!X280)</x:f>
        <x:v>N/A</x:v>
      </x:c>
      <x:c r="X18" s="100" t="str">
        <x:f>IF('Master'!Y280="","",'Master'!Y280)</x:f>
        <x:v>720p game / Source text mode</x:v>
      </x:c>
      <x:c r="Y18" s="100" t="str">
        <x:f>IF('Master'!Z280="","",'Master'!Z280)</x:f>
        <x:v>Operator/config dependent</x:v>
      </x:c>
      <x:c r="Z18" s="100" t="str">
        <x:f>IF('Master'!AA280="","",'Master'!AA280)</x:f>
      </x:c>
      <x:c r="AA18" s="104" t="str">
        <x:f>IF('Master'!AB280="","",'Master'!AB280)</x:f>
      </x:c>
      <x:c r="AB18" s="100" t="str">
        <x:f>IF('Master'!AC280="","",'Master'!AC280)</x:f>
      </x:c>
      <x:c r="AC18" s="100" t="str">
        <x:f>IF('Master'!AD280="","",'Master'!AD280)</x:f>
      </x:c>
      <x:c r="AD18" s="100" t="str">
        <x:f>IF('Master'!AE280="","",'Master'!AE280)</x:f>
      </x:c>
      <x:c r="AE18" s="100" t="str">
        <x:f>IF('Master'!AF280="","",'Master'!AF280)</x:f>
        <x:v>Up to 1440p</x:v>
      </x:c>
      <x:c r="AF18" s="75" t="str">
        <x:f>IF('Master'!AG280="","",'Master'!AG280)</x:f>
        <x:v>Provider-dependent</x:v>
      </x:c>
    </x:row>
    <x:row r="19" ht="36" customHeight="1">
      <x:c r="A19" s="135" t="str">
        <x:v>Free Screen Share FPS</x:v>
      </x:c>
      <x:c r="B19" s="100" t="str">
        <x:f>IF('Master'!C281="","",'Master'!C281)</x:f>
        <x:v>30</x:v>
      </x:c>
      <x:c r="C19" s="100" t="str">
        <x:f>IF('Master'!D281="","",'Master'!D281)</x:f>
      </x:c>
      <x:c r="D19" s="100" t="str">
        <x:f>IF('Master'!E281="","",'Master'!E281)</x:f>
        <x:v>Up to 60/120 by version/config</x:v>
      </x:c>
      <x:c r="E19" s="100" t="str">
        <x:f>IF('Master'!F281="","",'Master'!F281)</x:f>
      </x:c>
      <x:c r="F19" s="100" t="str">
        <x:f>IF('Master'!G281="","",'Master'!G281)</x:f>
      </x:c>
      <x:c r="G19" s="100" t="str">
        <x:f>IF('Master'!H281="","",'Master'!H281)</x:f>
        <x:v>30</x:v>
      </x:c>
      <x:c r="H19" s="100" t="str">
        <x:f>IF('Master'!I281="","",'Master'!I281)</x:f>
        <x:v>30</x:v>
      </x:c>
      <x:c r="I19" s="100" t="str">
        <x:f>IF('Master'!J281="","",'Master'!J281)</x:f>
        <x:v>N/A</x:v>
      </x:c>
      <x:c r="J19" s="100" t="str">
        <x:f>IF('Master'!K281="","",'Master'!K281)</x:f>
      </x:c>
      <x:c r="K19" s="100" t="str">
        <x:f>IF('Master'!L281="","",'Master'!L281)</x:f>
      </x:c>
      <x:c r="L19" s="100" t="str">
        <x:f>IF('Master'!M281="","",'Master'!M281)</x:f>
      </x:c>
      <x:c r="M19" s="100" t="str">
        <x:f>IF('Master'!N281="","",'Master'!N281)</x:f>
      </x:c>
      <x:c r="N19" s="100" t="str">
        <x:f>IF('Master'!O281="","",'Master'!O281)</x:f>
        <x:v>Client-dependent</x:v>
      </x:c>
      <x:c r="O19" s="100" t="str">
        <x:f>IF('Master'!P281="","",'Master'!P281)</x:f>
        <x:v>Deployment/plan dependent</x:v>
      </x:c>
      <x:c r="P19" s="100" t="str">
        <x:f>IF('Master'!Q281="","",'Master'!Q281)</x:f>
      </x:c>
      <x:c r="Q19" s="100" t="str">
        <x:f>IF('Master'!R281="","",'Master'!R281)</x:f>
        <x:v>N/A</x:v>
      </x:c>
      <x:c r="R19" s="100" t="str">
        <x:f>IF('Master'!S281="","",'Master'!S281)</x:f>
      </x:c>
      <x:c r="S19" s="100" t="str">
        <x:f>IF('Master'!T281="","",'Master'!T281)</x:f>
      </x:c>
      <x:c r="T19" s="100" t="str">
        <x:f>IF('Master'!U281="","",'Master'!U281)</x:f>
        <x:v>Not publicly claimed</x:v>
      </x:c>
      <x:c r="U19" s="100" t="str">
        <x:f>IF('Master'!V281="","",'Master'!V281)</x:f>
        <x:v>60 FPS free</x:v>
      </x:c>
      <x:c r="V19" s="100" t="str">
        <x:f>IF('Master'!W281="","",'Master'!W281)</x:f>
        <x:v>Provider-dependent</x:v>
      </x:c>
      <x:c r="W19" s="100" t="str">
        <x:f>IF('Master'!X281="","",'Master'!X281)</x:f>
        <x:v>N/A</x:v>
      </x:c>
      <x:c r="X19" s="100" t="str">
        <x:f>IF('Master'!Y281="","",'Master'!Y281)</x:f>
        <x:v>30 game / 5 source</x:v>
      </x:c>
      <x:c r="Y19" s="100" t="str">
        <x:f>IF('Master'!Z281="","",'Master'!Z281)</x:f>
      </x:c>
      <x:c r="Z19" s="100" t="str">
        <x:f>IF('Master'!AA281="","",'Master'!AA281)</x:f>
      </x:c>
      <x:c r="AA19" s="104" t="str">
        <x:f>IF('Master'!AB281="","",'Master'!AB281)</x:f>
      </x:c>
      <x:c r="AB19" s="100" t="str">
        <x:f>IF('Master'!AC281="","",'Master'!AC281)</x:f>
      </x:c>
      <x:c r="AC19" s="100" t="str">
        <x:f>IF('Master'!AD281="","",'Master'!AD281)</x:f>
      </x:c>
      <x:c r="AD19" s="100" t="str">
        <x:f>IF('Master'!AE281="","",'Master'!AE281)</x:f>
      </x:c>
      <x:c r="AE19" s="100" t="str">
        <x:f>IF('Master'!AF281="","",'Master'!AF281)</x:f>
      </x:c>
      <x:c r="AF19" s="75" t="str">
        <x:f>IF('Master'!AG281="","",'Master'!AG281)</x:f>
        <x:v>Provider-dependent</x:v>
      </x:c>
    </x:row>
    <x:row r="20" ht="36" customHeight="1">
      <x:c r="A20" s="135" t="str">
        <x:v>Paid / Boost Screen Share Max</x:v>
      </x:c>
      <x:c r="B20" s="100" t="str">
        <x:f>IF('Master'!C220="","",'Master'!C220)</x:f>
        <x:v>Up to 4K/60 fps with Nitro/Nitro Classic</x:v>
      </x:c>
      <x:c r="C20" s="100" t="str">
        <x:f>IF('Master'!D220="","",'Master'!D220)</x:f>
      </x:c>
      <x:c r="D20" s="100" t="str">
        <x:f>IF('Master'!E220="","",'Master'!E220)</x:f>
        <x:v>Operator-configurable</x:v>
      </x:c>
      <x:c r="E20" s="100" t="str">
        <x:f>IF('Master'!F220="","",'Master'!F220)</x:f>
      </x:c>
      <x:c r="F20" s="100" t="str">
        <x:f>IF('Master'!G220="","",'Master'!G220)</x:f>
      </x:c>
      <x:c r="G20" s="100" t="str">
        <x:f>IF('Master'!H220="","",'Master'!H220)</x:f>
        <x:v>Up to 4K/60 with Plutonium</x:v>
      </x:c>
      <x:c r="H20" s="100" t="str">
        <x:f>IF('Master'!I220="","",'Master'!I220)</x:f>
        <x:v>Up to 4K/60 Diamond</x:v>
      </x:c>
      <x:c r="I20" s="100" t="str">
        <x:f>IF('Master'!J220="","",'Master'!J220)</x:f>
        <x:v>N/A</x:v>
      </x:c>
      <x:c r="J20" s="100" t="str">
        <x:f>IF('Master'!K220="","",'Master'!K220)</x:f>
        <x:v>N/A</x:v>
      </x:c>
      <x:c r="K20" s="100" t="str">
        <x:f>IF('Master'!L220="","",'Master'!L220)</x:f>
        <x:v>No paid quality tier; documented presets are current/free</x:v>
      </x:c>
      <x:c r="L20" s="100" t="str">
        <x:f>IF('Master'!M220="","",'Master'!M220)</x:f>
      </x:c>
      <x:c r="M20" s="100" t="str">
        <x:f>IF('Master'!N220="","",'Master'!N220)</x:f>
      </x:c>
      <x:c r="N20" s="100" t="str">
        <x:f>IF('Master'!O220="","",'Master'!O220)</x:f>
        <x:v>Client/provider-dependent</x:v>
      </x:c>
      <x:c r="O20" s="100" t="str">
        <x:f>IF('Master'!P220="","",'Master'!P220)</x:f>
        <x:v>Plan/deployment-dependent</x:v>
      </x:c>
      <x:c r="P20" s="100" t="str">
        <x:f>IF('Master'!Q220="","",'Master'!Q220)</x:f>
        <x:v>No paid cap claimed</x:v>
      </x:c>
      <x:c r="Q20" s="100" t="str">
        <x:f>IF('Master'!R220="","",'Master'!R220)</x:f>
        <x:v>N/A</x:v>
      </x:c>
      <x:c r="R20" s="100" t="str">
        <x:f>IF('Master'!S220="","",'Master'!S220)</x:f>
      </x:c>
      <x:c r="S20" s="100" t="str">
        <x:f>IF('Master'!T220="","",'Master'!T220)</x:f>
      </x:c>
      <x:c r="T20" s="100" t="str">
        <x:f>IF('Master'!U220="","",'Master'!U220)</x:f>
        <x:v>No paid tier — 1080p free</x:v>
      </x:c>
      <x:c r="U20" s="100" t="str">
        <x:f>IF('Master'!V220="","",'Master'!V220)</x:f>
        <x:v>1440p60 with Rift+</x:v>
      </x:c>
      <x:c r="V20" s="100" t="str">
        <x:f>IF('Master'!W220="","",'Master'!W220)</x:f>
        <x:v>Provider-dependent</x:v>
      </x:c>
      <x:c r="W20" s="100" t="str">
        <x:f>IF('Master'!X220="","",'Master'!X220)</x:f>
        <x:v>N/A</x:v>
      </x:c>
      <x:c r="X20" s="100" t="str">
        <x:f>IF('Master'!Y220="","",'Master'!Y220)</x:f>
        <x:v>Up to 1440p/60 with Sudo</x:v>
      </x:c>
      <x:c r="Y20" s="100" t="str">
        <x:f>IF('Master'!Z220="","",'Master'!Z220)</x:f>
        <x:v>Operator/config dependent</x:v>
      </x:c>
      <x:c r="Z20" s="100" t="str">
        <x:f>IF('Master'!AA220="","",'Master'!AA220)</x:f>
        <x:v>No separate paid screen-share entitlement publicly stated</x:v>
      </x:c>
      <x:c r="AA20" s="104" t="str">
        <x:f>IF('Master'!AB220="","",'Master'!AB220)</x:f>
      </x:c>
      <x:c r="AB20" s="100" t="str">
        <x:f>IF('Master'!AC220="","",'Master'!AC220)</x:f>
      </x:c>
      <x:c r="AC20" s="100" t="str">
        <x:f>IF('Master'!AD220="","",'Master'!AD220)</x:f>
      </x:c>
      <x:c r="AD20" s="100" t="str">
        <x:f>IF('Master'!AE220="","",'Master'!AE220)</x:f>
        <x:v>Free/unmetered claim</x:v>
      </x:c>
      <x:c r="AE20" s="100" t="str">
        <x:f>IF('Master'!AF220="","",'Master'!AF220)</x:f>
        <x:v>Up to 1440p included</x:v>
      </x:c>
      <x:c r="AF20" s="75" t="str">
        <x:f>IF('Master'!AG220="","",'Master'!AG220)</x:f>
        <x:v>Provider-dependent</x:v>
      </x:c>
    </x:row>
    <x:row r="21" ht="36" customHeight="1">
      <x:c r="A21" s="135" t="str">
        <x:v>Application Audio Capture</x:v>
      </x:c>
      <x:c r="B21" s="100" t="str">
        <x:f>IF('Master'!C251="","",'Master'!C251)</x:f>
        <x:v>Yes — Windows, macOS, Chrome, mobile; Linux audio sharing unavailable</x:v>
      </x:c>
      <x:c r="C21" s="100" t="str">
        <x:f>IF('Master'!D251="","",'Master'!D251)</x:f>
      </x:c>
      <x:c r="D21" s="100" t="str">
        <x:f>IF('Master'!E251="","",'Master'!E251)</x:f>
        <x:v>Yes</x:v>
      </x:c>
      <x:c r="E21" s="100" t="str">
        <x:f>IF('Master'!F251="","",'Master'!F251)</x:f>
        <x:v>Yes</x:v>
      </x:c>
      <x:c r="F21" s="100" t="str">
        <x:f>IF('Master'!G251="","",'Master'!G251)</x:f>
        <x:v>Yes — screen sharing exists in alpha</x:v>
      </x:c>
      <x:c r="G21" s="100" t="str">
        <x:f>IF('Master'!H251="","",'Master'!H251)</x:f>
        <x:v>Yes</x:v>
      </x:c>
      <x:c r="H21" s="100" t="str">
        <x:f>IF('Master'!I251="","",'Master'!I251)</x:f>
        <x:v>Yes</x:v>
      </x:c>
      <x:c r="I21" s="100" t="str">
        <x:f>IF('Master'!J251="","",'Master'!J251)</x:f>
      </x:c>
      <x:c r="J21" s="100" t="str">
        <x:f>IF('Master'!K251="","",'Master'!K251)</x:f>
        <x:v>Yes on supported desktop platforms; per-app capture documented for Windows/Linux</x:v>
      </x:c>
      <x:c r="K21" s="100" t="str">
        <x:f>IF('Master'!L251="","",'Master'!L251)</x:f>
        <x:v>Browser: depends on browser/surface. Native desktop system-audio loopback is currently disabled. Android/iOS screen share excludes system audio.</x:v>
      </x:c>
      <x:c r="L21" s="100" t="str">
        <x:f>IF('Master'!M251="","",'Master'!M251)</x:f>
      </x:c>
      <x:c r="M21" s="100" t="str">
        <x:f>IF('Master'!N251="","",'Master'!N251)</x:f>
        <x:v>Yes</x:v>
      </x:c>
      <x:c r="N21" s="100" t="str">
        <x:f>IF('Master'!O251="","",'Master'!O251)</x:f>
        <x:v>Varies by client</x:v>
      </x:c>
      <x:c r="O21" s="100" t="str">
        <x:f>IF('Master'!P251="","",'Master'!P251)</x:f>
        <x:v>Yes</x:v>
      </x:c>
      <x:c r="P21" s="100" t="str">
        <x:f>IF('Master'!Q251="","",'Master'!Q251)</x:f>
        <x:v>Yes</x:v>
      </x:c>
      <x:c r="Q21" s="100" t="str">
        <x:f>IF('Master'!R251="","",'Master'!R251)</x:f>
        <x:v>N/A</x:v>
      </x:c>
      <x:c r="R21" s="100" t="str">
        <x:f>IF('Master'!S251="","",'Master'!S251)</x:f>
      </x:c>
      <x:c r="S21" s="100" t="str">
        <x:f>IF('Master'!T251="","",'Master'!T251)</x:f>
        <x:v>Yes</x:v>
      </x:c>
      <x:c r="T21" s="100" t="str">
        <x:f>IF('Master'!U251="","",'Master'!U251)</x:f>
        <x:v>Yes — browser tab audio</x:v>
      </x:c>
      <x:c r="U21" s="100" t="str">
        <x:f>IF('Master'!V251="","",'Master'!V251)</x:f>
        <x:v>Yes</x:v>
      </x:c>
      <x:c r="V21" s="100" t="str">
        <x:f>IF('Master'!W251="","",'Master'!W251)</x:f>
        <x:v>Provider-dependent</x:v>
      </x:c>
      <x:c r="W21" s="100" t="str">
        <x:f>IF('Master'!X251="","",'Master'!X251)</x:f>
        <x:v>N/A</x:v>
      </x:c>
      <x:c r="X21" s="100" t="str">
        <x:f>IF('Master'!Y251="","",'Master'!Y251)</x:f>
        <x:v>Yes — share stream audio</x:v>
      </x:c>
      <x:c r="Y21" s="100" t="str">
        <x:f>IF('Master'!Z251="","",'Master'!Z251)</x:f>
        <x:v>Go Live supported by recommended Pion implementation</x:v>
      </x:c>
      <x:c r="Z21" s="100" t="str">
        <x:f>IF('Master'!AA251="","",'Master'!AA251)</x:f>
        <x:v>Yes — whole-screen and window audio</x:v>
      </x:c>
      <x:c r="AA21" s="104" t="str">
        <x:f>IF('Master'!AB251="","",'Master'!AB251)</x:f>
        <x:v>Yes</x:v>
      </x:c>
      <x:c r="AB21" s="100" t="str">
        <x:f>IF('Master'!AC251="","",'Master'!AC251)</x:f>
      </x:c>
      <x:c r="AC21" s="100" t="str">
        <x:f>IF('Master'!AD251="","",'Master'!AD251)</x:f>
      </x:c>
      <x:c r="AD21" s="100" t="str">
        <x:f>IF('Master'!AE251="","",'Master'!AE251)</x:f>
        <x:v>Yes</x:v>
      </x:c>
      <x:c r="AE21" s="100" t="str">
        <x:f>IF('Master'!AF251="","",'Master'!AF251)</x:f>
        <x:v>Yes — screen share with audio</x:v>
      </x:c>
      <x:c r="AF21" s="75" t="str">
        <x:f>IF('Master'!AG251="","",'Master'!AG251)</x:f>
        <x:v>Provider-dependent</x:v>
      </x:c>
    </x:row>
    <x:row r="22" ht="36" customHeight="1">
      <x:c r="A22" s="135" t="str">
        <x:v>System Audio Capture</x:v>
      </x:c>
      <x:c r="B22" s="100" t="str">
        <x:f>IF('Master'!C252="","",'Master'!C252)</x:f>
        <x:v>Yes on supported platforms</x:v>
      </x:c>
      <x:c r="C22" s="100" t="str">
        <x:f>IF('Master'!D252="","",'Master'!D252)</x:f>
      </x:c>
      <x:c r="D22" s="100" t="str">
        <x:f>IF('Master'!E252="","",'Master'!E252)</x:f>
      </x:c>
      <x:c r="E22" s="100" t="str">
        <x:f>IF('Master'!F252="","",'Master'!F252)</x:f>
      </x:c>
      <x:c r="F22" s="100" t="str">
        <x:f>IF('Master'!G252="","",'Master'!G252)</x:f>
      </x:c>
      <x:c r="G22" s="100" t="str">
        <x:f>IF('Master'!H252="","",'Master'!H252)</x:f>
        <x:v>Yes on supported desktop paths</x:v>
      </x:c>
      <x:c r="H22" s="100" t="str">
        <x:f>IF('Master'!I252="","",'Master'!I252)</x:f>
      </x:c>
      <x:c r="I22" s="100" t="str">
        <x:f>IF('Master'!J252="","",'Master'!J252)</x:f>
      </x:c>
      <x:c r="J22" s="100" t="str">
        <x:f>IF('Master'!K252="","",'Master'!K252)</x:f>
      </x:c>
      <x:c r="K22" s="100" t="str">
        <x:f>IF('Master'!L252="","",'Master'!L252)</x:f>
        <x:v>Browser: depends on browser/surface. Native desktop system-audio loopback is currently disabled. Android/iOS screen share excludes system audio.</x:v>
      </x:c>
      <x:c r="L22" s="100" t="str">
        <x:f>IF('Master'!M252="","",'Master'!M252)</x:f>
      </x:c>
      <x:c r="M22" s="100" t="str">
        <x:f>IF('Master'!N252="","",'Master'!N252)</x:f>
      </x:c>
      <x:c r="N22" s="100" t="str">
        <x:f>IF('Master'!O252="","",'Master'!O252)</x:f>
        <x:v>Varies by client</x:v>
      </x:c>
      <x:c r="O22" s="100" t="str">
        <x:f>IF('Master'!P252="","",'Master'!P252)</x:f>
        <x:v>Yes</x:v>
      </x:c>
      <x:c r="P22" s="100" t="str">
        <x:f>IF('Master'!Q252="","",'Master'!Q252)</x:f>
      </x:c>
      <x:c r="Q22" s="100" t="str">
        <x:f>IF('Master'!R252="","",'Master'!R252)</x:f>
        <x:v>N/A</x:v>
      </x:c>
      <x:c r="R22" s="100" t="str">
        <x:f>IF('Master'!S252="","",'Master'!S252)</x:f>
      </x:c>
      <x:c r="S22" s="100" t="str">
        <x:f>IF('Master'!T252="","",'Master'!T252)</x:f>
      </x:c>
      <x:c r="T22" s="100" t="str">
        <x:f>IF('Master'!U252="","",'Master'!U252)</x:f>
        <x:v>Browser tab audio supported; full system-audio capture not publicly claimed</x:v>
      </x:c>
      <x:c r="U22" s="100" t="str">
        <x:f>IF('Master'!V252="","",'Master'!V252)</x:f>
        <x:v>Yes</x:v>
      </x:c>
      <x:c r="V22" s="100" t="str">
        <x:f>IF('Master'!W252="","",'Master'!W252)</x:f>
        <x:v>Provider-dependent</x:v>
      </x:c>
      <x:c r="W22" s="100" t="str">
        <x:f>IF('Master'!X252="","",'Master'!X252)</x:f>
        <x:v>N/A</x:v>
      </x:c>
      <x:c r="X22" s="100" t="str">
        <x:f>IF('Master'!Y252="","",'Master'!Y252)</x:f>
        <x:v>Yes on supported desktop</x:v>
      </x:c>
      <x:c r="Y22" s="100" t="str">
        <x:f>IF('Master'!Z252="","",'Master'!Z252)</x:f>
      </x:c>
      <x:c r="Z22" s="100" t="str">
        <x:f>IF('Master'!AA252="","",'Master'!AA252)</x:f>
        <x:v>Yes — whole-screen/window audio; Wayland audio can be unreliable</x:v>
      </x:c>
      <x:c r="AA22" s="104" t="str">
        <x:f>IF('Master'!AB252="","",'Master'!AB252)</x:f>
      </x:c>
      <x:c r="AB22" s="100" t="str">
        <x:f>IF('Master'!AC252="","",'Master'!AC252)</x:f>
      </x:c>
      <x:c r="AC22" s="100" t="str">
        <x:f>IF('Master'!AD252="","",'Master'!AD252)</x:f>
      </x:c>
      <x:c r="AD22" s="100" t="str">
        <x:f>IF('Master'!AE252="","",'Master'!AE252)</x:f>
      </x:c>
      <x:c r="AE22" s="100" t="str">
        <x:f>IF('Master'!AF252="","",'Master'!AF252)</x:f>
      </x:c>
      <x:c r="AF22" s="75" t="str">
        <x:f>IF('Master'!AG252="","",'Master'!AG252)</x:f>
        <x:v>Provider-dependent</x:v>
      </x:c>
    </x:row>
    <x:row r="23" ht="36" customHeight="1">
      <x:c r="A23" s="135" t="str">
        <x:v>Linux Screen Audio</x:v>
      </x:c>
      <x:c r="B23" s="100" t="str">
        <x:f>IF('Master'!C282="","",'Master'!C282)</x:f>
        <x:v>Linux audio-share limitations</x:v>
      </x:c>
      <x:c r="C23" s="100" t="str">
        <x:f>IF('Master'!D282="","",'Master'!D282)</x:f>
      </x:c>
      <x:c r="D23" s="100" t="str">
        <x:f>IF('Master'!E282="","",'Master'!E282)</x:f>
      </x:c>
      <x:c r="E23" s="100" t="str">
        <x:f>IF('Master'!F282="","",'Master'!F282)</x:f>
      </x:c>
      <x:c r="F23" s="100" t="str">
        <x:f>IF('Master'!G282="","",'Master'!G282)</x:f>
      </x:c>
      <x:c r="G23" s="100" t="str">
        <x:f>IF('Master'!H282="","",'Master'!H282)</x:f>
      </x:c>
      <x:c r="H23" s="100" t="str">
        <x:f>IF('Master'!I282="","",'Master'!I282)</x:f>
      </x:c>
      <x:c r="I23" s="100" t="str">
        <x:f>IF('Master'!J282="","",'Master'!J282)</x:f>
      </x:c>
      <x:c r="J23" s="100" t="str">
        <x:f>IF('Master'!K282="","",'Master'!K282)</x:f>
      </x:c>
      <x:c r="K23" s="100" t="str">
        <x:f>IF('Master'!L282="","",'Master'!L282)</x:f>
        <x:v>No — current native desktop common mixer contract is not enabled; browser may provide surface audio</x:v>
      </x:c>
      <x:c r="L23" s="100" t="str">
        <x:f>IF('Master'!M282="","",'Master'!M282)</x:f>
      </x:c>
      <x:c r="M23" s="100" t="str">
        <x:f>IF('Master'!N282="","",'Master'!N282)</x:f>
      </x:c>
      <x:c r="N23" s="100" t="str">
        <x:f>IF('Master'!O282="","",'Master'!O282)</x:f>
        <x:v>Client-dependent</x:v>
      </x:c>
      <x:c r="O23" s="100" t="str">
        <x:f>IF('Master'!P282="","",'Master'!P282)</x:f>
        <x:v>Depends desktop/Linux support</x:v>
      </x:c>
      <x:c r="P23" s="100" t="str">
        <x:f>IF('Master'!Q282="","",'Master'!Q282)</x:f>
      </x:c>
      <x:c r="Q23" s="100" t="str">
        <x:f>IF('Master'!R282="","",'Master'!R282)</x:f>
        <x:v>N/A</x:v>
      </x:c>
      <x:c r="R23" s="100" t="str">
        <x:f>IF('Master'!S282="","",'Master'!S282)</x:f>
      </x:c>
      <x:c r="S23" s="100" t="str">
        <x:f>IF('Master'!T282="","",'Master'!T282)</x:f>
      </x:c>
      <x:c r="T23" s="100" t="str">
        <x:f>IF('Master'!U282="","",'Master'!U282)</x:f>
        <x:v>Linux supported</x:v>
      </x:c>
      <x:c r="U23" s="100" t="str">
        <x:f>IF('Master'!V282="","",'Master'!V282)</x:f>
        <x:v>Yes</x:v>
      </x:c>
      <x:c r="V23" s="100" t="str">
        <x:f>IF('Master'!W282="","",'Master'!W282)</x:f>
        <x:v>Provider-dependent</x:v>
      </x:c>
      <x:c r="W23" s="100" t="str">
        <x:f>IF('Master'!X282="","",'Master'!X282)</x:f>
        <x:v>N/A</x:v>
      </x:c>
      <x:c r="X23" s="100" t="str">
        <x:f>IF('Master'!Y282="","",'Master'!Y282)</x:f>
      </x:c>
      <x:c r="Y23" s="100" t="str">
        <x:f>IF('Master'!Z282="","",'Master'!Z282)</x:f>
      </x:c>
      <x:c r="Z23" s="100" t="str">
        <x:f>IF('Master'!AA282="","",'Master'!AA282)</x:f>
      </x:c>
      <x:c r="AA23" s="104" t="str">
        <x:f>IF('Master'!AB282="","",'Master'!AB282)</x:f>
      </x:c>
      <x:c r="AB23" s="100" t="str">
        <x:f>IF('Master'!AC282="","",'Master'!AC282)</x:f>
      </x:c>
      <x:c r="AC23" s="100" t="str">
        <x:f>IF('Master'!AD282="","",'Master'!AD282)</x:f>
        <x:v>Linux mic I/O known rough edge</x:v>
      </x:c>
      <x:c r="AD23" s="100" t="str">
        <x:f>IF('Master'!AE282="","",'Master'!AE282)</x:f>
      </x:c>
      <x:c r="AE23" s="100" t="str">
        <x:f>IF('Master'!AF282="","",'Master'!AF282)</x:f>
      </x:c>
      <x:c r="AF23" s="75" t="str">
        <x:f>IF('Master'!AG282="","",'Master'!AG282)</x:f>
        <x:v>Provider-dependent</x:v>
      </x:c>
    </x:row>
    <x:row r="24" ht="36" customHeight="1">
      <x:c r="A24" s="135" t="str">
        <x:v>Mobile Screen Share</x:v>
      </x:c>
      <x:c r="B24" s="100" t="str">
        <x:f>IF('Master'!C283="","",'Master'!C283)</x:f>
        <x:v>Mobile screen share supported</x:v>
      </x:c>
      <x:c r="C24" s="100" t="str">
        <x:f>IF('Master'!D283="","",'Master'!D283)</x:f>
      </x:c>
      <x:c r="D24" s="100" t="str">
        <x:f>IF('Master'!E283="","",'Master'!E283)</x:f>
      </x:c>
      <x:c r="E24" s="100" t="str">
        <x:f>IF('Master'!F283="","",'Master'!F283)</x:f>
      </x:c>
      <x:c r="F24" s="100" t="str">
        <x:f>IF('Master'!G283="","",'Master'!G283)</x:f>
      </x:c>
      <x:c r="G24" s="100" t="str">
        <x:f>IF('Master'!H283="","",'Master'!H283)</x:f>
      </x:c>
      <x:c r="H24" s="100" t="str">
        <x:f>IF('Master'!I283="","",'Master'!I283)</x:f>
      </x:c>
      <x:c r="I24" s="100" t="str">
        <x:f>IF('Master'!J283="","",'Master'!J283)</x:f>
      </x:c>
      <x:c r="J24" s="100" t="str">
        <x:f>IF('Master'!K283="","",'Master'!K283)</x:f>
      </x:c>
      <x:c r="K24" s="100" t="str">
        <x:f>IF('Master'!L283="","",'Master'!L283)</x:f>
        <x:v>Yes</x:v>
      </x:c>
      <x:c r="L24" s="100" t="str">
        <x:f>IF('Master'!M283="","",'Master'!M283)</x:f>
      </x:c>
      <x:c r="M24" s="100" t="str">
        <x:f>IF('Master'!N283="","",'Master'!N283)</x:f>
      </x:c>
      <x:c r="N24" s="100" t="str">
        <x:f>IF('Master'!O283="","",'Master'!O283)</x:f>
        <x:v>Client-dependent</x:v>
      </x:c>
      <x:c r="O24" s="100" t="str">
        <x:f>IF('Master'!P283="","",'Master'!P283)</x:f>
        <x:v>Mobile behavior varies</x:v>
      </x:c>
      <x:c r="P24" s="100" t="str">
        <x:f>IF('Master'!Q283="","",'Master'!Q283)</x:f>
      </x:c>
      <x:c r="Q24" s="100" t="str">
        <x:f>IF('Master'!R283="","",'Master'!R283)</x:f>
        <x:v>N/A</x:v>
      </x:c>
      <x:c r="R24" s="100" t="str">
        <x:f>IF('Master'!S283="","",'Master'!S283)</x:f>
      </x:c>
      <x:c r="S24" s="100" t="str">
        <x:f>IF('Master'!T283="","",'Master'!T283)</x:f>
      </x:c>
      <x:c r="T24" s="100" t="str">
        <x:f>IF('Master'!U283="","",'Master'!U283)</x:f>
      </x:c>
      <x:c r="U24" s="100" t="str">
        <x:f>IF('Master'!V283="","",'Master'!V283)</x:f>
        <x:v>Yes — mobile calls/screen documented</x:v>
      </x:c>
      <x:c r="V24" s="100" t="str">
        <x:f>IF('Master'!W283="","",'Master'!W283)</x:f>
        <x:v>Provider-dependent</x:v>
      </x:c>
      <x:c r="W24" s="100" t="str">
        <x:f>IF('Master'!X283="","",'Master'!X283)</x:f>
        <x:v>N/A</x:v>
      </x:c>
      <x:c r="X24" s="100" t="str">
        <x:f>IF('Master'!Y283="","",'Master'!Y283)</x:f>
        <x:v>No sharing from mobile</x:v>
      </x:c>
      <x:c r="Y24" s="100" t="str">
        <x:f>IF('Master'!Z283="","",'Master'!Z283)</x:f>
      </x:c>
      <x:c r="Z24" s="100" t="str">
        <x:f>IF('Master'!AA283="","",'Master'!AA283)</x:f>
      </x:c>
      <x:c r="AA24" s="104" t="str">
        <x:f>IF('Master'!AB283="","",'Master'!AB283)</x:f>
      </x:c>
      <x:c r="AB24" s="100" t="str">
        <x:f>IF('Master'!AC283="","",'Master'!AC283)</x:f>
      </x:c>
      <x:c r="AC24" s="100" t="str">
        <x:f>IF('Master'!AD283="","",'Master'!AD283)</x:f>
      </x:c>
      <x:c r="AD24" s="100" t="str">
        <x:f>IF('Master'!AE283="","",'Master'!AE283)</x:f>
      </x:c>
      <x:c r="AE24" s="100" t="str">
        <x:f>IF('Master'!AF283="","",'Master'!AF283)</x:f>
      </x:c>
      <x:c r="AF24" s="75" t="str">
        <x:f>IF('Master'!AG283="","",'Master'!AG283)</x:f>
        <x:v>Provider-dependent</x:v>
      </x:c>
    </x:row>
    <x:row r="25" ht="36" customHeight="1">
      <x:c r="A25" s="135" t="str">
        <x:v>Multiple Concurrent Screen Shares</x:v>
      </x:c>
      <x:c r="B25" s="100" t="str">
        <x:f>IF('Master'!C284="","",'Master'!C284)</x:f>
      </x:c>
      <x:c r="C25" s="100" t="str">
        <x:f>IF('Master'!D284="","",'Master'!D284)</x:f>
      </x:c>
      <x:c r="D25" s="100" t="str">
        <x:f>IF('Master'!E284="","",'Master'!E284)</x:f>
      </x:c>
      <x:c r="E25" s="100" t="str">
        <x:f>IF('Master'!F284="","",'Master'!F284)</x:f>
      </x:c>
      <x:c r="F25" s="100" t="str">
        <x:f>IF('Master'!G284="","",'Master'!G284)</x:f>
      </x:c>
      <x:c r="G25" s="100" t="str">
        <x:f>IF('Master'!H284="","",'Master'!H284)</x:f>
      </x:c>
      <x:c r="H25" s="100" t="str">
        <x:f>IF('Master'!I284="","",'Master'!I284)</x:f>
      </x:c>
      <x:c r="I25" s="100" t="str">
        <x:f>IF('Master'!J284="","",'Master'!J284)</x:f>
      </x:c>
      <x:c r="J25" s="100" t="str">
        <x:f>IF('Master'!K284="","",'Master'!K284)</x:f>
        <x:v>P2P</x:v>
      </x:c>
      <x:c r="K25" s="100" t="str">
        <x:f>IF('Master'!L284="","",'Master'!L284)</x:f>
        <x:v>Not documented</x:v>
      </x:c>
      <x:c r="L25" s="100" t="str">
        <x:f>IF('Master'!M284="","",'Master'!M284)</x:f>
      </x:c>
      <x:c r="M25" s="100" t="str">
        <x:f>IF('Master'!N284="","",'Master'!N284)</x:f>
      </x:c>
      <x:c r="N25" s="100" t="str">
        <x:f>IF('Master'!O284="","",'Master'!O284)</x:f>
        <x:v>Client/provider-dependent</x:v>
      </x:c>
      <x:c r="O25" s="100" t="str">
        <x:f>IF('Master'!P284="","",'Master'!P284)</x:f>
        <x:v>Plan-dependent</x:v>
      </x:c>
      <x:c r="P25" s="100" t="str">
        <x:f>IF('Master'!Q284="","",'Master'!Q284)</x:f>
      </x:c>
      <x:c r="Q25" s="100" t="str">
        <x:f>IF('Master'!R284="","",'Master'!R284)</x:f>
        <x:v>N/A</x:v>
      </x:c>
      <x:c r="R25" s="100" t="str">
        <x:f>IF('Master'!S284="","",'Master'!S284)</x:f>
      </x:c>
      <x:c r="S25" s="100" t="str">
        <x:f>IF('Master'!T284="","",'Master'!T284)</x:f>
      </x:c>
      <x:c r="T25" s="100" t="str">
        <x:f>IF('Master'!U284="","",'Master'!U284)</x:f>
        <x:v>2 in smaller rooms; 4 in big rooms</x:v>
      </x:c>
      <x:c r="U25" s="100" t="str">
        <x:f>IF('Master'!V284="","",'Master'!V284)</x:f>
        <x:v>Yes</x:v>
      </x:c>
      <x:c r="V25" s="100" t="str">
        <x:f>IF('Master'!W284="","",'Master'!W284)</x:f>
        <x:v>Provider-dependent</x:v>
      </x:c>
      <x:c r="W25" s="100" t="str">
        <x:f>IF('Master'!X284="","",'Master'!X284)</x:f>
        <x:v>N/A</x:v>
      </x:c>
      <x:c r="X25" s="100" t="str">
        <x:f>IF('Master'!Y284="","",'Master'!Y284)</x:f>
      </x:c>
      <x:c r="Y25" s="100" t="str">
        <x:f>IF('Master'!Z284="","",'Master'!Z284)</x:f>
        <x:v>Implementation-dependent</x:v>
      </x:c>
      <x:c r="Z25" s="100" t="str">
        <x:f>IF('Master'!AA284="","",'Master'!AA284)</x:f>
      </x:c>
      <x:c r="AA25" s="104" t="str">
        <x:f>IF('Master'!AB284="","",'Master'!AB284)</x:f>
      </x:c>
      <x:c r="AB25" s="100" t="str">
        <x:f>IF('Master'!AC284="","",'Master'!AC284)</x:f>
      </x:c>
      <x:c r="AC25" s="100" t="str">
        <x:f>IF('Master'!AD284="","",'Master'!AD284)</x:f>
      </x:c>
      <x:c r="AD25" s="100" t="str">
        <x:f>IF('Master'!AE284="","",'Master'!AE284)</x:f>
      </x:c>
      <x:c r="AE25" s="100" t="str">
        <x:f>IF('Master'!AF284="","",'Master'!AF284)</x:f>
      </x:c>
      <x:c r="AF25" s="75" t="str">
        <x:f>IF('Master'!AG284="","",'Master'!AG284)</x:f>
        <x:v>Provider-dependent</x:v>
      </x:c>
    </x:row>
    <x:row r="26" ht="36" customHeight="1">
      <x:c r="A26" s="135" t="str">
        <x:v>Multi-Stream Viewing</x:v>
      </x:c>
      <x:c r="B26" s="100" t="str">
        <x:f>IF('Master'!C285="","",'Master'!C285)</x:f>
        <x:v>Yes</x:v>
      </x:c>
      <x:c r="C26" s="100" t="str">
        <x:f>IF('Master'!D285="","",'Master'!D285)</x:f>
      </x:c>
      <x:c r="D26" s="100" t="str">
        <x:f>IF('Master'!E285="","",'Master'!E285)</x:f>
      </x:c>
      <x:c r="E26" s="100" t="str">
        <x:f>IF('Master'!F285="","",'Master'!F285)</x:f>
        <x:v>Yes</x:v>
      </x:c>
      <x:c r="F26" s="100" t="str">
        <x:f>IF('Master'!G285="","",'Master'!G285)</x:f>
      </x:c>
      <x:c r="G26" s="100" t="str">
        <x:f>IF('Master'!H285="","",'Master'!H285)</x:f>
        <x:v>Yes</x:v>
      </x:c>
      <x:c r="H26" s="100" t="str">
        <x:f>IF('Master'!I285="","",'Master'!I285)</x:f>
        <x:v>Yes</x:v>
      </x:c>
      <x:c r="I26" s="100" t="str">
        <x:f>IF('Master'!J285="","",'Master'!J285)</x:f>
      </x:c>
      <x:c r="J26" s="100" t="str">
        <x:f>IF('Master'!K285="","",'Master'!K285)</x:f>
      </x:c>
      <x:c r="K26" s="100" t="str">
        <x:f>IF('Master'!L285="","",'Master'!L285)</x:f>
      </x:c>
      <x:c r="L26" s="100" t="str">
        <x:f>IF('Master'!M285="","",'Master'!M285)</x:f>
      </x:c>
      <x:c r="M26" s="100" t="str">
        <x:f>IF('Master'!N285="","",'Master'!N285)</x:f>
        <x:v>Yes</x:v>
      </x:c>
      <x:c r="N26" s="100" t="str">
        <x:f>IF('Master'!O285="","",'Master'!O285)</x:f>
        <x:v>Client-dependent</x:v>
      </x:c>
      <x:c r="O26" s="100" t="str">
        <x:f>IF('Master'!P285="","",'Master'!P285)</x:f>
        <x:v>Yes</x:v>
      </x:c>
      <x:c r="P26" s="100" t="str">
        <x:f>IF('Master'!Q285="","",'Master'!Q285)</x:f>
        <x:v>Yes</x:v>
      </x:c>
      <x:c r="Q26" s="100" t="str">
        <x:f>IF('Master'!R285="","",'Master'!R285)</x:f>
        <x:v>N/A</x:v>
      </x:c>
      <x:c r="R26" s="100" t="str">
        <x:f>IF('Master'!S285="","",'Master'!S285)</x:f>
      </x:c>
      <x:c r="S26" s="100" t="str">
        <x:f>IF('Master'!T285="","",'Master'!T285)</x:f>
        <x:v>Yes</x:v>
      </x:c>
      <x:c r="T26" s="100" t="str">
        <x:f>IF('Master'!U285="","",'Master'!U285)</x:f>
        <x:v>Yes</x:v>
      </x:c>
      <x:c r="U26" s="100" t="str">
        <x:f>IF('Master'!V285="","",'Master'!V285)</x:f>
        <x:v>Yes</x:v>
      </x:c>
      <x:c r="V26" s="100" t="str">
        <x:f>IF('Master'!W285="","",'Master'!W285)</x:f>
        <x:v>Provider-dependent</x:v>
      </x:c>
      <x:c r="W26" s="100" t="str">
        <x:f>IF('Master'!X285="","",'Master'!X285)</x:f>
        <x:v>N/A</x:v>
      </x:c>
      <x:c r="X26" s="100" t="str">
        <x:f>IF('Master'!Y285="","",'Master'!Y285)</x:f>
        <x:v>Yes</x:v>
      </x:c>
      <x:c r="Y26" s="100" t="str">
        <x:f>IF('Master'!Z285="","",'Master'!Z285)</x:f>
      </x:c>
      <x:c r="Z26" s="100" t="str">
        <x:f>IF('Master'!AA285="","",'Master'!AA285)</x:f>
      </x:c>
      <x:c r="AA26" s="104" t="str">
        <x:f>IF('Master'!AB285="","",'Master'!AB285)</x:f>
      </x:c>
      <x:c r="AB26" s="100" t="str">
        <x:f>IF('Master'!AC285="","",'Master'!AC285)</x:f>
      </x:c>
      <x:c r="AC26" s="100" t="str">
        <x:f>IF('Master'!AD285="","",'Master'!AD285)</x:f>
      </x:c>
      <x:c r="AD26" s="100" t="str">
        <x:f>IF('Master'!AE285="","",'Master'!AE285)</x:f>
        <x:v>Yes</x:v>
      </x:c>
      <x:c r="AE26" s="100" t="str">
        <x:f>IF('Master'!AF285="","",'Master'!AF285)</x:f>
      </x:c>
      <x:c r="AF26" s="75" t="str">
        <x:f>IF('Master'!AG285="","",'Master'!AG285)</x:f>
        <x:v>Provider-dependent</x:v>
      </x:c>
    </x:row>
    <x:row r="27" ht="36" customHeight="1">
      <x:c r="A27" s="135" t="str">
        <x:v>Media Notes</x:v>
      </x:c>
      <x:c r="B27" s="100" t="str">
        <x:f>IF('Master'!C286="","",'Master'!C286)</x:f>
        <x:v>Voice/video/Go Live E2EE by default except Stage.</x:v>
      </x:c>
      <x:c r="C27" s="100" t="str">
        <x:f>IF('Master'!D286="","",'Master'!D286)</x:f>
        <x:v>Voice exists; detailed limits are not publicly documented.</x:v>
      </x:c>
      <x:c r="D27" s="100" t="str">
        <x:f>IF('Master'!E286="","",'Master'!E286)</x:f>
        <x:v>Media limits are software/operator-configurable rather than a paid tier.</x:v>
      </x:c>
      <x:c r="E27" s="100" t="str">
        <x:f>IF('Master'!F286="","",'Master'!F286)</x:f>
        <x:v>LiveKit-based voice/video/screen sharing.</x:v>
      </x:c>
      <x:c r="F27" s="100" t="str">
        <x:f>IF('Master'!G286="","",'Master'!G286)</x:f>
        <x:v>Alpha behavior/limits can change.</x:v>
      </x:c>
      <x:c r="G27" s="100" t="str">
        <x:f>IF('Master'!H286="","",'Master'!H286)</x:f>
        <x:v>Nothing is E2EE yet per Sep 13 privacy policy.</x:v>
      </x:c>
      <x:c r="H27" s="100" t="str">
        <x:f>IF('Master'!I286="","",'Master'!I286)</x:f>
        <x:v>Voice-first gaming platform.</x:v>
      </x:c>
      <x:c r="I27" s="100" t="str">
        <x:f>IF('Master'!J286="","",'Master'!J286)</x:f>
        <x:v>Media is early/incomplete.</x:v>
      </x:c>
      <x:c r="J27" s="100" t="str">
        <x:f>IF('Master'!K286="","",'Master'!K286)</x:f>
        <x:v>Media is peer-to-peer rather than server-room focused.</x:v>
      </x:c>
      <x:c r="K27" s="100" t="str">
        <x:f>IF('Master'!L286="","",'Master'!L286)</x:f>
      </x:c>
      <x:c r="L27" s="100" t="str">
        <x:f>IF('Master'!M286="","",'Master'!M286)</x:f>
        <x:v>Media limits not well documented.</x:v>
      </x:c>
      <x:c r="M27" s="100" t="str">
        <x:f>IF('Master'!N286="","",'Master'!N286)</x:f>
        <x:v>Voice/video/screen share are live in open beta.</x:v>
      </x:c>
      <x:c r="N27" s="100" t="str">
        <x:f>IF('Master'!O286="","",'Master'!O286)</x:f>
        <x:v>Media limits belong to a client/homeserver/SFU deployment, not to Matrix as a universal platform.</x:v>
      </x:c>
      <x:c r="O27" s="100" t="str">
        <x:f>IF('Master'!P286="","",'Master'!P286)</x:f>
        <x:v>Native Calls supports screen share and meeting-style controls.</x:v>
      </x:c>
      <x:c r="P27" s="100" t="str">
        <x:f>IF('Master'!Q286="","",'Master'!Q286)</x:f>
        <x:v>No paywall on voice/video quality claimed.</x:v>
      </x:c>
      <x:c r="Q27" s="100" t="str">
        <x:f>IF('Master'!R286="","",'Master'!R286)</x:f>
        <x:v>Purpose-built voice; no webcam/screen-sharing core.</x:v>
      </x:c>
      <x:c r="R27" s="100" t="str">
        <x:f>IF('Master'!S286="","",'Master'!S286)</x:f>
        <x:v>Public docs emphasize chat more than media limits.</x:v>
      </x:c>
      <x:c r="S27" s="100" t="str">
        <x:f>IF('Master'!T286="","",'Master'!T286)</x:f>
        <x:v>Custom voice infrastructure is a headline feature.</x:v>
      </x:c>
      <x:c r="T27" s="100" t="str">
        <x:f>IF('Master'!U286="","",'Master'!U286)</x:f>
        <x:v>Persistent voice; P2P small/DM media; LiveKit for listed/larger hosted rooms. Hosted watch party has exceeded 100 participants.</x:v>
      </x:c>
      <x:c r="U27" s="100" t="str">
        <x:f>IF('Master'!V286="","",'Master'!V286)</x:f>
        <x:v>Public site does not publish detailed media limits.</x:v>
      </x:c>
      <x:c r="V27" s="100" t="str">
        <x:f>IF('Master'!W286="","",'Master'!W286)</x:f>
        <x:v>Media calling is not a single fixed platform profile across all Rocket.Chat deployments.</x:v>
      </x:c>
      <x:c r="W27" s="100" t="str">
        <x:f>IF('Master'!X286="","",'Master'!X286)</x:f>
        <x:v>Text/community-gardening focus.</x:v>
      </x:c>
      <x:c r="X27" s="100" t="str">
        <x:f>IF('Master'!Y286="","",'Master'!Y286)</x:f>
        <x:v>Mobile can view shared screens.</x:v>
      </x:c>
      <x:c r="Y27" s="100" t="str">
        <x:f>IF('Master'!Z286="","",'Master'!Z286)</x:f>
        <x:v>Voice is optional and disabled unless operator installs a compatible media implementation.</x:v>
      </x:c>
      <x:c r="Z27" s="100" t="str">
        <x:f>IF('Master'!AA286="","",'Master'!AA286)</x:f>
        <x:v>Screen sharing/video rolled out in 2026; exact plan limits are not comprehensively documented.</x:v>
      </x:c>
      <x:c r="AA27" s="104" t="str">
        <x:f>IF('Master'!AB286="","",'Master'!AB286)</x:f>
        <x:v>TS6 is beta, so limits/features are changing.</x:v>
      </x:c>
      <x:c r="AB27" s="100" t="str">
        <x:f>IF('Master'!AC286="","",'Master'!AC286)</x:f>
      </x:c>
      <x:c r="AC27" s="100" t="str">
        <x:f>IF('Master'!AD286="","",'Master'!AD286)</x:f>
        <x:v>Media details sparse.</x:v>
      </x:c>
      <x:c r="AD27" s="100" t="str">
        <x:f>IF('Master'!AE286="","",'Master'!AE286)</x:f>
        <x:v>Designed around always-present game-room media.</x:v>
      </x:c>
      <x:c r="AE27" s="100" t="str">
        <x:f>IF('Master'!AF286="","",'Master'!AF286)</x:f>
        <x:v>Self-host resource capacity determines practical limits.</x:v>
      </x:c>
      <x:c r="AF27" s="75" t="str">
        <x:f>IF('Master'!AG286="","",'Master'!AG286)</x:f>
        <x:v>Voice/video are intentionally delegated to services such as Jitsi/Zoom/BigBlueButton.</x:v>
      </x:c>
    </x:row>
    <x:row r="28" ht="22" customHeight="1">
      <x:c r="A28" s="138" t="str">
        <x:v>Advanced Media Experience</x:v>
      </x:c>
      <x:c r="B28" s="138" t="str">
        <x:f>IF(""="","","")</x:f>
      </x:c>
      <x:c r="C28" s="138" t="str">
        <x:f>IF(""="","","")</x:f>
      </x:c>
      <x:c r="D28" s="138" t="str">
        <x:f>IF(""="","","")</x:f>
      </x:c>
      <x:c r="E28" s="138" t="str">
        <x:f>IF(""="","","")</x:f>
      </x:c>
      <x:c r="F28" s="138" t="str">
        <x:f>IF(""="","","")</x:f>
      </x:c>
      <x:c r="G28" s="138" t="str">
        <x:f>IF(""="","","")</x:f>
      </x:c>
      <x:c r="H28" s="138" t="str">
        <x:f>IF(""="","","")</x:f>
      </x:c>
      <x:c r="I28" s="138" t="str">
        <x:f>IF(""="","","")</x:f>
      </x:c>
      <x:c r="J28" s="138" t="str">
        <x:f>IF(""="","","")</x:f>
      </x:c>
      <x:c r="K28" s="138" t="str">
        <x:f>IF(""="","","")</x:f>
      </x:c>
      <x:c r="L28" s="138" t="str">
        <x:f>IF(""="","","")</x:f>
      </x:c>
      <x:c r="M28" s="138" t="str">
        <x:f>IF(""="","","")</x:f>
      </x:c>
      <x:c r="N28" s="138" t="str">
        <x:f>IF(""="","","")</x:f>
      </x:c>
      <x:c r="O28" s="138" t="str">
        <x:f>IF(""="","","")</x:f>
      </x:c>
      <x:c r="P28" s="138" t="str">
        <x:f>IF(""="","","")</x:f>
      </x:c>
      <x:c r="Q28" s="138" t="str">
        <x:f>IF(""="","","")</x:f>
      </x:c>
      <x:c r="R28" s="138" t="str">
        <x:f>IF(""="","","")</x:f>
      </x:c>
      <x:c r="S28" s="138" t="str">
        <x:f>IF(""="","","")</x:f>
      </x:c>
      <x:c r="T28" s="138" t="str">
        <x:f>IF(""="","","")</x:f>
      </x:c>
      <x:c r="U28" s="138" t="str">
        <x:f>IF(""="","","")</x:f>
      </x:c>
      <x:c r="V28" s="138" t="str">
        <x:f>IF(""="","","")</x:f>
      </x:c>
      <x:c r="W28" s="138" t="str">
        <x:f>IF(""="","","")</x:f>
      </x:c>
      <x:c r="X28" s="138" t="str">
        <x:f>IF(""="","","")</x:f>
      </x:c>
      <x:c r="Y28" s="138" t="str">
        <x:f>IF(""="","","")</x:f>
      </x:c>
      <x:c r="Z28" s="138" t="str">
        <x:f>IF(""="","","")</x:f>
      </x:c>
      <x:c r="AA28" s="138" t="str">
        <x:f>IF(""="","","")</x:f>
      </x:c>
      <x:c r="AB28" s="138" t="str">
        <x:f>IF(""="","","")</x:f>
      </x:c>
      <x:c r="AC28" s="138" t="str">
        <x:f>IF(""="","","")</x:f>
      </x:c>
      <x:c r="AD28" s="138" t="str">
        <x:f>IF(""="","","")</x:f>
      </x:c>
      <x:c r="AE28" s="138" t="str">
        <x:f>IF(""="","","")</x:f>
      </x:c>
      <x:c r="AF28" s="139" t="str">
        <x:f>IF(""="","","")</x:f>
      </x:c>
    </x:row>
    <x:row r="29" ht="36" customHeight="1">
      <x:c r="A29" s="135" t="str">
        <x:v>Voice Room Launcher / Auto-Delete Rooms</x:v>
      </x:c>
      <x:c r="B29" s="100" t="str">
        <x:f>IF('Master'!C287="","",'Master'!C287)</x:f>
        <x:v>No native</x:v>
      </x:c>
      <x:c r="C29" s="100" t="str">
        <x:f>IF('Master'!D287="","",'Master'!D287)</x:f>
      </x:c>
      <x:c r="D29" s="100" t="str">
        <x:f>IF('Master'!E287="","",'Master'!E287)</x:f>
      </x:c>
      <x:c r="E29" s="100" t="str">
        <x:f>IF('Master'!F287="","",'Master'!F287)</x:f>
      </x:c>
      <x:c r="F29" s="100" t="str">
        <x:f>IF('Master'!G287="","",'Master'!G287)</x:f>
      </x:c>
      <x:c r="G29" s="100" t="str">
        <x:f>IF('Master'!H287="","",'Master'!H287)</x:f>
      </x:c>
      <x:c r="H29" s="100" t="str">
        <x:f>IF('Master'!I287="","",'Master'!I287)</x:f>
      </x:c>
      <x:c r="I29" s="100" t="str">
        <x:f>IF('Master'!J287="","",'Master'!J287)</x:f>
      </x:c>
      <x:c r="J29" s="100" t="str">
        <x:f>IF('Master'!K287="","",'Master'!K287)</x:f>
      </x:c>
      <x:c r="K29" s="100" t="str">
        <x:f>IF('Master'!L287="","",'Master'!L287)</x:f>
        <x:v>No launcher/auto-delete voice-room model documented</x:v>
      </x:c>
      <x:c r="L29" s="100" t="str">
        <x:f>IF('Master'!M287="","",'Master'!M287)</x:f>
      </x:c>
      <x:c r="M29" s="100" t="str">
        <x:f>IF('Master'!N287="","",'Master'!N287)</x:f>
      </x:c>
      <x:c r="N29" s="100" t="str">
        <x:f>IF('Master'!O287="","",'Master'!O287)</x:f>
      </x:c>
      <x:c r="O29" s="100" t="str">
        <x:f>IF('Master'!P287="","",'Master'!P287)</x:f>
      </x:c>
      <x:c r="P29" s="100" t="str">
        <x:f>IF('Master'!Q287="","",'Master'!Q287)</x:f>
      </x:c>
      <x:c r="Q29" s="100" t="str">
        <x:f>IF('Master'!R287="","",'Master'!R287)</x:f>
      </x:c>
      <x:c r="R29" s="100" t="str">
        <x:f>IF('Master'!S287="","",'Master'!S287)</x:f>
      </x:c>
      <x:c r="S29" s="100" t="str">
        <x:f>IF('Master'!T287="","",'Master'!T287)</x:f>
      </x:c>
      <x:c r="T29" s="100" t="str">
        <x:f>IF('Master'!U287="","",'Master'!U287)</x:f>
      </x:c>
      <x:c r="U29" s="100" t="str">
        <x:f>IF('Master'!V287="","",'Master'!V287)</x:f>
        <x:v>Yes</x:v>
      </x:c>
      <x:c r="V29" s="100" t="str">
        <x:f>IF('Master'!W287="","",'Master'!W287)</x:f>
      </x:c>
      <x:c r="W29" s="100" t="str">
        <x:f>IF('Master'!X287="","",'Master'!X287)</x:f>
      </x:c>
      <x:c r="X29" s="100" t="str">
        <x:f>IF('Master'!Y287="","",'Master'!Y287)</x:f>
      </x:c>
      <x:c r="Y29" s="100" t="str">
        <x:f>IF('Master'!Z287="","",'Master'!Z287)</x:f>
      </x:c>
      <x:c r="Z29" s="100" t="str">
        <x:f>IF('Master'!AA287="","",'Master'!AA287)</x:f>
      </x:c>
      <x:c r="AA29" s="104" t="str">
        <x:f>IF('Master'!AB287="","",'Master'!AB287)</x:f>
      </x:c>
      <x:c r="AB29" s="100" t="str">
        <x:f>IF('Master'!AC287="","",'Master'!AC287)</x:f>
      </x:c>
      <x:c r="AC29" s="100" t="str">
        <x:f>IF('Master'!AD287="","",'Master'!AD287)</x:f>
      </x:c>
      <x:c r="AD29" s="100" t="str">
        <x:f>IF('Master'!AE287="","",'Master'!AE287)</x:f>
      </x:c>
      <x:c r="AE29" s="100" t="str">
        <x:f>IF('Master'!AF287="","",'Master'!AF287)</x:f>
      </x:c>
      <x:c r="AF29" s="75" t="str">
        <x:f>IF('Master'!AG287="","",'Master'!AG287)</x:f>
      </x:c>
    </x:row>
    <x:row r="30" ht="23.100000381469727" customHeight="1">
      <x:c r="A30" s="135" t="str">
        <x:v>Voice Recording Native?</x:v>
      </x:c>
      <x:c r="B30" s="102" t="str">
        <x:f>IF('Master'!C210="","",'Master'!C210)</x:f>
      </x:c>
      <x:c r="C30" s="102" t="str">
        <x:f>IF('Master'!D210="","",'Master'!D210)</x:f>
      </x:c>
      <x:c r="D30" s="102" t="str">
        <x:f>IF('Master'!E210="","",'Master'!E210)</x:f>
      </x:c>
      <x:c r="E30" s="102" t="str">
        <x:f>IF('Master'!F210="","",'Master'!F210)</x:f>
      </x:c>
      <x:c r="F30" s="102" t="str">
        <x:f>IF('Master'!G210="","",'Master'!G210)</x:f>
      </x:c>
      <x:c r="G30" s="102" t="str">
        <x:f>IF('Master'!H210="","",'Master'!H210)</x:f>
      </x:c>
      <x:c r="H30" s="102" t="str">
        <x:f>IF('Master'!I210="","",'Master'!I210)</x:f>
      </x:c>
      <x:c r="I30" s="102" t="str">
        <x:f>IF('Master'!J210="","",'Master'!J210)</x:f>
      </x:c>
      <x:c r="J30" s="102" t="str">
        <x:f>IF('Master'!K210="","",'Master'!K210)</x:f>
      </x:c>
      <x:c r="K30" s="102" t="str">
        <x:f>IF('Master'!L210="","",'Master'!L210)</x:f>
        <x:v>No native recording</x:v>
      </x:c>
      <x:c r="L30" s="102" t="str">
        <x:f>IF('Master'!M210="","",'Master'!M210)</x:f>
      </x:c>
      <x:c r="M30" s="102" t="str">
        <x:f>IF('Master'!N210="","",'Master'!N210)</x:f>
      </x:c>
      <x:c r="N30" s="102" t="str">
        <x:f>IF('Master'!O210="","",'Master'!O210)</x:f>
      </x:c>
      <x:c r="O30" s="102" t="str">
        <x:f>IF('Master'!P210="","",'Master'!P210)</x:f>
      </x:c>
      <x:c r="P30" s="102" t="str">
        <x:f>IF('Master'!Q210="","",'Master'!Q210)</x:f>
      </x:c>
      <x:c r="Q30" s="102" t="str">
        <x:f>IF('Master'!R210="","",'Master'!R210)</x:f>
      </x:c>
      <x:c r="R30" s="102" t="str">
        <x:f>IF('Master'!S210="","",'Master'!S210)</x:f>
      </x:c>
      <x:c r="S30" s="102" t="str">
        <x:f>IF('Master'!T210="","",'Master'!T210)</x:f>
      </x:c>
      <x:c r="T30" s="102" t="str">
        <x:f>IF('Master'!U210="","",'Master'!U210)</x:f>
      </x:c>
      <x:c r="U30" s="102" t="str">
        <x:f>IF('Master'!V210="","",'Master'!V210)</x:f>
      </x:c>
      <x:c r="V30" s="102" t="str">
        <x:f>IF('Master'!W210="","",'Master'!W210)</x:f>
      </x:c>
      <x:c r="W30" s="102" t="str">
        <x:f>IF('Master'!X210="","",'Master'!X210)</x:f>
      </x:c>
      <x:c r="X30" s="102" t="str">
        <x:f>IF('Master'!Y210="","",'Master'!Y210)</x:f>
      </x:c>
      <x:c r="Y30" s="102" t="str">
        <x:f>IF('Master'!Z210="","",'Master'!Z210)</x:f>
      </x:c>
      <x:c r="Z30" s="102" t="str">
        <x:f>IF('Master'!AA210="","",'Master'!AA210)</x:f>
      </x:c>
      <x:c r="AA30" s="103" t="str">
        <x:f>IF('Master'!AB210="","",'Master'!AB210)</x:f>
      </x:c>
      <x:c r="AB30" s="102" t="str">
        <x:f>IF('Master'!AC210="","",'Master'!AC210)</x:f>
      </x:c>
      <x:c r="AC30" s="102" t="str">
        <x:f>IF('Master'!AD210="","",'Master'!AD210)</x:f>
      </x:c>
      <x:c r="AD30" s="102" t="str">
        <x:f>IF('Master'!AE210="","",'Master'!AE210)</x:f>
      </x:c>
      <x:c r="AE30" s="102" t="str">
        <x:f>IF('Master'!AF210="","",'Master'!AF210)</x:f>
      </x:c>
      <x:c r="AF30" s="75" t="str">
        <x:f>IF('Master'!AG210="","",'Master'!AG210)</x:f>
      </x:c>
    </x:row>
    <x:row r="31" ht="36" customHeight="1">
      <x:c r="A31" s="135" t="str">
        <x:v>Voice Transcription Native?</x:v>
      </x:c>
      <x:c r="B31" s="100" t="str">
        <x:f>IF('Master'!C211="","",'Master'!C211)</x:f>
      </x:c>
      <x:c r="C31" s="100" t="str">
        <x:f>IF('Master'!D211="","",'Master'!D211)</x:f>
      </x:c>
      <x:c r="D31" s="100" t="str">
        <x:f>IF('Master'!E211="","",'Master'!E211)</x:f>
      </x:c>
      <x:c r="E31" s="100" t="str">
        <x:f>IF('Master'!F211="","",'Master'!F211)</x:f>
      </x:c>
      <x:c r="F31" s="100" t="str">
        <x:f>IF('Master'!G211="","",'Master'!G211)</x:f>
      </x:c>
      <x:c r="G31" s="100" t="str">
        <x:f>IF('Master'!H211="","",'Master'!H211)</x:f>
      </x:c>
      <x:c r="H31" s="100" t="str">
        <x:f>IF('Master'!I211="","",'Master'!I211)</x:f>
      </x:c>
      <x:c r="I31" s="100" t="str">
        <x:f>IF('Master'!J211="","",'Master'!J211)</x:f>
      </x:c>
      <x:c r="J31" s="100" t="str">
        <x:f>IF('Master'!K211="","",'Master'!K211)</x:f>
      </x:c>
      <x:c r="K31" s="100" t="str">
        <x:f>IF('Master'!L211="","",'Master'!L211)</x:f>
        <x:v>No native transcription</x:v>
      </x:c>
      <x:c r="L31" s="100" t="str">
        <x:f>IF('Master'!M211="","",'Master'!M211)</x:f>
      </x:c>
      <x:c r="M31" s="100" t="str">
        <x:f>IF('Master'!N211="","",'Master'!N211)</x:f>
      </x:c>
      <x:c r="N31" s="100" t="str">
        <x:f>IF('Master'!O211="","",'Master'!O211)</x:f>
      </x:c>
      <x:c r="O31" s="100" t="str">
        <x:f>IF('Master'!P211="","",'Master'!P211)</x:f>
        <x:v>Yes</x:v>
      </x:c>
      <x:c r="P31" s="100" t="str">
        <x:f>IF('Master'!Q211="","",'Master'!Q211)</x:f>
        <x:v>Yes</x:v>
      </x:c>
      <x:c r="Q31" s="100" t="str">
        <x:f>IF('Master'!R211="","",'Master'!R211)</x:f>
      </x:c>
      <x:c r="R31" s="100" t="str">
        <x:f>IF('Master'!S211="","",'Master'!S211)</x:f>
      </x:c>
      <x:c r="S31" s="100" t="str">
        <x:f>IF('Master'!T211="","",'Master'!T211)</x:f>
      </x:c>
      <x:c r="T31" s="100" t="str">
        <x:f>IF('Master'!U211="","",'Master'!U211)</x:f>
      </x:c>
      <x:c r="U31" s="100" t="str">
        <x:f>IF('Master'!V211="","",'Master'!V211)</x:f>
        <x:v>No</x:v>
      </x:c>
      <x:c r="V31" s="100" t="str">
        <x:f>IF('Master'!W211="","",'Master'!W211)</x:f>
      </x:c>
      <x:c r="W31" s="100" t="str">
        <x:f>IF('Master'!X211="","",'Master'!X211)</x:f>
      </x:c>
      <x:c r="X31" s="100" t="str">
        <x:f>IF('Master'!Y211="","",'Master'!Y211)</x:f>
      </x:c>
      <x:c r="Y31" s="100" t="str">
        <x:f>IF('Master'!Z211="","",'Master'!Z211)</x:f>
      </x:c>
      <x:c r="Z31" s="100" t="str">
        <x:f>IF('Master'!AA211="","",'Master'!AA211)</x:f>
      </x:c>
      <x:c r="AA31" s="104" t="str">
        <x:f>IF('Master'!AB211="","",'Master'!AB211)</x:f>
      </x:c>
      <x:c r="AB31" s="100" t="str">
        <x:f>IF('Master'!AC211="","",'Master'!AC211)</x:f>
      </x:c>
      <x:c r="AC31" s="100" t="str">
        <x:f>IF('Master'!AD211="","",'Master'!AD211)</x:f>
      </x:c>
      <x:c r="AD31" s="100" t="str">
        <x:f>IF('Master'!AE211="","",'Master'!AE211)</x:f>
      </x:c>
      <x:c r="AE31" s="100" t="str">
        <x:f>IF('Master'!AF211="","",'Master'!AF211)</x:f>
      </x:c>
      <x:c r="AF31" s="75" t="str">
        <x:f>IF('Master'!AG211="","",'Master'!AG211)</x:f>
      </x:c>
    </x:row>
    <x:row r="32" ht="36" customHeight="1">
      <x:c r="A32" s="135" t="str">
        <x:v>Watch Party / Synchronized Co-Watching</x:v>
      </x:c>
      <x:c r="B32" s="100" t="str">
        <x:f>IF('Master'!C288="","",'Master'!C288)</x:f>
        <x:v>Activities can provide co-watching</x:v>
      </x:c>
      <x:c r="C32" s="100" t="str">
        <x:f>IF('Master'!D288="","",'Master'!D288)</x:f>
      </x:c>
      <x:c r="D32" s="100" t="str">
        <x:f>IF('Master'!E288="","",'Master'!E288)</x:f>
      </x:c>
      <x:c r="E32" s="100" t="str">
        <x:f>IF('Master'!F288="","",'Master'!F288)</x:f>
      </x:c>
      <x:c r="F32" s="100" t="str">
        <x:f>IF('Master'!G288="","",'Master'!G288)</x:f>
      </x:c>
      <x:c r="G32" s="100" t="str">
        <x:f>IF('Master'!H288="","",'Master'!H288)</x:f>
      </x:c>
      <x:c r="H32" s="100" t="str">
        <x:f>IF('Master'!I288="","",'Master'!I288)</x:f>
      </x:c>
      <x:c r="I32" s="100" t="str">
        <x:f>IF('Master'!J288="","",'Master'!J288)</x:f>
      </x:c>
      <x:c r="J32" s="100" t="str">
        <x:f>IF('Master'!K288="","",'Master'!K288)</x:f>
      </x:c>
      <x:c r="K32" s="100" t="str">
        <x:f>IF('Master'!L288="","",'Master'!L288)</x:f>
        <x:v>No watch-party system documented</x:v>
      </x:c>
      <x:c r="L32" s="100" t="str">
        <x:f>IF('Master'!M288="","",'Master'!M288)</x:f>
      </x:c>
      <x:c r="M32" s="100" t="str">
        <x:f>IF('Master'!N288="","",'Master'!N288)</x:f>
      </x:c>
      <x:c r="N32" s="100" t="str">
        <x:f>IF('Master'!O288="","",'Master'!O288)</x:f>
      </x:c>
      <x:c r="O32" s="100" t="str">
        <x:f>IF('Master'!P288="","",'Master'!P288)</x:f>
      </x:c>
      <x:c r="P32" s="100" t="str">
        <x:f>IF('Master'!Q288="","",'Master'!Q288)</x:f>
      </x:c>
      <x:c r="Q32" s="100" t="str">
        <x:f>IF('Master'!R288="","",'Master'!R288)</x:f>
      </x:c>
      <x:c r="R32" s="100" t="str">
        <x:f>IF('Master'!S288="","",'Master'!S288)</x:f>
      </x:c>
      <x:c r="S32" s="100" t="str">
        <x:f>IF('Master'!T288="","",'Master'!T288)</x:f>
      </x:c>
      <x:c r="T32" s="100" t="str">
        <x:f>IF('Master'!U288="","",'Master'!U288)</x:f>
        <x:v>Yes</x:v>
      </x:c>
      <x:c r="U32" s="100" t="str">
        <x:f>IF('Master'!V288="","",'Master'!V288)</x:f>
        <x:v>Yes — YouTube/Twitch Watch Party</x:v>
      </x:c>
      <x:c r="V32" s="100" t="str">
        <x:f>IF('Master'!W288="","",'Master'!W288)</x:f>
      </x:c>
      <x:c r="W32" s="100" t="str">
        <x:f>IF('Master'!X288="","",'Master'!X288)</x:f>
      </x:c>
      <x:c r="X32" s="100" t="str">
        <x:f>IF('Master'!Y288="","",'Master'!Y288)</x:f>
      </x:c>
      <x:c r="Y32" s="100" t="str">
        <x:f>IF('Master'!Z288="","",'Master'!Z288)</x:f>
      </x:c>
      <x:c r="Z32" s="100" t="str">
        <x:f>IF('Master'!AA288="","",'Master'!AA288)</x:f>
      </x:c>
      <x:c r="AA32" s="104" t="str">
        <x:f>IF('Master'!AB288="","",'Master'!AB288)</x:f>
      </x:c>
      <x:c r="AB32" s="100" t="str">
        <x:f>IF('Master'!AC288="","",'Master'!AC288)</x:f>
      </x:c>
      <x:c r="AC32" s="100" t="str">
        <x:f>IF('Master'!AD288="","",'Master'!AD288)</x:f>
      </x:c>
      <x:c r="AD32" s="100" t="str">
        <x:f>IF('Master'!AE288="","",'Master'!AE288)</x:f>
      </x:c>
      <x:c r="AE32" s="100" t="str">
        <x:f>IF('Master'!AF288="","",'Master'!AF288)</x:f>
      </x:c>
      <x:c r="AF32" s="75" t="str">
        <x:f>IF('Master'!AG288="","",'Master'!AG288)</x:f>
      </x:c>
    </x:row>
    <x:row r="33" ht="36" customHeight="1">
      <x:c r="A33" s="135" t="str">
        <x:v>High-Fidelity / Music Mode</x:v>
      </x:c>
      <x:c r="B33" s="100" t="str">
        <x:f>IF('Master'!C289="","",'Master'!C289)</x:f>
      </x:c>
      <x:c r="C33" s="100" t="str">
        <x:f>IF('Master'!D289="","",'Master'!D289)</x:f>
      </x:c>
      <x:c r="D33" s="100" t="str">
        <x:f>IF('Master'!E289="","",'Master'!E289)</x:f>
      </x:c>
      <x:c r="E33" s="100" t="str">
        <x:f>IF('Master'!F289="","",'Master'!F289)</x:f>
      </x:c>
      <x:c r="F33" s="100" t="str">
        <x:f>IF('Master'!G289="","",'Master'!G289)</x:f>
      </x:c>
      <x:c r="G33" s="100" t="str">
        <x:f>IF('Master'!H289="","",'Master'!H289)</x:f>
      </x:c>
      <x:c r="H33" s="100" t="str">
        <x:f>IF('Master'!I289="","",'Master'!I289)</x:f>
      </x:c>
      <x:c r="I33" s="100" t="str">
        <x:f>IF('Master'!J289="","",'Master'!J289)</x:f>
      </x:c>
      <x:c r="J33" s="100" t="str">
        <x:f>IF('Master'!K289="","",'Master'!K289)</x:f>
      </x:c>
      <x:c r="K33" s="100" t="str">
        <x:f>IF('Master'!L289="","",'Master'!L289)</x:f>
        <x:v>Partial — browser 128 kbps Studio; desktop uses processed mono voice graph</x:v>
      </x:c>
      <x:c r="L33" s="100" t="str">
        <x:f>IF('Master'!M289="","",'Master'!M289)</x:f>
      </x:c>
      <x:c r="M33" s="100" t="str">
        <x:f>IF('Master'!N289="","",'Master'!N289)</x:f>
      </x:c>
      <x:c r="N33" s="100" t="str">
        <x:f>IF('Master'!O289="","",'Master'!O289)</x:f>
      </x:c>
      <x:c r="O33" s="100" t="str">
        <x:f>IF('Master'!P289="","",'Master'!P289)</x:f>
      </x:c>
      <x:c r="P33" s="100" t="str">
        <x:f>IF('Master'!Q289="","",'Master'!Q289)</x:f>
      </x:c>
      <x:c r="Q33" s="100" t="str">
        <x:f>IF('Master'!R289="","",'Master'!R289)</x:f>
      </x:c>
      <x:c r="R33" s="100" t="str">
        <x:f>IF('Master'!S289="","",'Master'!S289)</x:f>
      </x:c>
      <x:c r="S33" s="100" t="str">
        <x:f>IF('Master'!T289="","",'Master'!T289)</x:f>
      </x:c>
      <x:c r="T33" s="100" t="str">
        <x:f>IF('Master'!U289="","",'Master'!U289)</x:f>
      </x:c>
      <x:c r="U33" s="100" t="str">
        <x:f>IF('Master'!V289="","",'Master'!V289)</x:f>
        <x:v>No</x:v>
      </x:c>
      <x:c r="V33" s="100" t="str">
        <x:f>IF('Master'!W289="","",'Master'!W289)</x:f>
      </x:c>
      <x:c r="W33" s="100" t="str">
        <x:f>IF('Master'!X289="","",'Master'!X289)</x:f>
      </x:c>
      <x:c r="X33" s="100" t="str">
        <x:f>IF('Master'!Y289="","",'Master'!Y289)</x:f>
      </x:c>
      <x:c r="Y33" s="100" t="str">
        <x:f>IF('Master'!Z289="","",'Master'!Z289)</x:f>
      </x:c>
      <x:c r="Z33" s="100" t="str">
        <x:f>IF('Master'!AA289="","",'Master'!AA289)</x:f>
      </x:c>
      <x:c r="AA33" s="104" t="str">
        <x:f>IF('Master'!AB289="","",'Master'!AB289)</x:f>
        <x:v>Codec/settings dependent</x:v>
      </x:c>
      <x:c r="AB33" s="100" t="str">
        <x:f>IF('Master'!AC289="","",'Master'!AC289)</x:f>
      </x:c>
      <x:c r="AC33" s="100" t="str">
        <x:f>IF('Master'!AD289="","",'Master'!AD289)</x:f>
      </x:c>
      <x:c r="AD33" s="100" t="str">
        <x:f>IF('Master'!AE289="","",'Master'!AE289)</x:f>
      </x:c>
      <x:c r="AE33" s="100" t="str">
        <x:f>IF('Master'!AF289="","",'Master'!AF289)</x:f>
      </x:c>
      <x:c r="AF33" s="75" t="str">
        <x:f>IF('Master'!AG289="","",'Master'!AG289)</x:f>
      </x:c>
    </x:row>
  </x:sheetData>
  <x:mergeCells>
    <x:mergeCell ref="A1:AF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Directory'!A1","Files, Uploads &amp; Storage — Granular"),"Files, Uploads &amp; Storage — Granular")</x:f>
        <x:v>Files, Uploads &amp; Storage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Uploads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File Uploads Supported?</x:v>
      </x:c>
      <x:c r="B4" s="100" t="str">
        <x:f>IF('Master'!C290="","",'Master'!C290)</x:f>
        <x:v>Yes</x:v>
      </x:c>
      <x:c r="C4" s="100" t="str">
        <x:f>IF('Master'!D290="","",'Master'!D290)</x:f>
        <x:v>Yes</x:v>
      </x:c>
      <x:c r="D4" s="100" t="str">
        <x:f>IF('Master'!E290="","",'Master'!E290)</x:f>
        <x:v>Yes</x:v>
      </x:c>
      <x:c r="E4" s="100" t="str">
        <x:f>IF('Master'!F290="","",'Master'!F290)</x:f>
        <x:v>Yes</x:v>
      </x:c>
      <x:c r="F4" s="100" t="str">
        <x:f>IF('Master'!G290="","",'Master'!G290)</x:f>
        <x:v>Yes</x:v>
      </x:c>
      <x:c r="G4" s="100" t="str">
        <x:f>IF('Master'!H290="","",'Master'!H290)</x:f>
        <x:v>Yes</x:v>
      </x:c>
      <x:c r="H4" s="100" t="str">
        <x:f>IF('Master'!I290="","",'Master'!I290)</x:f>
        <x:v>Yes</x:v>
      </x:c>
      <x:c r="I4" s="100" t="str">
        <x:f>IF('Master'!J290="","",'Master'!J290)</x:f>
        <x:v>Yes</x:v>
      </x:c>
      <x:c r="J4" s="100" t="str">
        <x:f>IF('Master'!K290="","",'Master'!K290)</x:f>
        <x:v>Yes</x:v>
      </x:c>
      <x:c r="K4" s="100" t="str">
        <x:f>IF('Master'!L290="","",'Master'!L290)</x:f>
        <x:v>Yes</x:v>
      </x:c>
      <x:c r="L4" s="100" t="str">
        <x:f>IF('Master'!M290="","",'Master'!M290)</x:f>
        <x:v>Yes</x:v>
      </x:c>
      <x:c r="M4" s="100" t="str">
        <x:f>IF('Master'!N290="","",'Master'!N290)</x:f>
        <x:v>Yes</x:v>
      </x:c>
      <x:c r="N4" s="100" t="str">
        <x:f>IF('Master'!O290="","",'Master'!O290)</x:f>
        <x:v>Yes</x:v>
      </x:c>
      <x:c r="O4" s="100" t="str">
        <x:f>IF('Master'!P290="","",'Master'!P290)</x:f>
        <x:v>Yes</x:v>
      </x:c>
      <x:c r="P4" s="100" t="str">
        <x:f>IF('Master'!Q290="","",'Master'!Q290)</x:f>
        <x:v>Yes</x:v>
      </x:c>
      <x:c r="Q4" s="100" t="str">
        <x:f>IF('Master'!R290="","",'Master'!R290)</x:f>
        <x:v>No</x:v>
      </x:c>
      <x:c r="R4" s="100" t="str">
        <x:f>IF('Master'!S290="","",'Master'!S290)</x:f>
        <x:v>Yes</x:v>
      </x:c>
      <x:c r="S4" s="100" t="str">
        <x:f>IF('Master'!T290="","",'Master'!T290)</x:f>
        <x:v>Yes</x:v>
      </x:c>
      <x:c r="T4" s="100" t="str">
        <x:f>IF('Master'!U290="","",'Master'!U290)</x:f>
        <x:v>Yes</x:v>
      </x:c>
      <x:c r="U4" s="100" t="str">
        <x:f>IF('Master'!V290="","",'Master'!V290)</x:f>
        <x:v>Yes</x:v>
      </x:c>
      <x:c r="V4" s="100" t="str">
        <x:f>IF('Master'!W290="","",'Master'!W290)</x:f>
        <x:v>Yes</x:v>
      </x:c>
      <x:c r="W4" s="100" t="str">
        <x:f>IF('Master'!X290="","",'Master'!X290)</x:f>
        <x:v>Yes</x:v>
      </x:c>
      <x:c r="X4" s="100" t="str">
        <x:f>IF('Master'!Y290="","",'Master'!Y290)</x:f>
        <x:v>Yes</x:v>
      </x:c>
      <x:c r="Y4" s="100" t="str">
        <x:f>IF('Master'!Z290="","",'Master'!Z290)</x:f>
        <x:v>Yes</x:v>
      </x:c>
      <x:c r="Z4" s="100" t="str">
        <x:f>IF('Master'!AA290="","",'Master'!AA290)</x:f>
        <x:v>Yes</x:v>
      </x:c>
      <x:c r="AA4" s="104" t="str">
        <x:f>IF('Master'!AB290="","",'Master'!AB290)</x:f>
      </x:c>
      <x:c r="AB4" s="100" t="str">
        <x:f>IF('Master'!AC290="","",'Master'!AC290)</x:f>
        <x:v>Yes</x:v>
      </x:c>
      <x:c r="AC4" s="100" t="str">
        <x:f>IF('Master'!AD290="","",'Master'!AD290)</x:f>
        <x:v>Yes</x:v>
      </x:c>
      <x:c r="AD4" s="100" t="str">
        <x:f>IF('Master'!AE290="","",'Master'!AE290)</x:f>
        <x:v>Yes</x:v>
      </x:c>
      <x:c r="AE4" s="100" t="str">
        <x:f>IF('Master'!AF290="","",'Master'!AF290)</x:f>
        <x:v>Yes</x:v>
      </x:c>
      <x:c r="AF4" s="75" t="str">
        <x:f>IF('Master'!AG290="","",'Master'!AG290)</x:f>
        <x:v>Yes</x:v>
      </x:c>
    </x:row>
    <x:row r="5" ht="36" customHeight="1">
      <x:c r="A5" s="135" t="str">
        <x:v>Free Max File Upload (MB)</x:v>
      </x:c>
      <x:c r="B5" s="100" t="n">
        <x:f>IF('Master'!C291="","",'Master'!C291)</x:f>
        <x:v>20</x:v>
      </x:c>
      <x:c r="C5" s="100" t="str">
        <x:f>IF('Master'!D291="","",'Master'!D291)</x:f>
      </x:c>
      <x:c r="D5" s="100" t="str">
        <x:f>IF('Master'!E291="","",'Master'!E291)</x:f>
      </x:c>
      <x:c r="E5" s="100" t="str">
        <x:f>IF('Master'!F291="","",'Master'!F291)</x:f>
      </x:c>
      <x:c r="F5" s="100" t="str">
        <x:f>IF('Master'!G291="","",'Master'!G291)</x:f>
      </x:c>
      <x:c r="G5" s="100" t="str">
        <x:f>IF('Master'!H291="","",'Master'!H291)</x:f>
        <x:v>25</x:v>
      </x:c>
      <x:c r="H5" s="100" t="str">
        <x:f>IF('Master'!I291="","",'Master'!I291)</x:f>
        <x:v>500</x:v>
      </x:c>
      <x:c r="I5" s="100" t="n">
        <x:f>IF('Master'!J291="","",'Master'!J291)</x:f>
        <x:v>8</x:v>
      </x:c>
      <x:c r="J5" s="100" t="str">
        <x:f>IF('Master'!K291="","",'Master'!K291)</x:f>
      </x:c>
      <x:c r="K5" s="100" t="str">
        <x:f>IF('Master'!L291="","",'Master'!L291)</x:f>
        <x:v>15</x:v>
      </x:c>
      <x:c r="L5" s="100" t="str">
        <x:f>IF('Master'!M291="","",'Master'!M291)</x:f>
      </x:c>
      <x:c r="M5" s="100" t="str">
        <x:f>IF('Master'!N291="","",'Master'!N291)</x:f>
      </x:c>
      <x:c r="N5" s="100" t="str">
        <x:f>IF('Master'!O291="","",'Master'!O291)</x:f>
      </x:c>
      <x:c r="O5" s="100" t="str">
        <x:f>IF('Master'!P291="","",'Master'!P291)</x:f>
        <x:v>100 MB hard limit; configurable</x:v>
      </x:c>
      <x:c r="P5" s="100" t="str">
        <x:f>IF('Master'!Q291="","",'Master'!Q291)</x:f>
        <x:v>100 for video/other; images 50</x:v>
      </x:c>
      <x:c r="Q5" s="100" t="str">
        <x:f>IF('Master'!R291="","",'Master'!R291)</x:f>
      </x:c>
      <x:c r="R5" s="100" t="str">
        <x:f>IF('Master'!S291="","",'Master'!S291)</x:f>
      </x:c>
      <x:c r="S5" s="100" t="str">
        <x:f>IF('Master'!T291="","",'Master'!T291)</x:f>
      </x:c>
      <x:c r="T5" s="100" t="str">
        <x:f>IF('Master'!U291="","",'Master'!U291)</x:f>
        <x:v>Not publicly claimed</x:v>
      </x:c>
      <x:c r="U5" s="100" t="str">
        <x:f>IF('Master'!V291="","",'Master'!V291)</x:f>
        <x:v>50</x:v>
      </x:c>
      <x:c r="V5" s="100" t="str">
        <x:f>IF('Master'!W291="","",'Master'!W291)</x:f>
        <x:v>Configurable by workspace; self-managed can use -1 for no app-level limit</x:v>
      </x:c>
      <x:c r="W5" s="100" t="str">
        <x:f>IF('Master'!X291="","",'Master'!X291)</x:f>
      </x:c>
      <x:c r="X5" s="100" t="str">
        <x:f>IF('Master'!Y291="","",'Master'!Y291)</x:f>
        <x:v>25</x:v>
      </x:c>
      <x:c r="Y5" s="100" t="str">
        <x:f>IF('Master'!Z291="","",'Master'!Z291)</x:f>
      </x:c>
      <x:c r="Z5" s="100" t="str">
        <x:f>IF('Master'!AA291="","",'Master'!AA291)</x:f>
      </x:c>
      <x:c r="AA5" s="104" t="n">
        <x:f>IF('Master'!AB291="","",'Master'!AB291)</x:f>
        <x:v>10</x:v>
      </x:c>
      <x:c r="AB5" s="100" t="str">
        <x:f>IF('Master'!AC291="","",'Master'!AC291)</x:f>
      </x:c>
      <x:c r="AC5" s="100" t="str">
        <x:f>IF('Master'!AD291="","",'Master'!AD291)</x:f>
      </x:c>
      <x:c r="AD5" s="100" t="str">
        <x:f>IF('Master'!AE291="","",'Master'!AE291)</x:f>
      </x:c>
      <x:c r="AE5" s="100" t="str">
        <x:f>IF('Master'!AF291="","",'Master'!AF291)</x:f>
        <x:v>Configurable by server operator</x:v>
      </x:c>
      <x:c r="AF5" s="75" t="str">
        <x:f>IF('Master'!AG291="","",'Master'!AG291)</x:f>
      </x:c>
    </x:row>
    <x:row r="6" ht="36" customHeight="1">
      <x:c r="A6" s="135" t="str">
        <x:v>Paid Max File Upload (MB)</x:v>
      </x:c>
      <x:c r="B6" s="100" t="str">
        <x:f>IF('Master'!C292="","",'Master'!C292)</x:f>
        <x:v>500</x:v>
      </x:c>
      <x:c r="C6" s="100" t="str">
        <x:f>IF('Master'!D292="","",'Master'!D292)</x:f>
      </x:c>
      <x:c r="D6" s="100" t="str">
        <x:f>IF('Master'!E292="","",'Master'!E292)</x:f>
      </x:c>
      <x:c r="E6" s="100" t="str">
        <x:f>IF('Master'!F292="","",'Master'!F292)</x:f>
      </x:c>
      <x:c r="F6" s="100" t="str">
        <x:f>IF('Master'!G292="","",'Master'!G292)</x:f>
      </x:c>
      <x:c r="G6" s="100" t="str">
        <x:f>IF('Master'!H292="","",'Master'!H292)</x:f>
        <x:v>500</x:v>
      </x:c>
      <x:c r="H6" s="100" t="str">
        <x:f>IF('Master'!I292="","",'Master'!I292)</x:f>
        <x:v>10240</x:v>
      </x:c>
      <x:c r="I6" s="100" t="str">
        <x:f>IF('Master'!J292="","",'Master'!J292)</x:f>
      </x:c>
      <x:c r="J6" s="100" t="str">
        <x:f>IF('Master'!K292="","",'Master'!K292)</x:f>
      </x:c>
      <x:c r="K6" s="100" t="str">
        <x:f>IF('Master'!L292="","",'Master'!L292)</x:f>
        <x:v>No paid upload tier; self-host quotas are configurable</x:v>
      </x:c>
      <x:c r="L6" s="100" t="str">
        <x:f>IF('Master'!M292="","",'Master'!M292)</x:f>
      </x:c>
      <x:c r="M6" s="100" t="str">
        <x:f>IF('Master'!N292="","",'Master'!N292)</x:f>
      </x:c>
      <x:c r="N6" s="100" t="str">
        <x:f>IF('Master'!O292="","",'Master'!O292)</x:f>
      </x:c>
      <x:c r="O6" s="100" t="str">
        <x:f>IF('Master'!P292="","",'Master'!P292)</x:f>
      </x:c>
      <x:c r="P6" s="100" t="str">
        <x:f>IF('Master'!Q292="","",'Master'!Q292)</x:f>
        <x:v>N/A — no paid tier</x:v>
      </x:c>
      <x:c r="Q6" s="100" t="str">
        <x:f>IF('Master'!R292="","",'Master'!R292)</x:f>
      </x:c>
      <x:c r="R6" s="100" t="str">
        <x:f>IF('Master'!S292="","",'Master'!S292)</x:f>
      </x:c>
      <x:c r="S6" s="100" t="str">
        <x:f>IF('Master'!T292="","",'Master'!T292)</x:f>
      </x:c>
      <x:c r="T6" s="100" t="str">
        <x:f>IF('Master'!U292="","",'Master'!U292)</x:f>
        <x:v>No paid tier; hard limit not publicly claimed</x:v>
      </x:c>
      <x:c r="U6" s="100" t="str">
        <x:f>IF('Master'!V292="","",'Master'!V292)</x:f>
        <x:v>200 personal / 100 community-member cap</x:v>
      </x:c>
      <x:c r="V6" s="100" t="str">
        <x:f>IF('Master'!W292="","",'Master'!W292)</x:f>
      </x:c>
      <x:c r="W6" s="100" t="str">
        <x:f>IF('Master'!X292="","",'Master'!X292)</x:f>
      </x:c>
      <x:c r="X6" s="100" t="str">
        <x:f>IF('Master'!Y292="","",'Master'!Y292)</x:f>
      </x:c>
      <x:c r="Y6" s="100" t="str">
        <x:f>IF('Master'!Z292="","",'Master'!Z292)</x:f>
      </x:c>
      <x:c r="Z6" s="100" t="str">
        <x:f>IF('Master'!AA292="","",'Master'!AA292)</x:f>
      </x:c>
      <x:c r="AA6" s="104" t="str">
        <x:f>IF('Master'!AB292="","",'Master'!AB292)</x:f>
      </x:c>
      <x:c r="AB6" s="100" t="str">
        <x:f>IF('Master'!AC292="","",'Master'!AC292)</x:f>
      </x:c>
      <x:c r="AC6" s="100" t="str">
        <x:f>IF('Master'!AD292="","",'Master'!AD292)</x:f>
      </x:c>
      <x:c r="AD6" s="100" t="str">
        <x:f>IF('Master'!AE292="","",'Master'!AE292)</x:f>
      </x:c>
      <x:c r="AE6" s="100" t="str">
        <x:f>IF('Master'!AF292="","",'Master'!AF292)</x:f>
      </x:c>
      <x:c r="AF6" s="75" t="str">
        <x:f>IF('Master'!AG292="","",'Master'!AG292)</x:f>
      </x:c>
    </x:row>
    <x:row r="7" ht="36" customHeight="1">
      <x:c r="A7" s="135" t="str">
        <x:v>Absolute Max File Upload (MB)</x:v>
      </x:c>
      <x:c r="B7" s="100" t="str">
        <x:f>IF('Master'!C293="","",'Master'!C293)</x:f>
        <x:v>500</x:v>
      </x:c>
      <x:c r="C7" s="100" t="str">
        <x:f>IF('Master'!D293="","",'Master'!D293)</x:f>
      </x:c>
      <x:c r="D7" s="100" t="str">
        <x:f>IF('Master'!E293="","",'Master'!E293)</x:f>
      </x:c>
      <x:c r="E7" s="100" t="str">
        <x:f>IF('Master'!F293="","",'Master'!F293)</x:f>
      </x:c>
      <x:c r="F7" s="100" t="str">
        <x:f>IF('Master'!G293="","",'Master'!G293)</x:f>
      </x:c>
      <x:c r="G7" s="100" t="str">
        <x:f>IF('Master'!H293="","",'Master'!H293)</x:f>
        <x:v>500</x:v>
      </x:c>
      <x:c r="H7" s="100" t="str">
        <x:f>IF('Master'!I293="","",'Master'!I293)</x:f>
        <x:v>10240</x:v>
      </x:c>
      <x:c r="I7" s="100" t="str">
        <x:f>IF('Master'!J293="","",'Master'!J293)</x:f>
      </x:c>
      <x:c r="J7" s="100" t="str">
        <x:f>IF('Master'!K293="","",'Master'!K293)</x:f>
      </x:c>
      <x:c r="K7" s="100" t="str">
        <x:f>IF('Master'!L293="","",'Master'!L293)</x:f>
        <x:v>Configurable by self-host operator; official instance developer-reported limit is 15 MB</x:v>
      </x:c>
      <x:c r="L7" s="100" t="str">
        <x:f>IF('Master'!M293="","",'Master'!M293)</x:f>
      </x:c>
      <x:c r="M7" s="100" t="str">
        <x:f>IF('Master'!N293="","",'Master'!N293)</x:f>
      </x:c>
      <x:c r="N7" s="100" t="str">
        <x:f>IF('Master'!O293="","",'Master'!O293)</x:f>
      </x:c>
      <x:c r="O7" s="100" t="str">
        <x:f>IF('Master'!P293="","",'Master'!P293)</x:f>
      </x:c>
      <x:c r="P7" s="100" t="str">
        <x:f>IF('Master'!Q293="","",'Master'!Q293)</x:f>
        <x:v>100 verified</x:v>
      </x:c>
      <x:c r="Q7" s="100" t="str">
        <x:f>IF('Master'!R293="","",'Master'!R293)</x:f>
      </x:c>
      <x:c r="R7" s="100" t="str">
        <x:f>IF('Master'!S293="","",'Master'!S293)</x:f>
      </x:c>
      <x:c r="S7" s="100" t="str">
        <x:f>IF('Master'!T293="","",'Master'!T293)</x:f>
      </x:c>
      <x:c r="T7" s="100" t="str">
        <x:f>IF('Master'!U293="","",'Master'!U293)</x:f>
        <x:v>Not publicly claimed</x:v>
      </x:c>
      <x:c r="U7" s="100" t="str">
        <x:f>IF('Master'!V293="","",'Master'!V293)</x:f>
        <x:v>200</x:v>
      </x:c>
      <x:c r="V7" s="100" t="str">
        <x:f>IF('Master'!W293="","",'Master'!W293)</x:f>
      </x:c>
      <x:c r="W7" s="100" t="str">
        <x:f>IF('Master'!X293="","",'Master'!X293)</x:f>
      </x:c>
      <x:c r="X7" s="100" t="str">
        <x:f>IF('Master'!Y293="","",'Master'!Y293)</x:f>
        <x:v>25 verified</x:v>
      </x:c>
      <x:c r="Y7" s="100" t="str">
        <x:f>IF('Master'!Z293="","",'Master'!Z293)</x:f>
      </x:c>
      <x:c r="Z7" s="100" t="str">
        <x:f>IF('Master'!AA293="","",'Master'!AA293)</x:f>
      </x:c>
      <x:c r="AA7" s="104" t="str">
        <x:f>IF('Master'!AB293="","",'Master'!AB293)</x:f>
      </x:c>
      <x:c r="AB7" s="100" t="str">
        <x:f>IF('Master'!AC293="","",'Master'!AC293)</x:f>
      </x:c>
      <x:c r="AC7" s="100" t="str">
        <x:f>IF('Master'!AD293="","",'Master'!AD293)</x:f>
      </x:c>
      <x:c r="AD7" s="100" t="str">
        <x:f>IF('Master'!AE293="","",'Master'!AE293)</x:f>
      </x:c>
      <x:c r="AE7" s="100" t="str">
        <x:f>IF('Master'!AF293="","",'Master'!AF293)</x:f>
      </x:c>
      <x:c r="AF7" s="75" t="str">
        <x:f>IF('Master'!AG293="","",'Master'!AG293)</x:f>
      </x:c>
    </x:row>
    <x:row r="8" ht="36" customHeight="1">
      <x:c r="A8" s="135" t="str">
        <x:v>Max Files Per Message</x:v>
      </x:c>
      <x:c r="B8" s="100" t="str">
        <x:f>IF('Master'!C294="","",'Master'!C294)</x:f>
      </x:c>
      <x:c r="C8" s="100" t="str">
        <x:f>IF('Master'!D294="","",'Master'!D294)</x:f>
      </x:c>
      <x:c r="D8" s="100" t="str">
        <x:f>IF('Master'!E294="","",'Master'!E294)</x:f>
      </x:c>
      <x:c r="E8" s="100" t="str">
        <x:f>IF('Master'!F294="","",'Master'!F294)</x:f>
      </x:c>
      <x:c r="F8" s="100" t="str">
        <x:f>IF('Master'!G294="","",'Master'!G294)</x:f>
      </x:c>
      <x:c r="G8" s="100" t="str">
        <x:f>IF('Master'!H294="","",'Master'!H294)</x:f>
      </x:c>
      <x:c r="H8" s="100" t="str">
        <x:f>IF('Master'!I294="","",'Master'!I294)</x:f>
      </x:c>
      <x:c r="I8" s="100" t="str">
        <x:f>IF('Master'!J294="","",'Master'!J294)</x:f>
      </x:c>
      <x:c r="J8" s="100" t="str">
        <x:f>IF('Master'!K294="","",'Master'!K294)</x:f>
      </x:c>
      <x:c r="K8" s="100" t="str">
        <x:f>IF('Master'!L294="","",'Master'!L294)</x:f>
      </x:c>
      <x:c r="L8" s="100" t="str">
        <x:f>IF('Master'!M294="","",'Master'!M294)</x:f>
      </x:c>
      <x:c r="M8" s="100" t="str">
        <x:f>IF('Master'!N294="","",'Master'!N294)</x:f>
      </x:c>
      <x:c r="N8" s="100" t="str">
        <x:f>IF('Master'!O294="","",'Master'!O294)</x:f>
      </x:c>
      <x:c r="O8" s="100" t="str">
        <x:f>IF('Master'!P294="","",'Master'!P294)</x:f>
      </x:c>
      <x:c r="P8" s="100" t="str">
        <x:f>IF('Master'!Q294="","",'Master'!Q294)</x:f>
      </x:c>
      <x:c r="Q8" s="100" t="str">
        <x:f>IF('Master'!R294="","",'Master'!R294)</x:f>
      </x:c>
      <x:c r="R8" s="100" t="str">
        <x:f>IF('Master'!S294="","",'Master'!S294)</x:f>
      </x:c>
      <x:c r="S8" s="100" t="str">
        <x:f>IF('Master'!T294="","",'Master'!T294)</x:f>
      </x:c>
      <x:c r="T8" s="100" t="str">
        <x:f>IF('Master'!U294="","",'Master'!U294)</x:f>
      </x:c>
      <x:c r="U8" s="100" t="str">
        <x:f>IF('Master'!V294="","",'Master'!V294)</x:f>
        <x:v>U/K</x:v>
      </x:c>
      <x:c r="V8" s="100" t="str">
        <x:f>IF('Master'!W294="","",'Master'!W294)</x:f>
      </x:c>
      <x:c r="W8" s="100" t="str">
        <x:f>IF('Master'!X294="","",'Master'!X294)</x:f>
      </x:c>
      <x:c r="X8" s="100" t="str">
        <x:f>IF('Master'!Y294="","",'Master'!Y294)</x:f>
        <x:v>10</x:v>
      </x:c>
      <x:c r="Y8" s="100" t="str">
        <x:f>IF('Master'!Z294="","",'Master'!Z294)</x:f>
      </x:c>
      <x:c r="Z8" s="100" t="str">
        <x:f>IF('Master'!AA294="","",'Master'!AA294)</x:f>
      </x:c>
      <x:c r="AA8" s="104" t="str">
        <x:f>IF('Master'!AB294="","",'Master'!AB294)</x:f>
      </x:c>
      <x:c r="AB8" s="100" t="str">
        <x:f>IF('Master'!AC294="","",'Master'!AC294)</x:f>
      </x:c>
      <x:c r="AC8" s="100" t="str">
        <x:f>IF('Master'!AD294="","",'Master'!AD294)</x:f>
      </x:c>
      <x:c r="AD8" s="100" t="str">
        <x:f>IF('Master'!AE294="","",'Master'!AE294)</x:f>
      </x:c>
      <x:c r="AE8" s="100" t="str">
        <x:f>IF('Master'!AF294="","",'Master'!AF294)</x:f>
      </x:c>
      <x:c r="AF8" s="75" t="str">
        <x:f>IF('Master'!AG294="","",'Master'!AG294)</x:f>
      </x:c>
    </x:row>
    <x:row r="9" ht="36" customHeight="1">
      <x:c r="A9" s="135" t="str">
        <x:v>Image Upload Max (MB)</x:v>
      </x:c>
      <x:c r="B9" s="100" t="str">
        <x:f>IF('Master'!C295="","",'Master'!C295)</x:f>
      </x:c>
      <x:c r="C9" s="100" t="str">
        <x:f>IF('Master'!D295="","",'Master'!D295)</x:f>
      </x:c>
      <x:c r="D9" s="100" t="str">
        <x:f>IF('Master'!E295="","",'Master'!E295)</x:f>
      </x:c>
      <x:c r="E9" s="100" t="str">
        <x:f>IF('Master'!F295="","",'Master'!F295)</x:f>
      </x:c>
      <x:c r="F9" s="100" t="str">
        <x:f>IF('Master'!G295="","",'Master'!G295)</x:f>
      </x:c>
      <x:c r="G9" s="100" t="str">
        <x:f>IF('Master'!H295="","",'Master'!H295)</x:f>
      </x:c>
      <x:c r="H9" s="100" t="str">
        <x:f>IF('Master'!I295="","",'Master'!I295)</x:f>
      </x:c>
      <x:c r="I9" s="100" t="str">
        <x:f>IF('Master'!J295="","",'Master'!J295)</x:f>
      </x:c>
      <x:c r="J9" s="100" t="str">
        <x:f>IF('Master'!K295="","",'Master'!K295)</x:f>
      </x:c>
      <x:c r="K9" s="100" t="str">
        <x:f>IF('Master'!L295="","",'Master'!L295)</x:f>
        <x:v>15</x:v>
      </x:c>
      <x:c r="L9" s="100" t="str">
        <x:f>IF('Master'!M295="","",'Master'!M295)</x:f>
      </x:c>
      <x:c r="M9" s="100" t="str">
        <x:f>IF('Master'!N295="","",'Master'!N295)</x:f>
      </x:c>
      <x:c r="N9" s="100" t="str">
        <x:f>IF('Master'!O295="","",'Master'!O295)</x:f>
      </x:c>
      <x:c r="O9" s="100" t="str">
        <x:f>IF('Master'!P295="","",'Master'!P295)</x:f>
      </x:c>
      <x:c r="P9" s="100" t="str">
        <x:f>IF('Master'!Q295="","",'Master'!Q295)</x:f>
        <x:v>50</x:v>
      </x:c>
      <x:c r="Q9" s="100" t="str">
        <x:f>IF('Master'!R295="","",'Master'!R295)</x:f>
      </x:c>
      <x:c r="R9" s="100" t="str">
        <x:f>IF('Master'!S295="","",'Master'!S295)</x:f>
      </x:c>
      <x:c r="S9" s="100" t="str">
        <x:f>IF('Master'!T295="","",'Master'!T295)</x:f>
      </x:c>
      <x:c r="T9" s="100" t="str">
        <x:f>IF('Master'!U295="","",'Master'!U295)</x:f>
      </x:c>
      <x:c r="U9" s="100" t="str">
        <x:f>IF('Master'!V295="","",'Master'!V295)</x:f>
        <x:v>50 Free / 300 Rift+</x:v>
      </x:c>
      <x:c r="V9" s="100" t="str">
        <x:f>IF('Master'!W295="","",'Master'!W295)</x:f>
      </x:c>
      <x:c r="W9" s="100" t="str">
        <x:f>IF('Master'!X295="","",'Master'!X295)</x:f>
      </x:c>
      <x:c r="X9" s="100" t="str">
        <x:f>IF('Master'!Y295="","",'Master'!Y295)</x:f>
      </x:c>
      <x:c r="Y9" s="100" t="str">
        <x:f>IF('Master'!Z295="","",'Master'!Z295)</x:f>
      </x:c>
      <x:c r="Z9" s="100" t="str">
        <x:f>IF('Master'!AA295="","",'Master'!AA295)</x:f>
      </x:c>
      <x:c r="AA9" s="104" t="str">
        <x:f>IF('Master'!AB295="","",'Master'!AB295)</x:f>
      </x:c>
      <x:c r="AB9" s="100" t="str">
        <x:f>IF('Master'!AC295="","",'Master'!AC295)</x:f>
      </x:c>
      <x:c r="AC9" s="100" t="str">
        <x:f>IF('Master'!AD295="","",'Master'!AD295)</x:f>
      </x:c>
      <x:c r="AD9" s="100" t="str">
        <x:f>IF('Master'!AE295="","",'Master'!AE295)</x:f>
      </x:c>
      <x:c r="AE9" s="100" t="str">
        <x:f>IF('Master'!AF295="","",'Master'!AF295)</x:f>
      </x:c>
      <x:c r="AF9" s="75" t="str">
        <x:f>IF('Master'!AG295="","",'Master'!AG295)</x:f>
      </x:c>
    </x:row>
    <x:row r="10" ht="36" customHeight="1">
      <x:c r="A10" s="135" t="str">
        <x:v>Video Upload Max (MB)</x:v>
      </x:c>
      <x:c r="B10" s="100" t="str">
        <x:f>IF('Master'!C296="","",'Master'!C296)</x:f>
      </x:c>
      <x:c r="C10" s="100" t="str">
        <x:f>IF('Master'!D296="","",'Master'!D296)</x:f>
      </x:c>
      <x:c r="D10" s="100" t="str">
        <x:f>IF('Master'!E296="","",'Master'!E296)</x:f>
      </x:c>
      <x:c r="E10" s="100" t="str">
        <x:f>IF('Master'!F296="","",'Master'!F296)</x:f>
      </x:c>
      <x:c r="F10" s="100" t="str">
        <x:f>IF('Master'!G296="","",'Master'!G296)</x:f>
      </x:c>
      <x:c r="G10" s="100" t="str">
        <x:f>IF('Master'!H296="","",'Master'!H296)</x:f>
      </x:c>
      <x:c r="H10" s="100" t="str">
        <x:f>IF('Master'!I296="","",'Master'!I296)</x:f>
      </x:c>
      <x:c r="I10" s="100" t="str">
        <x:f>IF('Master'!J296="","",'Master'!J296)</x:f>
      </x:c>
      <x:c r="J10" s="100" t="str">
        <x:f>IF('Master'!K296="","",'Master'!K296)</x:f>
      </x:c>
      <x:c r="K10" s="100" t="str">
        <x:f>IF('Master'!L296="","",'Master'!L296)</x:f>
        <x:v>15</x:v>
      </x:c>
      <x:c r="L10" s="100" t="str">
        <x:f>IF('Master'!M296="","",'Master'!M296)</x:f>
      </x:c>
      <x:c r="M10" s="100" t="str">
        <x:f>IF('Master'!N296="","",'Master'!N296)</x:f>
      </x:c>
      <x:c r="N10" s="100" t="str">
        <x:f>IF('Master'!O296="","",'Master'!O296)</x:f>
      </x:c>
      <x:c r="O10" s="100" t="str">
        <x:f>IF('Master'!P296="","",'Master'!P296)</x:f>
      </x:c>
      <x:c r="P10" s="100" t="str">
        <x:f>IF('Master'!Q296="","",'Master'!Q296)</x:f>
        <x:v>100</x:v>
      </x:c>
      <x:c r="Q10" s="100" t="str">
        <x:f>IF('Master'!R296="","",'Master'!R296)</x:f>
      </x:c>
      <x:c r="R10" s="100" t="str">
        <x:f>IF('Master'!S296="","",'Master'!S296)</x:f>
      </x:c>
      <x:c r="S10" s="100" t="str">
        <x:f>IF('Master'!T296="","",'Master'!T296)</x:f>
      </x:c>
      <x:c r="T10" s="100" t="str">
        <x:f>IF('Master'!U296="","",'Master'!U296)</x:f>
      </x:c>
      <x:c r="U10" s="100" t="str">
        <x:f>IF('Master'!V296="","",'Master'!V296)</x:f>
        <x:v>50 Free / 300 Rift+</x:v>
      </x:c>
      <x:c r="V10" s="100" t="str">
        <x:f>IF('Master'!W296="","",'Master'!W296)</x:f>
      </x:c>
      <x:c r="W10" s="100" t="str">
        <x:f>IF('Master'!X296="","",'Master'!X296)</x:f>
      </x:c>
      <x:c r="X10" s="100" t="str">
        <x:f>IF('Master'!Y296="","",'Master'!Y296)</x:f>
      </x:c>
      <x:c r="Y10" s="100" t="str">
        <x:f>IF('Master'!Z296="","",'Master'!Z296)</x:f>
      </x:c>
      <x:c r="Z10" s="100" t="str">
        <x:f>IF('Master'!AA296="","",'Master'!AA296)</x:f>
      </x:c>
      <x:c r="AA10" s="104" t="str">
        <x:f>IF('Master'!AB296="","",'Master'!AB296)</x:f>
      </x:c>
      <x:c r="AB10" s="100" t="str">
        <x:f>IF('Master'!AC296="","",'Master'!AC296)</x:f>
      </x:c>
      <x:c r="AC10" s="100" t="str">
        <x:f>IF('Master'!AD296="","",'Master'!AD296)</x:f>
      </x:c>
      <x:c r="AD10" s="100" t="str">
        <x:f>IF('Master'!AE296="","",'Master'!AE296)</x:f>
      </x:c>
      <x:c r="AE10" s="100" t="str">
        <x:f>IF('Master'!AF296="","",'Master'!AF296)</x:f>
      </x:c>
      <x:c r="AF10" s="75" t="str">
        <x:f>IF('Master'!AG296="","",'Master'!AG296)</x:f>
      </x:c>
    </x:row>
    <x:row r="11" ht="36" customHeight="1">
      <x:c r="A11" s="135" t="str">
        <x:v>Other File Upload Max (MB)</x:v>
      </x:c>
      <x:c r="B11" s="100" t="str">
        <x:f>IF('Master'!C297="","",'Master'!C297)</x:f>
      </x:c>
      <x:c r="C11" s="100" t="str">
        <x:f>IF('Master'!D297="","",'Master'!D297)</x:f>
      </x:c>
      <x:c r="D11" s="100" t="str">
        <x:f>IF('Master'!E297="","",'Master'!E297)</x:f>
      </x:c>
      <x:c r="E11" s="100" t="str">
        <x:f>IF('Master'!F297="","",'Master'!F297)</x:f>
      </x:c>
      <x:c r="F11" s="100" t="str">
        <x:f>IF('Master'!G297="","",'Master'!G297)</x:f>
      </x:c>
      <x:c r="G11" s="100" t="str">
        <x:f>IF('Master'!H297="","",'Master'!H297)</x:f>
      </x:c>
      <x:c r="H11" s="100" t="str">
        <x:f>IF('Master'!I297="","",'Master'!I297)</x:f>
      </x:c>
      <x:c r="I11" s="100" t="str">
        <x:f>IF('Master'!J297="","",'Master'!J297)</x:f>
      </x:c>
      <x:c r="J11" s="100" t="str">
        <x:f>IF('Master'!K297="","",'Master'!K297)</x:f>
      </x:c>
      <x:c r="K11" s="100" t="str">
        <x:f>IF('Master'!L297="","",'Master'!L297)</x:f>
        <x:v>15</x:v>
      </x:c>
      <x:c r="L11" s="100" t="str">
        <x:f>IF('Master'!M297="","",'Master'!M297)</x:f>
      </x:c>
      <x:c r="M11" s="100" t="str">
        <x:f>IF('Master'!N297="","",'Master'!N297)</x:f>
      </x:c>
      <x:c r="N11" s="100" t="str">
        <x:f>IF('Master'!O297="","",'Master'!O297)</x:f>
      </x:c>
      <x:c r="O11" s="100" t="str">
        <x:f>IF('Master'!P297="","",'Master'!P297)</x:f>
      </x:c>
      <x:c r="P11" s="100" t="str">
        <x:f>IF('Master'!Q297="","",'Master'!Q297)</x:f>
        <x:v>100</x:v>
      </x:c>
      <x:c r="Q11" s="100" t="str">
        <x:f>IF('Master'!R297="","",'Master'!R297)</x:f>
      </x:c>
      <x:c r="R11" s="100" t="str">
        <x:f>IF('Master'!S297="","",'Master'!S297)</x:f>
      </x:c>
      <x:c r="S11" s="100" t="str">
        <x:f>IF('Master'!T297="","",'Master'!T297)</x:f>
      </x:c>
      <x:c r="T11" s="100" t="str">
        <x:f>IF('Master'!U297="","",'Master'!U297)</x:f>
      </x:c>
      <x:c r="U11" s="100" t="str">
        <x:f>IF('Master'!V297="","",'Master'!V297)</x:f>
        <x:v>50 Free / 300 Rift+</x:v>
      </x:c>
      <x:c r="V11" s="100" t="str">
        <x:f>IF('Master'!W297="","",'Master'!W297)</x:f>
      </x:c>
      <x:c r="W11" s="100" t="str">
        <x:f>IF('Master'!X297="","",'Master'!X297)</x:f>
      </x:c>
      <x:c r="X11" s="100" t="str">
        <x:f>IF('Master'!Y297="","",'Master'!Y297)</x:f>
      </x:c>
      <x:c r="Y11" s="100" t="str">
        <x:f>IF('Master'!Z297="","",'Master'!Z297)</x:f>
      </x:c>
      <x:c r="Z11" s="100" t="str">
        <x:f>IF('Master'!AA297="","",'Master'!AA297)</x:f>
      </x:c>
      <x:c r="AA11" s="104" t="str">
        <x:f>IF('Master'!AB297="","",'Master'!AB297)</x:f>
      </x:c>
      <x:c r="AB11" s="100" t="str">
        <x:f>IF('Master'!AC297="","",'Master'!AC297)</x:f>
      </x:c>
      <x:c r="AC11" s="100" t="str">
        <x:f>IF('Master'!AD297="","",'Master'!AD297)</x:f>
      </x:c>
      <x:c r="AD11" s="100" t="str">
        <x:f>IF('Master'!AE297="","",'Master'!AE297)</x:f>
      </x:c>
      <x:c r="AE11" s="100" t="str">
        <x:f>IF('Master'!AF297="","",'Master'!AF297)</x:f>
      </x:c>
      <x:c r="AF11" s="75" t="str">
        <x:f>IF('Master'!AG297="","",'Master'!AG297)</x:f>
      </x:c>
    </x:row>
    <x:row r="12" ht="23.100000381469727" customHeight="1">
      <x:c r="A12" s="135" t="str">
        <x:v>Soundboard Clip Max (MB)</x:v>
      </x:c>
      <x:c r="B12" s="102" t="str">
        <x:f>IF('Master'!C298="","",'Master'!C298)</x:f>
      </x:c>
      <x:c r="C12" s="102" t="str">
        <x:f>IF('Master'!D298="","",'Master'!D298)</x:f>
      </x:c>
      <x:c r="D12" s="102" t="str">
        <x:f>IF('Master'!E298="","",'Master'!E298)</x:f>
      </x:c>
      <x:c r="E12" s="102" t="str">
        <x:f>IF('Master'!F298="","",'Master'!F298)</x:f>
      </x:c>
      <x:c r="F12" s="102" t="str">
        <x:f>IF('Master'!G298="","",'Master'!G298)</x:f>
      </x:c>
      <x:c r="G12" s="102" t="str">
        <x:f>IF('Master'!H298="","",'Master'!H298)</x:f>
      </x:c>
      <x:c r="H12" s="102" t="str">
        <x:f>IF('Master'!I298="","",'Master'!I298)</x:f>
      </x:c>
      <x:c r="I12" s="102" t="str">
        <x:f>IF('Master'!J298="","",'Master'!J298)</x:f>
      </x:c>
      <x:c r="J12" s="102" t="str">
        <x:f>IF('Master'!K298="","",'Master'!K298)</x:f>
      </x:c>
      <x:c r="K12" s="102" t="str">
        <x:f>IF('Master'!L298="","",'Master'!L298)</x:f>
      </x:c>
      <x:c r="L12" s="102" t="str">
        <x:f>IF('Master'!M298="","",'Master'!M298)</x:f>
      </x:c>
      <x:c r="M12" s="102" t="str">
        <x:f>IF('Master'!N298="","",'Master'!N298)</x:f>
      </x:c>
      <x:c r="N12" s="102" t="str">
        <x:f>IF('Master'!O298="","",'Master'!O298)</x:f>
      </x:c>
      <x:c r="O12" s="102" t="str">
        <x:f>IF('Master'!P298="","",'Master'!P298)</x:f>
      </x:c>
      <x:c r="P12" s="102" t="str">
        <x:f>IF('Master'!Q298="","",'Master'!Q298)</x:f>
      </x:c>
      <x:c r="Q12" s="102" t="str">
        <x:f>IF('Master'!R298="","",'Master'!R298)</x:f>
      </x:c>
      <x:c r="R12" s="102" t="str">
        <x:f>IF('Master'!S298="","",'Master'!S298)</x:f>
      </x:c>
      <x:c r="S12" s="102" t="str">
        <x:f>IF('Master'!T298="","",'Master'!T298)</x:f>
      </x:c>
      <x:c r="T12" s="102" t="str">
        <x:f>IF('Master'!U298="","",'Master'!U298)</x:f>
      </x:c>
      <x:c r="U12" s="102" t="str">
        <x:f>IF('Master'!V298="","",'Master'!V298)</x:f>
        <x:v>8 seconds or shorter</x:v>
      </x:c>
      <x:c r="V12" s="102" t="str">
        <x:f>IF('Master'!W298="","",'Master'!W298)</x:f>
      </x:c>
      <x:c r="W12" s="102" t="str">
        <x:f>IF('Master'!X298="","",'Master'!X298)</x:f>
      </x:c>
      <x:c r="X12" s="102" t="str">
        <x:f>IF('Master'!Y298="","",'Master'!Y298)</x:f>
      </x:c>
      <x:c r="Y12" s="102" t="str">
        <x:f>IF('Master'!Z298="","",'Master'!Z298)</x:f>
      </x:c>
      <x:c r="Z12" s="102" t="str">
        <x:f>IF('Master'!AA298="","",'Master'!AA298)</x:f>
      </x:c>
      <x:c r="AA12" s="103" t="str">
        <x:f>IF('Master'!AB298="","",'Master'!AB298)</x:f>
      </x:c>
      <x:c r="AB12" s="102" t="str">
        <x:f>IF('Master'!AC298="","",'Master'!AC298)</x:f>
      </x:c>
      <x:c r="AC12" s="102" t="str">
        <x:f>IF('Master'!AD298="","",'Master'!AD298)</x:f>
      </x:c>
      <x:c r="AD12" s="102" t="str">
        <x:f>IF('Master'!AE298="","",'Master'!AE298)</x:f>
      </x:c>
      <x:c r="AE12" s="102" t="str">
        <x:f>IF('Master'!AF298="","",'Master'!AF298)</x:f>
      </x:c>
      <x:c r="AF12" s="75" t="str">
        <x:f>IF('Master'!AG298="","",'Master'!AG298)</x:f>
      </x:c>
    </x:row>
    <x:row r="13" ht="22" customHeight="1">
      <x:c r="A13" s="138" t="str">
        <x:v>Storage</x:v>
      </x:c>
      <x:c r="B13" s="138" t="str">
        <x:f>IF(""="","","")</x:f>
      </x:c>
      <x:c r="C13" s="138" t="str">
        <x:f>IF(""="","","")</x:f>
      </x:c>
      <x:c r="D13" s="138" t="str">
        <x:f>IF(""="","","")</x:f>
      </x:c>
      <x:c r="E13" s="138" t="str">
        <x:f>IF(""="","","")</x:f>
      </x:c>
      <x:c r="F13" s="138" t="str">
        <x:f>IF(""="","","")</x:f>
      </x:c>
      <x:c r="G13" s="138" t="str">
        <x:f>IF(""="","","")</x:f>
      </x:c>
      <x:c r="H13" s="138" t="str">
        <x:f>IF(""="","","")</x:f>
      </x:c>
      <x:c r="I13" s="138" t="str">
        <x:f>IF(""="","","")</x:f>
      </x:c>
      <x:c r="J13" s="138" t="str">
        <x:f>IF(""="","","")</x:f>
      </x:c>
      <x:c r="K13" s="138" t="str">
        <x:f>IF(""="","","")</x:f>
      </x:c>
      <x:c r="L13" s="138" t="str">
        <x:f>IF(""="","","")</x:f>
      </x:c>
      <x:c r="M13" s="138" t="str">
        <x:f>IF(""="","","")</x:f>
      </x:c>
      <x:c r="N13" s="138" t="str">
        <x:f>IF(""="","","")</x:f>
      </x:c>
      <x:c r="O13" s="138" t="str">
        <x:f>IF(""="","","")</x:f>
      </x:c>
      <x:c r="P13" s="138" t="str">
        <x:f>IF(""="","","")</x:f>
      </x:c>
      <x:c r="Q13" s="138" t="str">
        <x:f>IF(""="","","")</x:f>
      </x:c>
      <x:c r="R13" s="138" t="str">
        <x:f>IF(""="","","")</x:f>
      </x:c>
      <x:c r="S13" s="138" t="str">
        <x:f>IF(""="","","")</x:f>
      </x:c>
      <x:c r="T13" s="138" t="str">
        <x:f>IF(""="","","")</x:f>
      </x:c>
      <x:c r="U13" s="138" t="str">
        <x:f>IF(""="","","")</x:f>
      </x:c>
      <x:c r="V13" s="138" t="str">
        <x:f>IF(""="","","")</x:f>
      </x:c>
      <x:c r="W13" s="138" t="str">
        <x:f>IF(""="","","")</x:f>
      </x:c>
      <x:c r="X13" s="138" t="str">
        <x:f>IF(""="","","")</x:f>
      </x:c>
      <x:c r="Y13" s="138" t="str">
        <x:f>IF(""="","","")</x:f>
      </x:c>
      <x:c r="Z13" s="138" t="str">
        <x:f>IF(""="","","")</x:f>
      </x:c>
      <x:c r="AA13" s="138" t="str">
        <x:f>IF(""="","","")</x:f>
      </x:c>
      <x:c r="AB13" s="138" t="str">
        <x:f>IF(""="","","")</x:f>
      </x:c>
      <x:c r="AC13" s="138" t="str">
        <x:f>IF(""="","","")</x:f>
      </x:c>
      <x:c r="AD13" s="138" t="str">
        <x:f>IF(""="","","")</x:f>
      </x:c>
      <x:c r="AE13" s="138" t="str">
        <x:f>IF(""="","","")</x:f>
      </x:c>
      <x:c r="AF13" s="139" t="str">
        <x:f>IF(""="","","")</x:f>
      </x:c>
    </x:row>
    <x:row r="14" ht="36" customHeight="1">
      <x:c r="A14" s="135" t="str">
        <x:v>Free Total Storage</x:v>
      </x:c>
      <x:c r="B14" s="100" t="str">
        <x:f>IF('Master'!C299="","",'Master'!C299)</x:f>
      </x:c>
      <x:c r="C14" s="100" t="str">
        <x:f>IF('Master'!D299="","",'Master'!D299)</x:f>
      </x:c>
      <x:c r="D14" s="100" t="str">
        <x:f>IF('Master'!E299="","",'Master'!E299)</x:f>
      </x:c>
      <x:c r="E14" s="100" t="str">
        <x:f>IF('Master'!F299="","",'Master'!F299)</x:f>
      </x:c>
      <x:c r="F14" s="100" t="str">
        <x:f>IF('Master'!G299="","",'Master'!G299)</x:f>
      </x:c>
      <x:c r="G14" s="100" t="str">
        <x:f>IF('Master'!H299="","",'Master'!H299)</x:f>
      </x:c>
      <x:c r="H14" s="100" t="str">
        <x:f>IF('Master'!I299="","",'Master'!I299)</x:f>
        <x:v>2 GB per Standard server</x:v>
      </x:c>
      <x:c r="I14" s="100" t="str">
        <x:f>IF('Master'!J299="","",'Master'!J299)</x:f>
      </x:c>
      <x:c r="J14" s="100" t="str">
        <x:f>IF('Master'!K299="","",'Master'!K299)</x:f>
      </x:c>
      <x:c r="K14" s="100" t="str">
        <x:f>IF('Master'!L299="","",'Master'!L299)</x:f>
      </x:c>
      <x:c r="L14" s="100" t="str">
        <x:f>IF('Master'!M299="","",'Master'!M299)</x:f>
      </x:c>
      <x:c r="M14" s="100" t="str">
        <x:f>IF('Master'!N299="","",'Master'!N299)</x:f>
      </x:c>
      <x:c r="N14" s="100" t="str">
        <x:f>IF('Master'!O299="","",'Master'!O299)</x:f>
      </x:c>
      <x:c r="O14" s="100" t="str">
        <x:f>IF('Master'!P299="","",'Master'!P299)</x:f>
      </x:c>
      <x:c r="P14" s="100" t="str">
        <x:f>IF('Master'!Q299="","",'Master'!Q299)</x:f>
      </x:c>
      <x:c r="Q14" s="100" t="str">
        <x:f>IF('Master'!R299="","",'Master'!R299)</x:f>
      </x:c>
      <x:c r="R14" s="100" t="str">
        <x:f>IF('Master'!S299="","",'Master'!S299)</x:f>
      </x:c>
      <x:c r="S14" s="100" t="str">
        <x:f>IF('Master'!T299="","",'Master'!T299)</x:f>
      </x:c>
      <x:c r="T14" s="100" t="str">
        <x:f>IF('Master'!U299="","",'Master'!U299)</x:f>
      </x:c>
      <x:c r="U14" s="100" t="str">
        <x:f>IF('Master'!V299="","",'Master'!V299)</x:f>
      </x:c>
      <x:c r="V14" s="100" t="str">
        <x:f>IF('Master'!W299="","",'Master'!W299)</x:f>
      </x:c>
      <x:c r="W14" s="100" t="str">
        <x:f>IF('Master'!X299="","",'Master'!X299)</x:f>
      </x:c>
      <x:c r="X14" s="100" t="str">
        <x:f>IF('Master'!Y299="","",'Master'!Y299)</x:f>
      </x:c>
      <x:c r="Y14" s="100" t="str">
        <x:f>IF('Master'!Z299="","",'Master'!Z299)</x:f>
      </x:c>
      <x:c r="Z14" s="100" t="str">
        <x:f>IF('Master'!AA299="","",'Master'!AA299)</x:f>
      </x:c>
      <x:c r="AA14" s="104" t="str">
        <x:f>IF('Master'!AB299="","",'Master'!AB299)</x:f>
      </x:c>
      <x:c r="AB14" s="100" t="str">
        <x:f>IF('Master'!AC299="","",'Master'!AC299)</x:f>
      </x:c>
      <x:c r="AC14" s="100" t="str">
        <x:f>IF('Master'!AD299="","",'Master'!AD299)</x:f>
      </x:c>
      <x:c r="AD14" s="100" t="str">
        <x:f>IF('Master'!AE299="","",'Master'!AE299)</x:f>
      </x:c>
      <x:c r="AE14" s="100" t="str">
        <x:f>IF('Master'!AF299="","",'Master'!AF299)</x:f>
      </x:c>
      <x:c r="AF14" s="75" t="str">
        <x:f>IF('Master'!AG299="","",'Master'!AG299)</x:f>
        <x:v>5 GB total (Zulip Cloud Free)</x:v>
      </x:c>
    </x:row>
    <x:row r="15" ht="36" customHeight="1">
      <x:c r="A15" s="135" t="str">
        <x:v>Paid Total Storage</x:v>
      </x:c>
      <x:c r="B15" s="100" t="str">
        <x:f>IF('Master'!C300="","",'Master'!C300)</x:f>
      </x:c>
      <x:c r="C15" s="100" t="str">
        <x:f>IF('Master'!D300="","",'Master'!D300)</x:f>
      </x:c>
      <x:c r="D15" s="100" t="str">
        <x:f>IF('Master'!E300="","",'Master'!E300)</x:f>
      </x:c>
      <x:c r="E15" s="100" t="str">
        <x:f>IF('Master'!F300="","",'Master'!F300)</x:f>
      </x:c>
      <x:c r="F15" s="100" t="str">
        <x:f>IF('Master'!G300="","",'Master'!G300)</x:f>
      </x:c>
      <x:c r="G15" s="100" t="str">
        <x:f>IF('Master'!H300="","",'Master'!H300)</x:f>
      </x:c>
      <x:c r="H15" s="100" t="str">
        <x:f>IF('Master'!I300="","",'Master'!I300)</x:f>
        <x:v>Up to 200 GB / tier-dependent</x:v>
      </x:c>
      <x:c r="I15" s="100" t="str">
        <x:f>IF('Master'!J300="","",'Master'!J300)</x:f>
      </x:c>
      <x:c r="J15" s="100" t="str">
        <x:f>IF('Master'!K300="","",'Master'!K300)</x:f>
      </x:c>
      <x:c r="K15" s="100" t="str">
        <x:f>IF('Master'!L300="","",'Master'!L300)</x:f>
      </x:c>
      <x:c r="L15" s="100" t="str">
        <x:f>IF('Master'!M300="","",'Master'!M300)</x:f>
      </x:c>
      <x:c r="M15" s="100" t="str">
        <x:f>IF('Master'!N300="","",'Master'!N300)</x:f>
      </x:c>
      <x:c r="N15" s="100" t="str">
        <x:f>IF('Master'!O300="","",'Master'!O300)</x:f>
      </x:c>
      <x:c r="O15" s="100" t="str">
        <x:f>IF('Master'!P300="","",'Master'!P300)</x:f>
      </x:c>
      <x:c r="P15" s="100" t="str">
        <x:f>IF('Master'!Q300="","",'Master'!Q300)</x:f>
      </x:c>
      <x:c r="Q15" s="100" t="str">
        <x:f>IF('Master'!R300="","",'Master'!R300)</x:f>
      </x:c>
      <x:c r="R15" s="100" t="str">
        <x:f>IF('Master'!S300="","",'Master'!S300)</x:f>
      </x:c>
      <x:c r="S15" s="100" t="str">
        <x:f>IF('Master'!T300="","",'Master'!T300)</x:f>
      </x:c>
      <x:c r="T15" s="100" t="str">
        <x:f>IF('Master'!U300="","",'Master'!U300)</x:f>
      </x:c>
      <x:c r="U15" s="100" t="str">
        <x:f>IF('Master'!V300="","",'Master'!V300)</x:f>
      </x:c>
      <x:c r="V15" s="100" t="str">
        <x:f>IF('Master'!W300="","",'Master'!W300)</x:f>
      </x:c>
      <x:c r="W15" s="100" t="str">
        <x:f>IF('Master'!X300="","",'Master'!X300)</x:f>
      </x:c>
      <x:c r="X15" s="100" t="str">
        <x:f>IF('Master'!Y300="","",'Master'!Y300)</x:f>
      </x:c>
      <x:c r="Y15" s="100" t="str">
        <x:f>IF('Master'!Z300="","",'Master'!Z300)</x:f>
      </x:c>
      <x:c r="Z15" s="100" t="str">
        <x:f>IF('Master'!AA300="","",'Master'!AA300)</x:f>
      </x:c>
      <x:c r="AA15" s="104" t="str">
        <x:f>IF('Master'!AB300="","",'Master'!AB300)</x:f>
      </x:c>
      <x:c r="AB15" s="100" t="str">
        <x:f>IF('Master'!AC300="","",'Master'!AC300)</x:f>
      </x:c>
      <x:c r="AC15" s="100" t="str">
        <x:f>IF('Master'!AD300="","",'Master'!AD300)</x:f>
      </x:c>
      <x:c r="AD15" s="100" t="str">
        <x:f>IF('Master'!AE300="","",'Master'!AE300)</x:f>
      </x:c>
      <x:c r="AE15" s="100" t="str">
        <x:f>IF('Master'!AF300="","",'Master'!AF300)</x:f>
      </x:c>
      <x:c r="AF15" s="75" t="str">
        <x:f>IF('Master'!AG300="","",'Master'!AG300)</x:f>
        <x:v>5 GB/user Standard; 25 GB/user Plus</x:v>
      </x:c>
    </x:row>
    <x:row r="16" ht="36" customHeight="1">
      <x:c r="A16" s="135" t="str">
        <x:v>Per-User Storage Quota</x:v>
      </x:c>
      <x:c r="B16" s="100" t="str">
        <x:f>IF('Master'!C301="","",'Master'!C301)</x:f>
      </x:c>
      <x:c r="C16" s="100" t="str">
        <x:f>IF('Master'!D301="","",'Master'!D301)</x:f>
      </x:c>
      <x:c r="D16" s="100" t="str">
        <x:f>IF('Master'!E301="","",'Master'!E301)</x:f>
      </x:c>
      <x:c r="E16" s="100" t="str">
        <x:f>IF('Master'!F301="","",'Master'!F301)</x:f>
      </x:c>
      <x:c r="F16" s="100" t="str">
        <x:f>IF('Master'!G301="","",'Master'!G301)</x:f>
      </x:c>
      <x:c r="G16" s="100" t="str">
        <x:f>IF('Master'!H301="","",'Master'!H301)</x:f>
      </x:c>
      <x:c r="H16" s="100" t="str">
        <x:f>IF('Master'!I301="","",'Master'!I301)</x:f>
      </x:c>
      <x:c r="I16" s="100" t="str">
        <x:f>IF('Master'!J301="","",'Master'!J301)</x:f>
      </x:c>
      <x:c r="J16" s="100" t="str">
        <x:f>IF('Master'!K301="","",'Master'!K301)</x:f>
      </x:c>
      <x:c r="K16" s="100" t="str">
        <x:f>IF('Master'!L301="","",'Master'!L301)</x:f>
        <x:v>Configurable by self-host operator; official instance developer-reported limit is 15 MB</x:v>
      </x:c>
      <x:c r="L16" s="100" t="str">
        <x:f>IF('Master'!M301="","",'Master'!M301)</x:f>
      </x:c>
      <x:c r="M16" s="100" t="str">
        <x:f>IF('Master'!N301="","",'Master'!N301)</x:f>
      </x:c>
      <x:c r="N16" s="100" t="str">
        <x:f>IF('Master'!O301="","",'Master'!O301)</x:f>
      </x:c>
      <x:c r="O16" s="100" t="str">
        <x:f>IF('Master'!P301="","",'Master'!P301)</x:f>
      </x:c>
      <x:c r="P16" s="100" t="str">
        <x:f>IF('Master'!Q301="","",'Master'!Q301)</x:f>
      </x:c>
      <x:c r="Q16" s="100" t="str">
        <x:f>IF('Master'!R301="","",'Master'!R301)</x:f>
      </x:c>
      <x:c r="R16" s="100" t="str">
        <x:f>IF('Master'!S301="","",'Master'!S301)</x:f>
      </x:c>
      <x:c r="S16" s="100" t="str">
        <x:f>IF('Master'!T301="","",'Master'!T301)</x:f>
      </x:c>
      <x:c r="T16" s="100" t="str">
        <x:f>IF('Master'!U301="","",'Master'!U301)</x:f>
      </x:c>
      <x:c r="U16" s="100" t="str">
        <x:f>IF('Master'!V301="","",'Master'!V301)</x:f>
      </x:c>
      <x:c r="V16" s="100" t="str">
        <x:f>IF('Master'!W301="","",'Master'!W301)</x:f>
      </x:c>
      <x:c r="W16" s="100" t="str">
        <x:f>IF('Master'!X301="","",'Master'!X301)</x:f>
      </x:c>
      <x:c r="X16" s="100" t="str">
        <x:f>IF('Master'!Y301="","",'Master'!Y301)</x:f>
      </x:c>
      <x:c r="Y16" s="100" t="str">
        <x:f>IF('Master'!Z301="","",'Master'!Z301)</x:f>
      </x:c>
      <x:c r="Z16" s="100" t="str">
        <x:f>IF('Master'!AA301="","",'Master'!AA301)</x:f>
      </x:c>
      <x:c r="AA16" s="104" t="str">
        <x:f>IF('Master'!AB301="","",'Master'!AB301)</x:f>
      </x:c>
      <x:c r="AB16" s="100" t="str">
        <x:f>IF('Master'!AC301="","",'Master'!AC301)</x:f>
      </x:c>
      <x:c r="AC16" s="100" t="str">
        <x:f>IF('Master'!AD301="","",'Master'!AD301)</x:f>
      </x:c>
      <x:c r="AD16" s="100" t="str">
        <x:f>IF('Master'!AE301="","",'Master'!AE301)</x:f>
      </x:c>
      <x:c r="AE16" s="100" t="str">
        <x:f>IF('Master'!AF301="","",'Master'!AF301)</x:f>
      </x:c>
      <x:c r="AF16" s="75" t="str">
        <x:f>IF('Master'!AG301="","",'Master'!AG301)</x:f>
        <x:v>5 GB Standard / 25 GB Plus</x:v>
      </x:c>
    </x:row>
    <x:row r="17" ht="23.100000381469727" customHeight="1">
      <x:c r="A17" s="135" t="str">
        <x:v>Per-Community Storage Quota</x:v>
      </x:c>
      <x:c r="B17" s="102" t="str">
        <x:f>IF('Master'!C302="","",'Master'!C302)</x:f>
      </x:c>
      <x:c r="C17" s="102" t="str">
        <x:f>IF('Master'!D302="","",'Master'!D302)</x:f>
      </x:c>
      <x:c r="D17" s="102" t="str">
        <x:f>IF('Master'!E302="","",'Master'!E302)</x:f>
      </x:c>
      <x:c r="E17" s="102" t="str">
        <x:f>IF('Master'!F302="","",'Master'!F302)</x:f>
      </x:c>
      <x:c r="F17" s="102" t="str">
        <x:f>IF('Master'!G302="","",'Master'!G302)</x:f>
      </x:c>
      <x:c r="G17" s="102" t="str">
        <x:f>IF('Master'!H302="","",'Master'!H302)</x:f>
      </x:c>
      <x:c r="H17" s="102" t="str">
        <x:f>IF('Master'!I302="","",'Master'!I302)</x:f>
      </x:c>
      <x:c r="I17" s="102" t="str">
        <x:f>IF('Master'!J302="","",'Master'!J302)</x:f>
      </x:c>
      <x:c r="J17" s="102" t="str">
        <x:f>IF('Master'!K302="","",'Master'!K302)</x:f>
      </x:c>
      <x:c r="K17" s="102" t="str">
        <x:f>IF('Master'!L302="","",'Master'!L302)</x:f>
        <x:v>Configurable by self-host operator; official instance developer-reported limit is 15 MB</x:v>
      </x:c>
      <x:c r="L17" s="102" t="str">
        <x:f>IF('Master'!M302="","",'Master'!M302)</x:f>
      </x:c>
      <x:c r="M17" s="102" t="str">
        <x:f>IF('Master'!N302="","",'Master'!N302)</x:f>
      </x:c>
      <x:c r="N17" s="102" t="str">
        <x:f>IF('Master'!O302="","",'Master'!O302)</x:f>
      </x:c>
      <x:c r="O17" s="102" t="str">
        <x:f>IF('Master'!P302="","",'Master'!P302)</x:f>
      </x:c>
      <x:c r="P17" s="102" t="str">
        <x:f>IF('Master'!Q302="","",'Master'!Q302)</x:f>
      </x:c>
      <x:c r="Q17" s="102" t="str">
        <x:f>IF('Master'!R302="","",'Master'!R302)</x:f>
      </x:c>
      <x:c r="R17" s="102" t="str">
        <x:f>IF('Master'!S302="","",'Master'!S302)</x:f>
      </x:c>
      <x:c r="S17" s="102" t="str">
        <x:f>IF('Master'!T302="","",'Master'!T302)</x:f>
      </x:c>
      <x:c r="T17" s="102" t="str">
        <x:f>IF('Master'!U302="","",'Master'!U302)</x:f>
      </x:c>
      <x:c r="U17" s="102" t="str">
        <x:f>IF('Master'!V302="","",'Master'!V302)</x:f>
      </x:c>
      <x:c r="V17" s="102" t="str">
        <x:f>IF('Master'!W302="","",'Master'!W302)</x:f>
      </x:c>
      <x:c r="W17" s="102" t="str">
        <x:f>IF('Master'!X302="","",'Master'!X302)</x:f>
      </x:c>
      <x:c r="X17" s="102" t="str">
        <x:f>IF('Master'!Y302="","",'Master'!Y302)</x:f>
      </x:c>
      <x:c r="Y17" s="102" t="str">
        <x:f>IF('Master'!Z302="","",'Master'!Z302)</x:f>
      </x:c>
      <x:c r="Z17" s="102" t="str">
        <x:f>IF('Master'!AA302="","",'Master'!AA302)</x:f>
      </x:c>
      <x:c r="AA17" s="103" t="str">
        <x:f>IF('Master'!AB302="","",'Master'!AB302)</x:f>
      </x:c>
      <x:c r="AB17" s="102" t="str">
        <x:f>IF('Master'!AC302="","",'Master'!AC302)</x:f>
      </x:c>
      <x:c r="AC17" s="102" t="str">
        <x:f>IF('Master'!AD302="","",'Master'!AD302)</x:f>
      </x:c>
      <x:c r="AD17" s="102" t="str">
        <x:f>IF('Master'!AE302="","",'Master'!AE302)</x:f>
      </x:c>
      <x:c r="AE17" s="102" t="str">
        <x:f>IF('Master'!AF302="","",'Master'!AF302)</x:f>
      </x:c>
      <x:c r="AF17" s="75" t="str">
        <x:f>IF('Master'!AG302="","",'Master'!AG302)</x:f>
      </x:c>
    </x:row>
    <x:row r="18" ht="23.100000381469727" customHeight="1">
      <x:c r="A18" s="135" t="str">
        <x:v>Storage Quota Self-Host Configurable?</x:v>
      </x:c>
      <x:c r="B18" s="102" t="str">
        <x:f>IF('Master'!C303="","",'Master'!C303)</x:f>
      </x:c>
      <x:c r="C18" s="102" t="str">
        <x:f>IF('Master'!D303="","",'Master'!D303)</x:f>
      </x:c>
      <x:c r="D18" s="102" t="str">
        <x:f>IF('Master'!E303="","",'Master'!E303)</x:f>
      </x:c>
      <x:c r="E18" s="102" t="str">
        <x:f>IF('Master'!F303="","",'Master'!F303)</x:f>
      </x:c>
      <x:c r="F18" s="102" t="str">
        <x:f>IF('Master'!G303="","",'Master'!G303)</x:f>
      </x:c>
      <x:c r="G18" s="102" t="str">
        <x:f>IF('Master'!H303="","",'Master'!H303)</x:f>
      </x:c>
      <x:c r="H18" s="102" t="str">
        <x:f>IF('Master'!I303="","",'Master'!I303)</x:f>
      </x:c>
      <x:c r="I18" s="102" t="str">
        <x:f>IF('Master'!J303="","",'Master'!J303)</x:f>
      </x:c>
      <x:c r="J18" s="102" t="str">
        <x:f>IF('Master'!K303="","",'Master'!K303)</x:f>
      </x:c>
      <x:c r="K18" s="102" t="str">
        <x:f>IF('Master'!L303="","",'Master'!L303)</x:f>
        <x:v>Yes</x:v>
      </x:c>
      <x:c r="L18" s="102" t="str">
        <x:f>IF('Master'!M303="","",'Master'!M303)</x:f>
      </x:c>
      <x:c r="M18" s="102" t="str">
        <x:f>IF('Master'!N303="","",'Master'!N303)</x:f>
      </x:c>
      <x:c r="N18" s="102" t="str">
        <x:f>IF('Master'!O303="","",'Master'!O303)</x:f>
      </x:c>
      <x:c r="O18" s="102" t="str">
        <x:f>IF('Master'!P303="","",'Master'!P303)</x:f>
      </x:c>
      <x:c r="P18" s="102" t="str">
        <x:f>IF('Master'!Q303="","",'Master'!Q303)</x:f>
      </x:c>
      <x:c r="Q18" s="102" t="str">
        <x:f>IF('Master'!R303="","",'Master'!R303)</x:f>
      </x:c>
      <x:c r="R18" s="102" t="str">
        <x:f>IF('Master'!S303="","",'Master'!S303)</x:f>
      </x:c>
      <x:c r="S18" s="102" t="str">
        <x:f>IF('Master'!T303="","",'Master'!T303)</x:f>
      </x:c>
      <x:c r="T18" s="102" t="str">
        <x:f>IF('Master'!U303="","",'Master'!U303)</x:f>
      </x:c>
      <x:c r="U18" s="102" t="str">
        <x:f>IF('Master'!V303="","",'Master'!V303)</x:f>
      </x:c>
      <x:c r="V18" s="102" t="str">
        <x:f>IF('Master'!W303="","",'Master'!W303)</x:f>
      </x:c>
      <x:c r="W18" s="102" t="str">
        <x:f>IF('Master'!X303="","",'Master'!X303)</x:f>
      </x:c>
      <x:c r="X18" s="102" t="str">
        <x:f>IF('Master'!Y303="","",'Master'!Y303)</x:f>
      </x:c>
      <x:c r="Y18" s="102" t="str">
        <x:f>IF('Master'!Z303="","",'Master'!Z303)</x:f>
      </x:c>
      <x:c r="Z18" s="102" t="str">
        <x:f>IF('Master'!AA303="","",'Master'!AA303)</x:f>
      </x:c>
      <x:c r="AA18" s="103" t="str">
        <x:f>IF('Master'!AB303="","",'Master'!AB303)</x:f>
      </x:c>
      <x:c r="AB18" s="102" t="str">
        <x:f>IF('Master'!AC303="","",'Master'!AC303)</x:f>
      </x:c>
      <x:c r="AC18" s="102" t="str">
        <x:f>IF('Master'!AD303="","",'Master'!AD303)</x:f>
      </x:c>
      <x:c r="AD18" s="102" t="str">
        <x:f>IF('Master'!AE303="","",'Master'!AE303)</x:f>
      </x:c>
      <x:c r="AE18" s="102" t="str">
        <x:f>IF('Master'!AF303="","",'Master'!AF303)</x:f>
      </x:c>
      <x:c r="AF18" s="75" t="str">
        <x:f>IF('Master'!AG303="","",'Master'!AG303)</x:f>
      </x:c>
    </x:row>
    <x:row r="19" ht="22" customHeight="1">
      <x:c r="A19" s="138" t="str">
        <x:v>History &amp; Retention</x:v>
      </x:c>
      <x:c r="B19" s="138" t="str">
        <x:f>IF(""="","","")</x:f>
      </x:c>
      <x:c r="C19" s="138" t="str">
        <x:f>IF(""="","","")</x:f>
      </x:c>
      <x:c r="D19" s="138" t="str">
        <x:f>IF(""="","","")</x:f>
      </x:c>
      <x:c r="E19" s="138" t="str">
        <x:f>IF(""="","","")</x:f>
      </x:c>
      <x:c r="F19" s="138" t="str">
        <x:f>IF(""="","","")</x:f>
      </x:c>
      <x:c r="G19" s="138" t="str">
        <x:f>IF(""="","","")</x:f>
      </x:c>
      <x:c r="H19" s="138" t="str">
        <x:f>IF(""="","","")</x:f>
      </x:c>
      <x:c r="I19" s="138" t="str">
        <x:f>IF(""="","","")</x:f>
      </x:c>
      <x:c r="J19" s="138" t="str">
        <x:f>IF(""="","","")</x:f>
      </x:c>
      <x:c r="K19" s="138" t="str">
        <x:f>IF(""="","","")</x:f>
      </x:c>
      <x:c r="L19" s="138" t="str">
        <x:f>IF(""="","","")</x:f>
      </x:c>
      <x:c r="M19" s="138" t="str">
        <x:f>IF(""="","","")</x:f>
      </x:c>
      <x:c r="N19" s="138" t="str">
        <x:f>IF(""="","","")</x:f>
      </x:c>
      <x:c r="O19" s="138" t="str">
        <x:f>IF(""="","","")</x:f>
      </x:c>
      <x:c r="P19" s="138" t="str">
        <x:f>IF(""="","","")</x:f>
      </x:c>
      <x:c r="Q19" s="138" t="str">
        <x:f>IF(""="","","")</x:f>
      </x:c>
      <x:c r="R19" s="138" t="str">
        <x:f>IF(""="","","")</x:f>
      </x:c>
      <x:c r="S19" s="138" t="str">
        <x:f>IF(""="","","")</x:f>
      </x:c>
      <x:c r="T19" s="138" t="str">
        <x:f>IF(""="","","")</x:f>
      </x:c>
      <x:c r="U19" s="138" t="str">
        <x:f>IF(""="","","")</x:f>
      </x:c>
      <x:c r="V19" s="138" t="str">
        <x:f>IF(""="","","")</x:f>
      </x:c>
      <x:c r="W19" s="138" t="str">
        <x:f>IF(""="","","")</x:f>
      </x:c>
      <x:c r="X19" s="138" t="str">
        <x:f>IF(""="","","")</x:f>
      </x:c>
      <x:c r="Y19" s="138" t="str">
        <x:f>IF(""="","","")</x:f>
      </x:c>
      <x:c r="Z19" s="138" t="str">
        <x:f>IF(""="","","")</x:f>
      </x:c>
      <x:c r="AA19" s="138" t="str">
        <x:f>IF(""="","","")</x:f>
      </x:c>
      <x:c r="AB19" s="138" t="str">
        <x:f>IF(""="","","")</x:f>
      </x:c>
      <x:c r="AC19" s="138" t="str">
        <x:f>IF(""="","","")</x:f>
      </x:c>
      <x:c r="AD19" s="138" t="str">
        <x:f>IF(""="","","")</x:f>
      </x:c>
      <x:c r="AE19" s="138" t="str">
        <x:f>IF(""="","","")</x:f>
      </x:c>
      <x:c r="AF19" s="139" t="str">
        <x:f>IF(""="","","")</x:f>
      </x:c>
    </x:row>
    <x:row r="20" ht="36" customHeight="1">
      <x:c r="A20" s="135" t="str">
        <x:v>Free Message History Limit</x:v>
      </x:c>
      <x:c r="B20" s="100" t="str">
        <x:f>IF('Master'!C304="","",'Master'!C304)</x:f>
      </x:c>
      <x:c r="C20" s="100" t="str">
        <x:f>IF('Master'!D304="","",'Master'!D304)</x:f>
      </x:c>
      <x:c r="D20" s="100" t="str">
        <x:f>IF('Master'!E304="","",'Master'!E304)</x:f>
      </x:c>
      <x:c r="E20" s="100" t="str">
        <x:f>IF('Master'!F304="","",'Master'!F304)</x:f>
      </x:c>
      <x:c r="F20" s="100" t="str">
        <x:f>IF('Master'!G304="","",'Master'!G304)</x:f>
      </x:c>
      <x:c r="G20" s="100" t="str">
        <x:f>IF('Master'!H304="","",'Master'!H304)</x:f>
      </x:c>
      <x:c r="H20" s="100" t="str">
        <x:f>IF('Master'!I304="","",'Master'!I304)</x:f>
      </x:c>
      <x:c r="I20" s="100" t="str">
        <x:f>IF('Master'!J304="","",'Master'!J304)</x:f>
      </x:c>
      <x:c r="J20" s="100" t="str">
        <x:f>IF('Master'!K304="","",'Master'!K304)</x:f>
      </x:c>
      <x:c r="K20" s="100" t="str">
        <x:f>IF('Master'!L304="","",'Master'!L304)</x:f>
        <x:v>Unlimited message-search depth per developer report; plaintext history/search is not artificially depth-limited</x:v>
      </x:c>
      <x:c r="L20" s="100" t="str">
        <x:f>IF('Master'!M304="","",'Master'!M304)</x:f>
      </x:c>
      <x:c r="M20" s="100" t="str">
        <x:f>IF('Master'!N304="","",'Master'!N304)</x:f>
      </x:c>
      <x:c r="N20" s="100" t="str">
        <x:f>IF('Master'!O304="","",'Master'!O304)</x:f>
      </x:c>
      <x:c r="O20" s="100" t="str">
        <x:f>IF('Master'!P304="","",'Master'!P304)</x:f>
      </x:c>
      <x:c r="P20" s="100" t="str">
        <x:f>IF('Master'!Q304="","",'Master'!Q304)</x:f>
      </x:c>
      <x:c r="Q20" s="100" t="str">
        <x:f>IF('Master'!R304="","",'Master'!R304)</x:f>
      </x:c>
      <x:c r="R20" s="100" t="str">
        <x:f>IF('Master'!S304="","",'Master'!S304)</x:f>
      </x:c>
      <x:c r="S20" s="100" t="str">
        <x:f>IF('Master'!T304="","",'Master'!T304)</x:f>
      </x:c>
      <x:c r="T20" s="100" t="str">
        <x:f>IF('Master'!U304="","",'Master'!U304)</x:f>
      </x:c>
      <x:c r="U20" s="100" t="str">
        <x:f>IF('Master'!V304="","",'Master'!V304)</x:f>
      </x:c>
      <x:c r="V20" s="100" t="str">
        <x:f>IF('Master'!W304="","",'Master'!W304)</x:f>
      </x:c>
      <x:c r="W20" s="100" t="str">
        <x:f>IF('Master'!X304="","",'Master'!X304)</x:f>
      </x:c>
      <x:c r="X20" s="100" t="str">
        <x:f>IF('Master'!Y304="","",'Master'!Y304)</x:f>
      </x:c>
      <x:c r="Y20" s="100" t="str">
        <x:f>IF('Master'!Z304="","",'Master'!Z304)</x:f>
      </x:c>
      <x:c r="Z20" s="100" t="str">
        <x:f>IF('Master'!AA304="","",'Master'!AA304)</x:f>
      </x:c>
      <x:c r="AA20" s="104" t="str">
        <x:f>IF('Master'!AB304="","",'Master'!AB304)</x:f>
      </x:c>
      <x:c r="AB20" s="100" t="str">
        <x:f>IF('Master'!AC304="","",'Master'!AC304)</x:f>
      </x:c>
      <x:c r="AC20" s="100" t="str">
        <x:f>IF('Master'!AD304="","",'Master'!AD304)</x:f>
      </x:c>
      <x:c r="AD20" s="100" t="str">
        <x:f>IF('Master'!AE304="","",'Master'!AE304)</x:f>
      </x:c>
      <x:c r="AE20" s="100" t="str">
        <x:f>IF('Master'!AF304="","",'Master'!AF304)</x:f>
      </x:c>
      <x:c r="AF20" s="75" t="str">
        <x:f>IF('Master'!AG304="","",'Master'!AG304)</x:f>
        <x:v>10,000 messages searchable</x:v>
      </x:c>
    </x:row>
    <x:row r="21" ht="36" customHeight="1">
      <x:c r="A21" s="135" t="str">
        <x:v>Paid Message History Limit</x:v>
      </x:c>
      <x:c r="B21" s="100" t="str">
        <x:f>IF('Master'!C305="","",'Master'!C305)</x:f>
      </x:c>
      <x:c r="C21" s="100" t="str">
        <x:f>IF('Master'!D305="","",'Master'!D305)</x:f>
      </x:c>
      <x:c r="D21" s="100" t="str">
        <x:f>IF('Master'!E305="","",'Master'!E305)</x:f>
      </x:c>
      <x:c r="E21" s="100" t="str">
        <x:f>IF('Master'!F305="","",'Master'!F305)</x:f>
      </x:c>
      <x:c r="F21" s="100" t="str">
        <x:f>IF('Master'!G305="","",'Master'!G305)</x:f>
      </x:c>
      <x:c r="G21" s="100" t="str">
        <x:f>IF('Master'!H305="","",'Master'!H305)</x:f>
      </x:c>
      <x:c r="H21" s="100" t="str">
        <x:f>IF('Master'!I305="","",'Master'!I305)</x:f>
      </x:c>
      <x:c r="I21" s="100" t="str">
        <x:f>IF('Master'!J305="","",'Master'!J305)</x:f>
      </x:c>
      <x:c r="J21" s="100" t="str">
        <x:f>IF('Master'!K305="","",'Master'!K305)</x:f>
      </x:c>
      <x:c r="K21" s="100" t="str">
        <x:f>IF('Master'!L305="","",'Master'!L305)</x:f>
        <x:v>Unlimited message-search depth per developer report; plaintext history/search is not artificially depth-limited</x:v>
      </x:c>
      <x:c r="L21" s="100" t="str">
        <x:f>IF('Master'!M305="","",'Master'!M305)</x:f>
      </x:c>
      <x:c r="M21" s="100" t="str">
        <x:f>IF('Master'!N305="","",'Master'!N305)</x:f>
      </x:c>
      <x:c r="N21" s="100" t="str">
        <x:f>IF('Master'!O305="","",'Master'!O305)</x:f>
      </x:c>
      <x:c r="O21" s="100" t="str">
        <x:f>IF('Master'!P305="","",'Master'!P305)</x:f>
      </x:c>
      <x:c r="P21" s="100" t="str">
        <x:f>IF('Master'!Q305="","",'Master'!Q305)</x:f>
      </x:c>
      <x:c r="Q21" s="100" t="str">
        <x:f>IF('Master'!R305="","",'Master'!R305)</x:f>
      </x:c>
      <x:c r="R21" s="100" t="str">
        <x:f>IF('Master'!S305="","",'Master'!S305)</x:f>
      </x:c>
      <x:c r="S21" s="100" t="str">
        <x:f>IF('Master'!T305="","",'Master'!T305)</x:f>
      </x:c>
      <x:c r="T21" s="100" t="str">
        <x:f>IF('Master'!U305="","",'Master'!U305)</x:f>
      </x:c>
      <x:c r="U21" s="100" t="str">
        <x:f>IF('Master'!V305="","",'Master'!V305)</x:f>
      </x:c>
      <x:c r="V21" s="100" t="str">
        <x:f>IF('Master'!W305="","",'Master'!W305)</x:f>
      </x:c>
      <x:c r="W21" s="100" t="str">
        <x:f>IF('Master'!X305="","",'Master'!X305)</x:f>
      </x:c>
      <x:c r="X21" s="100" t="str">
        <x:f>IF('Master'!Y305="","",'Master'!Y305)</x:f>
      </x:c>
      <x:c r="Y21" s="100" t="str">
        <x:f>IF('Master'!Z305="","",'Master'!Z305)</x:f>
      </x:c>
      <x:c r="Z21" s="100" t="str">
        <x:f>IF('Master'!AA305="","",'Master'!AA305)</x:f>
      </x:c>
      <x:c r="AA21" s="104" t="str">
        <x:f>IF('Master'!AB305="","",'Master'!AB305)</x:f>
      </x:c>
      <x:c r="AB21" s="100" t="str">
        <x:f>IF('Master'!AC305="","",'Master'!AC305)</x:f>
      </x:c>
      <x:c r="AC21" s="100" t="str">
        <x:f>IF('Master'!AD305="","",'Master'!AD305)</x:f>
      </x:c>
      <x:c r="AD21" s="100" t="str">
        <x:f>IF('Master'!AE305="","",'Master'!AE305)</x:f>
      </x:c>
      <x:c r="AE21" s="100" t="str">
        <x:f>IF('Master'!AF305="","",'Master'!AF305)</x:f>
      </x:c>
      <x:c r="AF21" s="75" t="str">
        <x:f>IF('Master'!AG305="","",'Master'!AG305)</x:f>
        <x:v>Unlimited search history</x:v>
      </x:c>
    </x:row>
    <x:row r="22" ht="23.100000381469727" customHeight="1">
      <x:c r="A22" s="135" t="str">
        <x:v>Attachment Retention</x:v>
      </x:c>
      <x:c r="B22" s="102" t="str">
        <x:f>IF('Master'!C306="","",'Master'!C306)</x:f>
      </x:c>
      <x:c r="C22" s="102" t="str">
        <x:f>IF('Master'!D306="","",'Master'!D306)</x:f>
      </x:c>
      <x:c r="D22" s="102" t="str">
        <x:f>IF('Master'!E306="","",'Master'!E306)</x:f>
      </x:c>
      <x:c r="E22" s="102" t="str">
        <x:f>IF('Master'!F306="","",'Master'!F306)</x:f>
      </x:c>
      <x:c r="F22" s="102" t="str">
        <x:f>IF('Master'!G306="","",'Master'!G306)</x:f>
      </x:c>
      <x:c r="G22" s="102" t="str">
        <x:f>IF('Master'!H306="","",'Master'!H306)</x:f>
      </x:c>
      <x:c r="H22" s="102" t="str">
        <x:f>IF('Master'!I306="","",'Master'!I306)</x:f>
      </x:c>
      <x:c r="I22" s="102" t="str">
        <x:f>IF('Master'!J306="","",'Master'!J306)</x:f>
      </x:c>
      <x:c r="J22" s="102" t="str">
        <x:f>IF('Master'!K306="","",'Master'!K306)</x:f>
      </x:c>
      <x:c r="K22" s="102" t="str">
        <x:f>IF('Master'!L306="","",'Master'!L306)</x:f>
        <x:v>Retained until user deletes/requests deletion on official instance per developer report; operators can configure retention/purge behavior</x:v>
      </x:c>
      <x:c r="L22" s="102" t="str">
        <x:f>IF('Master'!M306="","",'Master'!M306)</x:f>
      </x:c>
      <x:c r="M22" s="102" t="str">
        <x:f>IF('Master'!N306="","",'Master'!N306)</x:f>
      </x:c>
      <x:c r="N22" s="102" t="str">
        <x:f>IF('Master'!O306="","",'Master'!O306)</x:f>
      </x:c>
      <x:c r="O22" s="102" t="str">
        <x:f>IF('Master'!P306="","",'Master'!P306)</x:f>
      </x:c>
      <x:c r="P22" s="102" t="str">
        <x:f>IF('Master'!Q306="","",'Master'!Q306)</x:f>
      </x:c>
      <x:c r="Q22" s="102" t="str">
        <x:f>IF('Master'!R306="","",'Master'!R306)</x:f>
      </x:c>
      <x:c r="R22" s="102" t="str">
        <x:f>IF('Master'!S306="","",'Master'!S306)</x:f>
      </x:c>
      <x:c r="S22" s="102" t="str">
        <x:f>IF('Master'!T306="","",'Master'!T306)</x:f>
      </x:c>
      <x:c r="T22" s="102" t="str">
        <x:f>IF('Master'!U306="","",'Master'!U306)</x:f>
      </x:c>
      <x:c r="U22" s="102" t="str">
        <x:f>IF('Master'!V306="","",'Master'!V306)</x:f>
      </x:c>
      <x:c r="V22" s="102" t="str">
        <x:f>IF('Master'!W306="","",'Master'!W306)</x:f>
      </x:c>
      <x:c r="W22" s="102" t="str">
        <x:f>IF('Master'!X306="","",'Master'!X306)</x:f>
      </x:c>
      <x:c r="X22" s="102" t="str">
        <x:f>IF('Master'!Y306="","",'Master'!Y306)</x:f>
      </x:c>
      <x:c r="Y22" s="102" t="str">
        <x:f>IF('Master'!Z306="","",'Master'!Z306)</x:f>
      </x:c>
      <x:c r="Z22" s="102" t="str">
        <x:f>IF('Master'!AA306="","",'Master'!AA306)</x:f>
      </x:c>
      <x:c r="AA22" s="103" t="str">
        <x:f>IF('Master'!AB306="","",'Master'!AB306)</x:f>
      </x:c>
      <x:c r="AB22" s="102" t="str">
        <x:f>IF('Master'!AC306="","",'Master'!AC306)</x:f>
      </x:c>
      <x:c r="AC22" s="102" t="str">
        <x:f>IF('Master'!AD306="","",'Master'!AD306)</x:f>
      </x:c>
      <x:c r="AD22" s="102" t="str">
        <x:f>IF('Master'!AE306="","",'Master'!AE306)</x:f>
      </x:c>
      <x:c r="AE22" s="102" t="str">
        <x:f>IF('Master'!AF306="","",'Master'!AF306)</x:f>
      </x:c>
      <x:c r="AF22" s="75" t="str">
        <x:f>IF('Master'!AG306="","",'Master'!AG306)</x:f>
      </x:c>
    </x:row>
    <x:row r="23" ht="23.100000381469727" customHeight="1">
      <x:c r="A23" s="135" t="str">
        <x:v>Deleted Attachment Retention</x:v>
      </x:c>
      <x:c r="B23" s="102" t="str">
        <x:f>IF('Master'!C307="","",'Master'!C307)</x:f>
      </x:c>
      <x:c r="C23" s="102" t="str">
        <x:f>IF('Master'!D307="","",'Master'!D307)</x:f>
      </x:c>
      <x:c r="D23" s="102" t="str">
        <x:f>IF('Master'!E307="","",'Master'!E307)</x:f>
      </x:c>
      <x:c r="E23" s="102" t="str">
        <x:f>IF('Master'!F307="","",'Master'!F307)</x:f>
      </x:c>
      <x:c r="F23" s="102" t="str">
        <x:f>IF('Master'!G307="","",'Master'!G307)</x:f>
      </x:c>
      <x:c r="G23" s="102" t="str">
        <x:f>IF('Master'!H307="","",'Master'!H307)</x:f>
      </x:c>
      <x:c r="H23" s="102" t="str">
        <x:f>IF('Master'!I307="","",'Master'!I307)</x:f>
      </x:c>
      <x:c r="I23" s="102" t="str">
        <x:f>IF('Master'!J307="","",'Master'!J307)</x:f>
      </x:c>
      <x:c r="J23" s="102" t="str">
        <x:f>IF('Master'!K307="","",'Master'!K307)</x:f>
      </x:c>
      <x:c r="K23" s="102" t="str">
        <x:f>IF('Master'!L307="","",'Master'!L307)</x:f>
        <x:v>Deletion/purge jobs are documented; no fixed public deleted-attachment retention interval found</x:v>
      </x:c>
      <x:c r="L23" s="102" t="str">
        <x:f>IF('Master'!M307="","",'Master'!M307)</x:f>
      </x:c>
      <x:c r="M23" s="102" t="str">
        <x:f>IF('Master'!N307="","",'Master'!N307)</x:f>
      </x:c>
      <x:c r="N23" s="102" t="str">
        <x:f>IF('Master'!O307="","",'Master'!O307)</x:f>
      </x:c>
      <x:c r="O23" s="102" t="str">
        <x:f>IF('Master'!P307="","",'Master'!P307)</x:f>
      </x:c>
      <x:c r="P23" s="102" t="str">
        <x:f>IF('Master'!Q307="","",'Master'!Q307)</x:f>
      </x:c>
      <x:c r="Q23" s="102" t="str">
        <x:f>IF('Master'!R307="","",'Master'!R307)</x:f>
      </x:c>
      <x:c r="R23" s="102" t="str">
        <x:f>IF('Master'!S307="","",'Master'!S307)</x:f>
      </x:c>
      <x:c r="S23" s="102" t="str">
        <x:f>IF('Master'!T307="","",'Master'!T307)</x:f>
      </x:c>
      <x:c r="T23" s="102" t="str">
        <x:f>IF('Master'!U307="","",'Master'!U307)</x:f>
      </x:c>
      <x:c r="U23" s="102" t="str">
        <x:f>IF('Master'!V307="","",'Master'!V307)</x:f>
      </x:c>
      <x:c r="V23" s="102" t="str">
        <x:f>IF('Master'!W307="","",'Master'!W307)</x:f>
      </x:c>
      <x:c r="W23" s="102" t="str">
        <x:f>IF('Master'!X307="","",'Master'!X307)</x:f>
      </x:c>
      <x:c r="X23" s="102" t="str">
        <x:f>IF('Master'!Y307="","",'Master'!Y307)</x:f>
      </x:c>
      <x:c r="Y23" s="102" t="str">
        <x:f>IF('Master'!Z307="","",'Master'!Z307)</x:f>
      </x:c>
      <x:c r="Z23" s="102" t="str">
        <x:f>IF('Master'!AA307="","",'Master'!AA307)</x:f>
      </x:c>
      <x:c r="AA23" s="103" t="str">
        <x:f>IF('Master'!AB307="","",'Master'!AB307)</x:f>
      </x:c>
      <x:c r="AB23" s="102" t="str">
        <x:f>IF('Master'!AC307="","",'Master'!AC307)</x:f>
      </x:c>
      <x:c r="AC23" s="102" t="str">
        <x:f>IF('Master'!AD307="","",'Master'!AD307)</x:f>
      </x:c>
      <x:c r="AD23" s="102" t="str">
        <x:f>IF('Master'!AE307="","",'Master'!AE307)</x:f>
      </x:c>
      <x:c r="AE23" s="102" t="str">
        <x:f>IF('Master'!AF307="","",'Master'!AF307)</x:f>
      </x:c>
      <x:c r="AF23" s="75" t="str">
        <x:f>IF('Master'!AG307="","",'Master'!AG307)</x:f>
      </x:c>
    </x:row>
    <x:row r="24" ht="22" customHeight="1">
      <x:c r="A24" s="138" t="str">
        <x:v>Media Handling</x:v>
      </x:c>
      <x:c r="B24" s="138" t="str">
        <x:f>IF(""="","","")</x:f>
      </x:c>
      <x:c r="C24" s="138" t="str">
        <x:f>IF(""="","","")</x:f>
      </x:c>
      <x:c r="D24" s="138" t="str">
        <x:f>IF(""="","","")</x:f>
      </x:c>
      <x:c r="E24" s="138" t="str">
        <x:f>IF(""="","","")</x:f>
      </x:c>
      <x:c r="F24" s="138" t="str">
        <x:f>IF(""="","","")</x:f>
      </x:c>
      <x:c r="G24" s="138" t="str">
        <x:f>IF(""="","","")</x:f>
      </x:c>
      <x:c r="H24" s="138" t="str">
        <x:f>IF(""="","","")</x:f>
      </x:c>
      <x:c r="I24" s="138" t="str">
        <x:f>IF(""="","","")</x:f>
      </x:c>
      <x:c r="J24" s="138" t="str">
        <x:f>IF(""="","","")</x:f>
      </x:c>
      <x:c r="K24" s="138" t="str">
        <x:f>IF(""="","","")</x:f>
      </x:c>
      <x:c r="L24" s="138" t="str">
        <x:f>IF(""="","","")</x:f>
      </x:c>
      <x:c r="M24" s="138" t="str">
        <x:f>IF(""="","","")</x:f>
      </x:c>
      <x:c r="N24" s="138" t="str">
        <x:f>IF(""="","","")</x:f>
      </x:c>
      <x:c r="O24" s="138" t="str">
        <x:f>IF(""="","","")</x:f>
      </x:c>
      <x:c r="P24" s="138" t="str">
        <x:f>IF(""="","","")</x:f>
      </x:c>
      <x:c r="Q24" s="138" t="str">
        <x:f>IF(""="","","")</x:f>
      </x:c>
      <x:c r="R24" s="138" t="str">
        <x:f>IF(""="","","")</x:f>
      </x:c>
      <x:c r="S24" s="138" t="str">
        <x:f>IF(""="","","")</x:f>
      </x:c>
      <x:c r="T24" s="138" t="str">
        <x:f>IF(""="","","")</x:f>
      </x:c>
      <x:c r="U24" s="138" t="str">
        <x:f>IF(""="","","")</x:f>
      </x:c>
      <x:c r="V24" s="138" t="str">
        <x:f>IF(""="","","")</x:f>
      </x:c>
      <x:c r="W24" s="138" t="str">
        <x:f>IF(""="","","")</x:f>
      </x:c>
      <x:c r="X24" s="138" t="str">
        <x:f>IF(""="","","")</x:f>
      </x:c>
      <x:c r="Y24" s="138" t="str">
        <x:f>IF(""="","","")</x:f>
      </x:c>
      <x:c r="Z24" s="138" t="str">
        <x:f>IF(""="","","")</x:f>
      </x:c>
      <x:c r="AA24" s="138" t="str">
        <x:f>IF(""="","","")</x:f>
      </x:c>
      <x:c r="AB24" s="138" t="str">
        <x:f>IF(""="","","")</x:f>
      </x:c>
      <x:c r="AC24" s="138" t="str">
        <x:f>IF(""="","","")</x:f>
      </x:c>
      <x:c r="AD24" s="138" t="str">
        <x:f>IF(""="","","")</x:f>
      </x:c>
      <x:c r="AE24" s="138" t="str">
        <x:f>IF(""="","","")</x:f>
      </x:c>
      <x:c r="AF24" s="139" t="str">
        <x:f>IF(""="","","")</x:f>
      </x:c>
    </x:row>
    <x:row r="25" ht="36" customHeight="1">
      <x:c r="A25" s="135" t="str">
        <x:v>CDN / Media Proxy?</x:v>
      </x:c>
      <x:c r="B25" s="100" t="str">
        <x:f>IF('Master'!C308="","",'Master'!C308)</x:f>
        <x:v>Yes / CDN</x:v>
      </x:c>
      <x:c r="C25" s="100" t="str">
        <x:f>IF('Master'!D308="","",'Master'!D308)</x:f>
      </x:c>
      <x:c r="D25" s="100" t="str">
        <x:f>IF('Master'!E308="","",'Master'!E308)</x:f>
      </x:c>
      <x:c r="E25" s="100" t="str">
        <x:f>IF('Master'!F308="","",'Master'!F308)</x:f>
      </x:c>
      <x:c r="F25" s="100" t="str">
        <x:f>IF('Master'!G308="","",'Master'!G308)</x:f>
      </x:c>
      <x:c r="G25" s="100" t="str">
        <x:f>IF('Master'!H308="","",'Master'!H308)</x:f>
        <x:v>Yes / CDN</x:v>
      </x:c>
      <x:c r="H25" s="100" t="str">
        <x:f>IF('Master'!I308="","",'Master'!I308)</x:f>
      </x:c>
      <x:c r="I25" s="100" t="str">
        <x:f>IF('Master'!J308="","",'Master'!J308)</x:f>
      </x:c>
      <x:c r="J25" s="100" t="str">
        <x:f>IF('Master'!K308="","",'Master'!K308)</x:f>
      </x:c>
      <x:c r="K25" s="100" t="str">
        <x:f>IF('Master'!L308="","",'Master'!L308)</x:f>
        <x:v>Private S3-compatible media via short-lived presigned URLs; Garage default, external S3 supported</x:v>
      </x:c>
      <x:c r="L25" s="100" t="str">
        <x:f>IF('Master'!M308="","",'Master'!M308)</x:f>
      </x:c>
      <x:c r="M25" s="100" t="str">
        <x:f>IF('Master'!N308="","",'Master'!N308)</x:f>
      </x:c>
      <x:c r="N25" s="100" t="str">
        <x:f>IF('Master'!O308="","",'Master'!O308)</x:f>
      </x:c>
      <x:c r="O25" s="100" t="str">
        <x:f>IF('Master'!P308="","",'Master'!P308)</x:f>
      </x:c>
      <x:c r="P25" s="100" t="str">
        <x:f>IF('Master'!Q308="","",'Master'!Q308)</x:f>
      </x:c>
      <x:c r="Q25" s="100" t="str">
        <x:f>IF('Master'!R308="","",'Master'!R308)</x:f>
      </x:c>
      <x:c r="R25" s="100" t="str">
        <x:f>IF('Master'!S308="","",'Master'!S308)</x:f>
      </x:c>
      <x:c r="S25" s="100" t="str">
        <x:f>IF('Master'!T308="","",'Master'!T308)</x:f>
      </x:c>
      <x:c r="T25" s="100" t="str">
        <x:f>IF('Master'!U308="","",'Master'!U308)</x:f>
      </x:c>
      <x:c r="U25" s="100" t="str">
        <x:f>IF('Master'!V308="","",'Master'!V308)</x:f>
        <x:v>Yes — media proxy</x:v>
      </x:c>
      <x:c r="V25" s="100" t="str">
        <x:f>IF('Master'!W308="","",'Master'!W308)</x:f>
      </x:c>
      <x:c r="W25" s="100" t="str">
        <x:f>IF('Master'!X308="","",'Master'!X308)</x:f>
      </x:c>
      <x:c r="X25" s="100" t="str">
        <x:f>IF('Master'!Y308="","",'Master'!Y308)</x:f>
        <x:v>Yes / CDN</x:v>
      </x:c>
      <x:c r="Y25" s="100" t="str">
        <x:f>IF('Master'!Z308="","",'Master'!Z308)</x:f>
      </x:c>
      <x:c r="Z25" s="100" t="str">
        <x:f>IF('Master'!AA308="","",'Master'!AA308)</x:f>
      </x:c>
      <x:c r="AA25" s="104" t="str">
        <x:f>IF('Master'!AB308="","",'Master'!AB308)</x:f>
      </x:c>
      <x:c r="AB25" s="100" t="str">
        <x:f>IF('Master'!AC308="","",'Master'!AC308)</x:f>
      </x:c>
      <x:c r="AC25" s="100" t="str">
        <x:f>IF('Master'!AD308="","",'Master'!AD308)</x:f>
      </x:c>
      <x:c r="AD25" s="100" t="str">
        <x:f>IF('Master'!AE308="","",'Master'!AE308)</x:f>
      </x:c>
      <x:c r="AE25" s="100" t="str">
        <x:f>IF('Master'!AF308="","",'Master'!AF308)</x:f>
      </x:c>
      <x:c r="AF25" s="75" t="str">
        <x:f>IF('Master'!AG308="","",'Master'!AG308)</x:f>
      </x:c>
    </x:row>
    <x:row r="26" ht="36" customHeight="1">
      <x:c r="A26" s="135" t="str">
        <x:v>EXIF Scrubbing?</x:v>
      </x:c>
      <x:c r="B26" s="100" t="str">
        <x:f>IF('Master'!C309="","",'Master'!C309)</x:f>
      </x:c>
      <x:c r="C26" s="100" t="str">
        <x:f>IF('Master'!D309="","",'Master'!D309)</x:f>
      </x:c>
      <x:c r="D26" s="100" t="str">
        <x:f>IF('Master'!E309="","",'Master'!E309)</x:f>
      </x:c>
      <x:c r="E26" s="100" t="str">
        <x:f>IF('Master'!F309="","",'Master'!F309)</x:f>
      </x:c>
      <x:c r="F26" s="100" t="str">
        <x:f>IF('Master'!G309="","",'Master'!G309)</x:f>
      </x:c>
      <x:c r="G26" s="100" t="str">
        <x:f>IF('Master'!H309="","",'Master'!H309)</x:f>
      </x:c>
      <x:c r="H26" s="100" t="str">
        <x:f>IF('Master'!I309="","",'Master'!I309)</x:f>
      </x:c>
      <x:c r="I26" s="100" t="str">
        <x:f>IF('Master'!J309="","",'Master'!J309)</x:f>
      </x:c>
      <x:c r="J26" s="100" t="str">
        <x:f>IF('Master'!K309="","",'Master'!K309)</x:f>
      </x:c>
      <x:c r="K26" s="100" t="str">
        <x:f>IF('Master'!L309="","",'Master'!L309)</x:f>
        <x:v>Not explicitly documented</x:v>
      </x:c>
      <x:c r="L26" s="100" t="str">
        <x:f>IF('Master'!M309="","",'Master'!M309)</x:f>
      </x:c>
      <x:c r="M26" s="100" t="str">
        <x:f>IF('Master'!N309="","",'Master'!N309)</x:f>
      </x:c>
      <x:c r="N26" s="100" t="str">
        <x:f>IF('Master'!O309="","",'Master'!O309)</x:f>
        <x:v>Client/server-dependent</x:v>
      </x:c>
      <x:c r="O26" s="100" t="str">
        <x:f>IF('Master'!P309="","",'Master'!P309)</x:f>
      </x:c>
      <x:c r="P26" s="100" t="str">
        <x:f>IF('Master'!Q309="","",'Master'!Q309)</x:f>
      </x:c>
      <x:c r="Q26" s="100" t="str">
        <x:f>IF('Master'!R309="","",'Master'!R309)</x:f>
        <x:v>N/A</x:v>
      </x:c>
      <x:c r="R26" s="100" t="str">
        <x:f>IF('Master'!S309="","",'Master'!S309)</x:f>
      </x:c>
      <x:c r="S26" s="100" t="str">
        <x:f>IF('Master'!T309="","",'Master'!T309)</x:f>
      </x:c>
      <x:c r="T26" s="100" t="str">
        <x:f>IF('Master'!U309="","",'Master'!U309)</x:f>
      </x:c>
      <x:c r="U26" s="100" t="str">
        <x:f>IF('Master'!V309="","",'Master'!V309)</x:f>
        <x:v>Yes — automatic EXIF stripping</x:v>
      </x:c>
      <x:c r="V26" s="100" t="str">
        <x:f>IF('Master'!W309="","",'Master'!W309)</x:f>
      </x:c>
      <x:c r="W26" s="100" t="str">
        <x:f>IF('Master'!X309="","",'Master'!X309)</x:f>
      </x:c>
      <x:c r="X26" s="100" t="str">
        <x:f>IF('Master'!Y309="","",'Master'!Y309)</x:f>
      </x:c>
      <x:c r="Y26" s="100" t="str">
        <x:f>IF('Master'!Z309="","",'Master'!Z309)</x:f>
      </x:c>
      <x:c r="Z26" s="100" t="str">
        <x:f>IF('Master'!AA309="","",'Master'!AA309)</x:f>
      </x:c>
      <x:c r="AA26" s="104" t="str">
        <x:f>IF('Master'!AB309="","",'Master'!AB309)</x:f>
      </x:c>
      <x:c r="AB26" s="100" t="str">
        <x:f>IF('Master'!AC309="","",'Master'!AC309)</x:f>
      </x:c>
      <x:c r="AC26" s="100" t="str">
        <x:f>IF('Master'!AD309="","",'Master'!AD309)</x:f>
      </x:c>
      <x:c r="AD26" s="100" t="str">
        <x:f>IF('Master'!AE309="","",'Master'!AE309)</x:f>
      </x:c>
      <x:c r="AE26" s="100" t="str">
        <x:f>IF('Master'!AF309="","",'Master'!AF309)</x:f>
      </x:c>
      <x:c r="AF26" s="75" t="str">
        <x:f>IF('Master'!AG309="","",'Master'!AG309)</x:f>
      </x:c>
    </x:row>
    <x:row r="27" ht="36" customHeight="1">
      <x:c r="A27" s="135" t="str">
        <x:v>Attachment Export?</x:v>
      </x:c>
      <x:c r="B27" s="100" t="str">
        <x:f>IF('Master'!C310="","",'Master'!C310)</x:f>
        <x:v>ZIP / JSON-heavy Data Package</x:v>
      </x:c>
      <x:c r="C27" s="100" t="str">
        <x:f>IF('Master'!D310="","",'Master'!D310)</x:f>
        <x:v>Nostr events</x:v>
      </x:c>
      <x:c r="D27" s="100" t="str">
        <x:f>IF('Master'!E310="","",'Master'!E310)</x:f>
        <x:v>DCTS export</x:v>
      </x:c>
      <x:c r="E27" s="100" t="str">
        <x:f>IF('Master'!F310="","",'Master'!F310)</x:f>
      </x:c>
      <x:c r="F27" s="100" t="str">
        <x:f>IF('Master'!G310="","",'Master'!G310)</x:f>
      </x:c>
      <x:c r="G27" s="100" t="str">
        <x:f>IF('Master'!H310="","",'Master'!H310)</x:f>
      </x:c>
      <x:c r="H27" s="100" t="str">
        <x:f>IF('Master'!I310="","",'Master'!I310)</x:f>
      </x:c>
      <x:c r="I27" s="100" t="str">
        <x:f>IF('Master'!J310="","",'Master'!J310)</x:f>
      </x:c>
      <x:c r="J27" s="100" t="str">
        <x:f>IF('Master'!K310="","",'Master'!K310)</x:f>
        <x:v>Encrypted .hollow/local formats</x:v>
      </x:c>
      <x:c r="K27" s="100" t="str">
        <x:f>IF('Master'!L310="","",'Master'!L310)</x:f>
        <x:v>Direct downloads supported; no bulk attachment/account export workflow documented</x:v>
      </x:c>
      <x:c r="L27" s="100" t="str">
        <x:f>IF('Master'!M310="","",'Master'!M310)</x:f>
      </x:c>
      <x:c r="M27" s="100" t="str">
        <x:f>IF('Master'!N310="","",'Master'!N310)</x:f>
      </x:c>
      <x:c r="N27" s="100" t="str">
        <x:f>IF('Master'!O310="","",'Master'!O310)</x:f>
        <x:v>Client/provider-dependent</x:v>
      </x:c>
      <x:c r="O27" s="100" t="str">
        <x:f>IF('Master'!P310="","",'Master'!P310)</x:f>
        <x:v>Bulk/export formats</x:v>
      </x:c>
      <x:c r="P27" s="100" t="str">
        <x:f>IF('Master'!Q310="","",'Master'!Q310)</x:f>
      </x:c>
      <x:c r="Q27" s="100" t="str">
        <x:f>IF('Master'!R310="","",'Master'!R310)</x:f>
        <x:v>N/A</x:v>
      </x:c>
      <x:c r="R27" s="100" t="str">
        <x:f>IF('Master'!S310="","",'Master'!S310)</x:f>
      </x:c>
      <x:c r="S27" s="100" t="str">
        <x:f>IF('Master'!T310="","",'Master'!T310)</x:f>
      </x:c>
      <x:c r="T27" s="100" t="str">
        <x:f>IF('Master'!U310="","",'Master'!U310)</x:f>
      </x:c>
      <x:c r="U27" s="100" t="str">
        <x:f>IF('Master'!V310="","",'Master'!V310)</x:f>
        <x:v>Direct downloads supported</x:v>
      </x:c>
      <x:c r="V27" s="100" t="str">
        <x:f>IF('Master'!W310="","",'Master'!W310)</x:f>
        <x:v>Export/backup deployment-dependent</x:v>
      </x:c>
      <x:c r="W27" s="100" t="str">
        <x:f>IF('Master'!X310="","",'Master'!X310)</x:f>
        <x:v>ATProto records</x:v>
      </x:c>
      <x:c r="X27" s="100" t="str">
        <x:f>IF('Master'!Y310="","",'Master'!Y310)</x:f>
      </x:c>
      <x:c r="Y27" s="100" t="str">
        <x:f>IF('Master'!Z310="","",'Master'!Z310)</x:f>
      </x:c>
      <x:c r="Z27" s="100" t="str">
        <x:f>IF('Master'!AA310="","",'Master'!AA310)</x:f>
      </x:c>
      <x:c r="AA27" s="104" t="str">
        <x:f>IF('Master'!AB310="","",'Master'!AB310)</x:f>
      </x:c>
      <x:c r="AB27" s="100" t="str">
        <x:f>IF('Master'!AC310="","",'Master'!AC310)</x:f>
      </x:c>
      <x:c r="AC27" s="100" t="str">
        <x:f>IF('Master'!AD310="","",'Master'!AD310)</x:f>
      </x:c>
      <x:c r="AD27" s="100" t="str">
        <x:f>IF('Master'!AE310="","",'Master'!AE310)</x:f>
      </x:c>
      <x:c r="AE27" s="100" t="str">
        <x:f>IF('Master'!AF310="","",'Master'!AF310)</x:f>
      </x:c>
      <x:c r="AF27" s="75" t="str">
        <x:f>IF('Master'!AG310="","",'Master'!AG310)</x:f>
        <x:v>Zulip export archives</x:v>
      </x:c>
    </x:row>
    <x:row r="28" ht="36" customHeight="1">
      <x:c r="A28" s="135" t="str">
        <x:v>Inline Preview?</x:v>
      </x:c>
      <x:c r="B28" s="100" t="str">
        <x:f>IF('Master'!C311="","",'Master'!C311)</x:f>
        <x:v>Yes</x:v>
      </x:c>
      <x:c r="C28" s="100" t="str">
        <x:f>IF('Master'!D311="","",'Master'!D311)</x:f>
      </x:c>
      <x:c r="D28" s="100" t="str">
        <x:f>IF('Master'!E311="","",'Master'!E311)</x:f>
      </x:c>
      <x:c r="E28" s="100" t="str">
        <x:f>IF('Master'!F311="","",'Master'!F311)</x:f>
      </x:c>
      <x:c r="F28" s="100" t="str">
        <x:f>IF('Master'!G311="","",'Master'!G311)</x:f>
      </x:c>
      <x:c r="G28" s="100" t="str">
        <x:f>IF('Master'!H311="","",'Master'!H311)</x:f>
        <x:v>Yes</x:v>
      </x:c>
      <x:c r="H28" s="100" t="str">
        <x:f>IF('Master'!I311="","",'Master'!I311)</x:f>
        <x:v>Yes</x:v>
      </x:c>
      <x:c r="I28" s="100" t="str">
        <x:f>IF('Master'!J311="","",'Master'!J311)</x:f>
      </x:c>
      <x:c r="J28" s="100" t="str">
        <x:f>IF('Master'!K311="","",'Master'!K311)</x:f>
      </x:c>
      <x:c r="K28" s="100" t="str">
        <x:f>IF('Master'!L311="","",'Master'!L311)</x:f>
        <x:v>Yes — clean image/video derivatives and previews are produced after scan</x:v>
      </x:c>
      <x:c r="L28" s="100" t="str">
        <x:f>IF('Master'!M311="","",'Master'!M311)</x:f>
      </x:c>
      <x:c r="M28" s="100" t="str">
        <x:f>IF('Master'!N311="","",'Master'!N311)</x:f>
      </x:c>
      <x:c r="N28" s="100" t="str">
        <x:f>IF('Master'!O311="","",'Master'!O311)</x:f>
      </x:c>
      <x:c r="O28" s="100" t="str">
        <x:f>IF('Master'!P311="","",'Master'!P311)</x:f>
        <x:v>Yes</x:v>
      </x:c>
      <x:c r="P28" s="100" t="str">
        <x:f>IF('Master'!Q311="","",'Master'!Q311)</x:f>
        <x:v>Yes</x:v>
      </x:c>
      <x:c r="Q28" s="100" t="str">
        <x:f>IF('Master'!R311="","",'Master'!R311)</x:f>
      </x:c>
      <x:c r="R28" s="100" t="str">
        <x:f>IF('Master'!S311="","",'Master'!S311)</x:f>
      </x:c>
      <x:c r="S28" s="100" t="str">
        <x:f>IF('Master'!T311="","",'Master'!T311)</x:f>
      </x:c>
      <x:c r="T28" s="100" t="str">
        <x:f>IF('Master'!U311="","",'Master'!U311)</x:f>
      </x:c>
      <x:c r="U28" s="100" t="str">
        <x:f>IF('Master'!V311="","",'Master'!V311)</x:f>
        <x:v>Yes</x:v>
      </x:c>
      <x:c r="V28" s="100" t="str">
        <x:f>IF('Master'!W311="","",'Master'!W311)</x:f>
        <x:v>Yes</x:v>
      </x:c>
      <x:c r="W28" s="100" t="str">
        <x:f>IF('Master'!X311="","",'Master'!X311)</x:f>
      </x:c>
      <x:c r="X28" s="100" t="str">
        <x:f>IF('Master'!Y311="","",'Master'!Y311)</x:f>
        <x:v>Yes</x:v>
      </x:c>
      <x:c r="Y28" s="100" t="str">
        <x:f>IF('Master'!Z311="","",'Master'!Z311)</x:f>
      </x:c>
      <x:c r="Z28" s="100" t="str">
        <x:f>IF('Master'!AA311="","",'Master'!AA311)</x:f>
      </x:c>
      <x:c r="AA28" s="104" t="str">
        <x:f>IF('Master'!AB311="","",'Master'!AB311)</x:f>
      </x:c>
      <x:c r="AB28" s="100" t="str">
        <x:f>IF('Master'!AC311="","",'Master'!AC311)</x:f>
      </x:c>
      <x:c r="AC28" s="100" t="str">
        <x:f>IF('Master'!AD311="","",'Master'!AD311)</x:f>
      </x:c>
      <x:c r="AD28" s="100" t="str">
        <x:f>IF('Master'!AE311="","",'Master'!AE311)</x:f>
      </x:c>
      <x:c r="AE28" s="100" t="str">
        <x:f>IF('Master'!AF311="","",'Master'!AF311)</x:f>
      </x:c>
      <x:c r="AF28" s="75" t="str">
        <x:f>IF('Master'!AG311="","",'Master'!AG311)</x:f>
        <x:v>Yes</x:v>
      </x:c>
    </x:row>
    <x:row r="29" ht="22" customHeight="1">
      <x:c r="A29" s="138" t="str">
        <x:v>Source &amp; Notes</x:v>
      </x:c>
      <x:c r="B29" s="138" t="str">
        <x:f>IF(""="","","")</x:f>
      </x:c>
      <x:c r="C29" s="138" t="str">
        <x:f>IF(""="","","")</x:f>
      </x:c>
      <x:c r="D29" s="138" t="str">
        <x:f>IF(""="","","")</x:f>
      </x:c>
      <x:c r="E29" s="138" t="str">
        <x:f>IF(""="","","")</x:f>
      </x:c>
      <x:c r="F29" s="138" t="str">
        <x:f>IF(""="","","")</x:f>
      </x:c>
      <x:c r="G29" s="138" t="str">
        <x:f>IF(""="","","")</x:f>
      </x:c>
      <x:c r="H29" s="138" t="str">
        <x:f>IF(""="","","")</x:f>
      </x:c>
      <x:c r="I29" s="138" t="str">
        <x:f>IF(""="","","")</x:f>
      </x:c>
      <x:c r="J29" s="138" t="str">
        <x:f>IF(""="","","")</x:f>
      </x:c>
      <x:c r="K29" s="138" t="str">
        <x:f>IF(""="","","")</x:f>
      </x:c>
      <x:c r="L29" s="138" t="str">
        <x:f>IF(""="","","")</x:f>
      </x:c>
      <x:c r="M29" s="138" t="str">
        <x:f>IF(""="","","")</x:f>
      </x:c>
      <x:c r="N29" s="138" t="str">
        <x:f>IF(""="","","")</x:f>
      </x:c>
      <x:c r="O29" s="138" t="str">
        <x:f>IF(""="","","")</x:f>
      </x:c>
      <x:c r="P29" s="138" t="str">
        <x:f>IF(""="","","")</x:f>
      </x:c>
      <x:c r="Q29" s="138" t="str">
        <x:f>IF(""="","","")</x:f>
      </x:c>
      <x:c r="R29" s="138" t="str">
        <x:f>IF(""="","","")</x:f>
      </x:c>
      <x:c r="S29" s="138" t="str">
        <x:f>IF(""="","","")</x:f>
      </x:c>
      <x:c r="T29" s="138" t="str">
        <x:f>IF(""="","","")</x:f>
      </x:c>
      <x:c r="U29" s="138" t="str">
        <x:f>IF(""="","","")</x:f>
      </x:c>
      <x:c r="V29" s="138" t="str">
        <x:f>IF(""="","","")</x:f>
      </x:c>
      <x:c r="W29" s="138" t="str">
        <x:f>IF(""="","","")</x:f>
      </x:c>
      <x:c r="X29" s="138" t="str">
        <x:f>IF(""="","","")</x:f>
      </x:c>
      <x:c r="Y29" s="138" t="str">
        <x:f>IF(""="","","")</x:f>
      </x:c>
      <x:c r="Z29" s="138" t="str">
        <x:f>IF(""="","","")</x:f>
      </x:c>
      <x:c r="AA29" s="138" t="str">
        <x:f>IF(""="","","")</x:f>
      </x:c>
      <x:c r="AB29" s="138" t="str">
        <x:f>IF(""="","","")</x:f>
      </x:c>
      <x:c r="AC29" s="138" t="str">
        <x:f>IF(""="","","")</x:f>
      </x:c>
      <x:c r="AD29" s="138" t="str">
        <x:f>IF(""="","","")</x:f>
      </x:c>
      <x:c r="AE29" s="138" t="str">
        <x:f>IF(""="","","")</x:f>
      </x:c>
      <x:c r="AF29" s="139" t="str">
        <x:f>IF(""="","","")</x:f>
      </x:c>
    </x:row>
    <x:row r="30" ht="36" customHeight="1">
      <x:c r="A30" s="135" t="str">
        <x:v>File / Storage Source URL</x:v>
      </x:c>
      <x:c r="B30" s="100" t="str">
        <x:f>IF('Master'!C312="","",'Master'!C312)</x:f>
        <x:v>https://support.discord.com/hc/en-us/articles/25444343291031-File-Attachments-FAQ</x:v>
      </x:c>
      <x:c r="C30" s="100" t="str">
        <x:f>IF('Master'!D312="","",'Master'!D312)</x:f>
      </x:c>
      <x:c r="D30" s="100" t="str">
        <x:f>IF('Master'!E312="","",'Master'!E312)</x:f>
      </x:c>
      <x:c r="E30" s="100" t="str">
        <x:f>IF('Master'!F312="","",'Master'!F312)</x:f>
      </x:c>
      <x:c r="F30" s="100" t="str">
        <x:f>IF('Master'!G312="","",'Master'!G312)</x:f>
      </x:c>
      <x:c r="G30" s="100" t="str">
        <x:f>IF('Master'!H312="","",'Master'!H312)</x:f>
        <x:v>https://fluxer.app/plutonium</x:v>
      </x:c>
      <x:c r="H30" s="100" t="str">
        <x:f>IF('Master'!I312="","",'Master'!I312)</x:f>
        <x:v>https://gamevox.com/blog/gamevox-vs-discord/</x:v>
      </x:c>
      <x:c r="I30" s="100" t="str">
        <x:f>IF('Master'!J312="","",'Master'!J312)</x:f>
      </x:c>
      <x:c r="J30" s="100" t="str">
        <x:f>IF('Master'!K312="","",'Master'!K312)</x:f>
      </x:c>
      <x:c r="K30" s="100" t="str">
        <x:f>IF('Master'!L312="","",'Master'!L312)</x:f>
        <x:v>https://github.com/CookieNom/KaedeChat/blob/main/docs/architecture.md</x:v>
      </x:c>
      <x:c r="L30" s="100" t="str">
        <x:f>IF('Master'!M312="","",'Master'!M312)</x:f>
      </x:c>
      <x:c r="M30" s="100" t="str">
        <x:f>IF('Master'!N312="","",'Master'!N312)</x:f>
      </x:c>
      <x:c r="N30" s="100" t="str">
        <x:f>IF('Master'!O312="","",'Master'!O312)</x:f>
      </x:c>
      <x:c r="O30" s="100" t="str">
        <x:f>IF('Master'!P312="","",'Master'!P312)</x:f>
      </x:c>
      <x:c r="P30" s="100" t="str">
        <x:f>IF('Master'!Q312="","",'Master'!Q312)</x:f>
        <x:v>https://mezon.ai/docs/user/resources/FAQ/</x:v>
      </x:c>
      <x:c r="Q30" s="100" t="str">
        <x:f>IF('Master'!R312="","",'Master'!R312)</x:f>
      </x:c>
      <x:c r="R30" s="100" t="str">
        <x:f>IF('Master'!S312="","",'Master'!S312)</x:f>
      </x:c>
      <x:c r="S30" s="100" t="str">
        <x:f>IF('Master'!T312="","",'Master'!T312)</x:f>
      </x:c>
      <x:c r="T30" s="100" t="str">
        <x:f>IF('Master'!U312="","",'Master'!U312)</x:f>
      </x:c>
      <x:c r="U30" s="100" t="str">
        <x:f>IF('Master'!V312="","",'Master'!V312)</x:f>
        <x:v>https://therift.chat/de/plans/</x:v>
      </x:c>
      <x:c r="V30" s="100" t="str">
        <x:f>IF('Master'!W312="","",'Master'!W312)</x:f>
      </x:c>
      <x:c r="W30" s="100" t="str">
        <x:f>IF('Master'!X312="","",'Master'!X312)</x:f>
      </x:c>
      <x:c r="X30" s="100" t="str">
        <x:f>IF('Master'!Y312="","",'Master'!Y312)</x:f>
        <x:v>https://support.rootapp.com/docs/leader/channel-files/overview/</x:v>
      </x:c>
      <x:c r="Y30" s="100" t="str">
        <x:f>IF('Master'!Z312="","",'Master'!Z312)</x:f>
      </x:c>
      <x:c r="Z30" s="100" t="str">
        <x:f>IF('Master'!AA312="","",'Master'!AA312)</x:f>
      </x:c>
      <x:c r="AA30" s="104" t="str">
        <x:f>IF('Master'!AB312="","",'Master'!AB312)</x:f>
      </x:c>
      <x:c r="AB30" s="100" t="str">
        <x:f>IF('Master'!AC312="","",'Master'!AC312)</x:f>
      </x:c>
      <x:c r="AC30" s="100" t="str">
        <x:f>IF('Master'!AD312="","",'Master'!AD312)</x:f>
      </x:c>
      <x:c r="AD30" s="100" t="str">
        <x:f>IF('Master'!AE312="","",'Master'!AE312)</x:f>
      </x:c>
      <x:c r="AE30" s="100" t="str">
        <x:f>IF('Master'!AF312="","",'Master'!AF312)</x:f>
      </x:c>
      <x:c r="AF30" s="75" t="str">
        <x:f>IF('Master'!AG312="","",'Master'!AG312)</x:f>
        <x:v>https://zulip.com/plans/</x:v>
      </x:c>
    </x:row>
    <x:row r="31" ht="36" customHeight="1">
      <x:c r="A31" s="135" t="str">
        <x:v>File / Storage Notes</x:v>
      </x:c>
      <x:c r="B31" s="100" t="str">
        <x:f>IF('Master'!C313="","",'Master'!C313)</x:f>
        <x:v>20 MB free; 50 MB Nitro Basic; 500 MB Nitro.</x:v>
      </x:c>
      <x:c r="C31" s="100" t="str">
        <x:f>IF('Master'!D313="","",'Master'!D313)</x:f>
        <x:v>Relay-dependent</x:v>
      </x:c>
      <x:c r="D31" s="100" t="str">
        <x:f>IF('Master'!E313="","",'Master'!E313)</x:f>
        <x:v>Operator configured</x:v>
      </x:c>
      <x:c r="E31" s="100" t="str">
        <x:f>IF('Master'!F313="","",'Master'!F313)</x:f>
      </x:c>
      <x:c r="F31" s="100" t="str">
        <x:f>IF('Master'!G313="","",'Master'!G313)</x:f>
      </x:c>
      <x:c r="G31" s="100" t="str">
        <x:f>IF('Master'!H313="","",'Master'!H313)</x:f>
        <x:v>25 MB free; 500 MB with Plutonium.</x:v>
      </x:c>
      <x:c r="H31" s="100" t="str">
        <x:f>IF('Master'!I313="","",'Master'!I313)</x:f>
        <x:v>500 MB free; Silver 1 GB/file; Gold 2 GB/file; Diamond 10 GB/file.</x:v>
      </x:c>
      <x:c r="I31" s="100" t="str">
        <x:f>IF('Master'!J313="","",'Master'!J313)</x:f>
      </x:c>
      <x:c r="J31" s="100" t="str">
        <x:f>IF('Master'!K313="","",'Master'!K313)</x:f>
        <x:v>Local/device storage</x:v>
      </x:c>
      <x:c r="K31" s="100" t="str">
        <x:f>IF('Master'!L313="","",'Master'!L313)</x:f>
        <x:v>Three private buckets; exact-length upload tickets; magic validation; ClamAV scanning; safe WebP/video derivatives; remote media is origin-authenticated and re-scanned before local cache.</x:v>
      </x:c>
      <x:c r="L31" s="100" t="str">
        <x:f>IF('Master'!M313="","",'Master'!M313)</x:f>
      </x:c>
      <x:c r="M31" s="100" t="str">
        <x:f>IF('Master'!N313="","",'Master'!N313)</x:f>
      </x:c>
      <x:c r="N31" s="100" t="str">
        <x:f>IF('Master'!O313="","",'Master'!O313)</x:f>
        <x:v>Homeserver-dependent</x:v>
      </x:c>
      <x:c r="O31" s="100" t="str">
        <x:f>IF('Master'!P313="","",'Master'!P313)</x:f>
        <x:v>Admin-configurable</x:v>
      </x:c>
      <x:c r="P31" s="100" t="str">
        <x:f>IF('Master'!Q313="","",'Master'!Q313)</x:f>
        <x:v>All features free; images max 50 MB, video/other max 100 MB.</x:v>
      </x:c>
      <x:c r="Q31" s="100" t="str">
        <x:f>IF('Master'!R313="","",'Master'!R313)</x:f>
        <x:v>N/A</x:v>
      </x:c>
      <x:c r="R31" s="100" t="str">
        <x:f>IF('Master'!S313="","",'Master'!S313)</x:f>
      </x:c>
      <x:c r="S31" s="100" t="str">
        <x:f>IF('Master'!T313="","",'Master'!T313)</x:f>
      </x:c>
      <x:c r="T31" s="100" t="str">
        <x:f>IF('Master'!U313="","",'Master'!U313)</x:f>
      </x:c>
      <x:c r="U31" s="100" t="str">
        <x:f>IF('Master'!V313="","",'Master'!V313)</x:f>
        <x:v>Free 50 MB; Rift+ 200 MB; Ember 75 MB/member; Forge 100 MB/member.</x:v>
      </x:c>
      <x:c r="V31" s="100" t="str">
        <x:f>IF('Master'!W313="","",'Master'!W313)</x:f>
        <x:v>Admin-configurable</x:v>
      </x:c>
      <x:c r="W31" s="100" t="str">
        <x:f>IF('Master'!X313="","",'Master'!X313)</x:f>
      </x:c>
      <x:c r="X31" s="100" t="str">
        <x:f>IF('Master'!Y313="","",'Master'!Y313)</x:f>
        <x:v>Root docs verify 25 MB max and 10 files/upload; no higher paid file cap verified.</x:v>
      </x:c>
      <x:c r="Y31" s="100" t="str">
        <x:f>IF('Master'!Z313="","",'Master'!Z313)</x:f>
        <x:v>Operator-configurable</x:v>
      </x:c>
      <x:c r="Z31" s="100" t="str">
        <x:f>IF('Master'!AA313="","",'Master'!AA313)</x:f>
      </x:c>
      <x:c r="AA31" s="104" t="str">
        <x:f>IF('Master'!AB313="","",'Master'!AB313)</x:f>
        <x:v>A 5 MB attachment limit is widely documented in current comparisons; official primary limit was not re-verified in this pass.</x:v>
      </x:c>
      <x:c r="AB31" s="100" t="str">
        <x:f>IF('Master'!AC313="","",'Master'!AC313)</x:f>
      </x:c>
      <x:c r="AC31" s="100" t="str">
        <x:f>IF('Master'!AD313="","",'Master'!AD313)</x:f>
      </x:c>
      <x:c r="AD31" s="100" t="str">
        <x:f>IF('Master'!AE313="","",'Master'!AE313)</x:f>
      </x:c>
      <x:c r="AE31" s="100" t="str">
        <x:f>IF('Master'!AF313="","",'Master'!AF313)</x:f>
        <x:v>Server-configurable</x:v>
      </x:c>
      <x:c r="AF31" s="75" t="str">
        <x:f>IF('Master'!AG313="","",'Master'!AG313)</x:f>
        <x:v>Plan/server configurable</x:v>
      </x:c>
    </x:row>
    <x:row r="32" ht="22" customHeight="1">
      <x:c r="A32" s="138" t="str">
        <x:v>File Security &amp; Management</x:v>
      </x:c>
      <x:c r="B32" s="138" t="str">
        <x:f>IF(""="","","")</x:f>
      </x:c>
      <x:c r="C32" s="138" t="str">
        <x:f>IF(""="","","")</x:f>
      </x:c>
      <x:c r="D32" s="138" t="str">
        <x:f>IF(""="","","")</x:f>
      </x:c>
      <x:c r="E32" s="138" t="str">
        <x:f>IF(""="","","")</x:f>
      </x:c>
      <x:c r="F32" s="138" t="str">
        <x:f>IF(""="","","")</x:f>
      </x:c>
      <x:c r="G32" s="138" t="str">
        <x:f>IF(""="","","")</x:f>
      </x:c>
      <x:c r="H32" s="138" t="str">
        <x:f>IF(""="","","")</x:f>
      </x:c>
      <x:c r="I32" s="138" t="str">
        <x:f>IF(""="","","")</x:f>
      </x:c>
      <x:c r="J32" s="138" t="str">
        <x:f>IF(""="","","")</x:f>
      </x:c>
      <x:c r="K32" s="138" t="str">
        <x:f>IF(""="","","")</x:f>
      </x:c>
      <x:c r="L32" s="138" t="str">
        <x:f>IF(""="","","")</x:f>
      </x:c>
      <x:c r="M32" s="138" t="str">
        <x:f>IF(""="","","")</x:f>
      </x:c>
      <x:c r="N32" s="138" t="str">
        <x:f>IF(""="","","")</x:f>
      </x:c>
      <x:c r="O32" s="138" t="str">
        <x:f>IF(""="","","")</x:f>
      </x:c>
      <x:c r="P32" s="138" t="str">
        <x:f>IF(""="","","")</x:f>
      </x:c>
      <x:c r="Q32" s="138" t="str">
        <x:f>IF(""="","","")</x:f>
      </x:c>
      <x:c r="R32" s="138" t="str">
        <x:f>IF(""="","","")</x:f>
      </x:c>
      <x:c r="S32" s="138" t="str">
        <x:f>IF(""="","","")</x:f>
      </x:c>
      <x:c r="T32" s="138" t="str">
        <x:f>IF(""="","","")</x:f>
      </x:c>
      <x:c r="U32" s="138" t="str">
        <x:f>IF(""="","","")</x:f>
      </x:c>
      <x:c r="V32" s="138" t="str">
        <x:f>IF(""="","","")</x:f>
      </x:c>
      <x:c r="W32" s="138" t="str">
        <x:f>IF(""="","","")</x:f>
      </x:c>
      <x:c r="X32" s="138" t="str">
        <x:f>IF(""="","","")</x:f>
      </x:c>
      <x:c r="Y32" s="138" t="str">
        <x:f>IF(""="","","")</x:f>
      </x:c>
      <x:c r="Z32" s="138" t="str">
        <x:f>IF(""="","","")</x:f>
      </x:c>
      <x:c r="AA32" s="138" t="str">
        <x:f>IF(""="","","")</x:f>
      </x:c>
      <x:c r="AB32" s="138" t="str">
        <x:f>IF(""="","","")</x:f>
      </x:c>
      <x:c r="AC32" s="138" t="str">
        <x:f>IF(""="","","")</x:f>
      </x:c>
      <x:c r="AD32" s="138" t="str">
        <x:f>IF(""="","","")</x:f>
      </x:c>
      <x:c r="AE32" s="138" t="str">
        <x:f>IF(""="","","")</x:f>
      </x:c>
      <x:c r="AF32" s="139" t="str">
        <x:f>IF(""="","","")</x:f>
      </x:c>
    </x:row>
    <x:row r="33" ht="36" customHeight="1">
      <x:c r="A33" s="135" t="str">
        <x:v>Malware / Virus Scanning?</x:v>
      </x:c>
      <x:c r="B33" s="100" t="str">
        <x:f>IF('Master'!C314="","",'Master'!C314)</x:f>
      </x:c>
      <x:c r="C33" s="100" t="str">
        <x:f>IF('Master'!D314="","",'Master'!D314)</x:f>
      </x:c>
      <x:c r="D33" s="100" t="str">
        <x:f>IF('Master'!E314="","",'Master'!E314)</x:f>
      </x:c>
      <x:c r="E33" s="100" t="str">
        <x:f>IF('Master'!F314="","",'Master'!F314)</x:f>
      </x:c>
      <x:c r="F33" s="100" t="str">
        <x:f>IF('Master'!G314="","",'Master'!G314)</x:f>
      </x:c>
      <x:c r="G33" s="100" t="str">
        <x:f>IF('Master'!H314="","",'Master'!H314)</x:f>
      </x:c>
      <x:c r="H33" s="100" t="str">
        <x:f>IF('Master'!I314="","",'Master'!I314)</x:f>
      </x:c>
      <x:c r="I33" s="100" t="str">
        <x:f>IF('Master'!J314="","",'Master'!J314)</x:f>
      </x:c>
      <x:c r="J33" s="100" t="str">
        <x:f>IF('Master'!K314="","",'Master'!K314)</x:f>
      </x:c>
      <x:c r="K33" s="100" t="str">
        <x:f>IF('Master'!L314="","",'Master'!L314)</x:f>
        <x:v>Yes — magic validation + ClamAV malware scan before originals become available</x:v>
      </x:c>
      <x:c r="L33" s="100" t="str">
        <x:f>IF('Master'!M314="","",'Master'!M314)</x:f>
      </x:c>
      <x:c r="M33" s="100" t="str">
        <x:f>IF('Master'!N314="","",'Master'!N314)</x:f>
      </x:c>
      <x:c r="N33" s="100" t="str">
        <x:f>IF('Master'!O314="","",'Master'!O314)</x:f>
      </x:c>
      <x:c r="O33" s="100" t="str">
        <x:f>IF('Master'!P314="","",'Master'!P314)</x:f>
        <x:v>Deployment/integration dependent</x:v>
      </x:c>
      <x:c r="P33" s="100" t="str">
        <x:f>IF('Master'!Q314="","",'Master'!Q314)</x:f>
      </x:c>
      <x:c r="Q33" s="100" t="str">
        <x:f>IF('Master'!R314="","",'Master'!R314)</x:f>
      </x:c>
      <x:c r="R33" s="100" t="str">
        <x:f>IF('Master'!S314="","",'Master'!S314)</x:f>
      </x:c>
      <x:c r="S33" s="100" t="str">
        <x:f>IF('Master'!T314="","",'Master'!T314)</x:f>
      </x:c>
      <x:c r="T33" s="100" t="str">
        <x:f>IF('Master'!U314="","",'Master'!U314)</x:f>
      </x:c>
      <x:c r="U33" s="100" t="str">
        <x:f>IF('Master'!V314="","",'Master'!V314)</x:f>
      </x:c>
      <x:c r="V33" s="100" t="str">
        <x:f>IF('Master'!W314="","",'Master'!W314)</x:f>
      </x:c>
      <x:c r="W33" s="100" t="str">
        <x:f>IF('Master'!X314="","",'Master'!X314)</x:f>
      </x:c>
      <x:c r="X33" s="100" t="str">
        <x:f>IF('Master'!Y314="","",'Master'!Y314)</x:f>
      </x:c>
      <x:c r="Y33" s="100" t="str">
        <x:f>IF('Master'!Z314="","",'Master'!Z314)</x:f>
      </x:c>
      <x:c r="Z33" s="100" t="str">
        <x:f>IF('Master'!AA314="","",'Master'!AA314)</x:f>
      </x:c>
      <x:c r="AA33" s="104" t="str">
        <x:f>IF('Master'!AB314="","",'Master'!AB314)</x:f>
      </x:c>
      <x:c r="AB33" s="100" t="str">
        <x:f>IF('Master'!AC314="","",'Master'!AC314)</x:f>
      </x:c>
      <x:c r="AC33" s="100" t="str">
        <x:f>IF('Master'!AD314="","",'Master'!AD314)</x:f>
      </x:c>
      <x:c r="AD33" s="100" t="str">
        <x:f>IF('Master'!AE314="","",'Master'!AE314)</x:f>
      </x:c>
      <x:c r="AE33" s="100" t="str">
        <x:f>IF('Master'!AF314="","",'Master'!AF314)</x:f>
      </x:c>
      <x:c r="AF33" s="75" t="str">
        <x:f>IF('Master'!AG314="","",'Master'!AG314)</x:f>
      </x:c>
    </x:row>
    <x:row r="34" ht="36" customHeight="1">
      <x:c r="A34" s="135" t="str">
        <x:v>File Type Restrictions Configurable?</x:v>
      </x:c>
      <x:c r="B34" s="100" t="str">
        <x:f>IF('Master'!C315="","",'Master'!C315)</x:f>
        <x:v>Platform-controlled</x:v>
      </x:c>
      <x:c r="C34" s="100" t="str">
        <x:f>IF('Master'!D315="","",'Master'!D315)</x:f>
      </x:c>
      <x:c r="D34" s="100" t="str">
        <x:f>IF('Master'!E315="","",'Master'!E315)</x:f>
      </x:c>
      <x:c r="E34" s="100" t="str">
        <x:f>IF('Master'!F315="","",'Master'!F315)</x:f>
      </x:c>
      <x:c r="F34" s="100" t="str">
        <x:f>IF('Master'!G315="","",'Master'!G315)</x:f>
      </x:c>
      <x:c r="G34" s="100" t="str">
        <x:f>IF('Master'!H315="","",'Master'!H315)</x:f>
      </x:c>
      <x:c r="H34" s="100" t="str">
        <x:f>IF('Master'!I315="","",'Master'!I315)</x:f>
      </x:c>
      <x:c r="I34" s="100" t="str">
        <x:f>IF('Master'!J315="","",'Master'!J315)</x:f>
      </x:c>
      <x:c r="J34" s="100" t="str">
        <x:f>IF('Master'!K315="","",'Master'!K315)</x:f>
      </x:c>
      <x:c r="K34" s="100" t="str">
        <x:f>IF('Master'!L315="","",'Master'!L315)</x:f>
        <x:v>MIME/type validation is enforced; operator-configurable restriction policy was not separately documented</x:v>
      </x:c>
      <x:c r="L34" s="100" t="str">
        <x:f>IF('Master'!M315="","",'Master'!M315)</x:f>
      </x:c>
      <x:c r="M34" s="100" t="str">
        <x:f>IF('Master'!N315="","",'Master'!N315)</x:f>
      </x:c>
      <x:c r="N34" s="100" t="str">
        <x:f>IF('Master'!O315="","",'Master'!O315)</x:f>
      </x:c>
      <x:c r="O34" s="100" t="str">
        <x:f>IF('Master'!P315="","",'Master'!P315)</x:f>
        <x:v>Admin/deployment dependent</x:v>
      </x:c>
      <x:c r="P34" s="100" t="str">
        <x:f>IF('Master'!Q315="","",'Master'!Q315)</x:f>
      </x:c>
      <x:c r="Q34" s="100" t="str">
        <x:f>IF('Master'!R315="","",'Master'!R315)</x:f>
      </x:c>
      <x:c r="R34" s="100" t="str">
        <x:f>IF('Master'!S315="","",'Master'!S315)</x:f>
      </x:c>
      <x:c r="S34" s="100" t="str">
        <x:f>IF('Master'!T315="","",'Master'!T315)</x:f>
      </x:c>
      <x:c r="T34" s="100" t="str">
        <x:f>IF('Master'!U315="","",'Master'!U315)</x:f>
      </x:c>
      <x:c r="U34" s="100" t="str">
        <x:f>IF('Master'!V315="","",'Master'!V315)</x:f>
      </x:c>
      <x:c r="V34" s="100" t="str">
        <x:f>IF('Master'!W315="","",'Master'!W315)</x:f>
      </x:c>
      <x:c r="W34" s="100" t="str">
        <x:f>IF('Master'!X315="","",'Master'!X315)</x:f>
      </x:c>
      <x:c r="X34" s="100" t="str">
        <x:f>IF('Master'!Y315="","",'Master'!Y315)</x:f>
      </x:c>
      <x:c r="Y34" s="100" t="str">
        <x:f>IF('Master'!Z315="","",'Master'!Z315)</x:f>
      </x:c>
      <x:c r="Z34" s="100" t="str">
        <x:f>IF('Master'!AA315="","",'Master'!AA315)</x:f>
      </x:c>
      <x:c r="AA34" s="104" t="str">
        <x:f>IF('Master'!AB315="","",'Master'!AB315)</x:f>
      </x:c>
      <x:c r="AB34" s="100" t="str">
        <x:f>IF('Master'!AC315="","",'Master'!AC315)</x:f>
      </x:c>
      <x:c r="AC34" s="100" t="str">
        <x:f>IF('Master'!AD315="","",'Master'!AD315)</x:f>
      </x:c>
      <x:c r="AD34" s="100" t="str">
        <x:f>IF('Master'!AE315="","",'Master'!AE315)</x:f>
      </x:c>
      <x:c r="AE34" s="100" t="str">
        <x:f>IF('Master'!AF315="","",'Master'!AF315)</x:f>
      </x:c>
      <x:c r="AF34" s="75" t="str">
        <x:f>IF('Master'!AG315="","",'Master'!AG315)</x:f>
      </x:c>
    </x:row>
    <x:row r="35" ht="36" customHeight="1">
      <x:c r="A35" s="135" t="str">
        <x:v>Per-Channel Retention Policy?</x:v>
      </x:c>
      <x:c r="B35" s="100" t="str">
        <x:f>IF('Master'!C316="","",'Master'!C316)</x:f>
        <x:v>No general native retention timer</x:v>
      </x:c>
      <x:c r="C35" s="100" t="str">
        <x:f>IF('Master'!D316="","",'Master'!D316)</x:f>
      </x:c>
      <x:c r="D35" s="100" t="str">
        <x:f>IF('Master'!E316="","",'Master'!E316)</x:f>
      </x:c>
      <x:c r="E35" s="100" t="str">
        <x:f>IF('Master'!F316="","",'Master'!F316)</x:f>
      </x:c>
      <x:c r="F35" s="100" t="str">
        <x:f>IF('Master'!G316="","",'Master'!G316)</x:f>
      </x:c>
      <x:c r="G35" s="100" t="str">
        <x:f>IF('Master'!H316="","",'Master'!H316)</x:f>
      </x:c>
      <x:c r="H35" s="100" t="str">
        <x:f>IF('Master'!I316="","",'Master'!I316)</x:f>
      </x:c>
      <x:c r="I35" s="100" t="str">
        <x:f>IF('Master'!J316="","",'Master'!J316)</x:f>
      </x:c>
      <x:c r="J35" s="100" t="str">
        <x:f>IF('Master'!K316="","",'Master'!K316)</x:f>
      </x:c>
      <x:c r="K35" s="100" t="str">
        <x:f>IF('Master'!L316="","",'Master'!L316)</x:f>
        <x:v>Not documented</x:v>
      </x:c>
      <x:c r="L35" s="100" t="str">
        <x:f>IF('Master'!M316="","",'Master'!M316)</x:f>
      </x:c>
      <x:c r="M35" s="100" t="str">
        <x:f>IF('Master'!N316="","",'Master'!N316)</x:f>
      </x:c>
      <x:c r="N35" s="100" t="str">
        <x:f>IF('Master'!O316="","",'Master'!O316)</x:f>
      </x:c>
      <x:c r="O35" s="100" t="str">
        <x:f>IF('Master'!P316="","",'Master'!P316)</x:f>
        <x:v>Enterprise/deployment dependent</x:v>
      </x:c>
      <x:c r="P35" s="100" t="str">
        <x:f>IF('Master'!Q316="","",'Master'!Q316)</x:f>
      </x:c>
      <x:c r="Q35" s="100" t="str">
        <x:f>IF('Master'!R316="","",'Master'!R316)</x:f>
      </x:c>
      <x:c r="R35" s="100" t="str">
        <x:f>IF('Master'!S316="","",'Master'!S316)</x:f>
      </x:c>
      <x:c r="S35" s="100" t="str">
        <x:f>IF('Master'!T316="","",'Master'!T316)</x:f>
      </x:c>
      <x:c r="T35" s="100" t="str">
        <x:f>IF('Master'!U316="","",'Master'!U316)</x:f>
        <x:v>Message retention controls available; exact granularity not stated</x:v>
      </x:c>
      <x:c r="U35" s="100" t="str">
        <x:f>IF('Master'!V316="","",'Master'!V316)</x:f>
        <x:v>Yes — disappearing messages per channel</x:v>
      </x:c>
      <x:c r="V35" s="100" t="str">
        <x:f>IF('Master'!W316="","",'Master'!W316)</x:f>
        <x:v>Deployment/settings dependent</x:v>
      </x:c>
      <x:c r="W35" s="100" t="str">
        <x:f>IF('Master'!X316="","",'Master'!X316)</x:f>
      </x:c>
      <x:c r="X35" s="100" t="str">
        <x:f>IF('Master'!Y316="","",'Master'!Y316)</x:f>
      </x:c>
      <x:c r="Y35" s="100" t="str">
        <x:f>IF('Master'!Z316="","",'Master'!Z316)</x:f>
      </x:c>
      <x:c r="Z35" s="100" t="str">
        <x:f>IF('Master'!AA316="","",'Master'!AA316)</x:f>
      </x:c>
      <x:c r="AA35" s="104" t="str">
        <x:f>IF('Master'!AB316="","",'Master'!AB316)</x:f>
      </x:c>
      <x:c r="AB35" s="100" t="str">
        <x:f>IF('Master'!AC316="","",'Master'!AC316)</x:f>
      </x:c>
      <x:c r="AC35" s="100" t="str">
        <x:f>IF('Master'!AD316="","",'Master'!AD316)</x:f>
      </x:c>
      <x:c r="AD35" s="100" t="str">
        <x:f>IF('Master'!AE316="","",'Master'!AE316)</x:f>
      </x:c>
      <x:c r="AE35" s="100" t="str">
        <x:f>IF('Master'!AF316="","",'Master'!AF316)</x:f>
      </x:c>
      <x:c r="AF35" s="75" t="str">
        <x:f>IF('Master'!AG316="","",'Master'!AG316)</x:f>
      </x:c>
    </x:row>
    <x:row r="36" ht="36" customHeight="1">
      <x:c r="A36" s="135" t="str">
        <x:v>Object Storage Backend Self-Host Configurable?</x:v>
      </x:c>
      <x:c r="B36" s="100" t="str">
        <x:f>IF('Master'!C317="","",'Master'!C317)</x:f>
      </x:c>
      <x:c r="C36" s="100" t="str">
        <x:f>IF('Master'!D317="","",'Master'!D317)</x:f>
      </x:c>
      <x:c r="D36" s="100" t="str">
        <x:f>IF('Master'!E317="","",'Master'!E317)</x:f>
      </x:c>
      <x:c r="E36" s="100" t="str">
        <x:f>IF('Master'!F317="","",'Master'!F317)</x:f>
      </x:c>
      <x:c r="F36" s="100" t="str">
        <x:f>IF('Master'!G317="","",'Master'!G317)</x:f>
      </x:c>
      <x:c r="G36" s="100" t="str">
        <x:f>IF('Master'!H317="","",'Master'!H317)</x:f>
        <x:v>Yes / recommended</x:v>
      </x:c>
      <x:c r="H36" s="100" t="str">
        <x:f>IF('Master'!I317="","",'Master'!I317)</x:f>
      </x:c>
      <x:c r="I36" s="100" t="str">
        <x:f>IF('Master'!J317="","",'Master'!J317)</x:f>
      </x:c>
      <x:c r="J36" s="100" t="str">
        <x:f>IF('Master'!K317="","",'Master'!K317)</x:f>
      </x:c>
      <x:c r="K36" s="100" t="str">
        <x:f>IF('Master'!L317="","",'Master'!L317)</x:f>
        <x:v>Yes — Garage or external S3-compatible storage</x:v>
      </x:c>
      <x:c r="L36" s="100" t="str">
        <x:f>IF('Master'!M317="","",'Master'!M317)</x:f>
      </x:c>
      <x:c r="M36" s="100" t="str">
        <x:f>IF('Master'!N317="","",'Master'!N317)</x:f>
      </x:c>
      <x:c r="N36" s="100" t="str">
        <x:f>IF('Master'!O317="","",'Master'!O317)</x:f>
      </x:c>
      <x:c r="O36" s="100" t="str">
        <x:f>IF('Master'!P317="","",'Master'!P317)</x:f>
        <x:v>Yes / recommended</x:v>
      </x:c>
      <x:c r="P36" s="100" t="str">
        <x:f>IF('Master'!Q317="","",'Master'!Q317)</x:f>
      </x:c>
      <x:c r="Q36" s="100" t="str">
        <x:f>IF('Master'!R317="","",'Master'!R317)</x:f>
      </x:c>
      <x:c r="R36" s="100" t="str">
        <x:f>IF('Master'!S317="","",'Master'!S317)</x:f>
      </x:c>
      <x:c r="S36" s="100" t="str">
        <x:f>IF('Master'!T317="","",'Master'!T317)</x:f>
      </x:c>
      <x:c r="T36" s="100" t="str">
        <x:f>IF('Master'!U317="","",'Master'!U317)</x:f>
      </x:c>
      <x:c r="U36" s="100" t="str">
        <x:f>IF('Master'!V317="","",'Master'!V317)</x:f>
      </x:c>
      <x:c r="V36" s="100" t="str">
        <x:f>IF('Master'!W317="","",'Master'!W317)</x:f>
        <x:v>Yes / recommended</x:v>
      </x:c>
      <x:c r="W36" s="100" t="str">
        <x:f>IF('Master'!X317="","",'Master'!X317)</x:f>
      </x:c>
      <x:c r="X36" s="100" t="str">
        <x:f>IF('Master'!Y317="","",'Master'!Y317)</x:f>
      </x:c>
      <x:c r="Y36" s="100" t="str">
        <x:f>IF('Master'!Z317="","",'Master'!Z317)</x:f>
      </x:c>
      <x:c r="Z36" s="100" t="str">
        <x:f>IF('Master'!AA317="","",'Master'!AA317)</x:f>
        <x:v>Yes / recommended</x:v>
      </x:c>
      <x:c r="AA36" s="104" t="str">
        <x:f>IF('Master'!AB317="","",'Master'!AB317)</x:f>
      </x:c>
      <x:c r="AB36" s="100" t="str">
        <x:f>IF('Master'!AC317="","",'Master'!AC317)</x:f>
      </x:c>
      <x:c r="AC36" s="100" t="str">
        <x:f>IF('Master'!AD317="","",'Master'!AD317)</x:f>
      </x:c>
      <x:c r="AD36" s="100" t="str">
        <x:f>IF('Master'!AE317="","",'Master'!AE317)</x:f>
      </x:c>
      <x:c r="AE36" s="100" t="str">
        <x:f>IF('Master'!AF317="","",'Master'!AF317)</x:f>
      </x:c>
      <x:c r="AF36" s="75" t="str">
        <x:f>IF('Master'!AG317="","",'Master'!AG317)</x:f>
      </x:c>
    </x:row>
  </x:sheetData>
  <x:mergeCells>
    <x:mergeCell ref="A1:AF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Directory'!A1","Platform Model &amp; Ecosystem"),"Platform Model &amp; Ecosystem")</x:f>
        <x:v>Platform Model &amp; Ecosystem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Platform / Protocol Identity</x:v>
      </x:c>
      <x:c r="B3" s="100" t="str">
        <x:f>IF('Master'!C318="","",'Master'!C318)</x:f>
        <x:v>Discord</x:v>
      </x:c>
      <x:c r="C3" s="100" t="str">
        <x:f>IF('Master'!D318="","",'Master'!D318)</x:f>
        <x:v>Armada</x:v>
      </x:c>
      <x:c r="D3" s="100" t="str">
        <x:f>IF('Master'!E318="","",'Master'!E318)</x:f>
        <x:v>DCTS</x:v>
      </x:c>
      <x:c r="E3" s="100" t="str">
        <x:f>IF('Master'!F318="","",'Master'!F318)</x:f>
        <x:v>Echon</x:v>
      </x:c>
      <x:c r="F3" s="100" t="str">
        <x:f>IF('Master'!G318="","",'Master'!G318)</x:f>
        <x:v>Fenrid</x:v>
      </x:c>
      <x:c r="G3" s="100" t="str">
        <x:f>IF('Master'!H318="","",'Master'!H318)</x:f>
        <x:v>Fluxer</x:v>
      </x:c>
      <x:c r="H3" s="100" t="str">
        <x:f>IF('Master'!I318="","",'Master'!I318)</x:f>
        <x:v>GameVox</x:v>
      </x:c>
      <x:c r="I3" s="100" t="str">
        <x:f>IF('Master'!J318="","",'Master'!J318)</x:f>
        <x:v>Harmony</x:v>
      </x:c>
      <x:c r="J3" s="100" t="str">
        <x:f>IF('Master'!K318="","",'Master'!K318)</x:f>
        <x:v>Hollow</x:v>
      </x:c>
      <x:c r="K3" s="100" t="str">
        <x:f>IF('Master'!L318="","",'Master'!L318)</x:f>
        <x:v>Federated self-hosted Discord-style chat platform</x:v>
      </x:c>
      <x:c r="L3" s="100" t="str">
        <x:f>IF('Master'!M318="","",'Master'!M318)</x:f>
        <x:v>Kloak</x:v>
      </x:c>
      <x:c r="M3" s="100" t="str">
        <x:f>IF('Master'!N318="","",'Master'!N318)</x:f>
        <x:v>Loqa</x:v>
      </x:c>
      <x:c r="N3" s="100" t="str">
        <x:f>IF('Master'!O318="","",'Master'!O318)</x:f>
        <x:v>Matrix</x:v>
      </x:c>
      <x:c r="O3" s="100" t="str">
        <x:f>IF('Master'!P318="","",'Master'!P318)</x:f>
        <x:v>Mattermost</x:v>
      </x:c>
      <x:c r="P3" s="100" t="str">
        <x:f>IF('Master'!Q318="","",'Master'!Q318)</x:f>
        <x:v>Mezon</x:v>
      </x:c>
      <x:c r="Q3" s="100" t="str">
        <x:f>IF('Master'!R318="","",'Master'!R318)</x:f>
        <x:v>Mumble</x:v>
      </x:c>
      <x:c r="R3" s="100" t="str">
        <x:f>IF('Master'!S318="","",'Master'!S318)</x:f>
        <x:v>Nerimity</x:v>
      </x:c>
      <x:c r="S3" s="100" t="str">
        <x:f>IF('Master'!T318="","",'Master'!T318)</x:f>
        <x:v>Osmium</x:v>
      </x:c>
      <x:c r="T3" s="100" t="str">
        <x:f>IF('Master'!U318="","",'Master'!U318)</x:f>
        <x:v>pqp.gg</x:v>
      </x:c>
      <x:c r="U3" s="100" t="str">
        <x:f>IF('Master'!V318="","",'Master'!V318)</x:f>
        <x:v>Rift</x:v>
      </x:c>
      <x:c r="V3" s="100" t="str">
        <x:f>IF('Master'!W318="","",'Master'!W318)</x:f>
        <x:v>Rocket.Chat</x:v>
      </x:c>
      <x:c r="W3" s="100" t="str">
        <x:f>IF('Master'!X318="","",'Master'!X318)</x:f>
        <x:v>Roomy</x:v>
      </x:c>
      <x:c r="X3" s="100" t="str">
        <x:f>IF('Master'!Y318="","",'Master'!Y318)</x:f>
        <x:v>Root</x:v>
      </x:c>
      <x:c r="Y3" s="100" t="str">
        <x:f>IF('Master'!Z318="","",'Master'!Z318)</x:f>
        <x:v>Spacebar</x:v>
      </x:c>
      <x:c r="Z3" s="100" t="str">
        <x:f>IF('Master'!AA318="","",'Master'!AA318)</x:f>
        <x:v>Stoat (formerly Revolt)</x:v>
      </x:c>
      <x:c r="AA3" s="104" t="str">
        <x:f>IF('Master'!AB318="","",'Master'!AB318)</x:f>
        <x:v>TeamSpeak</x:v>
      </x:c>
      <x:c r="AB3" s="100" t="str">
        <x:f>IF('Master'!AC318="","",'Master'!AC318)</x:f>
        <x:v>Valour</x:v>
      </x:c>
      <x:c r="AC3" s="100" t="str">
        <x:f>IF('Master'!AD318="","",'Master'!AD318)</x:f>
        <x:v>Venta</x:v>
      </x:c>
      <x:c r="AD3" s="100" t="str">
        <x:f>IF('Master'!AE318="","",'Master'!AE318)</x:f>
        <x:v>Weered</x:v>
      </x:c>
      <x:c r="AE3" s="100" t="str">
        <x:f>IF('Master'!AF318="","",'Master'!AF318)</x:f>
        <x:v>Yapper</x:v>
      </x:c>
      <x:c r="AF3" s="75" t="str">
        <x:f>IF('Master'!AG318="","",'Master'!AG318)</x:f>
        <x:v>Zulip</x:v>
      </x:c>
    </x:row>
    <x:row r="4" ht="36" customHeight="1">
      <x:c r="A4" s="135" t="str">
        <x:v>Product Type</x:v>
      </x:c>
      <x:c r="B4" s="100" t="str">
        <x:f>IF('Master'!C319="","",'Master'!C319)</x:f>
        <x:v>Centralized proprietary communication service</x:v>
      </x:c>
      <x:c r="C4" s="100" t="str">
        <x:f>IF('Master'!D319="","",'Master'!D319)</x:f>
        <x:v>Serverless/federated-style E2EE community client built on Nostr</x:v>
      </x:c>
      <x:c r="D4" s="100" t="str">
        <x:f>IF('Master'!E319="","",'Master'!E319)</x:f>
        <x:v>Self-hosted-only decentralized chat software + key-based messenger</x:v>
      </x:c>
      <x:c r="E4" s="100" t="str">
        <x:f>IF('Master'!F319="","",'Master'!F319)</x:f>
        <x:v>Centralized Discord-like voice/chat service</x:v>
      </x:c>
      <x:c r="F4" s="100" t="str">
        <x:f>IF('Master'!G319="","",'Master'!G319)</x:f>
        <x:v>Centralized hosted community platform</x:v>
      </x:c>
      <x:c r="G4" s="100" t="str">
        <x:f>IF('Master'!H319="","",'Master'!H319)</x:f>
        <x:v>Hosted + self-hostable Discord-like service</x:v>
      </x:c>
      <x:c r="H4" s="100" t="str">
        <x:f>IF('Master'!I319="","",'Master'!I319)</x:f>
        <x:v>Hosted + self-hostable gaming community platform</x:v>
      </x:c>
      <x:c r="I4" s="100" t="str">
        <x:f>IF('Master'!J319="","",'Master'!J319)</x:f>
        <x:v>Hosted + self-hostable open-source community/chat platform</x:v>
      </x:c>
      <x:c r="J4" s="100" t="str">
        <x:f>IF('Master'!K319="","",'Master'!K319)</x:f>
        <x:v>Local-first distributed encrypted messenger/community app</x:v>
      </x:c>
      <x:c r="K4" s="100" t="str">
        <x:f>IF('Master'!L319="","",'Master'!L319)</x:f>
        <x:v>Federated self-hosted chat application</x:v>
      </x:c>
      <x:c r="L4" s="100" t="str">
        <x:f>IF('Master'!M319="","",'Master'!M319)</x:f>
        <x:v>Centralized privacy-focused community platform</x:v>
      </x:c>
      <x:c r="M4" s="100" t="str">
        <x:f>IF('Master'!N319="","",'Master'!N319)</x:f>
        <x:v>Discord-like hosted/self-host/federation-oriented community platform</x:v>
      </x:c>
      <x:c r="N4" s="100" t="str">
        <x:f>IF('Master'!O319="","",'Master'!O319)</x:f>
        <x:v>Open federated communication protocol/ecosystem</x:v>
      </x:c>
      <x:c r="O4" s="100" t="str">
        <x:f>IF('Master'!P319="","",'Master'!P319)</x:f>
        <x:v>Enterprise collaboration application; cloud or self-host</x:v>
      </x:c>
      <x:c r="P4" s="100" t="str">
        <x:f>IF('Master'!Q319="","",'Master'!Q319)</x:f>
        <x:v>Hosted all-in-one community/work platform</x:v>
      </x:c>
      <x:c r="Q4" s="100" t="str">
        <x:f>IF('Master'!R319="","",'Master'!R319)</x:f>
        <x:v>Self-hosted low-latency voice protocol/application</x:v>
      </x:c>
      <x:c r="R4" s="100" t="str">
        <x:f>IF('Master'!S319="","",'Master'!S319)</x:f>
        <x:v>Open-source centralized community chat application</x:v>
      </x:c>
      <x:c r="S4" s="100" t="str">
        <x:f>IF('Master'!T319="","",'Master'!T319)</x:f>
        <x:v>Centralized distributed-region community platform</x:v>
      </x:c>
      <x:c r="T4" s="100" t="str">
        <x:f>IF('Master'!U319="","",'Master'!U319)</x:f>
        <x:v>Centralized hosted service + self-hostable AGPL community chat</x:v>
      </x:c>
      <x:c r="U4" s="100" t="str">
        <x:f>IF('Master'!V319="","",'Master'!V319)</x:f>
        <x:v>Centralized proprietary community/chat platform</x:v>
      </x:c>
      <x:c r="V4" s="100" t="str">
        <x:f>IF('Master'!W319="","",'Master'!W319)</x:f>
        <x:v>Collaboration platform; cloud/self-host with optional federation</x:v>
      </x:c>
      <x:c r="W4" s="100" t="str">
        <x:f>IF('Master'!X319="","",'Master'!X319)</x:f>
        <x:v>ATProto-based group chat/community app</x:v>
      </x:c>
      <x:c r="X4" s="100" t="str">
        <x:f>IF('Master'!Y319="","",'Master'!Y319)</x:f>
        <x:v>Centralized proprietary community platform</x:v>
      </x:c>
      <x:c r="Y4" s="100" t="str">
        <x:f>IF('Master'!Z319="","",'Master'!Z319)</x:f>
        <x:v>Self-hosted Discord-compatible service implementation</x:v>
      </x:c>
      <x:c r="Z4" s="100" t="str">
        <x:f>IF('Master'!AA319="","",'Master'!AA319)</x:f>
        <x:v>Hosted + self-hostable Discord-like service</x:v>
      </x:c>
      <x:c r="AA4" s="104" t="str">
        <x:f>IF('Master'!AB319="","",'Master'!AB319)</x:f>
        <x:v>Commercial self-hosted/hosted voice communication platform</x:v>
      </x:c>
      <x:c r="AB4" s="100" t="str">
        <x:f>IF('Master'!AC319="","",'Master'!AC319)</x:f>
        <x:v>Open-source community platform with hosted + self-host nodes</x:v>
      </x:c>
      <x:c r="AC4" s="100" t="str">
        <x:f>IF('Master'!AD319="","",'Master'!AD319)</x:f>
        <x:v>Discord-like platform moving from centralized to open-source/self-host/federated</x:v>
      </x:c>
      <x:c r="AD4" s="100" t="str">
        <x:f>IF('Master'!AE319="","",'Master'!AE319)</x:f>
        <x:v>Centralized lobby-first gaming social platform</x:v>
      </x:c>
      <x:c r="AE4" s="100" t="str">
        <x:f>IF('Master'!AF319="","",'Master'!AF319)</x:f>
        <x:v>Self-hosted voice/chat collaboration platform</x:v>
      </x:c>
      <x:c r="AF4" s="75" t="str">
        <x:f>IF('Master'!AG319="","",'Master'!AG319)</x:f>
        <x:v>Hosted + self-hosted team chat application</x:v>
      </x:c>
    </x:row>
    <x:row r="5" ht="36" customHeight="1">
      <x:c r="A5" s="135" t="str">
        <x:v>Reference / First-Party Client(s)</x:v>
      </x:c>
      <x:c r="B5" s="100" t="str">
        <x:f>IF('Master'!C320="","",'Master'!C320)</x:f>
        <x:v>Discord official web/desktop/mobile clients</x:v>
      </x:c>
      <x:c r="C5" s="100" t="str">
        <x:f>IF('Master'!D320="","",'Master'!D320)</x:f>
        <x:v>Armada client</x:v>
      </x:c>
      <x:c r="D5" s="100" t="str">
        <x:f>IF('Master'!E320="","",'Master'!E320)</x:f>
        <x:v>DCTS web/desktop/Android clients</x:v>
      </x:c>
      <x:c r="E5" s="100" t="str">
        <x:f>IF('Master'!F320="","",'Master'!F320)</x:f>
        <x:v>Echon web/native clients</x:v>
      </x:c>
      <x:c r="F5" s="100" t="str">
        <x:f>IF('Master'!G320="","",'Master'!G320)</x:f>
        <x:v>Fenrid web/PWA alpha</x:v>
      </x:c>
      <x:c r="G5" s="100" t="str">
        <x:f>IF('Master'!H320="","",'Master'!H320)</x:f>
        <x:v>Fluxer Web/PWA, Electron desktop, Flutter mobile beta</x:v>
      </x:c>
      <x:c r="H5" s="100" t="str">
        <x:f>IF('Master'!I320="","",'Master'!I320)</x:f>
        <x:v>GameVox native/web clients</x:v>
      </x:c>
      <x:c r="I5" s="100" t="str">
        <x:f>IF('Master'!J320="","",'Master'!J320)</x:f>
        <x:v>Fermi is the current primary client</x:v>
      </x:c>
      <x:c r="J5" s="100" t="str">
        <x:f>IF('Master'!K320="","",'Master'!K320)</x:f>
        <x:v>Hollow native client</x:v>
      </x:c>
      <x:c r="K5" s="100" t="str">
        <x:f>IF('Master'!L320="","",'Master'!L320)</x:f>
        <x:v>Web (SvelteKit), Tauri desktop, Flutter mobile</x:v>
      </x:c>
      <x:c r="L5" s="100" t="str">
        <x:f>IF('Master'!M320="","",'Master'!M320)</x:f>
        <x:v>Kloak web/client</x:v>
      </x:c>
      <x:c r="M5" s="100" t="str">
        <x:f>IF('Master'!N320="","",'Master'!N320)</x:f>
        <x:v>Loqa web client</x:v>
      </x:c>
      <x:c r="N5" s="100" t="str">
        <x:f>IF('Master'!O320="","",'Master'!O320)</x:f>
        <x:v>No single official client. Element/Element X are example clients, not Matrix itself.</x:v>
      </x:c>
      <x:c r="O5" s="100" t="str">
        <x:f>IF('Master'!P320="","",'Master'!P320)</x:f>
        <x:v>Mattermost web/desktop/mobile</x:v>
      </x:c>
      <x:c r="P5" s="100" t="str">
        <x:f>IF('Master'!Q320="","",'Master'!Q320)</x:f>
        <x:v>Mezon web/desktop/mobile</x:v>
      </x:c>
      <x:c r="Q5" s="100" t="str">
        <x:f>IF('Master'!R320="","",'Master'!R320)</x:f>
        <x:v>Mumble desktop client</x:v>
      </x:c>
      <x:c r="R5" s="100" t="str">
        <x:f>IF('Master'!S320="","",'Master'!S320)</x:f>
        <x:v>Nerimity Web/Desktop/Android</x:v>
      </x:c>
      <x:c r="S5" s="100" t="str">
        <x:f>IF('Master'!T320="","",'Master'!T320)</x:f>
        <x:v>Osmium web/desktop/mobile</x:v>
      </x:c>
      <x:c r="T5" s="100" t="str">
        <x:f>IF('Master'!U320="","",'Master'!U320)</x:f>
        <x:v>Web React/Vite; desktop Electron; iOS TestFlight; Android APK</x:v>
      </x:c>
      <x:c r="U5" s="100" t="str">
        <x:f>IF('Master'!V320="","",'Master'!V320)</x:f>
        <x:v>Rift client/web</x:v>
      </x:c>
      <x:c r="V5" s="100" t="str">
        <x:f>IF('Master'!W320="","",'Master'!W320)</x:f>
        <x:v>Rocket.Chat web/desktop/mobile</x:v>
      </x:c>
      <x:c r="W5" s="100" t="str">
        <x:f>IF('Master'!X320="","",'Master'!X320)</x:f>
        <x:v>Roomy web app</x:v>
      </x:c>
      <x:c r="X5" s="100" t="str">
        <x:f>IF('Master'!Y320="","",'Master'!Y320)</x:f>
        <x:v>Root desktop/mobile/web surfaces</x:v>
      </x:c>
      <x:c r="Y5" s="100" t="str">
        <x:f>IF('Master'!Z320="","",'Master'!Z320)</x:f>
        <x:v>Spacebar-aware client(s); compatibility with Discord-style clients is a project goal</x:v>
      </x:c>
      <x:c r="Z5" s="100" t="str">
        <x:f>IF('Master'!AA320="","",'Master'!AA320)</x:f>
        <x:v>Stoat Web/PWA, Desktop, Android; iOS project</x:v>
      </x:c>
      <x:c r="AA5" s="104" t="str">
        <x:f>IF('Master'!AB320="","",'Master'!AB320)</x:f>
        <x:v>TeamSpeak official clients</x:v>
      </x:c>
      <x:c r="AB5" s="100" t="str">
        <x:f>IF('Master'!AC320="","",'Master'!AC320)</x:f>
        <x:v>Valour web/Windows/Android</x:v>
      </x:c>
      <x:c r="AC5" s="100" t="str">
        <x:f>IF('Master'!AD320="","",'Master'!AD320)</x:f>
        <x:v>Venta client</x:v>
      </x:c>
      <x:c r="AD5" s="100" t="str">
        <x:f>IF('Master'!AE320="","",'Master'!AE320)</x:f>
        <x:v>Weered web/Tauri client</x:v>
      </x:c>
      <x:c r="AE5" s="100" t="str">
        <x:f>IF('Master'!AF320="","",'Master'!AF320)</x:f>
        <x:v>Yapper browser/client</x:v>
      </x:c>
      <x:c r="AF5" s="75" t="str">
        <x:f>IF('Master'!AG320="","",'Master'!AG320)</x:f>
        <x:v>Zulip web/desktop/mobile</x:v>
      </x:c>
    </x:row>
    <x:row r="6" ht="36" customHeight="1">
      <x:c r="A6" s="135" t="str">
        <x:v>Examples of Other Clients</x:v>
      </x:c>
      <x:c r="B6" s="100" t="str">
        <x:f>IF('Master'!C321="","",'Master'!C321)</x:f>
        <x:v>Third-party clients generally not supported</x:v>
      </x:c>
      <x:c r="C6" s="100" t="str">
        <x:f>IF('Master'!D321="","",'Master'!D321)</x:f>
        <x:v>Other Nostr clients do not automatically implement Armada/Concord semantics</x:v>
      </x:c>
      <x:c r="D6" s="100" t="str">
        <x:f>IF('Master'!E321="","",'Master'!E321)</x:f>
        <x:v>Open source allows custom clients</x:v>
      </x:c>
      <x:c r="E6" s="100" t="str">
        <x:f>IF('Master'!F321="","",'Master'!F321)</x:f>
        <x:v>No third-party clients verified</x:v>
      </x:c>
      <x:c r="F6" s="100" t="str">
        <x:f>IF('Master'!G321="","",'Master'!G321)</x:f>
        <x:v>No established third-party client ecosystem</x:v>
      </x:c>
      <x:c r="G6" s="100" t="str">
        <x:f>IF('Master'!H321="","",'Master'!H321)</x:f>
        <x:v>No mature third-party client ecosystem verified</x:v>
      </x:c>
      <x:c r="H6" s="100" t="str">
        <x:f>IF('Master'!I321="","",'Master'!I321)</x:f>
        <x:v>No interchangeable third-party client ecosystem verified</x:v>
      </x:c>
      <x:c r="I6" s="100" t="str">
        <x:f>IF('Master'!J321="","",'Master'!J321)</x:f>
        <x:v>Anyone can build clients against Harmony API</x:v>
      </x:c>
      <x:c r="J6" s="100" t="str">
        <x:f>IF('Master'!K321="","",'Master'!K321)</x:f>
      </x:c>
      <x:c r="K6" s="100" t="str">
        <x:f>IF('Master'!L321="","",'Master'!L321)</x:f>
      </x:c>
      <x:c r="L6" s="100" t="str">
        <x:f>IF('Master'!M321="","",'Master'!M321)</x:f>
        <x:v>No third-party clients verified</x:v>
      </x:c>
      <x:c r="M6" s="100" t="str">
        <x:f>IF('Master'!N321="","",'Master'!N321)</x:f>
      </x:c>
      <x:c r="N6" s="100" t="str">
        <x:f>IF('Master'!O321="","",'Master'!O321)</x:f>
        <x:v>Cinny, FluffyChat, Nheko, Fractal, Commet and many others</x:v>
      </x:c>
      <x:c r="O6" s="100" t="str">
        <x:f>IF('Master'!P321="","",'Master'!P321)</x:f>
        <x:v>Custom clients/integrations possible; not interchangeable protocol clients</x:v>
      </x:c>
      <x:c r="P6" s="100" t="str">
        <x:f>IF('Master'!Q321="","",'Master'!Q321)</x:f>
      </x:c>
      <x:c r="Q6" s="100" t="str">
        <x:f>IF('Master'!R321="","",'Master'!R321)</x:f>
        <x:v>Third-party mobile clients</x:v>
      </x:c>
      <x:c r="R6" s="100" t="str">
        <x:f>IF('Master'!S321="","",'Master'!S321)</x:f>
        <x:v>Forks/custom clients possible via open API/code</x:v>
      </x:c>
      <x:c r="S6" s="100" t="str">
        <x:f>IF('Master'!T321="","",'Master'!T321)</x:f>
        <x:v>No interchangeable client ecosystem verified</x:v>
      </x:c>
      <x:c r="T6" s="100" t="str">
        <x:f>IF('Master'!U321="","",'Master'!U321)</x:f>
        <x:v>Open source but no third-party client protocol ecosystem verified</x:v>
      </x:c>
      <x:c r="U6" s="100" t="str">
        <x:f>IF('Master'!V321="","",'Master'!V321)</x:f>
        <x:v>No third-party client ecosystem</x:v>
      </x:c>
      <x:c r="V6" s="100" t="str">
        <x:f>IF('Master'!W321="","",'Master'!W321)</x:f>
        <x:v>API/custom clients possible</x:v>
      </x:c>
      <x:c r="W6" s="100" t="str">
        <x:f>IF('Master'!X321="","",'Master'!X321)</x:f>
      </x:c>
      <x:c r="X6" s="100" t="str">
        <x:f>IF('Master'!Y321="","",'Master'!Y321)</x:f>
        <x:v>No third-party client ecosystem</x:v>
      </x:c>
      <x:c r="Y6" s="100" t="str">
        <x:f>IF('Master'!Z321="","",'Master'!Z321)</x:f>
        <x:v>Potential compatible/community clients</x:v>
      </x:c>
      <x:c r="Z6" s="100" t="str">
        <x:f>IF('Master'!AA321="","",'Master'!AA321)</x:f>
        <x:v>Community clients exist</x:v>
      </x:c>
      <x:c r="AA6" s="104" t="str">
        <x:f>IF('Master'!AB321="","",'Master'!AB321)</x:f>
        <x:v>Third-party client support limited by proprietary ecosystem</x:v>
      </x:c>
      <x:c r="AB6" s="100" t="str">
        <x:f>IF('Master'!AC321="","",'Master'!AC321)</x:f>
        <x:v>Open API; independent clients possible</x:v>
      </x:c>
      <x:c r="AC6" s="100" t="str">
        <x:f>IF('Master'!AD321="","",'Master'!AD321)</x:f>
      </x:c>
      <x:c r="AD6" s="100" t="str">
        <x:f>IF('Master'!AE321="","",'Master'!AE321)</x:f>
        <x:v>No third-party clients verified</x:v>
      </x:c>
      <x:c r="AE6" s="100" t="str">
        <x:f>IF('Master'!AF321="","",'Master'!AF321)</x:f>
        <x:v>No third-party clients verified</x:v>
      </x:c>
      <x:c r="AF6" s="75" t="str">
        <x:f>IF('Master'!AG321="","",'Master'!AG321)</x:f>
        <x:v>API clients/bots; not interchangeable end-user clients in Matrix sense</x:v>
      </x:c>
    </x:row>
    <x:row r="7" ht="36" customHeight="1">
      <x:c r="A7" s="135" t="str">
        <x:v>Client Interchangeability</x:v>
      </x:c>
      <x:c r="B7" s="100" t="str">
        <x:f>IF('Master'!C322="","",'Master'!C322)</x:f>
        <x:v>No</x:v>
      </x:c>
      <x:c r="C7" s="100" t="str">
        <x:f>IF('Master'!D322="","",'Master'!D322)</x:f>
        <x:v>Partial</x:v>
      </x:c>
      <x:c r="D7" s="100" t="str">
        <x:f>IF('Master'!E322="","",'Master'!E322)</x:f>
        <x:v>Yes for messenger/home server identity</x:v>
      </x:c>
      <x:c r="E7" s="100" t="str">
        <x:f>IF('Master'!F322="","",'Master'!F322)</x:f>
        <x:v>No</x:v>
      </x:c>
      <x:c r="F7" s="100" t="str">
        <x:f>IF('Master'!G322="","",'Master'!G322)</x:f>
        <x:v>No</x:v>
      </x:c>
      <x:c r="G7" s="100" t="str">
        <x:f>IF('Master'!H322="","",'Master'!H322)</x:f>
        <x:v>Limited</x:v>
      </x:c>
      <x:c r="H7" s="100" t="str">
        <x:f>IF('Master'!I322="","",'Master'!I322)</x:f>
        <x:v>No</x:v>
      </x:c>
      <x:c r="I7" s="100" t="str">
        <x:f>IF('Master'!J322="","",'Master'!J322)</x:f>
        <x:v>Yes in principle</x:v>
      </x:c>
      <x:c r="J7" s="100" t="str">
        <x:f>IF('Master'!K322="","",'Master'!K322)</x:f>
        <x:v>Identity portable across relays</x:v>
      </x:c>
      <x:c r="K7" s="100" t="str">
        <x:f>IF('Master'!L322="","",'Master'!L322)</x:f>
        <x:v>Possible through documented APIs/protocol; no established third-party client ecosystem yet</x:v>
      </x:c>
      <x:c r="L7" s="100" t="str">
        <x:f>IF('Master'!M322="","",'Master'!M322)</x:f>
        <x:v>No</x:v>
      </x:c>
      <x:c r="M7" s="100" t="str">
        <x:f>IF('Master'!N322="","",'Master'!N322)</x:f>
      </x:c>
      <x:c r="N7" s="100" t="str">
        <x:f>IF('Master'!O322="","",'Master'!O322)</x:f>
        <x:v>Yes — core architectural feature</x:v>
      </x:c>
      <x:c r="O7" s="100" t="str">
        <x:f>IF('Master'!P322="","",'Master'!P322)</x:f>
        <x:v>Limited</x:v>
      </x:c>
      <x:c r="P7" s="100" t="str">
        <x:f>IF('Master'!Q322="","",'Master'!Q322)</x:f>
      </x:c>
      <x:c r="Q7" s="100" t="str">
        <x:f>IF('Master'!R322="","",'Master'!R322)</x:f>
        <x:v>Yes within Mumble protocol compatibility</x:v>
      </x:c>
      <x:c r="R7" s="100" t="str">
        <x:f>IF('Master'!S322="","",'Master'!S322)</x:f>
        <x:v>Limited</x:v>
      </x:c>
      <x:c r="S7" s="100" t="str">
        <x:f>IF('Master'!T322="","",'Master'!T322)</x:f>
        <x:v>No</x:v>
      </x:c>
      <x:c r="T7" s="100" t="str">
        <x:f>IF('Master'!U322="","",'Master'!U322)</x:f>
        <x:v>Limited</x:v>
      </x:c>
      <x:c r="U7" s="100" t="str">
        <x:f>IF('Master'!V322="","",'Master'!V322)</x:f>
        <x:v>No</x:v>
      </x:c>
      <x:c r="V7" s="100" t="str">
        <x:f>IF('Master'!W322="","",'Master'!W322)</x:f>
        <x:v>Limited</x:v>
      </x:c>
      <x:c r="W7" s="100" t="str">
        <x:f>IF('Master'!X322="","",'Master'!X322)</x:f>
        <x:v>Partial</x:v>
      </x:c>
      <x:c r="X7" s="100" t="str">
        <x:f>IF('Master'!Y322="","",'Master'!Y322)</x:f>
        <x:v>No</x:v>
      </x:c>
      <x:c r="Y7" s="100" t="str">
        <x:f>IF('Master'!Z322="","",'Master'!Z322)</x:f>
        <x:v>Potentially, within compatibility limits</x:v>
      </x:c>
      <x:c r="Z7" s="100" t="str">
        <x:f>IF('Master'!AA322="","",'Master'!AA322)</x:f>
        <x:v>Limited — official clients do not all support arbitrary self-hosted instances</x:v>
      </x:c>
      <x:c r="AA7" s="104" t="str">
        <x:f>IF('Master'!AB322="","",'Master'!AB322)</x:f>
        <x:v>Limited</x:v>
      </x:c>
      <x:c r="AB7" s="100" t="str">
        <x:f>IF('Master'!AC322="","",'Master'!AC322)</x:f>
        <x:v>Partial</x:v>
      </x:c>
      <x:c r="AC7" s="100" t="str">
        <x:f>IF('Master'!AD322="","",'Master'!AD322)</x:f>
      </x:c>
      <x:c r="AD7" s="100" t="str">
        <x:f>IF('Master'!AE322="","",'Master'!AE322)</x:f>
        <x:v>No</x:v>
      </x:c>
      <x:c r="AE7" s="100" t="str">
        <x:f>IF('Master'!AF322="","",'Master'!AF322)</x:f>
        <x:v>No</x:v>
      </x:c>
      <x:c r="AF7" s="75" t="str">
        <x:f>IF('Master'!AG322="","",'Master'!AG322)</x:f>
        <x:v>Limited</x:v>
      </x:c>
    </x:row>
    <x:row r="8" ht="36" customHeight="1">
      <x:c r="A8" s="135" t="str">
        <x:v>Account / Identity Hosted By</x:v>
      </x:c>
      <x:c r="B8" s="100" t="str">
        <x:f>IF('Master'!C323="","",'Master'!C323)</x:f>
        <x:v>Discord</x:v>
      </x:c>
      <x:c r="C8" s="100" t="str">
        <x:f>IF('Master'!D323="","",'Master'!D323)</x:f>
        <x:v>Nostr keypair</x:v>
      </x:c>
      <x:c r="D8" s="100" t="str">
        <x:f>IF('Master'!E323="","",'Master'!E323)</x:f>
        <x:v>Chosen DCTS instance or key-based messenger</x:v>
      </x:c>
      <x:c r="E8" s="100" t="str">
        <x:f>IF('Master'!F323="","",'Master'!F323)</x:f>
        <x:v>Echon</x:v>
      </x:c>
      <x:c r="F8" s="100" t="str">
        <x:f>IF('Master'!G323="","",'Master'!G323)</x:f>
        <x:v>Fenrid</x:v>
      </x:c>
      <x:c r="G8" s="100" t="str">
        <x:f>IF('Master'!H323="","",'Master'!H323)</x:f>
        <x:v>Fluxer hosted or self-host operator</x:v>
      </x:c>
      <x:c r="H8" s="100" t="str">
        <x:f>IF('Master'!I323="","",'Master'!I323)</x:f>
        <x:v>GameVox account / self-host server</x:v>
      </x:c>
      <x:c r="I8" s="100" t="str">
        <x:f>IF('Master'!J323="","",'Master'!J323)</x:f>
        <x:v>Per-instance</x:v>
      </x:c>
      <x:c r="J8" s="100" t="str">
        <x:f>IF('Master'!K323="","",'Master'!K323)</x:f>
        <x:v>User Ed25519 keypair</x:v>
      </x:c>
      <x:c r="K8" s="100" t="str">
        <x:f>IF('Master'!L323="","",'Master'!L323)</x:f>
        <x:v>Chosen home instance; identity is username@domain</x:v>
      </x:c>
      <x:c r="L8" s="100" t="str">
        <x:f>IF('Master'!M323="","",'Master'!M323)</x:f>
        <x:v>Kloak</x:v>
      </x:c>
      <x:c r="M8" s="100" t="str">
        <x:f>IF('Master'!N323="","",'Master'!N323)</x:f>
      </x:c>
      <x:c r="N8" s="100" t="str">
        <x:f>IF('Master'!O323="","",'Master'!O323)</x:f>
        <x:v>Chosen Matrix homeserver/provider</x:v>
      </x:c>
      <x:c r="O8" s="100" t="str">
        <x:f>IF('Master'!P323="","",'Master'!P323)</x:f>
        <x:v>Mattermost Cloud or chosen self-host server</x:v>
      </x:c>
      <x:c r="P8" s="100" t="str">
        <x:f>IF('Master'!Q323="","",'Master'!Q323)</x:f>
        <x:v>Mezon account</x:v>
      </x:c>
      <x:c r="Q8" s="100" t="str">
        <x:f>IF('Master'!R323="","",'Master'!R323)</x:f>
        <x:v>Chosen Mumble server</x:v>
      </x:c>
      <x:c r="R8" s="100" t="str">
        <x:f>IF('Master'!S323="","",'Master'!S323)</x:f>
        <x:v>Nerimity hosted service</x:v>
      </x:c>
      <x:c r="S8" s="100" t="str">
        <x:f>IF('Master'!T323="","",'Master'!T323)</x:f>
        <x:v>Osmium</x:v>
      </x:c>
      <x:c r="T8" s="100" t="str">
        <x:f>IF('Master'!U323="","",'Master'!U323)</x:f>
        <x:v>Clerk on the hosted service; self-host operator controls deployment</x:v>
      </x:c>
      <x:c r="U8" s="100" t="str">
        <x:f>IF('Master'!V323="","",'Master'!V323)</x:f>
        <x:v>Rift</x:v>
      </x:c>
      <x:c r="V8" s="100" t="str">
        <x:f>IF('Master'!W323="","",'Master'!W323)</x:f>
        <x:v>Rocket.Chat Cloud or chosen server</x:v>
      </x:c>
      <x:c r="W8" s="100" t="str">
        <x:f>IF('Master'!X323="","",'Master'!X323)</x:f>
        <x:v>Bluesky/ATProto identity</x:v>
      </x:c>
      <x:c r="X8" s="100" t="str">
        <x:f>IF('Master'!Y323="","",'Master'!Y323)</x:f>
        <x:v>Root</x:v>
      </x:c>
      <x:c r="Y8" s="100" t="str">
        <x:f>IF('Master'!Z323="","",'Master'!Z323)</x:f>
        <x:v>Each Spacebar instance operator</x:v>
      </x:c>
      <x:c r="Z8" s="100" t="str">
        <x:f>IF('Master'!AA323="","",'Master'!AA323)</x:f>
        <x:v>Hosted Stoat or self-host operator</x:v>
      </x:c>
      <x:c r="AA8" s="104" t="str">
        <x:f>IF('Master'!AB323="","",'Master'!AB323)</x:f>
        <x:v>Chosen TeamSpeak server / provider</x:v>
      </x:c>
      <x:c r="AB8" s="100" t="str">
        <x:f>IF('Master'!AC323="","",'Master'!AC323)</x:f>
        <x:v>Valour account</x:v>
      </x:c>
      <x:c r="AC8" s="100" t="str">
        <x:f>IF('Master'!AD323="","",'Master'!AD323)</x:f>
        <x:v>Venta identity intended to span federated servers</x:v>
      </x:c>
      <x:c r="AD8" s="100" t="str">
        <x:f>IF('Master'!AE323="","",'Master'!AE323)</x:f>
        <x:v>Weered</x:v>
      </x:c>
      <x:c r="AE8" s="100" t="str">
        <x:f>IF('Master'!AF323="","",'Master'!AF323)</x:f>
        <x:v>Yapper account/license + chosen server</x:v>
      </x:c>
      <x:c r="AF8" s="75" t="str">
        <x:f>IF('Master'!AG323="","",'Master'!AG323)</x:f>
        <x:v>Zulip Cloud or chosen self-host server</x:v>
      </x:c>
    </x:row>
    <x:row r="9" ht="36" customHeight="1">
      <x:c r="A9" s="135" t="str">
        <x:v>Server / Homeserver Implementation(s)</x:v>
      </x:c>
      <x:c r="B9" s="100" t="str">
        <x:f>IF('Master'!C324="","",'Master'!C324)</x:f>
        <x:v>Discord proprietary backend</x:v>
      </x:c>
      <x:c r="C9" s="100" t="str">
        <x:f>IF('Master'!D324="","",'Master'!D324)</x:f>
        <x:v>Nostr relays / Concord</x:v>
      </x:c>
      <x:c r="D9" s="100" t="str">
        <x:f>IF('Master'!E324="","",'Master'!E324)</x:f>
        <x:v>DCTS server</x:v>
      </x:c>
      <x:c r="E9" s="100" t="str">
        <x:f>IF('Master'!F324="","",'Master'!F324)</x:f>
        <x:v>Private Rust backend</x:v>
      </x:c>
      <x:c r="F9" s="100" t="str">
        <x:f>IF('Master'!G324="","",'Master'!G324)</x:f>
        <x:v>Private hosted backend</x:v>
      </x:c>
      <x:c r="G9" s="100" t="str">
        <x:f>IF('Master'!H324="","",'Master'!H324)</x:f>
        <x:v>Fluxer open-source backend/services</x:v>
      </x:c>
      <x:c r="H9" s="100" t="str">
        <x:f>IF('Master'!I324="","",'Master'!I324)</x:f>
        <x:v>Proprietary GameVox server</x:v>
      </x:c>
      <x:c r="I9" s="100" t="str">
        <x:f>IF('Master'!J324="","",'Master'!J324)</x:f>
        <x:v>Harmony server</x:v>
      </x:c>
      <x:c r="J9" s="100" t="str">
        <x:f>IF('Master'!K324="","",'Master'!K324)</x:f>
        <x:v>Stateless/ephemeral relay servers</x:v>
      </x:c>
      <x:c r="K9" s="100" t="str">
        <x:f>IF('Master'!L324="","",'Master'!L324)</x:f>
        <x:v>Kaede Chat server (FastAPI + PostgreSQL + Dragonfly + S3-compatible storage + LiveKit)</x:v>
      </x:c>
      <x:c r="L9" s="100" t="str">
        <x:f>IF('Master'!M324="","",'Master'!M324)</x:f>
        <x:v>Proprietary backend</x:v>
      </x:c>
      <x:c r="M9" s="100" t="str">
        <x:f>IF('Master'!N324="","",'Master'!N324)</x:f>
        <x:v>Loqa backend</x:v>
      </x:c>
      <x:c r="N9" s="100" t="str">
        <x:f>IF('Master'!O324="","",'Master'!O324)</x:f>
        <x:v>Synapse, Dendrite/other Matrix homeservers</x:v>
      </x:c>
      <x:c r="O9" s="100" t="str">
        <x:f>IF('Master'!P324="","",'Master'!P324)</x:f>
        <x:v>Mattermost server</x:v>
      </x:c>
      <x:c r="P9" s="100" t="str">
        <x:f>IF('Master'!Q324="","",'Master'!Q324)</x:f>
        <x:v>Mezon native backend</x:v>
      </x:c>
      <x:c r="Q9" s="100" t="str">
        <x:f>IF('Master'!R324="","",'Master'!R324)</x:f>
        <x:v>Murmur/Mumble server</x:v>
      </x:c>
      <x:c r="R9" s="100" t="str">
        <x:f>IF('Master'!S324="","",'Master'!S324)</x:f>
        <x:v>Nerimity server</x:v>
      </x:c>
      <x:c r="S9" s="100" t="str">
        <x:f>IF('Master'!T324="","",'Master'!T324)</x:f>
        <x:v>Proprietary/partly open backend components</x:v>
      </x:c>
      <x:c r="T9" s="100" t="str">
        <x:f>IF('Master'!U324="","",'Master'!U324)</x:f>
        <x:v>pqp AGPL server; hosted API on Fly.io in São Paulo</x:v>
      </x:c>
      <x:c r="U9" s="100" t="str">
        <x:f>IF('Master'!V324="","",'Master'!V324)</x:f>
        <x:v>Rift proprietary backend</x:v>
      </x:c>
      <x:c r="V9" s="100" t="str">
        <x:f>IF('Master'!W324="","",'Master'!W324)</x:f>
        <x:v>Rocket.Chat server</x:v>
      </x:c>
      <x:c r="W9" s="100" t="str">
        <x:f>IF('Master'!X324="","",'Master'!X324)</x:f>
        <x:v>ATProto/PDS + Roomy services</x:v>
      </x:c>
      <x:c r="X9" s="100" t="str">
        <x:f>IF('Master'!Y324="","",'Master'!Y324)</x:f>
        <x:v>Root proprietary cloud backend</x:v>
      </x:c>
      <x:c r="Y9" s="100" t="str">
        <x:f>IF('Master'!Z324="","",'Master'!Z324)</x:f>
        <x:v>Spacebar API/Gateway/CDN services</x:v>
      </x:c>
      <x:c r="Z9" s="100" t="str">
        <x:f>IF('Master'!AA324="","",'Master'!AA324)</x:f>
        <x:v>Stoat Rust backend</x:v>
      </x:c>
      <x:c r="AA9" s="104" t="str">
        <x:f>IF('Master'!AB324="","",'Master'!AB324)</x:f>
        <x:v>Proprietary TeamSpeak server</x:v>
      </x:c>
      <x:c r="AB9" s="100" t="str">
        <x:f>IF('Master'!AC324="","",'Master'!AC324)</x:f>
        <x:v>Valour node-based backend</x:v>
      </x:c>
      <x:c r="AC9" s="100" t="str">
        <x:f>IF('Master'!AD324="","",'Master'!AD324)</x:f>
        <x:v>AlpineBackend</x:v>
      </x:c>
      <x:c r="AD9" s="100" t="str">
        <x:f>IF('Master'!AE324="","",'Master'!AE324)</x:f>
        <x:v>Private/source-available backend</x:v>
      </x:c>
      <x:c r="AE9" s="100" t="str">
        <x:f>IF('Master'!AF324="","",'Master'!AF324)</x:f>
        <x:v>Yapper server software</x:v>
      </x:c>
      <x:c r="AF9" s="75" t="str">
        <x:f>IF('Master'!AG324="","",'Master'!AG324)</x:f>
        <x:v>Zulip server/web application</x:v>
      </x:c>
    </x:row>
    <x:row r="10" ht="36" customHeight="1">
      <x:c r="A10" s="135" t="str">
        <x:v>First-Party Hosted Service</x:v>
      </x:c>
      <x:c r="B10" s="100" t="str">
        <x:f>IF('Master'!C325="","",'Master'!C325)</x:f>
        <x:v>Yes — discord.com</x:v>
      </x:c>
      <x:c r="C10" s="100" t="str">
        <x:f>IF('Master'!D325="","",'Master'!D325)</x:f>
        <x:v>No central host required</x:v>
      </x:c>
      <x:c r="D10" s="100" t="str">
        <x:f>IF('Master'!E325="","",'Master'!E325)</x:f>
        <x:v>Official public instance exists, but project is self-hosting-first</x:v>
      </x:c>
      <x:c r="E10" s="100" t="str">
        <x:f>IF('Master'!F325="","",'Master'!F325)</x:f>
        <x:v>Yes</x:v>
      </x:c>
      <x:c r="F10" s="100" t="str">
        <x:f>IF('Master'!G325="","",'Master'!G325)</x:f>
        <x:v>Yes</x:v>
      </x:c>
      <x:c r="G10" s="100" t="str">
        <x:f>IF('Master'!H325="","",'Master'!H325)</x:f>
        <x:v>Yes</x:v>
      </x:c>
      <x:c r="H10" s="100" t="str">
        <x:f>IF('Master'!I325="","",'Master'!I325)</x:f>
        <x:v>Yes</x:v>
      </x:c>
      <x:c r="I10" s="100" t="str">
        <x:f>IF('Master'!J325="","",'Master'!J325)</x:f>
        <x:v>fermi.chat hosted instance</x:v>
      </x:c>
      <x:c r="J10" s="100" t="str">
        <x:f>IF('Master'!K325="","",'Master'!K325)</x:f>
        <x:v>Official relay exists</x:v>
      </x:c>
      <x:c r="K10" s="100" t="str">
        <x:f>IF('Master'!L325="","",'Master'!L325)</x:f>
        <x:v>Yes — kaede.chat</x:v>
      </x:c>
      <x:c r="L10" s="100" t="str">
        <x:f>IF('Master'!M325="","",'Master'!M325)</x:f>
        <x:v>Yes</x:v>
      </x:c>
      <x:c r="M10" s="100" t="str">
        <x:f>IF('Master'!N325="","",'Master'!N325)</x:f>
        <x:v>Yes</x:v>
      </x:c>
      <x:c r="N10" s="100" t="str">
        <x:f>IF('Master'!O325="","",'Master'!O325)</x:f>
        <x:v>matrix.org is one Foundation-operated homeserver; many other providers exist</x:v>
      </x:c>
      <x:c r="O10" s="100" t="str">
        <x:f>IF('Master'!P325="","",'Master'!P325)</x:f>
        <x:v>Yes — cloud offering</x:v>
      </x:c>
      <x:c r="P10" s="100" t="str">
        <x:f>IF('Master'!Q325="","",'Master'!Q325)</x:f>
        <x:v>Yes</x:v>
      </x:c>
      <x:c r="Q10" s="100" t="str">
        <x:f>IF('Master'!R325="","",'Master'!R325)</x:f>
        <x:v>No central service</x:v>
      </x:c>
      <x:c r="R10" s="100" t="str">
        <x:f>IF('Master'!S325="","",'Master'!S325)</x:f>
        <x:v>Yes</x:v>
      </x:c>
      <x:c r="S10" s="100" t="str">
        <x:f>IF('Master'!T325="","",'Master'!T325)</x:f>
        <x:v>Yes</x:v>
      </x:c>
      <x:c r="T10" s="100" t="str">
        <x:f>IF('Master'!U325="","",'Master'!U325)</x:f>
        <x:v>Yes — API on Fly.io in São Paulo; SPA on Cloudflare Pages</x:v>
      </x:c>
      <x:c r="U10" s="100" t="str">
        <x:f>IF('Master'!V325="","",'Master'!V325)</x:f>
        <x:v>Yes</x:v>
      </x:c>
      <x:c r="V10" s="100" t="str">
        <x:f>IF('Master'!W325="","",'Master'!W325)</x:f>
        <x:v>Yes</x:v>
      </x:c>
      <x:c r="W10" s="100" t="str">
        <x:f>IF('Master'!X325="","",'Master'!X325)</x:f>
        <x:v>roomy.space</x:v>
      </x:c>
      <x:c r="X10" s="100" t="str">
        <x:f>IF('Master'!Y325="","",'Master'!Y325)</x:f>
        <x:v>Yes</x:v>
      </x:c>
      <x:c r="Y10" s="100" t="str">
        <x:f>IF('Master'!Z325="","",'Master'!Z325)</x:f>
        <x:v>No canonical global first-party hosted network required</x:v>
      </x:c>
      <x:c r="Z10" s="100" t="str">
        <x:f>IF('Master'!AA325="","",'Master'!AA325)</x:f>
        <x:v>Yes</x:v>
      </x:c>
      <x:c r="AA10" s="104" t="str">
        <x:f>IF('Master'!AB325="","",'Master'!AB325)</x:f>
        <x:v>Hosted options exist; many self-host</x:v>
      </x:c>
      <x:c r="AB10" s="100" t="str">
        <x:f>IF('Master'!AC325="","",'Master'!AC325)</x:f>
        <x:v>Yes</x:v>
      </x:c>
      <x:c r="AC10" s="100" t="str">
        <x:f>IF('Master'!AD325="","",'Master'!AD325)</x:f>
        <x:v>Yes</x:v>
      </x:c>
      <x:c r="AD10" s="100" t="str">
        <x:f>IF('Master'!AE325="","",'Master'!AE325)</x:f>
        <x:v>Yes</x:v>
      </x:c>
      <x:c r="AE10" s="100" t="str">
        <x:f>IF('Master'!AF325="","",'Master'!AF325)</x:f>
        <x:v>Optional managed hosting</x:v>
      </x:c>
      <x:c r="AF10" s="75" t="str">
        <x:f>IF('Master'!AG325="","",'Master'!AG325)</x:f>
        <x:v>Yes — Zulip Cloud</x:v>
      </x:c>
    </x:row>
    <x:row r="11" ht="36" customHeight="1">
      <x:c r="A11" s="135" t="str">
        <x:v>Self-Hosting Supported</x:v>
      </x:c>
      <x:c r="B11" s="100" t="str">
        <x:f>IF('Master'!C326="","",'Master'!C326)</x:f>
        <x:v>No</x:v>
      </x:c>
      <x:c r="C11" s="100" t="str">
        <x:f>IF('Master'!D326="","",'Master'!D326)</x:f>
        <x:v>Yes — relays/self-host</x:v>
      </x:c>
      <x:c r="D11" s="100" t="str">
        <x:f>IF('Master'!E326="","",'Master'!E326)</x:f>
        <x:v>Yes</x:v>
      </x:c>
      <x:c r="E11" s="100" t="str">
        <x:f>IF('Master'!F326="","",'Master'!F326)</x:f>
        <x:v>No</x:v>
      </x:c>
      <x:c r="F11" s="100" t="str">
        <x:f>IF('Master'!G326="","",'Master'!G326)</x:f>
        <x:v>No currently</x:v>
      </x:c>
      <x:c r="G11" s="100" t="str">
        <x:f>IF('Master'!H326="","",'Master'!H326)</x:f>
        <x:v>Yes</x:v>
      </x:c>
      <x:c r="H11" s="100" t="str">
        <x:f>IF('Master'!I326="","",'Master'!I326)</x:f>
        <x:v>Yes</x:v>
      </x:c>
      <x:c r="I11" s="100" t="str">
        <x:f>IF('Master'!J326="","",'Master'!J326)</x:f>
        <x:v>Yes</x:v>
      </x:c>
      <x:c r="J11" s="100" t="str">
        <x:f>IF('Master'!K326="","",'Master'!K326)</x:f>
        <x:v>Yes</x:v>
      </x:c>
      <x:c r="K11" s="100" t="str">
        <x:f>IF('Master'!L326="","",'Master'!L326)</x:f>
        <x:v>Yes</x:v>
      </x:c>
      <x:c r="L11" s="100" t="str">
        <x:f>IF('Master'!M326="","",'Master'!M326)</x:f>
        <x:v>No</x:v>
      </x:c>
      <x:c r="M11" s="100" t="str">
        <x:f>IF('Master'!N326="","",'Master'!N326)</x:f>
        <x:v>Yes</x:v>
      </x:c>
      <x:c r="N11" s="100" t="str">
        <x:f>IF('Master'!O326="","",'Master'!O326)</x:f>
        <x:v>Yes</x:v>
      </x:c>
      <x:c r="O11" s="100" t="str">
        <x:f>IF('Master'!P326="","",'Master'!P326)</x:f>
        <x:v>Yes</x:v>
      </x:c>
      <x:c r="P11" s="100" t="str">
        <x:f>IF('Master'!Q326="","",'Master'!Q326)</x:f>
      </x:c>
      <x:c r="Q11" s="100" t="str">
        <x:f>IF('Master'!R326="","",'Master'!R326)</x:f>
        <x:v>Yes</x:v>
      </x:c>
      <x:c r="R11" s="100" t="str">
        <x:f>IF('Master'!S326="","",'Master'!S326)</x:f>
        <x:v>Technically possible but explicitly not intended/supported</x:v>
      </x:c>
      <x:c r="S11" s="100" t="str">
        <x:f>IF('Master'!T326="","",'Master'!T326)</x:f>
        <x:v>No</x:v>
      </x:c>
      <x:c r="T11" s="100" t="str">
        <x:f>IF('Master'!U326="","",'Master'!U326)</x:f>
        <x:v>Yes — AGPL-3.0; docs in repository</x:v>
      </x:c>
      <x:c r="U11" s="100" t="str">
        <x:f>IF('Master'!V326="","",'Master'!V326)</x:f>
        <x:v>No</x:v>
      </x:c>
      <x:c r="V11" s="100" t="str">
        <x:f>IF('Master'!W326="","",'Master'!W326)</x:f>
        <x:v>Yes</x:v>
      </x:c>
      <x:c r="W11" s="100" t="str">
        <x:f>IF('Master'!X326="","",'Master'!X326)</x:f>
        <x:v>Partially via ATProto/PDS model</x:v>
      </x:c>
      <x:c r="X11" s="100" t="str">
        <x:f>IF('Master'!Y326="","",'Master'!Y326)</x:f>
        <x:v>No</x:v>
      </x:c>
      <x:c r="Y11" s="100" t="str">
        <x:f>IF('Master'!Z326="","",'Master'!Z326)</x:f>
        <x:v>Yes</x:v>
      </x:c>
      <x:c r="Z11" s="100" t="str">
        <x:f>IF('Master'!AA326="","",'Master'!AA326)</x:f>
        <x:v>Yes</x:v>
      </x:c>
      <x:c r="AA11" s="104" t="str">
        <x:f>IF('Master'!AB326="","",'Master'!AB326)</x:f>
        <x:v>Yes</x:v>
      </x:c>
      <x:c r="AB11" s="100" t="str">
        <x:f>IF('Master'!AC326="","",'Master'!AC326)</x:f>
        <x:v>Yes</x:v>
      </x:c>
      <x:c r="AC11" s="100" t="str">
        <x:f>IF('Master'!AD326="","",'Master'!AD326)</x:f>
        <x:v>In development</x:v>
      </x:c>
      <x:c r="AD11" s="100" t="str">
        <x:f>IF('Master'!AE326="","",'Master'!AE326)</x:f>
        <x:v>No</x:v>
      </x:c>
      <x:c r="AE11" s="100" t="str">
        <x:f>IF('Master'!AF326="","",'Master'!AF326)</x:f>
        <x:v>Yes</x:v>
      </x:c>
      <x:c r="AF11" s="75" t="str">
        <x:f>IF('Master'!AG326="","",'Master'!AG326)</x:f>
        <x:v>Yes</x:v>
      </x:c>
    </x:row>
    <x:row r="12" ht="36" customHeight="1">
      <x:c r="A12" s="135" t="str">
        <x:v>Independent Instances</x:v>
      </x:c>
      <x:c r="B12" s="100" t="str">
        <x:f>IF('Master'!C327="","",'Master'!C327)</x:f>
        <x:v>No</x:v>
      </x:c>
      <x:c r="C12" s="100" t="str">
        <x:f>IF('Master'!D327="","",'Master'!D327)</x:f>
        <x:v>Yes</x:v>
      </x:c>
      <x:c r="D12" s="100" t="str">
        <x:f>IF('Master'!E327="","",'Master'!E327)</x:f>
        <x:v>Yes</x:v>
      </x:c>
      <x:c r="E12" s="100" t="str">
        <x:f>IF('Master'!F327="","",'Master'!F327)</x:f>
        <x:v>No</x:v>
      </x:c>
      <x:c r="F12" s="100" t="str">
        <x:f>IF('Master'!G327="","",'Master'!G327)</x:f>
        <x:v>No</x:v>
      </x:c>
      <x:c r="G12" s="100" t="str">
        <x:f>IF('Master'!H327="","",'Master'!H327)</x:f>
        <x:v>Yes</x:v>
      </x:c>
      <x:c r="H12" s="100" t="str">
        <x:f>IF('Master'!I327="","",'Master'!I327)</x:f>
        <x:v>Yes</x:v>
      </x:c>
      <x:c r="I12" s="100" t="str">
        <x:f>IF('Master'!J327="","",'Master'!J327)</x:f>
        <x:v>Yes</x:v>
      </x:c>
      <x:c r="J12" s="100" t="str">
        <x:f>IF('Master'!K327="","",'Master'!K327)</x:f>
        <x:v>Yes</x:v>
      </x:c>
      <x:c r="K12" s="100" t="str">
        <x:f>IF('Master'!L327="","",'Master'!L327)</x:f>
        <x:v>Yes</x:v>
      </x:c>
      <x:c r="L12" s="100" t="str">
        <x:f>IF('Master'!M327="","",'Master'!M327)</x:f>
        <x:v>No</x:v>
      </x:c>
      <x:c r="M12" s="100" t="str">
        <x:f>IF('Master'!N327="","",'Master'!N327)</x:f>
        <x:v>Yes</x:v>
      </x:c>
      <x:c r="N12" s="100" t="str">
        <x:f>IF('Master'!O327="","",'Master'!O327)</x:f>
        <x:v>Yes</x:v>
      </x:c>
      <x:c r="O12" s="100" t="str">
        <x:f>IF('Master'!P327="","",'Master'!P327)</x:f>
        <x:v>Yes</x:v>
      </x:c>
      <x:c r="P12" s="100" t="str">
        <x:f>IF('Master'!Q327="","",'Master'!Q327)</x:f>
      </x:c>
      <x:c r="Q12" s="100" t="str">
        <x:f>IF('Master'!R327="","",'Master'!R327)</x:f>
        <x:v>Yes</x:v>
      </x:c>
      <x:c r="R12" s="100" t="str">
        <x:f>IF('Master'!S327="","",'Master'!S327)</x:f>
        <x:v>Possible independent deployments</x:v>
      </x:c>
      <x:c r="S12" s="100" t="str">
        <x:f>IF('Master'!T327="","",'Master'!T327)</x:f>
        <x:v>No</x:v>
      </x:c>
      <x:c r="T12" s="100" t="str">
        <x:f>IF('Master'!U327="","",'Master'!U327)</x:f>
        <x:v>Yes</x:v>
      </x:c>
      <x:c r="U12" s="100" t="str">
        <x:f>IF('Master'!V327="","",'Master'!V327)</x:f>
        <x:v>No</x:v>
      </x:c>
      <x:c r="V12" s="100" t="str">
        <x:f>IF('Master'!W327="","",'Master'!W327)</x:f>
        <x:v>Yes</x:v>
      </x:c>
      <x:c r="W12" s="100" t="str">
        <x:f>IF('Master'!X327="","",'Master'!X327)</x:f>
        <x:v>Yes/distributed data ownership model</x:v>
      </x:c>
      <x:c r="X12" s="100" t="str">
        <x:f>IF('Master'!Y327="","",'Master'!Y327)</x:f>
        <x:v>No</x:v>
      </x:c>
      <x:c r="Y12" s="100" t="str">
        <x:f>IF('Master'!Z327="","",'Master'!Z327)</x:f>
        <x:v>Yes</x:v>
      </x:c>
      <x:c r="Z12" s="100" t="str">
        <x:f>IF('Master'!AA327="","",'Master'!AA327)</x:f>
        <x:v>Yes</x:v>
      </x:c>
      <x:c r="AA12" s="104" t="str">
        <x:f>IF('Master'!AB327="","",'Master'!AB327)</x:f>
        <x:v>Yes</x:v>
      </x:c>
      <x:c r="AB12" s="100" t="str">
        <x:f>IF('Master'!AC327="","",'Master'!AC327)</x:f>
        <x:v>Yes</x:v>
      </x:c>
      <x:c r="AC12" s="100" t="str">
        <x:f>IF('Master'!AD327="","",'Master'!AD327)</x:f>
        <x:v>In development</x:v>
      </x:c>
      <x:c r="AD12" s="100" t="str">
        <x:f>IF('Master'!AE327="","",'Master'!AE327)</x:f>
        <x:v>No</x:v>
      </x:c>
      <x:c r="AE12" s="100" t="str">
        <x:f>IF('Master'!AF327="","",'Master'!AF327)</x:f>
        <x:v>Yes</x:v>
      </x:c>
      <x:c r="AF12" s="75" t="str">
        <x:f>IF('Master'!AG327="","",'Master'!AG327)</x:f>
        <x:v>Yes</x:v>
      </x:c>
    </x:row>
    <x:row r="13" ht="36" customHeight="1">
      <x:c r="A13" s="135" t="str">
        <x:v>Federation Between Independent Instances</x:v>
      </x:c>
      <x:c r="B13" s="100" t="str">
        <x:f>IF('Master'!C328="","",'Master'!C328)</x:f>
        <x:v>No</x:v>
      </x:c>
      <x:c r="C13" s="100" t="str">
        <x:f>IF('Master'!D328="","",'Master'!D328)</x:f>
        <x:v>Nostr relay interoperability</x:v>
      </x:c>
      <x:c r="D13" s="100" t="str">
        <x:f>IF('Master'!E328="","",'Master'!E328)</x:f>
        <x:v>Yes for messenger/server communication features; full federation evolving</x:v>
      </x:c>
      <x:c r="E13" s="100" t="str">
        <x:f>IF('Master'!F328="","",'Master'!F328)</x:f>
        <x:v>No</x:v>
      </x:c>
      <x:c r="F13" s="100" t="str">
        <x:f>IF('Master'!G328="","",'Master'!G328)</x:f>
        <x:v>No</x:v>
      </x:c>
      <x:c r="G13" s="100" t="str">
        <x:f>IF('Master'!H328="","",'Master'!H328)</x:f>
        <x:v>Not yet — on roadmap</x:v>
      </x:c>
      <x:c r="H13" s="100" t="str">
        <x:f>IF('Master'!I328="","",'Master'!I328)</x:f>
        <x:v>No federation verified</x:v>
      </x:c>
      <x:c r="I13" s="100" t="str">
        <x:f>IF('Master'!J328="","",'Master'!J328)</x:f>
        <x:v>Federation planned</x:v>
      </x:c>
      <x:c r="J13" s="100" t="str">
        <x:f>IF('Master'!K328="","",'Master'!K328)</x:f>
        <x:v>Relay choice but not Matrix-style federated server state</x:v>
      </x:c>
      <x:c r="K13" s="100" t="str">
        <x:f>IF('Master'!L328="","",'Master'!L328)</x:f>
        <x:v>Yes — kaede-fed/1</x:v>
      </x:c>
      <x:c r="L13" s="100" t="str">
        <x:f>IF('Master'!M328="","",'Master'!M328)</x:f>
        <x:v>No</x:v>
      </x:c>
      <x:c r="M13" s="100" t="str">
        <x:f>IF('Master'!N328="","",'Master'!N328)</x:f>
        <x:v>Federation advertised</x:v>
      </x:c>
      <x:c r="N13" s="100" t="str">
        <x:f>IF('Master'!O328="","",'Master'!O328)</x:f>
        <x:v>Yes — core feature</x:v>
      </x:c>
      <x:c r="O13" s="100" t="str">
        <x:f>IF('Master'!P328="","",'Master'!P328)</x:f>
        <x:v>No general federation</x:v>
      </x:c>
      <x:c r="P13" s="100" t="str">
        <x:f>IF('Master'!Q328="","",'Master'!Q328)</x:f>
        <x:v>No federation verified</x:v>
      </x:c>
      <x:c r="Q13" s="100" t="str">
        <x:f>IF('Master'!R328="","",'Master'!R328)</x:f>
        <x:v>No</x:v>
      </x:c>
      <x:c r="R13" s="100" t="str">
        <x:f>IF('Master'!S328="","",'Master'!S328)</x:f>
        <x:v>No</x:v>
      </x:c>
      <x:c r="S13" s="100" t="str">
        <x:f>IF('Master'!T328="","",'Master'!T328)</x:f>
        <x:v>No</x:v>
      </x:c>
      <x:c r="T13" s="100" t="str">
        <x:f>IF('Master'!U328="","",'Master'!U328)</x:f>
        <x:v>No federation</x:v>
      </x:c>
      <x:c r="U13" s="100" t="str">
        <x:f>IF('Master'!V328="","",'Master'!V328)</x:f>
        <x:v>No</x:v>
      </x:c>
      <x:c r="V13" s="100" t="str">
        <x:f>IF('Master'!W328="","",'Master'!W328)</x:f>
        <x:v>Yes — Matrix-based federation feature set, with limitations</x:v>
      </x:c>
      <x:c r="W13" s="100" t="str">
        <x:f>IF('Master'!X328="","",'Master'!X328)</x:f>
        <x:v>ATProto federation ecosystem</x:v>
      </x:c>
      <x:c r="X13" s="100" t="str">
        <x:f>IF('Master'!Y328="","",'Master'!Y328)</x:f>
        <x:v>No</x:v>
      </x:c>
      <x:c r="Y13" s="100" t="str">
        <x:f>IF('Master'!Z328="","",'Master'!Z328)</x:f>
        <x:v>No</x:v>
      </x:c>
      <x:c r="Z13" s="100" t="str">
        <x:f>IF('Master'!AA328="","",'Master'!AA328)</x:f>
        <x:v>No</x:v>
      </x:c>
      <x:c r="AA13" s="104" t="str">
        <x:f>IF('Master'!AB328="","",'Master'!AB328)</x:f>
        <x:v>No</x:v>
      </x:c>
      <x:c r="AB13" s="100" t="str">
        <x:f>IF('Master'!AC328="","",'Master'!AC328)</x:f>
        <x:v>Node/federation model for migrating communities; exact cross-instance federation scope evolving</x:v>
      </x:c>
      <x:c r="AC13" s="100" t="str">
        <x:f>IF('Master'!AD328="","",'Master'!AD328)</x:f>
        <x:v>Planned/in development</x:v>
      </x:c>
      <x:c r="AD13" s="100" t="str">
        <x:f>IF('Master'!AE328="","",'Master'!AE328)</x:f>
        <x:v>No</x:v>
      </x:c>
      <x:c r="AE13" s="100" t="str">
        <x:f>IF('Master'!AF328="","",'Master'!AF328)</x:f>
        <x:v>No</x:v>
      </x:c>
      <x:c r="AF13" s="75" t="str">
        <x:f>IF('Master'!AG328="","",'Master'!AG328)</x:f>
        <x:v>No</x:v>
      </x:c>
    </x:row>
    <x:row r="14" ht="36" customHeight="1">
      <x:c r="A14" s="135" t="str">
        <x:v>Cross-Instance Rooms / Communities</x:v>
      </x:c>
      <x:c r="B14" s="100" t="str">
        <x:f>IF('Master'!C329="","",'Master'!C329)</x:f>
        <x:v>No</x:v>
      </x:c>
      <x:c r="C14" s="100" t="str">
        <x:f>IF('Master'!D329="","",'Master'!D329)</x:f>
        <x:v>Communities can use multiple relays</x:v>
      </x:c>
      <x:c r="D14" s="100" t="str">
        <x:f>IF('Master'!E329="","",'Master'!E329)</x:f>
        <x:v>Cross-server messenger works</x:v>
      </x:c>
      <x:c r="E14" s="100" t="str">
        <x:f>IF('Master'!F329="","",'Master'!F329)</x:f>
        <x:v>No</x:v>
      </x:c>
      <x:c r="F14" s="100" t="str">
        <x:f>IF('Master'!G329="","",'Master'!G329)</x:f>
        <x:v>No</x:v>
      </x:c>
      <x:c r="G14" s="100" t="str">
        <x:f>IF('Master'!H329="","",'Master'!H329)</x:f>
        <x:v>Not yet</x:v>
      </x:c>
      <x:c r="H14" s="100" t="str">
        <x:f>IF('Master'!I329="","",'Master'!I329)</x:f>
        <x:v>No</x:v>
      </x:c>
      <x:c r="I14" s="100" t="str">
        <x:f>IF('Master'!J329="","",'Master'!J329)</x:f>
        <x:v>Planned</x:v>
      </x:c>
      <x:c r="J14" s="100" t="str">
        <x:f>IF('Master'!K329="","",'Master'!K329)</x:f>
        <x:v>Peers communicate across relays/home servers as designed</x:v>
      </x:c>
      <x:c r="K14" s="100" t="str">
        <x:f>IF('Master'!L329="","",'Master'!L329)</x:f>
        <x:v>Yes — users on one home can join guilds, DM and call users/resources on other homes</x:v>
      </x:c>
      <x:c r="L14" s="100" t="str">
        <x:f>IF('Master'!M329="","",'Master'!M329)</x:f>
        <x:v>No</x:v>
      </x:c>
      <x:c r="M14" s="100" t="str">
        <x:f>IF('Master'!N329="","",'Master'!N329)</x:f>
        <x:v>Federated communities intended</x:v>
      </x:c>
      <x:c r="N14" s="100" t="str">
        <x:f>IF('Master'!O329="","",'Master'!O329)</x:f>
        <x:v>Yes — rooms can span homeservers</x:v>
      </x:c>
      <x:c r="O14" s="100" t="str">
        <x:f>IF('Master'!P329="","",'Master'!P329)</x:f>
        <x:v>No</x:v>
      </x:c>
      <x:c r="P14" s="100" t="str">
        <x:f>IF('Master'!Q329="","",'Master'!Q329)</x:f>
        <x:v>No</x:v>
      </x:c>
      <x:c r="Q14" s="100" t="str">
        <x:f>IF('Master'!R329="","",'Master'!R329)</x:f>
        <x:v>No</x:v>
      </x:c>
      <x:c r="R14" s="100" t="str">
        <x:f>IF('Master'!S329="","",'Master'!S329)</x:f>
        <x:v>No</x:v>
      </x:c>
      <x:c r="S14" s="100" t="str">
        <x:f>IF('Master'!T329="","",'Master'!T329)</x:f>
        <x:v>No</x:v>
      </x:c>
      <x:c r="T14" s="100" t="str">
        <x:f>IF('Master'!U329="","",'Master'!U329)</x:f>
        <x:v>No</x:v>
      </x:c>
      <x:c r="U14" s="100" t="str">
        <x:f>IF('Master'!V329="","",'Master'!V329)</x:f>
        <x:v>No</x:v>
      </x:c>
      <x:c r="V14" s="100" t="str">
        <x:f>IF('Master'!W329="","",'Master'!W329)</x:f>
        <x:v>Yes for supported federated rooms</x:v>
      </x:c>
      <x:c r="W14" s="100" t="str">
        <x:f>IF('Master'!X329="","",'Master'!X329)</x:f>
        <x:v>ATProto-linked spaces</x:v>
      </x:c>
      <x:c r="X14" s="100" t="str">
        <x:f>IF('Master'!Y329="","",'Master'!Y329)</x:f>
        <x:v>No</x:v>
      </x:c>
      <x:c r="Y14" s="100" t="str">
        <x:f>IF('Master'!Z329="","",'Master'!Z329)</x:f>
        <x:v>No</x:v>
      </x:c>
      <x:c r="Z14" s="100" t="str">
        <x:f>IF('Master'!AA329="","",'Master'!AA329)</x:f>
        <x:v>No</x:v>
      </x:c>
      <x:c r="AA14" s="104" t="str">
        <x:f>IF('Master'!AB329="","",'Master'!AB329)</x:f>
        <x:v>No</x:v>
      </x:c>
      <x:c r="AB14" s="100" t="str">
        <x:f>IF('Master'!AC329="","",'Master'!AC329)</x:f>
        <x:v>Limited/evolving</x:v>
      </x:c>
      <x:c r="AC14" s="100" t="str">
        <x:f>IF('Master'!AD329="","",'Master'!AD329)</x:f>
        <x:v>Planned</x:v>
      </x:c>
      <x:c r="AD14" s="100" t="str">
        <x:f>IF('Master'!AE329="","",'Master'!AE329)</x:f>
        <x:v>No</x:v>
      </x:c>
      <x:c r="AE14" s="100" t="str">
        <x:f>IF('Master'!AF329="","",'Master'!AF329)</x:f>
        <x:v>No</x:v>
      </x:c>
      <x:c r="AF14" s="75" t="str">
        <x:f>IF('Master'!AG329="","",'Master'!AG329)</x:f>
        <x:v>No</x:v>
      </x:c>
    </x:row>
    <x:row r="15" ht="36" customHeight="1">
      <x:c r="A15" s="135" t="str">
        <x:v>Cross-Instance Identity / Account Portability</x:v>
      </x:c>
      <x:c r="B15" s="100" t="str">
        <x:f>IF('Master'!C330="","",'Master'!C330)</x:f>
        <x:v>No</x:v>
      </x:c>
      <x:c r="C15" s="100" t="str">
        <x:f>IF('Master'!D330="","",'Master'!D330)</x:f>
        <x:v>Identity is portable by keypair</x:v>
      </x:c>
      <x:c r="D15" s="100" t="str">
        <x:f>IF('Master'!E330="","",'Master'!E330)</x:f>
        <x:v>Yes — messenger global ID/key and account export</x:v>
      </x:c>
      <x:c r="E15" s="100" t="str">
        <x:f>IF('Master'!F330="","",'Master'!F330)</x:f>
        <x:v>No</x:v>
      </x:c>
      <x:c r="F15" s="100" t="str">
        <x:f>IF('Master'!G330="","",'Master'!G330)</x:f>
        <x:v>No</x:v>
      </x:c>
      <x:c r="G15" s="100" t="str">
        <x:f>IF('Master'!H330="","",'Master'!H330)</x:f>
        <x:v>No current portable cross-instance identity</x:v>
      </x:c>
      <x:c r="H15" s="100" t="str">
        <x:f>IF('Master'!I330="","",'Master'!I330)</x:f>
        <x:v>No</x:v>
      </x:c>
      <x:c r="I15" s="100" t="str">
        <x:f>IF('Master'!J330="","",'Master'!J330)</x:f>
        <x:v>Planned</x:v>
      </x:c>
      <x:c r="J15" s="100" t="str">
        <x:f>IF('Master'!K330="","",'Master'!K330)</x:f>
        <x:v>Yes — identity key portable</x:v>
      </x:c>
      <x:c r="K15" s="100" t="str">
        <x:f>IF('Master'!L330="","",'Master'!L330)</x:f>
        <x:v>Federated identity works across instances; moving an account's home is not documented</x:v>
      </x:c>
      <x:c r="L15" s="100" t="str">
        <x:f>IF('Master'!M330="","",'Master'!M330)</x:f>
        <x:v>No</x:v>
      </x:c>
      <x:c r="M15" s="100" t="str">
        <x:f>IF('Master'!N330="","",'Master'!N330)</x:f>
      </x:c>
      <x:c r="N15" s="100" t="str">
        <x:f>IF('Master'!O330="","",'Master'!O330)</x:f>
        <x:v>Identity is namespaced to a homeserver; clients are portable, account migration is not universally seamless</x:v>
      </x:c>
      <x:c r="O15" s="100" t="str">
        <x:f>IF('Master'!P330="","",'Master'!P330)</x:f>
        <x:v>No</x:v>
      </x:c>
      <x:c r="P15" s="100" t="str">
        <x:f>IF('Master'!Q330="","",'Master'!Q330)</x:f>
        <x:v>No</x:v>
      </x:c>
      <x:c r="Q15" s="100" t="str">
        <x:f>IF('Master'!R330="","",'Master'!R330)</x:f>
        <x:v>Certificate/user identity can be reused manually; no global portable identity layer</x:v>
      </x:c>
      <x:c r="R15" s="100" t="str">
        <x:f>IF('Master'!S330="","",'Master'!S330)</x:f>
        <x:v>No</x:v>
      </x:c>
      <x:c r="S15" s="100" t="str">
        <x:f>IF('Master'!T330="","",'Master'!T330)</x:f>
        <x:v>No</x:v>
      </x:c>
      <x:c r="T15" s="100" t="str">
        <x:f>IF('Master'!U330="","",'Master'!U330)</x:f>
        <x:v>No</x:v>
      </x:c>
      <x:c r="U15" s="100" t="str">
        <x:f>IF('Master'!V330="","",'Master'!V330)</x:f>
        <x:v>No</x:v>
      </x:c>
      <x:c r="V15" s="100" t="str">
        <x:f>IF('Master'!W330="","",'Master'!W330)</x:f>
        <x:v>Limited; not equivalent to universal account migration</x:v>
      </x:c>
      <x:c r="W15" s="100" t="str">
        <x:f>IF('Master'!X330="","",'Master'!X330)</x:f>
        <x:v>Identity via ATProto</x:v>
      </x:c>
      <x:c r="X15" s="100" t="str">
        <x:f>IF('Master'!Y330="","",'Master'!Y330)</x:f>
        <x:v>No</x:v>
      </x:c>
      <x:c r="Y15" s="100" t="str">
        <x:f>IF('Master'!Z330="","",'Master'!Z330)</x:f>
        <x:v>No</x:v>
      </x:c>
      <x:c r="Z15" s="100" t="str">
        <x:f>IF('Master'!AA330="","",'Master'!AA330)</x:f>
        <x:v>No seamless portable identity</x:v>
      </x:c>
      <x:c r="AA15" s="104" t="str">
        <x:f>IF('Master'!AB330="","",'Master'!AB330)</x:f>
        <x:v>No global federated identity</x:v>
      </x:c>
      <x:c r="AB15" s="100" t="str">
        <x:f>IF('Master'!AC330="","",'Master'!AC330)</x:f>
        <x:v>Account survives community node moves per docs</x:v>
      </x:c>
      <x:c r="AC15" s="100" t="str">
        <x:f>IF('Master'!AD330="","",'Master'!AD330)</x:f>
        <x:v>Planned</x:v>
      </x:c>
      <x:c r="AD15" s="100" t="str">
        <x:f>IF('Master'!AE330="","",'Master'!AE330)</x:f>
        <x:v>No</x:v>
      </x:c>
      <x:c r="AE15" s="100" t="str">
        <x:f>IF('Master'!AF330="","",'Master'!AF330)</x:f>
        <x:v>No</x:v>
      </x:c>
      <x:c r="AF15" s="75" t="str">
        <x:f>IF('Master'!AG330="","",'Master'!AG330)</x:f>
        <x:v>No seamless cross-server identity</x:v>
      </x:c>
    </x:row>
    <x:row r="16" ht="36" customHeight="1">
      <x:c r="A16" s="135" t="str">
        <x:v>Public Protocol / Standard</x:v>
      </x:c>
      <x:c r="B16" s="100" t="str">
        <x:f>IF('Master'!C331="","",'Master'!C331)</x:f>
        <x:v>Proprietary public developer APIs, not an open protocol</x:v>
      </x:c>
      <x:c r="C16" s="100" t="str">
        <x:f>IF('Master'!D331="","",'Master'!D331)</x:f>
        <x:v>Nostr + Concord/NIP-29</x:v>
      </x:c>
      <x:c r="D16" s="100" t="str">
        <x:f>IF('Master'!E331="","",'Master'!E331)</x:f>
        <x:v>Custom protocol</x:v>
      </x:c>
      <x:c r="E16" s="100" t="str">
        <x:f>IF('Master'!F331="","",'Master'!F331)</x:f>
        <x:v>Proprietary</x:v>
      </x:c>
      <x:c r="F16" s="100" t="str">
        <x:f>IF('Master'!G331="","",'Master'!G331)</x:f>
        <x:v>No open interoperability standard</x:v>
      </x:c>
      <x:c r="G16" s="100" t="str">
        <x:f>IF('Master'!H331="","",'Master'!H331)</x:f>
        <x:v>Public API/Gateway inspired by Discord; not a federation standard</x:v>
      </x:c>
      <x:c r="H16" s="100" t="str">
        <x:f>IF('Master'!I331="","",'Master'!I331)</x:f>
        <x:v>Proprietary API/service</x:v>
      </x:c>
      <x:c r="I16" s="100" t="str">
        <x:f>IF('Master'!J331="","",'Master'!J331)</x:f>
        <x:v>Discord-compatible API</x:v>
      </x:c>
      <x:c r="J16" s="100" t="str">
        <x:f>IF('Master'!K331="","",'Master'!K331)</x:f>
        <x:v>Custom open protocol/code</x:v>
      </x:c>
      <x:c r="K16" s="100" t="str">
        <x:f>IF('Master'!L331="","",'Master'!L331)</x:f>
        <x:v>Public project protocol: kaede-fed/1</x:v>
      </x:c>
      <x:c r="L16" s="100" t="str">
        <x:f>IF('Master'!M331="","",'Master'!M331)</x:f>
        <x:v>Proprietary</x:v>
      </x:c>
      <x:c r="M16" s="100" t="str">
        <x:f>IF('Master'!N331="","",'Master'!N331)</x:f>
        <x:v>Discord-compatible API + federation work</x:v>
      </x:c>
      <x:c r="N16" s="100" t="str">
        <x:f>IF('Master'!O331="","",'Master'!O331)</x:f>
        <x:v>Open Matrix specification: Client-Server + Server-Server/Federation APIs</x:v>
      </x:c>
      <x:c r="O16" s="100" t="str">
        <x:f>IF('Master'!P331="","",'Master'!P331)</x:f>
        <x:v>Open APIs, not a general federation standard</x:v>
      </x:c>
      <x:c r="P16" s="100" t="str">
        <x:f>IF('Master'!Q331="","",'Master'!Q331)</x:f>
        <x:v>Custom APIs</x:v>
      </x:c>
      <x:c r="Q16" s="100" t="str">
        <x:f>IF('Master'!R331="","",'Master'!R331)</x:f>
        <x:v>Open Mumble protocol/source</x:v>
      </x:c>
      <x:c r="R16" s="100" t="str">
        <x:f>IF('Master'!S331="","",'Master'!S331)</x:f>
        <x:v>Public app/API code, not a federation standard</x:v>
      </x:c>
      <x:c r="S16" s="100" t="str">
        <x:f>IF('Master'!T331="","",'Master'!T331)</x:f>
        <x:v>Proprietary service APIs</x:v>
      </x:c>
      <x:c r="T16" s="100" t="str">
        <x:f>IF('Master'!U331="","",'Master'!U331)</x:f>
        <x:v>Session-only application API; Discord-compatible incoming webhooks; no public bot/third-party API</x:v>
      </x:c>
      <x:c r="U16" s="100" t="str">
        <x:f>IF('Master'!V331="","",'Master'!V331)</x:f>
        <x:v>Proprietary</x:v>
      </x:c>
      <x:c r="V16" s="100" t="str">
        <x:f>IF('Master'!W331="","",'Master'!W331)</x:f>
        <x:v>REST/realtime APIs + federation components</x:v>
      </x:c>
      <x:c r="W16" s="100" t="str">
        <x:f>IF('Master'!X331="","",'Master'!X331)</x:f>
        <x:v>AT Protocol</x:v>
      </x:c>
      <x:c r="X16" s="100" t="str">
        <x:f>IF('Master'!Y331="","",'Master'!Y331)</x:f>
        <x:v>Proprietary Root APIs/SDK</x:v>
      </x:c>
      <x:c r="Y16" s="100" t="str">
        <x:f>IF('Master'!Z331="","",'Master'!Z331)</x:f>
        <x:v>Discord-compatible REST/Gateway reimplementation</x:v>
      </x:c>
      <x:c r="Z16" s="100" t="str">
        <x:f>IF('Master'!AA331="","",'Master'!AA331)</x:f>
        <x:v>Public REST/WebSocket API, but not a federation standard</x:v>
      </x:c>
      <x:c r="AA16" s="104" t="str">
        <x:f>IF('Master'!AB331="","",'Master'!AB331)</x:f>
        <x:v>Proprietary protocol/API</x:v>
      </x:c>
      <x:c r="AB16" s="100" t="str">
        <x:f>IF('Master'!AC331="","",'Master'!AC331)</x:f>
        <x:v>Valour API/node protocol</x:v>
      </x:c>
      <x:c r="AC16" s="100" t="str">
        <x:f>IF('Master'!AD331="","",'Master'!AD331)</x:f>
        <x:v>Custom open-source federation protocol</x:v>
      </x:c>
      <x:c r="AD16" s="100" t="str">
        <x:f>IF('Master'!AE331="","",'Master'!AE331)</x:f>
        <x:v>Proprietary/application API</x:v>
      </x:c>
      <x:c r="AE16" s="100" t="str">
        <x:f>IF('Master'!AF331="","",'Master'!AF331)</x:f>
      </x:c>
      <x:c r="AF16" s="75" t="str">
        <x:f>IF('Master'!AG331="","",'Master'!AG331)</x:f>
        <x:v>Open REST/realtime APIs</x:v>
      </x:c>
    </x:row>
    <x:row r="17" ht="36" customHeight="1">
      <x:c r="A17" s="135" t="str">
        <x:v>Discord API Compatibility</x:v>
      </x:c>
      <x:c r="B17" s="100" t="str">
        <x:f>IF('Master'!C332="","",'Master'!C332)</x:f>
        <x:v>No</x:v>
      </x:c>
      <x:c r="C17" s="100" t="str">
        <x:f>IF('Master'!D332="","",'Master'!D332)</x:f>
        <x:v>No</x:v>
      </x:c>
      <x:c r="D17" s="100" t="str">
        <x:f>IF('Master'!E332="","",'Master'!E332)</x:f>
        <x:v>No</x:v>
      </x:c>
      <x:c r="E17" s="100" t="str">
        <x:f>IF('Master'!F332="","",'Master'!F332)</x:f>
        <x:v>No</x:v>
      </x:c>
      <x:c r="F17" s="100" t="str">
        <x:f>IF('Master'!G332="","",'Master'!G332)</x:f>
        <x:v>No</x:v>
      </x:c>
      <x:c r="G17" s="100" t="str">
        <x:f>IF('Master'!H332="","",'Master'!H332)</x:f>
        <x:v>Partial Discord wire/API compatibility goals</x:v>
      </x:c>
      <x:c r="H17" s="100" t="str">
        <x:f>IF('Master'!I332="","",'Master'!I332)</x:f>
        <x:v>No</x:v>
      </x:c>
      <x:c r="I17" s="100" t="str">
        <x:f>IF('Master'!J332="","",'Master'!J332)</x:f>
        <x:v>Yes</x:v>
      </x:c>
      <x:c r="J17" s="100" t="str">
        <x:f>IF('Master'!K332="","",'Master'!K332)</x:f>
        <x:v>No</x:v>
      </x:c>
      <x:c r="K17" s="100" t="str">
        <x:f>IF('Master'!L332="","",'Master'!L332)</x:f>
        <x:v>No</x:v>
      </x:c>
      <x:c r="L17" s="100" t="str">
        <x:f>IF('Master'!M332="","",'Master'!M332)</x:f>
        <x:v>No</x:v>
      </x:c>
      <x:c r="M17" s="100" t="str">
        <x:f>IF('Master'!N332="","",'Master'!N332)</x:f>
        <x:v>Yes — Discord-like bot compatibility</x:v>
      </x:c>
      <x:c r="N17" s="100" t="str">
        <x:f>IF('Master'!O332="","",'Master'!O332)</x:f>
        <x:v>No</x:v>
      </x:c>
      <x:c r="O17" s="100" t="str">
        <x:f>IF('Master'!P332="","",'Master'!P332)</x:f>
        <x:v>No</x:v>
      </x:c>
      <x:c r="P17" s="100" t="str">
        <x:f>IF('Master'!Q332="","",'Master'!Q332)</x:f>
        <x:v>No</x:v>
      </x:c>
      <x:c r="Q17" s="100" t="str">
        <x:f>IF('Master'!R332="","",'Master'!R332)</x:f>
        <x:v>No</x:v>
      </x:c>
      <x:c r="R17" s="100" t="str">
        <x:f>IF('Master'!S332="","",'Master'!S332)</x:f>
        <x:v>No</x:v>
      </x:c>
      <x:c r="S17" s="100" t="str">
        <x:f>IF('Master'!T332="","",'Master'!T332)</x:f>
        <x:v>No</x:v>
      </x:c>
      <x:c r="T17" s="100" t="str">
        <x:f>IF('Master'!U332="","",'Master'!U332)</x:f>
        <x:v>No</x:v>
      </x:c>
      <x:c r="U17" s="100" t="str">
        <x:f>IF('Master'!V332="","",'Master'!V332)</x:f>
        <x:v>No</x:v>
      </x:c>
      <x:c r="V17" s="100" t="str">
        <x:f>IF('Master'!W332="","",'Master'!W332)</x:f>
        <x:v>No</x:v>
      </x:c>
      <x:c r="W17" s="100" t="str">
        <x:f>IF('Master'!X332="","",'Master'!X332)</x:f>
        <x:v>No</x:v>
      </x:c>
      <x:c r="X17" s="100" t="str">
        <x:f>IF('Master'!Y332="","",'Master'!Y332)</x:f>
        <x:v>No</x:v>
      </x:c>
      <x:c r="Y17" s="100" t="str">
        <x:f>IF('Master'!Z332="","",'Master'!Z332)</x:f>
        <x:v>Yes — major design goal</x:v>
      </x:c>
      <x:c r="Z17" s="100" t="str">
        <x:f>IF('Master'!AA332="","",'Master'!AA332)</x:f>
        <x:v>No</x:v>
      </x:c>
      <x:c r="AA17" s="104" t="str">
        <x:f>IF('Master'!AB332="","",'Master'!AB332)</x:f>
        <x:v>No</x:v>
      </x:c>
      <x:c r="AB17" s="100" t="str">
        <x:f>IF('Master'!AC332="","",'Master'!AC332)</x:f>
        <x:v>No</x:v>
      </x:c>
      <x:c r="AC17" s="100" t="str">
        <x:f>IF('Master'!AD332="","",'Master'!AD332)</x:f>
        <x:v>No</x:v>
      </x:c>
      <x:c r="AD17" s="100" t="str">
        <x:f>IF('Master'!AE332="","",'Master'!AE332)</x:f>
        <x:v>No</x:v>
      </x:c>
      <x:c r="AE17" s="100" t="str">
        <x:f>IF('Master'!AF332="","",'Master'!AF332)</x:f>
        <x:v>No</x:v>
      </x:c>
      <x:c r="AF17" s="75" t="str">
        <x:f>IF('Master'!AG332="","",'Master'!AG332)</x:f>
        <x:v>No</x:v>
      </x:c>
    </x:row>
    <x:row r="18" ht="36" customHeight="1">
      <x:c r="A18" s="135" t="str">
        <x:v>Open-Source Scope</x:v>
      </x:c>
      <x:c r="B18" s="100" t="str">
        <x:f>IF('Master'!C333="","",'Master'!C333)</x:f>
        <x:v>Closed-source core service/client</x:v>
      </x:c>
      <x:c r="C18" s="100" t="str">
        <x:f>IF('Master'!D333="","",'Master'!D333)</x:f>
        <x:v>Open source</x:v>
      </x:c>
      <x:c r="D18" s="100" t="str">
        <x:f>IF('Master'!E333="","",'Master'!E333)</x:f>
        <x:v>AGPL-3.0 open source</x:v>
      </x:c>
      <x:c r="E18" s="100" t="str">
        <x:f>IF('Master'!F333="","",'Master'!F333)</x:f>
        <x:v>Closed source currently</x:v>
      </x:c>
      <x:c r="F18" s="100" t="str">
        <x:f>IF('Master'!G333="","",'Master'!G333)</x:f>
        <x:v>Closed source during alpha; full source release planned</x:v>
      </x:c>
      <x:c r="G18" s="100" t="str">
        <x:f>IF('Master'!H333="","",'Master'!H333)</x:f>
        <x:v>AGPL-3.0 open-source stack</x:v>
      </x:c>
      <x:c r="H18" s="100" t="str">
        <x:f>IF('Master'!I333="","",'Master'!I333)</x:f>
        <x:v>Closed source</x:v>
      </x:c>
      <x:c r="I18" s="100" t="str">
        <x:f>IF('Master'!J333="","",'Master'!J333)</x:f>
        <x:v>Open source</x:v>
      </x:c>
      <x:c r="J18" s="100" t="str">
        <x:f>IF('Master'!K333="","",'Master'!K333)</x:f>
        <x:v>Open source</x:v>
      </x:c>
      <x:c r="K18" s="100" t="str">
        <x:f>IF('Master'!L333="","",'Master'!L333)</x:f>
        <x:v>MIT original code</x:v>
      </x:c>
      <x:c r="L18" s="100" t="str">
        <x:f>IF('Master'!M333="","",'Master'!M333)</x:f>
        <x:v>Closed source</x:v>
      </x:c>
      <x:c r="M18" s="100" t="str">
        <x:f>IF('Master'!N333="","",'Master'!N333)</x:f>
      </x:c>
      <x:c r="N18" s="100" t="str">
        <x:f>IF('Master'!O333="","",'Master'!O333)</x:f>
        <x:v>Protocol/spec open; implementations vary; many are FOSS</x:v>
      </x:c>
      <x:c r="O18" s="100" t="str">
        <x:f>IF('Master'!P333="","",'Master'!P333)</x:f>
        <x:v>Open-source/community code plus commercial editions</x:v>
      </x:c>
      <x:c r="P18" s="100" t="str">
        <x:f>IF('Master'!Q333="","",'Master'!Q333)</x:f>
        <x:v>Open-source repository</x:v>
      </x:c>
      <x:c r="Q18" s="100" t="str">
        <x:f>IF('Master'!R333="","",'Master'!R333)</x:f>
        <x:v>BSD-style open source</x:v>
      </x:c>
      <x:c r="R18" s="100" t="str">
        <x:f>IF('Master'!S333="","",'Master'!S333)</x:f>
        <x:v>Open-source client/server</x:v>
      </x:c>
      <x:c r="S18" s="100" t="str">
        <x:f>IF('Master'!T333="","",'Master'!T333)</x:f>
        <x:v>Mixed/partial open source</x:v>
      </x:c>
      <x:c r="T18" s="100" t="str">
        <x:f>IF('Master'!U333="","",'Master'!U333)</x:f>
        <x:v>AGPL-3.0</x:v>
      </x:c>
      <x:c r="U18" s="100" t="str">
        <x:f>IF('Master'!V333="","",'Master'!V333)</x:f>
        <x:v>Closed source</x:v>
      </x:c>
      <x:c r="V18" s="100" t="str">
        <x:f>IF('Master'!W333="","",'Master'!W333)</x:f>
        <x:v>MIT/open-source core + enterprise portions</x:v>
      </x:c>
      <x:c r="W18" s="100" t="str">
        <x:f>IF('Master'!X333="","",'Master'!X333)</x:f>
        <x:v>MPL-2.0 open source</x:v>
      </x:c>
      <x:c r="X18" s="100" t="str">
        <x:f>IF('Master'!Y333="","",'Master'!Y333)</x:f>
        <x:v>Closed-source core platform; developer SDK/API public</x:v>
      </x:c>
      <x:c r="Y18" s="100" t="str">
        <x:f>IF('Master'!Z333="","",'Master'!Z333)</x:f>
        <x:v>FOSS / AGPL-3.0 project</x:v>
      </x:c>
      <x:c r="Z18" s="100" t="str">
        <x:f>IF('Master'!AA333="","",'Master'!AA333)</x:f>
        <x:v>Backend/web/self-host stack largely FOSS (AGPL-3.0; components vary)</x:v>
      </x:c>
      <x:c r="AA18" s="104" t="str">
        <x:f>IF('Master'!AB333="","",'Master'!AB333)</x:f>
        <x:v>Proprietary core</x:v>
      </x:c>
      <x:c r="AB18" s="100" t="str">
        <x:f>IF('Master'!AC333="","",'Master'!AC333)</x:f>
        <x:v>AGPL-3.0 client/server</x:v>
      </x:c>
      <x:c r="AC18" s="100" t="str">
        <x:f>IF('Master'!AD333="","",'Master'!AD333)</x:f>
        <x:v>Backend open; client planned</x:v>
      </x:c>
      <x:c r="AD18" s="100" t="str">
        <x:f>IF('Master'!AE333="","",'Master'!AE333)</x:f>
        <x:v>Source-available</x:v>
      </x:c>
      <x:c r="AE18" s="100" t="str">
        <x:f>IF('Master'!AF333="","",'Master'!AF333)</x:f>
      </x:c>
      <x:c r="AF18" s="75" t="str">
        <x:f>IF('Master'!AG333="","",'Master'!AG333)</x:f>
        <x:v>Apache-2.0 open source</x:v>
      </x:c>
    </x:row>
    <x:row r="19" ht="36" customHeight="1">
      <x:c r="A19" s="135" t="str">
        <x:v>Governance / Stewardship</x:v>
      </x:c>
      <x:c r="B19" s="100" t="str">
        <x:f>IF('Master'!C334="","",'Master'!C334)</x:f>
        <x:v>Discord Inc.</x:v>
      </x:c>
      <x:c r="C19" s="100" t="str">
        <x:f>IF('Master'!D334="","",'Master'!D334)</x:f>
        <x:v>Soapbox/Armada contributors</x:v>
      </x:c>
      <x:c r="D19" s="100" t="str">
        <x:f>IF('Master'!E334="","",'Master'!E334)</x:f>
        <x:v>DCTS project/maintainer</x:v>
      </x:c>
      <x:c r="E19" s="100" t="str">
        <x:f>IF('Master'!F334="","",'Master'!F334)</x:f>
        <x:v>Small Canadian team</x:v>
      </x:c>
      <x:c r="F19" s="100" t="str">
        <x:f>IF('Master'!G334="","",'Master'!G334)</x:f>
        <x:v>Fenrid LLC / founder-led</x:v>
      </x:c>
      <x:c r="G19" s="100" t="str">
        <x:f>IF('Master'!H334="","",'Master'!H334)</x:f>
        <x:v>Fluxer Platform AB + OSS contributors</x:v>
      </x:c>
      <x:c r="H19" s="100" t="str">
        <x:f>IF('Master'!I334="","",'Master'!I334)</x:f>
        <x:v>LightSpeed Gaming LLC</x:v>
      </x:c>
      <x:c r="I19" s="100" t="str">
        <x:f>IF('Master'!J334="","",'Master'!J334)</x:f>
        <x:v>MelodyChat community</x:v>
      </x:c>
      <x:c r="J19" s="100" t="str">
        <x:f>IF('Master'!K334="","",'Master'!K334)</x:f>
        <x:v>Solo developer</x:v>
      </x:c>
      <x:c r="K19" s="100" t="str">
        <x:f>IF('Master'!L334="","",'Master'!L334)</x:f>
        <x:v>Solo maintainer; public MIT repository</x:v>
      </x:c>
      <x:c r="L19" s="100" t="str">
        <x:f>IF('Master'!M334="","",'Master'!M334)</x:f>
        <x:v>Kloak team</x:v>
      </x:c>
      <x:c r="M19" s="100" t="str">
        <x:f>IF('Master'!N334="","",'Master'!N334)</x:f>
        <x:v>Loqa project/team</x:v>
      </x:c>
      <x:c r="N19" s="100" t="str">
        <x:f>IF('Master'!O334="","",'Master'!O334)</x:f>
        <x:v>Matrix.org Foundation + independent ecosystem</x:v>
      </x:c>
      <x:c r="O19" s="100" t="str">
        <x:f>IF('Master'!P334="","",'Master'!P334)</x:f>
        <x:v>Mattermost, Inc. + community</x:v>
      </x:c>
      <x:c r="P19" s="100" t="str">
        <x:f>IF('Master'!Q334="","",'Master'!Q334)</x:f>
        <x:v>Mezon team/company</x:v>
      </x:c>
      <x:c r="Q19" s="100" t="str">
        <x:f>IF('Master'!R334="","",'Master'!R334)</x:f>
        <x:v>Mumble open-source community</x:v>
      </x:c>
      <x:c r="R19" s="100" t="str">
        <x:f>IF('Master'!S334="","",'Master'!S334)</x:f>
        <x:v>Nerimity maintainer/community</x:v>
      </x:c>
      <x:c r="S19" s="100" t="str">
        <x:f>IF('Master'!T334="","",'Master'!T334)</x:f>
        <x:v>Osmium team/company</x:v>
      </x:c>
      <x:c r="T19" s="100" t="str">
        <x:f>IF('Master'!U334="","",'Master'!U334)</x:f>
        <x:v>Independently run, built in the open</x:v>
      </x:c>
      <x:c r="U19" s="100" t="str">
        <x:f>IF('Master'!V334="","",'Master'!V334)</x:f>
        <x:v>Rift Communications LLC</x:v>
      </x:c>
      <x:c r="V19" s="100" t="str">
        <x:f>IF('Master'!W334="","",'Master'!W334)</x:f>
        <x:v>Rocket.Chat company + community</x:v>
      </x:c>
      <x:c r="W19" s="100" t="str">
        <x:f>IF('Master'!X334="","",'Master'!X334)</x:f>
        <x:v>Muni Town / open-source contributors</x:v>
      </x:c>
      <x:c r="X19" s="100" t="str">
        <x:f>IF('Master'!Y334="","",'Master'!Y334)</x:f>
        <x:v>Root Communications, Inc.</x:v>
      </x:c>
      <x:c r="Y19" s="100" t="str">
        <x:f>IF('Master'!Z334="","",'Master'!Z334)</x:f>
        <x:v>Volunteer Spacebar project</x:v>
      </x:c>
      <x:c r="Z19" s="100" t="str">
        <x:f>IF('Master'!AA334="","",'Master'!AA334)</x:f>
        <x:v>Stoat open-source project/team</x:v>
      </x:c>
      <x:c r="AA19" s="104" t="str">
        <x:f>IF('Master'!AB334="","",'Master'!AB334)</x:f>
        <x:v>TeamSpeak commercial company</x:v>
      </x:c>
      <x:c r="AB19" s="100" t="str">
        <x:f>IF('Master'!AC334="","",'Master'!AC334)</x:f>
        <x:v>Valour Software LLC/volunteers</x:v>
      </x:c>
      <x:c r="AC19" s="100" t="str">
        <x:f>IF('Master'!AD334="","",'Master'!AD334)</x:f>
        <x:v>AlpineBits/Venta team</x:v>
      </x:c>
      <x:c r="AD19" s="100" t="str">
        <x:f>IF('Master'!AE334="","",'Master'!AE334)</x:f>
        <x:v>Solo developer</x:v>
      </x:c>
      <x:c r="AE19" s="100" t="str">
        <x:f>IF('Master'!AF334="","",'Master'!AF334)</x:f>
        <x:v>Yapper team (Portugal)</x:v>
      </x:c>
      <x:c r="AF19" s="75" t="str">
        <x:f>IF('Master'!AG334="","",'Master'!AG334)</x:f>
        <x:v>Kandra Labs / Zulip community</x:v>
      </x:c>
    </x:row>
    <x:row r="20" ht="36" customHeight="1">
      <x:c r="A20" s="135" t="str">
        <x:v>Important Model Distinction</x:v>
      </x:c>
      <x:c r="B20" s="100" t="str">
        <x:f>IF('Master'!C335="","",'Master'!C335)</x:f>
        <x:v>One vendor controls service, accounts, official clients, and server backend.</x:v>
      </x:c>
      <x:c r="C20" s="100" t="str">
        <x:f>IF('Master'!D335="","",'Master'!D335)</x:f>
        <x:v>Armada separates identity/content from a single platform host: keys are the account and relays are replaceable transport.</x:v>
      </x:c>
      <x:c r="D20" s="100" t="str">
        <x:f>IF('Master'!E335="","",'Master'!E335)</x:f>
        <x:v>DCTS combines island-like community servers with a separate cross-server encrypted messenger.</x:v>
      </x:c>
      <x:c r="E20" s="100" t="str">
        <x:f>IF('Master'!F335="","",'Master'!F335)</x:f>
        <x:v>Familiar Discord-style UX on a centralized service.</x:v>
      </x:c>
      <x:c r="F20" s="100" t="str">
        <x:f>IF('Master'!G335="","",'Master'!G335)</x:f>
        <x:v>Privacy features are product-level, but it is currently a centralized service rather than a federated protocol.</x:v>
      </x:c>
      <x:c r="G20" s="100" t="str">
        <x:f>IF('Master'!H335="","",'Master'!H335)</x:f>
        <x:v>Self-hosting exists now; federation is a separate roadmap item and should not be assumed.</x:v>
      </x:c>
      <x:c r="H20" s="100" t="str">
        <x:f>IF('Master'!I335="","",'Master'!I335)</x:f>
        <x:v>Self-hosting exists, but instances are not documented as one federated network.</x:v>
      </x:c>
      <x:c r="I20" s="100" t="str">
        <x:f>IF('Master'!J335="","",'Master'!J335)</x:f>
        <x:v>Harmony is the platform/API; Fermi is a client. This mirrors the Matrix/Element distinction conceptually, though Harmony is not Matrix.</x:v>
      </x:c>
      <x:c r="J20" s="100" t="str">
        <x:f>IF('Master'!K335="","",'Master'!K335)</x:f>
        <x:v>There is no central account database: the user's keypair is the identity and message history lives locally.</x:v>
      </x:c>
      <x:c r="K20" s="100" t="str">
        <x:f>IF('Master'!L335="","",'Master'!L335)</x:f>
        <x:v>Guild/conversation authority stays on its home instance; other homes replicate only permitted data</x:v>
      </x:c>
      <x:c r="L20" s="100" t="str">
        <x:f>IF('Master'!M335="","",'Master'!M335)</x:f>
        <x:v>Privacy-minimal account design is distinct from decentralization/self-hosting.</x:v>
      </x:c>
      <x:c r="M20" s="100" t="str">
        <x:f>IF('Master'!N335="","",'Master'!N335)</x:f>
        <x:v>Unlike a purely centralized clone, Loqa explicitly targets federation/self-hosting, but the architecture is still evolving.</x:v>
      </x:c>
      <x:c r="N20" s="100" t="str">
        <x:f>IF('Master'!O335="","",'Master'!O335)</x:f>
        <x:v>Element is a Matrix client/vendor product. Matrix itself is the protocol and federated ecosystem.</x:v>
      </x:c>
      <x:c r="O20" s="100" t="str">
        <x:f>IF('Master'!P335="","",'Master'!P335)</x:f>
        <x:v>Self-hosting gives data control, but separate Mattermost deployments are not one interoperable federation.</x:v>
      </x:c>
      <x:c r="P20" s="100" t="str">
        <x:f>IF('Master'!Q335="","",'Master'!Q335)</x:f>
        <x:v>Open source code does not by itself make Mezon a federated protocol like Matrix.</x:v>
      </x:c>
      <x:c r="Q20" s="100" t="str">
        <x:f>IF('Master'!R335="","",'Master'!R335)</x:f>
        <x:v>A voice-first client/server system, not a Discord-style social platform.</x:v>
      </x:c>
      <x:c r="R20" s="100" t="str">
        <x:f>IF('Master'!S335="","",'Master'!S335)</x:f>
        <x:v>Open source does not imply federation; the official project discourages self-hosting as a normal deployment model.</x:v>
      </x:c>
      <x:c r="S20" s="100" t="str">
        <x:f>IF('Master'!T335="","",'Master'!T335)</x:f>
        <x:v>Regional distribution is not federation or self-hosting.</x:v>
      </x:c>
      <x:c r="T20" s="100" t="str">
        <x:f>IF('Master'!U335="","",'Master'!U335)</x:f>
        <x:v>Self-hosting provides ownership, but instances are not one federated network.</x:v>
      </x:c>
      <x:c r="U20" s="100" t="str">
        <x:f>IF('Master'!V335="","",'Master'!V335)</x:f>
        <x:v>Privacy policy choices (no email/phone/ID, EXIF stripping, no AI training) operate within a centralized service model.</x:v>
      </x:c>
      <x:c r="V20" s="100" t="str">
        <x:f>IF('Master'!W335="","",'Master'!W335)</x:f>
        <x:v>Federation exists, but its feature set is narrower than local rooms and differs from Matrix-as-a-platform.</x:v>
      </x:c>
      <x:c r="W20" s="100" t="str">
        <x:f>IF('Master'!X335="","",'Master'!X335)</x:f>
        <x:v>Roomy is an ATProto application, not a generic centralized Discord clone.</x:v>
      </x:c>
      <x:c r="X20" s="100" t="str">
        <x:f>IF('Master'!Y335="","",'Master'!Y335)</x:f>
        <x:v>Apps/Bots are hosted inside Root; they extend Root but do not make it self-hosted/federated.</x:v>
      </x:c>
      <x:c r="Y20" s="100" t="str">
        <x:f>IF('Master'!Z335="","",'Master'!Z335)</x:f>
        <x:v>Spacebar reproduces Discord's client-server API model; it is not a federated network.</x:v>
      </x:c>
      <x:c r="Z20" s="100" t="str">
        <x:f>IF('Master'!AA335="","",'Master'!AA335)</x:f>
        <x:v>Self-hostable does not mean federated: separate Stoat instances do not automatically interoperate.</x:v>
      </x:c>
      <x:c r="AA20" s="104" t="str">
        <x:f>IF('Master'!AB335="","",'Master'!AB335)</x:f>
        <x:v>Server ownership can be independent, but TeamSpeak servers do not federate into one network.</x:v>
      </x:c>
      <x:c r="AB20" s="100" t="str">
        <x:f>IF('Master'!AC335="","",'Master'!AC335)</x:f>
        <x:v>Valour is one open-source platform/client-server stack, not a general protocol ecosystem like Matrix.</x:v>
      </x:c>
      <x:c r="AC20" s="100" t="str">
        <x:f>IF('Master'!AD335="","",'Master'!AD335)</x:f>
        <x:v>Current product and intended future architecture differ; federation/self-hosting should be marked in-progress, not assumed complete.</x:v>
      </x:c>
      <x:c r="AD20" s="100" t="str">
        <x:f>IF('Master'!AE335="","",'Master'!AE335)</x:f>
        <x:v>Weered intentionally uses game lobbies/rooms rather than cloning Discord's server/channel information architecture.</x:v>
      </x:c>
      <x:c r="AE20" s="100" t="str">
        <x:f>IF('Master'!AF335="","",'Master'!AF335)</x:f>
        <x:v>Like TeamSpeak, operator owns the server; unlike Matrix, servers are not documented as federated.</x:v>
      </x:c>
      <x:c r="AF20" s="75" t="str">
        <x:f>IF('Master'!AG335="","",'Master'!AG335)</x:f>
        <x:v>Multiple deployments are independent; Zulip is an application, not a federated protocol.</x:v>
      </x:c>
    </x:row>
    <x:row r="21" ht="23.100000381469727" customHeight="1">
      <x:c r="A21" s="135" t="str">
        <x:v>Operational Ecosystem</x:v>
      </x:c>
      <x:c r="B21" s="102" t="str">
        <x:f>IF('Master'!C336="","",'Master'!C336)</x:f>
      </x:c>
      <x:c r="C21" s="102" t="str">
        <x:f>IF('Master'!D336="","",'Master'!D336)</x:f>
      </x:c>
      <x:c r="D21" s="102" t="str">
        <x:f>IF('Master'!E336="","",'Master'!E336)</x:f>
      </x:c>
      <x:c r="E21" s="102" t="str">
        <x:f>IF('Master'!F336="","",'Master'!F336)</x:f>
      </x:c>
      <x:c r="F21" s="102" t="str">
        <x:f>IF('Master'!G336="","",'Master'!G336)</x:f>
      </x:c>
      <x:c r="G21" s="102" t="str">
        <x:f>IF('Master'!H336="","",'Master'!H336)</x:f>
      </x:c>
      <x:c r="H21" s="102" t="str">
        <x:f>IF('Master'!I336="","",'Master'!I336)</x:f>
      </x:c>
      <x:c r="I21" s="102" t="str">
        <x:f>IF('Master'!J336="","",'Master'!J336)</x:f>
      </x:c>
      <x:c r="J21" s="102" t="str">
        <x:f>IF('Master'!K336="","",'Master'!K336)</x:f>
      </x:c>
      <x:c r="K21" s="102" t="str">
        <x:f>IF('Master'!L336="","",'Master'!L336)</x:f>
        <x:v>One account on one home can access federated guilds/DMs across other instances</x:v>
      </x:c>
      <x:c r="L21" s="102" t="str">
        <x:f>IF('Master'!M336="","",'Master'!M336)</x:f>
      </x:c>
      <x:c r="M21" s="102" t="str">
        <x:f>IF('Master'!N336="","",'Master'!N336)</x:f>
      </x:c>
      <x:c r="N21" s="102" t="str">
        <x:f>IF('Master'!O336="","",'Master'!O336)</x:f>
      </x:c>
      <x:c r="O21" s="102" t="str">
        <x:f>IF('Master'!P336="","",'Master'!P336)</x:f>
      </x:c>
      <x:c r="P21" s="102" t="str">
        <x:f>IF('Master'!Q336="","",'Master'!Q336)</x:f>
      </x:c>
      <x:c r="Q21" s="102" t="str">
        <x:f>IF('Master'!R336="","",'Master'!R336)</x:f>
      </x:c>
      <x:c r="R21" s="102" t="str">
        <x:f>IF('Master'!S336="","",'Master'!S336)</x:f>
      </x:c>
      <x:c r="S21" s="102" t="str">
        <x:f>IF('Master'!T336="","",'Master'!T336)</x:f>
      </x:c>
      <x:c r="T21" s="102" t="str">
        <x:f>IF('Master'!U336="","",'Master'!U336)</x:f>
      </x:c>
      <x:c r="U21" s="102" t="str">
        <x:f>IF('Master'!V336="","",'Master'!V336)</x:f>
      </x:c>
      <x:c r="V21" s="102" t="str">
        <x:f>IF('Master'!W336="","",'Master'!W336)</x:f>
      </x:c>
      <x:c r="W21" s="102" t="str">
        <x:f>IF('Master'!X336="","",'Master'!X336)</x:f>
      </x:c>
      <x:c r="X21" s="102" t="str">
        <x:f>IF('Master'!Y336="","",'Master'!Y336)</x:f>
      </x:c>
      <x:c r="Y21" s="102" t="str">
        <x:f>IF('Master'!Z336="","",'Master'!Z336)</x:f>
      </x:c>
      <x:c r="Z21" s="102" t="str">
        <x:f>IF('Master'!AA336="","",'Master'!AA336)</x:f>
      </x:c>
      <x:c r="AA21" s="103" t="str">
        <x:f>IF('Master'!AB336="","",'Master'!AB336)</x:f>
      </x:c>
      <x:c r="AB21" s="102" t="str">
        <x:f>IF('Master'!AC336="","",'Master'!AC336)</x:f>
      </x:c>
      <x:c r="AC21" s="102" t="str">
        <x:f>IF('Master'!AD336="","",'Master'!AD336)</x:f>
      </x:c>
      <x:c r="AD21" s="102" t="str">
        <x:f>IF('Master'!AE336="","",'Master'!AE336)</x:f>
      </x:c>
      <x:c r="AE21" s="102" t="str">
        <x:f>IF('Master'!AF336="","",'Master'!AF336)</x:f>
      </x:c>
      <x:c r="AF21" s="75" t="str">
        <x:f>IF('Master'!AG336="","",'Master'!AG336)</x:f>
      </x:c>
    </x:row>
    <x:row r="22" ht="36" customHeight="1">
      <x:c r="A22" s="135" t="str">
        <x:v>Central Account Required for Hosted Service</x:v>
      </x:c>
      <x:c r="B22" s="100" t="str">
        <x:f>IF('Master'!C337="","",'Master'!C337)</x:f>
        <x:v>Yes</x:v>
      </x:c>
      <x:c r="C22" s="100" t="str">
        <x:f>IF('Master'!D337="","",'Master'!D337)</x:f>
      </x:c>
      <x:c r="D22" s="100" t="str">
        <x:f>IF('Master'!E337="","",'Master'!E337)</x:f>
      </x:c>
      <x:c r="E22" s="100" t="str">
        <x:f>IF('Master'!F337="","",'Master'!F337)</x:f>
      </x:c>
      <x:c r="F22" s="100" t="str">
        <x:f>IF('Master'!G337="","",'Master'!G337)</x:f>
      </x:c>
      <x:c r="G22" s="100" t="str">
        <x:f>IF('Master'!H337="","",'Master'!H337)</x:f>
      </x:c>
      <x:c r="H22" s="100" t="str">
        <x:f>IF('Master'!I337="","",'Master'!I337)</x:f>
      </x:c>
      <x:c r="I22" s="100" t="str">
        <x:f>IF('Master'!J337="","",'Master'!J337)</x:f>
      </x:c>
      <x:c r="J22" s="100" t="str">
        <x:f>IF('Master'!K337="","",'Master'!K337)</x:f>
      </x:c>
      <x:c r="K22" s="100" t="str">
        <x:f>IF('Master'!L337="","",'Master'!L337)</x:f>
        <x:v>No central Kaede-wide account; an account on a chosen home is required</x:v>
      </x:c>
      <x:c r="L22" s="100" t="str">
        <x:f>IF('Master'!M337="","",'Master'!M337)</x:f>
      </x:c>
      <x:c r="M22" s="100" t="str">
        <x:f>IF('Master'!N337="","",'Master'!N337)</x:f>
      </x:c>
      <x:c r="N22" s="100" t="str">
        <x:f>IF('Master'!O337="","",'Master'!O337)</x:f>
        <x:v>Provider/homeserver account</x:v>
      </x:c>
      <x:c r="O22" s="100" t="str">
        <x:f>IF('Master'!P337="","",'Master'!P337)</x:f>
      </x:c>
      <x:c r="P22" s="100" t="str">
        <x:f>IF('Master'!Q337="","",'Master'!Q337)</x:f>
      </x:c>
      <x:c r="Q22" s="100" t="str">
        <x:f>IF('Master'!R337="","",'Master'!R337)</x:f>
      </x:c>
      <x:c r="R22" s="100" t="str">
        <x:f>IF('Master'!S337="","",'Master'!S337)</x:f>
      </x:c>
      <x:c r="S22" s="100" t="str">
        <x:f>IF('Master'!T337="","",'Master'!T337)</x:f>
      </x:c>
      <x:c r="T22" s="100" t="str">
        <x:f>IF('Master'!U337="","",'Master'!U337)</x:f>
      </x:c>
      <x:c r="U22" s="100" t="str">
        <x:f>IF('Master'!V337="","",'Master'!V337)</x:f>
        <x:v>Yes</x:v>
      </x:c>
      <x:c r="V22" s="100" t="str">
        <x:f>IF('Master'!W337="","",'Master'!W337)</x:f>
      </x:c>
      <x:c r="W22" s="100" t="str">
        <x:f>IF('Master'!X337="","",'Master'!X337)</x:f>
      </x:c>
      <x:c r="X22" s="100" t="str">
        <x:f>IF('Master'!Y337="","",'Master'!Y337)</x:f>
      </x:c>
      <x:c r="Y22" s="100" t="str">
        <x:f>IF('Master'!Z337="","",'Master'!Z337)</x:f>
      </x:c>
      <x:c r="Z22" s="100" t="str">
        <x:f>IF('Master'!AA337="","",'Master'!AA337)</x:f>
        <x:v>Hosted account or self-host operator</x:v>
      </x:c>
      <x:c r="AA22" s="104" t="str">
        <x:f>IF('Master'!AB337="","",'Master'!AB337)</x:f>
      </x:c>
      <x:c r="AB22" s="100" t="str">
        <x:f>IF('Master'!AC337="","",'Master'!AC337)</x:f>
      </x:c>
      <x:c r="AC22" s="100" t="str">
        <x:f>IF('Master'!AD337="","",'Master'!AD337)</x:f>
      </x:c>
      <x:c r="AD22" s="100" t="str">
        <x:f>IF('Master'!AE337="","",'Master'!AE337)</x:f>
      </x:c>
      <x:c r="AE22" s="100" t="str">
        <x:f>IF('Master'!AF337="","",'Master'!AF337)</x:f>
      </x:c>
      <x:c r="AF22" s="75" t="str">
        <x:f>IF('Master'!AG337="","",'Master'!AG337)</x:f>
      </x:c>
    </x:row>
    <x:row r="23" ht="36" customHeight="1">
      <x:c r="A23" s="135" t="str">
        <x:v>Custom Domain / Branded Deployment</x:v>
      </x:c>
      <x:c r="B23" s="100" t="str">
        <x:f>IF('Master'!C338="","",'Master'!C338)</x:f>
        <x:v>No</x:v>
      </x:c>
      <x:c r="C23" s="100" t="str">
        <x:f>IF('Master'!D338="","",'Master'!D338)</x:f>
      </x:c>
      <x:c r="D23" s="100" t="str">
        <x:f>IF('Master'!E338="","",'Master'!E338)</x:f>
      </x:c>
      <x:c r="E23" s="100" t="str">
        <x:f>IF('Master'!F338="","",'Master'!F338)</x:f>
      </x:c>
      <x:c r="F23" s="100" t="str">
        <x:f>IF('Master'!G338="","",'Master'!G338)</x:f>
      </x:c>
      <x:c r="G23" s="100" t="str">
        <x:f>IF('Master'!H338="","",'Master'!H338)</x:f>
      </x:c>
      <x:c r="H23" s="100" t="str">
        <x:f>IF('Master'!I338="","",'Master'!I338)</x:f>
      </x:c>
      <x:c r="I23" s="100" t="str">
        <x:f>IF('Master'!J338="","",'Master'!J338)</x:f>
      </x:c>
      <x:c r="J23" s="100" t="str">
        <x:f>IF('Master'!K338="","",'Master'!K338)</x:f>
      </x:c>
      <x:c r="K23" s="100" t="str">
        <x:f>IF('Master'!L338="","",'Master'!L338)</x:f>
        <x:v>Yes — self-host on a custom domain; handles are username@domain</x:v>
      </x:c>
      <x:c r="L23" s="100" t="str">
        <x:f>IF('Master'!M338="","",'Master'!M338)</x:f>
      </x:c>
      <x:c r="M23" s="100" t="str">
        <x:f>IF('Master'!N338="","",'Master'!N338)</x:f>
      </x:c>
      <x:c r="N23" s="100" t="str">
        <x:f>IF('Master'!O338="","",'Master'!O338)</x:f>
      </x:c>
      <x:c r="O23" s="100" t="str">
        <x:f>IF('Master'!P338="","",'Master'!P338)</x:f>
        <x:v>Yes — self-hosted</x:v>
      </x:c>
      <x:c r="P23" s="100" t="str">
        <x:f>IF('Master'!Q338="","",'Master'!Q338)</x:f>
      </x:c>
      <x:c r="Q23" s="100" t="str">
        <x:f>IF('Master'!R338="","",'Master'!R338)</x:f>
      </x:c>
      <x:c r="R23" s="100" t="str">
        <x:f>IF('Master'!S338="","",'Master'!S338)</x:f>
      </x:c>
      <x:c r="S23" s="100" t="str">
        <x:f>IF('Master'!T338="","",'Master'!T338)</x:f>
      </x:c>
      <x:c r="T23" s="100" t="str">
        <x:f>IF('Master'!U338="","",'Master'!U338)</x:f>
      </x:c>
      <x:c r="U23" s="100" t="str">
        <x:f>IF('Master'!V338="","",'Master'!V338)</x:f>
        <x:v>No public self-hosting</x:v>
      </x:c>
      <x:c r="V23" s="100" t="str">
        <x:f>IF('Master'!W338="","",'Master'!W338)</x:f>
        <x:v>Yes — self-managed</x:v>
      </x:c>
      <x:c r="W23" s="100" t="str">
        <x:f>IF('Master'!X338="","",'Master'!X338)</x:f>
      </x:c>
      <x:c r="X23" s="100" t="str">
        <x:f>IF('Master'!Y338="","",'Master'!Y338)</x:f>
      </x:c>
      <x:c r="Y23" s="100" t="str">
        <x:f>IF('Master'!Z338="","",'Master'!Z338)</x:f>
      </x:c>
      <x:c r="Z23" s="100" t="str">
        <x:f>IF('Master'!AA338="","",'Master'!AA338)</x:f>
      </x:c>
      <x:c r="AA23" s="104" t="str">
        <x:f>IF('Master'!AB338="","",'Master'!AB338)</x:f>
      </x:c>
      <x:c r="AB23" s="100" t="str">
        <x:f>IF('Master'!AC338="","",'Master'!AC338)</x:f>
      </x:c>
      <x:c r="AC23" s="100" t="str">
        <x:f>IF('Master'!AD338="","",'Master'!AD338)</x:f>
      </x:c>
      <x:c r="AD23" s="100" t="str">
        <x:f>IF('Master'!AE338="","",'Master'!AE338)</x:f>
      </x:c>
      <x:c r="AE23" s="100" t="str">
        <x:f>IF('Master'!AF338="","",'Master'!AF338)</x:f>
      </x:c>
      <x:c r="AF23" s="75" t="str">
        <x:f>IF('Master'!AG338="","",'Master'!AG338)</x:f>
        <x:v>Yes — self-hosted</x:v>
      </x:c>
    </x:row>
    <x:row r="24" ht="36" customHeight="1">
      <x:c r="A24" s="135" t="str">
        <x:v>Cross-Platform Bridge Ecosystem</x:v>
      </x:c>
      <x:c r="B24" s="100" t="str">
        <x:f>IF('Master'!C339="","",'Master'!C339)</x:f>
        <x:v>Third-party</x:v>
      </x:c>
      <x:c r="C24" s="100" t="str">
        <x:f>IF('Master'!D339="","",'Master'!D339)</x:f>
      </x:c>
      <x:c r="D24" s="100" t="str">
        <x:f>IF('Master'!E339="","",'Master'!E339)</x:f>
      </x:c>
      <x:c r="E24" s="100" t="str">
        <x:f>IF('Master'!F339="","",'Master'!F339)</x:f>
      </x:c>
      <x:c r="F24" s="100" t="str">
        <x:f>IF('Master'!G339="","",'Master'!G339)</x:f>
      </x:c>
      <x:c r="G24" s="100" t="str">
        <x:f>IF('Master'!H339="","",'Master'!H339)</x:f>
      </x:c>
      <x:c r="H24" s="100" t="str">
        <x:f>IF('Master'!I339="","",'Master'!I339)</x:f>
      </x:c>
      <x:c r="I24" s="100" t="str">
        <x:f>IF('Master'!J339="","",'Master'!J339)</x:f>
      </x:c>
      <x:c r="J24" s="100" t="str">
        <x:f>IF('Master'!K339="","",'Master'!K339)</x:f>
      </x:c>
      <x:c r="K24" s="100" t="str">
        <x:f>IF('Master'!L339="","",'Master'!L339)</x:f>
        <x:v>Yes — official Discord↔Kaede bridge bot; broader bridge ecosystem is still early</x:v>
      </x:c>
      <x:c r="L24" s="100" t="str">
        <x:f>IF('Master'!M339="","",'Master'!M339)</x:f>
      </x:c>
      <x:c r="M24" s="100" t="str">
        <x:f>IF('Master'!N339="","",'Master'!N339)</x:f>
      </x:c>
      <x:c r="N24" s="100" t="str">
        <x:f>IF('Master'!O339="","",'Master'!O339)</x:f>
        <x:v>Extensive bridge ecosystem</x:v>
      </x:c>
      <x:c r="O24" s="100" t="str">
        <x:f>IF('Master'!P339="","",'Master'!P339)</x:f>
        <x:v>Integrations/plugins</x:v>
      </x:c>
      <x:c r="P24" s="100" t="str">
        <x:f>IF('Master'!Q339="","",'Master'!Q339)</x:f>
      </x:c>
      <x:c r="Q24" s="100" t="str">
        <x:f>IF('Master'!R339="","",'Master'!R339)</x:f>
      </x:c>
      <x:c r="R24" s="100" t="str">
        <x:f>IF('Master'!S339="","",'Master'!S339)</x:f>
      </x:c>
      <x:c r="S24" s="100" t="str">
        <x:f>IF('Master'!T339="","",'Master'!T339)</x:f>
      </x:c>
      <x:c r="T24" s="100" t="str">
        <x:f>IF('Master'!U339="","",'Master'!U339)</x:f>
      </x:c>
      <x:c r="U24" s="100" t="str">
        <x:f>IF('Master'!V339="","",'Master'!V339)</x:f>
      </x:c>
      <x:c r="V24" s="100" t="str">
        <x:f>IF('Master'!W339="","",'Master'!W339)</x:f>
      </x:c>
      <x:c r="W24" s="100" t="str">
        <x:f>IF('Master'!X339="","",'Master'!X339)</x:f>
      </x:c>
      <x:c r="X24" s="100" t="str">
        <x:f>IF('Master'!Y339="","",'Master'!Y339)</x:f>
      </x:c>
      <x:c r="Y24" s="100" t="str">
        <x:f>IF('Master'!Z339="","",'Master'!Z339)</x:f>
      </x:c>
      <x:c r="Z24" s="100" t="str">
        <x:f>IF('Master'!AA339="","",'Master'!AA339)</x:f>
      </x:c>
      <x:c r="AA24" s="104" t="str">
        <x:f>IF('Master'!AB339="","",'Master'!AB339)</x:f>
      </x:c>
      <x:c r="AB24" s="100" t="str">
        <x:f>IF('Master'!AC339="","",'Master'!AC339)</x:f>
      </x:c>
      <x:c r="AC24" s="100" t="str">
        <x:f>IF('Master'!AD339="","",'Master'!AD339)</x:f>
      </x:c>
      <x:c r="AD24" s="100" t="str">
        <x:f>IF('Master'!AE339="","",'Master'!AE339)</x:f>
      </x:c>
      <x:c r="AE24" s="100" t="str">
        <x:f>IF('Master'!AF339="","",'Master'!AF339)</x:f>
      </x:c>
      <x:c r="AF24" s="75" t="str">
        <x:f>IF('Master'!AG339="","",'Master'!AG339)</x:f>
        <x:v>IRC/Jabber mirrors/integrations</x:v>
      </x:c>
    </x:row>
  </x:sheetData>
  <x:mergeCells>
    <x:mergeCell ref="A1:A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Directory'!A1","Architecture &amp; Licensing"),"Architecture &amp; Licensing")</x:f>
        <x:v>Architecture &amp; Licensing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Hosting Architecture (Centralized / Federated / Self-Hosted / P2P)</x:v>
      </x:c>
      <x:c r="B3" s="100" t="str">
        <x:f>IF('Master'!C340="","",'Master'!C340)</x:f>
        <x:v>Centralized cloud service</x:v>
      </x:c>
      <x:c r="C3" s="100" t="str">
        <x:f>IF('Master'!D340="","",'Master'!D340)</x:f>
        <x:v>Decentralized Nostr-based communities; hosted app available; client, relay and LiveKit voice are self-hostable</x:v>
      </x:c>
      <x:c r="D3" s="100" t="str">
        <x:f>IF('Master'!E340="","",'Master'!E340)</x:f>
        <x:v>Self-hosted only; decentralized home-server messenger</x:v>
      </x:c>
      <x:c r="E3" s="100" t="str">
        <x:f>IF('Master'!F340="","",'Master'!F340)</x:f>
        <x:v>Centralized hosted service</x:v>
      </x:c>
      <x:c r="F3" s="100" t="str">
        <x:f>IF('Master'!G340="","",'Master'!G340)</x:f>
        <x:v>Centralized hosted-first service</x:v>
      </x:c>
      <x:c r="G3" s="100" t="str">
        <x:f>IF('Master'!H340="","",'Master'!H340)</x:f>
        <x:v>Hosted service + self-hostable independent instances</x:v>
      </x:c>
      <x:c r="H3" s="100" t="str">
        <x:f>IF('Master'!I340="","",'Master'!I340)</x:f>
        <x:v>Hosted + self-hosted</x:v>
      </x:c>
      <x:c r="I3" s="100" t="str">
        <x:f>IF('Master'!J340="","",'Master'!J340)</x:f>
        <x:v>Hosted service + self-hostable open-source deployment</x:v>
      </x:c>
      <x:c r="J3" s="100" t="str">
        <x:f>IF('Master'!K340="","",'Master'!K340)</x:f>
        <x:v>Distributed local-first relay-based; self-hostable relay</x:v>
      </x:c>
      <x:c r="K3" s="100" t="str">
        <x:f>IF('Master'!L340="","",'Master'!L340)</x:f>
        <x:v>Federated + self-hosted; official kaede.chat home instance also exists</x:v>
      </x:c>
      <x:c r="L3" s="100" t="str">
        <x:f>IF('Master'!M340="","",'Master'!M340)</x:f>
        <x:v>Centralized hosted service</x:v>
      </x:c>
      <x:c r="M3" s="100" t="str">
        <x:f>IF('Master'!N340="","",'Master'!N340)</x:f>
        <x:v>Hosted + self-hosting option; federation-oriented</x:v>
      </x:c>
      <x:c r="N3" s="100" t="str">
        <x:f>IF('Master'!O340="","",'Master'!O340)</x:f>
        <x:v>Federated protocol/ecosystem; self-hosted or hosted homeservers</x:v>
      </x:c>
      <x:c r="O3" s="100" t="str">
        <x:f>IF('Master'!P340="","",'Master'!P340)</x:f>
        <x:v>Cloud + self-hosted/on-prem standalone workspaces</x:v>
      </x:c>
      <x:c r="P3" s="100" t="str">
        <x:f>IF('Master'!Q340="","",'Master'!Q340)</x:f>
      </x:c>
      <x:c r="Q3" s="100" t="str">
        <x:f>IF('Master'!R340="","",'Master'!R340)</x:f>
        <x:v>Self-hosted client-server; third-party hosted servers available</x:v>
      </x:c>
      <x:c r="R3" s="100" t="str">
        <x:f>IF('Master'!S340="","",'Master'!S340)</x:f>
        <x:v>Centralized hosted service; technically self-hostable but not intended/supported</x:v>
      </x:c>
      <x:c r="S3" s="100" t="str">
        <x:f>IF('Master'!T340="","",'Master'!T340)</x:f>
        <x:v>Centralized globally distributed/regional service</x:v>
      </x:c>
      <x:c r="T3" s="100" t="str">
        <x:f>IF('Master'!U340="","",'Master'!U340)</x:f>
        <x:v>Centralized hosted (Fly.io API in São Paulo + Cloudflare Pages SPA) + self-hostable</x:v>
      </x:c>
      <x:c r="U3" s="100" t="str">
        <x:f>IF('Master'!V340="","",'Master'!V340)</x:f>
        <x:v>Centralized hosted service</x:v>
      </x:c>
      <x:c r="V3" s="100" t="str">
        <x:f>IF('Master'!W340="","",'Master'!W340)</x:f>
        <x:v>Cloud + self-hosted/on-prem; optional federation</x:v>
      </x:c>
      <x:c r="W3" s="100" t="str">
        <x:f>IF('Master'!X340="","",'Master'!X340)</x:f>
        <x:v>ATProto/Bluesky-connected distributed application</x:v>
      </x:c>
      <x:c r="X3" s="100" t="str">
        <x:f>IF('Master'!Y340="","",'Master'!Y340)</x:f>
        <x:v>Centralized hosted service</x:v>
      </x:c>
      <x:c r="Y3" s="100" t="str">
        <x:f>IF('Master'!Z340="","",'Master'!Z340)</x:f>
        <x:v>Self-hosted independent Discord-compatible service</x:v>
      </x:c>
      <x:c r="Z3" s="100" t="str">
        <x:f>IF('Master'!AA340="","",'Master'!AA340)</x:f>
        <x:v>Hosted service + self-hostable independent instances</x:v>
      </x:c>
      <x:c r="AA3" s="104" t="str">
        <x:f>IF('Master'!AB340="","",'Master'!AB340)</x:f>
        <x:v>Self-hosted/hosted client-server</x:v>
      </x:c>
      <x:c r="AB3" s="100" t="str">
        <x:f>IF('Master'!AC340="","",'Master'!AC340)</x:f>
        <x:v>Hosted + self-hostable node-based platform</x:v>
      </x:c>
      <x:c r="AC3" s="100" t="str">
        <x:f>IF('Master'!AD340="","",'Master'!AD340)</x:f>
        <x:v>Hosted now; self-hosting/federation being built</x:v>
      </x:c>
      <x:c r="AD3" s="100" t="str">
        <x:f>IF('Master'!AE340="","",'Master'!AE340)</x:f>
        <x:v>Centralized hosted platform</x:v>
      </x:c>
      <x:c r="AE3" s="100" t="str">
        <x:f>IF('Master'!AF340="","",'Master'!AF340)</x:f>
        <x:v>Self-hosted first + optional managed hosting</x:v>
      </x:c>
      <x:c r="AF3" s="75" t="str">
        <x:f>IF('Master'!AG340="","",'Master'!AG340)</x:f>
        <x:v>Hosted cloud + self-hosted standalone servers</x:v>
      </x:c>
    </x:row>
    <x:row r="4" ht="36" customHeight="1">
      <x:c r="A4" s="135" t="str">
        <x:v>Federation / Network Protocol</x:v>
      </x:c>
      <x:c r="B4" s="100" t="str">
        <x:f>IF('Master'!C341="","",'Master'!C341)</x:f>
        <x:v>No federation; centralized proprietary service (public HTTP/Gateway APIs for apps)</x:v>
      </x:c>
      <x:c r="C4" s="100" t="str">
        <x:f>IF('Master'!D341="","",'Master'!D341)</x:f>
        <x:v>Nostr + Concord + NIP-29 relay groups</x:v>
      </x:c>
      <x:c r="D4" s="100" t="str">
        <x:f>IF('Master'!E341="","",'Master'!E341)</x:f>
        <x:v>Custom server protocol/WebSockets; federation/decentralization features</x:v>
      </x:c>
      <x:c r="E4" s="100" t="str">
        <x:f>IF('Master'!F341="","",'Master'!F341)</x:f>
        <x:v>No federation</x:v>
      </x:c>
      <x:c r="F4" s="100" t="str">
        <x:f>IF('Master'!G341="","",'Master'!G341)</x:f>
        <x:v>No federation; custom platform APIs</x:v>
      </x:c>
      <x:c r="G4" s="100" t="str">
        <x:f>IF('Master'!H341="","",'Master'!H341)</x:f>
        <x:v>No federation yet; federation on roadmap; Discord-inspired REST/Gateway</x:v>
      </x:c>
      <x:c r="H4" s="100" t="str">
        <x:f>IF('Master'!I341="","",'Master'!I341)</x:f>
        <x:v>Centralized/independent servers; no federation verified</x:v>
      </x:c>
      <x:c r="I4" s="100" t="str">
        <x:f>IF('Master'!J341="","",'Master'!J341)</x:f>
        <x:v>Discord-like API; federation planned</x:v>
      </x:c>
      <x:c r="J4" s="100" t="str">
        <x:f>IF('Master'!K341="","",'Master'!K341)</x:f>
        <x:v>Custom relay protocol + CRDT sync; no central account server</x:v>
      </x:c>
      <x:c r="K4" s="100" t="str">
        <x:f>IF('Master'!L341="","",'Master'!L341)</x:f>
        <x:v>kaede-fed/1 signed HTTP/event protocol plus pooled signed WebSocket federation</x:v>
      </x:c>
      <x:c r="L4" s="100" t="str">
        <x:f>IF('Master'!M341="","",'Master'!M341)</x:f>
        <x:v>No federation verified</x:v>
      </x:c>
      <x:c r="M4" s="100" t="str">
        <x:f>IF('Master'!N341="","",'Master'!N341)</x:f>
        <x:v>Federated infrastructure planned/implemented in evolving form</x:v>
      </x:c>
      <x:c r="N4" s="100" t="str">
        <x:f>IF('Master'!O341="","",'Master'!O341)</x:f>
        <x:v>Matrix Client-Server API + Server-Server/Federation API; MatrixRTC for realtime calling</x:v>
      </x:c>
      <x:c r="O4" s="100" t="str">
        <x:f>IF('Master'!P341="","",'Master'!P341)</x:f>
        <x:v>Mattermost APIs/WebSocket; no general cross-server federation</x:v>
      </x:c>
      <x:c r="P4" s="100" t="str">
        <x:f>IF('Master'!Q341="","",'Master'!Q341)</x:f>
      </x:c>
      <x:c r="Q4" s="100" t="str">
        <x:f>IF('Master'!R341="","",'Master'!R341)</x:f>
        <x:v>Mumble protocol over TLS/UDP; no federation</x:v>
      </x:c>
      <x:c r="R4" s="100" t="str">
        <x:f>IF('Master'!S341="","",'Master'!S341)</x:f>
        <x:v>No federation</x:v>
      </x:c>
      <x:c r="S4" s="100" t="str">
        <x:f>IF('Master'!T341="","",'Master'!T341)</x:f>
        <x:v>No federation verified</x:v>
      </x:c>
      <x:c r="T4" s="100" t="str">
        <x:f>IF('Master'!U341="","",'Master'!U341)</x:f>
        <x:v>No federation; independent self-host copies</x:v>
      </x:c>
      <x:c r="U4" s="100" t="str">
        <x:f>IF('Master'!V341="","",'Master'!V341)</x:f>
        <x:v>No federation</x:v>
      </x:c>
      <x:c r="V4" s="100" t="str">
        <x:f>IF('Master'!W341="","",'Master'!W341)</x:f>
        <x:v>REST/WebSocket/DDP + Matrix-based federation capabilities</x:v>
      </x:c>
      <x:c r="W4" s="100" t="str">
        <x:f>IF('Master'!X341="","",'Master'!X341)</x:f>
        <x:v>ATProto-based data model; not a Matrix-style chat federation</x:v>
      </x:c>
      <x:c r="X4" s="100" t="str">
        <x:f>IF('Master'!Y341="","",'Master'!Y341)</x:f>
        <x:v>No federation; proprietary Root APIs</x:v>
      </x:c>
      <x:c r="Y4" s="100" t="str">
        <x:f>IF('Master'!Z341="","",'Master'!Z341)</x:f>
        <x:v>Discord-compatible REST API + Gateway/WebSocket; no federation</x:v>
      </x:c>
      <x:c r="Z4" s="100" t="str">
        <x:f>IF('Master'!AA341="","",'Master'!AA341)</x:f>
        <x:v>No inter-instance federation; custom REST/WebSocket API</x:v>
      </x:c>
      <x:c r="AA4" s="104" t="str">
        <x:f>IF('Master'!AB341="","",'Master'!AB341)</x:f>
        <x:v>Proprietary TeamSpeak protocol; no federation</x:v>
      </x:c>
      <x:c r="AB4" s="100" t="str">
        <x:f>IF('Master'!AC341="","",'Master'!AC341)</x:f>
        <x:v>Independent instances/nodes; federation/migration features</x:v>
      </x:c>
      <x:c r="AC4" s="100" t="str">
        <x:f>IF('Master'!AD341="","",'Master'!AD341)</x:f>
        <x:v>Custom federation protocol in development</x:v>
      </x:c>
      <x:c r="AD4" s="100" t="str">
        <x:f>IF('Master'!AE341="","",'Master'!AE341)</x:f>
        <x:v>No federation</x:v>
      </x:c>
      <x:c r="AE4" s="100" t="str">
        <x:f>IF('Master'!AF341="","",'Master'!AF341)</x:f>
        <x:v>Independent servers; no federation verified</x:v>
      </x:c>
      <x:c r="AF4" s="75" t="str">
        <x:f>IF('Master'!AG341="","",'Master'!AG341)</x:f>
        <x:v>Zulip REST/realtime event API; no cross-server federation</x:v>
      </x:c>
    </x:row>
    <x:row r="5" ht="36" customHeight="1">
      <x:c r="A5" s="135" t="str">
        <x:v>Client License (FOSS / Proprietary)</x:v>
      </x:c>
      <x:c r="B5" s="100" t="str">
        <x:f>IF('Master'!C342="","",'Master'!C342)</x:f>
        <x:v>Proprietary</x:v>
      </x:c>
      <x:c r="C5" s="100" t="str">
        <x:f>IF('Master'!D342="","",'Master'!D342)</x:f>
        <x:v>FOSS — AGPL-3.0</x:v>
      </x:c>
      <x:c r="D5" s="100" t="str">
        <x:f>IF('Master'!E342="","",'Master'!E342)</x:f>
        <x:v>FOSS AGPL-3.0</x:v>
      </x:c>
      <x:c r="E5" s="100" t="str">
        <x:f>IF('Master'!F342="","",'Master'!F342)</x:f>
        <x:v>Proprietary</x:v>
      </x:c>
      <x:c r="F5" s="100" t="str">
        <x:f>IF('Master'!G342="","",'Master'!G342)</x:f>
        <x:v>Proprietary during alpha; open-source release planned</x:v>
      </x:c>
      <x:c r="G5" s="100" t="str">
        <x:f>IF('Master'!H342="","",'Master'!H342)</x:f>
        <x:v>FOSS (AGPL-3.0)</x:v>
      </x:c>
      <x:c r="H5" s="100" t="str">
        <x:f>IF('Master'!I342="","",'Master'!I342)</x:f>
        <x:v>Proprietary</x:v>
      </x:c>
      <x:c r="I5" s="100" t="str">
        <x:f>IF('Master'!J342="","",'Master'!J342)</x:f>
        <x:v>FOSS — AGPL-3.0</x:v>
      </x:c>
      <x:c r="J5" s="100" t="str">
        <x:f>IF('Master'!K342="","",'Master'!K342)</x:f>
        <x:v>Open source</x:v>
      </x:c>
      <x:c r="K5" s="100" t="str">
        <x:f>IF('Master'!L342="","",'Master'!L342)</x:f>
        <x:v>MIT</x:v>
      </x:c>
      <x:c r="L5" s="100" t="str">
        <x:f>IF('Master'!M342="","",'Master'!M342)</x:f>
        <x:v>Proprietary</x:v>
      </x:c>
      <x:c r="M5" s="100" t="str">
        <x:f>IF('Master'!N342="","",'Master'!N342)</x:f>
      </x:c>
      <x:c r="N5" s="100" t="str">
        <x:f>IF('Master'!O342="","",'Master'!O342)</x:f>
        <x:v>Varies by client; many FOSS (e.g., Element, Element X, Cinny)</x:v>
      </x:c>
      <x:c r="O5" s="100" t="str">
        <x:f>IF('Master'!P342="","",'Master'!P342)</x:f>
        <x:v>FOSS/open-source clients; exact repo license varies</x:v>
      </x:c>
      <x:c r="P5" s="100" t="str">
        <x:f>IF('Master'!Q342="","",'Master'!Q342)</x:f>
        <x:v>Open-source client code</x:v>
      </x:c>
      <x:c r="Q5" s="100" t="str">
        <x:f>IF('Master'!R342="","",'Master'!R342)</x:f>
        <x:v>FOSS (BSD-style / BSD-3-Clause)</x:v>
      </x:c>
      <x:c r="R5" s="100" t="str">
        <x:f>IF('Master'!S342="","",'Master'!S342)</x:f>
        <x:v>FOSS GPL-family components</x:v>
      </x:c>
      <x:c r="S5" s="100" t="str">
        <x:f>IF('Master'!T342="","",'Master'!T342)</x:f>
        <x:v>Proprietary client / source status mixed</x:v>
      </x:c>
      <x:c r="T5" s="100" t="str">
        <x:f>IF('Master'!U342="","",'Master'!U342)</x:f>
        <x:v>FOSS — AGPL-3.0</x:v>
      </x:c>
      <x:c r="U5" s="100" t="str">
        <x:f>IF('Master'!V342="","",'Master'!V342)</x:f>
        <x:v>Proprietary</x:v>
      </x:c>
      <x:c r="V5" s="100" t="str">
        <x:f>IF('Master'!W342="","",'Master'!W342)</x:f>
        <x:v>FOSS core client; MIT components / enterprise extensions</x:v>
      </x:c>
      <x:c r="W5" s="100" t="str">
        <x:f>IF('Master'!X342="","",'Master'!X342)</x:f>
        <x:v>MPL-2.0 project</x:v>
      </x:c>
      <x:c r="X5" s="100" t="str">
        <x:f>IF('Master'!Y342="","",'Master'!Y342)</x:f>
        <x:v>Proprietary</x:v>
      </x:c>
      <x:c r="Y5" s="100" t="str">
        <x:f>IF('Master'!Z342="","",'Master'!Z342)</x:f>
        <x:v>FOSS (AGPL-3.0 project components)</x:v>
      </x:c>
      <x:c r="Z5" s="100" t="str">
        <x:f>IF('Master'!AA342="","",'Master'!AA342)</x:f>
        <x:v>FOSS (web client AGPL-3.0; clients vary)</x:v>
      </x:c>
      <x:c r="AA5" s="104" t="str">
        <x:f>IF('Master'!AB342="","",'Master'!AB342)</x:f>
        <x:v>Proprietary</x:v>
      </x:c>
      <x:c r="AB5" s="100" t="str">
        <x:f>IF('Master'!AC342="","",'Master'!AC342)</x:f>
        <x:v>AGPL-3.0</x:v>
      </x:c>
      <x:c r="AC5" s="100" t="str">
        <x:f>IF('Master'!AD342="","",'Master'!AD342)</x:f>
        <x:v>Client source planned; not yet fully public</x:v>
      </x:c>
      <x:c r="AD5" s="100" t="str">
        <x:f>IF('Master'!AE342="","",'Master'!AE342)</x:f>
      </x:c>
      <x:c r="AE5" s="100" t="str">
        <x:f>IF('Master'!AF342="","",'Master'!AF342)</x:f>
      </x:c>
      <x:c r="AF5" s="75" t="str">
        <x:f>IF('Master'!AG342="","",'Master'!AG342)</x:f>
        <x:v>FOSS (Apache-2.0)</x:v>
      </x:c>
    </x:row>
    <x:row r="6" ht="36" customHeight="1">
      <x:c r="A6" s="135" t="str">
        <x:v>Server License (FOSS / Proprietary)</x:v>
      </x:c>
      <x:c r="B6" s="100" t="str">
        <x:f>IF('Master'!C343="","",'Master'!C343)</x:f>
        <x:v>Proprietary</x:v>
      </x:c>
      <x:c r="C6" s="100" t="str">
        <x:f>IF('Master'!D343="","",'Master'!D343)</x:f>
        <x:v>FOSS/open-source relay, bridge and voice components</x:v>
      </x:c>
      <x:c r="D6" s="100" t="str">
        <x:f>IF('Master'!E343="","",'Master'!E343)</x:f>
        <x:v>FOSS AGPL-3.0</x:v>
      </x:c>
      <x:c r="E6" s="100" t="str">
        <x:f>IF('Master'!F343="","",'Master'!F343)</x:f>
        <x:v>Proprietary Rust backend</x:v>
      </x:c>
      <x:c r="F6" s="100" t="str">
        <x:f>IF('Master'!G343="","",'Master'!G343)</x:f>
        <x:v>Proprietary during alpha; open-source release planned</x:v>
      </x:c>
      <x:c r="G6" s="100" t="str">
        <x:f>IF('Master'!H343="","",'Master'!H343)</x:f>
        <x:v>FOSS (AGPL-3.0)</x:v>
      </x:c>
      <x:c r="H6" s="100" t="str">
        <x:f>IF('Master'!I343="","",'Master'!I343)</x:f>
        <x:v>Proprietary</x:v>
      </x:c>
      <x:c r="I6" s="100" t="str">
        <x:f>IF('Master'!J343="","",'Master'!J343)</x:f>
        <x:v>FOSS — AGPL-3.0</x:v>
      </x:c>
      <x:c r="J6" s="100" t="str">
        <x:f>IF('Master'!K343="","",'Master'!K343)</x:f>
        <x:v>Open source relay/server</x:v>
      </x:c>
      <x:c r="K6" s="100" t="str">
        <x:f>IF('Master'!L343="","",'Master'!L343)</x:f>
        <x:v>MIT</x:v>
      </x:c>
      <x:c r="L6" s="100" t="str">
        <x:f>IF('Master'!M343="","",'Master'!M343)</x:f>
        <x:v>Proprietary</x:v>
      </x:c>
      <x:c r="M6" s="100" t="str">
        <x:f>IF('Master'!N343="","",'Master'!N343)</x:f>
      </x:c>
      <x:c r="N6" s="100" t="str">
        <x:f>IF('Master'!O343="","",'Master'!O343)</x:f>
        <x:v>Varies by homeserver; Synapse is AGPLv3/commercial dual model</x:v>
      </x:c>
      <x:c r="O6" s="100" t="str">
        <x:f>IF('Master'!P343="","",'Master'!P343)</x:f>
        <x:v>Open source Team Edition / AGPL-source plus commercial Enterprise editions</x:v>
      </x:c>
      <x:c r="P6" s="100" t="str">
        <x:f>IF('Master'!Q343="","",'Master'!Q343)</x:f>
        <x:v>Open-source server stack/components</x:v>
      </x:c>
      <x:c r="Q6" s="100" t="str">
        <x:f>IF('Master'!R343="","",'Master'!R343)</x:f>
        <x:v>FOSS (BSD-style / BSD-3-Clause)</x:v>
      </x:c>
      <x:c r="R6" s="100" t="str">
        <x:f>IF('Master'!S343="","",'Master'!S343)</x:f>
        <x:v>FOSS GPL-3.0 server/web components</x:v>
      </x:c>
      <x:c r="S6" s="100" t="str">
        <x:f>IF('Master'!T343="","",'Master'!T343)</x:f>
      </x:c>
      <x:c r="T6" s="100" t="str">
        <x:f>IF('Master'!U343="","",'Master'!U343)</x:f>
        <x:v>FOSS — AGPL-3.0</x:v>
      </x:c>
      <x:c r="U6" s="100" t="str">
        <x:f>IF('Master'!V343="","",'Master'!V343)</x:f>
        <x:v>Proprietary</x:v>
      </x:c>
      <x:c r="V6" s="100" t="str">
        <x:f>IF('Master'!W343="","",'Master'!W343)</x:f>
        <x:v>FOSS core (MIT) + enterprise-licensed portions</x:v>
      </x:c>
      <x:c r="W6" s="100" t="str">
        <x:f>IF('Master'!X343="","",'Master'!X343)</x:f>
        <x:v>MPL-2.0 project/server components</x:v>
      </x:c>
      <x:c r="X6" s="100" t="str">
        <x:f>IF('Master'!Y343="","",'Master'!Y343)</x:f>
        <x:v>Proprietary</x:v>
      </x:c>
      <x:c r="Y6" s="100" t="str">
        <x:f>IF('Master'!Z343="","",'Master'!Z343)</x:f>
        <x:v>FOSS (AGPL-3.0)</x:v>
      </x:c>
      <x:c r="Z6" s="100" t="str">
        <x:f>IF('Master'!AA343="","",'Master'!AA343)</x:f>
        <x:v>FOSS (backend generally AGPL-3.0)</x:v>
      </x:c>
      <x:c r="AA6" s="104" t="str">
        <x:f>IF('Master'!AB343="","",'Master'!AB343)</x:f>
        <x:v>Proprietary</x:v>
      </x:c>
      <x:c r="AB6" s="100" t="str">
        <x:f>IF('Master'!AC343="","",'Master'!AC343)</x:f>
        <x:v>AGPL-3.0</x:v>
      </x:c>
      <x:c r="AC6" s="100" t="str">
        <x:f>IF('Master'!AD343="","",'Master'!AD343)</x:f>
        <x:v>Backend source public</x:v>
      </x:c>
      <x:c r="AD6" s="100" t="str">
        <x:f>IF('Master'!AE343="","",'Master'!AE343)</x:f>
        <x:v>Source-available</x:v>
      </x:c>
      <x:c r="AE6" s="100" t="str">
        <x:f>IF('Master'!AF343="","",'Master'!AF343)</x:f>
      </x:c>
      <x:c r="AF6" s="75" t="str">
        <x:f>IF('Master'!AG343="","",'Master'!AG343)</x:f>
        <x:v>FOSS (Apache-2.0 server/web app)</x:v>
      </x:c>
    </x:row>
    <x:row r="7" ht="36" customHeight="1">
      <x:c r="A7" s="135" t="str">
        <x:v>Client Repo URL</x:v>
      </x:c>
      <x:c r="B7" s="100" t="str">
        <x:f>IF('Master'!C344="","",'Master'!C344)</x:f>
        <x:v>N/A — no public core client source repository</x:v>
      </x:c>
      <x:c r="C7" s="100" t="str">
        <x:f>IF('Master'!D344="","",'Master'!D344)</x:f>
        <x:v>https://github.com/soapbox-pub/armada</x:v>
      </x:c>
      <x:c r="D7" s="100" t="str">
        <x:f>IF('Master'!E344="","",'Master'!E344)</x:f>
        <x:v>https://github.com/hackthedev/dcts-shipping</x:v>
      </x:c>
      <x:c r="E7" s="100" t="str">
        <x:f>IF('Master'!F344="","",'Master'!F344)</x:f>
        <x:v>N/A</x:v>
      </x:c>
      <x:c r="F7" s="100" t="str">
        <x:f>IF('Master'!G344="","",'Master'!G344)</x:f>
        <x:v>N/A — not public yet</x:v>
      </x:c>
      <x:c r="G7" s="100" t="str">
        <x:f>IF('Master'!H344="","",'Master'!H344)</x:f>
        <x:v>https://github.com/fluxerapp/fluxer</x:v>
      </x:c>
      <x:c r="H7" s="100" t="str">
        <x:f>IF('Master'!I344="","",'Master'!I344)</x:f>
        <x:v>N/A</x:v>
      </x:c>
      <x:c r="I7" s="100" t="str">
        <x:f>IF('Master'!J344="","",'Master'!J344)</x:f>
        <x:v>https://codeberg.org/MelodyChat/Fermi</x:v>
      </x:c>
      <x:c r="J7" s="100" t="str">
        <x:f>IF('Master'!K344="","",'Master'!K344)</x:f>
        <x:v>https://github.com/VitalikPro13/HOLLOW</x:v>
      </x:c>
      <x:c r="K7" s="100" t="str">
        <x:f>IF('Master'!L344="","",'Master'!L344)</x:f>
        <x:v>https://github.com/CookieNom/KaedeChat</x:v>
      </x:c>
      <x:c r="L7" s="100" t="str">
        <x:f>IF('Master'!M344="","",'Master'!M344)</x:f>
        <x:v>N/A</x:v>
      </x:c>
      <x:c r="M7" s="100" t="str">
        <x:f>IF('Master'!N344="","",'Master'!N344)</x:f>
      </x:c>
      <x:c r="N7" s="100" t="str">
        <x:f>IF('Master'!O344="","",'Master'!O344)</x:f>
        <x:v>No single client repo — clients are separate implementations</x:v>
      </x:c>
      <x:c r="O7" s="100" t="str">
        <x:f>IF('Master'!P344="","",'Master'!P344)</x:f>
        <x:v>https://github.com/mattermost/mattermost-desktop</x:v>
      </x:c>
      <x:c r="P7" s="100" t="str">
        <x:f>IF('Master'!Q344="","",'Master'!Q344)</x:f>
        <x:v>https://github.com/mezonai/mezon</x:v>
      </x:c>
      <x:c r="Q7" s="100" t="str">
        <x:f>IF('Master'!R344="","",'Master'!R344)</x:f>
        <x:v>https://github.com/mumble-voip/mumble</x:v>
      </x:c>
      <x:c r="R7" s="100" t="str">
        <x:f>IF('Master'!S344="","",'Master'!S344)</x:f>
        <x:v>https://github.com/Nerimity/nerimity-web</x:v>
      </x:c>
      <x:c r="S7" s="100" t="str">
        <x:f>IF('Master'!T344="","",'Master'!T344)</x:f>
      </x:c>
      <x:c r="T7" s="100" t="str">
        <x:f>IF('Master'!U344="","",'Master'!U344)</x:f>
        <x:v>https://github.com/rafaelcg/pqp</x:v>
      </x:c>
      <x:c r="U7" s="100" t="str">
        <x:f>IF('Master'!V344="","",'Master'!V344)</x:f>
        <x:v>N/A</x:v>
      </x:c>
      <x:c r="V7" s="100" t="str">
        <x:f>IF('Master'!W344="","",'Master'!W344)</x:f>
        <x:v>https://github.com/RocketChat/Rocket.Chat.Electron</x:v>
      </x:c>
      <x:c r="W7" s="100" t="str">
        <x:f>IF('Master'!X344="","",'Master'!X344)</x:f>
        <x:v>https://github.com/muni-town/roomy</x:v>
      </x:c>
      <x:c r="X7" s="100" t="str">
        <x:f>IF('Master'!Y344="","",'Master'!Y344)</x:f>
        <x:v>N/A</x:v>
      </x:c>
      <x:c r="Y7" s="100" t="str">
        <x:f>IF('Master'!Z344="","",'Master'!Z344)</x:f>
        <x:v>https://github.com/spacebarchat/client</x:v>
      </x:c>
      <x:c r="Z7" s="100" t="str">
        <x:f>IF('Master'!AA344="","",'Master'!AA344)</x:f>
        <x:v>https://github.com/stoatchat/for-web</x:v>
      </x:c>
      <x:c r="AA7" s="104" t="str">
        <x:f>IF('Master'!AB344="","",'Master'!AB344)</x:f>
        <x:v>N/A</x:v>
      </x:c>
      <x:c r="AB7" s="100" t="str">
        <x:f>IF('Master'!AC344="","",'Master'!AC344)</x:f>
        <x:v>https://github.com/Valour-Software/Valour</x:v>
      </x:c>
      <x:c r="AC7" s="100" t="str">
        <x:f>IF('Master'!AD344="","",'Master'!AD344)</x:f>
      </x:c>
      <x:c r="AD7" s="100" t="str">
        <x:f>IF('Master'!AE344="","",'Master'!AE344)</x:f>
        <x:v>https://github.com/Weeredjs/Weered</x:v>
      </x:c>
      <x:c r="AE7" s="100" t="str">
        <x:f>IF('Master'!AF344="","",'Master'!AF344)</x:f>
      </x:c>
      <x:c r="AF7" s="75" t="str">
        <x:f>IF('Master'!AG344="","",'Master'!AG344)</x:f>
        <x:v>https://github.com/zulip/zulip-desktop</x:v>
      </x:c>
    </x:row>
    <x:row r="8" ht="36" customHeight="1">
      <x:c r="A8" s="135" t="str">
        <x:v>Server Repo URL</x:v>
      </x:c>
      <x:c r="B8" s="100" t="str">
        <x:f>IF('Master'!C345="","",'Master'!C345)</x:f>
        <x:v>N/A — no public core server source repository</x:v>
      </x:c>
      <x:c r="C8" s="100" t="str">
        <x:f>IF('Master'!D345="","",'Master'!D345)</x:f>
        <x:v>https://github.com/soapbox-pub/armada</x:v>
      </x:c>
      <x:c r="D8" s="100" t="str">
        <x:f>IF('Master'!E345="","",'Master'!E345)</x:f>
        <x:v>https://github.com/hackthedev/dcts-shipping</x:v>
      </x:c>
      <x:c r="E8" s="100" t="str">
        <x:f>IF('Master'!F345="","",'Master'!F345)</x:f>
        <x:v>N/A</x:v>
      </x:c>
      <x:c r="F8" s="100" t="str">
        <x:f>IF('Master'!G345="","",'Master'!G345)</x:f>
        <x:v>N/A — not public yet</x:v>
      </x:c>
      <x:c r="G8" s="100" t="str">
        <x:f>IF('Master'!H345="","",'Master'!H345)</x:f>
        <x:v>https://github.com/fluxerapp/fluxer</x:v>
      </x:c>
      <x:c r="H8" s="100" t="str">
        <x:f>IF('Master'!I345="","",'Master'!I345)</x:f>
        <x:v>N/A</x:v>
      </x:c>
      <x:c r="I8" s="100" t="str">
        <x:f>IF('Master'!J345="","",'Master'!J345)</x:f>
        <x:v>https://codeberg.org/MelodyChat/Harmony</x:v>
      </x:c>
      <x:c r="J8" s="100" t="str">
        <x:f>IF('Master'!K345="","",'Master'!K345)</x:f>
        <x:v>https://github.com/VitalikPro13/HOLLOW</x:v>
      </x:c>
      <x:c r="K8" s="100" t="str">
        <x:f>IF('Master'!L345="","",'Master'!L345)</x:f>
        <x:v>https://github.com/CookieNom/KaedeChat</x:v>
      </x:c>
      <x:c r="L8" s="100" t="str">
        <x:f>IF('Master'!M345="","",'Master'!M345)</x:f>
        <x:v>N/A</x:v>
      </x:c>
      <x:c r="M8" s="100" t="str">
        <x:f>IF('Master'!N345="","",'Master'!N345)</x:f>
      </x:c>
      <x:c r="N8" s="100" t="str">
        <x:f>IF('Master'!O345="","",'Master'!O345)</x:f>
        <x:v>No single server repo — Synapse, Dendrite/others implement Matrix</x:v>
      </x:c>
      <x:c r="O8" s="100" t="str">
        <x:f>IF('Master'!P345="","",'Master'!P345)</x:f>
        <x:v>https://github.com/mattermost/mattermost</x:v>
      </x:c>
      <x:c r="P8" s="100" t="str">
        <x:f>IF('Master'!Q345="","",'Master'!Q345)</x:f>
        <x:v>https://github.com/mezonai/mezon</x:v>
      </x:c>
      <x:c r="Q8" s="100" t="str">
        <x:f>IF('Master'!R345="","",'Master'!R345)</x:f>
        <x:v>https://github.com/mumble-voip/mumble</x:v>
      </x:c>
      <x:c r="R8" s="100" t="str">
        <x:f>IF('Master'!S345="","",'Master'!S345)</x:f>
        <x:v>https://github.com/Nerimity/nerimity-server</x:v>
      </x:c>
      <x:c r="S8" s="100" t="str">
        <x:f>IF('Master'!T345="","",'Master'!T345)</x:f>
      </x:c>
      <x:c r="T8" s="100" t="str">
        <x:f>IF('Master'!U345="","",'Master'!U345)</x:f>
        <x:v>https://github.com/rafaelcg/pqp</x:v>
      </x:c>
      <x:c r="U8" s="100" t="str">
        <x:f>IF('Master'!V345="","",'Master'!V345)</x:f>
        <x:v>N/A</x:v>
      </x:c>
      <x:c r="V8" s="100" t="str">
        <x:f>IF('Master'!W345="","",'Master'!W345)</x:f>
        <x:v>https://github.com/RocketChat/Rocket.Chat</x:v>
      </x:c>
      <x:c r="W8" s="100" t="str">
        <x:f>IF('Master'!X345="","",'Master'!X345)</x:f>
        <x:v>https://github.com/muni-town/roomy</x:v>
      </x:c>
      <x:c r="X8" s="100" t="str">
        <x:f>IF('Master'!Y345="","",'Master'!Y345)</x:f>
        <x:v>N/A</x:v>
      </x:c>
      <x:c r="Y8" s="100" t="str">
        <x:f>IF('Master'!Z345="","",'Master'!Z345)</x:f>
        <x:v>https://github.com/spacebarchat/server</x:v>
      </x:c>
      <x:c r="Z8" s="100" t="str">
        <x:f>IF('Master'!AA345="","",'Master'!AA345)</x:f>
        <x:v>https://github.com/stoatchat/stoatchat</x:v>
      </x:c>
      <x:c r="AA8" s="104" t="str">
        <x:f>IF('Master'!AB345="","",'Master'!AB345)</x:f>
        <x:v>N/A</x:v>
      </x:c>
      <x:c r="AB8" s="100" t="str">
        <x:f>IF('Master'!AC345="","",'Master'!AC345)</x:f>
        <x:v>https://github.com/Valour-Software/Valour</x:v>
      </x:c>
      <x:c r="AC8" s="100" t="str">
        <x:f>IF('Master'!AD345="","",'Master'!AD345)</x:f>
        <x:v>https://github.com/AlpineBits-ch/AlpineBackend</x:v>
      </x:c>
      <x:c r="AD8" s="100" t="str">
        <x:f>IF('Master'!AE345="","",'Master'!AE345)</x:f>
        <x:v>https://github.com/Weeredjs/Weered</x:v>
      </x:c>
      <x:c r="AE8" s="100" t="str">
        <x:f>IF('Master'!AF345="","",'Master'!AF345)</x:f>
      </x:c>
      <x:c r="AF8" s="75" t="str">
        <x:f>IF('Master'!AG345="","",'Master'!AG345)</x:f>
        <x:v>https://github.com/zulip/zulip</x:v>
      </x:c>
    </x:row>
    <x:row r="9" ht="36" customHeight="1">
      <x:c r="A9" s="135" t="str">
        <x:v>Self-Hosting Setup Difficulty (1–5)</x:v>
      </x:c>
      <x:c r="B9" s="100" t="str">
        <x:f>IF('Master'!C346="","",'Master'!C346)</x:f>
        <x:v>N/A — official self-hosting unsupported</x:v>
      </x:c>
      <x:c r="C9" s="100" t="str">
        <x:f>IF('Master'!D346="","",'Master'!D346)</x:f>
        <x:v>3/5 for using hosted relays; self-host relay more complex</x:v>
      </x:c>
      <x:c r="D9" s="100" t="str">
        <x:f>IF('Master'!E346="","",'Master'!E346)</x:f>
        <x:v>3/5</x:v>
      </x:c>
      <x:c r="E9" s="100" t="str">
        <x:f>IF('Master'!F346="","",'Master'!F346)</x:f>
        <x:v>N/A</x:v>
      </x:c>
      <x:c r="F9" s="100" t="str">
        <x:f>IF('Master'!G346="","",'Master'!G346)</x:f>
        <x:v>N/A — self-hosting not currently offered</x:v>
      </x:c>
      <x:c r="G9" s="100" t="str">
        <x:f>IF('Master'!H346="","",'Master'!H346)</x:f>
        <x:v>3/5</x:v>
      </x:c>
      <x:c r="H9" s="100" t="str">
        <x:f>IF('Master'!I346="","",'Master'!I346)</x:f>
        <x:v>2/5</x:v>
      </x:c>
      <x:c r="I9" s="100" t="str">
        <x:f>IF('Master'!J346="","",'Master'!J346)</x:f>
        <x:v>4/5</x:v>
      </x:c>
      <x:c r="J9" s="100" t="str">
        <x:f>IF('Master'!K346="","",'Master'!K346)</x:f>
        <x:v>3/5</x:v>
      </x:c>
      <x:c r="K9" s="100" t="str">
        <x:f>IF('Master'!L346="","",'Master'!L346)</x:f>
        <x:v>2/5 — interactive make setup wizard + Docker Compose; still requires DNS/TLS/reverse proxy</x:v>
      </x:c>
      <x:c r="L9" s="100" t="str">
        <x:f>IF('Master'!M346="","",'Master'!M346)</x:f>
        <x:v>N/A</x:v>
      </x:c>
      <x:c r="M9" s="100" t="str">
        <x:f>IF('Master'!N346="","",'Master'!N346)</x:f>
        <x:v>3/5</x:v>
      </x:c>
      <x:c r="N9" s="100" t="str">
        <x:f>IF('Master'!O346="","",'Master'!O346)</x:f>
        <x:v>4/5 (implementation-dependent)</x:v>
      </x:c>
      <x:c r="O9" s="100" t="str">
        <x:f>IF('Master'!P346="","",'Master'!P346)</x:f>
        <x:v>3/5</x:v>
      </x:c>
      <x:c r="P9" s="100" t="str">
        <x:f>IF('Master'!Q346="","",'Master'!Q346)</x:f>
      </x:c>
      <x:c r="Q9" s="100" t="str">
        <x:f>IF('Master'!R346="","",'Master'!R346)</x:f>
        <x:v>2/5</x:v>
      </x:c>
      <x:c r="R9" s="100" t="str">
        <x:f>IF('Master'!S346="","",'Master'!S346)</x:f>
        <x:v>4/5 (unsupported)</x:v>
      </x:c>
      <x:c r="S9" s="100" t="str">
        <x:f>IF('Master'!T346="","",'Master'!T346)</x:f>
        <x:v>N/A</x:v>
      </x:c>
      <x:c r="T9" s="100" t="str">
        <x:f>IF('Master'!U346="","",'Master'!U346)</x:f>
        <x:v>3/5</x:v>
      </x:c>
      <x:c r="U9" s="100" t="str">
        <x:f>IF('Master'!V346="","",'Master'!V346)</x:f>
        <x:v>N/A</x:v>
      </x:c>
      <x:c r="V9" s="100" t="str">
        <x:f>IF('Master'!W346="","",'Master'!W346)</x:f>
        <x:v>3/5</x:v>
      </x:c>
      <x:c r="W9" s="100" t="str">
        <x:f>IF('Master'!X346="","",'Master'!X346)</x:f>
        <x:v>4/5</x:v>
      </x:c>
      <x:c r="X9" s="100" t="str">
        <x:f>IF('Master'!Y346="","",'Master'!Y346)</x:f>
        <x:v>N/A — no self-hosting</x:v>
      </x:c>
      <x:c r="Y9" s="100" t="str">
        <x:f>IF('Master'!Z346="","",'Master'!Z346)</x:f>
        <x:v>4/5</x:v>
      </x:c>
      <x:c r="Z9" s="100" t="str">
        <x:f>IF('Master'!AA346="","",'Master'!AA346)</x:f>
        <x:v>4/5</x:v>
      </x:c>
      <x:c r="AA9" s="104" t="str">
        <x:f>IF('Master'!AB346="","",'Master'!AB346)</x:f>
        <x:v>2/5</x:v>
      </x:c>
      <x:c r="AB9" s="100" t="str">
        <x:f>IF('Master'!AC346="","",'Master'!AC346)</x:f>
        <x:v>2/5 — docker compose</x:v>
      </x:c>
      <x:c r="AC9" s="100" t="str">
        <x:f>IF('Master'!AD346="","",'Master'!AD346)</x:f>
        <x:v>4/5 / evolving</x:v>
      </x:c>
      <x:c r="AD9" s="100" t="str">
        <x:f>IF('Master'!AE346="","",'Master'!AE346)</x:f>
        <x:v>N/A</x:v>
      </x:c>
      <x:c r="AE9" s="100" t="str">
        <x:f>IF('Master'!AF346="","",'Master'!AF346)</x:f>
        <x:v>2/5</x:v>
      </x:c>
      <x:c r="AF9" s="75" t="str">
        <x:f>IF('Master'!AG346="","",'Master'!AG346)</x:f>
        <x:v>3/5</x:v>
      </x:c>
    </x:row>
    <x:row r="10" ht="36" customHeight="1">
      <x:c r="A10" s="135" t="str">
        <x:v>Docker / Container Support</x:v>
      </x:c>
      <x:c r="B10" s="100" t="str">
        <x:f>IF('Master'!C347="","",'Master'!C347)</x:f>
        <x:v>N/A — official self-hosting unsupported</x:v>
      </x:c>
      <x:c r="C10" s="100" t="str">
        <x:f>IF('Master'!D347="","",'Master'!D347)</x:f>
        <x:v>Relay/self-host options</x:v>
      </x:c>
      <x:c r="D10" s="100" t="str">
        <x:f>IF('Master'!E347="","",'Master'!E347)</x:f>
        <x:v>Yes — Docker</x:v>
      </x:c>
      <x:c r="E10" s="100" t="str">
        <x:f>IF('Master'!F347="","",'Master'!F347)</x:f>
        <x:v>No self-hosting verified</x:v>
      </x:c>
      <x:c r="F10" s="100" t="str">
        <x:f>IF('Master'!G347="","",'Master'!G347)</x:f>
        <x:v>No</x:v>
      </x:c>
      <x:c r="G10" s="100" t="str">
        <x:f>IF('Master'!H347="","",'Master'!H347)</x:f>
        <x:v>Yes — self-host tooling/Docker</x:v>
      </x:c>
      <x:c r="H10" s="100" t="str">
        <x:f>IF('Master'!I347="","",'Master'!I347)</x:f>
      </x:c>
      <x:c r="I10" s="100" t="str">
        <x:f>IF('Master'!J347="","",'Master'!J347)</x:f>
      </x:c>
      <x:c r="J10" s="100" t="str">
        <x:f>IF('Master'!K347="","",'Master'!K347)</x:f>
      </x:c>
      <x:c r="K10" s="100" t="str">
        <x:f>IF('Master'!L347="","",'Master'!L347)</x:f>
        <x:v>Yes — Docker Compose</x:v>
      </x:c>
      <x:c r="L10" s="100" t="str">
        <x:f>IF('Master'!M347="","",'Master'!M347)</x:f>
        <x:v>No self-hosting verified</x:v>
      </x:c>
      <x:c r="M10" s="100" t="str">
        <x:f>IF('Master'!N347="","",'Master'!N347)</x:f>
        <x:v>Self-hosting advertised</x:v>
      </x:c>
      <x:c r="N10" s="100" t="str">
        <x:f>IF('Master'!O347="","",'Master'!O347)</x:f>
        <x:v>Yes — implementation-dependent</x:v>
      </x:c>
      <x:c r="O10" s="100" t="str">
        <x:f>IF('Master'!P347="","",'Master'!P347)</x:f>
        <x:v>Yes — container/Kubernetes deployment supported</x:v>
      </x:c>
      <x:c r="P10" s="100" t="str">
        <x:f>IF('Master'!Q347="","",'Master'!Q347)</x:f>
      </x:c>
      <x:c r="Q10" s="100" t="str">
        <x:f>IF('Master'!R347="","",'Master'!R347)</x:f>
        <x:v>Yes — official Docker image available</x:v>
      </x:c>
      <x:c r="R10" s="100" t="str">
        <x:f>IF('Master'!S347="","",'Master'!S347)</x:f>
      </x:c>
      <x:c r="S10" s="100" t="str">
        <x:f>IF('Master'!T347="","",'Master'!T347)</x:f>
        <x:v>No official self-hosting verified</x:v>
      </x:c>
      <x:c r="T10" s="100" t="str">
        <x:f>IF('Master'!U347="","",'Master'!U347)</x:f>
      </x:c>
      <x:c r="U10" s="100" t="str">
        <x:f>IF('Master'!V347="","",'Master'!V347)</x:f>
        <x:v>No</x:v>
      </x:c>
      <x:c r="V10" s="100" t="str">
        <x:f>IF('Master'!W347="","",'Master'!W347)</x:f>
        <x:v>Yes — Docker/Kubernetes supported</x:v>
      </x:c>
      <x:c r="W10" s="100" t="str">
        <x:f>IF('Master'!X347="","",'Master'!X347)</x:f>
      </x:c>
      <x:c r="X10" s="100" t="str">
        <x:f>IF('Master'!Y347="","",'Master'!Y347)</x:f>
        <x:v>No</x:v>
      </x:c>
      <x:c r="Y10" s="100" t="str">
        <x:f>IF('Master'!Z347="","",'Master'!Z347)</x:f>
        <x:v>Yes — Docker supported</x:v>
      </x:c>
      <x:c r="Z10" s="100" t="str">
        <x:f>IF('Master'!AA347="","",'Master'!AA347)</x:f>
        <x:v>Yes — official Docker Compose self-host stack</x:v>
      </x:c>
      <x:c r="AA10" s="104" t="str">
        <x:f>IF('Master'!AB347="","",'Master'!AB347)</x:f>
        <x:v>Yes — TS6 server Docker/self-host guidance</x:v>
      </x:c>
      <x:c r="AB10" s="100" t="str">
        <x:f>IF('Master'!AC347="","",'Master'!AC347)</x:f>
        <x:v>Yes — docker compose</x:v>
      </x:c>
      <x:c r="AC10" s="100" t="str">
        <x:f>IF('Master'!AD347="","",'Master'!AD347)</x:f>
      </x:c>
      <x:c r="AD10" s="100" t="str">
        <x:f>IF('Master'!AE347="","",'Master'!AE347)</x:f>
        <x:v>No self-hosting advertised</x:v>
      </x:c>
      <x:c r="AE10" s="100" t="str">
        <x:f>IF('Master'!AF347="","",'Master'!AF347)</x:f>
      </x:c>
      <x:c r="AF10" s="75" t="str">
        <x:f>IF('Master'!AG347="","",'Master'!AG347)</x:f>
        <x:v>Yes — Docker/community deployment options</x:v>
      </x:c>
    </x:row>
    <x:row r="11" ht="23.100000381469727" customHeight="1">
      <x:c r="A11" s="135" t="str">
        <x:v>Deployment &amp; Network Model</x:v>
      </x:c>
      <x:c r="B11" s="102" t="str">
        <x:f>IF('Master'!C348="","",'Master'!C348)</x:f>
      </x:c>
      <x:c r="C11" s="102" t="str">
        <x:f>IF('Master'!D348="","",'Master'!D348)</x:f>
      </x:c>
      <x:c r="D11" s="102" t="str">
        <x:f>IF('Master'!E348="","",'Master'!E348)</x:f>
      </x:c>
      <x:c r="E11" s="102" t="str">
        <x:f>IF('Master'!F348="","",'Master'!F348)</x:f>
      </x:c>
      <x:c r="F11" s="102" t="str">
        <x:f>IF('Master'!G348="","",'Master'!G348)</x:f>
      </x:c>
      <x:c r="G11" s="102" t="str">
        <x:f>IF('Master'!H348="","",'Master'!H348)</x:f>
      </x:c>
      <x:c r="H11" s="102" t="str">
        <x:f>IF('Master'!I348="","",'Master'!I348)</x:f>
      </x:c>
      <x:c r="I11" s="102" t="str">
        <x:f>IF('Master'!J348="","",'Master'!J348)</x:f>
        <x:v>Hosted option plus self-host; Rust/Axum single binary with PostgreSQL; LiveKit for voice</x:v>
      </x:c>
      <x:c r="J11" s="102" t="str">
        <x:f>IF('Master'!K348="","",'Master'!K348)</x:f>
      </x:c>
      <x:c r="K11" s="102" t="str">
        <x:f>IF('Master'!L348="","",'Master'!L348)</x:f>
        <x:v>FastAPI REST/federation + separate WebSocket Gateway; PostgreSQL durable state; Dragonfly ephemeral/tasks; S3-compatible media; LiveKit media</x:v>
      </x:c>
      <x:c r="L11" s="102" t="str">
        <x:f>IF('Master'!M348="","",'Master'!M348)</x:f>
      </x:c>
      <x:c r="M11" s="102" t="str">
        <x:f>IF('Master'!N348="","",'Master'!N348)</x:f>
      </x:c>
      <x:c r="N11" s="102" t="str">
        <x:f>IF('Master'!O348="","",'Master'!O348)</x:f>
      </x:c>
      <x:c r="O11" s="102" t="str">
        <x:f>IF('Master'!P348="","",'Master'!P348)</x:f>
      </x:c>
      <x:c r="P11" s="102" t="str">
        <x:f>IF('Master'!Q348="","",'Master'!Q348)</x:f>
      </x:c>
      <x:c r="Q11" s="102" t="str">
        <x:f>IF('Master'!R348="","",'Master'!R348)</x:f>
      </x:c>
      <x:c r="R11" s="102" t="str">
        <x:f>IF('Master'!S348="","",'Master'!S348)</x:f>
      </x:c>
      <x:c r="S11" s="102" t="str">
        <x:f>IF('Master'!T348="","",'Master'!T348)</x:f>
      </x:c>
      <x:c r="T11" s="102" t="str">
        <x:f>IF('Master'!U348="","",'Master'!U348)</x:f>
        <x:v>Hosted API on Fly.io (São Paulo), SPA on Cloudflare Pages; small/DM media may be P2P; larger/listed hosted rooms use LiveKit; self-host docs in repo</x:v>
      </x:c>
      <x:c r="U11" s="102" t="str">
        <x:f>IF('Master'!V348="","",'Master'!V348)</x:f>
      </x:c>
      <x:c r="V11" s="102" t="str">
        <x:f>IF('Master'!W348="","",'Master'!W348)</x:f>
      </x:c>
      <x:c r="W11" s="102" t="str">
        <x:f>IF('Master'!X348="","",'Master'!X348)</x:f>
      </x:c>
      <x:c r="X11" s="102" t="str">
        <x:f>IF('Master'!Y348="","",'Master'!Y348)</x:f>
      </x:c>
      <x:c r="Y11" s="102" t="str">
        <x:f>IF('Master'!Z348="","",'Master'!Z348)</x:f>
      </x:c>
      <x:c r="Z11" s="102" t="str">
        <x:f>IF('Master'!AA348="","",'Master'!AA348)</x:f>
      </x:c>
      <x:c r="AA11" s="103" t="str">
        <x:f>IF('Master'!AB348="","",'Master'!AB348)</x:f>
      </x:c>
      <x:c r="AB11" s="102" t="str">
        <x:f>IF('Master'!AC348="","",'Master'!AC348)</x:f>
      </x:c>
      <x:c r="AC11" s="102" t="str">
        <x:f>IF('Master'!AD348="","",'Master'!AD348)</x:f>
      </x:c>
      <x:c r="AD11" s="102" t="str">
        <x:f>IF('Master'!AE348="","",'Master'!AE348)</x:f>
      </x:c>
      <x:c r="AE11" s="102" t="str">
        <x:f>IF('Master'!AF348="","",'Master'!AF348)</x:f>
      </x:c>
      <x:c r="AF11" s="75" t="str">
        <x:f>IF('Master'!AG348="","",'Master'!AG348)</x:f>
      </x:c>
    </x:row>
    <x:row r="12" ht="23.100000381469727" customHeight="1">
      <x:c r="A12" s="135" t="str">
        <x:v>Centralized Hosted Service?</x:v>
      </x:c>
      <x:c r="B12" s="102" t="str">
        <x:f>IF('Master'!C350="","",'Master'!C350)</x:f>
      </x:c>
      <x:c r="C12" s="102" t="str">
        <x:f>IF('Master'!D350="","",'Master'!D350)</x:f>
      </x:c>
      <x:c r="D12" s="102" t="str">
        <x:f>IF('Master'!E350="","",'Master'!E350)</x:f>
      </x:c>
      <x:c r="E12" s="102" t="str">
        <x:f>IF('Master'!F350="","",'Master'!F350)</x:f>
      </x:c>
      <x:c r="F12" s="102" t="str">
        <x:f>IF('Master'!G350="","",'Master'!G350)</x:f>
      </x:c>
      <x:c r="G12" s="102" t="str">
        <x:f>IF('Master'!H350="","",'Master'!H350)</x:f>
      </x:c>
      <x:c r="H12" s="102" t="str">
        <x:f>IF('Master'!I350="","",'Master'!I350)</x:f>
      </x:c>
      <x:c r="I12" s="102" t="str">
        <x:f>IF('Master'!J350="","",'Master'!J350)</x:f>
        <x:v>Yes — optional; self-hosting is also supported</x:v>
      </x:c>
      <x:c r="J12" s="102" t="str">
        <x:f>IF('Master'!K350="","",'Master'!K350)</x:f>
      </x:c>
      <x:c r="K12" s="102" t="str">
        <x:f>IF('Master'!L350="","",'Master'!L350)</x:f>
        <x:v>Yes — kaede.chat</x:v>
      </x:c>
      <x:c r="L12" s="102" t="str">
        <x:f>IF('Master'!M350="","",'Master'!M350)</x:f>
      </x:c>
      <x:c r="M12" s="102" t="str">
        <x:f>IF('Master'!N350="","",'Master'!N350)</x:f>
      </x:c>
      <x:c r="N12" s="102" t="str">
        <x:f>IF('Master'!O350="","",'Master'!O350)</x:f>
      </x:c>
      <x:c r="O12" s="102" t="str">
        <x:f>IF('Master'!P350="","",'Master'!P350)</x:f>
      </x:c>
      <x:c r="P12" s="102" t="str">
        <x:f>IF('Master'!Q350="","",'Master'!Q350)</x:f>
      </x:c>
      <x:c r="Q12" s="102" t="str">
        <x:f>IF('Master'!R350="","",'Master'!R350)</x:f>
      </x:c>
      <x:c r="R12" s="102" t="str">
        <x:f>IF('Master'!S350="","",'Master'!S350)</x:f>
      </x:c>
      <x:c r="S12" s="102" t="str">
        <x:f>IF('Master'!T350="","",'Master'!T350)</x:f>
      </x:c>
      <x:c r="T12" s="102" t="str">
        <x:f>IF('Master'!U350="","",'Master'!U350)</x:f>
        <x:v>Yes — Fly.io API in São Paulo + Cloudflare Pages SPA</x:v>
      </x:c>
      <x:c r="U12" s="102" t="str">
        <x:f>IF('Master'!V350="","",'Master'!V350)</x:f>
      </x:c>
      <x:c r="V12" s="102" t="str">
        <x:f>IF('Master'!W350="","",'Master'!W350)</x:f>
      </x:c>
      <x:c r="W12" s="102" t="str">
        <x:f>IF('Master'!X350="","",'Master'!X350)</x:f>
      </x:c>
      <x:c r="X12" s="102" t="str">
        <x:f>IF('Master'!Y350="","",'Master'!Y350)</x:f>
      </x:c>
      <x:c r="Y12" s="102" t="str">
        <x:f>IF('Master'!Z350="","",'Master'!Z350)</x:f>
      </x:c>
      <x:c r="Z12" s="102" t="str">
        <x:f>IF('Master'!AA350="","",'Master'!AA350)</x:f>
      </x:c>
      <x:c r="AA12" s="103" t="str">
        <x:f>IF('Master'!AB350="","",'Master'!AB350)</x:f>
      </x:c>
      <x:c r="AB12" s="102" t="str">
        <x:f>IF('Master'!AC350="","",'Master'!AC350)</x:f>
      </x:c>
      <x:c r="AC12" s="102" t="str">
        <x:f>IF('Master'!AD350="","",'Master'!AD350)</x:f>
      </x:c>
      <x:c r="AD12" s="102" t="str">
        <x:f>IF('Master'!AE350="","",'Master'!AE350)</x:f>
      </x:c>
      <x:c r="AE12" s="102" t="str">
        <x:f>IF('Master'!AF350="","",'Master'!AF350)</x:f>
      </x:c>
      <x:c r="AF12" s="75" t="str">
        <x:f>IF('Master'!AG350="","",'Master'!AG350)</x:f>
      </x:c>
    </x:row>
    <x:row r="13" ht="36" customHeight="1">
      <x:c r="A13" s="135" t="str">
        <x:v>Self-Hosting Supported?</x:v>
      </x:c>
      <x:c r="B13" s="100" t="str">
        <x:f>IF('Master'!C326="","",'Master'!C326)</x:f>
        <x:v>No</x:v>
      </x:c>
      <x:c r="C13" s="100" t="str">
        <x:f>IF('Master'!D326="","",'Master'!D326)</x:f>
        <x:v>Yes — relays/self-host</x:v>
      </x:c>
      <x:c r="D13" s="100" t="str">
        <x:f>IF('Master'!E326="","",'Master'!E326)</x:f>
        <x:v>Yes</x:v>
      </x:c>
      <x:c r="E13" s="100" t="str">
        <x:f>IF('Master'!F326="","",'Master'!F326)</x:f>
        <x:v>No</x:v>
      </x:c>
      <x:c r="F13" s="100" t="str">
        <x:f>IF('Master'!G326="","",'Master'!G326)</x:f>
        <x:v>No currently</x:v>
      </x:c>
      <x:c r="G13" s="100" t="str">
        <x:f>IF('Master'!H326="","",'Master'!H326)</x:f>
        <x:v>Yes</x:v>
      </x:c>
      <x:c r="H13" s="100" t="str">
        <x:f>IF('Master'!I326="","",'Master'!I326)</x:f>
        <x:v>Yes</x:v>
      </x:c>
      <x:c r="I13" s="100" t="str">
        <x:f>IF('Master'!J326="","",'Master'!J326)</x:f>
        <x:v>Yes</x:v>
      </x:c>
      <x:c r="J13" s="100" t="str">
        <x:f>IF('Master'!K326="","",'Master'!K326)</x:f>
        <x:v>Yes</x:v>
      </x:c>
      <x:c r="K13" s="100" t="str">
        <x:f>IF('Master'!L326="","",'Master'!L326)</x:f>
        <x:v>Yes</x:v>
      </x:c>
      <x:c r="L13" s="100" t="str">
        <x:f>IF('Master'!M326="","",'Master'!M326)</x:f>
        <x:v>No</x:v>
      </x:c>
      <x:c r="M13" s="100" t="str">
        <x:f>IF('Master'!N326="","",'Master'!N326)</x:f>
        <x:v>Yes</x:v>
      </x:c>
      <x:c r="N13" s="100" t="str">
        <x:f>IF('Master'!O326="","",'Master'!O326)</x:f>
        <x:v>Yes</x:v>
      </x:c>
      <x:c r="O13" s="100" t="str">
        <x:f>IF('Master'!P326="","",'Master'!P326)</x:f>
        <x:v>Yes</x:v>
      </x:c>
      <x:c r="P13" s="100" t="str">
        <x:f>IF('Master'!Q326="","",'Master'!Q326)</x:f>
      </x:c>
      <x:c r="Q13" s="100" t="str">
        <x:f>IF('Master'!R326="","",'Master'!R326)</x:f>
        <x:v>Yes</x:v>
      </x:c>
      <x:c r="R13" s="100" t="str">
        <x:f>IF('Master'!S326="","",'Master'!S326)</x:f>
        <x:v>Technically possible but explicitly not intended/supported</x:v>
      </x:c>
      <x:c r="S13" s="100" t="str">
        <x:f>IF('Master'!T326="","",'Master'!T326)</x:f>
        <x:v>No</x:v>
      </x:c>
      <x:c r="T13" s="100" t="str">
        <x:f>IF('Master'!U326="","",'Master'!U326)</x:f>
        <x:v>Yes — AGPL-3.0; docs in repository</x:v>
      </x:c>
      <x:c r="U13" s="100" t="str">
        <x:f>IF('Master'!V326="","",'Master'!V326)</x:f>
        <x:v>No</x:v>
      </x:c>
      <x:c r="V13" s="100" t="str">
        <x:f>IF('Master'!W326="","",'Master'!W326)</x:f>
        <x:v>Yes</x:v>
      </x:c>
      <x:c r="W13" s="100" t="str">
        <x:f>IF('Master'!X326="","",'Master'!X326)</x:f>
        <x:v>Partially via ATProto/PDS model</x:v>
      </x:c>
      <x:c r="X13" s="100" t="str">
        <x:f>IF('Master'!Y326="","",'Master'!Y326)</x:f>
        <x:v>No</x:v>
      </x:c>
      <x:c r="Y13" s="100" t="str">
        <x:f>IF('Master'!Z326="","",'Master'!Z326)</x:f>
        <x:v>Yes</x:v>
      </x:c>
      <x:c r="Z13" s="100" t="str">
        <x:f>IF('Master'!AA326="","",'Master'!AA326)</x:f>
        <x:v>Yes</x:v>
      </x:c>
      <x:c r="AA13" s="104" t="str">
        <x:f>IF('Master'!AB326="","",'Master'!AB326)</x:f>
        <x:v>Yes</x:v>
      </x:c>
      <x:c r="AB13" s="100" t="str">
        <x:f>IF('Master'!AC326="","",'Master'!AC326)</x:f>
        <x:v>Yes</x:v>
      </x:c>
      <x:c r="AC13" s="100" t="str">
        <x:f>IF('Master'!AD326="","",'Master'!AD326)</x:f>
        <x:v>In development</x:v>
      </x:c>
      <x:c r="AD13" s="100" t="str">
        <x:f>IF('Master'!AE326="","",'Master'!AE326)</x:f>
        <x:v>No</x:v>
      </x:c>
      <x:c r="AE13" s="100" t="str">
        <x:f>IF('Master'!AF326="","",'Master'!AF326)</x:f>
        <x:v>Yes</x:v>
      </x:c>
      <x:c r="AF13" s="75" t="str">
        <x:f>IF('Master'!AG326="","",'Master'!AG326)</x:f>
        <x:v>Yes</x:v>
      </x:c>
    </x:row>
    <x:row r="14" ht="36" customHeight="1">
      <x:c r="A14" s="135" t="str">
        <x:v>Federated?</x:v>
      </x:c>
      <x:c r="B14" s="100" t="str">
        <x:f>IF('Master'!C351="","",'Master'!C351)</x:f>
        <x:v>No</x:v>
      </x:c>
      <x:c r="C14" s="100" t="str">
        <x:f>IF('Master'!D351="","",'Master'!D351)</x:f>
        <x:v>Nostr relay interoperability</x:v>
      </x:c>
      <x:c r="D14" s="100" t="str">
        <x:f>IF('Master'!E351="","",'Master'!E351)</x:f>
        <x:v>Yes for messenger/server communication features; full federation evolving</x:v>
      </x:c>
      <x:c r="E14" s="100" t="str">
        <x:f>IF('Master'!F351="","",'Master'!F351)</x:f>
        <x:v>No</x:v>
      </x:c>
      <x:c r="F14" s="100" t="str">
        <x:f>IF('Master'!G351="","",'Master'!G351)</x:f>
        <x:v>No</x:v>
      </x:c>
      <x:c r="G14" s="100" t="str">
        <x:f>IF('Master'!H351="","",'Master'!H351)</x:f>
        <x:v>Not yet — on roadmap</x:v>
      </x:c>
      <x:c r="H14" s="100" t="str">
        <x:f>IF('Master'!I351="","",'Master'!I351)</x:f>
        <x:v>No federation verified</x:v>
      </x:c>
      <x:c r="I14" s="100" t="str">
        <x:f>IF('Master'!J351="","",'Master'!J351)</x:f>
        <x:v>Federation planned</x:v>
      </x:c>
      <x:c r="J14" s="100" t="str">
        <x:f>IF('Master'!K351="","",'Master'!K351)</x:f>
        <x:v>Relay choice but not Matrix-style federated server state</x:v>
      </x:c>
      <x:c r="K14" s="100" t="str">
        <x:f>IF('Master'!L351="","",'Master'!L351)</x:f>
        <x:v>Yes</x:v>
      </x:c>
      <x:c r="L14" s="100" t="str">
        <x:f>IF('Master'!M351="","",'Master'!M351)</x:f>
        <x:v>No</x:v>
      </x:c>
      <x:c r="M14" s="100" t="str">
        <x:f>IF('Master'!N351="","",'Master'!N351)</x:f>
        <x:v>Federation advertised</x:v>
      </x:c>
      <x:c r="N14" s="100" t="str">
        <x:f>IF('Master'!O351="","",'Master'!O351)</x:f>
        <x:v>Yes — core feature</x:v>
      </x:c>
      <x:c r="O14" s="100" t="str">
        <x:f>IF('Master'!P351="","",'Master'!P351)</x:f>
        <x:v>No general federation</x:v>
      </x:c>
      <x:c r="P14" s="100" t="str">
        <x:f>IF('Master'!Q351="","",'Master'!Q351)</x:f>
        <x:v>No federation verified</x:v>
      </x:c>
      <x:c r="Q14" s="100" t="str">
        <x:f>IF('Master'!R351="","",'Master'!R351)</x:f>
        <x:v>No</x:v>
      </x:c>
      <x:c r="R14" s="100" t="str">
        <x:f>IF('Master'!S351="","",'Master'!S351)</x:f>
        <x:v>No</x:v>
      </x:c>
      <x:c r="S14" s="100" t="str">
        <x:f>IF('Master'!T351="","",'Master'!T351)</x:f>
        <x:v>No</x:v>
      </x:c>
      <x:c r="T14" s="100" t="str">
        <x:f>IF('Master'!U351="","",'Master'!U351)</x:f>
        <x:v>No federation</x:v>
      </x:c>
      <x:c r="U14" s="100" t="str">
        <x:f>IF('Master'!V351="","",'Master'!V351)</x:f>
        <x:v>No</x:v>
      </x:c>
      <x:c r="V14" s="100" t="str">
        <x:f>IF('Master'!W351="","",'Master'!W351)</x:f>
        <x:v>Yes — Matrix-based federation feature set, with limitations</x:v>
      </x:c>
      <x:c r="W14" s="100" t="str">
        <x:f>IF('Master'!X351="","",'Master'!X351)</x:f>
        <x:v>ATProto federation ecosystem</x:v>
      </x:c>
      <x:c r="X14" s="100" t="str">
        <x:f>IF('Master'!Y351="","",'Master'!Y351)</x:f>
        <x:v>No</x:v>
      </x:c>
      <x:c r="Y14" s="100" t="str">
        <x:f>IF('Master'!Z351="","",'Master'!Z351)</x:f>
        <x:v>No</x:v>
      </x:c>
      <x:c r="Z14" s="100" t="str">
        <x:f>IF('Master'!AA351="","",'Master'!AA351)</x:f>
        <x:v>No</x:v>
      </x:c>
      <x:c r="AA14" s="104" t="str">
        <x:f>IF('Master'!AB351="","",'Master'!AB351)</x:f>
        <x:v>No</x:v>
      </x:c>
      <x:c r="AB14" s="100" t="str">
        <x:f>IF('Master'!AC351="","",'Master'!AC351)</x:f>
        <x:v>Node/federation model for migrating communities; exact cross-instance federation scope evolving</x:v>
      </x:c>
      <x:c r="AC14" s="100" t="str">
        <x:f>IF('Master'!AD351="","",'Master'!AD351)</x:f>
        <x:v>Planned/in development</x:v>
      </x:c>
      <x:c r="AD14" s="100" t="str">
        <x:f>IF('Master'!AE351="","",'Master'!AE351)</x:f>
        <x:v>No</x:v>
      </x:c>
      <x:c r="AE14" s="100" t="str">
        <x:f>IF('Master'!AF351="","",'Master'!AF351)</x:f>
        <x:v>No</x:v>
      </x:c>
      <x:c r="AF14" s="75" t="str">
        <x:f>IF('Master'!AG351="","",'Master'!AG351)</x:f>
        <x:v>No</x:v>
      </x:c>
    </x:row>
    <x:row r="15" ht="36" customHeight="1">
      <x:c r="A15" s="135" t="str">
        <x:v>Peer-to-Peer?</x:v>
      </x:c>
      <x:c r="B15" s="100" t="str">
        <x:f>IF('Master'!C352="","",'Master'!C352)</x:f>
      </x:c>
      <x:c r="C15" s="100" t="str">
        <x:f>IF('Master'!D352="","",'Master'!D352)</x:f>
        <x:v>Yes</x:v>
      </x:c>
      <x:c r="D15" s="100" t="str">
        <x:f>IF('Master'!E352="","",'Master'!E352)</x:f>
      </x:c>
      <x:c r="E15" s="100" t="str">
        <x:f>IF('Master'!F352="","",'Master'!F352)</x:f>
      </x:c>
      <x:c r="F15" s="100" t="str">
        <x:f>IF('Master'!G352="","",'Master'!G352)</x:f>
      </x:c>
      <x:c r="G15" s="100" t="str">
        <x:f>IF('Master'!H352="","",'Master'!H352)</x:f>
      </x:c>
      <x:c r="H15" s="100" t="str">
        <x:f>IF('Master'!I352="","",'Master'!I352)</x:f>
      </x:c>
      <x:c r="I15" s="100" t="str">
        <x:f>IF('Master'!J352="","",'Master'!J352)</x:f>
      </x:c>
      <x:c r="J15" s="100" t="str">
        <x:f>IF('Master'!K352="","",'Master'!K352)</x:f>
        <x:v>Yes</x:v>
      </x:c>
      <x:c r="K15" s="100" t="str">
        <x:f>IF('Master'!L352="","",'Master'!L352)</x:f>
      </x:c>
      <x:c r="L15" s="100" t="str">
        <x:f>IF('Master'!M352="","",'Master'!M352)</x:f>
      </x:c>
      <x:c r="M15" s="100" t="str">
        <x:f>IF('Master'!N352="","",'Master'!N352)</x:f>
      </x:c>
      <x:c r="N15" s="100" t="str">
        <x:f>IF('Master'!O352="","",'Master'!O352)</x:f>
      </x:c>
      <x:c r="O15" s="100" t="str">
        <x:f>IF('Master'!P352="","",'Master'!P352)</x:f>
      </x:c>
      <x:c r="P15" s="100" t="str">
        <x:f>IF('Master'!Q352="","",'Master'!Q352)</x:f>
      </x:c>
      <x:c r="Q15" s="100" t="str">
        <x:f>IF('Master'!R352="","",'Master'!R352)</x:f>
      </x:c>
      <x:c r="R15" s="100" t="str">
        <x:f>IF('Master'!S352="","",'Master'!S352)</x:f>
      </x:c>
      <x:c r="S15" s="100" t="str">
        <x:f>IF('Master'!T352="","",'Master'!T352)</x:f>
      </x:c>
      <x:c r="T15" s="100" t="str">
        <x:f>IF('Master'!U352="","",'Master'!U352)</x:f>
        <x:v>Media only for small rooms and DM calls; hosted application remains centralized</x:v>
      </x:c>
      <x:c r="U15" s="100" t="str">
        <x:f>IF('Master'!V352="","",'Master'!V352)</x:f>
        <x:v>N/A</x:v>
      </x:c>
      <x:c r="V15" s="100" t="str">
        <x:f>IF('Master'!W352="","",'Master'!W352)</x:f>
      </x:c>
      <x:c r="W15" s="100" t="str">
        <x:f>IF('Master'!X352="","",'Master'!X352)</x:f>
      </x:c>
      <x:c r="X15" s="100" t="str">
        <x:f>IF('Master'!Y352="","",'Master'!Y352)</x:f>
      </x:c>
      <x:c r="Y15" s="100" t="str">
        <x:f>IF('Master'!Z352="","",'Master'!Z352)</x:f>
      </x:c>
      <x:c r="Z15" s="100" t="str">
        <x:f>IF('Master'!AA352="","",'Master'!AA352)</x:f>
      </x:c>
      <x:c r="AA15" s="104" t="str">
        <x:f>IF('Master'!AB352="","",'Master'!AB352)</x:f>
      </x:c>
      <x:c r="AB15" s="100" t="str">
        <x:f>IF('Master'!AC352="","",'Master'!AC352)</x:f>
      </x:c>
      <x:c r="AC15" s="100" t="str">
        <x:f>IF('Master'!AD352="","",'Master'!AD352)</x:f>
      </x:c>
      <x:c r="AD15" s="100" t="str">
        <x:f>IF('Master'!AE352="","",'Master'!AE352)</x:f>
      </x:c>
      <x:c r="AE15" s="100" t="str">
        <x:f>IF('Master'!AF352="","",'Master'!AF352)</x:f>
      </x:c>
      <x:c r="AF15" s="75" t="str">
        <x:f>IF('Master'!AG352="","",'Master'!AG352)</x:f>
      </x:c>
    </x:row>
    <x:row r="16" ht="36" customHeight="1">
      <x:c r="A16" s="135" t="str">
        <x:v>Public Protocol Specification?</x:v>
      </x:c>
      <x:c r="B16" s="100" t="str">
        <x:f>IF('Master'!C356="","",'Master'!C356)</x:f>
        <x:v>Proprietary public developer APIs, not an open protocol</x:v>
      </x:c>
      <x:c r="C16" s="100" t="str">
        <x:f>IF('Master'!D356="","",'Master'!D356)</x:f>
        <x:v>Nostr + Concord/NIP-29</x:v>
      </x:c>
      <x:c r="D16" s="100" t="str">
        <x:f>IF('Master'!E356="","",'Master'!E356)</x:f>
        <x:v>Custom protocol</x:v>
      </x:c>
      <x:c r="E16" s="100" t="str">
        <x:f>IF('Master'!F356="","",'Master'!F356)</x:f>
        <x:v>Proprietary</x:v>
      </x:c>
      <x:c r="F16" s="100" t="str">
        <x:f>IF('Master'!G356="","",'Master'!G356)</x:f>
        <x:v>No open interoperability standard</x:v>
      </x:c>
      <x:c r="G16" s="100" t="str">
        <x:f>IF('Master'!H356="","",'Master'!H356)</x:f>
        <x:v>Public API/Gateway inspired by Discord; not a federation standard</x:v>
      </x:c>
      <x:c r="H16" s="100" t="str">
        <x:f>IF('Master'!I356="","",'Master'!I356)</x:f>
        <x:v>Proprietary API/service</x:v>
      </x:c>
      <x:c r="I16" s="100" t="str">
        <x:f>IF('Master'!J356="","",'Master'!J356)</x:f>
        <x:v>Discord-compatible API</x:v>
      </x:c>
      <x:c r="J16" s="100" t="str">
        <x:f>IF('Master'!K356="","",'Master'!K356)</x:f>
        <x:v>Custom open protocol/code</x:v>
      </x:c>
      <x:c r="K16" s="100" t="str">
        <x:f>IF('Master'!L356="","",'Master'!L356)</x:f>
        <x:v>Yes — kaede-fed/1 is publicly documented; project-specific protocol, not an external standard</x:v>
      </x:c>
      <x:c r="L16" s="100" t="str">
        <x:f>IF('Master'!M356="","",'Master'!M356)</x:f>
        <x:v>Proprietary</x:v>
      </x:c>
      <x:c r="M16" s="100" t="str">
        <x:f>IF('Master'!N356="","",'Master'!N356)</x:f>
        <x:v>Discord-compatible API + federation work</x:v>
      </x:c>
      <x:c r="N16" s="100" t="str">
        <x:f>IF('Master'!O356="","",'Master'!O356)</x:f>
        <x:v>Open Matrix specification: Client-Server + Server-Server/Federation APIs</x:v>
      </x:c>
      <x:c r="O16" s="100" t="str">
        <x:f>IF('Master'!P356="","",'Master'!P356)</x:f>
        <x:v>Open APIs, not a general federation standard</x:v>
      </x:c>
      <x:c r="P16" s="100" t="str">
        <x:f>IF('Master'!Q356="","",'Master'!Q356)</x:f>
        <x:v>Custom APIs</x:v>
      </x:c>
      <x:c r="Q16" s="100" t="str">
        <x:f>IF('Master'!R356="","",'Master'!R356)</x:f>
        <x:v>Open Mumble protocol/source</x:v>
      </x:c>
      <x:c r="R16" s="100" t="str">
        <x:f>IF('Master'!S356="","",'Master'!S356)</x:f>
        <x:v>Public app/API code, not a federation standard</x:v>
      </x:c>
      <x:c r="S16" s="100" t="str">
        <x:f>IF('Master'!T356="","",'Master'!T356)</x:f>
        <x:v>Proprietary service APIs</x:v>
      </x:c>
      <x:c r="T16" s="100" t="str">
        <x:f>IF('Master'!U356="","",'Master'!U356)</x:f>
        <x:v>Application API/webhooks</x:v>
      </x:c>
      <x:c r="U16" s="100" t="str">
        <x:f>IF('Master'!V356="","",'Master'!V356)</x:f>
        <x:v>Proprietary</x:v>
      </x:c>
      <x:c r="V16" s="100" t="str">
        <x:f>IF('Master'!W356="","",'Master'!W356)</x:f>
        <x:v>REST/realtime APIs + federation components</x:v>
      </x:c>
      <x:c r="W16" s="100" t="str">
        <x:f>IF('Master'!X356="","",'Master'!X356)</x:f>
        <x:v>AT Protocol</x:v>
      </x:c>
      <x:c r="X16" s="100" t="str">
        <x:f>IF('Master'!Y356="","",'Master'!Y356)</x:f>
        <x:v>Proprietary Root APIs/SDK</x:v>
      </x:c>
      <x:c r="Y16" s="100" t="str">
        <x:f>IF('Master'!Z356="","",'Master'!Z356)</x:f>
        <x:v>Discord-compatible REST/Gateway reimplementation</x:v>
      </x:c>
      <x:c r="Z16" s="100" t="str">
        <x:f>IF('Master'!AA356="","",'Master'!AA356)</x:f>
        <x:v>Public REST/WebSocket API, but not a federation standard</x:v>
      </x:c>
      <x:c r="AA16" s="104" t="str">
        <x:f>IF('Master'!AB356="","",'Master'!AB356)</x:f>
        <x:v>Proprietary protocol/API</x:v>
      </x:c>
      <x:c r="AB16" s="100" t="str">
        <x:f>IF('Master'!AC356="","",'Master'!AC356)</x:f>
        <x:v>Valour API/node protocol</x:v>
      </x:c>
      <x:c r="AC16" s="100" t="str">
        <x:f>IF('Master'!AD356="","",'Master'!AD356)</x:f>
        <x:v>Custom open-source federation protocol</x:v>
      </x:c>
      <x:c r="AD16" s="100" t="str">
        <x:f>IF('Master'!AE356="","",'Master'!AE356)</x:f>
        <x:v>Proprietary/application API</x:v>
      </x:c>
      <x:c r="AE16" s="100" t="str">
        <x:f>IF('Master'!AF356="","",'Master'!AF356)</x:f>
      </x:c>
      <x:c r="AF16" s="75" t="str">
        <x:f>IF('Master'!AG356="","",'Master'!AG356)</x:f>
        <x:v>Open REST/realtime APIs</x:v>
      </x:c>
    </x:row>
    <x:row r="17" ht="36" customHeight="1">
      <x:c r="A17" s="135" t="str">
        <x:v>Official Docker Image?</x:v>
      </x:c>
      <x:c r="B17" s="100" t="str">
        <x:f>IF('Master'!C365="","",'Master'!C365)</x:f>
        <x:v>No</x:v>
      </x:c>
      <x:c r="C17" s="100" t="str">
        <x:f>IF('Master'!D365="","",'Master'!D365)</x:f>
      </x:c>
      <x:c r="D17" s="100" t="str">
        <x:f>IF('Master'!E365="","",'Master'!E365)</x:f>
      </x:c>
      <x:c r="E17" s="100" t="str">
        <x:f>IF('Master'!F365="","",'Master'!F365)</x:f>
      </x:c>
      <x:c r="F17" s="100" t="str">
        <x:f>IF('Master'!G365="","",'Master'!G365)</x:f>
      </x:c>
      <x:c r="G17" s="100" t="str">
        <x:f>IF('Master'!H365="","",'Master'!H365)</x:f>
      </x:c>
      <x:c r="H17" s="100" t="str">
        <x:f>IF('Master'!I365="","",'Master'!I365)</x:f>
      </x:c>
      <x:c r="I17" s="100" t="str">
        <x:f>IF('Master'!J365="","",'Master'!J365)</x:f>
      </x:c>
      <x:c r="J17" s="100" t="str">
        <x:f>IF('Master'!K365="","",'Master'!K365)</x:f>
      </x:c>
      <x:c r="K17" s="100" t="str">
        <x:f>IF('Master'!L365="","",'Master'!L365)</x:f>
        <x:v>No registry image documented; production Compose builds Kaede from the checkout</x:v>
      </x:c>
      <x:c r="L17" s="100" t="str">
        <x:f>IF('Master'!M365="","",'Master'!M365)</x:f>
      </x:c>
      <x:c r="M17" s="100" t="str">
        <x:f>IF('Master'!N365="","",'Master'!N365)</x:f>
      </x:c>
      <x:c r="N17" s="100" t="str">
        <x:f>IF('Master'!O365="","",'Master'!O365)</x:f>
      </x:c>
      <x:c r="O17" s="100" t="str">
        <x:f>IF('Master'!P365="","",'Master'!P365)</x:f>
        <x:v>Yes</x:v>
      </x:c>
      <x:c r="P17" s="100" t="str">
        <x:f>IF('Master'!Q365="","",'Master'!Q365)</x:f>
      </x:c>
      <x:c r="Q17" s="100" t="str">
        <x:f>IF('Master'!R365="","",'Master'!R365)</x:f>
        <x:v>Yes</x:v>
      </x:c>
      <x:c r="R17" s="100" t="str">
        <x:f>IF('Master'!S365="","",'Master'!S365)</x:f>
      </x:c>
      <x:c r="S17" s="100" t="str">
        <x:f>IF('Master'!T365="","",'Master'!T365)</x:f>
      </x:c>
      <x:c r="T17" s="100" t="str">
        <x:f>IF('Master'!U365="","",'Master'!U365)</x:f>
      </x:c>
      <x:c r="U17" s="100" t="str">
        <x:f>IF('Master'!V365="","",'Master'!V365)</x:f>
        <x:v>N/A</x:v>
      </x:c>
      <x:c r="V17" s="100" t="str">
        <x:f>IF('Master'!W365="","",'Master'!W365)</x:f>
        <x:v>Yes</x:v>
      </x:c>
      <x:c r="W17" s="100" t="str">
        <x:f>IF('Master'!X365="","",'Master'!X365)</x:f>
      </x:c>
      <x:c r="X17" s="100" t="str">
        <x:f>IF('Master'!Y365="","",'Master'!Y365)</x:f>
      </x:c>
      <x:c r="Y17" s="100" t="str">
        <x:f>IF('Master'!Z365="","",'Master'!Z365)</x:f>
      </x:c>
      <x:c r="Z17" s="100" t="str">
        <x:f>IF('Master'!AA365="","",'Master'!AA365)</x:f>
      </x:c>
      <x:c r="AA17" s="104" t="str">
        <x:f>IF('Master'!AB365="","",'Master'!AB365)</x:f>
        <x:v>Yes</x:v>
      </x:c>
      <x:c r="AB17" s="100" t="str">
        <x:f>IF('Master'!AC365="","",'Master'!AC365)</x:f>
      </x:c>
      <x:c r="AC17" s="100" t="str">
        <x:f>IF('Master'!AD365="","",'Master'!AD365)</x:f>
      </x:c>
      <x:c r="AD17" s="100" t="str">
        <x:f>IF('Master'!AE365="","",'Master'!AE365)</x:f>
      </x:c>
      <x:c r="AE17" s="100" t="str">
        <x:f>IF('Master'!AF365="","",'Master'!AF365)</x:f>
      </x:c>
      <x:c r="AF17" s="75" t="str">
        <x:f>IF('Master'!AG365="","",'Master'!AG365)</x:f>
      </x:c>
    </x:row>
  </x:sheetData>
  <x:mergeCells>
    <x:mergeCell ref="A1:AF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Directory'!A1","Architecture, Federation &amp; Deployment — Granular"),"Architecture, Federation &amp; Deployment — Granular")</x:f>
        <x:v>Architecture, Federation &amp; Deployment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3.100000381469727" customHeight="1">
      <x:c r="A3" s="135" t="str">
        <x:v>Topology</x:v>
      </x:c>
      <x:c r="B3" s="102" t="str">
        <x:f>IF('Master'!C349="","",'Master'!C349)</x:f>
      </x:c>
      <x:c r="C3" s="102" t="str">
        <x:f>IF('Master'!D349="","",'Master'!D349)</x:f>
      </x:c>
      <x:c r="D3" s="102" t="str">
        <x:f>IF('Master'!E349="","",'Master'!E349)</x:f>
      </x:c>
      <x:c r="E3" s="102" t="str">
        <x:f>IF('Master'!F349="","",'Master'!F349)</x:f>
      </x:c>
      <x:c r="F3" s="102" t="str">
        <x:f>IF('Master'!G349="","",'Master'!G349)</x:f>
      </x:c>
      <x:c r="G3" s="102" t="str">
        <x:f>IF('Master'!H349="","",'Master'!H349)</x:f>
      </x:c>
      <x:c r="H3" s="102" t="str">
        <x:f>IF('Master'!I349="","",'Master'!I349)</x:f>
      </x:c>
      <x:c r="I3" s="102" t="str">
        <x:f>IF('Master'!J349="","",'Master'!J349)</x:f>
      </x:c>
      <x:c r="J3" s="102" t="str">
        <x:f>IF('Master'!K349="","",'Master'!K349)</x:f>
      </x:c>
      <x:c r="K3" s="102" t="str">
        <x:f>IF('Master'!L349="","",'Master'!L349)</x:f>
        <x:v>Federated + self-hosted; official kaede.chat home instance also exists</x:v>
      </x:c>
      <x:c r="L3" s="102" t="str">
        <x:f>IF('Master'!M349="","",'Master'!M349)</x:f>
      </x:c>
      <x:c r="M3" s="102" t="str">
        <x:f>IF('Master'!N349="","",'Master'!N349)</x:f>
      </x:c>
      <x:c r="N3" s="102" t="str">
        <x:f>IF('Master'!O349="","",'Master'!O349)</x:f>
      </x:c>
      <x:c r="O3" s="102" t="str">
        <x:f>IF('Master'!P349="","",'Master'!P349)</x:f>
      </x:c>
      <x:c r="P3" s="102" t="str">
        <x:f>IF('Master'!Q349="","",'Master'!Q349)</x:f>
      </x:c>
      <x:c r="Q3" s="102" t="str">
        <x:f>IF('Master'!R349="","",'Master'!R349)</x:f>
      </x:c>
      <x:c r="R3" s="102" t="str">
        <x:f>IF('Master'!S349="","",'Master'!S349)</x:f>
      </x:c>
      <x:c r="S3" s="102" t="str">
        <x:f>IF('Master'!T349="","",'Master'!T349)</x:f>
      </x:c>
      <x:c r="T3" s="102" t="str">
        <x:f>IF('Master'!U349="","",'Master'!U349)</x:f>
      </x:c>
      <x:c r="U3" s="102" t="str">
        <x:f>IF('Master'!V349="","",'Master'!V349)</x:f>
      </x:c>
      <x:c r="V3" s="102" t="str">
        <x:f>IF('Master'!W349="","",'Master'!W349)</x:f>
      </x:c>
      <x:c r="W3" s="102" t="str">
        <x:f>IF('Master'!X349="","",'Master'!X349)</x:f>
      </x:c>
      <x:c r="X3" s="102" t="str">
        <x:f>IF('Master'!Y349="","",'Master'!Y349)</x:f>
      </x:c>
      <x:c r="Y3" s="102" t="str">
        <x:f>IF('Master'!Z349="","",'Master'!Z349)</x:f>
      </x:c>
      <x:c r="Z3" s="102" t="str">
        <x:f>IF('Master'!AA349="","",'Master'!AA349)</x:f>
      </x:c>
      <x:c r="AA3" s="103" t="str">
        <x:f>IF('Master'!AB349="","",'Master'!AB349)</x:f>
      </x:c>
      <x:c r="AB3" s="102" t="str">
        <x:f>IF('Master'!AC349="","",'Master'!AC349)</x:f>
      </x:c>
      <x:c r="AC3" s="102" t="str">
        <x:f>IF('Master'!AD349="","",'Master'!AD349)</x:f>
      </x:c>
      <x:c r="AD3" s="102" t="str">
        <x:f>IF('Master'!AE349="","",'Master'!AE349)</x:f>
      </x:c>
      <x:c r="AE3" s="102" t="str">
        <x:f>IF('Master'!AF349="","",'Master'!AF349)</x:f>
      </x:c>
      <x:c r="AF3" s="75" t="str">
        <x:f>IF('Master'!AG349="","",'Master'!AG349)</x:f>
      </x:c>
    </x:row>
    <x:row r="4" ht="23.100000381469727" customHeight="1">
      <x:c r="A4" s="135" t="str">
        <x:v>Centralized Hosted Service?</x:v>
      </x:c>
      <x:c r="B4" s="102" t="str">
        <x:f>IF('Master'!C350="","",'Master'!C350)</x:f>
      </x:c>
      <x:c r="C4" s="102" t="str">
        <x:f>IF('Master'!D350="","",'Master'!D350)</x:f>
      </x:c>
      <x:c r="D4" s="102" t="str">
        <x:f>IF('Master'!E350="","",'Master'!E350)</x:f>
      </x:c>
      <x:c r="E4" s="102" t="str">
        <x:f>IF('Master'!F350="","",'Master'!F350)</x:f>
      </x:c>
      <x:c r="F4" s="102" t="str">
        <x:f>IF('Master'!G350="","",'Master'!G350)</x:f>
      </x:c>
      <x:c r="G4" s="102" t="str">
        <x:f>IF('Master'!H350="","",'Master'!H350)</x:f>
      </x:c>
      <x:c r="H4" s="102" t="str">
        <x:f>IF('Master'!I350="","",'Master'!I350)</x:f>
      </x:c>
      <x:c r="I4" s="102" t="str">
        <x:f>IF('Master'!J350="","",'Master'!J350)</x:f>
        <x:v>Yes — optional; self-hosting is also supported</x:v>
      </x:c>
      <x:c r="J4" s="102" t="str">
        <x:f>IF('Master'!K350="","",'Master'!K350)</x:f>
      </x:c>
      <x:c r="K4" s="102" t="str">
        <x:f>IF('Master'!L350="","",'Master'!L350)</x:f>
        <x:v>Yes — kaede.chat</x:v>
      </x:c>
      <x:c r="L4" s="102" t="str">
        <x:f>IF('Master'!M350="","",'Master'!M350)</x:f>
      </x:c>
      <x:c r="M4" s="102" t="str">
        <x:f>IF('Master'!N350="","",'Master'!N350)</x:f>
      </x:c>
      <x:c r="N4" s="102" t="str">
        <x:f>IF('Master'!O350="","",'Master'!O350)</x:f>
      </x:c>
      <x:c r="O4" s="102" t="str">
        <x:f>IF('Master'!P350="","",'Master'!P350)</x:f>
      </x:c>
      <x:c r="P4" s="102" t="str">
        <x:f>IF('Master'!Q350="","",'Master'!Q350)</x:f>
      </x:c>
      <x:c r="Q4" s="102" t="str">
        <x:f>IF('Master'!R350="","",'Master'!R350)</x:f>
      </x:c>
      <x:c r="R4" s="102" t="str">
        <x:f>IF('Master'!S350="","",'Master'!S350)</x:f>
      </x:c>
      <x:c r="S4" s="102" t="str">
        <x:f>IF('Master'!T350="","",'Master'!T350)</x:f>
      </x:c>
      <x:c r="T4" s="102" t="str">
        <x:f>IF('Master'!U350="","",'Master'!U350)</x:f>
        <x:v>Yes — Fly.io API in São Paulo + Cloudflare Pages SPA</x:v>
      </x:c>
      <x:c r="U4" s="102" t="str">
        <x:f>IF('Master'!V350="","",'Master'!V350)</x:f>
      </x:c>
      <x:c r="V4" s="102" t="str">
        <x:f>IF('Master'!W350="","",'Master'!W350)</x:f>
      </x:c>
      <x:c r="W4" s="102" t="str">
        <x:f>IF('Master'!X350="","",'Master'!X350)</x:f>
      </x:c>
      <x:c r="X4" s="102" t="str">
        <x:f>IF('Master'!Y350="","",'Master'!Y350)</x:f>
      </x:c>
      <x:c r="Y4" s="102" t="str">
        <x:f>IF('Master'!Z350="","",'Master'!Z350)</x:f>
      </x:c>
      <x:c r="Z4" s="102" t="str">
        <x:f>IF('Master'!AA350="","",'Master'!AA350)</x:f>
      </x:c>
      <x:c r="AA4" s="103" t="str">
        <x:f>IF('Master'!AB350="","",'Master'!AB350)</x:f>
      </x:c>
      <x:c r="AB4" s="102" t="str">
        <x:f>IF('Master'!AC350="","",'Master'!AC350)</x:f>
      </x:c>
      <x:c r="AC4" s="102" t="str">
        <x:f>IF('Master'!AD350="","",'Master'!AD350)</x:f>
      </x:c>
      <x:c r="AD4" s="102" t="str">
        <x:f>IF('Master'!AE350="","",'Master'!AE350)</x:f>
      </x:c>
      <x:c r="AE4" s="102" t="str">
        <x:f>IF('Master'!AF350="","",'Master'!AF350)</x:f>
      </x:c>
      <x:c r="AF4" s="75" t="str">
        <x:f>IF('Master'!AG350="","",'Master'!AG350)</x:f>
      </x:c>
    </x:row>
    <x:row r="5" ht="36" customHeight="1">
      <x:c r="A5" s="135" t="str">
        <x:v>Self-Hosting Supported?</x:v>
      </x:c>
      <x:c r="B5" s="100" t="str">
        <x:f>IF('Master'!C326="","",'Master'!C326)</x:f>
        <x:v>No</x:v>
      </x:c>
      <x:c r="C5" s="100" t="str">
        <x:f>IF('Master'!D326="","",'Master'!D326)</x:f>
        <x:v>Yes — relays/self-host</x:v>
      </x:c>
      <x:c r="D5" s="100" t="str">
        <x:f>IF('Master'!E326="","",'Master'!E326)</x:f>
        <x:v>Yes</x:v>
      </x:c>
      <x:c r="E5" s="100" t="str">
        <x:f>IF('Master'!F326="","",'Master'!F326)</x:f>
        <x:v>No</x:v>
      </x:c>
      <x:c r="F5" s="100" t="str">
        <x:f>IF('Master'!G326="","",'Master'!G326)</x:f>
        <x:v>No currently</x:v>
      </x:c>
      <x:c r="G5" s="100" t="str">
        <x:f>IF('Master'!H326="","",'Master'!H326)</x:f>
        <x:v>Yes</x:v>
      </x:c>
      <x:c r="H5" s="100" t="str">
        <x:f>IF('Master'!I326="","",'Master'!I326)</x:f>
        <x:v>Yes</x:v>
      </x:c>
      <x:c r="I5" s="100" t="str">
        <x:f>IF('Master'!J326="","",'Master'!J326)</x:f>
        <x:v>Yes</x:v>
      </x:c>
      <x:c r="J5" s="100" t="str">
        <x:f>IF('Master'!K326="","",'Master'!K326)</x:f>
        <x:v>Yes</x:v>
      </x:c>
      <x:c r="K5" s="100" t="str">
        <x:f>IF('Master'!L326="","",'Master'!L326)</x:f>
        <x:v>Yes</x:v>
      </x:c>
      <x:c r="L5" s="100" t="str">
        <x:f>IF('Master'!M326="","",'Master'!M326)</x:f>
        <x:v>No</x:v>
      </x:c>
      <x:c r="M5" s="100" t="str">
        <x:f>IF('Master'!N326="","",'Master'!N326)</x:f>
        <x:v>Yes</x:v>
      </x:c>
      <x:c r="N5" s="100" t="str">
        <x:f>IF('Master'!O326="","",'Master'!O326)</x:f>
        <x:v>Yes</x:v>
      </x:c>
      <x:c r="O5" s="100" t="str">
        <x:f>IF('Master'!P326="","",'Master'!P326)</x:f>
        <x:v>Yes</x:v>
      </x:c>
      <x:c r="P5" s="100" t="str">
        <x:f>IF('Master'!Q326="","",'Master'!Q326)</x:f>
      </x:c>
      <x:c r="Q5" s="100" t="str">
        <x:f>IF('Master'!R326="","",'Master'!R326)</x:f>
        <x:v>Yes</x:v>
      </x:c>
      <x:c r="R5" s="100" t="str">
        <x:f>IF('Master'!S326="","",'Master'!S326)</x:f>
        <x:v>Technically possible but explicitly not intended/supported</x:v>
      </x:c>
      <x:c r="S5" s="100" t="str">
        <x:f>IF('Master'!T326="","",'Master'!T326)</x:f>
        <x:v>No</x:v>
      </x:c>
      <x:c r="T5" s="100" t="str">
        <x:f>IF('Master'!U326="","",'Master'!U326)</x:f>
        <x:v>Yes — AGPL-3.0; docs in repository</x:v>
      </x:c>
      <x:c r="U5" s="100" t="str">
        <x:f>IF('Master'!V326="","",'Master'!V326)</x:f>
        <x:v>No</x:v>
      </x:c>
      <x:c r="V5" s="100" t="str">
        <x:f>IF('Master'!W326="","",'Master'!W326)</x:f>
        <x:v>Yes</x:v>
      </x:c>
      <x:c r="W5" s="100" t="str">
        <x:f>IF('Master'!X326="","",'Master'!X326)</x:f>
        <x:v>Partially via ATProto/PDS model</x:v>
      </x:c>
      <x:c r="X5" s="100" t="str">
        <x:f>IF('Master'!Y326="","",'Master'!Y326)</x:f>
        <x:v>No</x:v>
      </x:c>
      <x:c r="Y5" s="100" t="str">
        <x:f>IF('Master'!Z326="","",'Master'!Z326)</x:f>
        <x:v>Yes</x:v>
      </x:c>
      <x:c r="Z5" s="100" t="str">
        <x:f>IF('Master'!AA326="","",'Master'!AA326)</x:f>
        <x:v>Yes</x:v>
      </x:c>
      <x:c r="AA5" s="104" t="str">
        <x:f>IF('Master'!AB326="","",'Master'!AB326)</x:f>
        <x:v>Yes</x:v>
      </x:c>
      <x:c r="AB5" s="100" t="str">
        <x:f>IF('Master'!AC326="","",'Master'!AC326)</x:f>
        <x:v>Yes</x:v>
      </x:c>
      <x:c r="AC5" s="100" t="str">
        <x:f>IF('Master'!AD326="","",'Master'!AD326)</x:f>
        <x:v>In development</x:v>
      </x:c>
      <x:c r="AD5" s="100" t="str">
        <x:f>IF('Master'!AE326="","",'Master'!AE326)</x:f>
        <x:v>No</x:v>
      </x:c>
      <x:c r="AE5" s="100" t="str">
        <x:f>IF('Master'!AF326="","",'Master'!AF326)</x:f>
        <x:v>Yes</x:v>
      </x:c>
      <x:c r="AF5" s="75" t="str">
        <x:f>IF('Master'!AG326="","",'Master'!AG326)</x:f>
        <x:v>Yes</x:v>
      </x:c>
    </x:row>
    <x:row r="6" ht="36" customHeight="1">
      <x:c r="A6" s="135" t="str">
        <x:v>Federated?</x:v>
      </x:c>
      <x:c r="B6" s="100" t="str">
        <x:f>IF('Master'!C351="","",'Master'!C351)</x:f>
        <x:v>No</x:v>
      </x:c>
      <x:c r="C6" s="100" t="str">
        <x:f>IF('Master'!D351="","",'Master'!D351)</x:f>
        <x:v>Nostr relay interoperability</x:v>
      </x:c>
      <x:c r="D6" s="100" t="str">
        <x:f>IF('Master'!E351="","",'Master'!E351)</x:f>
        <x:v>Yes for messenger/server communication features; full federation evolving</x:v>
      </x:c>
      <x:c r="E6" s="100" t="str">
        <x:f>IF('Master'!F351="","",'Master'!F351)</x:f>
        <x:v>No</x:v>
      </x:c>
      <x:c r="F6" s="100" t="str">
        <x:f>IF('Master'!G351="","",'Master'!G351)</x:f>
        <x:v>No</x:v>
      </x:c>
      <x:c r="G6" s="100" t="str">
        <x:f>IF('Master'!H351="","",'Master'!H351)</x:f>
        <x:v>Not yet — on roadmap</x:v>
      </x:c>
      <x:c r="H6" s="100" t="str">
        <x:f>IF('Master'!I351="","",'Master'!I351)</x:f>
        <x:v>No federation verified</x:v>
      </x:c>
      <x:c r="I6" s="100" t="str">
        <x:f>IF('Master'!J351="","",'Master'!J351)</x:f>
        <x:v>Federation planned</x:v>
      </x:c>
      <x:c r="J6" s="100" t="str">
        <x:f>IF('Master'!K351="","",'Master'!K351)</x:f>
        <x:v>Relay choice but not Matrix-style federated server state</x:v>
      </x:c>
      <x:c r="K6" s="100" t="str">
        <x:f>IF('Master'!L351="","",'Master'!L351)</x:f>
        <x:v>Yes</x:v>
      </x:c>
      <x:c r="L6" s="100" t="str">
        <x:f>IF('Master'!M351="","",'Master'!M351)</x:f>
        <x:v>No</x:v>
      </x:c>
      <x:c r="M6" s="100" t="str">
        <x:f>IF('Master'!N351="","",'Master'!N351)</x:f>
        <x:v>Federation advertised</x:v>
      </x:c>
      <x:c r="N6" s="100" t="str">
        <x:f>IF('Master'!O351="","",'Master'!O351)</x:f>
        <x:v>Yes — core feature</x:v>
      </x:c>
      <x:c r="O6" s="100" t="str">
        <x:f>IF('Master'!P351="","",'Master'!P351)</x:f>
        <x:v>No general federation</x:v>
      </x:c>
      <x:c r="P6" s="100" t="str">
        <x:f>IF('Master'!Q351="","",'Master'!Q351)</x:f>
        <x:v>No federation verified</x:v>
      </x:c>
      <x:c r="Q6" s="100" t="str">
        <x:f>IF('Master'!R351="","",'Master'!R351)</x:f>
        <x:v>No</x:v>
      </x:c>
      <x:c r="R6" s="100" t="str">
        <x:f>IF('Master'!S351="","",'Master'!S351)</x:f>
        <x:v>No</x:v>
      </x:c>
      <x:c r="S6" s="100" t="str">
        <x:f>IF('Master'!T351="","",'Master'!T351)</x:f>
        <x:v>No</x:v>
      </x:c>
      <x:c r="T6" s="100" t="str">
        <x:f>IF('Master'!U351="","",'Master'!U351)</x:f>
        <x:v>No federation</x:v>
      </x:c>
      <x:c r="U6" s="100" t="str">
        <x:f>IF('Master'!V351="","",'Master'!V351)</x:f>
        <x:v>No</x:v>
      </x:c>
      <x:c r="V6" s="100" t="str">
        <x:f>IF('Master'!W351="","",'Master'!W351)</x:f>
        <x:v>Yes — Matrix-based federation feature set, with limitations</x:v>
      </x:c>
      <x:c r="W6" s="100" t="str">
        <x:f>IF('Master'!X351="","",'Master'!X351)</x:f>
        <x:v>ATProto federation ecosystem</x:v>
      </x:c>
      <x:c r="X6" s="100" t="str">
        <x:f>IF('Master'!Y351="","",'Master'!Y351)</x:f>
        <x:v>No</x:v>
      </x:c>
      <x:c r="Y6" s="100" t="str">
        <x:f>IF('Master'!Z351="","",'Master'!Z351)</x:f>
        <x:v>No</x:v>
      </x:c>
      <x:c r="Z6" s="100" t="str">
        <x:f>IF('Master'!AA351="","",'Master'!AA351)</x:f>
        <x:v>No</x:v>
      </x:c>
      <x:c r="AA6" s="104" t="str">
        <x:f>IF('Master'!AB351="","",'Master'!AB351)</x:f>
        <x:v>No</x:v>
      </x:c>
      <x:c r="AB6" s="100" t="str">
        <x:f>IF('Master'!AC351="","",'Master'!AC351)</x:f>
        <x:v>Node/federation model for migrating communities; exact cross-instance federation scope evolving</x:v>
      </x:c>
      <x:c r="AC6" s="100" t="str">
        <x:f>IF('Master'!AD351="","",'Master'!AD351)</x:f>
        <x:v>Planned/in development</x:v>
      </x:c>
      <x:c r="AD6" s="100" t="str">
        <x:f>IF('Master'!AE351="","",'Master'!AE351)</x:f>
        <x:v>No</x:v>
      </x:c>
      <x:c r="AE6" s="100" t="str">
        <x:f>IF('Master'!AF351="","",'Master'!AF351)</x:f>
        <x:v>No</x:v>
      </x:c>
      <x:c r="AF6" s="75" t="str">
        <x:f>IF('Master'!AG351="","",'Master'!AG351)</x:f>
        <x:v>No</x:v>
      </x:c>
    </x:row>
    <x:row r="7" ht="36" customHeight="1">
      <x:c r="A7" s="135" t="str">
        <x:v>Peer-to-Peer?</x:v>
      </x:c>
      <x:c r="B7" s="100" t="str">
        <x:f>IF('Master'!C352="","",'Master'!C352)</x:f>
      </x:c>
      <x:c r="C7" s="100" t="str">
        <x:f>IF('Master'!D352="","",'Master'!D352)</x:f>
        <x:v>Yes</x:v>
      </x:c>
      <x:c r="D7" s="100" t="str">
        <x:f>IF('Master'!E352="","",'Master'!E352)</x:f>
      </x:c>
      <x:c r="E7" s="100" t="str">
        <x:f>IF('Master'!F352="","",'Master'!F352)</x:f>
      </x:c>
      <x:c r="F7" s="100" t="str">
        <x:f>IF('Master'!G352="","",'Master'!G352)</x:f>
      </x:c>
      <x:c r="G7" s="100" t="str">
        <x:f>IF('Master'!H352="","",'Master'!H352)</x:f>
      </x:c>
      <x:c r="H7" s="100" t="str">
        <x:f>IF('Master'!I352="","",'Master'!I352)</x:f>
      </x:c>
      <x:c r="I7" s="100" t="str">
        <x:f>IF('Master'!J352="","",'Master'!J352)</x:f>
      </x:c>
      <x:c r="J7" s="100" t="str">
        <x:f>IF('Master'!K352="","",'Master'!K352)</x:f>
        <x:v>Yes</x:v>
      </x:c>
      <x:c r="K7" s="100" t="str">
        <x:f>IF('Master'!L352="","",'Master'!L352)</x:f>
      </x:c>
      <x:c r="L7" s="100" t="str">
        <x:f>IF('Master'!M352="","",'Master'!M352)</x:f>
      </x:c>
      <x:c r="M7" s="100" t="str">
        <x:f>IF('Master'!N352="","",'Master'!N352)</x:f>
      </x:c>
      <x:c r="N7" s="100" t="str">
        <x:f>IF('Master'!O352="","",'Master'!O352)</x:f>
      </x:c>
      <x:c r="O7" s="100" t="str">
        <x:f>IF('Master'!P352="","",'Master'!P352)</x:f>
      </x:c>
      <x:c r="P7" s="100" t="str">
        <x:f>IF('Master'!Q352="","",'Master'!Q352)</x:f>
      </x:c>
      <x:c r="Q7" s="100" t="str">
        <x:f>IF('Master'!R352="","",'Master'!R352)</x:f>
      </x:c>
      <x:c r="R7" s="100" t="str">
        <x:f>IF('Master'!S352="","",'Master'!S352)</x:f>
      </x:c>
      <x:c r="S7" s="100" t="str">
        <x:f>IF('Master'!T352="","",'Master'!T352)</x:f>
      </x:c>
      <x:c r="T7" s="100" t="str">
        <x:f>IF('Master'!U352="","",'Master'!U352)</x:f>
        <x:v>Media only for small rooms and DM calls; hosted application remains centralized</x:v>
      </x:c>
      <x:c r="U7" s="100" t="str">
        <x:f>IF('Master'!V352="","",'Master'!V352)</x:f>
        <x:v>N/A</x:v>
      </x:c>
      <x:c r="V7" s="100" t="str">
        <x:f>IF('Master'!W352="","",'Master'!W352)</x:f>
      </x:c>
      <x:c r="W7" s="100" t="str">
        <x:f>IF('Master'!X352="","",'Master'!X352)</x:f>
      </x:c>
      <x:c r="X7" s="100" t="str">
        <x:f>IF('Master'!Y352="","",'Master'!Y352)</x:f>
      </x:c>
      <x:c r="Y7" s="100" t="str">
        <x:f>IF('Master'!Z352="","",'Master'!Z352)</x:f>
      </x:c>
      <x:c r="Z7" s="100" t="str">
        <x:f>IF('Master'!AA352="","",'Master'!AA352)</x:f>
      </x:c>
      <x:c r="AA7" s="104" t="str">
        <x:f>IF('Master'!AB352="","",'Master'!AB352)</x:f>
      </x:c>
      <x:c r="AB7" s="100" t="str">
        <x:f>IF('Master'!AC352="","",'Master'!AC352)</x:f>
      </x:c>
      <x:c r="AC7" s="100" t="str">
        <x:f>IF('Master'!AD352="","",'Master'!AD352)</x:f>
      </x:c>
      <x:c r="AD7" s="100" t="str">
        <x:f>IF('Master'!AE352="","",'Master'!AE352)</x:f>
      </x:c>
      <x:c r="AE7" s="100" t="str">
        <x:f>IF('Master'!AF352="","",'Master'!AF352)</x:f>
      </x:c>
      <x:c r="AF7" s="75" t="str">
        <x:f>IF('Master'!AG352="","",'Master'!AG352)</x:f>
      </x:c>
    </x:row>
    <x:row r="8" ht="36" customHeight="1">
      <x:c r="A8" s="135" t="str">
        <x:v>Independent Instances?</x:v>
      </x:c>
      <x:c r="B8" s="100" t="str">
        <x:f>IF('Master'!C327="","",'Master'!C327)</x:f>
        <x:v>No</x:v>
      </x:c>
      <x:c r="C8" s="100" t="str">
        <x:f>IF('Master'!D327="","",'Master'!D327)</x:f>
        <x:v>Yes</x:v>
      </x:c>
      <x:c r="D8" s="100" t="str">
        <x:f>IF('Master'!E327="","",'Master'!E327)</x:f>
        <x:v>Yes</x:v>
      </x:c>
      <x:c r="E8" s="100" t="str">
        <x:f>IF('Master'!F327="","",'Master'!F327)</x:f>
        <x:v>No</x:v>
      </x:c>
      <x:c r="F8" s="100" t="str">
        <x:f>IF('Master'!G327="","",'Master'!G327)</x:f>
        <x:v>No</x:v>
      </x:c>
      <x:c r="G8" s="100" t="str">
        <x:f>IF('Master'!H327="","",'Master'!H327)</x:f>
        <x:v>Yes</x:v>
      </x:c>
      <x:c r="H8" s="100" t="str">
        <x:f>IF('Master'!I327="","",'Master'!I327)</x:f>
        <x:v>Yes</x:v>
      </x:c>
      <x:c r="I8" s="100" t="str">
        <x:f>IF('Master'!J327="","",'Master'!J327)</x:f>
        <x:v>Yes</x:v>
      </x:c>
      <x:c r="J8" s="100" t="str">
        <x:f>IF('Master'!K327="","",'Master'!K327)</x:f>
        <x:v>Yes</x:v>
      </x:c>
      <x:c r="K8" s="100" t="str">
        <x:f>IF('Master'!L327="","",'Master'!L327)</x:f>
        <x:v>Yes</x:v>
      </x:c>
      <x:c r="L8" s="100" t="str">
        <x:f>IF('Master'!M327="","",'Master'!M327)</x:f>
        <x:v>No</x:v>
      </x:c>
      <x:c r="M8" s="100" t="str">
        <x:f>IF('Master'!N327="","",'Master'!N327)</x:f>
        <x:v>Yes</x:v>
      </x:c>
      <x:c r="N8" s="100" t="str">
        <x:f>IF('Master'!O327="","",'Master'!O327)</x:f>
        <x:v>Yes</x:v>
      </x:c>
      <x:c r="O8" s="100" t="str">
        <x:f>IF('Master'!P327="","",'Master'!P327)</x:f>
        <x:v>Yes</x:v>
      </x:c>
      <x:c r="P8" s="100" t="str">
        <x:f>IF('Master'!Q327="","",'Master'!Q327)</x:f>
      </x:c>
      <x:c r="Q8" s="100" t="str">
        <x:f>IF('Master'!R327="","",'Master'!R327)</x:f>
        <x:v>Yes</x:v>
      </x:c>
      <x:c r="R8" s="100" t="str">
        <x:f>IF('Master'!S327="","",'Master'!S327)</x:f>
        <x:v>Possible independent deployments</x:v>
      </x:c>
      <x:c r="S8" s="100" t="str">
        <x:f>IF('Master'!T327="","",'Master'!T327)</x:f>
        <x:v>No</x:v>
      </x:c>
      <x:c r="T8" s="100" t="str">
        <x:f>IF('Master'!U327="","",'Master'!U327)</x:f>
        <x:v>Yes</x:v>
      </x:c>
      <x:c r="U8" s="100" t="str">
        <x:f>IF('Master'!V327="","",'Master'!V327)</x:f>
        <x:v>No</x:v>
      </x:c>
      <x:c r="V8" s="100" t="str">
        <x:f>IF('Master'!W327="","",'Master'!W327)</x:f>
        <x:v>Yes</x:v>
      </x:c>
      <x:c r="W8" s="100" t="str">
        <x:f>IF('Master'!X327="","",'Master'!X327)</x:f>
        <x:v>Yes/distributed data ownership model</x:v>
      </x:c>
      <x:c r="X8" s="100" t="str">
        <x:f>IF('Master'!Y327="","",'Master'!Y327)</x:f>
        <x:v>No</x:v>
      </x:c>
      <x:c r="Y8" s="100" t="str">
        <x:f>IF('Master'!Z327="","",'Master'!Z327)</x:f>
        <x:v>Yes</x:v>
      </x:c>
      <x:c r="Z8" s="100" t="str">
        <x:f>IF('Master'!AA327="","",'Master'!AA327)</x:f>
        <x:v>Yes</x:v>
      </x:c>
      <x:c r="AA8" s="104" t="str">
        <x:f>IF('Master'!AB327="","",'Master'!AB327)</x:f>
        <x:v>Yes</x:v>
      </x:c>
      <x:c r="AB8" s="100" t="str">
        <x:f>IF('Master'!AC327="","",'Master'!AC327)</x:f>
        <x:v>Yes</x:v>
      </x:c>
      <x:c r="AC8" s="100" t="str">
        <x:f>IF('Master'!AD327="","",'Master'!AD327)</x:f>
        <x:v>In development</x:v>
      </x:c>
      <x:c r="AD8" s="100" t="str">
        <x:f>IF('Master'!AE327="","",'Master'!AE327)</x:f>
        <x:v>No</x:v>
      </x:c>
      <x:c r="AE8" s="100" t="str">
        <x:f>IF('Master'!AF327="","",'Master'!AF327)</x:f>
        <x:v>Yes</x:v>
      </x:c>
      <x:c r="AF8" s="75" t="str">
        <x:f>IF('Master'!AG327="","",'Master'!AG327)</x:f>
        <x:v>Yes</x:v>
      </x:c>
    </x:row>
    <x:row r="9" ht="36" customHeight="1">
      <x:c r="A9" s="135" t="str">
        <x:v>Cross-Instance Rooms / Communities?</x:v>
      </x:c>
      <x:c r="B9" s="100" t="str">
        <x:f>IF('Master'!C329="","",'Master'!C329)</x:f>
        <x:v>No</x:v>
      </x:c>
      <x:c r="C9" s="100" t="str">
        <x:f>IF('Master'!D329="","",'Master'!D329)</x:f>
        <x:v>Communities can use multiple relays</x:v>
      </x:c>
      <x:c r="D9" s="100" t="str">
        <x:f>IF('Master'!E329="","",'Master'!E329)</x:f>
        <x:v>Cross-server messenger works</x:v>
      </x:c>
      <x:c r="E9" s="100" t="str">
        <x:f>IF('Master'!F329="","",'Master'!F329)</x:f>
        <x:v>No</x:v>
      </x:c>
      <x:c r="F9" s="100" t="str">
        <x:f>IF('Master'!G329="","",'Master'!G329)</x:f>
        <x:v>No</x:v>
      </x:c>
      <x:c r="G9" s="100" t="str">
        <x:f>IF('Master'!H329="","",'Master'!H329)</x:f>
        <x:v>Not yet</x:v>
      </x:c>
      <x:c r="H9" s="100" t="str">
        <x:f>IF('Master'!I329="","",'Master'!I329)</x:f>
        <x:v>No</x:v>
      </x:c>
      <x:c r="I9" s="100" t="str">
        <x:f>IF('Master'!J329="","",'Master'!J329)</x:f>
        <x:v>Planned</x:v>
      </x:c>
      <x:c r="J9" s="100" t="str">
        <x:f>IF('Master'!K329="","",'Master'!K329)</x:f>
        <x:v>Peers communicate across relays/home servers as designed</x:v>
      </x:c>
      <x:c r="K9" s="100" t="str">
        <x:f>IF('Master'!L329="","",'Master'!L329)</x:f>
        <x:v>Yes — users on one home can join guilds, DM and call users/resources on other homes</x:v>
      </x:c>
      <x:c r="L9" s="100" t="str">
        <x:f>IF('Master'!M329="","",'Master'!M329)</x:f>
        <x:v>No</x:v>
      </x:c>
      <x:c r="M9" s="100" t="str">
        <x:f>IF('Master'!N329="","",'Master'!N329)</x:f>
        <x:v>Federated communities intended</x:v>
      </x:c>
      <x:c r="N9" s="100" t="str">
        <x:f>IF('Master'!O329="","",'Master'!O329)</x:f>
        <x:v>Yes — rooms can span homeservers</x:v>
      </x:c>
      <x:c r="O9" s="100" t="str">
        <x:f>IF('Master'!P329="","",'Master'!P329)</x:f>
        <x:v>No</x:v>
      </x:c>
      <x:c r="P9" s="100" t="str">
        <x:f>IF('Master'!Q329="","",'Master'!Q329)</x:f>
        <x:v>No</x:v>
      </x:c>
      <x:c r="Q9" s="100" t="str">
        <x:f>IF('Master'!R329="","",'Master'!R329)</x:f>
        <x:v>No</x:v>
      </x:c>
      <x:c r="R9" s="100" t="str">
        <x:f>IF('Master'!S329="","",'Master'!S329)</x:f>
        <x:v>No</x:v>
      </x:c>
      <x:c r="S9" s="100" t="str">
        <x:f>IF('Master'!T329="","",'Master'!T329)</x:f>
        <x:v>No</x:v>
      </x:c>
      <x:c r="T9" s="100" t="str">
        <x:f>IF('Master'!U329="","",'Master'!U329)</x:f>
        <x:v>No</x:v>
      </x:c>
      <x:c r="U9" s="100" t="str">
        <x:f>IF('Master'!V329="","",'Master'!V329)</x:f>
        <x:v>No</x:v>
      </x:c>
      <x:c r="V9" s="100" t="str">
        <x:f>IF('Master'!W329="","",'Master'!W329)</x:f>
        <x:v>Yes for supported federated rooms</x:v>
      </x:c>
      <x:c r="W9" s="100" t="str">
        <x:f>IF('Master'!X329="","",'Master'!X329)</x:f>
        <x:v>ATProto-linked spaces</x:v>
      </x:c>
      <x:c r="X9" s="100" t="str">
        <x:f>IF('Master'!Y329="","",'Master'!Y329)</x:f>
        <x:v>No</x:v>
      </x:c>
      <x:c r="Y9" s="100" t="str">
        <x:f>IF('Master'!Z329="","",'Master'!Z329)</x:f>
        <x:v>No</x:v>
      </x:c>
      <x:c r="Z9" s="100" t="str">
        <x:f>IF('Master'!AA329="","",'Master'!AA329)</x:f>
        <x:v>No</x:v>
      </x:c>
      <x:c r="AA9" s="104" t="str">
        <x:f>IF('Master'!AB329="","",'Master'!AB329)</x:f>
        <x:v>No</x:v>
      </x:c>
      <x:c r="AB9" s="100" t="str">
        <x:f>IF('Master'!AC329="","",'Master'!AC329)</x:f>
        <x:v>Limited/evolving</x:v>
      </x:c>
      <x:c r="AC9" s="100" t="str">
        <x:f>IF('Master'!AD329="","",'Master'!AD329)</x:f>
        <x:v>Planned</x:v>
      </x:c>
      <x:c r="AD9" s="100" t="str">
        <x:f>IF('Master'!AE329="","",'Master'!AE329)</x:f>
        <x:v>No</x:v>
      </x:c>
      <x:c r="AE9" s="100" t="str">
        <x:f>IF('Master'!AF329="","",'Master'!AF329)</x:f>
        <x:v>No</x:v>
      </x:c>
      <x:c r="AF9" s="75" t="str">
        <x:f>IF('Master'!AG329="","",'Master'!AG329)</x:f>
        <x:v>No</x:v>
      </x:c>
    </x:row>
    <x:row r="10" ht="36" customHeight="1">
      <x:c r="A10" s="135" t="str">
        <x:v>Cross-Instance DMs?</x:v>
      </x:c>
      <x:c r="B10" s="100" t="str">
        <x:f>IF('Master'!C353="","",'Master'!C353)</x:f>
        <x:v>No</x:v>
      </x:c>
      <x:c r="C10" s="100" t="str">
        <x:f>IF('Master'!D353="","",'Master'!D353)</x:f>
        <x:v>Yes</x:v>
      </x:c>
      <x:c r="D10" s="100" t="str">
        <x:f>IF('Master'!E353="","",'Master'!E353)</x:f>
        <x:v>Yes</x:v>
      </x:c>
      <x:c r="E10" s="100" t="str">
        <x:f>IF('Master'!F353="","",'Master'!F353)</x:f>
      </x:c>
      <x:c r="F10" s="100" t="str">
        <x:f>IF('Master'!G353="","",'Master'!G353)</x:f>
        <x:v>No</x:v>
      </x:c>
      <x:c r="G10" s="100" t="str">
        <x:f>IF('Master'!H353="","",'Master'!H353)</x:f>
      </x:c>
      <x:c r="H10" s="100" t="str">
        <x:f>IF('Master'!I353="","",'Master'!I353)</x:f>
      </x:c>
      <x:c r="I10" s="100" t="str">
        <x:f>IF('Master'!J353="","",'Master'!J353)</x:f>
      </x:c>
      <x:c r="J10" s="100" t="str">
        <x:f>IF('Master'!K353="","",'Master'!K353)</x:f>
        <x:v>Yes</x:v>
      </x:c>
      <x:c r="K10" s="100" t="str">
        <x:f>IF('Master'!L353="","",'Master'!L353)</x:f>
        <x:v>Yes — users on one home can join guilds, DM and call users/resources on other homes</x:v>
      </x:c>
      <x:c r="L10" s="100" t="str">
        <x:f>IF('Master'!M353="","",'Master'!M353)</x:f>
      </x:c>
      <x:c r="M10" s="100" t="str">
        <x:f>IF('Master'!N353="","",'Master'!N353)</x:f>
      </x:c>
      <x:c r="N10" s="100" t="str">
        <x:f>IF('Master'!O353="","",'Master'!O353)</x:f>
        <x:v>Yes</x:v>
      </x:c>
      <x:c r="O10" s="100" t="str">
        <x:f>IF('Master'!P353="","",'Master'!P353)</x:f>
        <x:v>No</x:v>
      </x:c>
      <x:c r="P10" s="100" t="str">
        <x:f>IF('Master'!Q353="","",'Master'!Q353)</x:f>
      </x:c>
      <x:c r="Q10" s="100" t="str">
        <x:f>IF('Master'!R353="","",'Master'!R353)</x:f>
        <x:v>No</x:v>
      </x:c>
      <x:c r="R10" s="100" t="str">
        <x:f>IF('Master'!S353="","",'Master'!S353)</x:f>
      </x:c>
      <x:c r="S10" s="100" t="str">
        <x:f>IF('Master'!T353="","",'Master'!T353)</x:f>
      </x:c>
      <x:c r="T10" s="100" t="str">
        <x:f>IF('Master'!U353="","",'Master'!U353)</x:f>
      </x:c>
      <x:c r="U10" s="100" t="str">
        <x:f>IF('Master'!V353="","",'Master'!V353)</x:f>
        <x:v>N/A</x:v>
      </x:c>
      <x:c r="V10" s="100" t="str">
        <x:f>IF('Master'!W353="","",'Master'!W353)</x:f>
      </x:c>
      <x:c r="W10" s="100" t="str">
        <x:f>IF('Master'!X353="","",'Master'!X353)</x:f>
      </x:c>
      <x:c r="X10" s="100" t="str">
        <x:f>IF('Master'!Y353="","",'Master'!Y353)</x:f>
        <x:v>No</x:v>
      </x:c>
      <x:c r="Y10" s="100" t="str">
        <x:f>IF('Master'!Z353="","",'Master'!Z353)</x:f>
      </x:c>
      <x:c r="Z10" s="100" t="str">
        <x:f>IF('Master'!AA353="","",'Master'!AA353)</x:f>
      </x:c>
      <x:c r="AA10" s="104" t="str">
        <x:f>IF('Master'!AB353="","",'Master'!AB353)</x:f>
        <x:v>No</x:v>
      </x:c>
      <x:c r="AB10" s="100" t="str">
        <x:f>IF('Master'!AC353="","",'Master'!AC353)</x:f>
      </x:c>
      <x:c r="AC10" s="100" t="str">
        <x:f>IF('Master'!AD353="","",'Master'!AD353)</x:f>
      </x:c>
      <x:c r="AD10" s="100" t="str">
        <x:f>IF('Master'!AE353="","",'Master'!AE353)</x:f>
      </x:c>
      <x:c r="AE10" s="100" t="str">
        <x:f>IF('Master'!AF353="","",'Master'!AF353)</x:f>
      </x:c>
      <x:c r="AF10" s="75" t="str">
        <x:f>IF('Master'!AG353="","",'Master'!AG353)</x:f>
        <x:v>No</x:v>
      </x:c>
    </x:row>
    <x:row r="11" ht="36" customHeight="1">
      <x:c r="A11" s="135" t="str">
        <x:v>Account Portable Across Instances?</x:v>
      </x:c>
      <x:c r="B11" s="100" t="str">
        <x:f>IF('Master'!C354="","",'Master'!C354)</x:f>
        <x:v>No</x:v>
      </x:c>
      <x:c r="C11" s="100" t="str">
        <x:f>IF('Master'!D354="","",'Master'!D354)</x:f>
        <x:v>Identity is portable by keypair</x:v>
      </x:c>
      <x:c r="D11" s="100" t="str">
        <x:f>IF('Master'!E354="","",'Master'!E354)</x:f>
        <x:v>Yes — messenger global ID/key and account export</x:v>
      </x:c>
      <x:c r="E11" s="100" t="str">
        <x:f>IF('Master'!F354="","",'Master'!F354)</x:f>
        <x:v>No</x:v>
      </x:c>
      <x:c r="F11" s="100" t="str">
        <x:f>IF('Master'!G354="","",'Master'!G354)</x:f>
        <x:v>No</x:v>
      </x:c>
      <x:c r="G11" s="100" t="str">
        <x:f>IF('Master'!H354="","",'Master'!H354)</x:f>
        <x:v>No current portable cross-instance identity</x:v>
      </x:c>
      <x:c r="H11" s="100" t="str">
        <x:f>IF('Master'!I354="","",'Master'!I354)</x:f>
        <x:v>No</x:v>
      </x:c>
      <x:c r="I11" s="100" t="str">
        <x:f>IF('Master'!J354="","",'Master'!J354)</x:f>
        <x:v>Planned</x:v>
      </x:c>
      <x:c r="J11" s="100" t="str">
        <x:f>IF('Master'!K354="","",'Master'!K354)</x:f>
        <x:v>Yes — identity key portable</x:v>
      </x:c>
      <x:c r="K11" s="100" t="str">
        <x:f>IF('Master'!L354="","",'Master'!L354)</x:f>
        <x:v>Federated identity works across instances; moving an account's home is not documented</x:v>
      </x:c>
      <x:c r="L11" s="100" t="str">
        <x:f>IF('Master'!M354="","",'Master'!M354)</x:f>
        <x:v>No</x:v>
      </x:c>
      <x:c r="M11" s="100" t="str">
        <x:f>IF('Master'!N354="","",'Master'!N354)</x:f>
      </x:c>
      <x:c r="N11" s="100" t="str">
        <x:f>IF('Master'!O354="","",'Master'!O354)</x:f>
        <x:v>Identity is namespaced to a homeserver; clients are portable, account migration is not universally seamless</x:v>
      </x:c>
      <x:c r="O11" s="100" t="str">
        <x:f>IF('Master'!P354="","",'Master'!P354)</x:f>
        <x:v>No</x:v>
      </x:c>
      <x:c r="P11" s="100" t="str">
        <x:f>IF('Master'!Q354="","",'Master'!Q354)</x:f>
        <x:v>No</x:v>
      </x:c>
      <x:c r="Q11" s="100" t="str">
        <x:f>IF('Master'!R354="","",'Master'!R354)</x:f>
        <x:v>Certificate/user identity can be reused manually; no global portable identity layer</x:v>
      </x:c>
      <x:c r="R11" s="100" t="str">
        <x:f>IF('Master'!S354="","",'Master'!S354)</x:f>
        <x:v>No</x:v>
      </x:c>
      <x:c r="S11" s="100" t="str">
        <x:f>IF('Master'!T354="","",'Master'!T354)</x:f>
        <x:v>No</x:v>
      </x:c>
      <x:c r="T11" s="100" t="str">
        <x:f>IF('Master'!U354="","",'Master'!U354)</x:f>
        <x:v>No</x:v>
      </x:c>
      <x:c r="U11" s="100" t="str">
        <x:f>IF('Master'!V354="","",'Master'!V354)</x:f>
        <x:v>No</x:v>
      </x:c>
      <x:c r="V11" s="100" t="str">
        <x:f>IF('Master'!W354="","",'Master'!W354)</x:f>
        <x:v>Limited; not equivalent to universal account migration</x:v>
      </x:c>
      <x:c r="W11" s="100" t="str">
        <x:f>IF('Master'!X354="","",'Master'!X354)</x:f>
        <x:v>Identity via ATProto</x:v>
      </x:c>
      <x:c r="X11" s="100" t="str">
        <x:f>IF('Master'!Y354="","",'Master'!Y354)</x:f>
        <x:v>No</x:v>
      </x:c>
      <x:c r="Y11" s="100" t="str">
        <x:f>IF('Master'!Z354="","",'Master'!Z354)</x:f>
        <x:v>No</x:v>
      </x:c>
      <x:c r="Z11" s="100" t="str">
        <x:f>IF('Master'!AA354="","",'Master'!AA354)</x:f>
        <x:v>No seamless portable identity</x:v>
      </x:c>
      <x:c r="AA11" s="104" t="str">
        <x:f>IF('Master'!AB354="","",'Master'!AB354)</x:f>
        <x:v>No global federated identity</x:v>
      </x:c>
      <x:c r="AB11" s="100" t="str">
        <x:f>IF('Master'!AC354="","",'Master'!AC354)</x:f>
        <x:v>Account survives community node moves per docs</x:v>
      </x:c>
      <x:c r="AC11" s="100" t="str">
        <x:f>IF('Master'!AD354="","",'Master'!AD354)</x:f>
        <x:v>Planned</x:v>
      </x:c>
      <x:c r="AD11" s="100" t="str">
        <x:f>IF('Master'!AE354="","",'Master'!AE354)</x:f>
        <x:v>No</x:v>
      </x:c>
      <x:c r="AE11" s="100" t="str">
        <x:f>IF('Master'!AF354="","",'Master'!AF354)</x:f>
        <x:v>No</x:v>
      </x:c>
      <x:c r="AF11" s="75" t="str">
        <x:f>IF('Master'!AG354="","",'Master'!AG354)</x:f>
        <x:v>No seamless cross-server identity</x:v>
      </x:c>
    </x:row>
    <x:row r="12" ht="22" customHeight="1">
      <x:c r="A12" s="138" t="str">
        <x:v>Protocol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Primary Network Protocol</x:v>
      </x:c>
      <x:c r="B13" s="100" t="str">
        <x:f>IF('Master'!C355="","",'Master'!C355)</x:f>
        <x:v>No federation; centralized proprietary service (public HTTP/Gateway APIs for apps)</x:v>
      </x:c>
      <x:c r="C13" s="100" t="str">
        <x:f>IF('Master'!D355="","",'Master'!D355)</x:f>
        <x:v>Nostr + Concord + NIP-29 relay groups</x:v>
      </x:c>
      <x:c r="D13" s="100" t="str">
        <x:f>IF('Master'!E355="","",'Master'!E355)</x:f>
        <x:v>Custom server protocol/WebSockets; federation/decentralization features</x:v>
      </x:c>
      <x:c r="E13" s="100" t="str">
        <x:f>IF('Master'!F355="","",'Master'!F355)</x:f>
        <x:v>No federation</x:v>
      </x:c>
      <x:c r="F13" s="100" t="str">
        <x:f>IF('Master'!G355="","",'Master'!G355)</x:f>
        <x:v>No federation; custom platform APIs</x:v>
      </x:c>
      <x:c r="G13" s="100" t="str">
        <x:f>IF('Master'!H355="","",'Master'!H355)</x:f>
        <x:v>No federation yet; federation on roadmap; Discord-inspired REST/Gateway</x:v>
      </x:c>
      <x:c r="H13" s="100" t="str">
        <x:f>IF('Master'!I355="","",'Master'!I355)</x:f>
        <x:v>Centralized/independent servers; no federation verified</x:v>
      </x:c>
      <x:c r="I13" s="100" t="str">
        <x:f>IF('Master'!J355="","",'Master'!J355)</x:f>
        <x:v>Discord-like API; federation planned</x:v>
      </x:c>
      <x:c r="J13" s="100" t="str">
        <x:f>IF('Master'!K355="","",'Master'!K355)</x:f>
        <x:v>Custom relay protocol + CRDT sync; no central account server</x:v>
      </x:c>
      <x:c r="K13" s="100" t="str">
        <x:f>IF('Master'!L355="","",'Master'!L355)</x:f>
        <x:v>Yes — kaede-fed/1 is publicly documented; project-specific protocol, not an external standard</x:v>
      </x:c>
      <x:c r="L13" s="100" t="str">
        <x:f>IF('Master'!M355="","",'Master'!M355)</x:f>
        <x:v>No federation verified</x:v>
      </x:c>
      <x:c r="M13" s="100" t="str">
        <x:f>IF('Master'!N355="","",'Master'!N355)</x:f>
        <x:v>Federated infrastructure planned/implemented in evolving form</x:v>
      </x:c>
      <x:c r="N13" s="100" t="str">
        <x:f>IF('Master'!O355="","",'Master'!O355)</x:f>
        <x:v>Matrix Client-Server API + Server-Server/Federation API; MatrixRTC for realtime calling</x:v>
      </x:c>
      <x:c r="O13" s="100" t="str">
        <x:f>IF('Master'!P355="","",'Master'!P355)</x:f>
        <x:v>Mattermost APIs/WebSocket; no general cross-server federation</x:v>
      </x:c>
      <x:c r="P13" s="100" t="str">
        <x:f>IF('Master'!Q355="","",'Master'!Q355)</x:f>
      </x:c>
      <x:c r="Q13" s="100" t="str">
        <x:f>IF('Master'!R355="","",'Master'!R355)</x:f>
        <x:v>Mumble protocol over TLS/UDP; no federation</x:v>
      </x:c>
      <x:c r="R13" s="100" t="str">
        <x:f>IF('Master'!S355="","",'Master'!S355)</x:f>
        <x:v>No federation</x:v>
      </x:c>
      <x:c r="S13" s="100" t="str">
        <x:f>IF('Master'!T355="","",'Master'!T355)</x:f>
        <x:v>No federation verified</x:v>
      </x:c>
      <x:c r="T13" s="100" t="str">
        <x:f>IF('Master'!U355="","",'Master'!U355)</x:f>
        <x:v>No federation; independent self-host copies</x:v>
      </x:c>
      <x:c r="U13" s="100" t="str">
        <x:f>IF('Master'!V355="","",'Master'!V355)</x:f>
        <x:v>No federation</x:v>
      </x:c>
      <x:c r="V13" s="100" t="str">
        <x:f>IF('Master'!W355="","",'Master'!W355)</x:f>
        <x:v>REST/WebSocket/DDP + Matrix-based federation capabilities</x:v>
      </x:c>
      <x:c r="W13" s="100" t="str">
        <x:f>IF('Master'!X355="","",'Master'!X355)</x:f>
        <x:v>ATProto-based data model; not a Matrix-style chat federation</x:v>
      </x:c>
      <x:c r="X13" s="100" t="str">
        <x:f>IF('Master'!Y355="","",'Master'!Y355)</x:f>
        <x:v>No federation; proprietary Root APIs</x:v>
      </x:c>
      <x:c r="Y13" s="100" t="str">
        <x:f>IF('Master'!Z355="","",'Master'!Z355)</x:f>
        <x:v>Discord-compatible REST API + Gateway/WebSocket; no federation</x:v>
      </x:c>
      <x:c r="Z13" s="100" t="str">
        <x:f>IF('Master'!AA355="","",'Master'!AA355)</x:f>
        <x:v>No inter-instance federation; custom REST/WebSocket API</x:v>
      </x:c>
      <x:c r="AA13" s="104" t="str">
        <x:f>IF('Master'!AB355="","",'Master'!AB355)</x:f>
        <x:v>Proprietary TeamSpeak protocol; no federation</x:v>
      </x:c>
      <x:c r="AB13" s="100" t="str">
        <x:f>IF('Master'!AC355="","",'Master'!AC355)</x:f>
        <x:v>Independent instances/nodes; federation/migration features</x:v>
      </x:c>
      <x:c r="AC13" s="100" t="str">
        <x:f>IF('Master'!AD355="","",'Master'!AD355)</x:f>
        <x:v>Custom federation protocol in development</x:v>
      </x:c>
      <x:c r="AD13" s="100" t="str">
        <x:f>IF('Master'!AE355="","",'Master'!AE355)</x:f>
        <x:v>No federation</x:v>
      </x:c>
      <x:c r="AE13" s="100" t="str">
        <x:f>IF('Master'!AF355="","",'Master'!AF355)</x:f>
        <x:v>Independent servers; no federation verified</x:v>
      </x:c>
      <x:c r="AF13" s="75" t="str">
        <x:f>IF('Master'!AG355="","",'Master'!AG355)</x:f>
        <x:v>Zulip REST/realtime event API; no cross-server federation</x:v>
      </x:c>
    </x:row>
    <x:row r="14" ht="36" customHeight="1">
      <x:c r="A14" s="135" t="str">
        <x:v>Public Protocol Specification?</x:v>
      </x:c>
      <x:c r="B14" s="100" t="str">
        <x:f>IF('Master'!C356="","",'Master'!C356)</x:f>
        <x:v>Proprietary public developer APIs, not an open protocol</x:v>
      </x:c>
      <x:c r="C14" s="100" t="str">
        <x:f>IF('Master'!D356="","",'Master'!D356)</x:f>
        <x:v>Nostr + Concord/NIP-29</x:v>
      </x:c>
      <x:c r="D14" s="100" t="str">
        <x:f>IF('Master'!E356="","",'Master'!E356)</x:f>
        <x:v>Custom protocol</x:v>
      </x:c>
      <x:c r="E14" s="100" t="str">
        <x:f>IF('Master'!F356="","",'Master'!F356)</x:f>
        <x:v>Proprietary</x:v>
      </x:c>
      <x:c r="F14" s="100" t="str">
        <x:f>IF('Master'!G356="","",'Master'!G356)</x:f>
        <x:v>No open interoperability standard</x:v>
      </x:c>
      <x:c r="G14" s="100" t="str">
        <x:f>IF('Master'!H356="","",'Master'!H356)</x:f>
        <x:v>Public API/Gateway inspired by Discord; not a federation standard</x:v>
      </x:c>
      <x:c r="H14" s="100" t="str">
        <x:f>IF('Master'!I356="","",'Master'!I356)</x:f>
        <x:v>Proprietary API/service</x:v>
      </x:c>
      <x:c r="I14" s="100" t="str">
        <x:f>IF('Master'!J356="","",'Master'!J356)</x:f>
        <x:v>Discord-compatible API</x:v>
      </x:c>
      <x:c r="J14" s="100" t="str">
        <x:f>IF('Master'!K356="","",'Master'!K356)</x:f>
        <x:v>Custom open protocol/code</x:v>
      </x:c>
      <x:c r="K14" s="100" t="str">
        <x:f>IF('Master'!L356="","",'Master'!L356)</x:f>
        <x:v>Yes — kaede-fed/1 is publicly documented; project-specific protocol, not an external standard</x:v>
      </x:c>
      <x:c r="L14" s="100" t="str">
        <x:f>IF('Master'!M356="","",'Master'!M356)</x:f>
        <x:v>Proprietary</x:v>
      </x:c>
      <x:c r="M14" s="100" t="str">
        <x:f>IF('Master'!N356="","",'Master'!N356)</x:f>
        <x:v>Discord-compatible API + federation work</x:v>
      </x:c>
      <x:c r="N14" s="100" t="str">
        <x:f>IF('Master'!O356="","",'Master'!O356)</x:f>
        <x:v>Open Matrix specification: Client-Server + Server-Server/Federation APIs</x:v>
      </x:c>
      <x:c r="O14" s="100" t="str">
        <x:f>IF('Master'!P356="","",'Master'!P356)</x:f>
        <x:v>Open APIs, not a general federation standard</x:v>
      </x:c>
      <x:c r="P14" s="100" t="str">
        <x:f>IF('Master'!Q356="","",'Master'!Q356)</x:f>
        <x:v>Custom APIs</x:v>
      </x:c>
      <x:c r="Q14" s="100" t="str">
        <x:f>IF('Master'!R356="","",'Master'!R356)</x:f>
        <x:v>Open Mumble protocol/source</x:v>
      </x:c>
      <x:c r="R14" s="100" t="str">
        <x:f>IF('Master'!S356="","",'Master'!S356)</x:f>
        <x:v>Public app/API code, not a federation standard</x:v>
      </x:c>
      <x:c r="S14" s="100" t="str">
        <x:f>IF('Master'!T356="","",'Master'!T356)</x:f>
        <x:v>Proprietary service APIs</x:v>
      </x:c>
      <x:c r="T14" s="100" t="str">
        <x:f>IF('Master'!U356="","",'Master'!U356)</x:f>
        <x:v>Application API/webhooks</x:v>
      </x:c>
      <x:c r="U14" s="100" t="str">
        <x:f>IF('Master'!V356="","",'Master'!V356)</x:f>
        <x:v>Proprietary</x:v>
      </x:c>
      <x:c r="V14" s="100" t="str">
        <x:f>IF('Master'!W356="","",'Master'!W356)</x:f>
        <x:v>REST/realtime APIs + federation components</x:v>
      </x:c>
      <x:c r="W14" s="100" t="str">
        <x:f>IF('Master'!X356="","",'Master'!X356)</x:f>
        <x:v>AT Protocol</x:v>
      </x:c>
      <x:c r="X14" s="100" t="str">
        <x:f>IF('Master'!Y356="","",'Master'!Y356)</x:f>
        <x:v>Proprietary Root APIs/SDK</x:v>
      </x:c>
      <x:c r="Y14" s="100" t="str">
        <x:f>IF('Master'!Z356="","",'Master'!Z356)</x:f>
        <x:v>Discord-compatible REST/Gateway reimplementation</x:v>
      </x:c>
      <x:c r="Z14" s="100" t="str">
        <x:f>IF('Master'!AA356="","",'Master'!AA356)</x:f>
        <x:v>Public REST/WebSocket API, but not a federation standard</x:v>
      </x:c>
      <x:c r="AA14" s="104" t="str">
        <x:f>IF('Master'!AB356="","",'Master'!AB356)</x:f>
        <x:v>Proprietary protocol/API</x:v>
      </x:c>
      <x:c r="AB14" s="100" t="str">
        <x:f>IF('Master'!AC356="","",'Master'!AC356)</x:f>
        <x:v>Valour API/node protocol</x:v>
      </x:c>
      <x:c r="AC14" s="100" t="str">
        <x:f>IF('Master'!AD356="","",'Master'!AD356)</x:f>
        <x:v>Custom open-source federation protocol</x:v>
      </x:c>
      <x:c r="AD14" s="100" t="str">
        <x:f>IF('Master'!AE356="","",'Master'!AE356)</x:f>
        <x:v>Proprietary/application API</x:v>
      </x:c>
      <x:c r="AE14" s="100" t="str">
        <x:f>IF('Master'!AF356="","",'Master'!AF356)</x:f>
      </x:c>
      <x:c r="AF14" s="75" t="str">
        <x:f>IF('Master'!AG356="","",'Master'!AG356)</x:f>
        <x:v>Open REST/realtime APIs</x:v>
      </x:c>
    </x:row>
    <x:row r="15" ht="36" customHeight="1">
      <x:c r="A15" s="135" t="str">
        <x:v>Discord API Compatible?</x:v>
      </x:c>
      <x:c r="B15" s="100" t="str">
        <x:f>IF('Master'!C357="","",'Master'!C357)</x:f>
        <x:v>No</x:v>
      </x:c>
      <x:c r="C15" s="100" t="str">
        <x:f>IF('Master'!D357="","",'Master'!D357)</x:f>
        <x:v>No</x:v>
      </x:c>
      <x:c r="D15" s="100" t="str">
        <x:f>IF('Master'!E357="","",'Master'!E357)</x:f>
        <x:v>No</x:v>
      </x:c>
      <x:c r="E15" s="100" t="str">
        <x:f>IF('Master'!F357="","",'Master'!F357)</x:f>
        <x:v>No</x:v>
      </x:c>
      <x:c r="F15" s="100" t="str">
        <x:f>IF('Master'!G357="","",'Master'!G357)</x:f>
        <x:v>No</x:v>
      </x:c>
      <x:c r="G15" s="100" t="str">
        <x:f>IF('Master'!H357="","",'Master'!H357)</x:f>
        <x:v>Partial Discord wire/API compatibility goals</x:v>
      </x:c>
      <x:c r="H15" s="100" t="str">
        <x:f>IF('Master'!I357="","",'Master'!I357)</x:f>
        <x:v>No</x:v>
      </x:c>
      <x:c r="I15" s="100" t="str">
        <x:f>IF('Master'!J357="","",'Master'!J357)</x:f>
        <x:v>Yes</x:v>
      </x:c>
      <x:c r="J15" s="100" t="str">
        <x:f>IF('Master'!K357="","",'Master'!K357)</x:f>
        <x:v>No</x:v>
      </x:c>
      <x:c r="K15" s="100" t="str">
        <x:f>IF('Master'!L357="","",'Master'!L357)</x:f>
        <x:v>No</x:v>
      </x:c>
      <x:c r="L15" s="100" t="str">
        <x:f>IF('Master'!M357="","",'Master'!M357)</x:f>
        <x:v>No</x:v>
      </x:c>
      <x:c r="M15" s="100" t="str">
        <x:f>IF('Master'!N357="","",'Master'!N357)</x:f>
        <x:v>Yes — Discord-like bot compatibility</x:v>
      </x:c>
      <x:c r="N15" s="100" t="str">
        <x:f>IF('Master'!O357="","",'Master'!O357)</x:f>
        <x:v>No</x:v>
      </x:c>
      <x:c r="O15" s="100" t="str">
        <x:f>IF('Master'!P357="","",'Master'!P357)</x:f>
        <x:v>No</x:v>
      </x:c>
      <x:c r="P15" s="100" t="str">
        <x:f>IF('Master'!Q357="","",'Master'!Q357)</x:f>
        <x:v>No</x:v>
      </x:c>
      <x:c r="Q15" s="100" t="str">
        <x:f>IF('Master'!R357="","",'Master'!R357)</x:f>
        <x:v>No</x:v>
      </x:c>
      <x:c r="R15" s="100" t="str">
        <x:f>IF('Master'!S357="","",'Master'!S357)</x:f>
        <x:v>No</x:v>
      </x:c>
      <x:c r="S15" s="100" t="str">
        <x:f>IF('Master'!T357="","",'Master'!T357)</x:f>
        <x:v>No</x:v>
      </x:c>
      <x:c r="T15" s="100" t="str">
        <x:f>IF('Master'!U357="","",'Master'!U357)</x:f>
        <x:v>No</x:v>
      </x:c>
      <x:c r="U15" s="100" t="str">
        <x:f>IF('Master'!V357="","",'Master'!V357)</x:f>
        <x:v>No</x:v>
      </x:c>
      <x:c r="V15" s="100" t="str">
        <x:f>IF('Master'!W357="","",'Master'!W357)</x:f>
        <x:v>No</x:v>
      </x:c>
      <x:c r="W15" s="100" t="str">
        <x:f>IF('Master'!X357="","",'Master'!X357)</x:f>
        <x:v>No</x:v>
      </x:c>
      <x:c r="X15" s="100" t="str">
        <x:f>IF('Master'!Y357="","",'Master'!Y357)</x:f>
        <x:v>No</x:v>
      </x:c>
      <x:c r="Y15" s="100" t="str">
        <x:f>IF('Master'!Z357="","",'Master'!Z357)</x:f>
        <x:v>Yes — major design goal</x:v>
      </x:c>
      <x:c r="Z15" s="100" t="str">
        <x:f>IF('Master'!AA357="","",'Master'!AA357)</x:f>
        <x:v>No</x:v>
      </x:c>
      <x:c r="AA15" s="104" t="str">
        <x:f>IF('Master'!AB357="","",'Master'!AB357)</x:f>
        <x:v>No</x:v>
      </x:c>
      <x:c r="AB15" s="100" t="str">
        <x:f>IF('Master'!AC357="","",'Master'!AC357)</x:f>
        <x:v>No</x:v>
      </x:c>
      <x:c r="AC15" s="100" t="str">
        <x:f>IF('Master'!AD357="","",'Master'!AD357)</x:f>
        <x:v>No</x:v>
      </x:c>
      <x:c r="AD15" s="100" t="str">
        <x:f>IF('Master'!AE357="","",'Master'!AE357)</x:f>
        <x:v>No</x:v>
      </x:c>
      <x:c r="AE15" s="100" t="str">
        <x:f>IF('Master'!AF357="","",'Master'!AF357)</x:f>
        <x:v>No</x:v>
      </x:c>
      <x:c r="AF15" s="75" t="str">
        <x:f>IF('Master'!AG357="","",'Master'!AG357)</x:f>
        <x:v>No</x:v>
      </x:c>
    </x:row>
    <x:row r="16" ht="22" customHeight="1">
      <x:c r="A16" s="138" t="str">
        <x:v>Code &amp; Licensing</x:v>
      </x:c>
      <x:c r="B16" s="138" t="str">
        <x:f>IF(""="","","")</x:f>
      </x:c>
      <x:c r="C16" s="138" t="str">
        <x:f>IF(""="","","")</x:f>
      </x:c>
      <x:c r="D16" s="138" t="str">
        <x:f>IF(""="","","")</x:f>
      </x:c>
      <x:c r="E16" s="138" t="str">
        <x:f>IF(""="","","")</x:f>
      </x:c>
      <x:c r="F16" s="138" t="str">
        <x:f>IF(""="","","")</x:f>
      </x:c>
      <x:c r="G16" s="138" t="str">
        <x:f>IF(""="","","")</x:f>
      </x:c>
      <x:c r="H16" s="138" t="str">
        <x:f>IF(""="","","")</x:f>
      </x:c>
      <x:c r="I16" s="138" t="str">
        <x:f>IF(""="","","")</x:f>
      </x:c>
      <x:c r="J16" s="138" t="str">
        <x:f>IF(""="","","")</x:f>
      </x:c>
      <x:c r="K16" s="138" t="str">
        <x:f>IF(""="","","")</x:f>
      </x:c>
      <x:c r="L16" s="138" t="str">
        <x:f>IF(""="","","")</x:f>
      </x:c>
      <x:c r="M16" s="138" t="str">
        <x:f>IF(""="","","")</x:f>
      </x:c>
      <x:c r="N16" s="138" t="str">
        <x:f>IF(""="","","")</x:f>
      </x:c>
      <x:c r="O16" s="138" t="str">
        <x:f>IF(""="","","")</x:f>
      </x:c>
      <x:c r="P16" s="138" t="str">
        <x:f>IF(""="","","")</x:f>
      </x:c>
      <x:c r="Q16" s="138" t="str">
        <x:f>IF(""="","","")</x:f>
      </x:c>
      <x:c r="R16" s="138" t="str">
        <x:f>IF(""="","","")</x:f>
      </x:c>
      <x:c r="S16" s="138" t="str">
        <x:f>IF(""="","","")</x:f>
      </x:c>
      <x:c r="T16" s="138" t="str">
        <x:f>IF(""="","","")</x:f>
      </x:c>
      <x:c r="U16" s="138" t="str">
        <x:f>IF(""="","","")</x:f>
      </x:c>
      <x:c r="V16" s="138" t="str">
        <x:f>IF(""="","","")</x:f>
      </x:c>
      <x:c r="W16" s="138" t="str">
        <x:f>IF(""="","","")</x:f>
      </x:c>
      <x:c r="X16" s="138" t="str">
        <x:f>IF(""="","","")</x:f>
      </x:c>
      <x:c r="Y16" s="138" t="str">
        <x:f>IF(""="","","")</x:f>
      </x:c>
      <x:c r="Z16" s="138" t="str">
        <x:f>IF(""="","","")</x:f>
      </x:c>
      <x:c r="AA16" s="138" t="str">
        <x:f>IF(""="","","")</x:f>
      </x:c>
      <x:c r="AB16" s="138" t="str">
        <x:f>IF(""="","","")</x:f>
      </x:c>
      <x:c r="AC16" s="138" t="str">
        <x:f>IF(""="","","")</x:f>
      </x:c>
      <x:c r="AD16" s="138" t="str">
        <x:f>IF(""="","","")</x:f>
      </x:c>
      <x:c r="AE16" s="138" t="str">
        <x:f>IF(""="","","")</x:f>
      </x:c>
      <x:c r="AF16" s="139" t="str">
        <x:f>IF(""="","","")</x:f>
      </x:c>
    </x:row>
    <x:row r="17" ht="36" customHeight="1">
      <x:c r="A17" s="135" t="str">
        <x:v>Client Source Available?</x:v>
      </x:c>
      <x:c r="B17" s="100" t="str">
        <x:f>IF('Master'!C358="","",'Master'!C358)</x:f>
        <x:v>No</x:v>
      </x:c>
      <x:c r="C17" s="100" t="str">
        <x:f>IF('Master'!D358="","",'Master'!D358)</x:f>
        <x:v>Yes</x:v>
      </x:c>
      <x:c r="D17" s="100" t="str">
        <x:f>IF('Master'!E358="","",'Master'!E358)</x:f>
        <x:v>Yes</x:v>
      </x:c>
      <x:c r="E17" s="100" t="str">
        <x:f>IF('Master'!F358="","",'Master'!F358)</x:f>
        <x:v>No</x:v>
      </x:c>
      <x:c r="F17" s="100" t="str">
        <x:f>IF('Master'!G358="","",'Master'!G358)</x:f>
        <x:v>No</x:v>
      </x:c>
      <x:c r="G17" s="100" t="str">
        <x:f>IF('Master'!H358="","",'Master'!H358)</x:f>
        <x:v>Yes</x:v>
      </x:c>
      <x:c r="H17" s="100" t="str">
        <x:f>IF('Master'!I358="","",'Master'!I358)</x:f>
        <x:v>No</x:v>
      </x:c>
      <x:c r="I17" s="100" t="str">
        <x:f>IF('Master'!J358="","",'Master'!J358)</x:f>
        <x:v>Yes</x:v>
      </x:c>
      <x:c r="J17" s="100" t="str">
        <x:f>IF('Master'!K358="","",'Master'!K358)</x:f>
        <x:v>Yes</x:v>
      </x:c>
      <x:c r="K17" s="100" t="str">
        <x:f>IF('Master'!L358="","",'Master'!L358)</x:f>
      </x:c>
      <x:c r="L17" s="100" t="str">
        <x:f>IF('Master'!M358="","",'Master'!M358)</x:f>
        <x:v>No</x:v>
      </x:c>
      <x:c r="M17" s="100" t="str">
        <x:f>IF('Master'!N358="","",'Master'!N358)</x:f>
      </x:c>
      <x:c r="N17" s="100" t="str">
        <x:f>IF('Master'!O358="","",'Master'!O358)</x:f>
      </x:c>
      <x:c r="O17" s="100" t="str">
        <x:f>IF('Master'!P358="","",'Master'!P358)</x:f>
        <x:v>Yes</x:v>
      </x:c>
      <x:c r="P17" s="100" t="str">
        <x:f>IF('Master'!Q358="","",'Master'!Q358)</x:f>
        <x:v>Yes</x:v>
      </x:c>
      <x:c r="Q17" s="100" t="str">
        <x:f>IF('Master'!R358="","",'Master'!R358)</x:f>
        <x:v>Yes</x:v>
      </x:c>
      <x:c r="R17" s="100" t="str">
        <x:f>IF('Master'!S358="","",'Master'!S358)</x:f>
        <x:v>Yes</x:v>
      </x:c>
      <x:c r="S17" s="100" t="str">
        <x:f>IF('Master'!T358="","",'Master'!T358)</x:f>
        <x:v>No</x:v>
      </x:c>
      <x:c r="T17" s="100" t="str">
        <x:f>IF('Master'!U358="","",'Master'!U358)</x:f>
        <x:v>Yes</x:v>
      </x:c>
      <x:c r="U17" s="100" t="str">
        <x:f>IF('Master'!V358="","",'Master'!V358)</x:f>
        <x:v>No</x:v>
      </x:c>
      <x:c r="V17" s="100" t="str">
        <x:f>IF('Master'!W358="","",'Master'!W358)</x:f>
        <x:v>Yes</x:v>
      </x:c>
      <x:c r="W17" s="100" t="str">
        <x:f>IF('Master'!X358="","",'Master'!X358)</x:f>
        <x:v>Yes</x:v>
      </x:c>
      <x:c r="X17" s="100" t="str">
        <x:f>IF('Master'!Y358="","",'Master'!Y358)</x:f>
        <x:v>No</x:v>
      </x:c>
      <x:c r="Y17" s="100" t="str">
        <x:f>IF('Master'!Z358="","",'Master'!Z358)</x:f>
        <x:v>Yes</x:v>
      </x:c>
      <x:c r="Z17" s="100" t="str">
        <x:f>IF('Master'!AA358="","",'Master'!AA358)</x:f>
        <x:v>Yes</x:v>
      </x:c>
      <x:c r="AA17" s="104" t="str">
        <x:f>IF('Master'!AB358="","",'Master'!AB358)</x:f>
        <x:v>No</x:v>
      </x:c>
      <x:c r="AB17" s="100" t="str">
        <x:f>IF('Master'!AC358="","",'Master'!AC358)</x:f>
        <x:v>Yes</x:v>
      </x:c>
      <x:c r="AC17" s="100" t="str">
        <x:f>IF('Master'!AD358="","",'Master'!AD358)</x:f>
      </x:c>
      <x:c r="AD17" s="100" t="str">
        <x:f>IF('Master'!AE358="","",'Master'!AE358)</x:f>
        <x:v>Yes</x:v>
      </x:c>
      <x:c r="AE17" s="100" t="str">
        <x:f>IF('Master'!AF358="","",'Master'!AF358)</x:f>
        <x:v>No</x:v>
      </x:c>
      <x:c r="AF17" s="75" t="str">
        <x:f>IF('Master'!AG358="","",'Master'!AG358)</x:f>
        <x:v>Yes</x:v>
      </x:c>
    </x:row>
    <x:row r="18" ht="36" customHeight="1">
      <x:c r="A18" s="135" t="str">
        <x:v>Client License</x:v>
      </x:c>
      <x:c r="B18" s="100" t="str">
        <x:f>IF('Master'!C359="","",'Master'!C359)</x:f>
        <x:v>Proprietary</x:v>
      </x:c>
      <x:c r="C18" s="100" t="str">
        <x:f>IF('Master'!D359="","",'Master'!D359)</x:f>
        <x:v>Open source</x:v>
      </x:c>
      <x:c r="D18" s="100" t="str">
        <x:f>IF('Master'!E359="","",'Master'!E359)</x:f>
        <x:v>FOSS AGPL-3.0</x:v>
      </x:c>
      <x:c r="E18" s="100" t="str">
        <x:f>IF('Master'!F359="","",'Master'!F359)</x:f>
        <x:v>Proprietary</x:v>
      </x:c>
      <x:c r="F18" s="100" t="str">
        <x:f>IF('Master'!G359="","",'Master'!G359)</x:f>
        <x:v>Proprietary during alpha; open-source release planned</x:v>
      </x:c>
      <x:c r="G18" s="100" t="str">
        <x:f>IF('Master'!H359="","",'Master'!H359)</x:f>
        <x:v>FOSS (AGPL-3.0)</x:v>
      </x:c>
      <x:c r="H18" s="100" t="str">
        <x:f>IF('Master'!I359="","",'Master'!I359)</x:f>
        <x:v>Proprietary</x:v>
      </x:c>
      <x:c r="I18" s="100" t="str">
        <x:f>IF('Master'!J359="","",'Master'!J359)</x:f>
        <x:v>Fermi client AGPL-3.0</x:v>
      </x:c>
      <x:c r="J18" s="100" t="str">
        <x:f>IF('Master'!K359="","",'Master'!K359)</x:f>
        <x:v>Open source</x:v>
      </x:c>
      <x:c r="K18" s="100" t="str">
        <x:f>IF('Master'!L359="","",'Master'!L359)</x:f>
        <x:v>MIT</x:v>
      </x:c>
      <x:c r="L18" s="100" t="str">
        <x:f>IF('Master'!M359="","",'Master'!M359)</x:f>
        <x:v>Proprietary</x:v>
      </x:c>
      <x:c r="M18" s="100" t="str">
        <x:f>IF('Master'!N359="","",'Master'!N359)</x:f>
      </x:c>
      <x:c r="N18" s="100" t="str">
        <x:f>IF('Master'!O359="","",'Master'!O359)</x:f>
        <x:v>Varies by client; many FOSS (e.g., Element, Element X, Cinny)</x:v>
      </x:c>
      <x:c r="O18" s="100" t="str">
        <x:f>IF('Master'!P359="","",'Master'!P359)</x:f>
        <x:v>FOSS/open-source clients; exact repo license varies</x:v>
      </x:c>
      <x:c r="P18" s="100" t="str">
        <x:f>IF('Master'!Q359="","",'Master'!Q359)</x:f>
        <x:v>Open-source client code</x:v>
      </x:c>
      <x:c r="Q18" s="100" t="str">
        <x:f>IF('Master'!R359="","",'Master'!R359)</x:f>
        <x:v>FOSS (BSD-style / BSD-3-Clause)</x:v>
      </x:c>
      <x:c r="R18" s="100" t="str">
        <x:f>IF('Master'!S359="","",'Master'!S359)</x:f>
        <x:v>FOSS GPL-family components</x:v>
      </x:c>
      <x:c r="S18" s="100" t="str">
        <x:f>IF('Master'!T359="","",'Master'!T359)</x:f>
        <x:v>Proprietary client / source status mixed</x:v>
      </x:c>
      <x:c r="T18" s="100" t="str">
        <x:f>IF('Master'!U359="","",'Master'!U359)</x:f>
        <x:v>AGPL-3.0</x:v>
      </x:c>
      <x:c r="U18" s="100" t="str">
        <x:f>IF('Master'!V359="","",'Master'!V359)</x:f>
        <x:v>Proprietary</x:v>
      </x:c>
      <x:c r="V18" s="100" t="str">
        <x:f>IF('Master'!W359="","",'Master'!W359)</x:f>
        <x:v>FOSS core client; MIT components / enterprise extensions</x:v>
      </x:c>
      <x:c r="W18" s="100" t="str">
        <x:f>IF('Master'!X359="","",'Master'!X359)</x:f>
        <x:v>MPL-2.0 project</x:v>
      </x:c>
      <x:c r="X18" s="100" t="str">
        <x:f>IF('Master'!Y359="","",'Master'!Y359)</x:f>
        <x:v>Proprietary</x:v>
      </x:c>
      <x:c r="Y18" s="100" t="str">
        <x:f>IF('Master'!Z359="","",'Master'!Z359)</x:f>
        <x:v>FOSS (AGPL-3.0 project components)</x:v>
      </x:c>
      <x:c r="Z18" s="100" t="str">
        <x:f>IF('Master'!AA359="","",'Master'!AA359)</x:f>
        <x:v>FOSS (web client AGPL-3.0; clients vary)</x:v>
      </x:c>
      <x:c r="AA18" s="104" t="str">
        <x:f>IF('Master'!AB359="","",'Master'!AB359)</x:f>
        <x:v>Proprietary</x:v>
      </x:c>
      <x:c r="AB18" s="100" t="str">
        <x:f>IF('Master'!AC359="","",'Master'!AC359)</x:f>
        <x:v>AGPL-3.0</x:v>
      </x:c>
      <x:c r="AC18" s="100" t="str">
        <x:f>IF('Master'!AD359="","",'Master'!AD359)</x:f>
        <x:v>Client source planned; not yet fully public</x:v>
      </x:c>
      <x:c r="AD18" s="100" t="str">
        <x:f>IF('Master'!AE359="","",'Master'!AE359)</x:f>
      </x:c>
      <x:c r="AE18" s="100" t="str">
        <x:f>IF('Master'!AF359="","",'Master'!AF359)</x:f>
      </x:c>
      <x:c r="AF18" s="75" t="str">
        <x:f>IF('Master'!AG359="","",'Master'!AG359)</x:f>
        <x:v>FOSS (Apache-2.0)</x:v>
      </x:c>
    </x:row>
    <x:row r="19" ht="36" customHeight="1">
      <x:c r="A19" s="135" t="str">
        <x:v>Server Source Available?</x:v>
      </x:c>
      <x:c r="B19" s="100" t="str">
        <x:f>IF('Master'!C360="","",'Master'!C360)</x:f>
        <x:v>No</x:v>
      </x:c>
      <x:c r="C19" s="100" t="str">
        <x:f>IF('Master'!D360="","",'Master'!D360)</x:f>
        <x:v>Yes</x:v>
      </x:c>
      <x:c r="D19" s="100" t="str">
        <x:f>IF('Master'!E360="","",'Master'!E360)</x:f>
        <x:v>Yes</x:v>
      </x:c>
      <x:c r="E19" s="100" t="str">
        <x:f>IF('Master'!F360="","",'Master'!F360)</x:f>
        <x:v>No</x:v>
      </x:c>
      <x:c r="F19" s="100" t="str">
        <x:f>IF('Master'!G360="","",'Master'!G360)</x:f>
        <x:v>No</x:v>
      </x:c>
      <x:c r="G19" s="100" t="str">
        <x:f>IF('Master'!H360="","",'Master'!H360)</x:f>
        <x:v>Yes</x:v>
      </x:c>
      <x:c r="H19" s="100" t="str">
        <x:f>IF('Master'!I360="","",'Master'!I360)</x:f>
        <x:v>No</x:v>
      </x:c>
      <x:c r="I19" s="100" t="str">
        <x:f>IF('Master'!J360="","",'Master'!J360)</x:f>
        <x:v>Yes</x:v>
      </x:c>
      <x:c r="J19" s="100" t="str">
        <x:f>IF('Master'!K360="","",'Master'!K360)</x:f>
        <x:v>Yes</x:v>
      </x:c>
      <x:c r="K19" s="100" t="str">
        <x:f>IF('Master'!L360="","",'Master'!L360)</x:f>
      </x:c>
      <x:c r="L19" s="100" t="str">
        <x:f>IF('Master'!M360="","",'Master'!M360)</x:f>
        <x:v>No</x:v>
      </x:c>
      <x:c r="M19" s="100" t="str">
        <x:f>IF('Master'!N360="","",'Master'!N360)</x:f>
      </x:c>
      <x:c r="N19" s="100" t="str">
        <x:f>IF('Master'!O360="","",'Master'!O360)</x:f>
      </x:c>
      <x:c r="O19" s="100" t="str">
        <x:f>IF('Master'!P360="","",'Master'!P360)</x:f>
        <x:v>Yes</x:v>
      </x:c>
      <x:c r="P19" s="100" t="str">
        <x:f>IF('Master'!Q360="","",'Master'!Q360)</x:f>
        <x:v>Yes</x:v>
      </x:c>
      <x:c r="Q19" s="100" t="str">
        <x:f>IF('Master'!R360="","",'Master'!R360)</x:f>
        <x:v>Yes</x:v>
      </x:c>
      <x:c r="R19" s="100" t="str">
        <x:f>IF('Master'!S360="","",'Master'!S360)</x:f>
        <x:v>Yes</x:v>
      </x:c>
      <x:c r="S19" s="100" t="str">
        <x:f>IF('Master'!T360="","",'Master'!T360)</x:f>
      </x:c>
      <x:c r="T19" s="100" t="str">
        <x:f>IF('Master'!U360="","",'Master'!U360)</x:f>
        <x:v>Yes</x:v>
      </x:c>
      <x:c r="U19" s="100" t="str">
        <x:f>IF('Master'!V360="","",'Master'!V360)</x:f>
        <x:v>No</x:v>
      </x:c>
      <x:c r="V19" s="100" t="str">
        <x:f>IF('Master'!W360="","",'Master'!W360)</x:f>
        <x:v>Yes</x:v>
      </x:c>
      <x:c r="W19" s="100" t="str">
        <x:f>IF('Master'!X360="","",'Master'!X360)</x:f>
        <x:v>Yes</x:v>
      </x:c>
      <x:c r="X19" s="100" t="str">
        <x:f>IF('Master'!Y360="","",'Master'!Y360)</x:f>
        <x:v>No</x:v>
      </x:c>
      <x:c r="Y19" s="100" t="str">
        <x:f>IF('Master'!Z360="","",'Master'!Z360)</x:f>
        <x:v>Yes</x:v>
      </x:c>
      <x:c r="Z19" s="100" t="str">
        <x:f>IF('Master'!AA360="","",'Master'!AA360)</x:f>
        <x:v>Yes</x:v>
      </x:c>
      <x:c r="AA19" s="104" t="str">
        <x:f>IF('Master'!AB360="","",'Master'!AB360)</x:f>
        <x:v>No</x:v>
      </x:c>
      <x:c r="AB19" s="100" t="str">
        <x:f>IF('Master'!AC360="","",'Master'!AC360)</x:f>
        <x:v>Yes</x:v>
      </x:c>
      <x:c r="AC19" s="100" t="str">
        <x:f>IF('Master'!AD360="","",'Master'!AD360)</x:f>
        <x:v>Yes</x:v>
      </x:c>
      <x:c r="AD19" s="100" t="str">
        <x:f>IF('Master'!AE360="","",'Master'!AE360)</x:f>
        <x:v>Yes</x:v>
      </x:c>
      <x:c r="AE19" s="100" t="str">
        <x:f>IF('Master'!AF360="","",'Master'!AF360)</x:f>
        <x:v>No</x:v>
      </x:c>
      <x:c r="AF19" s="75" t="str">
        <x:f>IF('Master'!AG360="","",'Master'!AG360)</x:f>
        <x:v>Yes</x:v>
      </x:c>
    </x:row>
    <x:row r="20" ht="36" customHeight="1">
      <x:c r="A20" s="135" t="str">
        <x:v>Server License</x:v>
      </x:c>
      <x:c r="B20" s="100" t="str">
        <x:f>IF('Master'!C361="","",'Master'!C361)</x:f>
        <x:v>Proprietary</x:v>
      </x:c>
      <x:c r="C20" s="100" t="str">
        <x:f>IF('Master'!D361="","",'Master'!D361)</x:f>
        <x:v>Open source/protocol components</x:v>
      </x:c>
      <x:c r="D20" s="100" t="str">
        <x:f>IF('Master'!E361="","",'Master'!E361)</x:f>
        <x:v>FOSS AGPL-3.0</x:v>
      </x:c>
      <x:c r="E20" s="100" t="str">
        <x:f>IF('Master'!F361="","",'Master'!F361)</x:f>
        <x:v>Proprietary Rust backend</x:v>
      </x:c>
      <x:c r="F20" s="100" t="str">
        <x:f>IF('Master'!G361="","",'Master'!G361)</x:f>
        <x:v>Proprietary during alpha; open-source release planned</x:v>
      </x:c>
      <x:c r="G20" s="100" t="str">
        <x:f>IF('Master'!H361="","",'Master'!H361)</x:f>
        <x:v>FOSS (AGPL-3.0)</x:v>
      </x:c>
      <x:c r="H20" s="100" t="str">
        <x:f>IF('Master'!I361="","",'Master'!I361)</x:f>
        <x:v>Proprietary</x:v>
      </x:c>
      <x:c r="I20" s="100" t="str">
        <x:f>IF('Master'!J361="","",'Master'!J361)</x:f>
      </x:c>
      <x:c r="J20" s="100" t="str">
        <x:f>IF('Master'!K361="","",'Master'!K361)</x:f>
        <x:v>Open source relay/server</x:v>
      </x:c>
      <x:c r="K20" s="100" t="str">
        <x:f>IF('Master'!L361="","",'Master'!L361)</x:f>
        <x:v>MIT</x:v>
      </x:c>
      <x:c r="L20" s="100" t="str">
        <x:f>IF('Master'!M361="","",'Master'!M361)</x:f>
        <x:v>Proprietary</x:v>
      </x:c>
      <x:c r="M20" s="100" t="str">
        <x:f>IF('Master'!N361="","",'Master'!N361)</x:f>
      </x:c>
      <x:c r="N20" s="100" t="str">
        <x:f>IF('Master'!O361="","",'Master'!O361)</x:f>
        <x:v>Varies by homeserver; Synapse is AGPLv3/commercial dual model</x:v>
      </x:c>
      <x:c r="O20" s="100" t="str">
        <x:f>IF('Master'!P361="","",'Master'!P361)</x:f>
        <x:v>Open source Team Edition / AGPL-source plus commercial Enterprise editions</x:v>
      </x:c>
      <x:c r="P20" s="100" t="str">
        <x:f>IF('Master'!Q361="","",'Master'!Q361)</x:f>
        <x:v>Open-source server stack/components</x:v>
      </x:c>
      <x:c r="Q20" s="100" t="str">
        <x:f>IF('Master'!R361="","",'Master'!R361)</x:f>
        <x:v>FOSS (BSD-style / BSD-3-Clause)</x:v>
      </x:c>
      <x:c r="R20" s="100" t="str">
        <x:f>IF('Master'!S361="","",'Master'!S361)</x:f>
        <x:v>FOSS GPL-3.0 server/web components</x:v>
      </x:c>
      <x:c r="S20" s="100" t="str">
        <x:f>IF('Master'!T361="","",'Master'!T361)</x:f>
      </x:c>
      <x:c r="T20" s="100" t="str">
        <x:f>IF('Master'!U361="","",'Master'!U361)</x:f>
        <x:v>AGPL-3.0</x:v>
      </x:c>
      <x:c r="U20" s="100" t="str">
        <x:f>IF('Master'!V361="","",'Master'!V361)</x:f>
        <x:v>Proprietary</x:v>
      </x:c>
      <x:c r="V20" s="100" t="str">
        <x:f>IF('Master'!W361="","",'Master'!W361)</x:f>
        <x:v>FOSS core (MIT) + enterprise-licensed portions</x:v>
      </x:c>
      <x:c r="W20" s="100" t="str">
        <x:f>IF('Master'!X361="","",'Master'!X361)</x:f>
        <x:v>MPL-2.0 project/server components</x:v>
      </x:c>
      <x:c r="X20" s="100" t="str">
        <x:f>IF('Master'!Y361="","",'Master'!Y361)</x:f>
        <x:v>Proprietary</x:v>
      </x:c>
      <x:c r="Y20" s="100" t="str">
        <x:f>IF('Master'!Z361="","",'Master'!Z361)</x:f>
        <x:v>FOSS (AGPL-3.0)</x:v>
      </x:c>
      <x:c r="Z20" s="100" t="str">
        <x:f>IF('Master'!AA361="","",'Master'!AA361)</x:f>
        <x:v>FOSS (backend generally AGPL-3.0)</x:v>
      </x:c>
      <x:c r="AA20" s="104" t="str">
        <x:f>IF('Master'!AB361="","",'Master'!AB361)</x:f>
        <x:v>Proprietary</x:v>
      </x:c>
      <x:c r="AB20" s="100" t="str">
        <x:f>IF('Master'!AC361="","",'Master'!AC361)</x:f>
        <x:v>AGPL-3.0</x:v>
      </x:c>
      <x:c r="AC20" s="100" t="str">
        <x:f>IF('Master'!AD361="","",'Master'!AD361)</x:f>
        <x:v>Backend source public</x:v>
      </x:c>
      <x:c r="AD20" s="100" t="str">
        <x:f>IF('Master'!AE361="","",'Master'!AE361)</x:f>
        <x:v>Source-available</x:v>
      </x:c>
      <x:c r="AE20" s="100" t="str">
        <x:f>IF('Master'!AF361="","",'Master'!AF361)</x:f>
      </x:c>
      <x:c r="AF20" s="75" t="str">
        <x:f>IF('Master'!AG361="","",'Master'!AG361)</x:f>
        <x:v>FOSS (Apache-2.0 server/web app)</x:v>
      </x:c>
    </x:row>
    <x:row r="21" ht="36" customHeight="1">
      <x:c r="A21" s="135" t="str">
        <x:v>Reference Client Repo</x:v>
      </x:c>
      <x:c r="B21" s="100" t="str">
        <x:f>IF('Master'!C362="","",'Master'!C362)</x:f>
        <x:v>N/A — no public core client source repository</x:v>
      </x:c>
      <x:c r="C21" s="100" t="str">
        <x:f>IF('Master'!D362="","",'Master'!D362)</x:f>
        <x:v>https://github.com/soapbox-pub/armada</x:v>
      </x:c>
      <x:c r="D21" s="100" t="str">
        <x:f>IF('Master'!E362="","",'Master'!E362)</x:f>
        <x:v>https://github.com/hackthedev/dcts-shipping</x:v>
      </x:c>
      <x:c r="E21" s="100" t="str">
        <x:f>IF('Master'!F362="","",'Master'!F362)</x:f>
        <x:v>N/A</x:v>
      </x:c>
      <x:c r="F21" s="100" t="str">
        <x:f>IF('Master'!G362="","",'Master'!G362)</x:f>
        <x:v>N/A — not public yet</x:v>
      </x:c>
      <x:c r="G21" s="100" t="str">
        <x:f>IF('Master'!H362="","",'Master'!H362)</x:f>
        <x:v>https://github.com/fluxerapp/fluxer</x:v>
      </x:c>
      <x:c r="H21" s="100" t="str">
        <x:f>IF('Master'!I362="","",'Master'!I362)</x:f>
        <x:v>N/A</x:v>
      </x:c>
      <x:c r="I21" s="100" t="str">
        <x:f>IF('Master'!J362="","",'Master'!J362)</x:f>
        <x:v>https://codeberg.org/MelodyChat/Fermi</x:v>
      </x:c>
      <x:c r="J21" s="100" t="str">
        <x:f>IF('Master'!K362="","",'Master'!K362)</x:f>
        <x:v>https://github.com/VitalikPro13/HOLLOW</x:v>
      </x:c>
      <x:c r="K21" s="100" t="str">
        <x:f>IF('Master'!L362="","",'Master'!L362)</x:f>
        <x:v>https://github.com/CookieNom/KaedeChat</x:v>
      </x:c>
      <x:c r="L21" s="100" t="str">
        <x:f>IF('Master'!M362="","",'Master'!M362)</x:f>
        <x:v>N/A</x:v>
      </x:c>
      <x:c r="M21" s="100" t="str">
        <x:f>IF('Master'!N362="","",'Master'!N362)</x:f>
      </x:c>
      <x:c r="N21" s="100" t="str">
        <x:f>IF('Master'!O362="","",'Master'!O362)</x:f>
        <x:v>No single client repo — clients are separate implementations</x:v>
      </x:c>
      <x:c r="O21" s="100" t="str">
        <x:f>IF('Master'!P362="","",'Master'!P362)</x:f>
        <x:v>https://github.com/mattermost/mattermost-desktop</x:v>
      </x:c>
      <x:c r="P21" s="100" t="str">
        <x:f>IF('Master'!Q362="","",'Master'!Q362)</x:f>
        <x:v>https://github.com/mezonai/mezon</x:v>
      </x:c>
      <x:c r="Q21" s="100" t="str">
        <x:f>IF('Master'!R362="","",'Master'!R362)</x:f>
        <x:v>https://github.com/mumble-voip/mumble</x:v>
      </x:c>
      <x:c r="R21" s="100" t="str">
        <x:f>IF('Master'!S362="","",'Master'!S362)</x:f>
        <x:v>https://github.com/Nerimity/nerimity-web</x:v>
      </x:c>
      <x:c r="S21" s="100" t="str">
        <x:f>IF('Master'!T362="","",'Master'!T362)</x:f>
      </x:c>
      <x:c r="T21" s="100" t="str">
        <x:f>IF('Master'!U362="","",'Master'!U362)</x:f>
        <x:v>https://github.com/rafaelcg/pqp</x:v>
      </x:c>
      <x:c r="U21" s="100" t="str">
        <x:f>IF('Master'!V362="","",'Master'!V362)</x:f>
        <x:v>N/A</x:v>
      </x:c>
      <x:c r="V21" s="100" t="str">
        <x:f>IF('Master'!W362="","",'Master'!W362)</x:f>
        <x:v>https://github.com/RocketChat/Rocket.Chat.Electron</x:v>
      </x:c>
      <x:c r="W21" s="100" t="str">
        <x:f>IF('Master'!X362="","",'Master'!X362)</x:f>
        <x:v>https://github.com/muni-town/roomy</x:v>
      </x:c>
      <x:c r="X21" s="100" t="str">
        <x:f>IF('Master'!Y362="","",'Master'!Y362)</x:f>
        <x:v>N/A</x:v>
      </x:c>
      <x:c r="Y21" s="100" t="str">
        <x:f>IF('Master'!Z362="","",'Master'!Z362)</x:f>
        <x:v>https://github.com/spacebarchat/client</x:v>
      </x:c>
      <x:c r="Z21" s="100" t="str">
        <x:f>IF('Master'!AA362="","",'Master'!AA362)</x:f>
        <x:v>https://github.com/stoatchat/for-web</x:v>
      </x:c>
      <x:c r="AA21" s="104" t="str">
        <x:f>IF('Master'!AB362="","",'Master'!AB362)</x:f>
        <x:v>N/A</x:v>
      </x:c>
      <x:c r="AB21" s="100" t="str">
        <x:f>IF('Master'!AC362="","",'Master'!AC362)</x:f>
        <x:v>https://github.com/Valour-Software/Valour</x:v>
      </x:c>
      <x:c r="AC21" s="100" t="str">
        <x:f>IF('Master'!AD362="","",'Master'!AD362)</x:f>
      </x:c>
      <x:c r="AD21" s="100" t="str">
        <x:f>IF('Master'!AE362="","",'Master'!AE362)</x:f>
        <x:v>https://github.com/Weeredjs/Weered</x:v>
      </x:c>
      <x:c r="AE21" s="100" t="str">
        <x:f>IF('Master'!AF362="","",'Master'!AF362)</x:f>
      </x:c>
      <x:c r="AF21" s="75" t="str">
        <x:f>IF('Master'!AG362="","",'Master'!AG362)</x:f>
        <x:v>https://github.com/zulip/zulip-desktop</x:v>
      </x:c>
    </x:row>
    <x:row r="22" ht="36" customHeight="1">
      <x:c r="A22" s="135" t="str">
        <x:v>Reference Server Repo</x:v>
      </x:c>
      <x:c r="B22" s="100" t="str">
        <x:f>IF('Master'!C363="","",'Master'!C363)</x:f>
        <x:v>N/A — no public core server source repository</x:v>
      </x:c>
      <x:c r="C22" s="100" t="str">
        <x:f>IF('Master'!D363="","",'Master'!D363)</x:f>
        <x:v>https://github.com/soapbox-pub/armada</x:v>
      </x:c>
      <x:c r="D22" s="100" t="str">
        <x:f>IF('Master'!E363="","",'Master'!E363)</x:f>
        <x:v>https://github.com/hackthedev/dcts-shipping</x:v>
      </x:c>
      <x:c r="E22" s="100" t="str">
        <x:f>IF('Master'!F363="","",'Master'!F363)</x:f>
        <x:v>N/A</x:v>
      </x:c>
      <x:c r="F22" s="100" t="str">
        <x:f>IF('Master'!G363="","",'Master'!G363)</x:f>
        <x:v>N/A — not public yet</x:v>
      </x:c>
      <x:c r="G22" s="100" t="str">
        <x:f>IF('Master'!H363="","",'Master'!H363)</x:f>
        <x:v>https://github.com/fluxerapp/fluxer</x:v>
      </x:c>
      <x:c r="H22" s="100" t="str">
        <x:f>IF('Master'!I363="","",'Master'!I363)</x:f>
        <x:v>N/A</x:v>
      </x:c>
      <x:c r="I22" s="100" t="str">
        <x:f>IF('Master'!J363="","",'Master'!J363)</x:f>
        <x:v>https://codeberg.org/MelodyChat/Harmony</x:v>
      </x:c>
      <x:c r="J22" s="100" t="str">
        <x:f>IF('Master'!K363="","",'Master'!K363)</x:f>
        <x:v>https://github.com/VitalikPro13/HOLLOW</x:v>
      </x:c>
      <x:c r="K22" s="100" t="str">
        <x:f>IF('Master'!L363="","",'Master'!L363)</x:f>
        <x:v>https://github.com/CookieNom/KaedeChat</x:v>
      </x:c>
      <x:c r="L22" s="100" t="str">
        <x:f>IF('Master'!M363="","",'Master'!M363)</x:f>
        <x:v>N/A</x:v>
      </x:c>
      <x:c r="M22" s="100" t="str">
        <x:f>IF('Master'!N363="","",'Master'!N363)</x:f>
      </x:c>
      <x:c r="N22" s="100" t="str">
        <x:f>IF('Master'!O363="","",'Master'!O363)</x:f>
        <x:v>No single server repo — Synapse, Dendrite/others implement Matrix</x:v>
      </x:c>
      <x:c r="O22" s="100" t="str">
        <x:f>IF('Master'!P363="","",'Master'!P363)</x:f>
        <x:v>https://github.com/mattermost/mattermost</x:v>
      </x:c>
      <x:c r="P22" s="100" t="str">
        <x:f>IF('Master'!Q363="","",'Master'!Q363)</x:f>
        <x:v>https://github.com/mezonai/mezon</x:v>
      </x:c>
      <x:c r="Q22" s="100" t="str">
        <x:f>IF('Master'!R363="","",'Master'!R363)</x:f>
        <x:v>https://github.com/mumble-voip/mumble</x:v>
      </x:c>
      <x:c r="R22" s="100" t="str">
        <x:f>IF('Master'!S363="","",'Master'!S363)</x:f>
        <x:v>https://github.com/Nerimity/nerimity-server</x:v>
      </x:c>
      <x:c r="S22" s="100" t="str">
        <x:f>IF('Master'!T363="","",'Master'!T363)</x:f>
      </x:c>
      <x:c r="T22" s="100" t="str">
        <x:f>IF('Master'!U363="","",'Master'!U363)</x:f>
        <x:v>https://github.com/rafaelcg/pqp</x:v>
      </x:c>
      <x:c r="U22" s="100" t="str">
        <x:f>IF('Master'!V363="","",'Master'!V363)</x:f>
        <x:v>N/A</x:v>
      </x:c>
      <x:c r="V22" s="100" t="str">
        <x:f>IF('Master'!W363="","",'Master'!W363)</x:f>
        <x:v>https://github.com/RocketChat/Rocket.Chat</x:v>
      </x:c>
      <x:c r="W22" s="100" t="str">
        <x:f>IF('Master'!X363="","",'Master'!X363)</x:f>
        <x:v>https://github.com/muni-town/roomy</x:v>
      </x:c>
      <x:c r="X22" s="100" t="str">
        <x:f>IF('Master'!Y363="","",'Master'!Y363)</x:f>
        <x:v>N/A</x:v>
      </x:c>
      <x:c r="Y22" s="100" t="str">
        <x:f>IF('Master'!Z363="","",'Master'!Z363)</x:f>
        <x:v>https://github.com/spacebarchat/server</x:v>
      </x:c>
      <x:c r="Z22" s="100" t="str">
        <x:f>IF('Master'!AA363="","",'Master'!AA363)</x:f>
        <x:v>https://github.com/stoatchat/stoatchat</x:v>
      </x:c>
      <x:c r="AA22" s="104" t="str">
        <x:f>IF('Master'!AB363="","",'Master'!AB363)</x:f>
        <x:v>N/A</x:v>
      </x:c>
      <x:c r="AB22" s="100" t="str">
        <x:f>IF('Master'!AC363="","",'Master'!AC363)</x:f>
        <x:v>https://github.com/Valour-Software/Valour</x:v>
      </x:c>
      <x:c r="AC22" s="100" t="str">
        <x:f>IF('Master'!AD363="","",'Master'!AD363)</x:f>
        <x:v>https://github.com/AlpineBits-ch/AlpineBackend</x:v>
      </x:c>
      <x:c r="AD22" s="100" t="str">
        <x:f>IF('Master'!AE363="","",'Master'!AE363)</x:f>
        <x:v>https://github.com/Weeredjs/Weered</x:v>
      </x:c>
      <x:c r="AE22" s="100" t="str">
        <x:f>IF('Master'!AF363="","",'Master'!AF363)</x:f>
      </x:c>
      <x:c r="AF22" s="75" t="str">
        <x:f>IF('Master'!AG363="","",'Master'!AG363)</x:f>
        <x:v>https://github.com/zulip/zulip</x:v>
      </x:c>
    </x:row>
    <x:row r="23" ht="22" customHeight="1">
      <x:c r="A23" s="138" t="str">
        <x:v>Deployment Requirements</x:v>
      </x:c>
      <x:c r="B23" s="138" t="str">
        <x:f>IF(""="","","")</x:f>
      </x:c>
      <x:c r="C23" s="138" t="str">
        <x:f>IF(""="","","")</x:f>
      </x:c>
      <x:c r="D23" s="138" t="str">
        <x:f>IF(""="","","")</x:f>
      </x:c>
      <x:c r="E23" s="138" t="str">
        <x:f>IF(""="","","")</x:f>
      </x:c>
      <x:c r="F23" s="138" t="str">
        <x:f>IF(""="","","")</x:f>
      </x:c>
      <x:c r="G23" s="138" t="str">
        <x:f>IF(""="","","")</x:f>
      </x:c>
      <x:c r="H23" s="138" t="str">
        <x:f>IF(""="","","")</x:f>
      </x:c>
      <x:c r="I23" s="138" t="str">
        <x:f>IF(""="","","")</x:f>
      </x:c>
      <x:c r="J23" s="138" t="str">
        <x:f>IF(""="","","")</x:f>
      </x:c>
      <x:c r="K23" s="138" t="str">
        <x:f>IF(""="","","")</x:f>
      </x:c>
      <x:c r="L23" s="138" t="str">
        <x:f>IF(""="","","")</x:f>
      </x:c>
      <x:c r="M23" s="138" t="str">
        <x:f>IF(""="","","")</x:f>
      </x:c>
      <x:c r="N23" s="138" t="str">
        <x:f>IF(""="","","")</x:f>
      </x:c>
      <x:c r="O23" s="138" t="str">
        <x:f>IF(""="","","")</x:f>
      </x:c>
      <x:c r="P23" s="138" t="str">
        <x:f>IF(""="","","")</x:f>
      </x:c>
      <x:c r="Q23" s="138" t="str">
        <x:f>IF(""="","","")</x:f>
      </x:c>
      <x:c r="R23" s="138" t="str">
        <x:f>IF(""="","","")</x:f>
      </x:c>
      <x:c r="S23" s="138" t="str">
        <x:f>IF(""="","","")</x:f>
      </x:c>
      <x:c r="T23" s="138" t="str">
        <x:f>IF(""="","","")</x:f>
      </x:c>
      <x:c r="U23" s="138" t="str">
        <x:f>IF(""="","","")</x:f>
      </x:c>
      <x:c r="V23" s="138" t="str">
        <x:f>IF(""="","","")</x:f>
      </x:c>
      <x:c r="W23" s="138" t="str">
        <x:f>IF(""="","","")</x:f>
      </x:c>
      <x:c r="X23" s="138" t="str">
        <x:f>IF(""="","","")</x:f>
      </x:c>
      <x:c r="Y23" s="138" t="str">
        <x:f>IF(""="","","")</x:f>
      </x:c>
      <x:c r="Z23" s="138" t="str">
        <x:f>IF(""="","","")</x:f>
      </x:c>
      <x:c r="AA23" s="138" t="str">
        <x:f>IF(""="","","")</x:f>
      </x:c>
      <x:c r="AB23" s="138" t="str">
        <x:f>IF(""="","","")</x:f>
      </x:c>
      <x:c r="AC23" s="138" t="str">
        <x:f>IF(""="","","")</x:f>
      </x:c>
      <x:c r="AD23" s="138" t="str">
        <x:f>IF(""="","","")</x:f>
      </x:c>
      <x:c r="AE23" s="138" t="str">
        <x:f>IF(""="","","")</x:f>
      </x:c>
      <x:c r="AF23" s="139" t="str">
        <x:f>IF(""="","","")</x:f>
      </x:c>
    </x:row>
    <x:row r="24" ht="36" customHeight="1">
      <x:c r="A24" s="135" t="str">
        <x:v>Docker Compose?</x:v>
      </x:c>
      <x:c r="B24" s="100" t="str">
        <x:f>IF('Master'!C364="","",'Master'!C364)</x:f>
        <x:v>N/A</x:v>
      </x:c>
      <x:c r="C24" s="100" t="str">
        <x:f>IF('Master'!D364="","",'Master'!D364)</x:f>
        <x:v>Relay/self-host options</x:v>
      </x:c>
      <x:c r="D24" s="100" t="str">
        <x:f>IF('Master'!E364="","",'Master'!E364)</x:f>
        <x:v>Yes</x:v>
      </x:c>
      <x:c r="E24" s="100" t="str">
        <x:f>IF('Master'!F364="","",'Master'!F364)</x:f>
        <x:v>No</x:v>
      </x:c>
      <x:c r="F24" s="100" t="str">
        <x:f>IF('Master'!G364="","",'Master'!G364)</x:f>
        <x:v>No</x:v>
      </x:c>
      <x:c r="G24" s="100" t="str">
        <x:f>IF('Master'!H364="","",'Master'!H364)</x:f>
        <x:v>Yes</x:v>
      </x:c>
      <x:c r="H24" s="100" t="str">
        <x:f>IF('Master'!I364="","",'Master'!I364)</x:f>
      </x:c>
      <x:c r="I24" s="100" t="str">
        <x:f>IF('Master'!J364="","",'Master'!J364)</x:f>
      </x:c>
      <x:c r="J24" s="100" t="str">
        <x:f>IF('Master'!K364="","",'Master'!K364)</x:f>
      </x:c>
      <x:c r="K24" s="100" t="str">
        <x:f>IF('Master'!L364="","",'Master'!L364)</x:f>
        <x:v>Yes — Docker Compose</x:v>
      </x:c>
      <x:c r="L24" s="100" t="str">
        <x:f>IF('Master'!M364="","",'Master'!M364)</x:f>
        <x:v>No</x:v>
      </x:c>
      <x:c r="M24" s="100" t="str">
        <x:f>IF('Master'!N364="","",'Master'!N364)</x:f>
        <x:v>Self-hosting advertised</x:v>
      </x:c>
      <x:c r="N24" s="100" t="str">
        <x:f>IF('Master'!O364="","",'Master'!O364)</x:f>
        <x:v>Yes</x:v>
      </x:c>
      <x:c r="O24" s="100" t="str">
        <x:f>IF('Master'!P364="","",'Master'!P364)</x:f>
        <x:v>Yes</x:v>
      </x:c>
      <x:c r="P24" s="100" t="str">
        <x:f>IF('Master'!Q364="","",'Master'!Q364)</x:f>
      </x:c>
      <x:c r="Q24" s="100" t="str">
        <x:f>IF('Master'!R364="","",'Master'!R364)</x:f>
        <x:v>Yes</x:v>
      </x:c>
      <x:c r="R24" s="100" t="str">
        <x:f>IF('Master'!S364="","",'Master'!S364)</x:f>
      </x:c>
      <x:c r="S24" s="100" t="str">
        <x:f>IF('Master'!T364="","",'Master'!T364)</x:f>
        <x:v>No</x:v>
      </x:c>
      <x:c r="T24" s="100" t="str">
        <x:f>IF('Master'!U364="","",'Master'!U364)</x:f>
      </x:c>
      <x:c r="U24" s="100" t="str">
        <x:f>IF('Master'!V364="","",'Master'!V364)</x:f>
        <x:v>No</x:v>
      </x:c>
      <x:c r="V24" s="100" t="str">
        <x:f>IF('Master'!W364="","",'Master'!W364)</x:f>
        <x:v>Yes</x:v>
      </x:c>
      <x:c r="W24" s="100" t="str">
        <x:f>IF('Master'!X364="","",'Master'!X364)</x:f>
      </x:c>
      <x:c r="X24" s="100" t="str">
        <x:f>IF('Master'!Y364="","",'Master'!Y364)</x:f>
        <x:v>No</x:v>
      </x:c>
      <x:c r="Y24" s="100" t="str">
        <x:f>IF('Master'!Z364="","",'Master'!Z364)</x:f>
        <x:v>Yes</x:v>
      </x:c>
      <x:c r="Z24" s="100" t="str">
        <x:f>IF('Master'!AA364="","",'Master'!AA364)</x:f>
        <x:v>Yes</x:v>
      </x:c>
      <x:c r="AA24" s="104" t="str">
        <x:f>IF('Master'!AB364="","",'Master'!AB364)</x:f>
        <x:v>Yes</x:v>
      </x:c>
      <x:c r="AB24" s="100" t="str">
        <x:f>IF('Master'!AC364="","",'Master'!AC364)</x:f>
        <x:v>Yes</x:v>
      </x:c>
      <x:c r="AC24" s="100" t="str">
        <x:f>IF('Master'!AD364="","",'Master'!AD364)</x:f>
      </x:c>
      <x:c r="AD24" s="100" t="str">
        <x:f>IF('Master'!AE364="","",'Master'!AE364)</x:f>
        <x:v>No</x:v>
      </x:c>
      <x:c r="AE24" s="100" t="str">
        <x:f>IF('Master'!AF364="","",'Master'!AF364)</x:f>
      </x:c>
      <x:c r="AF24" s="75" t="str">
        <x:f>IF('Master'!AG364="","",'Master'!AG364)</x:f>
        <x:v>Yes</x:v>
      </x:c>
    </x:row>
    <x:row r="25" ht="36" customHeight="1">
      <x:c r="A25" s="135" t="str">
        <x:v>Official Docker Image?</x:v>
      </x:c>
      <x:c r="B25" s="100" t="str">
        <x:f>IF('Master'!C365="","",'Master'!C365)</x:f>
        <x:v>No</x:v>
      </x:c>
      <x:c r="C25" s="100" t="str">
        <x:f>IF('Master'!D365="","",'Master'!D365)</x:f>
      </x:c>
      <x:c r="D25" s="100" t="str">
        <x:f>IF('Master'!E365="","",'Master'!E365)</x:f>
      </x:c>
      <x:c r="E25" s="100" t="str">
        <x:f>IF('Master'!F365="","",'Master'!F365)</x:f>
      </x:c>
      <x:c r="F25" s="100" t="str">
        <x:f>IF('Master'!G365="","",'Master'!G365)</x:f>
      </x:c>
      <x:c r="G25" s="100" t="str">
        <x:f>IF('Master'!H365="","",'Master'!H365)</x:f>
      </x:c>
      <x:c r="H25" s="100" t="str">
        <x:f>IF('Master'!I365="","",'Master'!I365)</x:f>
      </x:c>
      <x:c r="I25" s="100" t="str">
        <x:f>IF('Master'!J365="","",'Master'!J365)</x:f>
      </x:c>
      <x:c r="J25" s="100" t="str">
        <x:f>IF('Master'!K365="","",'Master'!K365)</x:f>
      </x:c>
      <x:c r="K25" s="100" t="str">
        <x:f>IF('Master'!L365="","",'Master'!L365)</x:f>
        <x:v>No registry image documented; production Compose builds Kaede from the checkout</x:v>
      </x:c>
      <x:c r="L25" s="100" t="str">
        <x:f>IF('Master'!M365="","",'Master'!M365)</x:f>
      </x:c>
      <x:c r="M25" s="100" t="str">
        <x:f>IF('Master'!N365="","",'Master'!N365)</x:f>
      </x:c>
      <x:c r="N25" s="100" t="str">
        <x:f>IF('Master'!O365="","",'Master'!O365)</x:f>
      </x:c>
      <x:c r="O25" s="100" t="str">
        <x:f>IF('Master'!P365="","",'Master'!P365)</x:f>
        <x:v>Yes</x:v>
      </x:c>
      <x:c r="P25" s="100" t="str">
        <x:f>IF('Master'!Q365="","",'Master'!Q365)</x:f>
      </x:c>
      <x:c r="Q25" s="100" t="str">
        <x:f>IF('Master'!R365="","",'Master'!R365)</x:f>
        <x:v>Yes</x:v>
      </x:c>
      <x:c r="R25" s="100" t="str">
        <x:f>IF('Master'!S365="","",'Master'!S365)</x:f>
      </x:c>
      <x:c r="S25" s="100" t="str">
        <x:f>IF('Master'!T365="","",'Master'!T365)</x:f>
      </x:c>
      <x:c r="T25" s="100" t="str">
        <x:f>IF('Master'!U365="","",'Master'!U365)</x:f>
      </x:c>
      <x:c r="U25" s="100" t="str">
        <x:f>IF('Master'!V365="","",'Master'!V365)</x:f>
        <x:v>N/A</x:v>
      </x:c>
      <x:c r="V25" s="100" t="str">
        <x:f>IF('Master'!W365="","",'Master'!W365)</x:f>
        <x:v>Yes</x:v>
      </x:c>
      <x:c r="W25" s="100" t="str">
        <x:f>IF('Master'!X365="","",'Master'!X365)</x:f>
      </x:c>
      <x:c r="X25" s="100" t="str">
        <x:f>IF('Master'!Y365="","",'Master'!Y365)</x:f>
      </x:c>
      <x:c r="Y25" s="100" t="str">
        <x:f>IF('Master'!Z365="","",'Master'!Z365)</x:f>
      </x:c>
      <x:c r="Z25" s="100" t="str">
        <x:f>IF('Master'!AA365="","",'Master'!AA365)</x:f>
      </x:c>
      <x:c r="AA25" s="104" t="str">
        <x:f>IF('Master'!AB365="","",'Master'!AB365)</x:f>
        <x:v>Yes</x:v>
      </x:c>
      <x:c r="AB25" s="100" t="str">
        <x:f>IF('Master'!AC365="","",'Master'!AC365)</x:f>
      </x:c>
      <x:c r="AC25" s="100" t="str">
        <x:f>IF('Master'!AD365="","",'Master'!AD365)</x:f>
      </x:c>
      <x:c r="AD25" s="100" t="str">
        <x:f>IF('Master'!AE365="","",'Master'!AE365)</x:f>
      </x:c>
      <x:c r="AE25" s="100" t="str">
        <x:f>IF('Master'!AF365="","",'Master'!AF365)</x:f>
      </x:c>
      <x:c r="AF25" s="75" t="str">
        <x:f>IF('Master'!AG365="","",'Master'!AG365)</x:f>
      </x:c>
    </x:row>
    <x:row r="26" ht="36" customHeight="1">
      <x:c r="A26" s="135" t="str">
        <x:v>Kubernetes Documentation?</x:v>
      </x:c>
      <x:c r="B26" s="100" t="str">
        <x:f>IF('Master'!C366="","",'Master'!C366)</x:f>
      </x:c>
      <x:c r="C26" s="100" t="str">
        <x:f>IF('Master'!D366="","",'Master'!D366)</x:f>
      </x:c>
      <x:c r="D26" s="100" t="str">
        <x:f>IF('Master'!E366="","",'Master'!E366)</x:f>
      </x:c>
      <x:c r="E26" s="100" t="str">
        <x:f>IF('Master'!F366="","",'Master'!F366)</x:f>
      </x:c>
      <x:c r="F26" s="100" t="str">
        <x:f>IF('Master'!G366="","",'Master'!G366)</x:f>
      </x:c>
      <x:c r="G26" s="100" t="str">
        <x:f>IF('Master'!H366="","",'Master'!H366)</x:f>
      </x:c>
      <x:c r="H26" s="100" t="str">
        <x:f>IF('Master'!I366="","",'Master'!I366)</x:f>
      </x:c>
      <x:c r="I26" s="100" t="str">
        <x:f>IF('Master'!J366="","",'Master'!J366)</x:f>
      </x:c>
      <x:c r="J26" s="100" t="str">
        <x:f>IF('Master'!K366="","",'Master'!K366)</x:f>
      </x:c>
      <x:c r="K26" s="100" t="str">
        <x:f>IF('Master'!L366="","",'Master'!L366)</x:f>
        <x:v>No — no Kubernetes deployment guide located</x:v>
      </x:c>
      <x:c r="L26" s="100" t="str">
        <x:f>IF('Master'!M366="","",'Master'!M366)</x:f>
      </x:c>
      <x:c r="M26" s="100" t="str">
        <x:f>IF('Master'!N366="","",'Master'!N366)</x:f>
      </x:c>
      <x:c r="N26" s="100" t="str">
        <x:f>IF('Master'!O366="","",'Master'!O366)</x:f>
      </x:c>
      <x:c r="O26" s="100" t="str">
        <x:f>IF('Master'!P366="","",'Master'!P366)</x:f>
        <x:v>Yes</x:v>
      </x:c>
      <x:c r="P26" s="100" t="str">
        <x:f>IF('Master'!Q366="","",'Master'!Q366)</x:f>
      </x:c>
      <x:c r="Q26" s="100" t="str">
        <x:f>IF('Master'!R366="","",'Master'!R366)</x:f>
      </x:c>
      <x:c r="R26" s="100" t="str">
        <x:f>IF('Master'!S366="","",'Master'!S366)</x:f>
      </x:c>
      <x:c r="S26" s="100" t="str">
        <x:f>IF('Master'!T366="","",'Master'!T366)</x:f>
      </x:c>
      <x:c r="T26" s="100" t="str">
        <x:f>IF('Master'!U366="","",'Master'!U366)</x:f>
      </x:c>
      <x:c r="U26" s="100" t="str">
        <x:f>IF('Master'!V366="","",'Master'!V366)</x:f>
        <x:v>N/A</x:v>
      </x:c>
      <x:c r="V26" s="100" t="str">
        <x:f>IF('Master'!W366="","",'Master'!W366)</x:f>
        <x:v>Yes</x:v>
      </x:c>
      <x:c r="W26" s="100" t="str">
        <x:f>IF('Master'!X366="","",'Master'!X366)</x:f>
      </x:c>
      <x:c r="X26" s="100" t="str">
        <x:f>IF('Master'!Y366="","",'Master'!Y366)</x:f>
      </x:c>
      <x:c r="Y26" s="100" t="str">
        <x:f>IF('Master'!Z366="","",'Master'!Z366)</x:f>
      </x:c>
      <x:c r="Z26" s="100" t="str">
        <x:f>IF('Master'!AA366="","",'Master'!AA366)</x:f>
      </x:c>
      <x:c r="AA26" s="104" t="str">
        <x:f>IF('Master'!AB366="","",'Master'!AB366)</x:f>
      </x:c>
      <x:c r="AB26" s="100" t="str">
        <x:f>IF('Master'!AC366="","",'Master'!AC366)</x:f>
      </x:c>
      <x:c r="AC26" s="100" t="str">
        <x:f>IF('Master'!AD366="","",'Master'!AD366)</x:f>
      </x:c>
      <x:c r="AD26" s="100" t="str">
        <x:f>IF('Master'!AE366="","",'Master'!AE366)</x:f>
      </x:c>
      <x:c r="AE26" s="100" t="str">
        <x:f>IF('Master'!AF366="","",'Master'!AF366)</x:f>
      </x:c>
      <x:c r="AF26" s="75" t="str">
        <x:f>IF('Master'!AG366="","",'Master'!AG366)</x:f>
      </x:c>
    </x:row>
    <x:row r="27" ht="36" customHeight="1">
      <x:c r="A27" s="135" t="str">
        <x:v>External Database Required?</x:v>
      </x:c>
      <x:c r="B27" s="100" t="str">
        <x:f>IF('Master'!C367="","",'Master'!C367)</x:f>
      </x:c>
      <x:c r="C27" s="100" t="str">
        <x:f>IF('Master'!D367="","",'Master'!D367)</x:f>
      </x:c>
      <x:c r="D27" s="100" t="str">
        <x:f>IF('Master'!E367="","",'Master'!E367)</x:f>
      </x:c>
      <x:c r="E27" s="100" t="str">
        <x:f>IF('Master'!F367="","",'Master'!F367)</x:f>
      </x:c>
      <x:c r="F27" s="100" t="str">
        <x:f>IF('Master'!G367="","",'Master'!G367)</x:f>
      </x:c>
      <x:c r="G27" s="100" t="str">
        <x:f>IF('Master'!H367="","",'Master'!H367)</x:f>
        <x:v>Yes</x:v>
      </x:c>
      <x:c r="H27" s="100" t="str">
        <x:f>IF('Master'!I367="","",'Master'!I367)</x:f>
        <x:v>No</x:v>
      </x:c>
      <x:c r="I27" s="100" t="str">
        <x:f>IF('Master'!J367="","",'Master'!J367)</x:f>
      </x:c>
      <x:c r="J27" s="100" t="str">
        <x:f>IF('Master'!K367="","",'Master'!K367)</x:f>
      </x:c>
      <x:c r="K27" s="100" t="str">
        <x:f>IF('Master'!L367="","",'Master'!L367)</x:f>
        <x:v>Yes — PostgreSQL</x:v>
      </x:c>
      <x:c r="L27" s="100" t="str">
        <x:f>IF('Master'!M367="","",'Master'!M367)</x:f>
      </x:c>
      <x:c r="M27" s="100" t="str">
        <x:f>IF('Master'!N367="","",'Master'!N367)</x:f>
      </x:c>
      <x:c r="N27" s="100" t="str">
        <x:f>IF('Master'!O367="","",'Master'!O367)</x:f>
        <x:v>Yes</x:v>
      </x:c>
      <x:c r="O27" s="100" t="str">
        <x:f>IF('Master'!P367="","",'Master'!P367)</x:f>
        <x:v>Yes</x:v>
      </x:c>
      <x:c r="P27" s="100" t="str">
        <x:f>IF('Master'!Q367="","",'Master'!Q367)</x:f>
      </x:c>
      <x:c r="Q27" s="100" t="str">
        <x:f>IF('Master'!R367="","",'Master'!R367)</x:f>
        <x:v>No</x:v>
      </x:c>
      <x:c r="R27" s="100" t="str">
        <x:f>IF('Master'!S367="","",'Master'!S367)</x:f>
      </x:c>
      <x:c r="S27" s="100" t="str">
        <x:f>IF('Master'!T367="","",'Master'!T367)</x:f>
      </x:c>
      <x:c r="T27" s="100" t="str">
        <x:f>IF('Master'!U367="","",'Master'!U367)</x:f>
        <x:v>PostgreSQL is part of the documented self-host stack</x:v>
      </x:c>
      <x:c r="U27" s="100" t="str">
        <x:f>IF('Master'!V367="","",'Master'!V367)</x:f>
        <x:v>N/A</x:v>
      </x:c>
      <x:c r="V27" s="100" t="str">
        <x:f>IF('Master'!W367="","",'Master'!W367)</x:f>
        <x:v>Yes</x:v>
      </x:c>
      <x:c r="W27" s="100" t="str">
        <x:f>IF('Master'!X367="","",'Master'!X367)</x:f>
      </x:c>
      <x:c r="X27" s="100" t="str">
        <x:f>IF('Master'!Y367="","",'Master'!Y367)</x:f>
      </x:c>
      <x:c r="Y27" s="100" t="str">
        <x:f>IF('Master'!Z367="","",'Master'!Z367)</x:f>
      </x:c>
      <x:c r="Z27" s="100" t="str">
        <x:f>IF('Master'!AA367="","",'Master'!AA367)</x:f>
        <x:v>Yes</x:v>
      </x:c>
      <x:c r="AA27" s="104" t="str">
        <x:f>IF('Master'!AB367="","",'Master'!AB367)</x:f>
      </x:c>
      <x:c r="AB27" s="100" t="str">
        <x:f>IF('Master'!AC367="","",'Master'!AC367)</x:f>
      </x:c>
      <x:c r="AC27" s="100" t="str">
        <x:f>IF('Master'!AD367="","",'Master'!AD367)</x:f>
      </x:c>
      <x:c r="AD27" s="100" t="str">
        <x:f>IF('Master'!AE367="","",'Master'!AE367)</x:f>
      </x:c>
      <x:c r="AE27" s="100" t="str">
        <x:f>IF('Master'!AF367="","",'Master'!AF367)</x:f>
      </x:c>
      <x:c r="AF27" s="75" t="str">
        <x:f>IF('Master'!AG367="","",'Master'!AG367)</x:f>
        <x:v>Yes</x:v>
      </x:c>
    </x:row>
    <x:row r="28" ht="36" customHeight="1">
      <x:c r="A28" s="135" t="str">
        <x:v>External Cache Required?</x:v>
      </x:c>
      <x:c r="B28" s="100" t="str">
        <x:f>IF('Master'!C368="","",'Master'!C368)</x:f>
      </x:c>
      <x:c r="C28" s="100" t="str">
        <x:f>IF('Master'!D368="","",'Master'!D368)</x:f>
      </x:c>
      <x:c r="D28" s="100" t="str">
        <x:f>IF('Master'!E368="","",'Master'!E368)</x:f>
      </x:c>
      <x:c r="E28" s="100" t="str">
        <x:f>IF('Master'!F368="","",'Master'!F368)</x:f>
      </x:c>
      <x:c r="F28" s="100" t="str">
        <x:f>IF('Master'!G368="","",'Master'!G368)</x:f>
      </x:c>
      <x:c r="G28" s="100" t="str">
        <x:f>IF('Master'!H368="","",'Master'!H368)</x:f>
        <x:v>Yes</x:v>
      </x:c>
      <x:c r="H28" s="100" t="str">
        <x:f>IF('Master'!I368="","",'Master'!I368)</x:f>
      </x:c>
      <x:c r="I28" s="100" t="str">
        <x:f>IF('Master'!J368="","",'Master'!J368)</x:f>
      </x:c>
      <x:c r="J28" s="100" t="str">
        <x:f>IF('Master'!K368="","",'Master'!K368)</x:f>
      </x:c>
      <x:c r="K28" s="100" t="str">
        <x:f>IF('Master'!L368="","",'Master'!L368)</x:f>
        <x:v>Yes — Dragonfly for ephemeral/cache/task state</x:v>
      </x:c>
      <x:c r="L28" s="100" t="str">
        <x:f>IF('Master'!M368="","",'Master'!M368)</x:f>
      </x:c>
      <x:c r="M28" s="100" t="str">
        <x:f>IF('Master'!N368="","",'Master'!N368)</x:f>
      </x:c>
      <x:c r="N28" s="100" t="str">
        <x:f>IF('Master'!O368="","",'Master'!O368)</x:f>
      </x:c>
      <x:c r="O28" s="100" t="str">
        <x:f>IF('Master'!P368="","",'Master'!P368)</x:f>
        <x:v>Yes</x:v>
      </x:c>
      <x:c r="P28" s="100" t="str">
        <x:f>IF('Master'!Q368="","",'Master'!Q368)</x:f>
      </x:c>
      <x:c r="Q28" s="100" t="str">
        <x:f>IF('Master'!R368="","",'Master'!R368)</x:f>
      </x:c>
      <x:c r="R28" s="100" t="str">
        <x:f>IF('Master'!S368="","",'Master'!S368)</x:f>
      </x:c>
      <x:c r="S28" s="100" t="str">
        <x:f>IF('Master'!T368="","",'Master'!T368)</x:f>
      </x:c>
      <x:c r="T28" s="100" t="str">
        <x:f>IF('Master'!U368="","",'Master'!U368)</x:f>
      </x:c>
      <x:c r="U28" s="100" t="str">
        <x:f>IF('Master'!V368="","",'Master'!V368)</x:f>
        <x:v>N/A</x:v>
      </x:c>
      <x:c r="V28" s="100" t="str">
        <x:f>IF('Master'!W368="","",'Master'!W368)</x:f>
        <x:v>Yes</x:v>
      </x:c>
      <x:c r="W28" s="100" t="str">
        <x:f>IF('Master'!X368="","",'Master'!X368)</x:f>
      </x:c>
      <x:c r="X28" s="100" t="str">
        <x:f>IF('Master'!Y368="","",'Master'!Y368)</x:f>
      </x:c>
      <x:c r="Y28" s="100" t="str">
        <x:f>IF('Master'!Z368="","",'Master'!Z368)</x:f>
      </x:c>
      <x:c r="Z28" s="100" t="str">
        <x:f>IF('Master'!AA368="","",'Master'!AA368)</x:f>
        <x:v>Yes</x:v>
      </x:c>
      <x:c r="AA28" s="104" t="str">
        <x:f>IF('Master'!AB368="","",'Master'!AB368)</x:f>
      </x:c>
      <x:c r="AB28" s="100" t="str">
        <x:f>IF('Master'!AC368="","",'Master'!AC368)</x:f>
      </x:c>
      <x:c r="AC28" s="100" t="str">
        <x:f>IF('Master'!AD368="","",'Master'!AD368)</x:f>
      </x:c>
      <x:c r="AD28" s="100" t="str">
        <x:f>IF('Master'!AE368="","",'Master'!AE368)</x:f>
      </x:c>
      <x:c r="AE28" s="100" t="str">
        <x:f>IF('Master'!AF368="","",'Master'!AF368)</x:f>
      </x:c>
      <x:c r="AF28" s="75" t="str">
        <x:f>IF('Master'!AG368="","",'Master'!AG368)</x:f>
      </x:c>
    </x:row>
    <x:row r="29" ht="36" customHeight="1">
      <x:c r="A29" s="135" t="str">
        <x:v>Object Storage Required?</x:v>
      </x:c>
      <x:c r="B29" s="100" t="str">
        <x:f>IF('Master'!C369="","",'Master'!C369)</x:f>
      </x:c>
      <x:c r="C29" s="100" t="str">
        <x:f>IF('Master'!D369="","",'Master'!D369)</x:f>
      </x:c>
      <x:c r="D29" s="100" t="str">
        <x:f>IF('Master'!E369="","",'Master'!E369)</x:f>
      </x:c>
      <x:c r="E29" s="100" t="str">
        <x:f>IF('Master'!F369="","",'Master'!F369)</x:f>
      </x:c>
      <x:c r="F29" s="100" t="str">
        <x:f>IF('Master'!G369="","",'Master'!G369)</x:f>
      </x:c>
      <x:c r="G29" s="100" t="str">
        <x:f>IF('Master'!H369="","",'Master'!H369)</x:f>
        <x:v>Yes / recommended</x:v>
      </x:c>
      <x:c r="H29" s="100" t="str">
        <x:f>IF('Master'!I369="","",'Master'!I369)</x:f>
      </x:c>
      <x:c r="I29" s="100" t="str">
        <x:f>IF('Master'!J369="","",'Master'!J369)</x:f>
      </x:c>
      <x:c r="J29" s="100" t="str">
        <x:f>IF('Master'!K369="","",'Master'!K369)</x:f>
      </x:c>
      <x:c r="K29" s="100" t="str">
        <x:f>IF('Master'!L369="","",'Master'!L369)</x:f>
        <x:v>Yes — S3-compatible object storage; Garage is bundled default</x:v>
      </x:c>
      <x:c r="L29" s="100" t="str">
        <x:f>IF('Master'!M369="","",'Master'!M369)</x:f>
      </x:c>
      <x:c r="M29" s="100" t="str">
        <x:f>IF('Master'!N369="","",'Master'!N369)</x:f>
      </x:c>
      <x:c r="N29" s="100" t="str">
        <x:f>IF('Master'!O369="","",'Master'!O369)</x:f>
      </x:c>
      <x:c r="O29" s="100" t="str">
        <x:f>IF('Master'!P369="","",'Master'!P369)</x:f>
        <x:v>Yes / recommended</x:v>
      </x:c>
      <x:c r="P29" s="100" t="str">
        <x:f>IF('Master'!Q369="","",'Master'!Q369)</x:f>
      </x:c>
      <x:c r="Q29" s="100" t="str">
        <x:f>IF('Master'!R369="","",'Master'!R369)</x:f>
      </x:c>
      <x:c r="R29" s="100" t="str">
        <x:f>IF('Master'!S369="","",'Master'!S369)</x:f>
      </x:c>
      <x:c r="S29" s="100" t="str">
        <x:f>IF('Master'!T369="","",'Master'!T369)</x:f>
      </x:c>
      <x:c r="T29" s="100" t="str">
        <x:f>IF('Master'!U369="","",'Master'!U369)</x:f>
      </x:c>
      <x:c r="U29" s="100" t="str">
        <x:f>IF('Master'!V369="","",'Master'!V369)</x:f>
        <x:v>N/A</x:v>
      </x:c>
      <x:c r="V29" s="100" t="str">
        <x:f>IF('Master'!W369="","",'Master'!W369)</x:f>
        <x:v>Yes / recommended</x:v>
      </x:c>
      <x:c r="W29" s="100" t="str">
        <x:f>IF('Master'!X369="","",'Master'!X369)</x:f>
      </x:c>
      <x:c r="X29" s="100" t="str">
        <x:f>IF('Master'!Y369="","",'Master'!Y369)</x:f>
      </x:c>
      <x:c r="Y29" s="100" t="str">
        <x:f>IF('Master'!Z369="","",'Master'!Z369)</x:f>
      </x:c>
      <x:c r="Z29" s="100" t="str">
        <x:f>IF('Master'!AA369="","",'Master'!AA369)</x:f>
        <x:v>Yes / recommended</x:v>
      </x:c>
      <x:c r="AA29" s="104" t="str">
        <x:f>IF('Master'!AB369="","",'Master'!AB369)</x:f>
      </x:c>
      <x:c r="AB29" s="100" t="str">
        <x:f>IF('Master'!AC369="","",'Master'!AC369)</x:f>
      </x:c>
      <x:c r="AC29" s="100" t="str">
        <x:f>IF('Master'!AD369="","",'Master'!AD369)</x:f>
      </x:c>
      <x:c r="AD29" s="100" t="str">
        <x:f>IF('Master'!AE369="","",'Master'!AE369)</x:f>
      </x:c>
      <x:c r="AE29" s="100" t="str">
        <x:f>IF('Master'!AF369="","",'Master'!AF369)</x:f>
      </x:c>
      <x:c r="AF29" s="75" t="str">
        <x:f>IF('Master'!AG369="","",'Master'!AG369)</x:f>
      </x:c>
    </x:row>
    <x:row r="30" ht="36" customHeight="1">
      <x:c r="A30" s="135" t="str">
        <x:v>Self-Host Setup Difficulty (1-5)</x:v>
      </x:c>
      <x:c r="B30" s="100" t="str">
        <x:f>IF('Master'!C370="","",'Master'!C370)</x:f>
        <x:v>N/A — official self-hosting unsupported</x:v>
      </x:c>
      <x:c r="C30" s="100" t="str">
        <x:f>IF('Master'!D370="","",'Master'!D370)</x:f>
        <x:v>3/5 for using hosted relays; self-host relay more complex</x:v>
      </x:c>
      <x:c r="D30" s="100" t="str">
        <x:f>IF('Master'!E370="","",'Master'!E370)</x:f>
        <x:v>3/5</x:v>
      </x:c>
      <x:c r="E30" s="100" t="str">
        <x:f>IF('Master'!F370="","",'Master'!F370)</x:f>
        <x:v>N/A</x:v>
      </x:c>
      <x:c r="F30" s="100" t="str">
        <x:f>IF('Master'!G370="","",'Master'!G370)</x:f>
        <x:v>N/A — self-hosting not currently offered</x:v>
      </x:c>
      <x:c r="G30" s="100" t="str">
        <x:f>IF('Master'!H370="","",'Master'!H370)</x:f>
        <x:v>3/5</x:v>
      </x:c>
      <x:c r="H30" s="100" t="str">
        <x:f>IF('Master'!I370="","",'Master'!I370)</x:f>
        <x:v>2/5</x:v>
      </x:c>
      <x:c r="I30" s="100" t="str">
        <x:f>IF('Master'!J370="","",'Master'!J370)</x:f>
        <x:v>4/5</x:v>
      </x:c>
      <x:c r="J30" s="100" t="str">
        <x:f>IF('Master'!K370="","",'Master'!K370)</x:f>
        <x:v>3/5</x:v>
      </x:c>
      <x:c r="K30" s="100" t="str">
        <x:f>IF('Master'!L370="","",'Master'!L370)</x:f>
        <x:v>2/5 — interactive make setup wizard + Docker Compose; still requires DNS/TLS/reverse proxy</x:v>
      </x:c>
      <x:c r="L30" s="100" t="str">
        <x:f>IF('Master'!M370="","",'Master'!M370)</x:f>
        <x:v>N/A</x:v>
      </x:c>
      <x:c r="M30" s="100" t="str">
        <x:f>IF('Master'!N370="","",'Master'!N370)</x:f>
        <x:v>3/5</x:v>
      </x:c>
      <x:c r="N30" s="100" t="str">
        <x:f>IF('Master'!O370="","",'Master'!O370)</x:f>
        <x:v>4/5 (implementation-dependent)</x:v>
      </x:c>
      <x:c r="O30" s="100" t="str">
        <x:f>IF('Master'!P370="","",'Master'!P370)</x:f>
        <x:v>3/5</x:v>
      </x:c>
      <x:c r="P30" s="100" t="str">
        <x:f>IF('Master'!Q370="","",'Master'!Q370)</x:f>
      </x:c>
      <x:c r="Q30" s="100" t="str">
        <x:f>IF('Master'!R370="","",'Master'!R370)</x:f>
        <x:v>2/5</x:v>
      </x:c>
      <x:c r="R30" s="100" t="str">
        <x:f>IF('Master'!S370="","",'Master'!S370)</x:f>
        <x:v>4/5 (unsupported)</x:v>
      </x:c>
      <x:c r="S30" s="100" t="str">
        <x:f>IF('Master'!T370="","",'Master'!T370)</x:f>
        <x:v>N/A</x:v>
      </x:c>
      <x:c r="T30" s="100" t="str">
        <x:f>IF('Master'!U370="","",'Master'!U370)</x:f>
        <x:v>3/5</x:v>
      </x:c>
      <x:c r="U30" s="100" t="str">
        <x:f>IF('Master'!V370="","",'Master'!V370)</x:f>
        <x:v>N/A</x:v>
      </x:c>
      <x:c r="V30" s="100" t="str">
        <x:f>IF('Master'!W370="","",'Master'!W370)</x:f>
        <x:v>3/5</x:v>
      </x:c>
      <x:c r="W30" s="100" t="str">
        <x:f>IF('Master'!X370="","",'Master'!X370)</x:f>
        <x:v>4/5</x:v>
      </x:c>
      <x:c r="X30" s="100" t="str">
        <x:f>IF('Master'!Y370="","",'Master'!Y370)</x:f>
        <x:v>N/A — no self-hosting</x:v>
      </x:c>
      <x:c r="Y30" s="100" t="str">
        <x:f>IF('Master'!Z370="","",'Master'!Z370)</x:f>
        <x:v>4/5</x:v>
      </x:c>
      <x:c r="Z30" s="100" t="str">
        <x:f>IF('Master'!AA370="","",'Master'!AA370)</x:f>
        <x:v>4/5</x:v>
      </x:c>
      <x:c r="AA30" s="104" t="str">
        <x:f>IF('Master'!AB370="","",'Master'!AB370)</x:f>
        <x:v>2/5</x:v>
      </x:c>
      <x:c r="AB30" s="100" t="str">
        <x:f>IF('Master'!AC370="","",'Master'!AC370)</x:f>
        <x:v>2/5 — docker compose</x:v>
      </x:c>
      <x:c r="AC30" s="100" t="str">
        <x:f>IF('Master'!AD370="","",'Master'!AD370)</x:f>
        <x:v>4/5 / evolving</x:v>
      </x:c>
      <x:c r="AD30" s="100" t="str">
        <x:f>IF('Master'!AE370="","",'Master'!AE370)</x:f>
        <x:v>N/A</x:v>
      </x:c>
      <x:c r="AE30" s="100" t="str">
        <x:f>IF('Master'!AF370="","",'Master'!AF370)</x:f>
        <x:v>2/5</x:v>
      </x:c>
      <x:c r="AF30" s="75" t="str">
        <x:f>IF('Master'!AG370="","",'Master'!AG370)</x:f>
        <x:v>3/5</x:v>
      </x:c>
    </x:row>
    <x:row r="31" ht="22" customHeight="1">
      <x:c r="A31" s="138" t="str">
        <x:v>Source &amp; Notes</x:v>
      </x:c>
      <x:c r="B31" s="138" t="str">
        <x:f>IF(""="","","")</x:f>
      </x:c>
      <x:c r="C31" s="138" t="str">
        <x:f>IF(""="","","")</x:f>
      </x:c>
      <x:c r="D31" s="138" t="str">
        <x:f>IF(""="","","")</x:f>
      </x:c>
      <x:c r="E31" s="138" t="str">
        <x:f>IF(""="","","")</x:f>
      </x:c>
      <x:c r="F31" s="138" t="str">
        <x:f>IF(""="","","")</x:f>
      </x:c>
      <x:c r="G31" s="138" t="str">
        <x:f>IF(""="","","")</x:f>
      </x:c>
      <x:c r="H31" s="138" t="str">
        <x:f>IF(""="","","")</x:f>
      </x:c>
      <x:c r="I31" s="138" t="str">
        <x:f>IF(""="","","")</x:f>
      </x:c>
      <x:c r="J31" s="138" t="str">
        <x:f>IF(""="","","")</x:f>
      </x:c>
      <x:c r="K31" s="138" t="str">
        <x:f>IF(""="","","")</x:f>
      </x:c>
      <x:c r="L31" s="138" t="str">
        <x:f>IF(""="","","")</x:f>
      </x:c>
      <x:c r="M31" s="138" t="str">
        <x:f>IF(""="","","")</x:f>
      </x:c>
      <x:c r="N31" s="138" t="str">
        <x:f>IF(""="","","")</x:f>
      </x:c>
      <x:c r="O31" s="138" t="str">
        <x:f>IF(""="","","")</x:f>
      </x:c>
      <x:c r="P31" s="138" t="str">
        <x:f>IF(""="","","")</x:f>
      </x:c>
      <x:c r="Q31" s="138" t="str">
        <x:f>IF(""="","","")</x:f>
      </x:c>
      <x:c r="R31" s="138" t="str">
        <x:f>IF(""="","","")</x:f>
      </x:c>
      <x:c r="S31" s="138" t="str">
        <x:f>IF(""="","","")</x:f>
      </x:c>
      <x:c r="T31" s="138" t="str">
        <x:f>IF(""="","","")</x:f>
      </x:c>
      <x:c r="U31" s="138" t="str">
        <x:f>IF(""="","","")</x:f>
      </x:c>
      <x:c r="V31" s="138" t="str">
        <x:f>IF(""="","","")</x:f>
      </x:c>
      <x:c r="W31" s="138" t="str">
        <x:f>IF(""="","","")</x:f>
      </x:c>
      <x:c r="X31" s="138" t="str">
        <x:f>IF(""="","","")</x:f>
      </x:c>
      <x:c r="Y31" s="138" t="str">
        <x:f>IF(""="","","")</x:f>
      </x:c>
      <x:c r="Z31" s="138" t="str">
        <x:f>IF(""="","","")</x:f>
      </x:c>
      <x:c r="AA31" s="138" t="str">
        <x:f>IF(""="","","")</x:f>
      </x:c>
      <x:c r="AB31" s="138" t="str">
        <x:f>IF(""="","","")</x:f>
      </x:c>
      <x:c r="AC31" s="138" t="str">
        <x:f>IF(""="","","")</x:f>
      </x:c>
      <x:c r="AD31" s="138" t="str">
        <x:f>IF(""="","","")</x:f>
      </x:c>
      <x:c r="AE31" s="138" t="str">
        <x:f>IF(""="","","")</x:f>
      </x:c>
      <x:c r="AF31" s="139" t="str">
        <x:f>IF(""="","","")</x:f>
      </x:c>
    </x:row>
    <x:row r="32" ht="36" customHeight="1">
      <x:c r="A32" s="135" t="str">
        <x:v>Architecture Source / Notes</x:v>
      </x:c>
      <x:c r="B32" s="100" t="str">
        <x:f>IF('Master'!C371="","",'Master'!C371)</x:f>
        <x:v>One vendor controls service, accounts, official clients, and server backend.</x:v>
      </x:c>
      <x:c r="C32" s="100" t="str">
        <x:f>IF('Master'!D371="","",'Master'!D371)</x:f>
        <x:v>Armada separates identity/content from a single platform host: keys are the account and relays are replaceable transport.</x:v>
      </x:c>
      <x:c r="D32" s="100" t="str">
        <x:f>IF('Master'!E371="","",'Master'!E371)</x:f>
        <x:v>DCTS combines island-like community servers with a separate cross-server encrypted messenger.</x:v>
      </x:c>
      <x:c r="E32" s="100" t="str">
        <x:f>IF('Master'!F371="","",'Master'!F371)</x:f>
        <x:v>Familiar Discord-style UX on a centralized service.</x:v>
      </x:c>
      <x:c r="F32" s="100" t="str">
        <x:f>IF('Master'!G371="","",'Master'!G371)</x:f>
        <x:v>Privacy features are product-level, but it is currently a centralized service rather than a federated protocol.</x:v>
      </x:c>
      <x:c r="G32" s="100" t="str">
        <x:f>IF('Master'!H371="","",'Master'!H371)</x:f>
        <x:v>Self-hosting exists now; federation is a separate roadmap item and should not be assumed.</x:v>
      </x:c>
      <x:c r="H32" s="100" t="str">
        <x:f>IF('Master'!I371="","",'Master'!I371)</x:f>
        <x:v>Self-hosting exists, but instances are not documented as one federated network.</x:v>
      </x:c>
      <x:c r="I32" s="100" t="str">
        <x:f>IF('Master'!J371="","",'Master'!J371)</x:f>
        <x:v>Harmony is the platform/API; Fermi is a client. This mirrors the Matrix/Element distinction conceptually, though Harmony is not Matrix.</x:v>
      </x:c>
      <x:c r="J32" s="100" t="str">
        <x:f>IF('Master'!K371="","",'Master'!K371)</x:f>
        <x:v>There is no central account database: the user's keypair is the identity and message history lives locally.</x:v>
      </x:c>
      <x:c r="K32" s="100" t="str">
        <x:f>IF('Master'!L371="","",'Master'!L371)</x:f>
        <x:v>FastAPI REST/federation + separate WebSocket Gateway; PostgreSQL durable state; Dragonfly ephemeral/tasks; S3-compatible media; LiveKit media</x:v>
      </x:c>
      <x:c r="L32" s="100" t="str">
        <x:f>IF('Master'!M371="","",'Master'!M371)</x:f>
        <x:v>Privacy-minimal account design is distinct from decentralization/self-hosting.</x:v>
      </x:c>
      <x:c r="M32" s="100" t="str">
        <x:f>IF('Master'!N371="","",'Master'!N371)</x:f>
        <x:v>Unlike a purely centralized clone, Loqa explicitly targets federation/self-hosting, but the architecture is still evolving.</x:v>
      </x:c>
      <x:c r="N32" s="100" t="str">
        <x:f>IF('Master'!O371="","",'Master'!O371)</x:f>
        <x:v>Element is a Matrix client/vendor product. Matrix itself is the protocol and federated ecosystem.</x:v>
      </x:c>
      <x:c r="O32" s="100" t="str">
        <x:f>IF('Master'!P371="","",'Master'!P371)</x:f>
        <x:v>Self-hosting gives data control, but separate Mattermost deployments are not one interoperable federation.</x:v>
      </x:c>
      <x:c r="P32" s="100" t="str">
        <x:f>IF('Master'!Q371="","",'Master'!Q371)</x:f>
        <x:v>Open source code does not by itself make Mezon a federated protocol like Matrix.</x:v>
      </x:c>
      <x:c r="Q32" s="100" t="str">
        <x:f>IF('Master'!R371="","",'Master'!R371)</x:f>
        <x:v>A voice-first client/server system, not a Discord-style social platform.</x:v>
      </x:c>
      <x:c r="R32" s="100" t="str">
        <x:f>IF('Master'!S371="","",'Master'!S371)</x:f>
        <x:v>Open source does not imply federation; the official project discourages self-hosting as a normal deployment model.</x:v>
      </x:c>
      <x:c r="S32" s="100" t="str">
        <x:f>IF('Master'!T371="","",'Master'!T371)</x:f>
        <x:v>Regional distribution is not federation or self-hosting.</x:v>
      </x:c>
      <x:c r="T32" s="100" t="str">
        <x:f>IF('Master'!U371="","",'Master'!U371)</x:f>
        <x:v>Hosted API: Fly.io in São Paulo; SPA: Cloudflare Pages. Self-hostable AGPL-3.0. Voice can be P2P for small/DM calls and LiveKit-backed for listed/larger hosted rooms.</x:v>
      </x:c>
      <x:c r="U32" s="100" t="str">
        <x:f>IF('Master'!V371="","",'Master'!V371)</x:f>
        <x:v>Privacy policy choices (no email/phone/ID, EXIF stripping, no AI training) operate within a centralized service model.</x:v>
      </x:c>
      <x:c r="V32" s="100" t="str">
        <x:f>IF('Master'!W371="","",'Master'!W371)</x:f>
        <x:v>Federation exists, but its feature set is narrower than local rooms and differs from Matrix-as-a-platform.</x:v>
      </x:c>
      <x:c r="W32" s="100" t="str">
        <x:f>IF('Master'!X371="","",'Master'!X371)</x:f>
        <x:v>Roomy is an ATProto application, not a generic centralized Discord clone.</x:v>
      </x:c>
      <x:c r="X32" s="100" t="str">
        <x:f>IF('Master'!Y371="","",'Master'!Y371)</x:f>
        <x:v>Apps/Bots are hosted inside Root; they extend Root but do not make it self-hosted/federated.</x:v>
      </x:c>
      <x:c r="Y32" s="100" t="str">
        <x:f>IF('Master'!Z371="","",'Master'!Z371)</x:f>
        <x:v>Spacebar reproduces Discord's client-server API model; it is not a federated network.</x:v>
      </x:c>
      <x:c r="Z32" s="100" t="str">
        <x:f>IF('Master'!AA371="","",'Master'!AA371)</x:f>
        <x:v>Self-hostable does not mean federated: separate Stoat instances do not automatically interoperate.</x:v>
      </x:c>
      <x:c r="AA32" s="104" t="str">
        <x:f>IF('Master'!AB371="","",'Master'!AB371)</x:f>
        <x:v>Server ownership can be independent, but TeamSpeak servers do not federate into one network.</x:v>
      </x:c>
      <x:c r="AB32" s="100" t="str">
        <x:f>IF('Master'!AC371="","",'Master'!AC371)</x:f>
        <x:v>Valour is one open-source platform/client-server stack, not a general protocol ecosystem like Matrix.</x:v>
      </x:c>
      <x:c r="AC32" s="100" t="str">
        <x:f>IF('Master'!AD371="","",'Master'!AD371)</x:f>
        <x:v>Current product and intended future architecture differ; federation/self-hosting should be marked in-progress, not assumed complete.</x:v>
      </x:c>
      <x:c r="AD32" s="100" t="str">
        <x:f>IF('Master'!AE371="","",'Master'!AE371)</x:f>
        <x:v>Weered intentionally uses game lobbies/rooms rather than cloning Discord's server/channel information architecture.</x:v>
      </x:c>
      <x:c r="AE32" s="100" t="str">
        <x:f>IF('Master'!AF371="","",'Master'!AF371)</x:f>
        <x:v>Like TeamSpeak, operator owns the server; unlike Matrix, servers are not documented as federated.</x:v>
      </x:c>
      <x:c r="AF32" s="75" t="str">
        <x:f>IF('Master'!AG371="","",'Master'!AG371)</x:f>
        <x:v>Multiple deployments are independent; Zulip is an application, not a federated protocol.</x:v>
      </x:c>
    </x:row>
    <x:row r="33" ht="22" customHeight="1">
      <x:c r="A33" s="138" t="str">
        <x:v>Operations &amp; Scale</x:v>
      </x:c>
      <x:c r="B33" s="138" t="str">
        <x:f>IF(""="","","")</x:f>
      </x:c>
      <x:c r="C33" s="138" t="str">
        <x:f>IF(""="","","")</x:f>
      </x:c>
      <x:c r="D33" s="138" t="str">
        <x:f>IF(""="","","")</x:f>
      </x:c>
      <x:c r="E33" s="138" t="str">
        <x:f>IF(""="","","")</x:f>
      </x:c>
      <x:c r="F33" s="138" t="str">
        <x:f>IF(""="","","")</x:f>
      </x:c>
      <x:c r="G33" s="138" t="str">
        <x:f>IF(""="","","")</x:f>
      </x:c>
      <x:c r="H33" s="138" t="str">
        <x:f>IF(""="","","")</x:f>
      </x:c>
      <x:c r="I33" s="138" t="str">
        <x:f>IF(""="","","")</x:f>
      </x:c>
      <x:c r="J33" s="138" t="str">
        <x:f>IF(""="","","")</x:f>
      </x:c>
      <x:c r="K33" s="138" t="str">
        <x:f>IF(""="","","")</x:f>
      </x:c>
      <x:c r="L33" s="138" t="str">
        <x:f>IF(""="","","")</x:f>
      </x:c>
      <x:c r="M33" s="138" t="str">
        <x:f>IF(""="","","")</x:f>
      </x:c>
      <x:c r="N33" s="138" t="str">
        <x:f>IF(""="","","")</x:f>
      </x:c>
      <x:c r="O33" s="138" t="str">
        <x:f>IF(""="","","")</x:f>
      </x:c>
      <x:c r="P33" s="138" t="str">
        <x:f>IF(""="","","")</x:f>
      </x:c>
      <x:c r="Q33" s="138" t="str">
        <x:f>IF(""="","","")</x:f>
      </x:c>
      <x:c r="R33" s="138" t="str">
        <x:f>IF(""="","","")</x:f>
      </x:c>
      <x:c r="S33" s="138" t="str">
        <x:f>IF(""="","","")</x:f>
      </x:c>
      <x:c r="T33" s="138" t="str">
        <x:f>IF(""="","","")</x:f>
      </x:c>
      <x:c r="U33" s="138" t="str">
        <x:f>IF(""="","","")</x:f>
      </x:c>
      <x:c r="V33" s="138" t="str">
        <x:f>IF(""="","","")</x:f>
      </x:c>
      <x:c r="W33" s="138" t="str">
        <x:f>IF(""="","","")</x:f>
      </x:c>
      <x:c r="X33" s="138" t="str">
        <x:f>IF(""="","","")</x:f>
      </x:c>
      <x:c r="Y33" s="138" t="str">
        <x:f>IF(""="","","")</x:f>
      </x:c>
      <x:c r="Z33" s="138" t="str">
        <x:f>IF(""="","","")</x:f>
      </x:c>
      <x:c r="AA33" s="138" t="str">
        <x:f>IF(""="","","")</x:f>
      </x:c>
      <x:c r="AB33" s="138" t="str">
        <x:f>IF(""="","","")</x:f>
      </x:c>
      <x:c r="AC33" s="138" t="str">
        <x:f>IF(""="","","")</x:f>
      </x:c>
      <x:c r="AD33" s="138" t="str">
        <x:f>IF(""="","","")</x:f>
      </x:c>
      <x:c r="AE33" s="138" t="str">
        <x:f>IF(""="","","")</x:f>
      </x:c>
      <x:c r="AF33" s="139" t="str">
        <x:f>IF(""="","","")</x:f>
      </x:c>
    </x:row>
    <x:row r="34" ht="36" customHeight="1">
      <x:c r="A34" s="135" t="str">
        <x:v>High Availability Documented?</x:v>
      </x:c>
      <x:c r="B34" s="100" t="str">
        <x:f>IF('Master'!C372="","",'Master'!C372)</x:f>
        <x:v>N/A — SaaS</x:v>
      </x:c>
      <x:c r="C34" s="100" t="str">
        <x:f>IF('Master'!D372="","",'Master'!D372)</x:f>
      </x:c>
      <x:c r="D34" s="100" t="str">
        <x:f>IF('Master'!E372="","",'Master'!E372)</x:f>
      </x:c>
      <x:c r="E34" s="100" t="str">
        <x:f>IF('Master'!F372="","",'Master'!F372)</x:f>
      </x:c>
      <x:c r="F34" s="100" t="str">
        <x:f>IF('Master'!G372="","",'Master'!G372)</x:f>
      </x:c>
      <x:c r="G34" s="100" t="str">
        <x:f>IF('Master'!H372="","",'Master'!H372)</x:f>
      </x:c>
      <x:c r="H34" s="100" t="str">
        <x:f>IF('Master'!I372="","",'Master'!I372)</x:f>
      </x:c>
      <x:c r="I34" s="100" t="str">
        <x:f>IF('Master'!J372="","",'Master'!J372)</x:f>
      </x:c>
      <x:c r="J34" s="100" t="str">
        <x:f>IF('Master'!K372="","",'Master'!K372)</x:f>
      </x:c>
      <x:c r="K34" s="100" t="str">
        <x:f>IF('Master'!L372="","",'Master'!L372)</x:f>
        <x:v>Partial — component replication/scaling behavior is documented, but no turnkey multi-node HA deployment guide located</x:v>
      </x:c>
      <x:c r="L34" s="100" t="str">
        <x:f>IF('Master'!M372="","",'Master'!M372)</x:f>
      </x:c>
      <x:c r="M34" s="100" t="str">
        <x:f>IF('Master'!N372="","",'Master'!N372)</x:f>
      </x:c>
      <x:c r="N34" s="100" t="str">
        <x:f>IF('Master'!O372="","",'Master'!O372)</x:f>
      </x:c>
      <x:c r="O34" s="100" t="str">
        <x:f>IF('Master'!P372="","",'Master'!P372)</x:f>
        <x:v>Yes</x:v>
      </x:c>
      <x:c r="P34" s="100" t="str">
        <x:f>IF('Master'!Q372="","",'Master'!Q372)</x:f>
      </x:c>
      <x:c r="Q34" s="100" t="str">
        <x:f>IF('Master'!R372="","",'Master'!R372)</x:f>
      </x:c>
      <x:c r="R34" s="100" t="str">
        <x:f>IF('Master'!S372="","",'Master'!S372)</x:f>
      </x:c>
      <x:c r="S34" s="100" t="str">
        <x:f>IF('Master'!T372="","",'Master'!T372)</x:f>
      </x:c>
      <x:c r="T34" s="100" t="str">
        <x:f>IF('Master'!U372="","",'Master'!U372)</x:f>
      </x:c>
      <x:c r="U34" s="100" t="str">
        <x:f>IF('Master'!V372="","",'Master'!V372)</x:f>
        <x:v>N/A — no public self-hosting</x:v>
      </x:c>
      <x:c r="V34" s="100" t="str">
        <x:f>IF('Master'!W372="","",'Master'!W372)</x:f>
        <x:v>Yes</x:v>
      </x:c>
      <x:c r="W34" s="100" t="str">
        <x:f>IF('Master'!X372="","",'Master'!X372)</x:f>
      </x:c>
      <x:c r="X34" s="100" t="str">
        <x:f>IF('Master'!Y372="","",'Master'!Y372)</x:f>
      </x:c>
      <x:c r="Y34" s="100" t="str">
        <x:f>IF('Master'!Z372="","",'Master'!Z372)</x:f>
      </x:c>
      <x:c r="Z34" s="100" t="str">
        <x:f>IF('Master'!AA372="","",'Master'!AA372)</x:f>
      </x:c>
      <x:c r="AA34" s="104" t="str">
        <x:f>IF('Master'!AB372="","",'Master'!AB372)</x:f>
      </x:c>
      <x:c r="AB34" s="100" t="str">
        <x:f>IF('Master'!AC372="","",'Master'!AC372)</x:f>
      </x:c>
      <x:c r="AC34" s="100" t="str">
        <x:f>IF('Master'!AD372="","",'Master'!AD372)</x:f>
      </x:c>
      <x:c r="AD34" s="100" t="str">
        <x:f>IF('Master'!AE372="","",'Master'!AE372)</x:f>
      </x:c>
      <x:c r="AE34" s="100" t="str">
        <x:f>IF('Master'!AF372="","",'Master'!AF372)</x:f>
      </x:c>
      <x:c r="AF34" s="75" t="str">
        <x:f>IF('Master'!AG372="","",'Master'!AG372)</x:f>
      </x:c>
    </x:row>
    <x:row r="35" ht="36" customHeight="1">
      <x:c r="A35" s="135" t="str">
        <x:v>Horizontal Scaling Documented?</x:v>
      </x:c>
      <x:c r="B35" s="100" t="str">
        <x:f>IF('Master'!C373="","",'Master'!C373)</x:f>
        <x:v>N/A — SaaS</x:v>
      </x:c>
      <x:c r="C35" s="100" t="str">
        <x:f>IF('Master'!D373="","",'Master'!D373)</x:f>
      </x:c>
      <x:c r="D35" s="100" t="str">
        <x:f>IF('Master'!E373="","",'Master'!E373)</x:f>
      </x:c>
      <x:c r="E35" s="100" t="str">
        <x:f>IF('Master'!F373="","",'Master'!F373)</x:f>
      </x:c>
      <x:c r="F35" s="100" t="str">
        <x:f>IF('Master'!G373="","",'Master'!G373)</x:f>
      </x:c>
      <x:c r="G35" s="100" t="str">
        <x:f>IF('Master'!H373="","",'Master'!H373)</x:f>
      </x:c>
      <x:c r="H35" s="100" t="str">
        <x:f>IF('Master'!I373="","",'Master'!I373)</x:f>
      </x:c>
      <x:c r="I35" s="100" t="str">
        <x:f>IF('Master'!J373="","",'Master'!J373)</x:f>
      </x:c>
      <x:c r="J35" s="100" t="str">
        <x:f>IF('Master'!K373="","",'Master'!K373)</x:f>
      </x:c>
      <x:c r="K35" s="100" t="str">
        <x:f>IF('Master'!L373="","",'Master'!L373)</x:f>
        <x:v>Partial — component replication/scaling behavior is documented, but no turnkey multi-node HA deployment guide located</x:v>
      </x:c>
      <x:c r="L35" s="100" t="str">
        <x:f>IF('Master'!M373="","",'Master'!M373)</x:f>
      </x:c>
      <x:c r="M35" s="100" t="str">
        <x:f>IF('Master'!N373="","",'Master'!N373)</x:f>
      </x:c>
      <x:c r="N35" s="100" t="str">
        <x:f>IF('Master'!O373="","",'Master'!O373)</x:f>
      </x:c>
      <x:c r="O35" s="100" t="str">
        <x:f>IF('Master'!P373="","",'Master'!P373)</x:f>
        <x:v>Yes</x:v>
      </x:c>
      <x:c r="P35" s="100" t="str">
        <x:f>IF('Master'!Q373="","",'Master'!Q373)</x:f>
      </x:c>
      <x:c r="Q35" s="100" t="str">
        <x:f>IF('Master'!R373="","",'Master'!R373)</x:f>
      </x:c>
      <x:c r="R35" s="100" t="str">
        <x:f>IF('Master'!S373="","",'Master'!S373)</x:f>
      </x:c>
      <x:c r="S35" s="100" t="str">
        <x:f>IF('Master'!T373="","",'Master'!T373)</x:f>
      </x:c>
      <x:c r="T35" s="100" t="str">
        <x:f>IF('Master'!U373="","",'Master'!U373)</x:f>
      </x:c>
      <x:c r="U35" s="100" t="str">
        <x:f>IF('Master'!V373="","",'Master'!V373)</x:f>
        <x:v>N/A</x:v>
      </x:c>
      <x:c r="V35" s="100" t="str">
        <x:f>IF('Master'!W373="","",'Master'!W373)</x:f>
        <x:v>Yes</x:v>
      </x:c>
      <x:c r="W35" s="100" t="str">
        <x:f>IF('Master'!X373="","",'Master'!X373)</x:f>
      </x:c>
      <x:c r="X35" s="100" t="str">
        <x:f>IF('Master'!Y373="","",'Master'!Y373)</x:f>
      </x:c>
      <x:c r="Y35" s="100" t="str">
        <x:f>IF('Master'!Z373="","",'Master'!Z373)</x:f>
      </x:c>
      <x:c r="Z35" s="100" t="str">
        <x:f>IF('Master'!AA373="","",'Master'!AA373)</x:f>
      </x:c>
      <x:c r="AA35" s="104" t="str">
        <x:f>IF('Master'!AB373="","",'Master'!AB373)</x:f>
      </x:c>
      <x:c r="AB35" s="100" t="str">
        <x:f>IF('Master'!AC373="","",'Master'!AC373)</x:f>
      </x:c>
      <x:c r="AC35" s="100" t="str">
        <x:f>IF('Master'!AD373="","",'Master'!AD373)</x:f>
      </x:c>
      <x:c r="AD35" s="100" t="str">
        <x:f>IF('Master'!AE373="","",'Master'!AE373)</x:f>
      </x:c>
      <x:c r="AE35" s="100" t="str">
        <x:f>IF('Master'!AF373="","",'Master'!AF373)</x:f>
      </x:c>
      <x:c r="AF35" s="75" t="str">
        <x:f>IF('Master'!AG373="","",'Master'!AG373)</x:f>
      </x:c>
    </x:row>
    <x:row r="36" ht="36" customHeight="1">
      <x:c r="A36" s="135" t="str">
        <x:v>Backup / Restore Documentation?</x:v>
      </x:c>
      <x:c r="B36" s="100" t="str">
        <x:f>IF('Master'!C374="","",'Master'!C374)</x:f>
      </x:c>
      <x:c r="C36" s="100" t="str">
        <x:f>IF('Master'!D374="","",'Master'!D374)</x:f>
      </x:c>
      <x:c r="D36" s="100" t="str">
        <x:f>IF('Master'!E374="","",'Master'!E374)</x:f>
      </x:c>
      <x:c r="E36" s="100" t="str">
        <x:f>IF('Master'!F374="","",'Master'!F374)</x:f>
      </x:c>
      <x:c r="F36" s="100" t="str">
        <x:f>IF('Master'!G374="","",'Master'!G374)</x:f>
      </x:c>
      <x:c r="G36" s="100" t="str">
        <x:f>IF('Master'!H374="","",'Master'!H374)</x:f>
      </x:c>
      <x:c r="H36" s="100" t="str">
        <x:f>IF('Master'!I374="","",'Master'!I374)</x:f>
      </x:c>
      <x:c r="I36" s="100" t="str">
        <x:f>IF('Master'!J374="","",'Master'!J374)</x:f>
      </x:c>
      <x:c r="J36" s="100" t="str">
        <x:f>IF('Master'!K374="","",'Master'!K374)</x:f>
      </x:c>
      <x:c r="K36" s="100" t="str">
        <x:f>IF('Master'!L374="","",'Master'!L374)</x:f>
        <x:v>Yes — operator guide covers PostgreSQL/object-storage/secrets/config backups and upgrade/rollback boundaries</x:v>
      </x:c>
      <x:c r="L36" s="100" t="str">
        <x:f>IF('Master'!M374="","",'Master'!M374)</x:f>
      </x:c>
      <x:c r="M36" s="100" t="str">
        <x:f>IF('Master'!N374="","",'Master'!N374)</x:f>
      </x:c>
      <x:c r="N36" s="100" t="str">
        <x:f>IF('Master'!O374="","",'Master'!O374)</x:f>
      </x:c>
      <x:c r="O36" s="100" t="str">
        <x:f>IF('Master'!P374="","",'Master'!P374)</x:f>
        <x:v>Yes</x:v>
      </x:c>
      <x:c r="P36" s="100" t="str">
        <x:f>IF('Master'!Q374="","",'Master'!Q374)</x:f>
      </x:c>
      <x:c r="Q36" s="100" t="str">
        <x:f>IF('Master'!R374="","",'Master'!R374)</x:f>
      </x:c>
      <x:c r="R36" s="100" t="str">
        <x:f>IF('Master'!S374="","",'Master'!S374)</x:f>
      </x:c>
      <x:c r="S36" s="100" t="str">
        <x:f>IF('Master'!T374="","",'Master'!T374)</x:f>
      </x:c>
      <x:c r="T36" s="100" t="str">
        <x:f>IF('Master'!U374="","",'Master'!U374)</x:f>
      </x:c>
      <x:c r="U36" s="100" t="str">
        <x:f>IF('Master'!V374="","",'Master'!V374)</x:f>
        <x:v>N/A — hosted</x:v>
      </x:c>
      <x:c r="V36" s="100" t="str">
        <x:f>IF('Master'!W374="","",'Master'!W374)</x:f>
        <x:v>Yes</x:v>
      </x:c>
      <x:c r="W36" s="100" t="str">
        <x:f>IF('Master'!X374="","",'Master'!X374)</x:f>
      </x:c>
      <x:c r="X36" s="100" t="str">
        <x:f>IF('Master'!Y374="","",'Master'!Y374)</x:f>
      </x:c>
      <x:c r="Y36" s="100" t="str">
        <x:f>IF('Master'!Z374="","",'Master'!Z374)</x:f>
      </x:c>
      <x:c r="Z36" s="100" t="str">
        <x:f>IF('Master'!AA374="","",'Master'!AA374)</x:f>
      </x:c>
      <x:c r="AA36" s="104" t="str">
        <x:f>IF('Master'!AB374="","",'Master'!AB374)</x:f>
      </x:c>
      <x:c r="AB36" s="100" t="str">
        <x:f>IF('Master'!AC374="","",'Master'!AC374)</x:f>
      </x:c>
      <x:c r="AC36" s="100" t="str">
        <x:f>IF('Master'!AD374="","",'Master'!AD374)</x:f>
      </x:c>
      <x:c r="AD36" s="100" t="str">
        <x:f>IF('Master'!AE374="","",'Master'!AE374)</x:f>
      </x:c>
      <x:c r="AE36" s="100" t="str">
        <x:f>IF('Master'!AF374="","",'Master'!AF374)</x:f>
      </x:c>
      <x:c r="AF36" s="75" t="str">
        <x:f>IF('Master'!AG374="","",'Master'!AG374)</x:f>
        <x:v>Yes</x:v>
      </x:c>
    </x:row>
    <x:row r="37" ht="36" customHeight="1">
      <x:c r="A37" s="135" t="str">
        <x:v>Built-In Metrics / Observability?</x:v>
      </x:c>
      <x:c r="B37" s="100" t="str">
        <x:f>IF('Master'!C375="","",'Master'!C375)</x:f>
      </x:c>
      <x:c r="C37" s="100" t="str">
        <x:f>IF('Master'!D375="","",'Master'!D375)</x:f>
      </x:c>
      <x:c r="D37" s="100" t="str">
        <x:f>IF('Master'!E375="","",'Master'!E375)</x:f>
      </x:c>
      <x:c r="E37" s="100" t="str">
        <x:f>IF('Master'!F375="","",'Master'!F375)</x:f>
      </x:c>
      <x:c r="F37" s="100" t="str">
        <x:f>IF('Master'!G375="","",'Master'!G375)</x:f>
      </x:c>
      <x:c r="G37" s="100" t="str">
        <x:f>IF('Master'!H375="","",'Master'!H375)</x:f>
      </x:c>
      <x:c r="H37" s="100" t="str">
        <x:f>IF('Master'!I375="","",'Master'!I375)</x:f>
      </x:c>
      <x:c r="I37" s="100" t="str">
        <x:f>IF('Master'!J375="","",'Master'!J375)</x:f>
      </x:c>
      <x:c r="J37" s="100" t="str">
        <x:f>IF('Master'!K375="","",'Master'!K375)</x:f>
      </x:c>
      <x:c r="K37" s="100" t="str">
        <x:f>IF('Master'!L375="","",'Master'!L375)</x:f>
        <x:v>Yes — internal metrics, Prometheus rules and provisioned Grafana dashboard documented</x:v>
      </x:c>
      <x:c r="L37" s="100" t="str">
        <x:f>IF('Master'!M375="","",'Master'!M375)</x:f>
      </x:c>
      <x:c r="M37" s="100" t="str">
        <x:f>IF('Master'!N375="","",'Master'!N375)</x:f>
      </x:c>
      <x:c r="N37" s="100" t="str">
        <x:f>IF('Master'!O375="","",'Master'!O375)</x:f>
      </x:c>
      <x:c r="O37" s="100" t="str">
        <x:f>IF('Master'!P375="","",'Master'!P375)</x:f>
        <x:v>Yes</x:v>
      </x:c>
      <x:c r="P37" s="100" t="str">
        <x:f>IF('Master'!Q375="","",'Master'!Q375)</x:f>
      </x:c>
      <x:c r="Q37" s="100" t="str">
        <x:f>IF('Master'!R375="","",'Master'!R375)</x:f>
      </x:c>
      <x:c r="R37" s="100" t="str">
        <x:f>IF('Master'!S375="","",'Master'!S375)</x:f>
      </x:c>
      <x:c r="S37" s="100" t="str">
        <x:f>IF('Master'!T375="","",'Master'!T375)</x:f>
      </x:c>
      <x:c r="T37" s="100" t="str">
        <x:f>IF('Master'!U375="","",'Master'!U375)</x:f>
      </x:c>
      <x:c r="U37" s="100" t="str">
        <x:f>IF('Master'!V375="","",'Master'!V375)</x:f>
        <x:v>N/A</x:v>
      </x:c>
      <x:c r="V37" s="100" t="str">
        <x:f>IF('Master'!W375="","",'Master'!W375)</x:f>
      </x:c>
      <x:c r="W37" s="100" t="str">
        <x:f>IF('Master'!X375="","",'Master'!X375)</x:f>
      </x:c>
      <x:c r="X37" s="100" t="str">
        <x:f>IF('Master'!Y375="","",'Master'!Y375)</x:f>
      </x:c>
      <x:c r="Y37" s="100" t="str">
        <x:f>IF('Master'!Z375="","",'Master'!Z375)</x:f>
      </x:c>
      <x:c r="Z37" s="100" t="str">
        <x:f>IF('Master'!AA375="","",'Master'!AA375)</x:f>
      </x:c>
      <x:c r="AA37" s="104" t="str">
        <x:f>IF('Master'!AB375="","",'Master'!AB375)</x:f>
      </x:c>
      <x:c r="AB37" s="100" t="str">
        <x:f>IF('Master'!AC375="","",'Master'!AC375)</x:f>
      </x:c>
      <x:c r="AC37" s="100" t="str">
        <x:f>IF('Master'!AD375="","",'Master'!AD375)</x:f>
      </x:c>
      <x:c r="AD37" s="100" t="str">
        <x:f>IF('Master'!AE375="","",'Master'!AE375)</x:f>
      </x:c>
      <x:c r="AE37" s="100" t="str">
        <x:f>IF('Master'!AF375="","",'Master'!AF375)</x:f>
      </x:c>
      <x:c r="AF37" s="75" t="str">
        <x:f>IF('Master'!AG375="","",'Master'!AG375)</x:f>
      </x:c>
    </x:row>
    <x:row r="38" ht="36" customHeight="1">
      <x:c r="A38" s="135" t="str">
        <x:v>SMTP / Email Service Required?</x:v>
      </x:c>
      <x:c r="B38" s="100" t="str">
        <x:f>IF('Master'!C376="","",'Master'!C376)</x:f>
      </x:c>
      <x:c r="C38" s="100" t="str">
        <x:f>IF('Master'!D376="","",'Master'!D376)</x:f>
      </x:c>
      <x:c r="D38" s="100" t="str">
        <x:f>IF('Master'!E376="","",'Master'!E376)</x:f>
      </x:c>
      <x:c r="E38" s="100" t="str">
        <x:f>IF('Master'!F376="","",'Master'!F376)</x:f>
      </x:c>
      <x:c r="F38" s="100" t="str">
        <x:f>IF('Master'!G376="","",'Master'!G376)</x:f>
      </x:c>
      <x:c r="G38" s="100" t="str">
        <x:f>IF('Master'!H376="","",'Master'!H376)</x:f>
      </x:c>
      <x:c r="H38" s="100" t="str">
        <x:f>IF('Master'!I376="","",'Master'!I376)</x:f>
      </x:c>
      <x:c r="I38" s="100" t="str">
        <x:f>IF('Master'!J376="","",'Master'!J376)</x:f>
      </x:c>
      <x:c r="J38" s="100" t="str">
        <x:f>IF('Master'!K376="","",'Master'!K376)</x:f>
      </x:c>
      <x:c r="K38" s="100" t="str">
        <x:f>IF('Master'!L376="","",'Master'!L376)</x:f>
        <x:v>Optional — email can be disabled; with email off signup uses username/password and recovery becomes operator-assisted</x:v>
      </x:c>
      <x:c r="L38" s="100" t="str">
        <x:f>IF('Master'!M376="","",'Master'!M376)</x:f>
      </x:c>
      <x:c r="M38" s="100" t="str">
        <x:f>IF('Master'!N376="","",'Master'!N376)</x:f>
      </x:c>
      <x:c r="N38" s="100" t="str">
        <x:f>IF('Master'!O376="","",'Master'!O376)</x:f>
      </x:c>
      <x:c r="O38" s="100" t="str">
        <x:f>IF('Master'!P376="","",'Master'!P376)</x:f>
        <x:v>Common/optional by config</x:v>
      </x:c>
      <x:c r="P38" s="100" t="str">
        <x:f>IF('Master'!Q376="","",'Master'!Q376)</x:f>
      </x:c>
      <x:c r="Q38" s="100" t="str">
        <x:f>IF('Master'!R376="","",'Master'!R376)</x:f>
      </x:c>
      <x:c r="R38" s="100" t="str">
        <x:f>IF('Master'!S376="","",'Master'!S376)</x:f>
      </x:c>
      <x:c r="S38" s="100" t="str">
        <x:f>IF('Master'!T376="","",'Master'!T376)</x:f>
      </x:c>
      <x:c r="T38" s="100" t="str">
        <x:f>IF('Master'!U376="","",'Master'!U376)</x:f>
      </x:c>
      <x:c r="U38" s="100" t="str">
        <x:f>IF('Master'!V376="","",'Master'!V376)</x:f>
        <x:v>N/A</x:v>
      </x:c>
      <x:c r="V38" s="100" t="str">
        <x:f>IF('Master'!W376="","",'Master'!W376)</x:f>
        <x:v>Common/optional by config</x:v>
      </x:c>
      <x:c r="W38" s="100" t="str">
        <x:f>IF('Master'!X376="","",'Master'!X376)</x:f>
      </x:c>
      <x:c r="X38" s="100" t="str">
        <x:f>IF('Master'!Y376="","",'Master'!Y376)</x:f>
      </x:c>
      <x:c r="Y38" s="100" t="str">
        <x:f>IF('Master'!Z376="","",'Master'!Z376)</x:f>
      </x:c>
      <x:c r="Z38" s="100" t="str">
        <x:f>IF('Master'!AA376="","",'Master'!AA376)</x:f>
      </x:c>
      <x:c r="AA38" s="104" t="str">
        <x:f>IF('Master'!AB376="","",'Master'!AB376)</x:f>
      </x:c>
      <x:c r="AB38" s="100" t="str">
        <x:f>IF('Master'!AC376="","",'Master'!AC376)</x:f>
      </x:c>
      <x:c r="AC38" s="100" t="str">
        <x:f>IF('Master'!AD376="","",'Master'!AD376)</x:f>
      </x:c>
      <x:c r="AD38" s="100" t="str">
        <x:f>IF('Master'!AE376="","",'Master'!AE376)</x:f>
      </x:c>
      <x:c r="AE38" s="100" t="str">
        <x:f>IF('Master'!AF376="","",'Master'!AF376)</x:f>
      </x:c>
      <x:c r="AF38" s="75" t="str">
        <x:f>IF('Master'!AG376="","",'Master'!AG376)</x:f>
        <x:v>Yes for full email flows</x:v>
      </x:c>
    </x:row>
  </x:sheetData>
  <x:mergeCells>
    <x:mergeCell ref="A1:AF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Directory'!A1","Client &amp; Distribution"),"Client &amp; Distribution")</x:f>
        <x:v>Client &amp; Distribution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Web Client</x:v>
      </x:c>
      <x:c r="B3" s="100" t="str">
        <x:f>IF('Master'!C377="","",'Master'!C377)</x:f>
        <x:v>Yes</x:v>
      </x:c>
      <x:c r="C3" s="100" t="str">
        <x:f>IF('Master'!D377="","",'Master'!D377)</x:f>
        <x:v>Yes</x:v>
      </x:c>
      <x:c r="D3" s="100" t="str">
        <x:f>IF('Master'!E377="","",'Master'!E377)</x:f>
        <x:v>Yes</x:v>
      </x:c>
      <x:c r="E3" s="100" t="str">
        <x:f>IF('Master'!F377="","",'Master'!F377)</x:f>
        <x:v>Yes</x:v>
      </x:c>
      <x:c r="F3" s="100" t="str">
        <x:f>IF('Master'!G377="","",'Master'!G377)</x:f>
        <x:v>Yes</x:v>
      </x:c>
      <x:c r="G3" s="100" t="str">
        <x:f>IF('Master'!H377="","",'Master'!H377)</x:f>
        <x:v>Yes</x:v>
      </x:c>
      <x:c r="H3" s="100" t="str">
        <x:f>IF('Master'!I377="","",'Master'!I377)</x:f>
        <x:v>Yes</x:v>
      </x:c>
      <x:c r="I3" s="100" t="str">
        <x:f>IF('Master'!J377="","",'Master'!J377)</x:f>
        <x:v>Yes</x:v>
      </x:c>
      <x:c r="J3" s="100" t="str">
        <x:f>IF('Master'!K377="","",'Master'!K377)</x:f>
        <x:v>No web-first; native clients</x:v>
      </x:c>
      <x:c r="K3" s="100" t="str">
        <x:f>IF('Master'!L377="","",'Master'!L377)</x:f>
        <x:v>Yes</x:v>
      </x:c>
      <x:c r="L3" s="100" t="str">
        <x:f>IF('Master'!M377="","",'Master'!M377)</x:f>
        <x:v>Yes</x:v>
      </x:c>
      <x:c r="M3" s="100" t="str">
        <x:f>IF('Master'!N377="","",'Master'!N377)</x:f>
        <x:v>Yes</x:v>
      </x:c>
      <x:c r="N3" s="100" t="str">
        <x:f>IF('Master'!O377="","",'Master'!O377)</x:f>
        <x:v>Yes — depends on chosen client</x:v>
      </x:c>
      <x:c r="O3" s="100" t="str">
        <x:f>IF('Master'!P377="","",'Master'!P377)</x:f>
        <x:v>Yes</x:v>
      </x:c>
      <x:c r="P3" s="100" t="str">
        <x:f>IF('Master'!Q377="","",'Master'!Q377)</x:f>
        <x:v>Yes</x:v>
      </x:c>
      <x:c r="Q3" s="100" t="str">
        <x:f>IF('Master'!R377="","",'Master'!R377)</x:f>
        <x:v>No official web client core</x:v>
      </x:c>
      <x:c r="R3" s="100" t="str">
        <x:f>IF('Master'!S377="","",'Master'!S377)</x:f>
        <x:v>Yes</x:v>
      </x:c>
      <x:c r="S3" s="100" t="str">
        <x:f>IF('Master'!T377="","",'Master'!T377)</x:f>
        <x:v>Yes</x:v>
      </x:c>
      <x:c r="T3" s="100" t="str">
        <x:f>IF('Master'!U377="","",'Master'!U377)</x:f>
        <x:v>Yes — React/Vite</x:v>
      </x:c>
      <x:c r="U3" s="100" t="str">
        <x:f>IF('Master'!V377="","",'Master'!V377)</x:f>
        <x:v>Yes</x:v>
      </x:c>
      <x:c r="V3" s="100" t="str">
        <x:f>IF('Master'!W377="","",'Master'!W377)</x:f>
        <x:v>Yes</x:v>
      </x:c>
      <x:c r="W3" s="100" t="str">
        <x:f>IF('Master'!X377="","",'Master'!X377)</x:f>
        <x:v>Yes</x:v>
      </x:c>
      <x:c r="X3" s="100" t="str">
        <x:f>IF('Master'!Y377="","",'Master'!Y377)</x:f>
        <x:v>Yes/desktop service surface</x:v>
      </x:c>
      <x:c r="Y3" s="100" t="str">
        <x:f>IF('Master'!Z377="","",'Master'!Z377)</x:f>
        <x:v>Spacebar client/web options</x:v>
      </x:c>
      <x:c r="Z3" s="100" t="str">
        <x:f>IF('Master'!AA377="","",'Master'!AA377)</x:f>
        <x:v>Yes — Solid.js PWA</x:v>
      </x:c>
      <x:c r="AA3" s="104" t="str">
        <x:f>IF('Master'!AB377="","",'Master'!AB377)</x:f>
        <x:v>Web support/product-generation dependent</x:v>
      </x:c>
      <x:c r="AB3" s="100" t="str">
        <x:f>IF('Master'!AC377="","",'Master'!AC377)</x:f>
        <x:v>Yes</x:v>
      </x:c>
      <x:c r="AC3" s="100" t="str">
        <x:f>IF('Master'!AD377="","",'Master'!AD377)</x:f>
      </x:c>
      <x:c r="AD3" s="100" t="str">
        <x:f>IF('Master'!AE377="","",'Master'!AE377)</x:f>
        <x:v>Yes</x:v>
      </x:c>
      <x:c r="AE3" s="100" t="str">
        <x:f>IF('Master'!AF377="","",'Master'!AF377)</x:f>
        <x:v>Yes</x:v>
      </x:c>
      <x:c r="AF3" s="75" t="str">
        <x:f>IF('Master'!AG377="","",'Master'!AG377)</x:f>
        <x:v>Yes</x:v>
      </x:c>
    </x:row>
    <x:row r="4" ht="36" customHeight="1">
      <x:c r="A4" s="135" t="str">
        <x:v>Desktop Client</x:v>
      </x:c>
      <x:c r="B4" s="100" t="str">
        <x:f>IF('Master'!C378="","",'Master'!C378)</x:f>
        <x:v>Yes</x:v>
      </x:c>
      <x:c r="C4" s="100" t="str">
        <x:f>IF('Master'!D378="","",'Master'!D378)</x:f>
      </x:c>
      <x:c r="D4" s="100" t="str">
        <x:f>IF('Master'!E378="","",'Master'!E378)</x:f>
        <x:v>Yes</x:v>
      </x:c>
      <x:c r="E4" s="100" t="str">
        <x:f>IF('Master'!F378="","",'Master'!F378)</x:f>
        <x:v>Yes</x:v>
      </x:c>
      <x:c r="F4" s="100" t="str">
        <x:f>IF('Master'!G378="","",'Master'!G378)</x:f>
        <x:v>PWA/web-first</x:v>
      </x:c>
      <x:c r="G4" s="100" t="str">
        <x:f>IF('Master'!H378="","",'Master'!H378)</x:f>
        <x:v>Yes</x:v>
      </x:c>
      <x:c r="H4" s="100" t="str">
        <x:f>IF('Master'!I378="","",'Master'!I378)</x:f>
        <x:v>Yes</x:v>
      </x:c>
      <x:c r="I4" s="100" t="str">
        <x:f>IF('Master'!J378="","",'Master'!J378)</x:f>
        <x:v>Yes — Tauri</x:v>
      </x:c>
      <x:c r="J4" s="100" t="str">
        <x:f>IF('Master'!K378="","",'Master'!K378)</x:f>
        <x:v>Yes</x:v>
      </x:c>
      <x:c r="K4" s="100" t="str">
        <x:f>IF('Master'!L378="","",'Master'!L378)</x:f>
        <x:v>Yes</x:v>
      </x:c>
      <x:c r="L4" s="100" t="str">
        <x:f>IF('Master'!M378="","",'Master'!M378)</x:f>
      </x:c>
      <x:c r="M4" s="100" t="str">
        <x:f>IF('Master'!N378="","",'Master'!N378)</x:f>
      </x:c>
      <x:c r="N4" s="100" t="str">
        <x:f>IF('Master'!O378="","",'Master'!O378)</x:f>
        <x:v>Yes — depends on chosen client</x:v>
      </x:c>
      <x:c r="O4" s="100" t="str">
        <x:f>IF('Master'!P378="","",'Master'!P378)</x:f>
        <x:v>Yes</x:v>
      </x:c>
      <x:c r="P4" s="100" t="str">
        <x:f>IF('Master'!Q378="","",'Master'!Q378)</x:f>
        <x:v>Yes</x:v>
      </x:c>
      <x:c r="Q4" s="100" t="str">
        <x:f>IF('Master'!R378="","",'Master'!R378)</x:f>
        <x:v>Yes</x:v>
      </x:c>
      <x:c r="R4" s="100" t="str">
        <x:f>IF('Master'!S378="","",'Master'!S378)</x:f>
        <x:v>Yes</x:v>
      </x:c>
      <x:c r="S4" s="100" t="str">
        <x:f>IF('Master'!T378="","",'Master'!T378)</x:f>
        <x:v>Yes</x:v>
      </x:c>
      <x:c r="T4" s="100" t="str">
        <x:f>IF('Master'!U378="","",'Master'!U378)</x:f>
        <x:v>Yes — Electron</x:v>
      </x:c>
      <x:c r="U4" s="100" t="str">
        <x:f>IF('Master'!V378="","",'Master'!V378)</x:f>
        <x:v>Yes - Windows, Mac &amp; Linux</x:v>
      </x:c>
      <x:c r="V4" s="100" t="str">
        <x:f>IF('Master'!W378="","",'Master'!W378)</x:f>
        <x:v>Yes</x:v>
      </x:c>
      <x:c r="W4" s="100" t="str">
        <x:f>IF('Master'!X378="","",'Master'!X378)</x:f>
      </x:c>
      <x:c r="X4" s="100" t="str">
        <x:f>IF('Master'!Y378="","",'Master'!Y378)</x:f>
        <x:v>Yes</x:v>
      </x:c>
      <x:c r="Y4" s="100" t="str">
        <x:f>IF('Master'!Z378="","",'Master'!Z378)</x:f>
        <x:v>Project client exists</x:v>
      </x:c>
      <x:c r="Z4" s="100" t="str">
        <x:f>IF('Master'!AA378="","",'Master'!AA378)</x:f>
        <x:v>Yes — Electron wrapper</x:v>
      </x:c>
      <x:c r="AA4" s="104" t="str">
        <x:f>IF('Master'!AB378="","",'Master'!AB378)</x:f>
        <x:v>Yes</x:v>
      </x:c>
      <x:c r="AB4" s="100" t="str">
        <x:f>IF('Master'!AC378="","",'Master'!AC378)</x:f>
        <x:v>Yes — Windows</x:v>
      </x:c>
      <x:c r="AC4" s="100" t="str">
        <x:f>IF('Master'!AD378="","",'Master'!AD378)</x:f>
        <x:v>Yes</x:v>
      </x:c>
      <x:c r="AD4" s="100" t="str">
        <x:f>IF('Master'!AE378="","",'Master'!AE378)</x:f>
        <x:v>Yes</x:v>
      </x:c>
      <x:c r="AE4" s="100" t="str">
        <x:f>IF('Master'!AF378="","",'Master'!AF378)</x:f>
      </x:c>
      <x:c r="AF4" s="75" t="str">
        <x:f>IF('Master'!AG378="","",'Master'!AG378)</x:f>
        <x:v>Yes</x:v>
      </x:c>
    </x:row>
    <x:row r="5" ht="36" customHeight="1">
      <x:c r="A5" s="135" t="str">
        <x:v>Desktop Framework</x:v>
      </x:c>
      <x:c r="B5" s="100" t="str">
        <x:f>IF('Master'!C379="","",'Master'!C379)</x:f>
        <x:v>Electron</x:v>
      </x:c>
      <x:c r="C5" s="100" t="str">
        <x:f>IF('Master'!D379="","",'Master'!D379)</x:f>
      </x:c>
      <x:c r="D5" s="100" t="str">
        <x:f>IF('Master'!E379="","",'Master'!E379)</x:f>
      </x:c>
      <x:c r="E5" s="100" t="str">
        <x:f>IF('Master'!F379="","",'Master'!F379)</x:f>
      </x:c>
      <x:c r="F5" s="100" t="str">
        <x:f>IF('Master'!G379="","",'Master'!G379)</x:f>
        <x:v>Next.js/TypeScript web stack</x:v>
      </x:c>
      <x:c r="G5" s="100" t="str">
        <x:f>IF('Master'!H379="","",'Master'!H379)</x:f>
        <x:v>Electron</x:v>
      </x:c>
      <x:c r="H5" s="100" t="str">
        <x:f>IF('Master'!I379="","",'Master'!I379)</x:f>
        <x:v>Wails v3 native desktop</x:v>
      </x:c>
      <x:c r="I5" s="100" t="str">
        <x:f>IF('Master'!J379="","",'Master'!J379)</x:f>
        <x:v>Tauri</x:v>
      </x:c>
      <x:c r="J5" s="100" t="str">
        <x:f>IF('Master'!K379="","",'Master'!K379)</x:f>
        <x:v>Flutter + Rust</x:v>
      </x:c>
      <x:c r="K5" s="100" t="str">
        <x:f>IF('Master'!L379="","",'Master'!L379)</x:f>
        <x:v>Tauri + SvelteKit; Rust owns native audio/video/capture/device work</x:v>
      </x:c>
      <x:c r="L5" s="100" t="str">
        <x:f>IF('Master'!M379="","",'Master'!M379)</x:f>
      </x:c>
      <x:c r="M5" s="100" t="str">
        <x:f>IF('Master'!N379="","",'Master'!N379)</x:f>
      </x:c>
      <x:c r="N5" s="100" t="str">
        <x:f>IF('Master'!O379="","",'Master'!O379)</x:f>
        <x:v>Varies: Electron/native/GTK/etc.</x:v>
      </x:c>
      <x:c r="O5" s="100" t="str">
        <x:f>IF('Master'!P379="","",'Master'!P379)</x:f>
        <x:v>Electron</x:v>
      </x:c>
      <x:c r="P5" s="100" t="str">
        <x:f>IF('Master'!Q379="","",'Master'!Q379)</x:f>
        <x:v>Rust native desktop</x:v>
      </x:c>
      <x:c r="Q5" s="100" t="str">
        <x:f>IF('Master'!R379="","",'Master'!R379)</x:f>
        <x:v>Native Qt</x:v>
      </x:c>
      <x:c r="R5" s="100" t="str">
        <x:f>IF('Master'!S379="","",'Master'!S379)</x:f>
        <x:v>Electron</x:v>
      </x:c>
      <x:c r="S5" s="100" t="str">
        <x:f>IF('Master'!T379="","",'Master'!T379)</x:f>
      </x:c>
      <x:c r="T5" s="100" t="str">
        <x:f>IF('Master'!U379="","",'Master'!U379)</x:f>
        <x:v>Electron</x:v>
      </x:c>
      <x:c r="U5" s="100" t="str">
        <x:f>IF('Master'!V379="","",'Master'!V379)</x:f>
        <x:v>Rust</x:v>
      </x:c>
      <x:c r="V5" s="100" t="str">
        <x:f>IF('Master'!W379="","",'Master'!W379)</x:f>
        <x:v>Electron</x:v>
      </x:c>
      <x:c r="W5" s="100" t="str">
        <x:f>IF('Master'!X379="","",'Master'!X379)</x:f>
        <x:v>Web app</x:v>
      </x:c>
      <x:c r="X5" s="100" t="str">
        <x:f>IF('Master'!Y379="","",'Master'!Y379)</x:f>
      </x:c>
      <x:c r="Y5" s="100" t="str">
        <x:f>IF('Master'!Z379="","",'Master'!Z379)</x:f>
      </x:c>
      <x:c r="Z5" s="100" t="str">
        <x:f>IF('Master'!AA379="","",'Master'!AA379)</x:f>
        <x:v>Electron + web stack</x:v>
      </x:c>
      <x:c r="AA5" s="104" t="str">
        <x:f>IF('Master'!AB379="","",'Master'!AB379)</x:f>
        <x:v>Proprietary/native</x:v>
      </x:c>
      <x:c r="AB5" s="100" t="str">
        <x:f>IF('Master'!AC379="","",'Master'!AC379)</x:f>
        <x:v>Blazor/WebAssembly + launcher</x:v>
      </x:c>
      <x:c r="AC5" s="100" t="str">
        <x:f>IF('Master'!AD379="","",'Master'!AD379)</x:f>
      </x:c>
      <x:c r="AD5" s="100" t="str">
        <x:f>IF('Master'!AE379="","",'Master'!AE379)</x:f>
        <x:v>Tauri</x:v>
      </x:c>
      <x:c r="AE5" s="100" t="str">
        <x:f>IF('Master'!AF379="","",'Master'!AF379)</x:f>
        <x:v>Browser-first</x:v>
      </x:c>
      <x:c r="AF5" s="75" t="str">
        <x:f>IF('Master'!AG379="","",'Master'!AG379)</x:f>
        <x:v>Electron</x:v>
      </x:c>
    </x:row>
    <x:row r="6" ht="36" customHeight="1">
      <x:c r="A6" s="135" t="str">
        <x:v>Windows Support</x:v>
      </x:c>
      <x:c r="B6" s="100" t="str">
        <x:f>IF('Master'!C380="","",'Master'!C380)</x:f>
        <x:v>Yes — x64 and ARM64</x:v>
      </x:c>
      <x:c r="C6" s="100" t="str">
        <x:f>IF('Master'!D380="","",'Master'!D380)</x:f>
        <x:v>Web</x:v>
      </x:c>
      <x:c r="D6" s="100" t="str">
        <x:f>IF('Master'!E380="","",'Master'!E380)</x:f>
        <x:v>Yes</x:v>
      </x:c>
      <x:c r="E6" s="100" t="str">
        <x:f>IF('Master'!F380="","",'Master'!F380)</x:f>
        <x:v>Yes</x:v>
      </x:c>
      <x:c r="F6" s="100" t="str">
        <x:f>IF('Master'!G380="","",'Master'!G380)</x:f>
        <x:v>Yes via web/PWA</x:v>
      </x:c>
      <x:c r="G6" s="100" t="str">
        <x:f>IF('Master'!H380="","",'Master'!H380)</x:f>
        <x:v>Yes</x:v>
      </x:c>
      <x:c r="H6" s="100" t="str">
        <x:f>IF('Master'!I380="","",'Master'!I380)</x:f>
        <x:v>Yes</x:v>
      </x:c>
      <x:c r="I6" s="100" t="str">
        <x:f>IF('Master'!J380="","",'Master'!J380)</x:f>
        <x:v>Web TS/HTML/CSS</x:v>
      </x:c>
      <x:c r="J6" s="100" t="str">
        <x:f>IF('Master'!K380="","",'Master'!K380)</x:f>
        <x:v>Flutter/Rust native</x:v>
      </x:c>
      <x:c r="K6" s="100" t="str">
        <x:f>IF('Master'!L380="","",'Master'!L380)</x:f>
        <x:v>Yes</x:v>
      </x:c>
      <x:c r="L6" s="100" t="str">
        <x:f>IF('Master'!M380="","",'Master'!M380)</x:f>
      </x:c>
      <x:c r="M6" s="100" t="str">
        <x:f>IF('Master'!N380="","",'Master'!N380)</x:f>
        <x:v>Web</x:v>
      </x:c>
      <x:c r="N6" s="100" t="str">
        <x:f>IF('Master'!O380="","",'Master'!O380)</x:f>
        <x:v>Yes — many clients</x:v>
      </x:c>
      <x:c r="O6" s="100" t="str">
        <x:f>IF('Master'!P380="","",'Master'!P380)</x:f>
        <x:v>Yes</x:v>
      </x:c>
      <x:c r="P6" s="100" t="str">
        <x:f>IF('Master'!Q380="","",'Master'!Q380)</x:f>
        <x:v>Yes</x:v>
      </x:c>
      <x:c r="Q6" s="100" t="str">
        <x:f>IF('Master'!R380="","",'Master'!R380)</x:f>
        <x:v>Yes</x:v>
      </x:c>
      <x:c r="R6" s="100" t="str">
        <x:f>IF('Master'!S380="","",'Master'!S380)</x:f>
        <x:v>Yes</x:v>
      </x:c>
      <x:c r="S6" s="100" t="str">
        <x:f>IF('Master'!T380="","",'Master'!T380)</x:f>
        <x:v>Yes</x:v>
      </x:c>
      <x:c r="T6" s="100" t="str">
        <x:f>IF('Master'!U380="","",'Master'!U380)</x:f>
        <x:v>Yes</x:v>
      </x:c>
      <x:c r="U6" s="100" t="str">
        <x:f>IF('Master'!V380="","",'Master'!V380)</x:f>
        <x:v>Yes</x:v>
      </x:c>
      <x:c r="V6" s="100" t="str">
        <x:f>IF('Master'!W380="","",'Master'!W380)</x:f>
        <x:v>Yes</x:v>
      </x:c>
      <x:c r="W6" s="100" t="str">
        <x:f>IF('Master'!X380="","",'Master'!X380)</x:f>
        <x:v>Web/TypeScript</x:v>
      </x:c>
      <x:c r="X6" s="100" t="str">
        <x:f>IF('Master'!Y380="","",'Master'!Y380)</x:f>
        <x:v>Yes</x:v>
      </x:c>
      <x:c r="Y6" s="100" t="str">
        <x:f>IF('Master'!Z380="","",'Master'!Z380)</x:f>
        <x:v>Client-dependent</x:v>
      </x:c>
      <x:c r="Z6" s="100" t="str">
        <x:f>IF('Master'!AA380="","",'Master'!AA380)</x:f>
        <x:v>Yes</x:v>
      </x:c>
      <x:c r="AA6" s="104" t="str">
        <x:f>IF('Master'!AB380="","",'Master'!AB380)</x:f>
        <x:v>Yes</x:v>
      </x:c>
      <x:c r="AB6" s="100" t="str">
        <x:f>IF('Master'!AC380="","",'Master'!AC380)</x:f>
        <x:v>Blazor/WebAssembly; desktop launcher</x:v>
      </x:c>
      <x:c r="AC6" s="100" t="str">
        <x:f>IF('Master'!AD380="","",'Master'!AD380)</x:f>
        <x:v>Yes</x:v>
      </x:c>
      <x:c r="AD6" s="100" t="str">
        <x:f>IF('Master'!AE380="","",'Master'!AE380)</x:f>
        <x:v>Tauri</x:v>
      </x:c>
      <x:c r="AE6" s="100" t="str">
        <x:f>IF('Master'!AF380="","",'Master'!AF380)</x:f>
        <x:v>Yes browser</x:v>
      </x:c>
      <x:c r="AF6" s="75" t="str">
        <x:f>IF('Master'!AG380="","",'Master'!AG380)</x:f>
        <x:v>Yes</x:v>
      </x:c>
    </x:row>
    <x:row r="7" ht="36" customHeight="1">
      <x:c r="A7" s="135" t="str">
        <x:v>macOS Support</x:v>
      </x:c>
      <x:c r="B7" s="100" t="str">
        <x:f>IF('Master'!C381="","",'Master'!C381)</x:f>
        <x:v>Yes</x:v>
      </x:c>
      <x:c r="C7" s="100" t="str">
        <x:f>IF('Master'!D381="","",'Master'!D381)</x:f>
        <x:v>Web</x:v>
      </x:c>
      <x:c r="D7" s="100" t="str">
        <x:f>IF('Master'!E381="","",'Master'!E381)</x:f>
        <x:v>Yes</x:v>
      </x:c>
      <x:c r="E7" s="100" t="str">
        <x:f>IF('Master'!F381="","",'Master'!F381)</x:f>
        <x:v>Yes</x:v>
      </x:c>
      <x:c r="F7" s="100" t="str">
        <x:f>IF('Master'!G381="","",'Master'!G381)</x:f>
        <x:v>Yes via web/PWA</x:v>
      </x:c>
      <x:c r="G7" s="100" t="str">
        <x:f>IF('Master'!H381="","",'Master'!H381)</x:f>
        <x:v>Yes</x:v>
      </x:c>
      <x:c r="H7" s="100" t="str">
        <x:f>IF('Master'!I381="","",'Master'!I381)</x:f>
        <x:v>Yes</x:v>
      </x:c>
      <x:c r="I7" s="100" t="str">
        <x:f>IF('Master'!J381="","",'Master'!J381)</x:f>
        <x:v>Web</x:v>
      </x:c>
      <x:c r="J7" s="100" t="str">
        <x:f>IF('Master'!K381="","",'Master'!K381)</x:f>
        <x:v>Yes</x:v>
      </x:c>
      <x:c r="K7" s="100" t="str">
        <x:f>IF('Master'!L381="","",'Master'!L381)</x:f>
        <x:v>Yes</x:v>
      </x:c>
      <x:c r="L7" s="100" t="str">
        <x:f>IF('Master'!M381="","",'Master'!M381)</x:f>
      </x:c>
      <x:c r="M7" s="100" t="str">
        <x:f>IF('Master'!N381="","",'Master'!N381)</x:f>
        <x:v>Web</x:v>
      </x:c>
      <x:c r="N7" s="100" t="str">
        <x:f>IF('Master'!O381="","",'Master'!O381)</x:f>
        <x:v>Yes — many clients</x:v>
      </x:c>
      <x:c r="O7" s="100" t="str">
        <x:f>IF('Master'!P381="","",'Master'!P381)</x:f>
        <x:v>Yes</x:v>
      </x:c>
      <x:c r="P7" s="100" t="str">
        <x:f>IF('Master'!Q381="","",'Master'!Q381)</x:f>
        <x:v>Yes</x:v>
      </x:c>
      <x:c r="Q7" s="100" t="str">
        <x:f>IF('Master'!R381="","",'Master'!R381)</x:f>
        <x:v>Yes</x:v>
      </x:c>
      <x:c r="R7" s="100" t="str">
        <x:f>IF('Master'!S381="","",'Master'!S381)</x:f>
        <x:v>Yes</x:v>
      </x:c>
      <x:c r="S7" s="100" t="str">
        <x:f>IF('Master'!T381="","",'Master'!T381)</x:f>
        <x:v>Yes</x:v>
      </x:c>
      <x:c r="T7" s="100" t="str">
        <x:f>IF('Master'!U381="","",'Master'!U381)</x:f>
        <x:v>Yes</x:v>
      </x:c>
      <x:c r="U7" s="100" t="str">
        <x:f>IF('Master'!V381="","",'Master'!V381)</x:f>
        <x:v>Yes</x:v>
      </x:c>
      <x:c r="V7" s="100" t="str">
        <x:f>IF('Master'!W381="","",'Master'!W381)</x:f>
        <x:v>Yes</x:v>
      </x:c>
      <x:c r="W7" s="100" t="str">
        <x:f>IF('Master'!X381="","",'Master'!X381)</x:f>
        <x:v>Web</x:v>
      </x:c>
      <x:c r="X7" s="100" t="str">
        <x:f>IF('Master'!Y381="","",'Master'!Y381)</x:f>
        <x:v>Yes</x:v>
      </x:c>
      <x:c r="Y7" s="100" t="str">
        <x:f>IF('Master'!Z381="","",'Master'!Z381)</x:f>
        <x:v>Client-dependent</x:v>
      </x:c>
      <x:c r="Z7" s="100" t="str">
        <x:f>IF('Master'!AA381="","",'Master'!AA381)</x:f>
        <x:v>Yes</x:v>
      </x:c>
      <x:c r="AA7" s="104" t="str">
        <x:f>IF('Master'!AB381="","",'Master'!AB381)</x:f>
        <x:v>Yes</x:v>
      </x:c>
      <x:c r="AB7" s="100" t="str">
        <x:f>IF('Master'!AC381="","",'Master'!AC381)</x:f>
        <x:v>Web</x:v>
      </x:c>
      <x:c r="AC7" s="100" t="str">
        <x:f>IF('Master'!AD381="","",'Master'!AD381)</x:f>
        <x:v>Yes</x:v>
      </x:c>
      <x:c r="AD7" s="100" t="str">
        <x:f>IF('Master'!AE381="","",'Master'!AE381)</x:f>
        <x:v>Yes</x:v>
      </x:c>
      <x:c r="AE7" s="100" t="str">
        <x:f>IF('Master'!AF381="","",'Master'!AF381)</x:f>
        <x:v>Yes browser</x:v>
      </x:c>
      <x:c r="AF7" s="75" t="str">
        <x:f>IF('Master'!AG381="","",'Master'!AG381)</x:f>
        <x:v>Yes</x:v>
      </x:c>
    </x:row>
    <x:row r="8" ht="36" customHeight="1">
      <x:c r="A8" s="135" t="str">
        <x:v>Linux Support</x:v>
      </x:c>
      <x:c r="B8" s="100" t="str">
        <x:f>IF('Master'!C382="","",'Master'!C382)</x:f>
        <x:v>Yes</x:v>
      </x:c>
      <x:c r="C8" s="100" t="str">
        <x:f>IF('Master'!D382="","",'Master'!D382)</x:f>
        <x:v>Web</x:v>
      </x:c>
      <x:c r="D8" s="100" t="str">
        <x:f>IF('Master'!E382="","",'Master'!E382)</x:f>
        <x:v>Yes</x:v>
      </x:c>
      <x:c r="E8" s="100" t="str">
        <x:f>IF('Master'!F382="","",'Master'!F382)</x:f>
        <x:v>Yes</x:v>
      </x:c>
      <x:c r="F8" s="100" t="str">
        <x:f>IF('Master'!G382="","",'Master'!G382)</x:f>
        <x:v>Yes via web/PWA</x:v>
      </x:c>
      <x:c r="G8" s="100" t="str">
        <x:f>IF('Master'!H382="","",'Master'!H382)</x:f>
        <x:v>Yes — deb/rpm/AppImage/tar.gz</x:v>
      </x:c>
      <x:c r="H8" s="100" t="str">
        <x:f>IF('Master'!I382="","",'Master'!I382)</x:f>
        <x:v>Yes</x:v>
      </x:c>
      <x:c r="I8" s="100" t="str">
        <x:f>IF('Master'!J382="","",'Master'!J382)</x:f>
        <x:v>Web</x:v>
      </x:c>
      <x:c r="J8" s="100" t="str">
        <x:f>IF('Master'!K382="","",'Master'!K382)</x:f>
        <x:v>Yes</x:v>
      </x:c>
      <x:c r="K8" s="100" t="str">
        <x:f>IF('Master'!L382="","",'Master'!L382)</x:f>
        <x:v>Yes</x:v>
      </x:c>
      <x:c r="L8" s="100" t="str">
        <x:f>IF('Master'!M382="","",'Master'!M382)</x:f>
      </x:c>
      <x:c r="M8" s="100" t="str">
        <x:f>IF('Master'!N382="","",'Master'!N382)</x:f>
        <x:v>Web</x:v>
      </x:c>
      <x:c r="N8" s="100" t="str">
        <x:f>IF('Master'!O382="","",'Master'!O382)</x:f>
        <x:v>Yes — many clients</x:v>
      </x:c>
      <x:c r="O8" s="100" t="str">
        <x:f>IF('Master'!P382="","",'Master'!P382)</x:f>
        <x:v>Yes</x:v>
      </x:c>
      <x:c r="P8" s="100" t="str">
        <x:f>IF('Master'!Q382="","",'Master'!Q382)</x:f>
        <x:v>Yes</x:v>
      </x:c>
      <x:c r="Q8" s="100" t="str">
        <x:f>IF('Master'!R382="","",'Master'!R382)</x:f>
        <x:v>Yes</x:v>
      </x:c>
      <x:c r="R8" s="100" t="str">
        <x:f>IF('Master'!S382="","",'Master'!S382)</x:f>
        <x:v>Yes</x:v>
      </x:c>
      <x:c r="S8" s="100" t="str">
        <x:f>IF('Master'!T382="","",'Master'!T382)</x:f>
        <x:v>Yes</x:v>
      </x:c>
      <x:c r="T8" s="100" t="str">
        <x:f>IF('Master'!U382="","",'Master'!U382)</x:f>
        <x:v>Yes</x:v>
      </x:c>
      <x:c r="U8" s="100" t="str">
        <x:f>IF('Master'!V382="","",'Master'!V382)</x:f>
        <x:v>Yes</x:v>
      </x:c>
      <x:c r="V8" s="100" t="str">
        <x:f>IF('Master'!W382="","",'Master'!W382)</x:f>
        <x:v>Yes</x:v>
      </x:c>
      <x:c r="W8" s="100" t="str">
        <x:f>IF('Master'!X382="","",'Master'!X382)</x:f>
        <x:v>Web</x:v>
      </x:c>
      <x:c r="X8" s="100" t="str">
        <x:f>IF('Master'!Y382="","",'Master'!Y382)</x:f>
      </x:c>
      <x:c r="Y8" s="100" t="str">
        <x:f>IF('Master'!Z382="","",'Master'!Z382)</x:f>
        <x:v>Client-dependent</x:v>
      </x:c>
      <x:c r="Z8" s="100" t="str">
        <x:f>IF('Master'!AA382="","",'Master'!AA382)</x:f>
        <x:v>Yes</x:v>
      </x:c>
      <x:c r="AA8" s="104" t="str">
        <x:f>IF('Master'!AB382="","",'Master'!AB382)</x:f>
        <x:v>Yes</x:v>
      </x:c>
      <x:c r="AB8" s="100" t="str">
        <x:f>IF('Master'!AC382="","",'Master'!AC382)</x:f>
        <x:v>Web</x:v>
      </x:c>
      <x:c r="AC8" s="100" t="str">
        <x:f>IF('Master'!AD382="","",'Master'!AD382)</x:f>
        <x:v>Linux experimental</x:v>
      </x:c>
      <x:c r="AD8" s="100" t="str">
        <x:f>IF('Master'!AE382="","",'Master'!AE382)</x:f>
        <x:v>Yes</x:v>
      </x:c>
      <x:c r="AE8" s="100" t="str">
        <x:f>IF('Master'!AF382="","",'Master'!AF382)</x:f>
        <x:v>Yes browser</x:v>
      </x:c>
      <x:c r="AF8" s="75" t="str">
        <x:f>IF('Master'!AG382="","",'Master'!AG382)</x:f>
        <x:v>Yes</x:v>
      </x:c>
    </x:row>
    <x:row r="9" ht="36" customHeight="1">
      <x:c r="A9" s="135" t="str">
        <x:v>Android Support</x:v>
      </x:c>
      <x:c r="B9" s="100" t="str">
        <x:f>IF('Master'!C383="","",'Master'!C383)</x:f>
        <x:v>Yes — Play Store</x:v>
      </x:c>
      <x:c r="C9" s="100" t="str">
        <x:f>IF('Master'!D383="","",'Master'!D383)</x:f>
        <x:v>Yes</x:v>
      </x:c>
      <x:c r="D9" s="100" t="str">
        <x:f>IF('Master'!E383="","",'Master'!E383)</x:f>
        <x:v>Android</x:v>
      </x:c>
      <x:c r="E9" s="100" t="str">
        <x:f>IF('Master'!F383="","",'Master'!F383)</x:f>
        <x:v>Android APK</x:v>
      </x:c>
      <x:c r="F9" s="100" t="str">
        <x:f>IF('Master'!G383="","",'Master'!G383)</x:f>
      </x:c>
      <x:c r="G9" s="100" t="str">
        <x:f>IF('Master'!H383="","",'Master'!H383)</x:f>
        <x:v>Native Flutter beta + PWA</x:v>
      </x:c>
      <x:c r="H9" s="100" t="str">
        <x:f>IF('Master'!I383="","",'Master'!I383)</x:f>
        <x:v>Yes</x:v>
      </x:c>
      <x:c r="I9" s="100" t="str">
        <x:f>IF('Master'!J383="","",'Master'!J383)</x:f>
        <x:v>In development</x:v>
      </x:c>
      <x:c r="J9" s="100" t="str">
        <x:f>IF('Master'!K383="","",'Master'!K383)</x:f>
        <x:v>Mobile port usable</x:v>
      </x:c>
      <x:c r="K9" s="100" t="str">
        <x:f>IF('Master'!L383="","",'Master'!L383)</x:f>
        <x:v>Yes</x:v>
      </x:c>
      <x:c r="L9" s="100" t="str">
        <x:f>IF('Master'!M383="","",'Master'!M383)</x:f>
      </x:c>
      <x:c r="M9" s="100" t="str">
        <x:f>IF('Master'!N383="","",'Master'!N383)</x:f>
        <x:v>Planned</x:v>
      </x:c>
      <x:c r="N9" s="100" t="str">
        <x:f>IF('Master'!O383="","",'Master'!O383)</x:f>
        <x:v>Yes — many clients</x:v>
      </x:c>
      <x:c r="O9" s="100" t="str">
        <x:f>IF('Master'!P383="","",'Master'!P383)</x:f>
        <x:v>Yes</x:v>
      </x:c>
      <x:c r="P9" s="100" t="str">
        <x:f>IF('Master'!Q383="","",'Master'!Q383)</x:f>
        <x:v>Native</x:v>
      </x:c>
      <x:c r="Q9" s="100" t="str">
        <x:f>IF('Master'!R383="","",'Master'!R383)</x:f>
        <x:v>Third-party clients</x:v>
      </x:c>
      <x:c r="R9" s="100" t="str">
        <x:f>IF('Master'!S383="","",'Master'!S383)</x:f>
        <x:v>Android APK</x:v>
      </x:c>
      <x:c r="S9" s="100" t="str">
        <x:f>IF('Master'!T383="","",'Master'!T383)</x:f>
        <x:v>Google Play</x:v>
      </x:c>
      <x:c r="T9" s="100" t="str">
        <x:f>IF('Master'!U383="","",'Master'!U383)</x:f>
        <x:v>Native Android APK beta — https://pqp.gg/android</x:v>
      </x:c>
      <x:c r="U9" s="100" t="str">
        <x:f>IF('Master'!V383="","",'Master'!V383)</x:f>
        <x:v>Yes - Available on playstore</x:v>
      </x:c>
      <x:c r="V9" s="100" t="str">
        <x:f>IF('Master'!W383="","",'Master'!W383)</x:f>
        <x:v>Yes</x:v>
      </x:c>
      <x:c r="W9" s="100" t="str">
        <x:f>IF('Master'!X383="","",'Master'!X383)</x:f>
        <x:v>Web</x:v>
      </x:c>
      <x:c r="X9" s="100" t="str">
        <x:f>IF('Master'!Y383="","",'Master'!Y383)</x:f>
        <x:v>Yes — Google Play</x:v>
      </x:c>
      <x:c r="Y9" s="100" t="str">
        <x:f>IF('Master'!Z383="","",'Master'!Z383)</x:f>
        <x:v>Client-dependent</x:v>
      </x:c>
      <x:c r="Z9" s="100" t="str">
        <x:f>IF('Master'!AA383="","",'Master'!AA383)</x:f>
        <x:v>Native Android</x:v>
      </x:c>
      <x:c r="AA9" s="104" t="str">
        <x:f>IF('Master'!AB383="","",'Master'!AB383)</x:f>
        <x:v>Yes</x:v>
      </x:c>
      <x:c r="AB9" s="100" t="str">
        <x:f>IF('Master'!AC383="","",'Master'!AC383)</x:f>
        <x:v>Android APK</x:v>
      </x:c>
      <x:c r="AC9" s="100" t="str">
        <x:f>IF('Master'!AD383="","",'Master'!AD383)</x:f>
      </x:c>
      <x:c r="AD9" s="100" t="str">
        <x:f>IF('Master'!AE383="","",'Master'!AE383)</x:f>
        <x:v>In development</x:v>
      </x:c>
      <x:c r="AE9" s="100" t="str">
        <x:f>IF('Master'!AF383="","",'Master'!AF383)</x:f>
        <x:v>Browser</x:v>
      </x:c>
      <x:c r="AF9" s="75" t="str">
        <x:f>IF('Master'!AG383="","",'Master'!AG383)</x:f>
        <x:v>Yes</x:v>
      </x:c>
    </x:row>
    <x:row r="10" ht="36" customHeight="1">
      <x:c r="A10" s="135" t="str">
        <x:v>iOS Support</x:v>
      </x:c>
      <x:c r="B10" s="100" t="str">
        <x:f>IF('Master'!C384="","",'Master'!C384)</x:f>
        <x:v>Yes — App Store</x:v>
      </x:c>
      <x:c r="C10" s="100" t="str">
        <x:f>IF('Master'!D384="","",'Master'!D384)</x:f>
        <x:v>Web works; native iOS not yet</x:v>
      </x:c>
      <x:c r="D10" s="100" t="str">
        <x:f>IF('Master'!E384="","",'Master'!E384)</x:f>
      </x:c>
      <x:c r="E10" s="100" t="str">
        <x:f>IF('Master'!F384="","",'Master'!F384)</x:f>
        <x:v>App Store</x:v>
      </x:c>
      <x:c r="F10" s="100" t="str">
        <x:f>IF('Master'!G384="","",'Master'!G384)</x:f>
      </x:c>
      <x:c r="G10" s="100" t="str">
        <x:f>IF('Master'!H384="","",'Master'!H384)</x:f>
        <x:v>TestFlight beta + PWA</x:v>
      </x:c>
      <x:c r="H10" s="100" t="str">
        <x:f>IF('Master'!I384="","",'Master'!I384)</x:f>
        <x:v>Yes</x:v>
      </x:c>
      <x:c r="I10" s="100" t="str">
        <x:f>IF('Master'!J384="","",'Master'!J384)</x:f>
        <x:v>In development</x:v>
      </x:c>
      <x:c r="J10" s="100" t="str">
        <x:f>IF('Master'!K384="","",'Master'!K384)</x:f>
        <x:v>TestFlight planned</x:v>
      </x:c>
      <x:c r="K10" s="100" t="str">
        <x:f>IF('Master'!L384="","",'Master'!L384)</x:f>
        <x:v>Yes</x:v>
      </x:c>
      <x:c r="L10" s="100" t="str">
        <x:f>IF('Master'!M384="","",'Master'!M384)</x:f>
      </x:c>
      <x:c r="M10" s="100" t="str">
        <x:f>IF('Master'!N384="","",'Master'!N384)</x:f>
        <x:v>Planned</x:v>
      </x:c>
      <x:c r="N10" s="100" t="str">
        <x:f>IF('Master'!O384="","",'Master'!O384)</x:f>
        <x:v>Yes — many clients</x:v>
      </x:c>
      <x:c r="O10" s="100" t="str">
        <x:f>IF('Master'!P384="","",'Master'!P384)</x:f>
        <x:v>Yes</x:v>
      </x:c>
      <x:c r="P10" s="100" t="str">
        <x:f>IF('Master'!Q384="","",'Master'!Q384)</x:f>
        <x:v>Native</x:v>
      </x:c>
      <x:c r="Q10" s="100" t="str">
        <x:f>IF('Master'!R384="","",'Master'!R384)</x:f>
        <x:v>Third-party clients</x:v>
      </x:c>
      <x:c r="R10" s="100" t="str">
        <x:f>IF('Master'!S384="","",'Master'!S384)</x:f>
        <x:v>No official iOS app</x:v>
      </x:c>
      <x:c r="S10" s="100" t="str">
        <x:f>IF('Master'!T384="","",'Master'!T384)</x:f>
        <x:v>App Store</x:v>
      </x:c>
      <x:c r="T10" s="100" t="str">
        <x:f>IF('Master'!U384="","",'Master'!U384)</x:f>
        <x:v>Native iOS TestFlight — https://pqp.gg/beta</x:v>
      </x:c>
      <x:c r="U10" s="100" t="str">
        <x:f>IF('Master'!V384="","",'Master'!V384)</x:f>
        <x:v>Testflight Beta - Awaitaing Appstore approval</x:v>
      </x:c>
      <x:c r="V10" s="100" t="str">
        <x:f>IF('Master'!W384="","",'Master'!W384)</x:f>
        <x:v>Yes</x:v>
      </x:c>
      <x:c r="W10" s="100" t="str">
        <x:f>IF('Master'!X384="","",'Master'!X384)</x:f>
        <x:v>Web</x:v>
      </x:c>
      <x:c r="X10" s="100" t="str">
        <x:f>IF('Master'!Y384="","",'Master'!Y384)</x:f>
        <x:v>Yes — App Store</x:v>
      </x:c>
      <x:c r="Y10" s="100" t="str">
        <x:f>IF('Master'!Z384="","",'Master'!Z384)</x:f>
        <x:v>Client-dependent</x:v>
      </x:c>
      <x:c r="Z10" s="100" t="str">
        <x:f>IF('Master'!AA384="","",'Master'!AA384)</x:f>
        <x:v>Yes</x:v>
      </x:c>
      <x:c r="AA10" s="104" t="str">
        <x:f>IF('Master'!AB384="","",'Master'!AB384)</x:f>
        <x:v>Yes</x:v>
      </x:c>
      <x:c r="AB10" s="100" t="str">
        <x:f>IF('Master'!AC384="","",'Master'!AC384)</x:f>
      </x:c>
      <x:c r="AC10" s="100" t="str">
        <x:f>IF('Master'!AD384="","",'Master'!AD384)</x:f>
      </x:c>
      <x:c r="AD10" s="100" t="str">
        <x:f>IF('Master'!AE384="","",'Master'!AE384)</x:f>
        <x:v>In development</x:v>
      </x:c>
      <x:c r="AE10" s="100" t="str">
        <x:f>IF('Master'!AF384="","",'Master'!AF384)</x:f>
        <x:v>Browser</x:v>
      </x:c>
      <x:c r="AF10" s="75" t="str">
        <x:f>IF('Master'!AG384="","",'Master'!AG384)</x:f>
        <x:v>Yes</x:v>
      </x:c>
    </x:row>
    <x:row r="11" ht="36" customHeight="1">
      <x:c r="A11" s="135" t="str">
        <x:v>PWA</x:v>
      </x:c>
      <x:c r="B11" s="100" t="str">
        <x:f>IF('Master'!C385="","",'Master'!C385)</x:f>
        <x:v>Web app; installability varies</x:v>
      </x:c>
      <x:c r="C11" s="100" t="str">
        <x:f>IF('Master'!D385="","",'Master'!D385)</x:f>
      </x:c>
      <x:c r="D11" s="100" t="str">
        <x:f>IF('Master'!E385="","",'Master'!E385)</x:f>
        <x:v>Yes</x:v>
      </x:c>
      <x:c r="E11" s="100" t="str">
        <x:f>IF('Master'!F385="","",'Master'!F385)</x:f>
        <x:v>Yes</x:v>
      </x:c>
      <x:c r="F11" s="100" t="str">
        <x:f>IF('Master'!G385="","",'Master'!G385)</x:f>
        <x:v>Yes</x:v>
      </x:c>
      <x:c r="G11" s="100" t="str">
        <x:f>IF('Master'!H385="","",'Master'!H385)</x:f>
        <x:v>Yes</x:v>
      </x:c>
      <x:c r="H11" s="100" t="str">
        <x:f>IF('Master'!I385="","",'Master'!I385)</x:f>
        <x:v>Yes/web</x:v>
      </x:c>
      <x:c r="I11" s="100" t="str">
        <x:f>IF('Master'!J385="","",'Master'!J385)</x:f>
        <x:v>Yes</x:v>
      </x:c>
      <x:c r="J11" s="100" t="str">
        <x:f>IF('Master'!K385="","",'Master'!K385)</x:f>
        <x:v>No</x:v>
      </x:c>
      <x:c r="K11" s="100" t="str">
        <x:f>IF('Master'!L385="","",'Master'!L385)</x:f>
        <x:v>Yes</x:v>
      </x:c>
      <x:c r="L11" s="100" t="str">
        <x:f>IF('Master'!M385="","",'Master'!M385)</x:f>
        <x:v>Yes</x:v>
      </x:c>
      <x:c r="M11" s="100" t="str">
        <x:f>IF('Master'!N385="","",'Master'!N385)</x:f>
        <x:v>Yes</x:v>
      </x:c>
      <x:c r="N11" s="100" t="str">
        <x:f>IF('Master'!O385="","",'Master'!O385)</x:f>
        <x:v>Many clients have PWAs</x:v>
      </x:c>
      <x:c r="O11" s="100" t="str">
        <x:f>IF('Master'!P385="","",'Master'!P385)</x:f>
        <x:v>Yes/web</x:v>
      </x:c>
      <x:c r="P11" s="100" t="str">
        <x:f>IF('Master'!Q385="","",'Master'!Q385)</x:f>
        <x:v>Yes</x:v>
      </x:c>
      <x:c r="Q11" s="100" t="str">
        <x:f>IF('Master'!R385="","",'Master'!R385)</x:f>
        <x:v>No</x:v>
      </x:c>
      <x:c r="R11" s="100" t="str">
        <x:f>IF('Master'!S385="","",'Master'!S385)</x:f>
        <x:v>Web app</x:v>
      </x:c>
      <x:c r="S11" s="100" t="str">
        <x:f>IF('Master'!T385="","",'Master'!T385)</x:f>
        <x:v>Yes</x:v>
      </x:c>
      <x:c r="T11" s="100" t="str">
        <x:f>IF('Master'!U385="","",'Master'!U385)</x:f>
        <x:v>Yes</x:v>
      </x:c>
      <x:c r="U11" s="100" t="str">
        <x:f>IF('Master'!V385="","",'Master'!V385)</x:f>
        <x:v>Yes</x:v>
      </x:c>
      <x:c r="V11" s="100" t="str">
        <x:f>IF('Master'!W385="","",'Master'!W385)</x:f>
        <x:v>Yes</x:v>
      </x:c>
      <x:c r="W11" s="100" t="str">
        <x:f>IF('Master'!X385="","",'Master'!X385)</x:f>
        <x:v>Yes</x:v>
      </x:c>
      <x:c r="X11" s="100" t="str">
        <x:f>IF('Master'!Y385="","",'Master'!Y385)</x:f>
      </x:c>
      <x:c r="Y11" s="100" t="str">
        <x:f>IF('Master'!Z385="","",'Master'!Z385)</x:f>
      </x:c>
      <x:c r="Z11" s="100" t="str">
        <x:f>IF('Master'!AA385="","",'Master'!AA385)</x:f>
        <x:v>Yes</x:v>
      </x:c>
      <x:c r="AA11" s="104" t="str">
        <x:f>IF('Master'!AB385="","",'Master'!AB385)</x:f>
      </x:c>
      <x:c r="AB11" s="100" t="str">
        <x:f>IF('Master'!AC385="","",'Master'!AC385)</x:f>
        <x:v>Yes</x:v>
      </x:c>
      <x:c r="AC11" s="100" t="str">
        <x:f>IF('Master'!AD385="","",'Master'!AD385)</x:f>
      </x:c>
      <x:c r="AD11" s="100" t="str">
        <x:f>IF('Master'!AE385="","",'Master'!AE385)</x:f>
        <x:v>Yes</x:v>
      </x:c>
      <x:c r="AE11" s="100" t="str">
        <x:f>IF('Master'!AF385="","",'Master'!AF385)</x:f>
        <x:v>Yes</x:v>
      </x:c>
      <x:c r="AF11" s="75" t="str">
        <x:f>IF('Master'!AG385="","",'Master'!AG385)</x:f>
        <x:v>Yes</x:v>
      </x:c>
    </x:row>
    <x:row r="12" ht="36" customHeight="1">
      <x:c r="A12" s="135" t="str">
        <x:v>Mobile Feature Parity</x:v>
      </x:c>
      <x:c r="B12" s="100" t="str">
        <x:f>IF('Master'!C386="","",'Master'!C386)</x:f>
        <x:v>High</x:v>
      </x:c>
      <x:c r="C12" s="100" t="str">
        <x:f>IF('Master'!D386="","",'Master'!D386)</x:f>
        <x:v>Early</x:v>
      </x:c>
      <x:c r="D12" s="100" t="str">
        <x:f>IF('Master'!E386="","",'Master'!E386)</x:f>
        <x:v>High</x:v>
      </x:c>
      <x:c r="E12" s="100" t="str">
        <x:f>IF('Master'!F386="","",'Master'!F386)</x:f>
        <x:v>High</x:v>
      </x:c>
      <x:c r="F12" s="100" t="str">
        <x:f>IF('Master'!G386="","",'Master'!G386)</x:f>
        <x:v>Alpha</x:v>
      </x:c>
      <x:c r="G12" s="100" t="str">
        <x:f>IF('Master'!H386="","",'Master'!H386)</x:f>
        <x:v>Partial — web has more features</x:v>
      </x:c>
      <x:c r="H12" s="100" t="str">
        <x:f>IF('Master'!I386="","",'Master'!I386)</x:f>
        <x:v>High</x:v>
      </x:c>
      <x:c r="I12" s="100" t="str">
        <x:f>IF('Master'!J386="","",'Master'!J386)</x:f>
        <x:v>Not yet — mobile apps are in development</x:v>
      </x:c>
      <x:c r="J12" s="100" t="str">
        <x:f>IF('Master'!K386="","",'Master'!K386)</x:f>
        <x:v>Growing</x:v>
      </x:c>
      <x:c r="K12" s="100" t="str">
        <x:f>IF('Master'!L386="","",'Master'!L386)</x:f>
        <x:v>High — Flutter mobile has full chat/guild administration plus native voice/video/screen share</x:v>
      </x:c>
      <x:c r="L12" s="100" t="str">
        <x:f>IF('Master'!M386="","",'Master'!M386)</x:f>
      </x:c>
      <x:c r="M12" s="100" t="str">
        <x:f>IF('Master'!N386="","",'Master'!N386)</x:f>
        <x:v>Partial</x:v>
      </x:c>
      <x:c r="N12" s="100" t="str">
        <x:f>IF('Master'!O386="","",'Master'!O386)</x:f>
        <x:v>Varies widely</x:v>
      </x:c>
      <x:c r="O12" s="100" t="str">
        <x:f>IF('Master'!P386="","",'Master'!P386)</x:f>
        <x:v>High</x:v>
      </x:c>
      <x:c r="P12" s="100" t="str">
        <x:f>IF('Master'!Q386="","",'Master'!Q386)</x:f>
        <x:v>High</x:v>
      </x:c>
      <x:c r="Q12" s="100" t="str">
        <x:f>IF('Master'!R386="","",'Master'!R386)</x:f>
        <x:v>No</x:v>
      </x:c>
      <x:c r="R12" s="100" t="str">
        <x:f>IF('Master'!S386="","",'Master'!S386)</x:f>
        <x:v>Partial</x:v>
      </x:c>
      <x:c r="S12" s="100" t="str">
        <x:f>IF('Master'!T386="","",'Master'!T386)</x:f>
        <x:v>High</x:v>
      </x:c>
      <x:c r="T12" s="100" t="str">
        <x:f>IF('Master'!U386="","",'Master'!U386)</x:f>
        <x:v>Partial beta — iOS TestFlight and Android APK; Android currently lacks push, camera, and large-room screen-share sending</x:v>
      </x:c>
      <x:c r="U12" s="100" t="str">
        <x:f>IF('Master'!V386="","",'Master'!V386)</x:f>
        <x:v>High</x:v>
      </x:c>
      <x:c r="V12" s="100" t="str">
        <x:f>IF('Master'!W386="","",'Master'!W386)</x:f>
        <x:v>High</x:v>
      </x:c>
      <x:c r="W12" s="100" t="str">
        <x:f>IF('Master'!X386="","",'Master'!X386)</x:f>
        <x:v>Early</x:v>
      </x:c>
      <x:c r="X12" s="100" t="str">
        <x:f>IF('Master'!Y386="","",'Master'!Y386)</x:f>
        <x:v>Partial</x:v>
      </x:c>
      <x:c r="Y12" s="100" t="str">
        <x:f>IF('Master'!Z386="","",'Master'!Z386)</x:f>
      </x:c>
      <x:c r="Z12" s="100" t="str">
        <x:f>IF('Master'!AA386="","",'Master'!AA386)</x:f>
        <x:v>Partial</x:v>
      </x:c>
      <x:c r="AA12" s="104" t="str">
        <x:f>IF('Master'!AB386="","",'Master'!AB386)</x:f>
        <x:v>Partial</x:v>
      </x:c>
      <x:c r="AB12" s="100" t="str">
        <x:f>IF('Master'!AC386="","",'Master'!AC386)</x:f>
        <x:v>Partial</x:v>
      </x:c>
      <x:c r="AC12" s="100" t="str">
        <x:f>IF('Master'!AD386="","",'Master'!AD386)</x:f>
        <x:v>Early</x:v>
      </x:c>
      <x:c r="AD12" s="100" t="str">
        <x:f>IF('Master'!AE386="","",'Master'!AE386)</x:f>
        <x:v>Partial</x:v>
      </x:c>
      <x:c r="AE12" s="100" t="str">
        <x:f>IF('Master'!AF386="","",'Master'!AF386)</x:f>
        <x:v>Partial</x:v>
      </x:c>
      <x:c r="AF12" s="75" t="str">
        <x:f>IF('Master'!AG386="","",'Master'!AG386)</x:f>
        <x:v>High</x:v>
      </x:c>
    </x:row>
    <x:row r="13" ht="36" customHeight="1">
      <x:c r="A13" s="135" t="str">
        <x:v>Official Client Can Select Custom Instance</x:v>
      </x:c>
      <x:c r="B13" s="100" t="str">
        <x:f>IF('Master'!C387="","",'Master'!C387)</x:f>
        <x:v>N/A — central service</x:v>
      </x:c>
      <x:c r="C13" s="100" t="str">
        <x:f>IF('Master'!D387="","",'Master'!D387)</x:f>
        <x:v>Relays are configurable</x:v>
      </x:c>
      <x:c r="D13" s="100" t="str">
        <x:f>IF('Master'!E387="","",'Master'!E387)</x:f>
        <x:v>Yes</x:v>
      </x:c>
      <x:c r="E13" s="100" t="str">
        <x:f>IF('Master'!F387="","",'Master'!F387)</x:f>
        <x:v>No</x:v>
      </x:c>
      <x:c r="F13" s="100" t="str">
        <x:f>IF('Master'!G387="","",'Master'!G387)</x:f>
        <x:v>No — hosted only</x:v>
      </x:c>
      <x:c r="G13" s="100" t="str">
        <x:f>IF('Master'!H387="","",'Master'!H387)</x:f>
        <x:v>Self-host support exists; client custom-instance UX still maturing</x:v>
      </x:c>
      <x:c r="H13" s="100" t="str">
        <x:f>IF('Master'!I387="","",'Master'!I387)</x:f>
        <x:v>Self-host connection supported</x:v>
      </x:c>
      <x:c r="I13" s="100" t="str">
        <x:f>IF('Master'!J387="","",'Master'!J387)</x:f>
        <x:v>Yes — Fermi instance picker</x:v>
      </x:c>
      <x:c r="J13" s="100" t="str">
        <x:f>IF('Master'!K387="","",'Master'!K387)</x:f>
        <x:v>Yes — relay selection/self-host</x:v>
      </x:c>
      <x:c r="K13" s="100" t="str">
        <x:f>IF('Master'!L387="","",'Master'!L387)</x:f>
        <x:v>Yes — official clients can sign in to any compatible Kaede home</x:v>
      </x:c>
      <x:c r="L13" s="100" t="str">
        <x:f>IF('Master'!M387="","",'Master'!M387)</x:f>
        <x:v>No</x:v>
      </x:c>
      <x:c r="M13" s="100" t="str">
        <x:f>IF('Master'!N387="","",'Master'!N387)</x:f>
        <x:v>Self-host/federated connection planned</x:v>
      </x:c>
      <x:c r="N13" s="100" t="str">
        <x:f>IF('Master'!O387="","",'Master'!O387)</x:f>
        <x:v>Yes — core client discovery behavior</x:v>
      </x:c>
      <x:c r="O13" s="100" t="str">
        <x:f>IF('Master'!P387="","",'Master'!P387)</x:f>
        <x:v>Yes — server URL</x:v>
      </x:c>
      <x:c r="P13" s="100" t="str">
        <x:f>IF('Master'!Q387="","",'Master'!Q387)</x:f>
      </x:c>
      <x:c r="Q13" s="100" t="str">
        <x:f>IF('Master'!R387="","",'Master'!R387)</x:f>
        <x:v>Yes — choose any server</x:v>
      </x:c>
      <x:c r="R13" s="100" t="str">
        <x:f>IF('Master'!S387="","",'Master'!S387)</x:f>
        <x:v>Technically possible but unsupported</x:v>
      </x:c>
      <x:c r="S13" s="100" t="str">
        <x:f>IF('Master'!T387="","",'Master'!T387)</x:f>
        <x:v>No</x:v>
      </x:c>
      <x:c r="T13" s="100" t="str">
        <x:f>IF('Master'!U387="","",'Master'!U387)</x:f>
        <x:v>Self-host supported</x:v>
      </x:c>
      <x:c r="U13" s="100" t="str">
        <x:f>IF('Master'!V387="","",'Master'!V387)</x:f>
        <x:v>N/A</x:v>
      </x:c>
      <x:c r="V13" s="100" t="str">
        <x:f>IF('Master'!W387="","",'Master'!W387)</x:f>
        <x:v>Yes — workspace/server URL</x:v>
      </x:c>
      <x:c r="W13" s="100" t="str">
        <x:f>IF('Master'!X387="","",'Master'!X387)</x:f>
        <x:v>ATProto identity/provider based</x:v>
      </x:c>
      <x:c r="X13" s="100" t="str">
        <x:f>IF('Master'!Y387="","",'Master'!Y387)</x:f>
        <x:v>No</x:v>
      </x:c>
      <x:c r="Y13" s="100" t="str">
        <x:f>IF('Master'!Z387="","",'Master'!Z387)</x:f>
        <x:v>Yes by design</x:v>
      </x:c>
      <x:c r="Z13" s="100" t="str">
        <x:f>IF('Master'!AA387="","",'Master'!AA387)</x:f>
        <x:v>Web client works well with self-host; most official clients currently do not</x:v>
      </x:c>
      <x:c r="AA13" s="104" t="str">
        <x:f>IF('Master'!AB387="","",'Master'!AB387)</x:f>
        <x:v>Yes — choose any server</x:v>
      </x:c>
      <x:c r="AB13" s="100" t="str">
        <x:f>IF('Master'!AC387="","",'Master'!AC387)</x:f>
        <x:v>Yes — self-host instances</x:v>
      </x:c>
      <x:c r="AC13" s="100" t="str">
        <x:f>IF('Master'!AD387="","",'Master'!AD387)</x:f>
        <x:v>Future custom instance/federation support</x:v>
      </x:c>
      <x:c r="AD13" s="100" t="str">
        <x:f>IF('Master'!AE387="","",'Master'!AE387)</x:f>
        <x:v>No</x:v>
      </x:c>
      <x:c r="AE13" s="100" t="str">
        <x:f>IF('Master'!AF387="","",'Master'!AF387)</x:f>
        <x:v>Yes — chosen server</x:v>
      </x:c>
      <x:c r="AF13" s="75" t="str">
        <x:f>IF('Master'!AG387="","",'Master'!AG387)</x:f>
        <x:v>Yes — custom Zulip server URL</x:v>
      </x:c>
    </x:row>
    <x:row r="14" ht="36" customHeight="1">
      <x:c r="A14" s="135" t="str">
        <x:v>Third-Party Clients</x:v>
      </x:c>
      <x:c r="B14" s="100" t="str">
        <x:f>IF('Master'!C388="","",'Master'!C388)</x:f>
        <x:v>No supported third-party clients</x:v>
      </x:c>
      <x:c r="C14" s="100" t="str">
        <x:f>IF('Master'!D388="","",'Master'!D388)</x:f>
        <x:v>Other clients can use Nostr but not necessarily Armada features</x:v>
      </x:c>
      <x:c r="D14" s="100" t="str">
        <x:f>IF('Master'!E388="","",'Master'!E388)</x:f>
        <x:v>Open source/custom possible</x:v>
      </x:c>
      <x:c r="E14" s="100" t="str">
        <x:f>IF('Master'!F388="","",'Master'!F388)</x:f>
        <x:v>No</x:v>
      </x:c>
      <x:c r="F14" s="100" t="str">
        <x:f>IF('Master'!G388="","",'Master'!G388)</x:f>
        <x:v>No established ecosystem</x:v>
      </x:c>
      <x:c r="G14" s="100" t="str">
        <x:f>IF('Master'!H388="","",'Master'!H388)</x:f>
      </x:c>
      <x:c r="H14" s="100" t="str">
        <x:f>IF('Master'!I388="","",'Master'!I388)</x:f>
        <x:v>No established third-party clients</x:v>
      </x:c>
      <x:c r="I14" s="100" t="str">
        <x:f>IF('Master'!J388="","",'Master'!J388)</x:f>
        <x:v>Yes — API permits independent clients</x:v>
      </x:c>
      <x:c r="J14" s="100" t="str">
        <x:f>IF('Master'!K388="","",'Master'!K388)</x:f>
        <x:v>No mature third-party client ecosystem</x:v>
      </x:c>
      <x:c r="K14" s="100" t="str">
        <x:f>IF('Master'!L388="","",'Master'!L388)</x:f>
        <x:v>No established third-party client ecosystem yet</x:v>
      </x:c>
      <x:c r="L14" s="100" t="str">
        <x:f>IF('Master'!M388="","",'Master'!M388)</x:f>
        <x:v>No</x:v>
      </x:c>
      <x:c r="M14" s="100" t="str">
        <x:f>IF('Master'!N388="","",'Master'!N388)</x:f>
      </x:c>
      <x:c r="N14" s="100" t="str">
        <x:f>IF('Master'!O388="","",'Master'!O388)</x:f>
        <x:v>Yes — many interchangeable clients</x:v>
      </x:c>
      <x:c r="O14" s="100" t="str">
        <x:f>IF('Master'!P388="","",'Master'!P388)</x:f>
        <x:v>Custom clients possible</x:v>
      </x:c>
      <x:c r="P14" s="100" t="str">
        <x:f>IF('Master'!Q388="","",'Master'!Q388)</x:f>
        <x:v>Forks/custom possible</x:v>
      </x:c>
      <x:c r="Q14" s="100" t="str">
        <x:f>IF('Master'!R388="","",'Master'!R388)</x:f>
        <x:v>Yes — third-party Mumble clients</x:v>
      </x:c>
      <x:c r="R14" s="100" t="str">
        <x:f>IF('Master'!S388="","",'Master'!S388)</x:f>
        <x:v>Community/forks possible</x:v>
      </x:c>
      <x:c r="S14" s="100" t="str">
        <x:f>IF('Master'!T388="","",'Master'!T388)</x:f>
        <x:v>No established third-party clients</x:v>
      </x:c>
      <x:c r="T14" s="100" t="str">
        <x:f>IF('Master'!U388="","",'Master'!U388)</x:f>
        <x:v>No third-party client ecosystem claimed; official clients are open source</x:v>
      </x:c>
      <x:c r="U14" s="100" t="str">
        <x:f>IF('Master'!V388="","",'Master'!V388)</x:f>
        <x:v>No</x:v>
      </x:c>
      <x:c r="V14" s="100" t="str">
        <x:f>IF('Master'!W388="","",'Master'!W388)</x:f>
        <x:v>Custom clients possible</x:v>
      </x:c>
      <x:c r="W14" s="100" t="str">
        <x:f>IF('Master'!X388="","",'Master'!X388)</x:f>
      </x:c>
      <x:c r="X14" s="100" t="str">
        <x:f>IF('Master'!Y388="","",'Master'!Y388)</x:f>
        <x:v>No</x:v>
      </x:c>
      <x:c r="Y14" s="100" t="str">
        <x:f>IF('Master'!Z388="","",'Master'!Z388)</x:f>
        <x:v>Potential Discord-compatible clients/community clients</x:v>
      </x:c>
      <x:c r="Z14" s="100" t="str">
        <x:f>IF('Master'!AA388="","",'Master'!AA388)</x:f>
        <x:v>Community clients exist</x:v>
      </x:c>
      <x:c r="AA14" s="104" t="str">
        <x:f>IF('Master'!AB388="","",'Master'!AB388)</x:f>
        <x:v>Limited</x:v>
      </x:c>
      <x:c r="AB14" s="100" t="str">
        <x:f>IF('Master'!AC388="","",'Master'!AC388)</x:f>
        <x:v>Open API/custom possible</x:v>
      </x:c>
      <x:c r="AC14" s="100" t="str">
        <x:f>IF('Master'!AD388="","",'Master'!AD388)</x:f>
      </x:c>
      <x:c r="AD14" s="100" t="str">
        <x:f>IF('Master'!AE388="","",'Master'!AE388)</x:f>
        <x:v>No</x:v>
      </x:c>
      <x:c r="AE14" s="100" t="str">
        <x:f>IF('Master'!AF388="","",'Master'!AF388)</x:f>
        <x:v>No</x:v>
      </x:c>
      <x:c r="AF14" s="75" t="str">
        <x:f>IF('Master'!AG388="","",'Master'!AG388)</x:f>
        <x:v>Third-party/API clients possible</x:v>
      </x:c>
    </x:row>
    <x:row r="15" ht="36" customHeight="1">
      <x:c r="A15" s="135" t="str">
        <x:v>Multi-Account UX</x:v>
      </x:c>
      <x:c r="B15" s="100" t="str">
        <x:f>IF('Master'!C389="","",'Master'!C389)</x:f>
        <x:v>Desktop Account Switcher up to 5 accounts</x:v>
      </x:c>
      <x:c r="C15" s="100" t="str">
        <x:f>IF('Master'!D389="","",'Master'!D389)</x:f>
        <x:v>Key-based identity</x:v>
      </x:c>
      <x:c r="D15" s="100" t="str">
        <x:f>IF('Master'!E389="","",'Master'!E389)</x:f>
      </x:c>
      <x:c r="E15" s="100" t="str">
        <x:f>IF('Master'!F389="","",'Master'!F389)</x:f>
      </x:c>
      <x:c r="F15" s="100" t="str">
        <x:f>IF('Master'!G389="","",'Master'!G389)</x:f>
      </x:c>
      <x:c r="G15" s="100" t="str">
        <x:f>IF('Master'!H389="","",'Master'!H389)</x:f>
      </x:c>
      <x:c r="H15" s="100" t="str">
        <x:f>IF('Master'!I389="","",'Master'!I389)</x:f>
      </x:c>
      <x:c r="I15" s="100" t="str">
        <x:f>IF('Master'!J389="","",'Master'!J389)</x:f>
      </x:c>
      <x:c r="J15" s="100" t="str">
        <x:f>IF('Master'!K389="","",'Master'!K389)</x:f>
        <x:v>Multi-device identity sync</x:v>
      </x:c>
      <x:c r="K15" s="100" t="str">
        <x:f>IF('Master'!L389="","",'Master'!L389)</x:f>
        <x:v>Not documented</x:v>
      </x:c>
      <x:c r="L15" s="100" t="str">
        <x:f>IF('Master'!M389="","",'Master'!M389)</x:f>
      </x:c>
      <x:c r="M15" s="100" t="str">
        <x:f>IF('Master'!N389="","",'Master'!N389)</x:f>
      </x:c>
      <x:c r="N15" s="100" t="str">
        <x:f>IF('Master'!O389="","",'Master'!O389)</x:f>
        <x:v>Client-dependent; some support multiple accounts</x:v>
      </x:c>
      <x:c r="O15" s="100" t="str">
        <x:f>IF('Master'!P389="","",'Master'!P389)</x:f>
        <x:v>Multiple servers</x:v>
      </x:c>
      <x:c r="P15" s="100" t="str">
        <x:f>IF('Master'!Q389="","",'Master'!Q389)</x:f>
      </x:c>
      <x:c r="Q15" s="100" t="str">
        <x:f>IF('Master'!R389="","",'Master'!R389)</x:f>
        <x:v>Server identity/bookmarks rather than cloud account switching</x:v>
      </x:c>
      <x:c r="R15" s="100" t="str">
        <x:f>IF('Master'!S389="","",'Master'!S389)</x:f>
      </x:c>
      <x:c r="S15" s="100" t="str">
        <x:f>IF('Master'!T389="","",'Master'!T389)</x:f>
      </x:c>
      <x:c r="T15" s="100" t="str">
        <x:f>IF('Master'!U389="","",'Master'!U389)</x:f>
      </x:c>
      <x:c r="U15" s="100" t="str">
        <x:f>IF('Master'!V389="","",'Master'!V389)</x:f>
        <x:v>No</x:v>
      </x:c>
      <x:c r="V15" s="100" t="str">
        <x:f>IF('Master'!W389="","",'Master'!W389)</x:f>
        <x:v>Multiple workspaces</x:v>
      </x:c>
      <x:c r="W15" s="100" t="str">
        <x:f>IF('Master'!X389="","",'Master'!X389)</x:f>
        <x:v>ATProto identity</x:v>
      </x:c>
      <x:c r="X15" s="100" t="str">
        <x:f>IF('Master'!Y389="","",'Master'!Y389)</x:f>
      </x:c>
      <x:c r="Y15" s="100" t="str">
        <x:f>IF('Master'!Z389="","",'Master'!Z389)</x:f>
      </x:c>
      <x:c r="Z15" s="100" t="str">
        <x:f>IF('Master'!AA389="","",'Master'!AA389)</x:f>
      </x:c>
      <x:c r="AA15" s="104" t="str">
        <x:f>IF('Master'!AB389="","",'Master'!AB389)</x:f>
      </x:c>
      <x:c r="AB15" s="100" t="str">
        <x:f>IF('Master'!AC389="","",'Master'!AC389)</x:f>
      </x:c>
      <x:c r="AC15" s="100" t="str">
        <x:f>IF('Master'!AD389="","",'Master'!AD389)</x:f>
      </x:c>
      <x:c r="AD15" s="100" t="str">
        <x:f>IF('Master'!AE389="","",'Master'!AE389)</x:f>
      </x:c>
      <x:c r="AE15" s="100" t="str">
        <x:f>IF('Master'!AF389="","",'Master'!AF389)</x:f>
      </x:c>
      <x:c r="AF15" s="75" t="str">
        <x:f>IF('Master'!AG389="","",'Master'!AG389)</x:f>
        <x:v>Multiple accounts/orgs</x:v>
      </x:c>
    </x:row>
    <x:row r="16" ht="36" customHeight="1">
      <x:c r="A16" s="135" t="str">
        <x:v>Multiple Server / Instance UX</x:v>
      </x:c>
      <x:c r="B16" s="100" t="str">
        <x:f>IF('Master'!C390="","",'Master'!C390)</x:f>
        <x:v>Excellent multi-server UX</x:v>
      </x:c>
      <x:c r="C16" s="100" t="str">
        <x:f>IF('Master'!D390="","",'Master'!D390)</x:f>
        <x:v>Relay/community UX</x:v>
      </x:c>
      <x:c r="D16" s="100" t="str">
        <x:f>IF('Master'!E390="","",'Master'!E390)</x:f>
        <x:v>Yes — home servers/instances</x:v>
      </x:c>
      <x:c r="E16" s="100" t="str">
        <x:f>IF('Master'!F390="","",'Master'!F390)</x:f>
        <x:v>Multi-server</x:v>
      </x:c>
      <x:c r="F16" s="100" t="str">
        <x:f>IF('Master'!G390="","",'Master'!G390)</x:f>
        <x:v>Single hosted service</x:v>
      </x:c>
      <x:c r="G16" s="100" t="str">
        <x:f>IF('Master'!H390="","",'Master'!H390)</x:f>
        <x:v>Self-host instances supported; federation not yet</x:v>
      </x:c>
      <x:c r="H16" s="100" t="str">
        <x:f>IF('Master'!I390="","",'Master'!I390)</x:f>
        <x:v>Multi-server</x:v>
      </x:c>
      <x:c r="I16" s="100" t="str">
        <x:f>IF('Master'!J390="","",'Master'!J390)</x:f>
        <x:v>Yes — instance dropdown</x:v>
      </x:c>
      <x:c r="J16" s="100" t="str">
        <x:f>IF('Master'!K390="","",'Master'!K390)</x:f>
        <x:v>Relay selection</x:v>
      </x:c>
      <x:c r="K16" s="100" t="str">
        <x:f>IF('Master'!L390="","",'Master'!L390)</x:f>
        <x:v>One home account reaches federated guilds/DMs across many instances</x:v>
      </x:c>
      <x:c r="L16" s="100" t="str">
        <x:f>IF('Master'!M390="","",'Master'!M390)</x:f>
        <x:v>Single service</x:v>
      </x:c>
      <x:c r="M16" s="100" t="str">
        <x:f>IF('Master'!N390="","",'Master'!N390)</x:f>
        <x:v>Federated instance UX planned</x:v>
      </x:c>
      <x:c r="N16" s="100" t="str">
        <x:f>IF('Master'!O390="","",'Master'!O390)</x:f>
        <x:v>Can use multiple homeservers/servers from one client depending client</x:v>
      </x:c>
      <x:c r="O16" s="100" t="str">
        <x:f>IF('Master'!P390="","",'Master'!P390)</x:f>
        <x:v>Good multi-server UX</x:v>
      </x:c>
      <x:c r="P16" s="100" t="str">
        <x:f>IF('Master'!Q390="","",'Master'!Q390)</x:f>
        <x:v>Multi-clan</x:v>
      </x:c>
      <x:c r="Q16" s="100" t="str">
        <x:f>IF('Master'!R390="","",'Master'!R390)</x:f>
        <x:v>Good server bookmark UX</x:v>
      </x:c>
      <x:c r="R16" s="100" t="str">
        <x:f>IF('Master'!S390="","",'Master'!S390)</x:f>
        <x:v>Single primary service</x:v>
      </x:c>
      <x:c r="S16" s="100" t="str">
        <x:f>IF('Master'!T390="","",'Master'!T390)</x:f>
        <x:v>Multi-community</x:v>
      </x:c>
      <x:c r="T16" s="100" t="str">
        <x:f>IF('Master'!U390="","",'Master'!U390)</x:f>
      </x:c>
      <x:c r="U16" s="100" t="str">
        <x:f>IF('Master'!V390="","",'Master'!V390)</x:f>
        <x:v>Multi-community</x:v>
      </x:c>
      <x:c r="V16" s="100" t="str">
        <x:f>IF('Master'!W390="","",'Master'!W390)</x:f>
        <x:v>Good multi-workspace UX</x:v>
      </x:c>
      <x:c r="W16" s="100" t="str">
        <x:f>IF('Master'!X390="","",'Master'!X390)</x:f>
        <x:v>ATProto spaces</x:v>
      </x:c>
      <x:c r="X16" s="100" t="str">
        <x:f>IF('Master'!Y390="","",'Master'!Y390)</x:f>
        <x:v>Excellent multi-community UX</x:v>
      </x:c>
      <x:c r="Y16" s="100" t="str">
        <x:f>IF('Master'!Z390="","",'Master'!Z390)</x:f>
        <x:v>Multiple independent instances; no federation</x:v>
      </x:c>
      <x:c r="Z16" s="100" t="str">
        <x:f>IF('Master'!AA390="","",'Master'!AA390)</x:f>
        <x:v>Instance UX limited compared with Matrix</x:v>
      </x:c>
      <x:c r="AA16" s="104" t="str">
        <x:f>IF('Master'!AB390="","",'Master'!AB390)</x:f>
        <x:v>Good multi-server/bookmark model</x:v>
      </x:c>
      <x:c r="AB16" s="100" t="str">
        <x:f>IF('Master'!AC390="","",'Master'!AC390)</x:f>
        <x:v>Node/server UX</x:v>
      </x:c>
      <x:c r="AC16" s="100" t="str">
        <x:f>IF('Master'!AD390="","",'Master'!AD390)</x:f>
        <x:v>Federation intended</x:v>
      </x:c>
      <x:c r="AD16" s="100" t="str">
        <x:f>IF('Master'!AE390="","",'Master'!AE390)</x:f>
        <x:v>Single service</x:v>
      </x:c>
      <x:c r="AE16" s="100" t="str">
        <x:f>IF('Master'!AF390="","",'Master'!AF390)</x:f>
        <x:v>Server UX</x:v>
      </x:c>
      <x:c r="AF16" s="75" t="str">
        <x:f>IF('Master'!AG390="","",'Master'!AG390)</x:f>
        <x:v>Good multi-organization UX</x:v>
      </x:c>
    </x:row>
    <x:row r="17" ht="36" customHeight="1">
      <x:c r="A17" s="135" t="str">
        <x:v>Client Plugins / Modding</x:v>
      </x:c>
      <x:c r="B17" s="100" t="str">
        <x:f>IF('Master'!C391="","",'Master'!C391)</x:f>
        <x:v>No official client plugins/mods</x:v>
      </x:c>
      <x:c r="C17" s="100" t="str">
        <x:f>IF('Master'!D391="","",'Master'!D391)</x:f>
      </x:c>
      <x:c r="D17" s="100" t="str">
        <x:f>IF('Master'!E391="","",'Master'!E391)</x:f>
        <x:v>Plugin system</x:v>
      </x:c>
      <x:c r="E17" s="100" t="str">
        <x:f>IF('Master'!F391="","",'Master'!F391)</x:f>
        <x:v>No</x:v>
      </x:c>
      <x:c r="F17" s="100" t="str">
        <x:f>IF('Master'!G391="","",'Master'!G391)</x:f>
        <x:v>No</x:v>
      </x:c>
      <x:c r="G17" s="100" t="str">
        <x:f>IF('Master'!H391="","",'Master'!H391)</x:f>
        <x:v>No official plugin/modding architecture verified</x:v>
      </x:c>
      <x:c r="H17" s="100" t="str">
        <x:f>IF('Master'!I391="","",'Master'!I391)</x:f>
        <x:v>No official modding architecture verified</x:v>
      </x:c>
      <x:c r="I17" s="100" t="str">
        <x:f>IF('Master'!J391="","",'Master'!J391)</x:f>
        <x:v>No official plugin model</x:v>
      </x:c>
      <x:c r="J17" s="100" t="str">
        <x:f>IF('Master'!K391="","",'Master'!K391)</x:f>
        <x:v>No plugin architecture verified</x:v>
      </x:c>
      <x:c r="K17" s="100" t="str">
        <x:f>IF('Master'!L391="","",'Master'!L391)</x:f>
        <x:v>Custom CSS/theme support is developer-reported; no general client-plugin architecture documented</x:v>
      </x:c>
      <x:c r="L17" s="100" t="str">
        <x:f>IF('Master'!M391="","",'Master'!M391)</x:f>
        <x:v>No</x:v>
      </x:c>
      <x:c r="M17" s="100" t="str">
        <x:f>IF('Master'!N391="","",'Master'!N391)</x:f>
        <x:v>No official modding architecture verified</x:v>
      </x:c>
      <x:c r="N17" s="100" t="str">
        <x:f>IF('Master'!O391="","",'Master'!O391)</x:f>
        <x:v>Instead of one modded client, users can choose a different Matrix client</x:v>
      </x:c>
      <x:c r="O17" s="100" t="str">
        <x:f>IF('Master'!P391="","",'Master'!P391)</x:f>
        <x:v>Server/webapp plugin architecture; not arbitrary desktop client mods</x:v>
      </x:c>
      <x:c r="P17" s="100" t="str">
        <x:f>IF('Master'!Q391="","",'Master'!Q391)</x:f>
      </x:c>
      <x:c r="Q17" s="100" t="str">
        <x:f>IF('Master'!R391="","",'Master'!R391)</x:f>
        <x:v>Plugin system supported</x:v>
      </x:c>
      <x:c r="R17" s="100" t="str">
        <x:f>IF('Master'!S391="","",'Master'!S391)</x:f>
        <x:v>Themes/community modifications</x:v>
      </x:c>
      <x:c r="S17" s="100" t="str">
        <x:f>IF('Master'!T391="","",'Master'!T391)</x:f>
      </x:c>
      <x:c r="T17" s="100" t="str">
        <x:f>IF('Master'!U391="","",'Master'!U391)</x:f>
        <x:v>No official plugin architecture</x:v>
      </x:c>
      <x:c r="U17" s="100" t="str">
        <x:f>IF('Master'!V391="","",'Master'!V391)</x:f>
        <x:v>No</x:v>
      </x:c>
      <x:c r="V17" s="100" t="str">
        <x:f>IF('Master'!W391="","",'Master'!W391)</x:f>
        <x:v>Apps framework more than client modding</x:v>
      </x:c>
      <x:c r="W17" s="100" t="str">
        <x:f>IF('Master'!X391="","",'Master'!X391)</x:f>
        <x:v>No</x:v>
      </x:c>
      <x:c r="X17" s="100" t="str">
        <x:f>IF('Master'!Y391="","",'Master'!Y391)</x:f>
        <x:v>No client mods</x:v>
      </x:c>
      <x:c r="Y17" s="100" t="str">
        <x:f>IF('Master'!Z391="","",'Master'!Z391)</x:f>
        <x:v>Project aims for rich theming/plugin support</x:v>
      </x:c>
      <x:c r="Z17" s="100" t="str">
        <x:f>IF('Master'!AA391="","",'Master'!AA391)</x:f>
      </x:c>
      <x:c r="AA17" s="104" t="str">
        <x:f>IF('Master'!AB391="","",'Master'!AB391)</x:f>
        <x:v>Add-ons/plugins ecosystem</x:v>
      </x:c>
      <x:c r="AB17" s="100" t="str">
        <x:f>IF('Master'!AC391="","",'Master'!AC391)</x:f>
        <x:v>Themes marketplace, not arbitrary client plugins</x:v>
      </x:c>
      <x:c r="AC17" s="100" t="str">
        <x:f>IF('Master'!AD391="","",'Master'!AD391)</x:f>
        <x:v>No official plugins verified</x:v>
      </x:c>
      <x:c r="AD17" s="100" t="str">
        <x:f>IF('Master'!AE391="","",'Master'!AE391)</x:f>
        <x:v>No</x:v>
      </x:c>
      <x:c r="AE17" s="100" t="str">
        <x:f>IF('Master'!AF391="","",'Master'!AF391)</x:f>
        <x:v>No</x:v>
      </x:c>
      <x:c r="AF17" s="75" t="str">
        <x:f>IF('Master'!AG391="","",'Master'!AG391)</x:f>
        <x:v>No general client plugin architecture</x:v>
      </x:c>
    </x:row>
    <x:row r="18" ht="36" customHeight="1">
      <x:c r="A18" s="135" t="str">
        <x:v>Push Notification Model</x:v>
      </x:c>
      <x:c r="B18" s="100" t="str">
        <x:f>IF('Master'!C392="","",'Master'!C392)</x:f>
        <x:v>FCM/APNs internally; exact implementation details not all public</x:v>
      </x:c>
      <x:c r="C18" s="100" t="str">
        <x:f>IF('Master'!D392="","",'Master'!D392)</x:f>
        <x:v>Nostr relay model</x:v>
      </x:c>
      <x:c r="D18" s="100" t="str">
        <x:f>IF('Master'!E392="","",'Master'!E392)</x:f>
      </x:c>
      <x:c r="E18" s="100" t="str">
        <x:f>IF('Master'!F392="","",'Master'!F392)</x:f>
        <x:v>Native push on mobile</x:v>
      </x:c>
      <x:c r="F18" s="100" t="str">
        <x:f>IF('Master'!G392="","",'Master'!G392)</x:f>
      </x:c>
      <x:c r="G18" s="100" t="str">
        <x:f>IF('Master'!H392="","",'Master'!H392)</x:f>
      </x:c>
      <x:c r="H18" s="100" t="str">
        <x:f>IF('Master'!I392="","",'Master'!I392)</x:f>
      </x:c>
      <x:c r="I18" s="100" t="str">
        <x:f>IF('Master'!J392="","",'Master'!J392)</x:f>
      </x:c>
      <x:c r="J18" s="100" t="str">
        <x:f>IF('Master'!K392="","",'Master'!K392)</x:f>
      </x:c>
      <x:c r="K18" s="100" t="str">
        <x:f>IF('Master'!L392="","",'Master'!L392)</x:f>
        <x:v>Optional content-free signed wake relay to FCM/APNs for official store apps; self-host/custom relay and no-push builds are supported</x:v>
      </x:c>
      <x:c r="L18" s="100" t="str">
        <x:f>IF('Master'!M392="","",'Master'!M392)</x:f>
      </x:c>
      <x:c r="M18" s="100" t="str">
        <x:f>IF('Master'!N392="","",'Master'!N392)</x:f>
      </x:c>
      <x:c r="N18" s="100" t="str">
        <x:f>IF('Master'!O392="","",'Master'!O392)</x:f>
        <x:v>Homeserver/client-specific (FCM/APNs/UnifiedPush/etc.)</x:v>
      </x:c>
      <x:c r="O18" s="100" t="str">
        <x:f>IF('Master'!P392="","",'Master'!P392)</x:f>
        <x:v>FCM/APNs; enterprise push options</x:v>
      </x:c>
      <x:c r="P18" s="100" t="str">
        <x:f>IF('Master'!Q392="","",'Master'!Q392)</x:f>
      </x:c>
      <x:c r="Q18" s="100" t="str">
        <x:f>IF('Master'!R392="","",'Master'!R392)</x:f>
        <x:v>Mobile-client dependent</x:v>
      </x:c>
      <x:c r="R18" s="100" t="str">
        <x:f>IF('Master'!S392="","",'Master'!S392)</x:f>
      </x:c>
      <x:c r="S18" s="100" t="str">
        <x:f>IF('Master'!T392="","",'Master'!T392)</x:f>
      </x:c>
      <x:c r="T18" s="100" t="str">
        <x:f>IF('Master'!U392="","",'Master'!U392)</x:f>
      </x:c>
      <x:c r="U18" s="100" t="str">
        <x:f>IF('Master'!V392="","",'Master'!V392)</x:f>
      </x:c>
      <x:c r="V18" s="100" t="str">
        <x:f>IF('Master'!W392="","",'Master'!W392)</x:f>
        <x:v>FCM/APNs; self-host configuration</x:v>
      </x:c>
      <x:c r="W18" s="100" t="str">
        <x:f>IF('Master'!X392="","",'Master'!X392)</x:f>
        <x:v>ATProto/client dependent</x:v>
      </x:c>
      <x:c r="X18" s="100" t="str">
        <x:f>IF('Master'!Y392="","",'Master'!Y392)</x:f>
      </x:c>
      <x:c r="Y18" s="100" t="str">
        <x:f>IF('Master'!Z392="","",'Master'!Z392)</x:f>
        <x:v>Client-dependent</x:v>
      </x:c>
      <x:c r="Z18" s="100" t="str">
        <x:f>IF('Master'!AA392="","",'Master'!AA392)</x:f>
      </x:c>
      <x:c r="AA18" s="104" t="str">
        <x:f>IF('Master'!AB392="","",'Master'!AB392)</x:f>
      </x:c>
      <x:c r="AB18" s="100" t="str">
        <x:f>IF('Master'!AC392="","",'Master'!AC392)</x:f>
      </x:c>
      <x:c r="AC18" s="100" t="str">
        <x:f>IF('Master'!AD392="","",'Master'!AD392)</x:f>
      </x:c>
      <x:c r="AD18" s="100" t="str">
        <x:f>IF('Master'!AE392="","",'Master'!AE392)</x:f>
      </x:c>
      <x:c r="AE18" s="100" t="str">
        <x:f>IF('Master'!AF392="","",'Master'!AF392)</x:f>
      </x:c>
      <x:c r="AF18" s="75" t="str">
        <x:f>IF('Master'!AG392="","",'Master'!AG392)</x:f>
        <x:v>FCM/APNs; exact self-host push options vary</x:v>
      </x:c>
    </x:row>
    <x:row r="19" ht="36" customHeight="1">
      <x:c r="A19" s="135" t="str">
        <x:v>Client Notes</x:v>
      </x:c>
      <x:c r="B19" s="100" t="str">
        <x:f>IF('Master'!C393="","",'Master'!C393)</x:f>
        <x:v>One official client family controls UX.</x:v>
      </x:c>
      <x:c r="C19" s="100" t="str">
        <x:f>IF('Master'!D393="","",'Master'!D393)</x:f>
        <x:v>Client is distinct from relays/protocol.</x:v>
      </x:c>
      <x:c r="D19" s="100" t="str">
        <x:f>IF('Master'!E393="","",'Master'!E393)</x:f>
        <x:v>Android and desktop share advanced features.</x:v>
      </x:c>
      <x:c r="E19" s="100" t="str">
        <x:f>IF('Master'!F393="","",'Master'!F393)</x:f>
        <x:v>Wide device support for a small team.</x:v>
      </x:c>
      <x:c r="F19" s="100" t="str">
        <x:f>IF('Master'!G393="","",'Master'!G393)</x:f>
        <x:v>Product-first hosted alpha.</x:v>
      </x:c>
      <x:c r="G19" s="100" t="str">
        <x:f>IF('Master'!H393="","",'Master'!H393)</x:f>
        <x:v>Native mobile is still beta as of Sep 2026.</x:v>
      </x:c>
      <x:c r="H19" s="100" t="str">
        <x:f>IF('Master'!I393="","",'Master'!I393)</x:f>
        <x:v>Native desktop/mobile/web.</x:v>
      </x:c>
      <x:c r="I19" s="100" t="str">
        <x:f>IF('Master'!J393="","",'Master'!J393)</x:f>
        <x:v>Web + Tauri desktop are current; mobile apps are in development.</x:v>
      </x:c>
      <x:c r="J19" s="100" t="str">
        <x:f>IF('Master'!K393="","",'Master'!K393)</x:f>
        <x:v>Signed Windows/macOS builds plus mobile work.</x:v>
      </x:c>
      <x:c r="K19" s="100" t="str">
        <x:f>IF('Master'!L393="","",'Master'!L393)</x:f>
        <x:v>The official relay sees home/subscription/timing/network/platform metadata but not message text, sender names, conversation IDs, attachments or encryption keys</x:v>
      </x:c>
      <x:c r="L19" s="100" t="str">
        <x:f>IF('Master'!M393="","",'Master'!M393)</x:f>
        <x:v>Very new platform.</x:v>
      </x:c>
      <x:c r="M19" s="100" t="str">
        <x:f>IF('Master'!N393="","",'Master'!N393)</x:f>
        <x:v>Open beta.</x:v>
      </x:c>
      <x:c r="N19" s="100" t="str">
        <x:f>IF('Master'!O393="","",'Master'!O393)</x:f>
        <x:v>Element is only one option; do not treat Element's limitations as Matrix-wide limits.</x:v>
      </x:c>
      <x:c r="O19" s="100" t="str">
        <x:f>IF('Master'!P393="","",'Master'!P393)</x:f>
        <x:v>Enterprise deployment focus.</x:v>
      </x:c>
      <x:c r="P19" s="100" t="str">
        <x:f>IF('Master'!Q393="","",'Master'!Q393)</x:f>
        <x:v>High-performance native stack is a headline differentiator.</x:v>
      </x:c>
      <x:c r="Q19" s="100" t="str">
        <x:f>IF('Master'!R393="","",'Master'!R393)</x:f>
        <x:v>Native desktop focus.</x:v>
      </x:c>
      <x:c r="R19" s="100" t="str">
        <x:f>IF('Master'!S393="","",'Master'!S393)</x:f>
        <x:v>Open-source web/desktop ecosystem.</x:v>
      </x:c>
      <x:c r="S19" s="100" t="str">
        <x:f>IF('Master'!T393="","",'Master'!T393)</x:f>
        <x:v>Wide platform coverage.</x:v>
      </x:c>
      <x:c r="T19" s="100" t="str">
        <x:f>IF('Master'!U393="","",'Master'!U393)</x:f>
        <x:v>Web React/Vite; Electron desktop; native iOS TestFlight; native Android APK. Mobile is not yet in app stores.</x:v>
      </x:c>
      <x:c r="U19" s="100" t="str">
        <x:f>IF('Master'!V393="","",'Master'!V393)</x:f>
        <x:v>Portal/window workspace is a distinctive UX feature.</x:v>
      </x:c>
      <x:c r="V19" s="100" t="str">
        <x:f>IF('Master'!W393="","",'Master'!W393)</x:f>
        <x:v>Mature cross-platform collaboration client.</x:v>
      </x:c>
      <x:c r="W19" s="100" t="str">
        <x:f>IF('Master'!X393="","",'Master'!X393)</x:f>
        <x:v>Bluesky login is a core onboarding path.</x:v>
      </x:c>
      <x:c r="X19" s="100" t="str">
        <x:f>IF('Master'!Y393="","",'Master'!Y393)</x:f>
        <x:v>Mobile can join calls but cannot share screen.</x:v>
      </x:c>
      <x:c r="Y19" s="100" t="str">
        <x:f>IF('Master'!Z393="","",'Master'!Z393)</x:f>
        <x:v>Compatibility is a design goal; current completeness varies.</x:v>
      </x:c>
      <x:c r="Z19" s="100" t="str">
        <x:f>IF('Master'!AA393="","",'Master'!AA393)</x:f>
        <x:v>Self-host docs explicitly warn most official clients do not currently support self-hosted instances.</x:v>
      </x:c>
      <x:c r="AA19" s="104" t="str">
        <x:f>IF('Master'!AB393="","",'Master'!AB393)</x:f>
        <x:v>Proprietary client family.</x:v>
      </x:c>
      <x:c r="AB19" s="100" t="str">
        <x:f>IF('Master'!AC393="","",'Master'!AC393)</x:f>
        <x:v>Distinctive multi-window chat UI.</x:v>
      </x:c>
      <x:c r="AC19" s="100" t="str">
        <x:f>IF('Master'!AD393="","",'Master'!AD393)</x:f>
        <x:v>Experimental alpha/beta.</x:v>
      </x:c>
      <x:c r="AD19" s="100" t="str">
        <x:f>IF('Master'!AE393="","",'Master'!AE393)</x:f>
        <x:v>Desktop + web now; mobile in progress.</x:v>
      </x:c>
      <x:c r="AE19" s="100" t="str">
        <x:f>IF('Master'!AF393="","",'Master'!AF393)</x:f>
        <x:v>Browser-first self-host model.</x:v>
      </x:c>
      <x:c r="AF19" s="75" t="str">
        <x:f>IF('Master'!AG393="","",'Master'!AG393)</x:f>
        <x:v>Team-text-first client family.</x:v>
      </x:c>
    </x:row>
    <x:row r="20" ht="22" customHeight="1">
      <x:c r="A20" s="138" t="str">
        <x:v>Desktop &amp; Packaging Detail</x:v>
      </x:c>
      <x:c r="B20" s="138" t="str">
        <x:f>IF(""="","","")</x:f>
      </x:c>
      <x:c r="C20" s="138" t="str">
        <x:f>IF(""="","","")</x:f>
      </x:c>
      <x:c r="D20" s="138" t="str">
        <x:f>IF(""="","","")</x:f>
      </x:c>
      <x:c r="E20" s="138" t="str">
        <x:f>IF(""="","","")</x:f>
      </x:c>
      <x:c r="F20" s="138" t="str">
        <x:f>IF(""="","","")</x:f>
      </x:c>
      <x:c r="G20" s="138" t="str">
        <x:f>IF(""="","","")</x:f>
      </x:c>
      <x:c r="H20" s="138" t="str">
        <x:f>IF(""="","","")</x:f>
      </x:c>
      <x:c r="I20" s="138" t="str">
        <x:f>IF(""="","","")</x:f>
      </x:c>
      <x:c r="J20" s="138" t="str">
        <x:f>IF(""="","","")</x:f>
      </x:c>
      <x:c r="K20" s="138" t="str">
        <x:f>IF(""="","","")</x:f>
      </x:c>
      <x:c r="L20" s="138" t="str">
        <x:f>IF(""="","","")</x:f>
      </x:c>
      <x:c r="M20" s="138" t="str">
        <x:f>IF(""="","","")</x:f>
      </x:c>
      <x:c r="N20" s="138" t="str">
        <x:f>IF(""="","","")</x:f>
      </x:c>
      <x:c r="O20" s="138" t="str">
        <x:f>IF(""="","","")</x:f>
      </x:c>
      <x:c r="P20" s="138" t="str">
        <x:f>IF(""="","","")</x:f>
      </x:c>
      <x:c r="Q20" s="138" t="str">
        <x:f>IF(""="","","")</x:f>
      </x:c>
      <x:c r="R20" s="138" t="str">
        <x:f>IF(""="","","")</x:f>
      </x:c>
      <x:c r="S20" s="138" t="str">
        <x:f>IF(""="","","")</x:f>
      </x:c>
      <x:c r="T20" s="138" t="str">
        <x:f>IF(""="","","")</x:f>
      </x:c>
      <x:c r="U20" s="138" t="str">
        <x:f>IF(""="","","")</x:f>
      </x:c>
      <x:c r="V20" s="138" t="str">
        <x:f>IF(""="","","")</x:f>
      </x:c>
      <x:c r="W20" s="138" t="str">
        <x:f>IF(""="","","")</x:f>
      </x:c>
      <x:c r="X20" s="138" t="str">
        <x:f>IF(""="","","")</x:f>
      </x:c>
      <x:c r="Y20" s="138" t="str">
        <x:f>IF(""="","","")</x:f>
      </x:c>
      <x:c r="Z20" s="138" t="str">
        <x:f>IF(""="","","")</x:f>
      </x:c>
      <x:c r="AA20" s="138" t="str">
        <x:f>IF(""="","","")</x:f>
      </x:c>
      <x:c r="AB20" s="138" t="str">
        <x:f>IF(""="","","")</x:f>
      </x:c>
      <x:c r="AC20" s="138" t="str">
        <x:f>IF(""="","","")</x:f>
      </x:c>
      <x:c r="AD20" s="138" t="str">
        <x:f>IF(""="","","")</x:f>
      </x:c>
      <x:c r="AE20" s="138" t="str">
        <x:f>IF(""="","","")</x:f>
      </x:c>
      <x:c r="AF20" s="139" t="str">
        <x:f>IF(""="","","")</x:f>
      </x:c>
    </x:row>
    <x:row r="21" ht="36" customHeight="1">
      <x:c r="A21" s="135" t="str">
        <x:v>Portable / Standalone Desktop Build</x:v>
      </x:c>
      <x:c r="B21" s="100" t="str">
        <x:f>IF('Master'!C394="","",'Master'!C394)</x:f>
        <x:v>No official portable build</x:v>
      </x:c>
      <x:c r="C21" s="100" t="str">
        <x:f>IF('Master'!D394="","",'Master'!D394)</x:f>
      </x:c>
      <x:c r="D21" s="100" t="str">
        <x:f>IF('Master'!E394="","",'Master'!E394)</x:f>
      </x:c>
      <x:c r="E21" s="100" t="str">
        <x:f>IF('Master'!F394="","",'Master'!F394)</x:f>
      </x:c>
      <x:c r="F21" s="100" t="str">
        <x:f>IF('Master'!G394="","",'Master'!G394)</x:f>
      </x:c>
      <x:c r="G21" s="100" t="str">
        <x:f>IF('Master'!H394="","",'Master'!H394)</x:f>
      </x:c>
      <x:c r="H21" s="100" t="str">
        <x:f>IF('Master'!I394="","",'Master'!I394)</x:f>
      </x:c>
      <x:c r="I21" s="100" t="str">
        <x:f>IF('Master'!J394="","",'Master'!J394)</x:f>
      </x:c>
      <x:c r="J21" s="100" t="str">
        <x:f>IF('Master'!K394="","",'Master'!K394)</x:f>
      </x:c>
      <x:c r="K21" s="100" t="str">
        <x:f>IF('Master'!L394="","",'Master'!L394)</x:f>
        <x:v>Not documented</x:v>
      </x:c>
      <x:c r="L21" s="100" t="str">
        <x:f>IF('Master'!M394="","",'Master'!M394)</x:f>
      </x:c>
      <x:c r="M21" s="100" t="str">
        <x:f>IF('Master'!N394="","",'Master'!N394)</x:f>
      </x:c>
      <x:c r="N21" s="100" t="str">
        <x:f>IF('Master'!O394="","",'Master'!O394)</x:f>
      </x:c>
      <x:c r="O21" s="100" t="str">
        <x:f>IF('Master'!P394="","",'Master'!P394)</x:f>
      </x:c>
      <x:c r="P21" s="100" t="str">
        <x:f>IF('Master'!Q394="","",'Master'!Q394)</x:f>
      </x:c>
      <x:c r="Q21" s="100" t="str">
        <x:f>IF('Master'!R394="","",'Master'!R394)</x:f>
      </x:c>
      <x:c r="R21" s="100" t="str">
        <x:f>IF('Master'!S394="","",'Master'!S394)</x:f>
      </x:c>
      <x:c r="S21" s="100" t="str">
        <x:f>IF('Master'!T394="","",'Master'!T394)</x:f>
      </x:c>
      <x:c r="T21" s="100" t="str">
        <x:f>IF('Master'!U394="","",'Master'!U394)</x:f>
      </x:c>
      <x:c r="U21" s="100" t="str">
        <x:f>IF('Master'!V394="","",'Master'!V394)</x:f>
        <x:v>N/A</x:v>
      </x:c>
      <x:c r="V21" s="100" t="str">
        <x:f>IF('Master'!W394="","",'Master'!W394)</x:f>
      </x:c>
      <x:c r="W21" s="100" t="str">
        <x:f>IF('Master'!X394="","",'Master'!X394)</x:f>
      </x:c>
      <x:c r="X21" s="100" t="str">
        <x:f>IF('Master'!Y394="","",'Master'!Y394)</x:f>
      </x:c>
      <x:c r="Y21" s="100" t="str">
        <x:f>IF('Master'!Z394="","",'Master'!Z394)</x:f>
      </x:c>
      <x:c r="Z21" s="100" t="str">
        <x:f>IF('Master'!AA394="","",'Master'!AA394)</x:f>
      </x:c>
      <x:c r="AA21" s="104" t="str">
        <x:f>IF('Master'!AB394="","",'Master'!AB394)</x:f>
      </x:c>
      <x:c r="AB21" s="100" t="str">
        <x:f>IF('Master'!AC394="","",'Master'!AC394)</x:f>
      </x:c>
      <x:c r="AC21" s="100" t="str">
        <x:f>IF('Master'!AD394="","",'Master'!AD394)</x:f>
      </x:c>
      <x:c r="AD21" s="100" t="str">
        <x:f>IF('Master'!AE394="","",'Master'!AE394)</x:f>
      </x:c>
      <x:c r="AE21" s="100" t="str">
        <x:f>IF('Master'!AF394="","",'Master'!AF394)</x:f>
      </x:c>
      <x:c r="AF21" s="75" t="str">
        <x:f>IF('Master'!AG394="","",'Master'!AG394)</x:f>
      </x:c>
    </x:row>
    <x:row r="22" ht="36" customHeight="1">
      <x:c r="A22" s="135" t="str">
        <x:v>ARM Desktop Support</x:v>
      </x:c>
      <x:c r="B22" s="100" t="str">
        <x:f>IF('Master'!C395="","",'Master'!C395)</x:f>
        <x:v>Client/platform dependent</x:v>
      </x:c>
      <x:c r="C22" s="100" t="str">
        <x:f>IF('Master'!D395="","",'Master'!D395)</x:f>
      </x:c>
      <x:c r="D22" s="100" t="str">
        <x:f>IF('Master'!E395="","",'Master'!E395)</x:f>
      </x:c>
      <x:c r="E22" s="100" t="str">
        <x:f>IF('Master'!F395="","",'Master'!F395)</x:f>
      </x:c>
      <x:c r="F22" s="100" t="str">
        <x:f>IF('Master'!G395="","",'Master'!G395)</x:f>
      </x:c>
      <x:c r="G22" s="100" t="str">
        <x:f>IF('Master'!H395="","",'Master'!H395)</x:f>
      </x:c>
      <x:c r="H22" s="100" t="str">
        <x:f>IF('Master'!I395="","",'Master'!I395)</x:f>
      </x:c>
      <x:c r="I22" s="100" t="str">
        <x:f>IF('Master'!J395="","",'Master'!J395)</x:f>
      </x:c>
      <x:c r="J22" s="100" t="str">
        <x:f>IF('Master'!K395="","",'Master'!K395)</x:f>
      </x:c>
      <x:c r="K22" s="100" t="str">
        <x:f>IF('Master'!L395="","",'Master'!L395)</x:f>
        <x:v>Not documented</x:v>
      </x:c>
      <x:c r="L22" s="100" t="str">
        <x:f>IF('Master'!M395="","",'Master'!M395)</x:f>
      </x:c>
      <x:c r="M22" s="100" t="str">
        <x:f>IF('Master'!N395="","",'Master'!N395)</x:f>
      </x:c>
      <x:c r="N22" s="100" t="str">
        <x:f>IF('Master'!O395="","",'Master'!O395)</x:f>
        <x:v>Client-dependent</x:v>
      </x:c>
      <x:c r="O22" s="100" t="str">
        <x:f>IF('Master'!P395="","",'Master'!P395)</x:f>
      </x:c>
      <x:c r="P22" s="100" t="str">
        <x:f>IF('Master'!Q395="","",'Master'!Q395)</x:f>
      </x:c>
      <x:c r="Q22" s="100" t="str">
        <x:f>IF('Master'!R395="","",'Master'!R395)</x:f>
      </x:c>
      <x:c r="R22" s="100" t="str">
        <x:f>IF('Master'!S395="","",'Master'!S395)</x:f>
      </x:c>
      <x:c r="S22" s="100" t="str">
        <x:f>IF('Master'!T395="","",'Master'!T395)</x:f>
      </x:c>
      <x:c r="T22" s="100" t="str">
        <x:f>IF('Master'!U395="","",'Master'!U395)</x:f>
      </x:c>
      <x:c r="U22" s="100" t="str">
        <x:f>IF('Master'!V395="","",'Master'!V395)</x:f>
        <x:v>N/A</x:v>
      </x:c>
      <x:c r="V22" s="100" t="str">
        <x:f>IF('Master'!W395="","",'Master'!W395)</x:f>
      </x:c>
      <x:c r="W22" s="100" t="str">
        <x:f>IF('Master'!X395="","",'Master'!X395)</x:f>
      </x:c>
      <x:c r="X22" s="100" t="str">
        <x:f>IF('Master'!Y395="","",'Master'!Y395)</x:f>
      </x:c>
      <x:c r="Y22" s="100" t="str">
        <x:f>IF('Master'!Z395="","",'Master'!Z395)</x:f>
      </x:c>
      <x:c r="Z22" s="100" t="str">
        <x:f>IF('Master'!AA395="","",'Master'!AA395)</x:f>
      </x:c>
      <x:c r="AA22" s="104" t="str">
        <x:f>IF('Master'!AB395="","",'Master'!AB395)</x:f>
      </x:c>
      <x:c r="AB22" s="100" t="str">
        <x:f>IF('Master'!AC395="","",'Master'!AC395)</x:f>
      </x:c>
      <x:c r="AC22" s="100" t="str">
        <x:f>IF('Master'!AD395="","",'Master'!AD395)</x:f>
      </x:c>
      <x:c r="AD22" s="100" t="str">
        <x:f>IF('Master'!AE395="","",'Master'!AE395)</x:f>
      </x:c>
      <x:c r="AE22" s="100" t="str">
        <x:f>IF('Master'!AF395="","",'Master'!AF395)</x:f>
      </x:c>
      <x:c r="AF22" s="75" t="str">
        <x:f>IF('Master'!AG395="","",'Master'!AG395)</x:f>
      </x:c>
    </x:row>
    <x:row r="23" ht="36" customHeight="1">
      <x:c r="A23" s="135" t="str">
        <x:v>Automatic Updates</x:v>
      </x:c>
      <x:c r="B23" s="100" t="str">
        <x:f>IF('Master'!C396="","",'Master'!C396)</x:f>
        <x:v>Yes</x:v>
      </x:c>
      <x:c r="C23" s="100" t="str">
        <x:f>IF('Master'!D396="","",'Master'!D396)</x:f>
      </x:c>
      <x:c r="D23" s="100" t="str">
        <x:f>IF('Master'!E396="","",'Master'!E396)</x:f>
      </x:c>
      <x:c r="E23" s="100" t="str">
        <x:f>IF('Master'!F396="","",'Master'!F396)</x:f>
      </x:c>
      <x:c r="F23" s="100" t="str">
        <x:f>IF('Master'!G396="","",'Master'!G396)</x:f>
      </x:c>
      <x:c r="G23" s="100" t="str">
        <x:f>IF('Master'!H396="","",'Master'!H396)</x:f>
      </x:c>
      <x:c r="H23" s="100" t="str">
        <x:f>IF('Master'!I396="","",'Master'!I396)</x:f>
      </x:c>
      <x:c r="I23" s="100" t="str">
        <x:f>IF('Master'!J396="","",'Master'!J396)</x:f>
      </x:c>
      <x:c r="J23" s="100" t="str">
        <x:f>IF('Master'!K396="","",'Master'!K396)</x:f>
      </x:c>
      <x:c r="K23" s="100" t="str">
        <x:f>IF('Master'!L396="","",'Master'!L396)</x:f>
        <x:v>Server auto-updater is documented; native release tooling also exists</x:v>
      </x:c>
      <x:c r="L23" s="100" t="str">
        <x:f>IF('Master'!M396="","",'Master'!M396)</x:f>
      </x:c>
      <x:c r="M23" s="100" t="str">
        <x:f>IF('Master'!N396="","",'Master'!N396)</x:f>
      </x:c>
      <x:c r="N23" s="100" t="str">
        <x:f>IF('Master'!O396="","",'Master'!O396)</x:f>
      </x:c>
      <x:c r="O23" s="100" t="str">
        <x:f>IF('Master'!P396="","",'Master'!P396)</x:f>
      </x:c>
      <x:c r="P23" s="100" t="str">
        <x:f>IF('Master'!Q396="","",'Master'!Q396)</x:f>
      </x:c>
      <x:c r="Q23" s="100" t="str">
        <x:f>IF('Master'!R396="","",'Master'!R396)</x:f>
      </x:c>
      <x:c r="R23" s="100" t="str">
        <x:f>IF('Master'!S396="","",'Master'!S396)</x:f>
      </x:c>
      <x:c r="S23" s="100" t="str">
        <x:f>IF('Master'!T396="","",'Master'!T396)</x:f>
      </x:c>
      <x:c r="T23" s="100" t="str">
        <x:f>IF('Master'!U396="","",'Master'!U396)</x:f>
      </x:c>
      <x:c r="U23" s="100" t="str">
        <x:f>IF('Master'!V396="","",'Master'!V396)</x:f>
        <x:v>Optional</x:v>
      </x:c>
      <x:c r="V23" s="100" t="str">
        <x:f>IF('Master'!W396="","",'Master'!W396)</x:f>
      </x:c>
      <x:c r="W23" s="100" t="str">
        <x:f>IF('Master'!X396="","",'Master'!X396)</x:f>
      </x:c>
      <x:c r="X23" s="100" t="str">
        <x:f>IF('Master'!Y396="","",'Master'!Y396)</x:f>
      </x:c>
      <x:c r="Y23" s="100" t="str">
        <x:f>IF('Master'!Z396="","",'Master'!Z396)</x:f>
      </x:c>
      <x:c r="Z23" s="100" t="str">
        <x:f>IF('Master'!AA396="","",'Master'!AA396)</x:f>
        <x:v>Client-dependent</x:v>
      </x:c>
      <x:c r="AA23" s="104" t="str">
        <x:f>IF('Master'!AB396="","",'Master'!AB396)</x:f>
      </x:c>
      <x:c r="AB23" s="100" t="str">
        <x:f>IF('Master'!AC396="","",'Master'!AC396)</x:f>
      </x:c>
      <x:c r="AC23" s="100" t="str">
        <x:f>IF('Master'!AD396="","",'Master'!AD396)</x:f>
      </x:c>
      <x:c r="AD23" s="100" t="str">
        <x:f>IF('Master'!AE396="","",'Master'!AE396)</x:f>
      </x:c>
      <x:c r="AE23" s="100" t="str">
        <x:f>IF('Master'!AF396="","",'Master'!AF396)</x:f>
      </x:c>
      <x:c r="AF23" s="75" t="str">
        <x:f>IF('Master'!AG396="","",'Master'!AG396)</x:f>
      </x:c>
    </x:row>
    <x:row r="24" ht="36" customHeight="1">
      <x:c r="A24" s="135" t="str">
        <x:v>System Tray / Background Mode</x:v>
      </x:c>
      <x:c r="B24" s="100" t="str">
        <x:f>IF('Master'!C397="","",'Master'!C397)</x:f>
        <x:v>Yes</x:v>
      </x:c>
      <x:c r="C24" s="100" t="str">
        <x:f>IF('Master'!D397="","",'Master'!D397)</x:f>
      </x:c>
      <x:c r="D24" s="100" t="str">
        <x:f>IF('Master'!E397="","",'Master'!E397)</x:f>
      </x:c>
      <x:c r="E24" s="100" t="str">
        <x:f>IF('Master'!F397="","",'Master'!F397)</x:f>
      </x:c>
      <x:c r="F24" s="100" t="str">
        <x:f>IF('Master'!G397="","",'Master'!G397)</x:f>
      </x:c>
      <x:c r="G24" s="100" t="str">
        <x:f>IF('Master'!H397="","",'Master'!H397)</x:f>
      </x:c>
      <x:c r="H24" s="100" t="str">
        <x:f>IF('Master'!I397="","",'Master'!I397)</x:f>
      </x:c>
      <x:c r="I24" s="100" t="str">
        <x:f>IF('Master'!J397="","",'Master'!J397)</x:f>
      </x:c>
      <x:c r="J24" s="100" t="str">
        <x:f>IF('Master'!K397="","",'Master'!K397)</x:f>
      </x:c>
      <x:c r="K24" s="100" t="str">
        <x:f>IF('Master'!L397="","",'Master'!L397)</x:f>
        <x:v>Tauri desktop + native Flutter clients support background call/notification behavior</x:v>
      </x:c>
      <x:c r="L24" s="100" t="str">
        <x:f>IF('Master'!M397="","",'Master'!M397)</x:f>
      </x:c>
      <x:c r="M24" s="100" t="str">
        <x:f>IF('Master'!N397="","",'Master'!N397)</x:f>
      </x:c>
      <x:c r="N24" s="100" t="str">
        <x:f>IF('Master'!O397="","",'Master'!O397)</x:f>
      </x:c>
      <x:c r="O24" s="100" t="str">
        <x:f>IF('Master'!P397="","",'Master'!P397)</x:f>
        <x:v>Yes</x:v>
      </x:c>
      <x:c r="P24" s="100" t="str">
        <x:f>IF('Master'!Q397="","",'Master'!Q397)</x:f>
      </x:c>
      <x:c r="Q24" s="100" t="str">
        <x:f>IF('Master'!R397="","",'Master'!R397)</x:f>
      </x:c>
      <x:c r="R24" s="100" t="str">
        <x:f>IF('Master'!S397="","",'Master'!S397)</x:f>
      </x:c>
      <x:c r="S24" s="100" t="str">
        <x:f>IF('Master'!T397="","",'Master'!T397)</x:f>
      </x:c>
      <x:c r="T24" s="100" t="str">
        <x:f>IF('Master'!U397="","",'Master'!U397)</x:f>
      </x:c>
      <x:c r="U24" s="100" t="str">
        <x:f>IF('Master'!V397="","",'Master'!V397)</x:f>
        <x:v>Yes</x:v>
      </x:c>
      <x:c r="V24" s="100" t="str">
        <x:f>IF('Master'!W397="","",'Master'!W397)</x:f>
      </x:c>
      <x:c r="W24" s="100" t="str">
        <x:f>IF('Master'!X397="","",'Master'!X397)</x:f>
      </x:c>
      <x:c r="X24" s="100" t="str">
        <x:f>IF('Master'!Y397="","",'Master'!Y397)</x:f>
      </x:c>
      <x:c r="Y24" s="100" t="str">
        <x:f>IF('Master'!Z397="","",'Master'!Z397)</x:f>
      </x:c>
      <x:c r="Z24" s="100" t="str">
        <x:f>IF('Master'!AA397="","",'Master'!AA397)</x:f>
      </x:c>
      <x:c r="AA24" s="104" t="str">
        <x:f>IF('Master'!AB397="","",'Master'!AB397)</x:f>
      </x:c>
      <x:c r="AB24" s="100" t="str">
        <x:f>IF('Master'!AC397="","",'Master'!AC397)</x:f>
      </x:c>
      <x:c r="AC24" s="100" t="str">
        <x:f>IF('Master'!AD397="","",'Master'!AD397)</x:f>
      </x:c>
      <x:c r="AD24" s="100" t="str">
        <x:f>IF('Master'!AE397="","",'Master'!AE397)</x:f>
      </x:c>
      <x:c r="AE24" s="100" t="str">
        <x:f>IF('Master'!AF397="","",'Master'!AF397)</x:f>
      </x:c>
      <x:c r="AF24" s="75" t="str">
        <x:f>IF('Master'!AG397="","",'Master'!AG397)</x:f>
        <x:v>Yes</x:v>
      </x:c>
    </x:row>
    <x:row r="25" ht="36" customHeight="1">
      <x:c r="A25" s="135" t="str">
        <x:v>Voice Overlay</x:v>
      </x:c>
      <x:c r="B25" s="100" t="str">
        <x:f>IF('Master'!C398="","",'Master'!C398)</x:f>
        <x:v>Yes — game overlay</x:v>
      </x:c>
      <x:c r="C25" s="100" t="str">
        <x:f>IF('Master'!D398="","",'Master'!D398)</x:f>
      </x:c>
      <x:c r="D25" s="100" t="str">
        <x:f>IF('Master'!E398="","",'Master'!E398)</x:f>
      </x:c>
      <x:c r="E25" s="100" t="str">
        <x:f>IF('Master'!F398="","",'Master'!F398)</x:f>
      </x:c>
      <x:c r="F25" s="100" t="str">
        <x:f>IF('Master'!G398="","",'Master'!G398)</x:f>
      </x:c>
      <x:c r="G25" s="100" t="str">
        <x:f>IF('Master'!H398="","",'Master'!H398)</x:f>
      </x:c>
      <x:c r="H25" s="100" t="str">
        <x:f>IF('Master'!I398="","",'Master'!I398)</x:f>
      </x:c>
      <x:c r="I25" s="100" t="str">
        <x:f>IF('Master'!J398="","",'Master'!J398)</x:f>
      </x:c>
      <x:c r="J25" s="100" t="str">
        <x:f>IF('Master'!K398="","",'Master'!K398)</x:f>
      </x:c>
      <x:c r="K25" s="100" t="str">
        <x:f>IF('Master'!L398="","",'Master'!L398)</x:f>
        <x:v>Not documented</x:v>
      </x:c>
      <x:c r="L25" s="100" t="str">
        <x:f>IF('Master'!M398="","",'Master'!M398)</x:f>
      </x:c>
      <x:c r="M25" s="100" t="str">
        <x:f>IF('Master'!N398="","",'Master'!N398)</x:f>
      </x:c>
      <x:c r="N25" s="100" t="str">
        <x:f>IF('Master'!O398="","",'Master'!O398)</x:f>
      </x:c>
      <x:c r="O25" s="100" t="str">
        <x:f>IF('Master'!P398="","",'Master'!P398)</x:f>
      </x:c>
      <x:c r="P25" s="100" t="str">
        <x:f>IF('Master'!Q398="","",'Master'!Q398)</x:f>
      </x:c>
      <x:c r="Q25" s="100" t="str">
        <x:f>IF('Master'!R398="","",'Master'!R398)</x:f>
      </x:c>
      <x:c r="R25" s="100" t="str">
        <x:f>IF('Master'!S398="","",'Master'!S398)</x:f>
      </x:c>
      <x:c r="S25" s="100" t="str">
        <x:f>IF('Master'!T398="","",'Master'!T398)</x:f>
      </x:c>
      <x:c r="T25" s="100" t="str">
        <x:f>IF('Master'!U398="","",'Master'!U398)</x:f>
      </x:c>
      <x:c r="U25" s="100" t="str">
        <x:f>IF('Master'!V398="","",'Master'!V398)</x:f>
        <x:v>Yes — always-on-top voice HUD</x:v>
      </x:c>
      <x:c r="V25" s="100" t="str">
        <x:f>IF('Master'!W398="","",'Master'!W398)</x:f>
      </x:c>
      <x:c r="W25" s="100" t="str">
        <x:f>IF('Master'!X398="","",'Master'!X398)</x:f>
      </x:c>
      <x:c r="X25" s="100" t="str">
        <x:f>IF('Master'!Y398="","",'Master'!Y398)</x:f>
      </x:c>
      <x:c r="Y25" s="100" t="str">
        <x:f>IF('Master'!Z398="","",'Master'!Z398)</x:f>
      </x:c>
      <x:c r="Z25" s="100" t="str">
        <x:f>IF('Master'!AA398="","",'Master'!AA398)</x:f>
      </x:c>
      <x:c r="AA25" s="104" t="str">
        <x:f>IF('Master'!AB398="","",'Master'!AB398)</x:f>
        <x:v>Client/plugin dependent</x:v>
      </x:c>
      <x:c r="AB25" s="100" t="str">
        <x:f>IF('Master'!AC398="","",'Master'!AC398)</x:f>
      </x:c>
      <x:c r="AC25" s="100" t="str">
        <x:f>IF('Master'!AD398="","",'Master'!AD398)</x:f>
      </x:c>
      <x:c r="AD25" s="100" t="str">
        <x:f>IF('Master'!AE398="","",'Master'!AE398)</x:f>
      </x:c>
      <x:c r="AE25" s="100" t="str">
        <x:f>IF('Master'!AF398="","",'Master'!AF398)</x:f>
      </x:c>
      <x:c r="AF25" s="75" t="str">
        <x:f>IF('Master'!AG398="","",'Master'!AG398)</x:f>
      </x:c>
    </x:row>
  </x:sheetData>
  <x:mergeCells>
    <x:mergeCell ref="A1:AF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Directory'!A1","Performance &amp; Client Stack"),"Performance &amp; Client Stack")</x:f>
        <x:v>Performance &amp; Client Stack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Desktop Client Framework (Native Rust/Qt vs Electron vs PWA)</x:v>
      </x:c>
      <x:c r="B3" s="100" t="str">
        <x:f>IF('Master'!C399="","",'Master'!C399)</x:f>
        <x:v>Electron 42 desktop; React Native 0.86 mobile (2026)</x:v>
      </x:c>
      <x:c r="C3" s="100" t="str">
        <x:f>IF('Master'!D399="","",'Master'!D399)</x:f>
      </x:c>
      <x:c r="D3" s="100" t="str">
        <x:f>IF('Master'!E399="","",'Master'!E399)</x:f>
        <x:v>Web + desktop + Android</x:v>
      </x:c>
      <x:c r="E3" s="100" t="str">
        <x:f>IF('Master'!F399="","",'Master'!F399)</x:f>
        <x:v>Web + Windows/Linux/macOS/iOS/Android</x:v>
      </x:c>
      <x:c r="F3" s="100" t="str">
        <x:f>IF('Master'!G399="","",'Master'!G399)</x:f>
        <x:v>Web-first Next.js/TypeScript; PWA</x:v>
      </x:c>
      <x:c r="G3" s="100" t="str">
        <x:f>IF('Master'!H399="","",'Master'!H399)</x:f>
        <x:v>Web/PWA + Electron desktop; Flutter native mobile beta</x:v>
      </x:c>
      <x:c r="H3" s="100" t="str">
        <x:f>IF('Master'!I399="","",'Master'!I399)</x:f>
        <x:v>Native apps built with Wails v3; web client</x:v>
      </x:c>
      <x:c r="I3" s="100" t="str">
        <x:f>IF('Master'!J399="","",'Master'!J399)</x:f>
        <x:v>Tauri desktop</x:v>
      </x:c>
      <x:c r="J3" s="100" t="str">
        <x:f>IF('Master'!K399="","",'Master'!K399)</x:f>
        <x:v>Native Flutter + Rust</x:v>
      </x:c>
      <x:c r="K3" s="100" t="str">
        <x:f>IF('Master'!L399="","",'Master'!L399)</x:f>
        <x:v>Tauri + SvelteKit; Rust owns native audio/video/capture/device work</x:v>
      </x:c>
      <x:c r="L3" s="100" t="str">
        <x:f>IF('Master'!M399="","",'Master'!M399)</x:f>
      </x:c>
      <x:c r="M3" s="100" t="str">
        <x:f>IF('Master'!N399="","",'Master'!N399)</x:f>
        <x:v>Web; native mobile planned</x:v>
      </x:c>
      <x:c r="N3" s="100" t="str">
        <x:f>IF('Master'!O399="","",'Master'!O399)</x:f>
        <x:v>No single client stack — Element is one client, not Matrix; clients include Element/Element X, Cinny, FluffyChat, Nheko, etc.</x:v>
      </x:c>
      <x:c r="O3" s="100" t="str">
        <x:f>IF('Master'!P399="","",'Master'!P399)</x:f>
        <x:v>Electron desktop; web; native mobile</x:v>
      </x:c>
      <x:c r="P3" s="100" t="str">
        <x:f>IF('Master'!Q399="","",'Master'!Q399)</x:f>
        <x:v>Native Rust desktop; native mobile; web</x:v>
      </x:c>
      <x:c r="Q3" s="100" t="str">
        <x:f>IF('Master'!R399="","",'Master'!R399)</x:f>
        <x:v>Native Qt desktop client</x:v>
      </x:c>
      <x:c r="R3" s="100" t="str">
        <x:f>IF('Master'!S399="","",'Master'!S399)</x:f>
        <x:v>Web + Electron desktop</x:v>
      </x:c>
      <x:c r="S3" s="100" t="str">
        <x:f>IF('Master'!T399="","",'Master'!T399)</x:f>
        <x:v>Web + native desktop/mobile</x:v>
      </x:c>
      <x:c r="T3" s="100" t="str">
        <x:f>IF('Master'!U399="","",'Master'!U399)</x:f>
        <x:v>Electron desktop; React/Vite web</x:v>
      </x:c>
      <x:c r="U3" s="100" t="str">
        <x:f>IF('Master'!V399="","",'Master'!V399)</x:f>
        <x:v>Web/desktop app</x:v>
      </x:c>
      <x:c r="V3" s="100" t="str">
        <x:f>IF('Master'!W399="","",'Master'!W399)</x:f>
        <x:v>Web + Electron desktop + native mobile</x:v>
      </x:c>
      <x:c r="W3" s="100" t="str">
        <x:f>IF('Master'!X399="","",'Master'!X399)</x:f>
        <x:v>Web app</x:v>
      </x:c>
      <x:c r="X3" s="100" t="str">
        <x:f>IF('Master'!Y399="","",'Master'!Y399)</x:f>
      </x:c>
      <x:c r="Y3" s="100" t="str">
        <x:f>IF('Master'!Z399="","",'Master'!Z399)</x:f>
      </x:c>
      <x:c r="Z3" s="100" t="str">
        <x:f>IF('Master'!AA399="","",'Master'!AA399)</x:f>
        <x:v>Web PWA (Solid.js); desktop Electron wrapper; native Android; iOS project</x:v>
      </x:c>
      <x:c r="AA3" s="104" t="str">
        <x:f>IF('Master'!AB399="","",'Master'!AB399)</x:f>
      </x:c>
      <x:c r="AB3" s="100" t="str">
        <x:f>IF('Master'!AC399="","",'Master'!AC399)</x:f>
        <x:v>Web + Windows + Android</x:v>
      </x:c>
      <x:c r="AC3" s="100" t="str">
        <x:f>IF('Master'!AD399="","",'Master'!AD399)</x:f>
      </x:c>
      <x:c r="AD3" s="100" t="str">
        <x:f>IF('Master'!AE399="","",'Master'!AE399)</x:f>
        <x:v>Web + Tauri desktop; mobile in works</x:v>
      </x:c>
      <x:c r="AE3" s="100" t="str">
        <x:f>IF('Master'!AF399="","",'Master'!AF399)</x:f>
        <x:v>Browser-first; desktop/mobile roadmap/availability evolving</x:v>
      </x:c>
      <x:c r="AF3" s="75" t="str">
        <x:f>IF('Master'!AG399="","",'Master'!AG399)</x:f>
        <x:v>Web app + Electron desktop + React Native mobile</x:v>
      </x:c>
    </x:row>
    <x:row r="4" ht="36" customHeight="1">
      <x:c r="A4" s="135" t="str">
        <x:v>Idle Desktop RAM Usage (MB)</x:v>
      </x:c>
      <x:c r="B4" s="100" t="str">
        <x:f>IF('Master'!C400="","",'Master'!C400)</x:f>
      </x:c>
      <x:c r="C4" s="100" t="str">
        <x:f>IF('Master'!D400="","",'Master'!D400)</x:f>
      </x:c>
      <x:c r="D4" s="100" t="str">
        <x:f>IF('Master'!E400="","",'Master'!E400)</x:f>
      </x:c>
      <x:c r="E4" s="100" t="str">
        <x:f>IF('Master'!F400="","",'Master'!F400)</x:f>
      </x:c>
      <x:c r="F4" s="100" t="str">
        <x:f>IF('Master'!G400="","",'Master'!G400)</x:f>
      </x:c>
      <x:c r="G4" s="100" t="str">
        <x:f>IF('Master'!H400="","",'Master'!H400)</x:f>
      </x:c>
      <x:c r="H4" s="100" t="str">
        <x:f>IF('Master'!I400="","",'Master'!I400)</x:f>
      </x:c>
      <x:c r="I4" s="100" t="str">
        <x:f>IF('Master'!J400="","",'Master'!J400)</x:f>
        <x:v>~80 MB (vendor claim)</x:v>
      </x:c>
      <x:c r="J4" s="100" t="str">
        <x:f>IF('Master'!K400="","",'Master'!K400)</x:f>
      </x:c>
      <x:c r="K4" s="100" t="str">
        <x:f>IF('Master'!L400="","",'Master'!L400)</x:f>
        <x:v>78 MB RAM on Windows initial boot (developer-reported measurement)</x:v>
      </x:c>
      <x:c r="L4" s="100" t="str">
        <x:f>IF('Master'!M400="","",'Master'!M400)</x:f>
      </x:c>
      <x:c r="M4" s="100" t="str">
        <x:f>IF('Master'!N400="","",'Master'!N400)</x:f>
      </x:c>
      <x:c r="N4" s="100" t="str">
        <x:f>IF('Master'!O400="","",'Master'!O400)</x:f>
        <x:v>Varies by client</x:v>
      </x:c>
      <x:c r="O4" s="100" t="str">
        <x:f>IF('Master'!P400="","",'Master'!P400)</x:f>
      </x:c>
      <x:c r="P4" s="100" t="str">
        <x:f>IF('Master'!Q400="","",'Master'!Q400)</x:f>
      </x:c>
      <x:c r="Q4" s="100" t="str">
        <x:f>IF('Master'!R400="","",'Master'!R400)</x:f>
      </x:c>
      <x:c r="R4" s="100" t="str">
        <x:f>IF('Master'!S400="","",'Master'!S400)</x:f>
      </x:c>
      <x:c r="S4" s="100" t="str">
        <x:f>IF('Master'!T400="","",'Master'!T400)</x:f>
      </x:c>
      <x:c r="T4" s="100" t="str">
        <x:f>IF('Master'!U400="","",'Master'!U400)</x:f>
        <x:v>No public benchmark claimed</x:v>
      </x:c>
      <x:c r="U4" s="100" t="str">
        <x:f>IF('Master'!V400="","",'Master'!V400)</x:f>
        <x:v>13.5MB + 315MB
Client + Webview2</x:v>
      </x:c>
      <x:c r="V4" s="100" t="str">
        <x:f>IF('Master'!W400="","",'Master'!W400)</x:f>
      </x:c>
      <x:c r="W4" s="100" t="str">
        <x:f>IF('Master'!X400="","",'Master'!X400)</x:f>
      </x:c>
      <x:c r="X4" s="100" t="str">
        <x:f>IF('Master'!Y400="","",'Master'!Y400)</x:f>
      </x:c>
      <x:c r="Y4" s="100" t="str">
        <x:f>IF('Master'!Z400="","",'Master'!Z400)</x:f>
      </x:c>
      <x:c r="Z4" s="100" t="str">
        <x:f>IF('Master'!AA400="","",'Master'!AA400)</x:f>
      </x:c>
      <x:c r="AA4" s="104" t="str">
        <x:f>IF('Master'!AB400="","",'Master'!AB400)</x:f>
      </x:c>
      <x:c r="AB4" s="100" t="str">
        <x:f>IF('Master'!AC400="","",'Master'!AC400)</x:f>
      </x:c>
      <x:c r="AC4" s="100" t="str">
        <x:f>IF('Master'!AD400="","",'Master'!AD400)</x:f>
      </x:c>
      <x:c r="AD4" s="100" t="str">
        <x:f>IF('Master'!AE400="","",'Master'!AE400)</x:f>
      </x:c>
      <x:c r="AE4" s="100" t="str">
        <x:f>IF('Master'!AF400="","",'Master'!AF400)</x:f>
      </x:c>
      <x:c r="AF4" s="75" t="str">
        <x:f>IF('Master'!AG400="","",'Master'!AG400)</x:f>
      </x:c>
    </x:row>
    <x:row r="5" ht="36" customHeight="1">
      <x:c r="A5" s="135" t="str">
        <x:v>Windows Support</x:v>
      </x:c>
      <x:c r="B5" s="100" t="str">
        <x:f>IF('Master'!C380="","",'Master'!C380)</x:f>
        <x:v>Yes — x64 and ARM64</x:v>
      </x:c>
      <x:c r="C5" s="100" t="str">
        <x:f>IF('Master'!D380="","",'Master'!D380)</x:f>
        <x:v>Web</x:v>
      </x:c>
      <x:c r="D5" s="100" t="str">
        <x:f>IF('Master'!E380="","",'Master'!E380)</x:f>
        <x:v>Yes</x:v>
      </x:c>
      <x:c r="E5" s="100" t="str">
        <x:f>IF('Master'!F380="","",'Master'!F380)</x:f>
        <x:v>Yes</x:v>
      </x:c>
      <x:c r="F5" s="100" t="str">
        <x:f>IF('Master'!G380="","",'Master'!G380)</x:f>
        <x:v>Yes via web/PWA</x:v>
      </x:c>
      <x:c r="G5" s="100" t="str">
        <x:f>IF('Master'!H380="","",'Master'!H380)</x:f>
        <x:v>Yes</x:v>
      </x:c>
      <x:c r="H5" s="100" t="str">
        <x:f>IF('Master'!I380="","",'Master'!I380)</x:f>
        <x:v>Yes</x:v>
      </x:c>
      <x:c r="I5" s="100" t="str">
        <x:f>IF('Master'!J380="","",'Master'!J380)</x:f>
        <x:v>Web TS/HTML/CSS</x:v>
      </x:c>
      <x:c r="J5" s="100" t="str">
        <x:f>IF('Master'!K380="","",'Master'!K380)</x:f>
        <x:v>Flutter/Rust native</x:v>
      </x:c>
      <x:c r="K5" s="100" t="str">
        <x:f>IF('Master'!L380="","",'Master'!L380)</x:f>
        <x:v>Yes</x:v>
      </x:c>
      <x:c r="L5" s="100" t="str">
        <x:f>IF('Master'!M380="","",'Master'!M380)</x:f>
      </x:c>
      <x:c r="M5" s="100" t="str">
        <x:f>IF('Master'!N380="","",'Master'!N380)</x:f>
        <x:v>Web</x:v>
      </x:c>
      <x:c r="N5" s="100" t="str">
        <x:f>IF('Master'!O380="","",'Master'!O380)</x:f>
        <x:v>Yes — many clients</x:v>
      </x:c>
      <x:c r="O5" s="100" t="str">
        <x:f>IF('Master'!P380="","",'Master'!P380)</x:f>
        <x:v>Yes</x:v>
      </x:c>
      <x:c r="P5" s="100" t="str">
        <x:f>IF('Master'!Q380="","",'Master'!Q380)</x:f>
        <x:v>Yes</x:v>
      </x:c>
      <x:c r="Q5" s="100" t="str">
        <x:f>IF('Master'!R380="","",'Master'!R380)</x:f>
        <x:v>Yes</x:v>
      </x:c>
      <x:c r="R5" s="100" t="str">
        <x:f>IF('Master'!S380="","",'Master'!S380)</x:f>
        <x:v>Yes</x:v>
      </x:c>
      <x:c r="S5" s="100" t="str">
        <x:f>IF('Master'!T380="","",'Master'!T380)</x:f>
        <x:v>Yes</x:v>
      </x:c>
      <x:c r="T5" s="100" t="str">
        <x:f>IF('Master'!U380="","",'Master'!U380)</x:f>
        <x:v>Yes</x:v>
      </x:c>
      <x:c r="U5" s="100" t="str">
        <x:f>IF('Master'!V380="","",'Master'!V380)</x:f>
        <x:v>Yes</x:v>
      </x:c>
      <x:c r="V5" s="100" t="str">
        <x:f>IF('Master'!W380="","",'Master'!W380)</x:f>
        <x:v>Yes</x:v>
      </x:c>
      <x:c r="W5" s="100" t="str">
        <x:f>IF('Master'!X380="","",'Master'!X380)</x:f>
        <x:v>Web/TypeScript</x:v>
      </x:c>
      <x:c r="X5" s="100" t="str">
        <x:f>IF('Master'!Y380="","",'Master'!Y380)</x:f>
        <x:v>Yes</x:v>
      </x:c>
      <x:c r="Y5" s="100" t="str">
        <x:f>IF('Master'!Z380="","",'Master'!Z380)</x:f>
        <x:v>Client-dependent</x:v>
      </x:c>
      <x:c r="Z5" s="100" t="str">
        <x:f>IF('Master'!AA380="","",'Master'!AA380)</x:f>
        <x:v>Yes</x:v>
      </x:c>
      <x:c r="AA5" s="104" t="str">
        <x:f>IF('Master'!AB380="","",'Master'!AB380)</x:f>
        <x:v>Yes</x:v>
      </x:c>
      <x:c r="AB5" s="100" t="str">
        <x:f>IF('Master'!AC380="","",'Master'!AC380)</x:f>
        <x:v>Blazor/WebAssembly; desktop launcher</x:v>
      </x:c>
      <x:c r="AC5" s="100" t="str">
        <x:f>IF('Master'!AD380="","",'Master'!AD380)</x:f>
        <x:v>Yes</x:v>
      </x:c>
      <x:c r="AD5" s="100" t="str">
        <x:f>IF('Master'!AE380="","",'Master'!AE380)</x:f>
        <x:v>Tauri</x:v>
      </x:c>
      <x:c r="AE5" s="100" t="str">
        <x:f>IF('Master'!AF380="","",'Master'!AF380)</x:f>
        <x:v>Yes browser</x:v>
      </x:c>
      <x:c r="AF5" s="75" t="str">
        <x:f>IF('Master'!AG380="","",'Master'!AG380)</x:f>
        <x:v>Yes</x:v>
      </x:c>
    </x:row>
    <x:row r="6" ht="36" customHeight="1">
      <x:c r="A6" s="135" t="str">
        <x:v>macOS Support</x:v>
      </x:c>
      <x:c r="B6" s="100" t="str">
        <x:f>IF('Master'!C381="","",'Master'!C381)</x:f>
        <x:v>Yes</x:v>
      </x:c>
      <x:c r="C6" s="100" t="str">
        <x:f>IF('Master'!D381="","",'Master'!D381)</x:f>
        <x:v>Web</x:v>
      </x:c>
      <x:c r="D6" s="100" t="str">
        <x:f>IF('Master'!E381="","",'Master'!E381)</x:f>
        <x:v>Yes</x:v>
      </x:c>
      <x:c r="E6" s="100" t="str">
        <x:f>IF('Master'!F381="","",'Master'!F381)</x:f>
        <x:v>Yes</x:v>
      </x:c>
      <x:c r="F6" s="100" t="str">
        <x:f>IF('Master'!G381="","",'Master'!G381)</x:f>
        <x:v>Yes via web/PWA</x:v>
      </x:c>
      <x:c r="G6" s="100" t="str">
        <x:f>IF('Master'!H381="","",'Master'!H381)</x:f>
        <x:v>Yes</x:v>
      </x:c>
      <x:c r="H6" s="100" t="str">
        <x:f>IF('Master'!I381="","",'Master'!I381)</x:f>
        <x:v>Yes</x:v>
      </x:c>
      <x:c r="I6" s="100" t="str">
        <x:f>IF('Master'!J381="","",'Master'!J381)</x:f>
        <x:v>Web</x:v>
      </x:c>
      <x:c r="J6" s="100" t="str">
        <x:f>IF('Master'!K381="","",'Master'!K381)</x:f>
        <x:v>Yes</x:v>
      </x:c>
      <x:c r="K6" s="100" t="str">
        <x:f>IF('Master'!L381="","",'Master'!L381)</x:f>
        <x:v>Yes</x:v>
      </x:c>
      <x:c r="L6" s="100" t="str">
        <x:f>IF('Master'!M381="","",'Master'!M381)</x:f>
      </x:c>
      <x:c r="M6" s="100" t="str">
        <x:f>IF('Master'!N381="","",'Master'!N381)</x:f>
        <x:v>Web</x:v>
      </x:c>
      <x:c r="N6" s="100" t="str">
        <x:f>IF('Master'!O381="","",'Master'!O381)</x:f>
        <x:v>Yes — many clients</x:v>
      </x:c>
      <x:c r="O6" s="100" t="str">
        <x:f>IF('Master'!P381="","",'Master'!P381)</x:f>
        <x:v>Yes</x:v>
      </x:c>
      <x:c r="P6" s="100" t="str">
        <x:f>IF('Master'!Q381="","",'Master'!Q381)</x:f>
        <x:v>Yes</x:v>
      </x:c>
      <x:c r="Q6" s="100" t="str">
        <x:f>IF('Master'!R381="","",'Master'!R381)</x:f>
        <x:v>Yes</x:v>
      </x:c>
      <x:c r="R6" s="100" t="str">
        <x:f>IF('Master'!S381="","",'Master'!S381)</x:f>
        <x:v>Yes</x:v>
      </x:c>
      <x:c r="S6" s="100" t="str">
        <x:f>IF('Master'!T381="","",'Master'!T381)</x:f>
        <x:v>Yes</x:v>
      </x:c>
      <x:c r="T6" s="100" t="str">
        <x:f>IF('Master'!U381="","",'Master'!U381)</x:f>
        <x:v>Yes</x:v>
      </x:c>
      <x:c r="U6" s="100" t="str">
        <x:f>IF('Master'!V381="","",'Master'!V381)</x:f>
        <x:v>Yes</x:v>
      </x:c>
      <x:c r="V6" s="100" t="str">
        <x:f>IF('Master'!W381="","",'Master'!W381)</x:f>
        <x:v>Yes</x:v>
      </x:c>
      <x:c r="W6" s="100" t="str">
        <x:f>IF('Master'!X381="","",'Master'!X381)</x:f>
        <x:v>Web</x:v>
      </x:c>
      <x:c r="X6" s="100" t="str">
        <x:f>IF('Master'!Y381="","",'Master'!Y381)</x:f>
        <x:v>Yes</x:v>
      </x:c>
      <x:c r="Y6" s="100" t="str">
        <x:f>IF('Master'!Z381="","",'Master'!Z381)</x:f>
        <x:v>Client-dependent</x:v>
      </x:c>
      <x:c r="Z6" s="100" t="str">
        <x:f>IF('Master'!AA381="","",'Master'!AA381)</x:f>
        <x:v>Yes</x:v>
      </x:c>
      <x:c r="AA6" s="104" t="str">
        <x:f>IF('Master'!AB381="","",'Master'!AB381)</x:f>
        <x:v>Yes</x:v>
      </x:c>
      <x:c r="AB6" s="100" t="str">
        <x:f>IF('Master'!AC381="","",'Master'!AC381)</x:f>
        <x:v>Web</x:v>
      </x:c>
      <x:c r="AC6" s="100" t="str">
        <x:f>IF('Master'!AD381="","",'Master'!AD381)</x:f>
        <x:v>Yes</x:v>
      </x:c>
      <x:c r="AD6" s="100" t="str">
        <x:f>IF('Master'!AE381="","",'Master'!AE381)</x:f>
        <x:v>Yes</x:v>
      </x:c>
      <x:c r="AE6" s="100" t="str">
        <x:f>IF('Master'!AF381="","",'Master'!AF381)</x:f>
        <x:v>Yes browser</x:v>
      </x:c>
      <x:c r="AF6" s="75" t="str">
        <x:f>IF('Master'!AG381="","",'Master'!AG381)</x:f>
        <x:v>Yes</x:v>
      </x:c>
    </x:row>
    <x:row r="7" ht="36" customHeight="1">
      <x:c r="A7" s="135" t="str">
        <x:v>Linux Support (Flatpak / Deb / AUR)</x:v>
      </x:c>
      <x:c r="B7" s="100" t="str">
        <x:f>IF('Master'!C401="","",'Master'!C401)</x:f>
        <x:v>Yes — official .deb, .tar.gz, .rpm, .pkg.tar.zst; no official Flatpak listed</x:v>
      </x:c>
      <x:c r="C7" s="100" t="str">
        <x:f>IF('Master'!D401="","",'Master'!D401)</x:f>
      </x:c>
      <x:c r="D7" s="100" t="str">
        <x:f>IF('Master'!E401="","",'Master'!E401)</x:f>
      </x:c>
      <x:c r="E7" s="100" t="str">
        <x:f>IF('Master'!F401="","",'Master'!F401)</x:f>
        <x:v>Yes</x:v>
      </x:c>
      <x:c r="F7" s="100" t="str">
        <x:f>IF('Master'!G401="","",'Master'!G401)</x:f>
        <x:v>Web/PWA</x:v>
      </x:c>
      <x:c r="G7" s="100" t="str">
        <x:f>IF('Master'!H401="","",'Master'!H401)</x:f>
        <x:v>Yes — deb/rpm/AppImage/tar.gz</x:v>
      </x:c>
      <x:c r="H7" s="100" t="str">
        <x:f>IF('Master'!I401="","",'Master'!I401)</x:f>
        <x:v>Yes</x:v>
      </x:c>
      <x:c r="I7" s="100" t="str">
        <x:f>IF('Master'!J401="","",'Master'!J401)</x:f>
        <x:v>Web</x:v>
      </x:c>
      <x:c r="J7" s="100" t="str">
        <x:f>IF('Master'!K401="","",'Master'!K401)</x:f>
        <x:v>Yes</x:v>
      </x:c>
      <x:c r="K7" s="100" t="str">
        <x:f>IF('Master'!L401="","",'Master'!L401)</x:f>
      </x:c>
      <x:c r="L7" s="100" t="str">
        <x:f>IF('Master'!M401="","",'Master'!M401)</x:f>
      </x:c>
      <x:c r="M7" s="100" t="str">
        <x:f>IF('Master'!N401="","",'Master'!N401)</x:f>
        <x:v>Web</x:v>
      </x:c>
      <x:c r="N7" s="100" t="str">
        <x:f>IF('Master'!O401="","",'Master'!O401)</x:f>
        <x:v>Varies by client</x:v>
      </x:c>
      <x:c r="O7" s="100" t="str">
        <x:f>IF('Master'!P401="","",'Master'!P401)</x:f>
        <x:v>Yes</x:v>
      </x:c>
      <x:c r="P7" s="100" t="str">
        <x:f>IF('Master'!Q401="","",'Master'!Q401)</x:f>
        <x:v>Yes</x:v>
      </x:c>
      <x:c r="Q7" s="100" t="str">
        <x:f>IF('Master'!R401="","",'Master'!R401)</x:f>
        <x:v>Yes</x:v>
      </x:c>
      <x:c r="R7" s="100" t="str">
        <x:f>IF('Master'!S401="","",'Master'!S401)</x:f>
        <x:v>Yes — deb/AppImage</x:v>
      </x:c>
      <x:c r="S7" s="100" t="str">
        <x:f>IF('Master'!T401="","",'Master'!T401)</x:f>
        <x:v>Yes — deb/AppImage/rpm/tar</x:v>
      </x:c>
      <x:c r="T7" s="100" t="str">
        <x:f>IF('Master'!U401="","",'Master'!U401)</x:f>
        <x:v>Yes</x:v>
      </x:c>
      <x:c r="U7" s="100" t="str">
        <x:f>IF('Master'!V401="","",'Master'!V401)</x:f>
        <x:v>Appiamge &amp; .deb</x:v>
      </x:c>
      <x:c r="V7" s="100" t="str">
        <x:f>IF('Master'!W401="","",'Master'!W401)</x:f>
        <x:v>Yes</x:v>
      </x:c>
      <x:c r="W7" s="100" t="str">
        <x:f>IF('Master'!X401="","",'Master'!X401)</x:f>
        <x:v>Web</x:v>
      </x:c>
      <x:c r="X7" s="100" t="str">
        <x:f>IF('Master'!Y401="","",'Master'!Y401)</x:f>
      </x:c>
      <x:c r="Y7" s="100" t="str">
        <x:f>IF('Master'!Z401="","",'Master'!Z401)</x:f>
        <x:v>Client-dependent</x:v>
      </x:c>
      <x:c r="Z7" s="100" t="str">
        <x:f>IF('Master'!AA401="","",'Master'!AA401)</x:f>
        <x:v>Yes</x:v>
      </x:c>
      <x:c r="AA7" s="104" t="str">
        <x:f>IF('Master'!AB401="","",'Master'!AB401)</x:f>
        <x:v>Yes</x:v>
      </x:c>
      <x:c r="AB7" s="100" t="str">
        <x:f>IF('Master'!AC401="","",'Master'!AC401)</x:f>
      </x:c>
      <x:c r="AC7" s="100" t="str">
        <x:f>IF('Master'!AD401="","",'Master'!AD401)</x:f>
      </x:c>
      <x:c r="AD7" s="100" t="str">
        <x:f>IF('Master'!AE401="","",'Master'!AE401)</x:f>
      </x:c>
      <x:c r="AE7" s="100" t="str">
        <x:f>IF('Master'!AF401="","",'Master'!AF401)</x:f>
        <x:v>Browser</x:v>
      </x:c>
      <x:c r="AF7" s="75" t="str">
        <x:f>IF('Master'!AG401="","",'Master'!AG401)</x:f>
        <x:v>Yes</x:v>
      </x:c>
    </x:row>
    <x:row r="8" ht="36" customHeight="1">
      <x:c r="A8" s="135" t="str">
        <x:v>Mobile App Feature Parity</x:v>
      </x:c>
      <x:c r="B8" s="100" t="str">
        <x:f>IF('Master'!C402="","",'Master'!C402)</x:f>
        <x:v>High but not full; mobile and desktop are converging, with some feature/surface differences</x:v>
      </x:c>
      <x:c r="C8" s="100" t="str">
        <x:f>IF('Master'!D402="","",'Master'!D402)</x:f>
      </x:c>
      <x:c r="D8" s="100" t="str">
        <x:f>IF('Master'!E402="","",'Master'!E402)</x:f>
        <x:v>Yes</x:v>
      </x:c>
      <x:c r="E8" s="100" t="str">
        <x:f>IF('Master'!F402="","",'Master'!F402)</x:f>
        <x:v>Yes — AppImage/deb beta</x:v>
      </x:c>
      <x:c r="F8" s="100" t="str">
        <x:f>IF('Master'!G402="","",'Master'!G402)</x:f>
      </x:c>
      <x:c r="G8" s="100" t="str">
        <x:f>IF('Master'!H402="","",'Master'!H402)</x:f>
        <x:v>Partial — web has more features</x:v>
      </x:c>
      <x:c r="H8" s="100" t="str">
        <x:f>IF('Master'!I402="","",'Master'!I402)</x:f>
      </x:c>
      <x:c r="I8" s="100" t="str">
        <x:f>IF('Master'!J402="","",'Master'!J402)</x:f>
        <x:v>Not yet — mobile apps in development</x:v>
      </x:c>
      <x:c r="J8" s="100" t="str">
        <x:f>IF('Master'!K402="","",'Master'!K402)</x:f>
        <x:v>Yes</x:v>
      </x:c>
      <x:c r="K8" s="100" t="str">
        <x:f>IF('Master'!L402="","",'Master'!L402)</x:f>
        <x:v>High — Flutter mobile has full chat/guild administration plus native voice/video/screen share</x:v>
      </x:c>
      <x:c r="L8" s="100" t="str">
        <x:f>IF('Master'!M402="","",'Master'!M402)</x:f>
      </x:c>
      <x:c r="M8" s="100" t="str">
        <x:f>IF('Master'!N402="","",'Master'!N402)</x:f>
        <x:v>Web</x:v>
      </x:c>
      <x:c r="N8" s="100" t="str">
        <x:f>IF('Master'!O402="","",'Master'!O402)</x:f>
        <x:v>Varies by client</x:v>
      </x:c>
      <x:c r="O8" s="100" t="str">
        <x:f>IF('Master'!P402="","",'Master'!P402)</x:f>
        <x:v>High</x:v>
      </x:c>
      <x:c r="P8" s="100" t="str">
        <x:f>IF('Master'!Q402="","",'Master'!Q402)</x:f>
        <x:v>High</x:v>
      </x:c>
      <x:c r="Q8" s="100" t="str">
        <x:f>IF('Master'!R402="","",'Master'!R402)</x:f>
        <x:v>Not full parity; third-party mobile clients</x:v>
      </x:c>
      <x:c r="R8" s="100" t="str">
        <x:f>IF('Master'!S402="","",'Master'!S402)</x:f>
        <x:v>Partial</x:v>
      </x:c>
      <x:c r="S8" s="100" t="str">
        <x:f>IF('Master'!T402="","",'Master'!T402)</x:f>
        <x:v>High</x:v>
      </x:c>
      <x:c r="T8" s="100" t="str">
        <x:f>IF('Master'!U402="","",'Master'!U402)</x:f>
        <x:v>Partial beta — Android known limitations include no push, camera, or large-room screen-share sending</x:v>
      </x:c>
      <x:c r="U8" s="100" t="str">
        <x:f>IF('Master'!V402="","",'Master'!V402)</x:f>
        <x:v>High</x:v>
      </x:c>
      <x:c r="V8" s="100" t="str">
        <x:f>IF('Master'!W402="","",'Master'!W402)</x:f>
        <x:v>High</x:v>
      </x:c>
      <x:c r="W8" s="100" t="str">
        <x:f>IF('Master'!X402="","",'Master'!X402)</x:f>
        <x:v>Web</x:v>
      </x:c>
      <x:c r="X8" s="100" t="str">
        <x:f>IF('Master'!Y402="","",'Master'!Y402)</x:f>
        <x:v>Partial — mobile lacks screen sharing and some management features</x:v>
      </x:c>
      <x:c r="Y8" s="100" t="str">
        <x:f>IF('Master'!Z402="","",'Master'!Z402)</x:f>
        <x:v>Client-dependent</x:v>
      </x:c>
      <x:c r="Z8" s="100" t="str">
        <x:f>IF('Master'!AA402="","",'Master'!AA402)</x:f>
        <x:v>Partial</x:v>
      </x:c>
      <x:c r="AA8" s="104" t="str">
        <x:f>IF('Master'!AB402="","",'Master'!AB402)</x:f>
      </x:c>
      <x:c r="AB8" s="100" t="str">
        <x:f>IF('Master'!AC402="","",'Master'!AC402)</x:f>
      </x:c>
      <x:c r="AC8" s="100" t="str">
        <x:f>IF('Master'!AD402="","",'Master'!AD402)</x:f>
        <x:v>Linux experimental</x:v>
      </x:c>
      <x:c r="AD8" s="100" t="str">
        <x:f>IF('Master'!AE402="","",'Master'!AE402)</x:f>
      </x:c>
      <x:c r="AE8" s="100" t="str">
        <x:f>IF('Master'!AF402="","",'Master'!AF402)</x:f>
        <x:v>Browser</x:v>
      </x:c>
      <x:c r="AF8" s="75" t="str">
        <x:f>IF('Master'!AG402="","",'Master'!AG402)</x:f>
        <x:v>High but some differences</x:v>
      </x:c>
    </x:row>
    <x:row r="9" ht="36" customHeight="1">
      <x:c r="A9" s="135" t="str">
        <x:v>Android Distribution (Play Store / F-Droid / APK)</x:v>
      </x:c>
      <x:c r="B9" s="100" t="str">
        <x:f>IF('Master'!C403="","",'Master'!C403)</x:f>
        <x:v>Google Play (official); F-Droid/APK not officially listed on Discord's download page</x:v>
      </x:c>
      <x:c r="C9" s="100" t="str">
        <x:f>IF('Master'!D403="","",'Master'!D403)</x:f>
      </x:c>
      <x:c r="D9" s="100" t="str">
        <x:f>IF('Master'!E403="","",'Master'!E403)</x:f>
        <x:v>Android / Google Play</x:v>
      </x:c>
      <x:c r="E9" s="100" t="str">
        <x:f>IF('Master'!F403="","",'Master'!F403)</x:f>
        <x:v>Signed APK</x:v>
      </x:c>
      <x:c r="F9" s="100" t="str">
        <x:f>IF('Master'!G403="","",'Master'!G403)</x:f>
      </x:c>
      <x:c r="G9" s="100" t="str">
        <x:f>IF('Master'!H403="","",'Master'!H403)</x:f>
        <x:v>Android native beta/public testing + PWA</x:v>
      </x:c>
      <x:c r="H9" s="100" t="str">
        <x:f>IF('Master'!I403="","",'Master'!I403)</x:f>
        <x:v>Google Play</x:v>
      </x:c>
      <x:c r="I9" s="100" t="str">
        <x:f>IF('Master'!J403="","",'Master'!J403)</x:f>
        <x:v>Web</x:v>
      </x:c>
      <x:c r="J9" s="100" t="str">
        <x:f>IF('Master'!K403="","",'Master'!K403)</x:f>
        <x:v>Mobile port</x:v>
      </x:c>
      <x:c r="K9" s="100" t="str">
        <x:f>IF('Master'!L403="","",'Master'!L403)</x:f>
        <x:v>Android Play Store beta/open-testing + sideload (developer report)</x:v>
      </x:c>
      <x:c r="L9" s="100" t="str">
        <x:f>IF('Master'!M403="","",'Master'!M403)</x:f>
      </x:c>
      <x:c r="M9" s="100" t="str">
        <x:f>IF('Master'!N403="","",'Master'!N403)</x:f>
        <x:v>Planned</x:v>
      </x:c>
      <x:c r="N9" s="100" t="str">
        <x:f>IF('Master'!O403="","",'Master'!O403)</x:f>
        <x:v>Varies by client</x:v>
      </x:c>
      <x:c r="O9" s="100" t="str">
        <x:f>IF('Master'!P403="","",'Master'!P403)</x:f>
        <x:v>Google Play / enterprise distribution</x:v>
      </x:c>
      <x:c r="P9" s="100" t="str">
        <x:f>IF('Master'!Q403="","",'Master'!Q403)</x:f>
        <x:v>Native Android</x:v>
      </x:c>
      <x:c r="Q9" s="100" t="str">
        <x:f>IF('Master'!R403="","",'Master'!R403)</x:f>
        <x:v>Third-party clients</x:v>
      </x:c>
      <x:c r="R9" s="100" t="str">
        <x:f>IF('Master'!S403="","",'Master'!S403)</x:f>
        <x:v>Android APK</x:v>
      </x:c>
      <x:c r="S9" s="100" t="str">
        <x:f>IF('Master'!T403="","",'Master'!T403)</x:f>
        <x:v>Google Play</x:v>
      </x:c>
      <x:c r="T9" s="100" t="str">
        <x:f>IF('Master'!U403="","",'Master'!U403)</x:f>
        <x:v>Native APK beta — https://pqp.gg/android</x:v>
      </x:c>
      <x:c r="U9" s="100" t="str">
        <x:f>IF('Master'!V403="","",'Master'!V403)</x:f>
        <x:v>Playstore &amp; APK</x:v>
      </x:c>
      <x:c r="V9" s="100" t="str">
        <x:f>IF('Master'!W403="","",'Master'!W403)</x:f>
        <x:v>Google Play</x:v>
      </x:c>
      <x:c r="W9" s="100" t="str">
        <x:f>IF('Master'!X403="","",'Master'!X403)</x:f>
        <x:v>Web</x:v>
      </x:c>
      <x:c r="X9" s="100" t="str">
        <x:f>IF('Master'!Y403="","",'Master'!Y403)</x:f>
        <x:v>Google Play</x:v>
      </x:c>
      <x:c r="Y9" s="100" t="str">
        <x:f>IF('Master'!Z403="","",'Master'!Z403)</x:f>
        <x:v>Client-dependent</x:v>
      </x:c>
      <x:c r="Z9" s="100" t="str">
        <x:f>IF('Master'!AA403="","",'Master'!AA403)</x:f>
      </x:c>
      <x:c r="AA9" s="104" t="str">
        <x:f>IF('Master'!AB403="","",'Master'!AB403)</x:f>
        <x:v>Google Play / availability varies</x:v>
      </x:c>
      <x:c r="AB9" s="100" t="str">
        <x:f>IF('Master'!AC403="","",'Master'!AC403)</x:f>
        <x:v>Android APK</x:v>
      </x:c>
      <x:c r="AC9" s="100" t="str">
        <x:f>IF('Master'!AD403="","",'Master'!AD403)</x:f>
      </x:c>
      <x:c r="AD9" s="100" t="str">
        <x:f>IF('Master'!AE403="","",'Master'!AE403)</x:f>
        <x:v>Mobile in works</x:v>
      </x:c>
      <x:c r="AE9" s="100" t="str">
        <x:f>IF('Master'!AF403="","",'Master'!AF403)</x:f>
        <x:v>Mobile browser/app roadmap</x:v>
      </x:c>
      <x:c r="AF9" s="75" t="str">
        <x:f>IF('Master'!AG403="","",'Master'!AG403)</x:f>
      </x:c>
    </x:row>
    <x:row r="10" ht="36" customHeight="1">
      <x:c r="A10" s="135" t="str">
        <x:v>iOS Distribution (App Store / TestFlight / Sideload)</x:v>
      </x:c>
      <x:c r="B10" s="100" t="str">
        <x:f>IF('Master'!C404="","",'Master'!C404)</x:f>
        <x:v>App Store; TestFlight used for beta/testing</x:v>
      </x:c>
      <x:c r="C10" s="100" t="str">
        <x:f>IF('Master'!D404="","",'Master'!D404)</x:f>
      </x:c>
      <x:c r="D10" s="100" t="str">
        <x:f>IF('Master'!E404="","",'Master'!E404)</x:f>
      </x:c>
      <x:c r="E10" s="100" t="str">
        <x:f>IF('Master'!F404="","",'Master'!F404)</x:f>
        <x:v>App Store</x:v>
      </x:c>
      <x:c r="F10" s="100" t="str">
        <x:f>IF('Master'!G404="","",'Master'!G404)</x:f>
      </x:c>
      <x:c r="G10" s="100" t="str">
        <x:f>IF('Master'!H404="","",'Master'!H404)</x:f>
        <x:v>TestFlight beta; no App Store yet</x:v>
      </x:c>
      <x:c r="H10" s="100" t="str">
        <x:f>IF('Master'!I404="","",'Master'!I404)</x:f>
        <x:v>iOS app available</x:v>
      </x:c>
      <x:c r="I10" s="100" t="str">
        <x:f>IF('Master'!J404="","",'Master'!J404)</x:f>
        <x:v>Web</x:v>
      </x:c>
      <x:c r="J10" s="100" t="str">
        <x:f>IF('Master'!K404="","",'Master'!K404)</x:f>
        <x:v>iOS TestFlight planned/coming</x:v>
      </x:c>
      <x:c r="K10" s="100" t="str">
        <x:f>IF('Master'!L404="","",'Master'!L404)</x:f>
        <x:v>TestFlight and self-build (developer report)</x:v>
      </x:c>
      <x:c r="L10" s="100" t="str">
        <x:f>IF('Master'!M404="","",'Master'!M404)</x:f>
      </x:c>
      <x:c r="M10" s="100" t="str">
        <x:f>IF('Master'!N404="","",'Master'!N404)</x:f>
        <x:v>Planned</x:v>
      </x:c>
      <x:c r="N10" s="100" t="str">
        <x:f>IF('Master'!O404="","",'Master'!O404)</x:f>
        <x:v>Varies by client</x:v>
      </x:c>
      <x:c r="O10" s="100" t="str">
        <x:f>IF('Master'!P404="","",'Master'!P404)</x:f>
        <x:v>App Store / enterprise distribution</x:v>
      </x:c>
      <x:c r="P10" s="100" t="str">
        <x:f>IF('Master'!Q404="","",'Master'!Q404)</x:f>
        <x:v>Native iOS</x:v>
      </x:c>
      <x:c r="Q10" s="100" t="str">
        <x:f>IF('Master'!R404="","",'Master'!R404)</x:f>
        <x:v>Third-party clients</x:v>
      </x:c>
      <x:c r="R10" s="100" t="str">
        <x:f>IF('Master'!S404="","",'Master'!S404)</x:f>
        <x:v>No iOS app documented</x:v>
      </x:c>
      <x:c r="S10" s="100" t="str">
        <x:f>IF('Master'!T404="","",'Master'!T404)</x:f>
        <x:v>App Store</x:v>
      </x:c>
      <x:c r="T10" s="100" t="str">
        <x:f>IF('Master'!U404="","",'Master'!U404)</x:f>
        <x:v>Native TestFlight beta — https://pqp.gg/beta</x:v>
      </x:c>
      <x:c r="U10" s="100" t="str">
        <x:f>IF('Master'!V404="","",'Master'!V404)</x:f>
        <x:v>Testflight - Awaiting appstore approval</x:v>
      </x:c>
      <x:c r="V10" s="100" t="str">
        <x:f>IF('Master'!W404="","",'Master'!W404)</x:f>
        <x:v>App Store</x:v>
      </x:c>
      <x:c r="W10" s="100" t="str">
        <x:f>IF('Master'!X404="","",'Master'!X404)</x:f>
        <x:v>Web</x:v>
      </x:c>
      <x:c r="X10" s="100" t="str">
        <x:f>IF('Master'!Y404="","",'Master'!Y404)</x:f>
        <x:v>App Store</x:v>
      </x:c>
      <x:c r="Y10" s="100" t="str">
        <x:f>IF('Master'!Z404="","",'Master'!Z404)</x:f>
        <x:v>Client-dependent</x:v>
      </x:c>
      <x:c r="Z10" s="100" t="str">
        <x:f>IF('Master'!AA404="","",'Master'!AA404)</x:f>
      </x:c>
      <x:c r="AA10" s="104" t="str">
        <x:f>IF('Master'!AB404="","",'Master'!AB404)</x:f>
        <x:v>App Store / availability varies</x:v>
      </x:c>
      <x:c r="AB10" s="100" t="str">
        <x:f>IF('Master'!AC404="","",'Master'!AC404)</x:f>
      </x:c>
      <x:c r="AC10" s="100" t="str">
        <x:f>IF('Master'!AD404="","",'Master'!AD404)</x:f>
      </x:c>
      <x:c r="AD10" s="100" t="str">
        <x:f>IF('Master'!AE404="","",'Master'!AE404)</x:f>
        <x:v>Mobile in works</x:v>
      </x:c>
      <x:c r="AE10" s="100" t="str">
        <x:f>IF('Master'!AF404="","",'Master'!AF404)</x:f>
        <x:v>Mobile browser/app roadmap</x:v>
      </x:c>
      <x:c r="AF10" s="75" t="str">
        <x:f>IF('Master'!AG404="","",'Master'!AG404)</x:f>
        <x:v>App Store</x:v>
      </x:c>
    </x:row>
    <x:row r="11" ht="36" customHeight="1">
      <x:c r="A11" s="135" t="str">
        <x:v>Push Notification Engine (FCM / APNs / UnifiedPush / Polling)</x:v>
      </x:c>
      <x:c r="B11" s="100" t="str">
        <x:f>IF('Master'!C405="","",'Master'!C405)</x:f>
      </x:c>
      <x:c r="C11" s="100" t="str">
        <x:f>IF('Master'!D405="","",'Master'!D405)</x:f>
      </x:c>
      <x:c r="D11" s="100" t="str">
        <x:f>IF('Master'!E405="","",'Master'!E405)</x:f>
        <x:v>Web</x:v>
      </x:c>
      <x:c r="E11" s="100" t="str">
        <x:f>IF('Master'!F405="","",'Master'!F405)</x:f>
        <x:v>PWA/add-to-home-screen</x:v>
      </x:c>
      <x:c r="F11" s="100" t="str">
        <x:f>IF('Master'!G405="","",'Master'!G405)</x:f>
      </x:c>
      <x:c r="G11" s="100" t="str">
        <x:f>IF('Master'!H405="","",'Master'!H405)</x:f>
      </x:c>
      <x:c r="H11" s="100" t="str">
        <x:f>IF('Master'!I405="","",'Master'!I405)</x:f>
      </x:c>
      <x:c r="I11" s="100" t="str">
        <x:f>IF('Master'!J405="","",'Master'!J405)</x:f>
        <x:v>Yes</x:v>
      </x:c>
      <x:c r="J11" s="100" t="str">
        <x:f>IF('Master'!K405="","",'Master'!K405)</x:f>
        <x:v>No/limited web</x:v>
      </x:c>
      <x:c r="K11" s="100" t="str">
        <x:f>IF('Master'!L405="","",'Master'!L405)</x:f>
        <x:v>Optional content-free signed wake relay to FCM/APNs for official store apps; self-host/custom relay and no-push builds are supported</x:v>
      </x:c>
      <x:c r="L11" s="100" t="str">
        <x:f>IF('Master'!M405="","",'Master'!M405)</x:f>
        <x:v>Yes</x:v>
      </x:c>
      <x:c r="M11" s="100" t="str">
        <x:f>IF('Master'!N405="","",'Master'!N405)</x:f>
        <x:v>Yes</x:v>
      </x:c>
      <x:c r="N11" s="100" t="str">
        <x:f>IF('Master'!O405="","",'Master'!O405)</x:f>
        <x:v>Varies by client/server</x:v>
      </x:c>
      <x:c r="O11" s="100" t="str">
        <x:f>IF('Master'!P405="","",'Master'!P405)</x:f>
        <x:v>FCM/APNs; enterprise options vary</x:v>
      </x:c>
      <x:c r="P11" s="100" t="str">
        <x:f>IF('Master'!Q405="","",'Master'!Q405)</x:f>
        <x:v>Web</x:v>
      </x:c>
      <x:c r="Q11" s="100" t="str">
        <x:f>IF('Master'!R405="","",'Master'!R405)</x:f>
        <x:v>Client-dependent</x:v>
      </x:c>
      <x:c r="R11" s="100" t="str">
        <x:f>IF('Master'!S405="","",'Master'!S405)</x:f>
      </x:c>
      <x:c r="S11" s="100" t="str">
        <x:f>IF('Master'!T405="","",'Master'!T405)</x:f>
        <x:v>Web app</x:v>
      </x:c>
      <x:c r="T11" s="100" t="str">
        <x:f>IF('Master'!U405="","",'Master'!U405)</x:f>
        <x:v>Not publicly claimed</x:v>
      </x:c>
      <x:c r="U11" s="100" t="str">
        <x:f>IF('Master'!V405="","",'Master'!V405)</x:f>
        <x:v>Web</x:v>
      </x:c>
      <x:c r="V11" s="100" t="str">
        <x:f>IF('Master'!W405="","",'Master'!W405)</x:f>
        <x:v>FCM/APNs; deployment-specific</x:v>
      </x:c>
      <x:c r="W11" s="100" t="str">
        <x:f>IF('Master'!X405="","",'Master'!X405)</x:f>
        <x:v>Yes</x:v>
      </x:c>
      <x:c r="X11" s="100" t="str">
        <x:f>IF('Master'!Y405="","",'Master'!Y405)</x:f>
      </x:c>
      <x:c r="Y11" s="100" t="str">
        <x:f>IF('Master'!Z405="","",'Master'!Z405)</x:f>
        <x:v>Operator/client-dependent</x:v>
      </x:c>
      <x:c r="Z11" s="100" t="str">
        <x:f>IF('Master'!AA405="","",'Master'!AA405)</x:f>
      </x:c>
      <x:c r="AA11" s="104" t="str">
        <x:f>IF('Master'!AB405="","",'Master'!AB405)</x:f>
      </x:c>
      <x:c r="AB11" s="100" t="str">
        <x:f>IF('Master'!AC405="","",'Master'!AC405)</x:f>
        <x:v>Yes</x:v>
      </x:c>
      <x:c r="AC11" s="100" t="str">
        <x:f>IF('Master'!AD405="","",'Master'!AD405)</x:f>
      </x:c>
      <x:c r="AD11" s="100" t="str">
        <x:f>IF('Master'!AE405="","",'Master'!AE405)</x:f>
        <x:v>Web</x:v>
      </x:c>
      <x:c r="AE11" s="100" t="str">
        <x:f>IF('Master'!AF405="","",'Master'!AF405)</x:f>
        <x:v>Yes</x:v>
      </x:c>
      <x:c r="AF11" s="75" t="str">
        <x:f>IF('Master'!AG405="","",'Master'!AG405)</x:f>
      </x:c>
    </x:row>
    <x:row r="12" ht="22" customHeight="1">
      <x:c r="A12" s="138" t="str">
        <x:v>Client Delivery &amp; Runtime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Web Client</x:v>
      </x:c>
      <x:c r="B13" s="100" t="str">
        <x:f>IF('Master'!C377="","",'Master'!C377)</x:f>
        <x:v>Yes</x:v>
      </x:c>
      <x:c r="C13" s="100" t="str">
        <x:f>IF('Master'!D377="","",'Master'!D377)</x:f>
        <x:v>Yes</x:v>
      </x:c>
      <x:c r="D13" s="100" t="str">
        <x:f>IF('Master'!E377="","",'Master'!E377)</x:f>
        <x:v>Yes</x:v>
      </x:c>
      <x:c r="E13" s="100" t="str">
        <x:f>IF('Master'!F377="","",'Master'!F377)</x:f>
        <x:v>Yes</x:v>
      </x:c>
      <x:c r="F13" s="100" t="str">
        <x:f>IF('Master'!G377="","",'Master'!G377)</x:f>
        <x:v>Yes</x:v>
      </x:c>
      <x:c r="G13" s="100" t="str">
        <x:f>IF('Master'!H377="","",'Master'!H377)</x:f>
        <x:v>Yes</x:v>
      </x:c>
      <x:c r="H13" s="100" t="str">
        <x:f>IF('Master'!I377="","",'Master'!I377)</x:f>
        <x:v>Yes</x:v>
      </x:c>
      <x:c r="I13" s="100" t="str">
        <x:f>IF('Master'!J377="","",'Master'!J377)</x:f>
        <x:v>Yes</x:v>
      </x:c>
      <x:c r="J13" s="100" t="str">
        <x:f>IF('Master'!K377="","",'Master'!K377)</x:f>
        <x:v>No web-first; native clients</x:v>
      </x:c>
      <x:c r="K13" s="100" t="str">
        <x:f>IF('Master'!L377="","",'Master'!L377)</x:f>
        <x:v>Yes</x:v>
      </x:c>
      <x:c r="L13" s="100" t="str">
        <x:f>IF('Master'!M377="","",'Master'!M377)</x:f>
        <x:v>Yes</x:v>
      </x:c>
      <x:c r="M13" s="100" t="str">
        <x:f>IF('Master'!N377="","",'Master'!N377)</x:f>
        <x:v>Yes</x:v>
      </x:c>
      <x:c r="N13" s="100" t="str">
        <x:f>IF('Master'!O377="","",'Master'!O377)</x:f>
        <x:v>Yes — depends on chosen client</x:v>
      </x:c>
      <x:c r="O13" s="100" t="str">
        <x:f>IF('Master'!P377="","",'Master'!P377)</x:f>
        <x:v>Yes</x:v>
      </x:c>
      <x:c r="P13" s="100" t="str">
        <x:f>IF('Master'!Q377="","",'Master'!Q377)</x:f>
        <x:v>Yes</x:v>
      </x:c>
      <x:c r="Q13" s="100" t="str">
        <x:f>IF('Master'!R377="","",'Master'!R377)</x:f>
        <x:v>No official web client core</x:v>
      </x:c>
      <x:c r="R13" s="100" t="str">
        <x:f>IF('Master'!S377="","",'Master'!S377)</x:f>
        <x:v>Yes</x:v>
      </x:c>
      <x:c r="S13" s="100" t="str">
        <x:f>IF('Master'!T377="","",'Master'!T377)</x:f>
        <x:v>Yes</x:v>
      </x:c>
      <x:c r="T13" s="100" t="str">
        <x:f>IF('Master'!U377="","",'Master'!U377)</x:f>
        <x:v>Yes — React/Vite</x:v>
      </x:c>
      <x:c r="U13" s="100" t="str">
        <x:f>IF('Master'!V377="","",'Master'!V377)</x:f>
        <x:v>Yes</x:v>
      </x:c>
      <x:c r="V13" s="100" t="str">
        <x:f>IF('Master'!W377="","",'Master'!W377)</x:f>
        <x:v>Yes</x:v>
      </x:c>
      <x:c r="W13" s="100" t="str">
        <x:f>IF('Master'!X377="","",'Master'!X377)</x:f>
        <x:v>Yes</x:v>
      </x:c>
      <x:c r="X13" s="100" t="str">
        <x:f>IF('Master'!Y377="","",'Master'!Y377)</x:f>
        <x:v>Yes/desktop service surface</x:v>
      </x:c>
      <x:c r="Y13" s="100" t="str">
        <x:f>IF('Master'!Z377="","",'Master'!Z377)</x:f>
        <x:v>Spacebar client/web options</x:v>
      </x:c>
      <x:c r="Z13" s="100" t="str">
        <x:f>IF('Master'!AA377="","",'Master'!AA377)</x:f>
        <x:v>Yes — Solid.js PWA</x:v>
      </x:c>
      <x:c r="AA13" s="104" t="str">
        <x:f>IF('Master'!AB377="","",'Master'!AB377)</x:f>
        <x:v>Web support/product-generation dependent</x:v>
      </x:c>
      <x:c r="AB13" s="100" t="str">
        <x:f>IF('Master'!AC377="","",'Master'!AC377)</x:f>
        <x:v>Yes</x:v>
      </x:c>
      <x:c r="AC13" s="100" t="str">
        <x:f>IF('Master'!AD377="","",'Master'!AD377)</x:f>
      </x:c>
      <x:c r="AD13" s="100" t="str">
        <x:f>IF('Master'!AE377="","",'Master'!AE377)</x:f>
        <x:v>Yes</x:v>
      </x:c>
      <x:c r="AE13" s="100" t="str">
        <x:f>IF('Master'!AF377="","",'Master'!AF377)</x:f>
        <x:v>Yes</x:v>
      </x:c>
      <x:c r="AF13" s="75" t="str">
        <x:f>IF('Master'!AG377="","",'Master'!AG377)</x:f>
        <x:v>Yes</x:v>
      </x:c>
    </x:row>
    <x:row r="14" ht="36" customHeight="1">
      <x:c r="A14" s="135" t="str">
        <x:v>PWA</x:v>
      </x:c>
      <x:c r="B14" s="100" t="str">
        <x:f>IF('Master'!C385="","",'Master'!C385)</x:f>
        <x:v>Web app; installability varies</x:v>
      </x:c>
      <x:c r="C14" s="100" t="str">
        <x:f>IF('Master'!D385="","",'Master'!D385)</x:f>
      </x:c>
      <x:c r="D14" s="100" t="str">
        <x:f>IF('Master'!E385="","",'Master'!E385)</x:f>
        <x:v>Yes</x:v>
      </x:c>
      <x:c r="E14" s="100" t="str">
        <x:f>IF('Master'!F385="","",'Master'!F385)</x:f>
        <x:v>Yes</x:v>
      </x:c>
      <x:c r="F14" s="100" t="str">
        <x:f>IF('Master'!G385="","",'Master'!G385)</x:f>
        <x:v>Yes</x:v>
      </x:c>
      <x:c r="G14" s="100" t="str">
        <x:f>IF('Master'!H385="","",'Master'!H385)</x:f>
        <x:v>Yes</x:v>
      </x:c>
      <x:c r="H14" s="100" t="str">
        <x:f>IF('Master'!I385="","",'Master'!I385)</x:f>
        <x:v>Yes/web</x:v>
      </x:c>
      <x:c r="I14" s="100" t="str">
        <x:f>IF('Master'!J385="","",'Master'!J385)</x:f>
        <x:v>Yes</x:v>
      </x:c>
      <x:c r="J14" s="100" t="str">
        <x:f>IF('Master'!K385="","",'Master'!K385)</x:f>
        <x:v>No</x:v>
      </x:c>
      <x:c r="K14" s="100" t="str">
        <x:f>IF('Master'!L385="","",'Master'!L385)</x:f>
        <x:v>Yes</x:v>
      </x:c>
      <x:c r="L14" s="100" t="str">
        <x:f>IF('Master'!M385="","",'Master'!M385)</x:f>
        <x:v>Yes</x:v>
      </x:c>
      <x:c r="M14" s="100" t="str">
        <x:f>IF('Master'!N385="","",'Master'!N385)</x:f>
        <x:v>Yes</x:v>
      </x:c>
      <x:c r="N14" s="100" t="str">
        <x:f>IF('Master'!O385="","",'Master'!O385)</x:f>
        <x:v>Many clients have PWAs</x:v>
      </x:c>
      <x:c r="O14" s="100" t="str">
        <x:f>IF('Master'!P385="","",'Master'!P385)</x:f>
        <x:v>Yes/web</x:v>
      </x:c>
      <x:c r="P14" s="100" t="str">
        <x:f>IF('Master'!Q385="","",'Master'!Q385)</x:f>
        <x:v>Yes</x:v>
      </x:c>
      <x:c r="Q14" s="100" t="str">
        <x:f>IF('Master'!R385="","",'Master'!R385)</x:f>
        <x:v>No</x:v>
      </x:c>
      <x:c r="R14" s="100" t="str">
        <x:f>IF('Master'!S385="","",'Master'!S385)</x:f>
        <x:v>Web app</x:v>
      </x:c>
      <x:c r="S14" s="100" t="str">
        <x:f>IF('Master'!T385="","",'Master'!T385)</x:f>
        <x:v>Yes</x:v>
      </x:c>
      <x:c r="T14" s="100" t="str">
        <x:f>IF('Master'!U385="","",'Master'!U385)</x:f>
        <x:v>Yes</x:v>
      </x:c>
      <x:c r="U14" s="100" t="str">
        <x:f>IF('Master'!V385="","",'Master'!V385)</x:f>
        <x:v>Yes</x:v>
      </x:c>
      <x:c r="V14" s="100" t="str">
        <x:f>IF('Master'!W385="","",'Master'!W385)</x:f>
        <x:v>Yes</x:v>
      </x:c>
      <x:c r="W14" s="100" t="str">
        <x:f>IF('Master'!X385="","",'Master'!X385)</x:f>
        <x:v>Yes</x:v>
      </x:c>
      <x:c r="X14" s="100" t="str">
        <x:f>IF('Master'!Y385="","",'Master'!Y385)</x:f>
      </x:c>
      <x:c r="Y14" s="100" t="str">
        <x:f>IF('Master'!Z385="","",'Master'!Z385)</x:f>
      </x:c>
      <x:c r="Z14" s="100" t="str">
        <x:f>IF('Master'!AA385="","",'Master'!AA385)</x:f>
        <x:v>Yes</x:v>
      </x:c>
      <x:c r="AA14" s="104" t="str">
        <x:f>IF('Master'!AB385="","",'Master'!AB385)</x:f>
      </x:c>
      <x:c r="AB14" s="100" t="str">
        <x:f>IF('Master'!AC385="","",'Master'!AC385)</x:f>
        <x:v>Yes</x:v>
      </x:c>
      <x:c r="AC14" s="100" t="str">
        <x:f>IF('Master'!AD385="","",'Master'!AD385)</x:f>
      </x:c>
      <x:c r="AD14" s="100" t="str">
        <x:f>IF('Master'!AE385="","",'Master'!AE385)</x:f>
        <x:v>Yes</x:v>
      </x:c>
      <x:c r="AE14" s="100" t="str">
        <x:f>IF('Master'!AF385="","",'Master'!AF385)</x:f>
        <x:v>Yes</x:v>
      </x:c>
      <x:c r="AF14" s="75" t="str">
        <x:f>IF('Master'!AG385="","",'Master'!AG385)</x:f>
        <x:v>Yes</x:v>
      </x:c>
    </x:row>
    <x:row r="15" ht="36" customHeight="1">
      <x:c r="A15" s="135" t="str">
        <x:v>Third-Party Clients</x:v>
      </x:c>
      <x:c r="B15" s="100" t="str">
        <x:f>IF('Master'!C388="","",'Master'!C388)</x:f>
        <x:v>No supported third-party clients</x:v>
      </x:c>
      <x:c r="C15" s="100" t="str">
        <x:f>IF('Master'!D388="","",'Master'!D388)</x:f>
        <x:v>Other clients can use Nostr but not necessarily Armada features</x:v>
      </x:c>
      <x:c r="D15" s="100" t="str">
        <x:f>IF('Master'!E388="","",'Master'!E388)</x:f>
        <x:v>Open source/custom possible</x:v>
      </x:c>
      <x:c r="E15" s="100" t="str">
        <x:f>IF('Master'!F388="","",'Master'!F388)</x:f>
        <x:v>No</x:v>
      </x:c>
      <x:c r="F15" s="100" t="str">
        <x:f>IF('Master'!G388="","",'Master'!G388)</x:f>
        <x:v>No established ecosystem</x:v>
      </x:c>
      <x:c r="G15" s="100" t="str">
        <x:f>IF('Master'!H388="","",'Master'!H388)</x:f>
      </x:c>
      <x:c r="H15" s="100" t="str">
        <x:f>IF('Master'!I388="","",'Master'!I388)</x:f>
        <x:v>No established third-party clients</x:v>
      </x:c>
      <x:c r="I15" s="100" t="str">
        <x:f>IF('Master'!J388="","",'Master'!J388)</x:f>
        <x:v>Yes — API permits independent clients</x:v>
      </x:c>
      <x:c r="J15" s="100" t="str">
        <x:f>IF('Master'!K388="","",'Master'!K388)</x:f>
        <x:v>No mature third-party client ecosystem</x:v>
      </x:c>
      <x:c r="K15" s="100" t="str">
        <x:f>IF('Master'!L388="","",'Master'!L388)</x:f>
        <x:v>No established third-party client ecosystem yet</x:v>
      </x:c>
      <x:c r="L15" s="100" t="str">
        <x:f>IF('Master'!M388="","",'Master'!M388)</x:f>
        <x:v>No</x:v>
      </x:c>
      <x:c r="M15" s="100" t="str">
        <x:f>IF('Master'!N388="","",'Master'!N388)</x:f>
      </x:c>
      <x:c r="N15" s="100" t="str">
        <x:f>IF('Master'!O388="","",'Master'!O388)</x:f>
        <x:v>Yes — many interchangeable clients</x:v>
      </x:c>
      <x:c r="O15" s="100" t="str">
        <x:f>IF('Master'!P388="","",'Master'!P388)</x:f>
        <x:v>Custom clients possible</x:v>
      </x:c>
      <x:c r="P15" s="100" t="str">
        <x:f>IF('Master'!Q388="","",'Master'!Q388)</x:f>
        <x:v>Forks/custom possible</x:v>
      </x:c>
      <x:c r="Q15" s="100" t="str">
        <x:f>IF('Master'!R388="","",'Master'!R388)</x:f>
        <x:v>Yes — third-party Mumble clients</x:v>
      </x:c>
      <x:c r="R15" s="100" t="str">
        <x:f>IF('Master'!S388="","",'Master'!S388)</x:f>
        <x:v>Community/forks possible</x:v>
      </x:c>
      <x:c r="S15" s="100" t="str">
        <x:f>IF('Master'!T388="","",'Master'!T388)</x:f>
        <x:v>No established third-party clients</x:v>
      </x:c>
      <x:c r="T15" s="100" t="str">
        <x:f>IF('Master'!U388="","",'Master'!U388)</x:f>
        <x:v>No third-party client ecosystem claimed; official clients are open source</x:v>
      </x:c>
      <x:c r="U15" s="100" t="str">
        <x:f>IF('Master'!V388="","",'Master'!V388)</x:f>
        <x:v>No</x:v>
      </x:c>
      <x:c r="V15" s="100" t="str">
        <x:f>IF('Master'!W388="","",'Master'!W388)</x:f>
        <x:v>Custom clients possible</x:v>
      </x:c>
      <x:c r="W15" s="100" t="str">
        <x:f>IF('Master'!X388="","",'Master'!X388)</x:f>
      </x:c>
      <x:c r="X15" s="100" t="str">
        <x:f>IF('Master'!Y388="","",'Master'!Y388)</x:f>
        <x:v>No</x:v>
      </x:c>
      <x:c r="Y15" s="100" t="str">
        <x:f>IF('Master'!Z388="","",'Master'!Z388)</x:f>
        <x:v>Potential Discord-compatible clients/community clients</x:v>
      </x:c>
      <x:c r="Z15" s="100" t="str">
        <x:f>IF('Master'!AA388="","",'Master'!AA388)</x:f>
        <x:v>Community clients exist</x:v>
      </x:c>
      <x:c r="AA15" s="104" t="str">
        <x:f>IF('Master'!AB388="","",'Master'!AB388)</x:f>
        <x:v>Limited</x:v>
      </x:c>
      <x:c r="AB15" s="100" t="str">
        <x:f>IF('Master'!AC388="","",'Master'!AC388)</x:f>
        <x:v>Open API/custom possible</x:v>
      </x:c>
      <x:c r="AC15" s="100" t="str">
        <x:f>IF('Master'!AD388="","",'Master'!AD388)</x:f>
      </x:c>
      <x:c r="AD15" s="100" t="str">
        <x:f>IF('Master'!AE388="","",'Master'!AE388)</x:f>
        <x:v>No</x:v>
      </x:c>
      <x:c r="AE15" s="100" t="str">
        <x:f>IF('Master'!AF388="","",'Master'!AF388)</x:f>
        <x:v>No</x:v>
      </x:c>
      <x:c r="AF15" s="75" t="str">
        <x:f>IF('Master'!AG388="","",'Master'!AG388)</x:f>
        <x:v>Third-party/API clients possible</x:v>
      </x:c>
    </x:row>
    <x:row r="16" ht="36" customHeight="1">
      <x:c r="A16" s="135" t="str">
        <x:v>Multi-Account UX</x:v>
      </x:c>
      <x:c r="B16" s="100" t="str">
        <x:f>IF('Master'!C389="","",'Master'!C389)</x:f>
        <x:v>Desktop Account Switcher up to 5 accounts</x:v>
      </x:c>
      <x:c r="C16" s="100" t="str">
        <x:f>IF('Master'!D389="","",'Master'!D389)</x:f>
        <x:v>Key-based identity</x:v>
      </x:c>
      <x:c r="D16" s="100" t="str">
        <x:f>IF('Master'!E389="","",'Master'!E389)</x:f>
      </x:c>
      <x:c r="E16" s="100" t="str">
        <x:f>IF('Master'!F389="","",'Master'!F389)</x:f>
      </x:c>
      <x:c r="F16" s="100" t="str">
        <x:f>IF('Master'!G389="","",'Master'!G389)</x:f>
      </x:c>
      <x:c r="G16" s="100" t="str">
        <x:f>IF('Master'!H389="","",'Master'!H389)</x:f>
      </x:c>
      <x:c r="H16" s="100" t="str">
        <x:f>IF('Master'!I389="","",'Master'!I389)</x:f>
      </x:c>
      <x:c r="I16" s="100" t="str">
        <x:f>IF('Master'!J389="","",'Master'!J389)</x:f>
      </x:c>
      <x:c r="J16" s="100" t="str">
        <x:f>IF('Master'!K389="","",'Master'!K389)</x:f>
        <x:v>Multi-device identity sync</x:v>
      </x:c>
      <x:c r="K16" s="100" t="str">
        <x:f>IF('Master'!L389="","",'Master'!L389)</x:f>
        <x:v>Not documented</x:v>
      </x:c>
      <x:c r="L16" s="100" t="str">
        <x:f>IF('Master'!M389="","",'Master'!M389)</x:f>
      </x:c>
      <x:c r="M16" s="100" t="str">
        <x:f>IF('Master'!N389="","",'Master'!N389)</x:f>
      </x:c>
      <x:c r="N16" s="100" t="str">
        <x:f>IF('Master'!O389="","",'Master'!O389)</x:f>
        <x:v>Client-dependent; some support multiple accounts</x:v>
      </x:c>
      <x:c r="O16" s="100" t="str">
        <x:f>IF('Master'!P389="","",'Master'!P389)</x:f>
        <x:v>Multiple servers</x:v>
      </x:c>
      <x:c r="P16" s="100" t="str">
        <x:f>IF('Master'!Q389="","",'Master'!Q389)</x:f>
      </x:c>
      <x:c r="Q16" s="100" t="str">
        <x:f>IF('Master'!R389="","",'Master'!R389)</x:f>
        <x:v>Server identity/bookmarks rather than cloud account switching</x:v>
      </x:c>
      <x:c r="R16" s="100" t="str">
        <x:f>IF('Master'!S389="","",'Master'!S389)</x:f>
      </x:c>
      <x:c r="S16" s="100" t="str">
        <x:f>IF('Master'!T389="","",'Master'!T389)</x:f>
      </x:c>
      <x:c r="T16" s="100" t="str">
        <x:f>IF('Master'!U389="","",'Master'!U389)</x:f>
      </x:c>
      <x:c r="U16" s="100" t="str">
        <x:f>IF('Master'!V389="","",'Master'!V389)</x:f>
        <x:v>No</x:v>
      </x:c>
      <x:c r="V16" s="100" t="str">
        <x:f>IF('Master'!W389="","",'Master'!W389)</x:f>
        <x:v>Multiple workspaces</x:v>
      </x:c>
      <x:c r="W16" s="100" t="str">
        <x:f>IF('Master'!X389="","",'Master'!X389)</x:f>
        <x:v>ATProto identity</x:v>
      </x:c>
      <x:c r="X16" s="100" t="str">
        <x:f>IF('Master'!Y389="","",'Master'!Y389)</x:f>
      </x:c>
      <x:c r="Y16" s="100" t="str">
        <x:f>IF('Master'!Z389="","",'Master'!Z389)</x:f>
      </x:c>
      <x:c r="Z16" s="100" t="str">
        <x:f>IF('Master'!AA389="","",'Master'!AA389)</x:f>
      </x:c>
      <x:c r="AA16" s="104" t="str">
        <x:f>IF('Master'!AB389="","",'Master'!AB389)</x:f>
      </x:c>
      <x:c r="AB16" s="100" t="str">
        <x:f>IF('Master'!AC389="","",'Master'!AC389)</x:f>
      </x:c>
      <x:c r="AC16" s="100" t="str">
        <x:f>IF('Master'!AD389="","",'Master'!AD389)</x:f>
      </x:c>
      <x:c r="AD16" s="100" t="str">
        <x:f>IF('Master'!AE389="","",'Master'!AE389)</x:f>
      </x:c>
      <x:c r="AE16" s="100" t="str">
        <x:f>IF('Master'!AF389="","",'Master'!AF389)</x:f>
      </x:c>
      <x:c r="AF16" s="75" t="str">
        <x:f>IF('Master'!AG389="","",'Master'!AG389)</x:f>
        <x:v>Multiple accounts/orgs</x:v>
      </x:c>
    </x:row>
    <x:row r="17" ht="36" customHeight="1">
      <x:c r="A17" s="135" t="str">
        <x:v>Auto-Update Delivery</x:v>
      </x:c>
      <x:c r="B17" s="100" t="str">
        <x:f>IF('Master'!C406="","",'Master'!C406)</x:f>
        <x:v>Yes</x:v>
      </x:c>
      <x:c r="C17" s="100" t="str">
        <x:f>IF('Master'!D406="","",'Master'!D406)</x:f>
      </x:c>
      <x:c r="D17" s="100" t="str">
        <x:f>IF('Master'!E406="","",'Master'!E406)</x:f>
      </x:c>
      <x:c r="E17" s="100" t="str">
        <x:f>IF('Master'!F406="","",'Master'!F406)</x:f>
      </x:c>
      <x:c r="F17" s="100" t="str">
        <x:f>IF('Master'!G406="","",'Master'!G406)</x:f>
      </x:c>
      <x:c r="G17" s="100" t="str">
        <x:f>IF('Master'!H406="","",'Master'!H406)</x:f>
      </x:c>
      <x:c r="H17" s="100" t="str">
        <x:f>IF('Master'!I406="","",'Master'!I406)</x:f>
      </x:c>
      <x:c r="I17" s="100" t="str">
        <x:f>IF('Master'!J406="","",'Master'!J406)</x:f>
      </x:c>
      <x:c r="J17" s="100" t="str">
        <x:f>IF('Master'!K406="","",'Master'!K406)</x:f>
      </x:c>
      <x:c r="K17" s="100" t="str">
        <x:f>IF('Master'!L406="","",'Master'!L406)</x:f>
        <x:v>Server auto-updater is documented; native release tooling also exists</x:v>
      </x:c>
      <x:c r="L17" s="100" t="str">
        <x:f>IF('Master'!M406="","",'Master'!M406)</x:f>
      </x:c>
      <x:c r="M17" s="100" t="str">
        <x:f>IF('Master'!N406="","",'Master'!N406)</x:f>
      </x:c>
      <x:c r="N17" s="100" t="str">
        <x:f>IF('Master'!O406="","",'Master'!O406)</x:f>
      </x:c>
      <x:c r="O17" s="100" t="str">
        <x:f>IF('Master'!P406="","",'Master'!P406)</x:f>
      </x:c>
      <x:c r="P17" s="100" t="str">
        <x:f>IF('Master'!Q406="","",'Master'!Q406)</x:f>
      </x:c>
      <x:c r="Q17" s="100" t="str">
        <x:f>IF('Master'!R406="","",'Master'!R406)</x:f>
      </x:c>
      <x:c r="R17" s="100" t="str">
        <x:f>IF('Master'!S406="","",'Master'!S406)</x:f>
      </x:c>
      <x:c r="S17" s="100" t="str">
        <x:f>IF('Master'!T406="","",'Master'!T406)</x:f>
      </x:c>
      <x:c r="T17" s="100" t="str">
        <x:f>IF('Master'!U406="","",'Master'!U406)</x:f>
      </x:c>
      <x:c r="U17" s="100" t="str">
        <x:f>IF('Master'!V406="","",'Master'!V406)</x:f>
        <x:v>optional</x:v>
      </x:c>
      <x:c r="V17" s="100" t="str">
        <x:f>IF('Master'!W406="","",'Master'!W406)</x:f>
      </x:c>
      <x:c r="W17" s="100" t="str">
        <x:f>IF('Master'!X406="","",'Master'!X406)</x:f>
      </x:c>
      <x:c r="X17" s="100" t="str">
        <x:f>IF('Master'!Y406="","",'Master'!Y406)</x:f>
      </x:c>
      <x:c r="Y17" s="100" t="str">
        <x:f>IF('Master'!Z406="","",'Master'!Z406)</x:f>
      </x:c>
      <x:c r="Z17" s="100" t="str">
        <x:f>IF('Master'!AA406="","",'Master'!AA406)</x:f>
        <x:v>Desktop/mobile dependent</x:v>
      </x:c>
      <x:c r="AA17" s="104" t="str">
        <x:f>IF('Master'!AB406="","",'Master'!AB406)</x:f>
      </x:c>
      <x:c r="AB17" s="100" t="str">
        <x:f>IF('Master'!AC406="","",'Master'!AC406)</x:f>
      </x:c>
      <x:c r="AC17" s="100" t="str">
        <x:f>IF('Master'!AD406="","",'Master'!AD406)</x:f>
      </x:c>
      <x:c r="AD17" s="100" t="str">
        <x:f>IF('Master'!AE406="","",'Master'!AE406)</x:f>
      </x:c>
      <x:c r="AE17" s="100" t="str">
        <x:f>IF('Master'!AF406="","",'Master'!AF406)</x:f>
      </x:c>
      <x:c r="AF17" s="75" t="str">
        <x:f>IF('Master'!AG406="","",'Master'!AG406)</x:f>
      </x:c>
    </x:row>
    <x:row r="18" ht="36" customHeight="1">
      <x:c r="A18" s="135" t="str">
        <x:v>Hardware Acceleration Controls</x:v>
      </x:c>
      <x:c r="B18" s="100" t="str">
        <x:f>IF('Master'!C407="","",'Master'!C407)</x:f>
        <x:v>Yes</x:v>
      </x:c>
      <x:c r="C18" s="100" t="str">
        <x:f>IF('Master'!D407="","",'Master'!D407)</x:f>
      </x:c>
      <x:c r="D18" s="100" t="str">
        <x:f>IF('Master'!E407="","",'Master'!E407)</x:f>
      </x:c>
      <x:c r="E18" s="100" t="str">
        <x:f>IF('Master'!F407="","",'Master'!F407)</x:f>
      </x:c>
      <x:c r="F18" s="100" t="str">
        <x:f>IF('Master'!G407="","",'Master'!G407)</x:f>
      </x:c>
      <x:c r="G18" s="100" t="str">
        <x:f>IF('Master'!H407="","",'Master'!H407)</x:f>
      </x:c>
      <x:c r="H18" s="100" t="str">
        <x:f>IF('Master'!I407="","",'Master'!I407)</x:f>
      </x:c>
      <x:c r="I18" s="100" t="str">
        <x:f>IF('Master'!J407="","",'Master'!J407)</x:f>
      </x:c>
      <x:c r="J18" s="100" t="str">
        <x:f>IF('Master'!K407="","",'Master'!K407)</x:f>
      </x:c>
      <x:c r="K18" s="100" t="str">
        <x:f>IF('Master'!L407="","",'Master'!L407)</x:f>
        <x:v>Not documented</x:v>
      </x:c>
      <x:c r="L18" s="100" t="str">
        <x:f>IF('Master'!M407="","",'Master'!M407)</x:f>
      </x:c>
      <x:c r="M18" s="100" t="str">
        <x:f>IF('Master'!N407="","",'Master'!N407)</x:f>
      </x:c>
      <x:c r="N18" s="100" t="str">
        <x:f>IF('Master'!O407="","",'Master'!O407)</x:f>
      </x:c>
      <x:c r="O18" s="100" t="str">
        <x:f>IF('Master'!P407="","",'Master'!P407)</x:f>
        <x:v>Client-dependent</x:v>
      </x:c>
      <x:c r="P18" s="100" t="str">
        <x:f>IF('Master'!Q407="","",'Master'!Q407)</x:f>
      </x:c>
      <x:c r="Q18" s="100" t="str">
        <x:f>IF('Master'!R407="","",'Master'!R407)</x:f>
      </x:c>
      <x:c r="R18" s="100" t="str">
        <x:f>IF('Master'!S407="","",'Master'!S407)</x:f>
      </x:c>
      <x:c r="S18" s="100" t="str">
        <x:f>IF('Master'!T407="","",'Master'!T407)</x:f>
      </x:c>
      <x:c r="T18" s="100" t="str">
        <x:f>IF('Master'!U407="","",'Master'!U407)</x:f>
      </x:c>
      <x:c r="U18" s="100" t="str">
        <x:f>IF('Master'!V407="","",'Master'!V407)</x:f>
      </x:c>
      <x:c r="V18" s="100" t="str">
        <x:f>IF('Master'!W407="","",'Master'!W407)</x:f>
      </x:c>
      <x:c r="W18" s="100" t="str">
        <x:f>IF('Master'!X407="","",'Master'!X407)</x:f>
      </x:c>
      <x:c r="X18" s="100" t="str">
        <x:f>IF('Master'!Y407="","",'Master'!Y407)</x:f>
      </x:c>
      <x:c r="Y18" s="100" t="str">
        <x:f>IF('Master'!Z407="","",'Master'!Z407)</x:f>
      </x:c>
      <x:c r="Z18" s="100" t="str">
        <x:f>IF('Master'!AA407="","",'Master'!AA407)</x:f>
      </x:c>
      <x:c r="AA18" s="104" t="str">
        <x:f>IF('Master'!AB407="","",'Master'!AB407)</x:f>
      </x:c>
      <x:c r="AB18" s="100" t="str">
        <x:f>IF('Master'!AC407="","",'Master'!AC407)</x:f>
      </x:c>
      <x:c r="AC18" s="100" t="str">
        <x:f>IF('Master'!AD407="","",'Master'!AD407)</x:f>
      </x:c>
      <x:c r="AD18" s="100" t="str">
        <x:f>IF('Master'!AE407="","",'Master'!AE407)</x:f>
      </x:c>
      <x:c r="AE18" s="100" t="str">
        <x:f>IF('Master'!AF407="","",'Master'!AF407)</x:f>
      </x:c>
      <x:c r="AF18" s="75" t="str">
        <x:f>IF('Master'!AG407="","",'Master'!AG407)</x:f>
      </x:c>
    </x:row>
  </x:sheetData>
  <x:mergeCells>
    <x:mergeCell ref="A1:AF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Directory'!A1","Accounts, Signup &amp; Identity — Granular"),"Accounts, Signup &amp; Identity — Granular")</x:f>
        <x:v>Accounts, Signup &amp; Identity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3.100000381469727" customHeight="1">
      <x:c r="A3" s="135" t="str">
        <x:v>Signup Requirements</x:v>
      </x:c>
      <x:c r="B3" s="102" t="str">
        <x:f>IF('Master'!C408="","",'Master'!C408)</x:f>
      </x:c>
      <x:c r="C3" s="102" t="str">
        <x:f>IF('Master'!D408="","",'Master'!D408)</x:f>
      </x:c>
      <x:c r="D3" s="102" t="str">
        <x:f>IF('Master'!E408="","",'Master'!E408)</x:f>
      </x:c>
      <x:c r="E3" s="102" t="str">
        <x:f>IF('Master'!F408="","",'Master'!F408)</x:f>
      </x:c>
      <x:c r="F3" s="102" t="str">
        <x:f>IF('Master'!G408="","",'Master'!G408)</x:f>
      </x:c>
      <x:c r="G3" s="102" t="str">
        <x:f>IF('Master'!H408="","",'Master'!H408)</x:f>
      </x:c>
      <x:c r="H3" s="102" t="str">
        <x:f>IF('Master'!I408="","",'Master'!I408)</x:f>
      </x:c>
      <x:c r="I3" s="102" t="str">
        <x:f>IF('Master'!J408="","",'Master'!J408)</x:f>
      </x:c>
      <x:c r="J3" s="102" t="str">
        <x:f>IF('Master'!K408="","",'Master'!K408)</x:f>
      </x:c>
      <x:c r="K3" s="102" t="str">
        <x:f>IF('Master'!L408="","",'Master'!L408)</x:f>
        <x:v>Official instance: username + password + email. Self-host can disable email, leaving username/password.</x:v>
      </x:c>
      <x:c r="L3" s="102" t="str">
        <x:f>IF('Master'!M408="","",'Master'!M408)</x:f>
      </x:c>
      <x:c r="M3" s="102" t="str">
        <x:f>IF('Master'!N408="","",'Master'!N408)</x:f>
      </x:c>
      <x:c r="N3" s="102" t="str">
        <x:f>IF('Master'!O408="","",'Master'!O408)</x:f>
      </x:c>
      <x:c r="O3" s="102" t="str">
        <x:f>IF('Master'!P408="","",'Master'!P408)</x:f>
      </x:c>
      <x:c r="P3" s="102" t="str">
        <x:f>IF('Master'!Q408="","",'Master'!Q408)</x:f>
      </x:c>
      <x:c r="Q3" s="102" t="str">
        <x:f>IF('Master'!R408="","",'Master'!R408)</x:f>
      </x:c>
      <x:c r="R3" s="102" t="str">
        <x:f>IF('Master'!S408="","",'Master'!S408)</x:f>
      </x:c>
      <x:c r="S3" s="102" t="str">
        <x:f>IF('Master'!T408="","",'Master'!T408)</x:f>
      </x:c>
      <x:c r="T3" s="102" t="str">
        <x:f>IF('Master'!U408="","",'Master'!U408)</x:f>
        <x:v>Accounts are handled through Clerk; exact mandatory signup fields not stated</x:v>
      </x:c>
      <x:c r="U3" s="102" t="str">
        <x:f>IF('Master'!V408="","",'Master'!V408)</x:f>
      </x:c>
      <x:c r="V3" s="102" t="str">
        <x:f>IF('Master'!W408="","",'Master'!W408)</x:f>
      </x:c>
      <x:c r="W3" s="102" t="str">
        <x:f>IF('Master'!X408="","",'Master'!X408)</x:f>
      </x:c>
      <x:c r="X3" s="102" t="str">
        <x:f>IF('Master'!Y408="","",'Master'!Y408)</x:f>
      </x:c>
      <x:c r="Y3" s="102" t="str">
        <x:f>IF('Master'!Z408="","",'Master'!Z408)</x:f>
      </x:c>
      <x:c r="Z3" s="102" t="str">
        <x:f>IF('Master'!AA408="","",'Master'!AA408)</x:f>
      </x:c>
      <x:c r="AA3" s="103" t="str">
        <x:f>IF('Master'!AB408="","",'Master'!AB408)</x:f>
      </x:c>
      <x:c r="AB3" s="102" t="str">
        <x:f>IF('Master'!AC408="","",'Master'!AC408)</x:f>
      </x:c>
      <x:c r="AC3" s="102" t="str">
        <x:f>IF('Master'!AD408="","",'Master'!AD408)</x:f>
      </x:c>
      <x:c r="AD3" s="102" t="str">
        <x:f>IF('Master'!AE408="","",'Master'!AE408)</x:f>
      </x:c>
      <x:c r="AE3" s="102" t="str">
        <x:f>IF('Master'!AF408="","",'Master'!AF408)</x:f>
      </x:c>
      <x:c r="AF3" s="75" t="str">
        <x:f>IF('Master'!AG408="","",'Master'!AG408)</x:f>
      </x:c>
    </x:row>
    <x:row r="4" ht="36" customHeight="1">
      <x:c r="A4" s="135" t="str">
        <x:v>Username Required?</x:v>
      </x:c>
      <x:c r="B4" s="100" t="str">
        <x:f>IF('Master'!C409="","",'Master'!C409)</x:f>
        <x:v>Yes</x:v>
      </x:c>
      <x:c r="C4" s="100" t="str">
        <x:f>IF('Master'!D409="","",'Master'!D409)</x:f>
      </x:c>
      <x:c r="D4" s="100" t="str">
        <x:f>IF('Master'!E409="","",'Master'!E409)</x:f>
      </x:c>
      <x:c r="E4" s="100" t="str">
        <x:f>IF('Master'!F409="","",'Master'!F409)</x:f>
      </x:c>
      <x:c r="F4" s="100" t="str">
        <x:f>IF('Master'!G409="","",'Master'!G409)</x:f>
      </x:c>
      <x:c r="G4" s="100" t="str">
        <x:f>IF('Master'!H409="","",'Master'!H409)</x:f>
        <x:v>Yes</x:v>
      </x:c>
      <x:c r="H4" s="100" t="str">
        <x:f>IF('Master'!I409="","",'Master'!I409)</x:f>
        <x:v>Yes</x:v>
      </x:c>
      <x:c r="I4" s="100" t="str">
        <x:f>IF('Master'!J409="","",'Master'!J409)</x:f>
      </x:c>
      <x:c r="J4" s="100" t="str">
        <x:f>IF('Master'!K409="","",'Master'!K409)</x:f>
      </x:c>
      <x:c r="K4" s="100" t="str">
        <x:f>IF('Master'!L409="","",'Master'!L409)</x:f>
        <x:v>Yes</x:v>
      </x:c>
      <x:c r="L4" s="100" t="str">
        <x:f>IF('Master'!M409="","",'Master'!M409)</x:f>
      </x:c>
      <x:c r="M4" s="100" t="str">
        <x:f>IF('Master'!N409="","",'Master'!N409)</x:f>
      </x:c>
      <x:c r="N4" s="100" t="str">
        <x:f>IF('Master'!O409="","",'Master'!O409)</x:f>
      </x:c>
      <x:c r="O4" s="100" t="str">
        <x:f>IF('Master'!P409="","",'Master'!P409)</x:f>
      </x:c>
      <x:c r="P4" s="100" t="str">
        <x:f>IF('Master'!Q409="","",'Master'!Q409)</x:f>
      </x:c>
      <x:c r="Q4" s="100" t="str">
        <x:f>IF('Master'!R409="","",'Master'!R409)</x:f>
        <x:v>Yes</x:v>
      </x:c>
      <x:c r="R4" s="100" t="str">
        <x:f>IF('Master'!S409="","",'Master'!S409)</x:f>
      </x:c>
      <x:c r="S4" s="100" t="str">
        <x:f>IF('Master'!T409="","",'Master'!T409)</x:f>
        <x:v>Yes</x:v>
      </x:c>
      <x:c r="T4" s="100" t="str">
        <x:f>IF('Master'!U409="","",'Master'!U409)</x:f>
      </x:c>
      <x:c r="U4" s="100" t="str">
        <x:f>IF('Master'!V409="","",'Master'!V409)</x:f>
        <x:v>Yes</x:v>
      </x:c>
      <x:c r="V4" s="100" t="str">
        <x:f>IF('Master'!W409="","",'Master'!W409)</x:f>
      </x:c>
      <x:c r="W4" s="100" t="str">
        <x:f>IF('Master'!X409="","",'Master'!X409)</x:f>
      </x:c>
      <x:c r="X4" s="100" t="str">
        <x:f>IF('Master'!Y409="","",'Master'!Y409)</x:f>
        <x:v>Yes</x:v>
      </x:c>
      <x:c r="Y4" s="100" t="str">
        <x:f>IF('Master'!Z409="","",'Master'!Z409)</x:f>
      </x:c>
      <x:c r="Z4" s="100" t="str">
        <x:f>IF('Master'!AA409="","",'Master'!AA409)</x:f>
      </x:c>
      <x:c r="AA4" s="104" t="str">
        <x:f>IF('Master'!AB409="","",'Master'!AB409)</x:f>
      </x:c>
      <x:c r="AB4" s="100" t="str">
        <x:f>IF('Master'!AC409="","",'Master'!AC409)</x:f>
      </x:c>
      <x:c r="AC4" s="100" t="str">
        <x:f>IF('Master'!AD409="","",'Master'!AD409)</x:f>
      </x:c>
      <x:c r="AD4" s="100" t="str">
        <x:f>IF('Master'!AE409="","",'Master'!AE409)</x:f>
      </x:c>
      <x:c r="AE4" s="100" t="str">
        <x:f>IF('Master'!AF409="","",'Master'!AF409)</x:f>
      </x:c>
      <x:c r="AF4" s="75" t="str">
        <x:f>IF('Master'!AG409="","",'Master'!AG409)</x:f>
      </x:c>
    </x:row>
    <x:row r="5" ht="36" customHeight="1">
      <x:c r="A5" s="135" t="str">
        <x:v>Password Required?</x:v>
      </x:c>
      <x:c r="B5" s="100" t="str">
        <x:f>IF('Master'!C410="","",'Master'!C410)</x:f>
        <x:v>Yes</x:v>
      </x:c>
      <x:c r="C5" s="100" t="str">
        <x:f>IF('Master'!D410="","",'Master'!D410)</x:f>
        <x:v>No / key-based</x:v>
      </x:c>
      <x:c r="D5" s="100" t="str">
        <x:f>IF('Master'!E410="","",'Master'!E410)</x:f>
      </x:c>
      <x:c r="E5" s="100" t="str">
        <x:f>IF('Master'!F410="","",'Master'!F410)</x:f>
      </x:c>
      <x:c r="F5" s="100" t="str">
        <x:f>IF('Master'!G410="","",'Master'!G410)</x:f>
      </x:c>
      <x:c r="G5" s="100" t="str">
        <x:f>IF('Master'!H410="","",'Master'!H410)</x:f>
        <x:v>Yes</x:v>
      </x:c>
      <x:c r="H5" s="100" t="str">
        <x:f>IF('Master'!I410="","",'Master'!I410)</x:f>
        <x:v>Yes</x:v>
      </x:c>
      <x:c r="I5" s="100" t="str">
        <x:f>IF('Master'!J410="","",'Master'!J410)</x:f>
        <x:v>Yes</x:v>
      </x:c>
      <x:c r="J5" s="100" t="str">
        <x:f>IF('Master'!K410="","",'Master'!K410)</x:f>
        <x:v>No / key-based</x:v>
      </x:c>
      <x:c r="K5" s="100" t="str">
        <x:f>IF('Master'!L410="","",'Master'!L410)</x:f>
        <x:v>Yes</x:v>
      </x:c>
      <x:c r="L5" s="100" t="str">
        <x:f>IF('Master'!M410="","",'Master'!M410)</x:f>
      </x:c>
      <x:c r="M5" s="100" t="str">
        <x:f>IF('Master'!N410="","",'Master'!N410)</x:f>
      </x:c>
      <x:c r="N5" s="100" t="str">
        <x:f>IF('Master'!O410="","",'Master'!O410)</x:f>
      </x:c>
      <x:c r="O5" s="100" t="str">
        <x:f>IF('Master'!P410="","",'Master'!P410)</x:f>
      </x:c>
      <x:c r="P5" s="100" t="str">
        <x:f>IF('Master'!Q410="","",'Master'!Q410)</x:f>
      </x:c>
      <x:c r="Q5" s="100" t="str">
        <x:f>IF('Master'!R410="","",'Master'!R410)</x:f>
        <x:v>Yes</x:v>
      </x:c>
      <x:c r="R5" s="100" t="str">
        <x:f>IF('Master'!S410="","",'Master'!S410)</x:f>
      </x:c>
      <x:c r="S5" s="100" t="str">
        <x:f>IF('Master'!T410="","",'Master'!T410)</x:f>
        <x:v>Yes</x:v>
      </x:c>
      <x:c r="T5" s="100" t="str">
        <x:f>IF('Master'!U410="","",'Master'!U410)</x:f>
      </x:c>
      <x:c r="U5" s="100" t="str">
        <x:f>IF('Master'!V410="","",'Master'!V410)</x:f>
        <x:v>Yes</x:v>
      </x:c>
      <x:c r="V5" s="100" t="str">
        <x:f>IF('Master'!W410="","",'Master'!W410)</x:f>
      </x:c>
      <x:c r="W5" s="100" t="str">
        <x:f>IF('Master'!X410="","",'Master'!X410)</x:f>
      </x:c>
      <x:c r="X5" s="100" t="str">
        <x:f>IF('Master'!Y410="","",'Master'!Y410)</x:f>
        <x:v>Yes</x:v>
      </x:c>
      <x:c r="Y5" s="100" t="str">
        <x:f>IF('Master'!Z410="","",'Master'!Z410)</x:f>
      </x:c>
      <x:c r="Z5" s="100" t="str">
        <x:f>IF('Master'!AA410="","",'Master'!AA410)</x:f>
      </x:c>
      <x:c r="AA5" s="104" t="str">
        <x:f>IF('Master'!AB410="","",'Master'!AB410)</x:f>
      </x:c>
      <x:c r="AB5" s="100" t="str">
        <x:f>IF('Master'!AC410="","",'Master'!AC410)</x:f>
      </x:c>
      <x:c r="AC5" s="100" t="str">
        <x:f>IF('Master'!AD410="","",'Master'!AD410)</x:f>
      </x:c>
      <x:c r="AD5" s="100" t="str">
        <x:f>IF('Master'!AE410="","",'Master'!AE410)</x:f>
      </x:c>
      <x:c r="AE5" s="100" t="str">
        <x:f>IF('Master'!AF410="","",'Master'!AF410)</x:f>
        <x:v>Yes</x:v>
      </x:c>
      <x:c r="AF5" s="75" t="str">
        <x:f>IF('Master'!AG410="","",'Master'!AG410)</x:f>
      </x:c>
    </x:row>
    <x:row r="6" ht="36" customHeight="1">
      <x:c r="A6" s="135" t="str">
        <x:v>Email Required?</x:v>
      </x:c>
      <x:c r="B6" s="100" t="str">
        <x:f>IF('Master'!C411="","",'Master'!C411)</x:f>
      </x:c>
      <x:c r="C6" s="100" t="str">
        <x:f>IF('Master'!D411="","",'Master'!D411)</x:f>
      </x:c>
      <x:c r="D6" s="100" t="str">
        <x:f>IF('Master'!E411="","",'Master'!E411)</x:f>
      </x:c>
      <x:c r="E6" s="100" t="str">
        <x:f>IF('Master'!F411="","",'Master'!F411)</x:f>
      </x:c>
      <x:c r="F6" s="100" t="str">
        <x:f>IF('Master'!G411="","",'Master'!G411)</x:f>
        <x:v>Yes</x:v>
      </x:c>
      <x:c r="G6" s="100" t="str">
        <x:f>IF('Master'!H411="","",'Master'!H411)</x:f>
      </x:c>
      <x:c r="H6" s="100" t="str">
        <x:f>IF('Master'!I411="","",'Master'!I411)</x:f>
        <x:v>No</x:v>
      </x:c>
      <x:c r="I6" s="100" t="str">
        <x:f>IF('Master'!J411="","",'Master'!J411)</x:f>
      </x:c>
      <x:c r="J6" s="100" t="str">
        <x:f>IF('Master'!K411="","",'Master'!K411)</x:f>
      </x:c>
      <x:c r="K6" s="100" t="str">
        <x:f>IF('Master'!L411="","",'Master'!L411)</x:f>
        <x:v>Yes on official instance; optional on self-host</x:v>
      </x:c>
      <x:c r="L6" s="100" t="str">
        <x:f>IF('Master'!M411="","",'Master'!M411)</x:f>
        <x:v>No</x:v>
      </x:c>
      <x:c r="M6" s="100" t="str">
        <x:f>IF('Master'!N411="","",'Master'!N411)</x:f>
      </x:c>
      <x:c r="N6" s="100" t="str">
        <x:f>IF('Master'!O411="","",'Master'!O411)</x:f>
        <x:v>Optional / provider-dependent</x:v>
      </x:c>
      <x:c r="O6" s="100" t="str">
        <x:f>IF('Master'!P411="","",'Master'!P411)</x:f>
        <x:v>Yes</x:v>
      </x:c>
      <x:c r="P6" s="100" t="str">
        <x:f>IF('Master'!Q411="","",'Master'!Q411)</x:f>
      </x:c>
      <x:c r="Q6" s="100" t="str">
        <x:f>IF('Master'!R411="","",'Master'!R411)</x:f>
      </x:c>
      <x:c r="R6" s="100" t="str">
        <x:f>IF('Master'!S411="","",'Master'!S411)</x:f>
      </x:c>
      <x:c r="S6" s="100" t="str">
        <x:f>IF('Master'!T411="","",'Master'!T411)</x:f>
      </x:c>
      <x:c r="T6" s="100" t="str">
        <x:f>IF('Master'!U411="","",'Master'!U411)</x:f>
      </x:c>
      <x:c r="U6" s="100" t="str">
        <x:f>IF('Master'!V411="","",'Master'!V411)</x:f>
        <x:v>No</x:v>
      </x:c>
      <x:c r="V6" s="100" t="str">
        <x:f>IF('Master'!W411="","",'Master'!W411)</x:f>
        <x:v>Yes</x:v>
      </x:c>
      <x:c r="W6" s="100" t="str">
        <x:f>IF('Master'!X411="","",'Master'!X411)</x:f>
      </x:c>
      <x:c r="X6" s="100" t="str">
        <x:f>IF('Master'!Y411="","",'Master'!Y411)</x:f>
      </x:c>
      <x:c r="Y6" s="100" t="str">
        <x:f>IF('Master'!Z411="","",'Master'!Z411)</x:f>
      </x:c>
      <x:c r="Z6" s="100" t="str">
        <x:f>IF('Master'!AA411="","",'Master'!AA411)</x:f>
        <x:v>Yes</x:v>
      </x:c>
      <x:c r="AA6" s="104" t="str">
        <x:f>IF('Master'!AB411="","",'Master'!AB411)</x:f>
      </x:c>
      <x:c r="AB6" s="100" t="str">
        <x:f>IF('Master'!AC411="","",'Master'!AC411)</x:f>
        <x:v>Yes</x:v>
      </x:c>
      <x:c r="AC6" s="100" t="str">
        <x:f>IF('Master'!AD411="","",'Master'!AD411)</x:f>
      </x:c>
      <x:c r="AD6" s="100" t="str">
        <x:f>IF('Master'!AE411="","",'Master'!AE411)</x:f>
      </x:c>
      <x:c r="AE6" s="100" t="str">
        <x:f>IF('Master'!AF411="","",'Master'!AF411)</x:f>
      </x:c>
      <x:c r="AF6" s="75" t="str">
        <x:f>IF('Master'!AG411="","",'Master'!AG411)</x:f>
        <x:v>Yes</x:v>
      </x:c>
    </x:row>
    <x:row r="7" ht="36" customHeight="1">
      <x:c r="A7" s="135" t="str">
        <x:v>Phone Required?</x:v>
      </x:c>
      <x:c r="B7" s="100" t="str">
        <x:f>IF('Master'!C412="","",'Master'!C412)</x:f>
        <x:v>May be required</x:v>
      </x:c>
      <x:c r="C7" s="100" t="str">
        <x:f>IF('Master'!D412="","",'Master'!D412)</x:f>
      </x:c>
      <x:c r="D7" s="100" t="str">
        <x:f>IF('Master'!E412="","",'Master'!E412)</x:f>
      </x:c>
      <x:c r="E7" s="100" t="str">
        <x:f>IF('Master'!F412="","",'Master'!F412)</x:f>
      </x:c>
      <x:c r="F7" s="100" t="str">
        <x:f>IF('Master'!G412="","",'Master'!G412)</x:f>
      </x:c>
      <x:c r="G7" s="100" t="str">
        <x:f>IF('Master'!H412="","",'Master'!H412)</x:f>
        <x:v>May be required</x:v>
      </x:c>
      <x:c r="H7" s="100" t="str">
        <x:f>IF('Master'!I412="","",'Master'!I412)</x:f>
        <x:v>No</x:v>
      </x:c>
      <x:c r="I7" s="100" t="str">
        <x:f>IF('Master'!J412="","",'Master'!J412)</x:f>
      </x:c>
      <x:c r="J7" s="100" t="str">
        <x:f>IF('Master'!K412="","",'Master'!K412)</x:f>
      </x:c>
      <x:c r="K7" s="100" t="str">
        <x:f>IF('Master'!L412="","",'Master'!L412)</x:f>
        <x:v>No</x:v>
      </x:c>
      <x:c r="L7" s="100" t="str">
        <x:f>IF('Master'!M412="","",'Master'!M412)</x:f>
        <x:v>No</x:v>
      </x:c>
      <x:c r="M7" s="100" t="str">
        <x:f>IF('Master'!N412="","",'Master'!N412)</x:f>
      </x:c>
      <x:c r="N7" s="100" t="str">
        <x:f>IF('Master'!O412="","",'Master'!O412)</x:f>
      </x:c>
      <x:c r="O7" s="100" t="str">
        <x:f>IF('Master'!P412="","",'Master'!P412)</x:f>
      </x:c>
      <x:c r="P7" s="100" t="str">
        <x:f>IF('Master'!Q412="","",'Master'!Q412)</x:f>
      </x:c>
      <x:c r="Q7" s="100" t="str">
        <x:f>IF('Master'!R412="","",'Master'!R412)</x:f>
      </x:c>
      <x:c r="R7" s="100" t="str">
        <x:f>IF('Master'!S412="","",'Master'!S412)</x:f>
      </x:c>
      <x:c r="S7" s="100" t="str">
        <x:f>IF('Master'!T412="","",'Master'!T412)</x:f>
      </x:c>
      <x:c r="T7" s="100" t="str">
        <x:f>IF('Master'!U412="","",'Master'!U412)</x:f>
      </x:c>
      <x:c r="U7" s="100" t="str">
        <x:f>IF('Master'!V412="","",'Master'!V412)</x:f>
        <x:v>No</x:v>
      </x:c>
      <x:c r="V7" s="100" t="str">
        <x:f>IF('Master'!W412="","",'Master'!W412)</x:f>
      </x:c>
      <x:c r="W7" s="100" t="str">
        <x:f>IF('Master'!X412="","",'Master'!X412)</x:f>
      </x:c>
      <x:c r="X7" s="100" t="str">
        <x:f>IF('Master'!Y412="","",'Master'!Y412)</x:f>
      </x:c>
      <x:c r="Y7" s="100" t="str">
        <x:f>IF('Master'!Z412="","",'Master'!Z412)</x:f>
      </x:c>
      <x:c r="Z7" s="100" t="str">
        <x:f>IF('Master'!AA412="","",'Master'!AA412)</x:f>
      </x:c>
      <x:c r="AA7" s="104" t="str">
        <x:f>IF('Master'!AB412="","",'Master'!AB412)</x:f>
      </x:c>
      <x:c r="AB7" s="100" t="str">
        <x:f>IF('Master'!AC412="","",'Master'!AC412)</x:f>
        <x:v>No</x:v>
      </x:c>
      <x:c r="AC7" s="100" t="str">
        <x:f>IF('Master'!AD412="","",'Master'!AD412)</x:f>
      </x:c>
      <x:c r="AD7" s="100" t="str">
        <x:f>IF('Master'!AE412="","",'Master'!AE412)</x:f>
      </x:c>
      <x:c r="AE7" s="100" t="str">
        <x:f>IF('Master'!AF412="","",'Master'!AF412)</x:f>
      </x:c>
      <x:c r="AF7" s="75" t="str">
        <x:f>IF('Master'!AG412="","",'Master'!AG412)</x:f>
      </x:c>
    </x:row>
    <x:row r="8" ht="36" customHeight="1">
      <x:c r="A8" s="135" t="str">
        <x:v>Date of Birth Required?</x:v>
      </x:c>
      <x:c r="B8" s="100" t="str">
        <x:f>IF('Master'!C413="","",'Master'!C413)</x:f>
        <x:v>Yes</x:v>
      </x:c>
      <x:c r="C8" s="100" t="str">
        <x:f>IF('Master'!D413="","",'Master'!D413)</x:f>
      </x:c>
      <x:c r="D8" s="100" t="str">
        <x:f>IF('Master'!E413="","",'Master'!E413)</x:f>
      </x:c>
      <x:c r="E8" s="100" t="str">
        <x:f>IF('Master'!F413="","",'Master'!F413)</x:f>
      </x:c>
      <x:c r="F8" s="100" t="str">
        <x:f>IF('Master'!G413="","",'Master'!G413)</x:f>
      </x:c>
      <x:c r="G8" s="100" t="str">
        <x:f>IF('Master'!H413="","",'Master'!H413)</x:f>
        <x:v>Yes</x:v>
      </x:c>
      <x:c r="H8" s="100" t="str">
        <x:f>IF('Master'!I413="","",'Master'!I413)</x:f>
      </x:c>
      <x:c r="I8" s="100" t="str">
        <x:f>IF('Master'!J413="","",'Master'!J413)</x:f>
      </x:c>
      <x:c r="J8" s="100" t="str">
        <x:f>IF('Master'!K413="","",'Master'!K413)</x:f>
      </x:c>
      <x:c r="K8" s="100" t="str">
        <x:f>IF('Master'!L413="","",'Master'!L413)</x:f>
        <x:v>No</x:v>
      </x:c>
      <x:c r="L8" s="100" t="str">
        <x:f>IF('Master'!M413="","",'Master'!M413)</x:f>
      </x:c>
      <x:c r="M8" s="100" t="str">
        <x:f>IF('Master'!N413="","",'Master'!N413)</x:f>
      </x:c>
      <x:c r="N8" s="100" t="str">
        <x:f>IF('Master'!O413="","",'Master'!O413)</x:f>
      </x:c>
      <x:c r="O8" s="100" t="str">
        <x:f>IF('Master'!P413="","",'Master'!P413)</x:f>
      </x:c>
      <x:c r="P8" s="100" t="str">
        <x:f>IF('Master'!Q413="","",'Master'!Q413)</x:f>
      </x:c>
      <x:c r="Q8" s="100" t="str">
        <x:f>IF('Master'!R413="","",'Master'!R413)</x:f>
      </x:c>
      <x:c r="R8" s="100" t="str">
        <x:f>IF('Master'!S413="","",'Master'!S413)</x:f>
      </x:c>
      <x:c r="S8" s="100" t="str">
        <x:f>IF('Master'!T413="","",'Master'!T413)</x:f>
      </x:c>
      <x:c r="T8" s="100" t="str">
        <x:f>IF('Master'!U413="","",'Master'!U413)</x:f>
      </x:c>
      <x:c r="U8" s="100" t="str">
        <x:f>IF('Master'!V413="","",'Master'!V413)</x:f>
        <x:v>no</x:v>
      </x:c>
      <x:c r="V8" s="100" t="str">
        <x:f>IF('Master'!W413="","",'Master'!W413)</x:f>
      </x:c>
      <x:c r="W8" s="100" t="str">
        <x:f>IF('Master'!X413="","",'Master'!X413)</x:f>
      </x:c>
      <x:c r="X8" s="100" t="str">
        <x:f>IF('Master'!Y413="","",'Master'!Y413)</x:f>
      </x:c>
      <x:c r="Y8" s="100" t="str">
        <x:f>IF('Master'!Z413="","",'Master'!Z413)</x:f>
      </x:c>
      <x:c r="Z8" s="100" t="str">
        <x:f>IF('Master'!AA413="","",'Master'!AA413)</x:f>
      </x:c>
      <x:c r="AA8" s="104" t="str">
        <x:f>IF('Master'!AB413="","",'Master'!AB413)</x:f>
      </x:c>
      <x:c r="AB8" s="100" t="str">
        <x:f>IF('Master'!AC413="","",'Master'!AC413)</x:f>
      </x:c>
      <x:c r="AC8" s="100" t="str">
        <x:f>IF('Master'!AD413="","",'Master'!AD413)</x:f>
      </x:c>
      <x:c r="AD8" s="100" t="str">
        <x:f>IF('Master'!AE413="","",'Master'!AE413)</x:f>
      </x:c>
      <x:c r="AE8" s="100" t="str">
        <x:f>IF('Master'!AF413="","",'Master'!AF413)</x:f>
      </x:c>
      <x:c r="AF8" s="75" t="str">
        <x:f>IF('Master'!AG413="","",'Master'!AG413)</x:f>
      </x:c>
    </x:row>
    <x:row r="9" ht="36" customHeight="1">
      <x:c r="A9" s="135" t="str">
        <x:v>Government ID / Age Verification Possible?</x:v>
      </x:c>
      <x:c r="B9" s="100" t="str">
        <x:f>IF('Master'!C414="","",'Master'!C414)</x:f>
        <x:v>Possible in some regions / safety flows</x:v>
      </x:c>
      <x:c r="C9" s="100" t="str">
        <x:f>IF('Master'!D414="","",'Master'!D414)</x:f>
      </x:c>
      <x:c r="D9" s="100" t="str">
        <x:f>IF('Master'!E414="","",'Master'!E414)</x:f>
      </x:c>
      <x:c r="E9" s="100" t="str">
        <x:f>IF('Master'!F414="","",'Master'!F414)</x:f>
      </x:c>
      <x:c r="F9" s="100" t="str">
        <x:f>IF('Master'!G414="","",'Master'!G414)</x:f>
      </x:c>
      <x:c r="G9" s="100" t="str">
        <x:f>IF('Master'!H414="","",'Master'!H414)</x:f>
      </x:c>
      <x:c r="H9" s="100" t="str">
        <x:f>IF('Master'!I414="","",'Master'!I414)</x:f>
        <x:v>No</x:v>
      </x:c>
      <x:c r="I9" s="100" t="str">
        <x:f>IF('Master'!J414="","",'Master'!J414)</x:f>
      </x:c>
      <x:c r="J9" s="100" t="str">
        <x:f>IF('Master'!K414="","",'Master'!K414)</x:f>
      </x:c>
      <x:c r="K9" s="100" t="str">
        <x:f>IF('Master'!L414="","",'Master'!L414)</x:f>
        <x:v>No</x:v>
      </x:c>
      <x:c r="L9" s="100" t="str">
        <x:f>IF('Master'!M414="","",'Master'!M414)</x:f>
        <x:v>No</x:v>
      </x:c>
      <x:c r="M9" s="100" t="str">
        <x:f>IF('Master'!N414="","",'Master'!N414)</x:f>
      </x:c>
      <x:c r="N9" s="100" t="str">
        <x:f>IF('Master'!O414="","",'Master'!O414)</x:f>
      </x:c>
      <x:c r="O9" s="100" t="str">
        <x:f>IF('Master'!P414="","",'Master'!P414)</x:f>
      </x:c>
      <x:c r="P9" s="100" t="str">
        <x:f>IF('Master'!Q414="","",'Master'!Q414)</x:f>
      </x:c>
      <x:c r="Q9" s="100" t="str">
        <x:f>IF('Master'!R414="","",'Master'!R414)</x:f>
      </x:c>
      <x:c r="R9" s="100" t="str">
        <x:f>IF('Master'!S414="","",'Master'!S414)</x:f>
      </x:c>
      <x:c r="S9" s="100" t="str">
        <x:f>IF('Master'!T414="","",'Master'!T414)</x:f>
      </x:c>
      <x:c r="T9" s="100" t="str">
        <x:f>IF('Master'!U414="","",'Master'!U414)</x:f>
      </x:c>
      <x:c r="U9" s="100" t="str">
        <x:f>IF('Master'!V414="","",'Master'!V414)</x:f>
        <x:v>No</x:v>
      </x:c>
      <x:c r="V9" s="100" t="str">
        <x:f>IF('Master'!W414="","",'Master'!W414)</x:f>
      </x:c>
      <x:c r="W9" s="100" t="str">
        <x:f>IF('Master'!X414="","",'Master'!X414)</x:f>
      </x:c>
      <x:c r="X9" s="100" t="str">
        <x:f>IF('Master'!Y414="","",'Master'!Y414)</x:f>
      </x:c>
      <x:c r="Y9" s="100" t="str">
        <x:f>IF('Master'!Z414="","",'Master'!Z414)</x:f>
      </x:c>
      <x:c r="Z9" s="100" t="str">
        <x:f>IF('Master'!AA414="","",'Master'!AA414)</x:f>
      </x:c>
      <x:c r="AA9" s="104" t="str">
        <x:f>IF('Master'!AB414="","",'Master'!AB414)</x:f>
      </x:c>
      <x:c r="AB9" s="100" t="str">
        <x:f>IF('Master'!AC414="","",'Master'!AC414)</x:f>
      </x:c>
      <x:c r="AC9" s="100" t="str">
        <x:f>IF('Master'!AD414="","",'Master'!AD414)</x:f>
      </x:c>
      <x:c r="AD9" s="100" t="str">
        <x:f>IF('Master'!AE414="","",'Master'!AE414)</x:f>
      </x:c>
      <x:c r="AE9" s="100" t="str">
        <x:f>IF('Master'!AF414="","",'Master'!AF414)</x:f>
      </x:c>
      <x:c r="AF9" s="75" t="str">
        <x:f>IF('Master'!AG414="","",'Master'!AG414)</x:f>
      </x:c>
    </x:row>
    <x:row r="10" ht="36" customHeight="1">
      <x:c r="A10" s="135" t="str">
        <x:v>Cryptographic Keypair / Secret Required?</x:v>
      </x:c>
      <x:c r="B10" s="100" t="str">
        <x:f>IF('Master'!C415="","",'Master'!C415)</x:f>
        <x:v>No</x:v>
      </x:c>
      <x:c r="C10" s="100" t="str">
        <x:f>IF('Master'!D415="","",'Master'!D415)</x:f>
        <x:v>Yes</x:v>
      </x:c>
      <x:c r="D10" s="100" t="str">
        <x:f>IF('Master'!E415="","",'Master'!E415)</x:f>
        <x:v>Yes</x:v>
      </x:c>
      <x:c r="E10" s="100" t="str">
        <x:f>IF('Master'!F415="","",'Master'!F415)</x:f>
      </x:c>
      <x:c r="F10" s="100" t="str">
        <x:f>IF('Master'!G415="","",'Master'!G415)</x:f>
      </x:c>
      <x:c r="G10" s="100" t="str">
        <x:f>IF('Master'!H415="","",'Master'!H415)</x:f>
        <x:v>No</x:v>
      </x:c>
      <x:c r="H10" s="100" t="str">
        <x:f>IF('Master'!I415="","",'Master'!I415)</x:f>
        <x:v>No</x:v>
      </x:c>
      <x:c r="I10" s="100" t="str">
        <x:f>IF('Master'!J415="","",'Master'!J415)</x:f>
      </x:c>
      <x:c r="J10" s="100" t="str">
        <x:f>IF('Master'!K415="","",'Master'!K415)</x:f>
        <x:v>Yes</x:v>
      </x:c>
      <x:c r="K10" s="100" t="str">
        <x:f>IF('Master'!L415="","",'Master'!L415)</x:f>
        <x:v>E2EE-capable accounts use cryptographic device/account identities, but no user-entered key is required at signup</x:v>
      </x:c>
      <x:c r="L10" s="100" t="str">
        <x:f>IF('Master'!M415="","",'Master'!M415)</x:f>
        <x:v>Yes</x:v>
      </x:c>
      <x:c r="M10" s="100" t="str">
        <x:f>IF('Master'!N415="","",'Master'!N415)</x:f>
      </x:c>
      <x:c r="N10" s="100" t="str">
        <x:f>IF('Master'!O415="","",'Master'!O415)</x:f>
      </x:c>
      <x:c r="O10" s="100" t="str">
        <x:f>IF('Master'!P415="","",'Master'!P415)</x:f>
      </x:c>
      <x:c r="P10" s="100" t="str">
        <x:f>IF('Master'!Q415="","",'Master'!Q415)</x:f>
      </x:c>
      <x:c r="Q10" s="100" t="str">
        <x:f>IF('Master'!R415="","",'Master'!R415)</x:f>
      </x:c>
      <x:c r="R10" s="100" t="str">
        <x:f>IF('Master'!S415="","",'Master'!S415)</x:f>
      </x:c>
      <x:c r="S10" s="100" t="str">
        <x:f>IF('Master'!T415="","",'Master'!T415)</x:f>
      </x:c>
      <x:c r="T10" s="100" t="str">
        <x:f>IF('Master'!U415="","",'Master'!U415)</x:f>
      </x:c>
      <x:c r="U10" s="100" t="str">
        <x:f>IF('Master'!V415="","",'Master'!V415)</x:f>
        <x:v>No</x:v>
      </x:c>
      <x:c r="V10" s="100" t="str">
        <x:f>IF('Master'!W415="","",'Master'!W415)</x:f>
      </x:c>
      <x:c r="W10" s="100" t="str">
        <x:f>IF('Master'!X415="","",'Master'!X415)</x:f>
      </x:c>
      <x:c r="X10" s="100" t="str">
        <x:f>IF('Master'!Y415="","",'Master'!Y415)</x:f>
        <x:v>No</x:v>
      </x:c>
      <x:c r="Y10" s="100" t="str">
        <x:f>IF('Master'!Z415="","",'Master'!Z415)</x:f>
      </x:c>
      <x:c r="Z10" s="100" t="str">
        <x:f>IF('Master'!AA415="","",'Master'!AA415)</x:f>
      </x:c>
      <x:c r="AA10" s="104" t="str">
        <x:f>IF('Master'!AB415="","",'Master'!AB415)</x:f>
      </x:c>
      <x:c r="AB10" s="100" t="str">
        <x:f>IF('Master'!AC415="","",'Master'!AC415)</x:f>
      </x:c>
      <x:c r="AC10" s="100" t="str">
        <x:f>IF('Master'!AD415="","",'Master'!AD415)</x:f>
      </x:c>
      <x:c r="AD10" s="100" t="str">
        <x:f>IF('Master'!AE415="","",'Master'!AE415)</x:f>
      </x:c>
      <x:c r="AE10" s="100" t="str">
        <x:f>IF('Master'!AF415="","",'Master'!AF415)</x:f>
      </x:c>
      <x:c r="AF10" s="75" t="str">
        <x:f>IF('Master'!AG415="","",'Master'!AG415)</x:f>
      </x:c>
    </x:row>
    <x:row r="11" ht="22" customHeight="1">
      <x:c r="A11" s="138" t="str">
        <x:v>Access &amp; Recovery</x:v>
      </x:c>
      <x:c r="B11" s="138" t="str">
        <x:f>IF(""="","","")</x:f>
      </x:c>
      <x:c r="C11" s="138" t="str">
        <x:f>IF(""="","","")</x:f>
      </x:c>
      <x:c r="D11" s="138" t="str">
        <x:f>IF(""="","","")</x:f>
      </x:c>
      <x:c r="E11" s="138" t="str">
        <x:f>IF(""="","","")</x:f>
      </x:c>
      <x:c r="F11" s="138" t="str">
        <x:f>IF(""="","","")</x:f>
      </x:c>
      <x:c r="G11" s="138" t="str">
        <x:f>IF(""="","","")</x:f>
      </x:c>
      <x:c r="H11" s="138" t="str">
        <x:f>IF(""="","","")</x:f>
      </x:c>
      <x:c r="I11" s="138" t="str">
        <x:f>IF(""="","","")</x:f>
      </x:c>
      <x:c r="J11" s="138" t="str">
        <x:f>IF(""="","","")</x:f>
      </x:c>
      <x:c r="K11" s="138" t="str">
        <x:f>IF(""="","","")</x:f>
      </x:c>
      <x:c r="L11" s="138" t="str">
        <x:f>IF(""="","","")</x:f>
      </x:c>
      <x:c r="M11" s="138" t="str">
        <x:f>IF(""="","","")</x:f>
      </x:c>
      <x:c r="N11" s="138" t="str">
        <x:f>IF(""="","","")</x:f>
      </x:c>
      <x:c r="O11" s="138" t="str">
        <x:f>IF(""="","","")</x:f>
      </x:c>
      <x:c r="P11" s="138" t="str">
        <x:f>IF(""="","","")</x:f>
      </x:c>
      <x:c r="Q11" s="138" t="str">
        <x:f>IF(""="","","")</x:f>
      </x:c>
      <x:c r="R11" s="138" t="str">
        <x:f>IF(""="","","")</x:f>
      </x:c>
      <x:c r="S11" s="138" t="str">
        <x:f>IF(""="","","")</x:f>
      </x:c>
      <x:c r="T11" s="138" t="str">
        <x:f>IF(""="","","")</x:f>
      </x:c>
      <x:c r="U11" s="138" t="str">
        <x:f>IF(""="","","")</x:f>
      </x:c>
      <x:c r="V11" s="138" t="str">
        <x:f>IF(""="","","")</x:f>
      </x:c>
      <x:c r="W11" s="138" t="str">
        <x:f>IF(""="","","")</x:f>
      </x:c>
      <x:c r="X11" s="138" t="str">
        <x:f>IF(""="","","")</x:f>
      </x:c>
      <x:c r="Y11" s="138" t="str">
        <x:f>IF(""="","","")</x:f>
      </x:c>
      <x:c r="Z11" s="138" t="str">
        <x:f>IF(""="","","")</x:f>
      </x:c>
      <x:c r="AA11" s="138" t="str">
        <x:f>IF(""="","","")</x:f>
      </x:c>
      <x:c r="AB11" s="138" t="str">
        <x:f>IF(""="","","")</x:f>
      </x:c>
      <x:c r="AC11" s="138" t="str">
        <x:f>IF(""="","","")</x:f>
      </x:c>
      <x:c r="AD11" s="138" t="str">
        <x:f>IF(""="","","")</x:f>
      </x:c>
      <x:c r="AE11" s="138" t="str">
        <x:f>IF(""="","","")</x:f>
      </x:c>
      <x:c r="AF11" s="139" t="str">
        <x:f>IF(""="","","")</x:f>
      </x:c>
    </x:row>
    <x:row r="12" ht="36" customHeight="1">
      <x:c r="A12" s="135" t="str">
        <x:v>Guest / No-Account Access?</x:v>
      </x:c>
      <x:c r="B12" s="100" t="str">
        <x:f>IF('Master'!C416="","",'Master'!C416)</x:f>
      </x:c>
      <x:c r="C12" s="100" t="str">
        <x:f>IF('Master'!D416="","",'Master'!D416)</x:f>
      </x:c>
      <x:c r="D12" s="100" t="str">
        <x:f>IF('Master'!E416="","",'Master'!E416)</x:f>
      </x:c>
      <x:c r="E12" s="100" t="str">
        <x:f>IF('Master'!F416="","",'Master'!F416)</x:f>
      </x:c>
      <x:c r="F12" s="100" t="str">
        <x:f>IF('Master'!G416="","",'Master'!G416)</x:f>
      </x:c>
      <x:c r="G12" s="100" t="str">
        <x:f>IF('Master'!H416="","",'Master'!H416)</x:f>
      </x:c>
      <x:c r="H12" s="100" t="str">
        <x:f>IF('Master'!I416="","",'Master'!I416)</x:f>
      </x:c>
      <x:c r="I12" s="100" t="str">
        <x:f>IF('Master'!J416="","",'Master'!J416)</x:f>
      </x:c>
      <x:c r="J12" s="100" t="str">
        <x:f>IF('Master'!K416="","",'Master'!K416)</x:f>
      </x:c>
      <x:c r="K12" s="100" t="str">
        <x:f>IF('Master'!L416="","",'Master'!L416)</x:f>
        <x:v>No</x:v>
      </x:c>
      <x:c r="L12" s="100" t="str">
        <x:f>IF('Master'!M416="","",'Master'!M416)</x:f>
      </x:c>
      <x:c r="M12" s="100" t="str">
        <x:f>IF('Master'!N416="","",'Master'!N416)</x:f>
      </x:c>
      <x:c r="N12" s="100" t="str">
        <x:f>IF('Master'!O416="","",'Master'!O416)</x:f>
      </x:c>
      <x:c r="O12" s="100" t="str">
        <x:f>IF('Master'!P416="","",'Master'!P416)</x:f>
      </x:c>
      <x:c r="P12" s="100" t="str">
        <x:f>IF('Master'!Q416="","",'Master'!Q416)</x:f>
        <x:v>Yes for some event/link flows</x:v>
      </x:c>
      <x:c r="Q12" s="100" t="str">
        <x:f>IF('Master'!R416="","",'Master'!R416)</x:f>
      </x:c>
      <x:c r="R12" s="100" t="str">
        <x:f>IF('Master'!S416="","",'Master'!S416)</x:f>
      </x:c>
      <x:c r="S12" s="100" t="str">
        <x:f>IF('Master'!T416="","",'Master'!T416)</x:f>
      </x:c>
      <x:c r="T12" s="100" t="str">
        <x:f>IF('Master'!U416="","",'Master'!U416)</x:f>
      </x:c>
      <x:c r="U12" s="100" t="str">
        <x:f>IF('Master'!V416="","",'Master'!V416)</x:f>
        <x:v>no</x:v>
      </x:c>
      <x:c r="V12" s="100" t="str">
        <x:f>IF('Master'!W416="","",'Master'!W416)</x:f>
      </x:c>
      <x:c r="W12" s="100" t="str">
        <x:f>IF('Master'!X416="","",'Master'!X416)</x:f>
      </x:c>
      <x:c r="X12" s="100" t="str">
        <x:f>IF('Master'!Y416="","",'Master'!Y416)</x:f>
      </x:c>
      <x:c r="Y12" s="100" t="str">
        <x:f>IF('Master'!Z416="","",'Master'!Z416)</x:f>
      </x:c>
      <x:c r="Z12" s="100" t="str">
        <x:f>IF('Master'!AA416="","",'Master'!AA416)</x:f>
      </x:c>
      <x:c r="AA12" s="104" t="str">
        <x:f>IF('Master'!AB416="","",'Master'!AB416)</x:f>
      </x:c>
      <x:c r="AB12" s="100" t="str">
        <x:f>IF('Master'!AC416="","",'Master'!AC416)</x:f>
      </x:c>
      <x:c r="AC12" s="100" t="str">
        <x:f>IF('Master'!AD416="","",'Master'!AD416)</x:f>
      </x:c>
      <x:c r="AD12" s="100" t="str">
        <x:f>IF('Master'!AE416="","",'Master'!AE416)</x:f>
      </x:c>
      <x:c r="AE12" s="100" t="str">
        <x:f>IF('Master'!AF416="","",'Master'!AF416)</x:f>
      </x:c>
      <x:c r="AF12" s="75" t="str">
        <x:f>IF('Master'!AG416="","",'Master'!AG416)</x:f>
      </x:c>
    </x:row>
    <x:row r="13" ht="36" customHeight="1">
      <x:c r="A13" s="135" t="str">
        <x:v>Account Recovery Method</x:v>
      </x:c>
      <x:c r="B13" s="100" t="str">
        <x:f>IF('Master'!C417="","",'Master'!C417)</x:f>
        <x:v>Email reset</x:v>
      </x:c>
      <x:c r="C13" s="100" t="str">
        <x:f>IF('Master'!D417="","",'Master'!D417)</x:f>
      </x:c>
      <x:c r="D13" s="100" t="str">
        <x:f>IF('Master'!E417="","",'Master'!E417)</x:f>
      </x:c>
      <x:c r="E13" s="100" t="str">
        <x:f>IF('Master'!F417="","",'Master'!F417)</x:f>
      </x:c>
      <x:c r="F13" s="100" t="str">
        <x:f>IF('Master'!G417="","",'Master'!G417)</x:f>
      </x:c>
      <x:c r="G13" s="100" t="str">
        <x:f>IF('Master'!H417="","",'Master'!H417)</x:f>
        <x:v>Email reset</x:v>
      </x:c>
      <x:c r="H13" s="100" t="str">
        <x:f>IF('Master'!I417="","",'Master'!I417)</x:f>
      </x:c>
      <x:c r="I13" s="100" t="str">
        <x:f>IF('Master'!J417="","",'Master'!J417)</x:f>
      </x:c>
      <x:c r="J13" s="100" t="str">
        <x:f>IF('Master'!K417="","",'Master'!K417)</x:f>
        <x:v>Recovery phrase / key material</x:v>
      </x:c>
      <x:c r="K13" s="100" t="str">
        <x:f>IF('Master'!L417="","",'Master'!L417)</x:f>
        <x:v>Email reset when email is enabled; operator-assisted policy is needed when email is disabled</x:v>
      </x:c>
      <x:c r="L13" s="100" t="str">
        <x:f>IF('Master'!M417="","",'Master'!M417)</x:f>
      </x:c>
      <x:c r="M13" s="100" t="str">
        <x:f>IF('Master'!N417="","",'Master'!N417)</x:f>
      </x:c>
      <x:c r="N13" s="100" t="str">
        <x:f>IF('Master'!O417="","",'Master'!O417)</x:f>
      </x:c>
      <x:c r="O13" s="100" t="str">
        <x:f>IF('Master'!P417="","",'Master'!P417)</x:f>
      </x:c>
      <x:c r="P13" s="100" t="str">
        <x:f>IF('Master'!Q417="","",'Master'!Q417)</x:f>
      </x:c>
      <x:c r="Q13" s="100" t="str">
        <x:f>IF('Master'!R417="","",'Master'!R417)</x:f>
      </x:c>
      <x:c r="R13" s="100" t="str">
        <x:f>IF('Master'!S417="","",'Master'!S417)</x:f>
      </x:c>
      <x:c r="S13" s="100" t="str">
        <x:f>IF('Master'!T417="","",'Master'!T417)</x:f>
      </x:c>
      <x:c r="T13" s="100" t="str">
        <x:f>IF('Master'!U417="","",'Master'!U417)</x:f>
      </x:c>
      <x:c r="U13" s="100" t="str">
        <x:f>IF('Master'!V417="","",'Master'!V417)</x:f>
        <x:v>12-word Rift Key / recovery key</x:v>
      </x:c>
      <x:c r="V13" s="100" t="str">
        <x:f>IF('Master'!W417="","",'Master'!W417)</x:f>
      </x:c>
      <x:c r="W13" s="100" t="str">
        <x:f>IF('Master'!X417="","",'Master'!X417)</x:f>
      </x:c>
      <x:c r="X13" s="100" t="str">
        <x:f>IF('Master'!Y417="","",'Master'!Y417)</x:f>
        <x:v>Email reset</x:v>
      </x:c>
      <x:c r="Y13" s="100" t="str">
        <x:f>IF('Master'!Z417="","",'Master'!Z417)</x:f>
      </x:c>
      <x:c r="Z13" s="100" t="str">
        <x:f>IF('Master'!AA417="","",'Master'!AA417)</x:f>
      </x:c>
      <x:c r="AA13" s="104" t="str">
        <x:f>IF('Master'!AB417="","",'Master'!AB417)</x:f>
      </x:c>
      <x:c r="AB13" s="100" t="str">
        <x:f>IF('Master'!AC417="","",'Master'!AC417)</x:f>
        <x:v>Email reset</x:v>
      </x:c>
      <x:c r="AC13" s="100" t="str">
        <x:f>IF('Master'!AD417="","",'Master'!AD417)</x:f>
      </x:c>
      <x:c r="AD13" s="100" t="str">
        <x:f>IF('Master'!AE417="","",'Master'!AE417)</x:f>
      </x:c>
      <x:c r="AE13" s="100" t="str">
        <x:f>IF('Master'!AF417="","",'Master'!AF417)</x:f>
      </x:c>
      <x:c r="AF13" s="75" t="str">
        <x:f>IF('Master'!AG417="","",'Master'!AG417)</x:f>
      </x:c>
    </x:row>
    <x:row r="14" ht="36" customHeight="1">
      <x:c r="A14" s="135" t="str">
        <x:v>Password Reset Available?</x:v>
      </x:c>
      <x:c r="B14" s="100" t="str">
        <x:f>IF('Master'!C418="","",'Master'!C418)</x:f>
        <x:v>Yes</x:v>
      </x:c>
      <x:c r="C14" s="100" t="str">
        <x:f>IF('Master'!D418="","",'Master'!D418)</x:f>
      </x:c>
      <x:c r="D14" s="100" t="str">
        <x:f>IF('Master'!E418="","",'Master'!E418)</x:f>
      </x:c>
      <x:c r="E14" s="100" t="str">
        <x:f>IF('Master'!F418="","",'Master'!F418)</x:f>
      </x:c>
      <x:c r="F14" s="100" t="str">
        <x:f>IF('Master'!G418="","",'Master'!G418)</x:f>
      </x:c>
      <x:c r="G14" s="100" t="str">
        <x:f>IF('Master'!H418="","",'Master'!H418)</x:f>
        <x:v>Yes</x:v>
      </x:c>
      <x:c r="H14" s="100" t="str">
        <x:f>IF('Master'!I418="","",'Master'!I418)</x:f>
      </x:c>
      <x:c r="I14" s="100" t="str">
        <x:f>IF('Master'!J418="","",'Master'!J418)</x:f>
      </x:c>
      <x:c r="J14" s="100" t="str">
        <x:f>IF('Master'!K418="","",'Master'!K418)</x:f>
      </x:c>
      <x:c r="K14" s="100" t="str">
        <x:f>IF('Master'!L418="","",'Master'!L418)</x:f>
        <x:v>Email reset when email is enabled; operator-assisted policy is needed when email is disabled</x:v>
      </x:c>
      <x:c r="L14" s="100" t="str">
        <x:f>IF('Master'!M418="","",'Master'!M418)</x:f>
      </x:c>
      <x:c r="M14" s="100" t="str">
        <x:f>IF('Master'!N418="","",'Master'!N418)</x:f>
      </x:c>
      <x:c r="N14" s="100" t="str">
        <x:f>IF('Master'!O418="","",'Master'!O418)</x:f>
      </x:c>
      <x:c r="O14" s="100" t="str">
        <x:f>IF('Master'!P418="","",'Master'!P418)</x:f>
      </x:c>
      <x:c r="P14" s="100" t="str">
        <x:f>IF('Master'!Q418="","",'Master'!Q418)</x:f>
      </x:c>
      <x:c r="Q14" s="100" t="str">
        <x:f>IF('Master'!R418="","",'Master'!R418)</x:f>
      </x:c>
      <x:c r="R14" s="100" t="str">
        <x:f>IF('Master'!S418="","",'Master'!S418)</x:f>
      </x:c>
      <x:c r="S14" s="100" t="str">
        <x:f>IF('Master'!T418="","",'Master'!T418)</x:f>
      </x:c>
      <x:c r="T14" s="100" t="str">
        <x:f>IF('Master'!U418="","",'Master'!U418)</x:f>
      </x:c>
      <x:c r="U14" s="100" t="str">
        <x:f>IF('Master'!V418="","",'Master'!V418)</x:f>
        <x:v>yes - recovery key</x:v>
      </x:c>
      <x:c r="V14" s="100" t="str">
        <x:f>IF('Master'!W418="","",'Master'!W418)</x:f>
      </x:c>
      <x:c r="W14" s="100" t="str">
        <x:f>IF('Master'!X418="","",'Master'!X418)</x:f>
      </x:c>
      <x:c r="X14" s="100" t="str">
        <x:f>IF('Master'!Y418="","",'Master'!Y418)</x:f>
        <x:v>Yes</x:v>
      </x:c>
      <x:c r="Y14" s="100" t="str">
        <x:f>IF('Master'!Z418="","",'Master'!Z418)</x:f>
      </x:c>
      <x:c r="Z14" s="100" t="str">
        <x:f>IF('Master'!AA418="","",'Master'!AA418)</x:f>
      </x:c>
      <x:c r="AA14" s="104" t="str">
        <x:f>IF('Master'!AB418="","",'Master'!AB418)</x:f>
      </x:c>
      <x:c r="AB14" s="100" t="str">
        <x:f>IF('Master'!AC418="","",'Master'!AC418)</x:f>
        <x:v>Yes</x:v>
      </x:c>
      <x:c r="AC14" s="100" t="str">
        <x:f>IF('Master'!AD418="","",'Master'!AD418)</x:f>
      </x:c>
      <x:c r="AD14" s="100" t="str">
        <x:f>IF('Master'!AE418="","",'Master'!AE418)</x:f>
      </x:c>
      <x:c r="AE14" s="100" t="str">
        <x:f>IF('Master'!AF418="","",'Master'!AF418)</x:f>
      </x:c>
      <x:c r="AF14" s="75" t="str">
        <x:f>IF('Master'!AG418="","",'Master'!AG418)</x:f>
      </x:c>
    </x:row>
    <x:row r="15" ht="36" customHeight="1">
      <x:c r="A15" s="135" t="str">
        <x:v>Recovery Without Email/Phone?</x:v>
      </x:c>
      <x:c r="B15" s="100" t="str">
        <x:f>IF('Master'!C419="","",'Master'!C419)</x:f>
      </x:c>
      <x:c r="C15" s="100" t="str">
        <x:f>IF('Master'!D419="","",'Master'!D419)</x:f>
      </x:c>
      <x:c r="D15" s="100" t="str">
        <x:f>IF('Master'!E419="","",'Master'!E419)</x:f>
      </x:c>
      <x:c r="E15" s="100" t="str">
        <x:f>IF('Master'!F419="","",'Master'!F419)</x:f>
      </x:c>
      <x:c r="F15" s="100" t="str">
        <x:f>IF('Master'!G419="","",'Master'!G419)</x:f>
      </x:c>
      <x:c r="G15" s="100" t="str">
        <x:f>IF('Master'!H419="","",'Master'!H419)</x:f>
      </x:c>
      <x:c r="H15" s="100" t="str">
        <x:f>IF('Master'!I419="","",'Master'!I419)</x:f>
      </x:c>
      <x:c r="I15" s="100" t="str">
        <x:f>IF('Master'!J419="","",'Master'!J419)</x:f>
      </x:c>
      <x:c r="J15" s="100" t="str">
        <x:f>IF('Master'!K419="","",'Master'!K419)</x:f>
        <x:v>Yes — recovery key</x:v>
      </x:c>
      <x:c r="K15" s="100" t="str">
        <x:f>IF('Master'!L419="","",'Master'!L419)</x:f>
        <x:v>Partial — possible only through operator-assisted recovery when email is disabled</x:v>
      </x:c>
      <x:c r="L15" s="100" t="str">
        <x:f>IF('Master'!M419="","",'Master'!M419)</x:f>
      </x:c>
      <x:c r="M15" s="100" t="str">
        <x:f>IF('Master'!N419="","",'Master'!N419)</x:f>
      </x:c>
      <x:c r="N15" s="100" t="str">
        <x:f>IF('Master'!O419="","",'Master'!O419)</x:f>
      </x:c>
      <x:c r="O15" s="100" t="str">
        <x:f>IF('Master'!P419="","",'Master'!P419)</x:f>
      </x:c>
      <x:c r="P15" s="100" t="str">
        <x:f>IF('Master'!Q419="","",'Master'!Q419)</x:f>
      </x:c>
      <x:c r="Q15" s="100" t="str">
        <x:f>IF('Master'!R419="","",'Master'!R419)</x:f>
      </x:c>
      <x:c r="R15" s="100" t="str">
        <x:f>IF('Master'!S419="","",'Master'!S419)</x:f>
      </x:c>
      <x:c r="S15" s="100" t="str">
        <x:f>IF('Master'!T419="","",'Master'!T419)</x:f>
      </x:c>
      <x:c r="T15" s="100" t="str">
        <x:f>IF('Master'!U419="","",'Master'!U419)</x:f>
      </x:c>
      <x:c r="U15" s="100" t="str">
        <x:f>IF('Master'!V419="","",'Master'!V419)</x:f>
        <x:v>Yes — recovery key</x:v>
      </x:c>
      <x:c r="V15" s="100" t="str">
        <x:f>IF('Master'!W419="","",'Master'!W419)</x:f>
      </x:c>
      <x:c r="W15" s="100" t="str">
        <x:f>IF('Master'!X419="","",'Master'!X419)</x:f>
      </x:c>
      <x:c r="X15" s="100" t="str">
        <x:f>IF('Master'!Y419="","",'Master'!Y419)</x:f>
      </x:c>
      <x:c r="Y15" s="100" t="str">
        <x:f>IF('Master'!Z419="","",'Master'!Z419)</x:f>
      </x:c>
      <x:c r="Z15" s="100" t="str">
        <x:f>IF('Master'!AA419="","",'Master'!AA419)</x:f>
      </x:c>
      <x:c r="AA15" s="104" t="str">
        <x:f>IF('Master'!AB419="","",'Master'!AB419)</x:f>
      </x:c>
      <x:c r="AB15" s="100" t="str">
        <x:f>IF('Master'!AC419="","",'Master'!AC419)</x:f>
      </x:c>
      <x:c r="AC15" s="100" t="str">
        <x:f>IF('Master'!AD419="","",'Master'!AD419)</x:f>
      </x:c>
      <x:c r="AD15" s="100" t="str">
        <x:f>IF('Master'!AE419="","",'Master'!AE419)</x:f>
      </x:c>
      <x:c r="AE15" s="100" t="str">
        <x:f>IF('Master'!AF419="","",'Master'!AF419)</x:f>
      </x:c>
      <x:c r="AF15" s="75" t="str">
        <x:f>IF('Master'!AG419="","",'Master'!AG419)</x:f>
      </x:c>
    </x:row>
    <x:row r="16" ht="22" customHeight="1">
      <x:c r="A16" s="138" t="str">
        <x:v>Identity Model</x:v>
      </x:c>
      <x:c r="B16" s="138" t="str">
        <x:f>IF(""="","","")</x:f>
      </x:c>
      <x:c r="C16" s="138" t="str">
        <x:f>IF(""="","","")</x:f>
      </x:c>
      <x:c r="D16" s="138" t="str">
        <x:f>IF(""="","","")</x:f>
      </x:c>
      <x:c r="E16" s="138" t="str">
        <x:f>IF(""="","","")</x:f>
      </x:c>
      <x:c r="F16" s="138" t="str">
        <x:f>IF(""="","","")</x:f>
      </x:c>
      <x:c r="G16" s="138" t="str">
        <x:f>IF(""="","","")</x:f>
      </x:c>
      <x:c r="H16" s="138" t="str">
        <x:f>IF(""="","","")</x:f>
      </x:c>
      <x:c r="I16" s="138" t="str">
        <x:f>IF(""="","","")</x:f>
      </x:c>
      <x:c r="J16" s="138" t="str">
        <x:f>IF(""="","","")</x:f>
      </x:c>
      <x:c r="K16" s="138" t="str">
        <x:f>IF(""="","","")</x:f>
      </x:c>
      <x:c r="L16" s="138" t="str">
        <x:f>IF(""="","","")</x:f>
      </x:c>
      <x:c r="M16" s="138" t="str">
        <x:f>IF(""="","","")</x:f>
      </x:c>
      <x:c r="N16" s="138" t="str">
        <x:f>IF(""="","","")</x:f>
      </x:c>
      <x:c r="O16" s="138" t="str">
        <x:f>IF(""="","","")</x:f>
      </x:c>
      <x:c r="P16" s="138" t="str">
        <x:f>IF(""="","","")</x:f>
      </x:c>
      <x:c r="Q16" s="138" t="str">
        <x:f>IF(""="","","")</x:f>
      </x:c>
      <x:c r="R16" s="138" t="str">
        <x:f>IF(""="","","")</x:f>
      </x:c>
      <x:c r="S16" s="138" t="str">
        <x:f>IF(""="","","")</x:f>
      </x:c>
      <x:c r="T16" s="138" t="str">
        <x:f>IF(""="","","")</x:f>
      </x:c>
      <x:c r="U16" s="138" t="str">
        <x:f>IF(""="","","")</x:f>
      </x:c>
      <x:c r="V16" s="138" t="str">
        <x:f>IF(""="","","")</x:f>
      </x:c>
      <x:c r="W16" s="138" t="str">
        <x:f>IF(""="","","")</x:f>
      </x:c>
      <x:c r="X16" s="138" t="str">
        <x:f>IF(""="","","")</x:f>
      </x:c>
      <x:c r="Y16" s="138" t="str">
        <x:f>IF(""="","","")</x:f>
      </x:c>
      <x:c r="Z16" s="138" t="str">
        <x:f>IF(""="","","")</x:f>
      </x:c>
      <x:c r="AA16" s="138" t="str">
        <x:f>IF(""="","","")</x:f>
      </x:c>
      <x:c r="AB16" s="138" t="str">
        <x:f>IF(""="","","")</x:f>
      </x:c>
      <x:c r="AC16" s="138" t="str">
        <x:f>IF(""="","","")</x:f>
      </x:c>
      <x:c r="AD16" s="138" t="str">
        <x:f>IF(""="","","")</x:f>
      </x:c>
      <x:c r="AE16" s="138" t="str">
        <x:f>IF(""="","","")</x:f>
      </x:c>
      <x:c r="AF16" s="139" t="str">
        <x:f>IF(""="","","")</x:f>
      </x:c>
    </x:row>
    <x:row r="17" ht="36" customHeight="1">
      <x:c r="A17" s="135" t="str">
        <x:v>Global Unique Username?</x:v>
      </x:c>
      <x:c r="B17" s="100" t="str">
        <x:f>IF('Master'!C420="","",'Master'!C420)</x:f>
        <x:v>Yes / central namespace</x:v>
      </x:c>
      <x:c r="C17" s="100" t="str">
        <x:f>IF('Master'!D420="","",'Master'!D420)</x:f>
      </x:c>
      <x:c r="D17" s="100" t="str">
        <x:f>IF('Master'!E420="","",'Master'!E420)</x:f>
      </x:c>
      <x:c r="E17" s="100" t="str">
        <x:f>IF('Master'!F420="","",'Master'!F420)</x:f>
      </x:c>
      <x:c r="F17" s="100" t="str">
        <x:f>IF('Master'!G420="","",'Master'!G420)</x:f>
      </x:c>
      <x:c r="G17" s="100" t="str">
        <x:f>IF('Master'!H420="","",'Master'!H420)</x:f>
        <x:v>Yes / central namespace</x:v>
      </x:c>
      <x:c r="H17" s="100" t="str">
        <x:f>IF('Master'!I420="","",'Master'!I420)</x:f>
        <x:v>Yes / central namespace</x:v>
      </x:c>
      <x:c r="I17" s="100" t="str">
        <x:f>IF('Master'!J420="","",'Master'!J420)</x:f>
      </x:c>
      <x:c r="J17" s="100" t="str">
        <x:f>IF('Master'!K420="","",'Master'!K420)</x:f>
      </x:c>
      <x:c r="K17" s="100" t="str">
        <x:f>IF('Master'!L420="","",'Master'!L420)</x:f>
        <x:v>Yes — username@domain</x:v>
      </x:c>
      <x:c r="L17" s="100" t="str">
        <x:f>IF('Master'!M420="","",'Master'!M420)</x:f>
      </x:c>
      <x:c r="M17" s="100" t="str">
        <x:f>IF('Master'!N420="","",'Master'!N420)</x:f>
      </x:c>
      <x:c r="N17" s="100" t="str">
        <x:f>IF('Master'!O420="","",'Master'!O420)</x:f>
        <x:v>Homeserver-scoped Matrix ID</x:v>
      </x:c>
      <x:c r="O17" s="100" t="str">
        <x:f>IF('Master'!P420="","",'Master'!P420)</x:f>
      </x:c>
      <x:c r="P17" s="100" t="str">
        <x:f>IF('Master'!Q420="","",'Master'!Q420)</x:f>
      </x:c>
      <x:c r="Q17" s="100" t="str">
        <x:f>IF('Master'!R420="","",'Master'!R420)</x:f>
      </x:c>
      <x:c r="R17" s="100" t="str">
        <x:f>IF('Master'!S420="","",'Master'!S420)</x:f>
      </x:c>
      <x:c r="S17" s="100" t="str">
        <x:f>IF('Master'!T420="","",'Master'!T420)</x:f>
      </x:c>
      <x:c r="T17" s="100" t="str">
        <x:f>IF('Master'!U420="","",'Master'!U420)</x:f>
      </x:c>
      <x:c r="U17" s="100" t="str">
        <x:f>IF('Master'!V420="","",'Master'!V420)</x:f>
        <x:v>Yes / central namespace</x:v>
      </x:c>
      <x:c r="V17" s="100" t="str">
        <x:f>IF('Master'!W420="","",'Master'!W420)</x:f>
      </x:c>
      <x:c r="W17" s="100" t="str">
        <x:f>IF('Master'!X420="","",'Master'!X420)</x:f>
      </x:c>
      <x:c r="X17" s="100" t="str">
        <x:f>IF('Master'!Y420="","",'Master'!Y420)</x:f>
        <x:v>Yes / central namespace</x:v>
      </x:c>
      <x:c r="Y17" s="100" t="str">
        <x:f>IF('Master'!Z420="","",'Master'!Z420)</x:f>
      </x:c>
      <x:c r="Z17" s="100" t="str">
        <x:f>IF('Master'!AA420="","",'Master'!AA420)</x:f>
      </x:c>
      <x:c r="AA17" s="104" t="str">
        <x:f>IF('Master'!AB420="","",'Master'!AB420)</x:f>
      </x:c>
      <x:c r="AB17" s="100" t="str">
        <x:f>IF('Master'!AC420="","",'Master'!AC420)</x:f>
      </x:c>
      <x:c r="AC17" s="100" t="str">
        <x:f>IF('Master'!AD420="","",'Master'!AD420)</x:f>
      </x:c>
      <x:c r="AD17" s="100" t="str">
        <x:f>IF('Master'!AE420="","",'Master'!AE420)</x:f>
      </x:c>
      <x:c r="AE17" s="100" t="str">
        <x:f>IF('Master'!AF420="","",'Master'!AF420)</x:f>
      </x:c>
      <x:c r="AF17" s="75" t="str">
        <x:f>IF('Master'!AG420="","",'Master'!AG420)</x:f>
      </x:c>
    </x:row>
    <x:row r="18" ht="36" customHeight="1">
      <x:c r="A18" s="135" t="str">
        <x:v>Display Name Separate from Username?</x:v>
      </x:c>
      <x:c r="B18" s="100" t="str">
        <x:f>IF('Master'!C421="","",'Master'!C421)</x:f>
        <x:v>Yes</x:v>
      </x:c>
      <x:c r="C18" s="100" t="str">
        <x:f>IF('Master'!D421="","",'Master'!D421)</x:f>
      </x:c>
      <x:c r="D18" s="100" t="str">
        <x:f>IF('Master'!E421="","",'Master'!E421)</x:f>
      </x:c>
      <x:c r="E18" s="100" t="str">
        <x:f>IF('Master'!F421="","",'Master'!F421)</x:f>
      </x:c>
      <x:c r="F18" s="100" t="str">
        <x:f>IF('Master'!G421="","",'Master'!G421)</x:f>
      </x:c>
      <x:c r="G18" s="100" t="str">
        <x:f>IF('Master'!H421="","",'Master'!H421)</x:f>
        <x:v>Yes</x:v>
      </x:c>
      <x:c r="H18" s="100" t="str">
        <x:f>IF('Master'!I421="","",'Master'!I421)</x:f>
      </x:c>
      <x:c r="I18" s="100" t="str">
        <x:f>IF('Master'!J421="","",'Master'!J421)</x:f>
      </x:c>
      <x:c r="J18" s="100" t="str">
        <x:f>IF('Master'!K421="","",'Master'!K421)</x:f>
      </x:c>
      <x:c r="K18" s="100" t="str">
        <x:f>IF('Master'!L421="","",'Master'!L421)</x:f>
        <x:v>Yes</x:v>
      </x:c>
      <x:c r="L18" s="100" t="str">
        <x:f>IF('Master'!M421="","",'Master'!M421)</x:f>
      </x:c>
      <x:c r="M18" s="100" t="str">
        <x:f>IF('Master'!N421="","",'Master'!N421)</x:f>
      </x:c>
      <x:c r="N18" s="100" t="str">
        <x:f>IF('Master'!O421="","",'Master'!O421)</x:f>
        <x:v>Yes</x:v>
      </x:c>
      <x:c r="O18" s="100" t="str">
        <x:f>IF('Master'!P421="","",'Master'!P421)</x:f>
      </x:c>
      <x:c r="P18" s="100" t="str">
        <x:f>IF('Master'!Q421="","",'Master'!Q421)</x:f>
        <x:v>Yes</x:v>
      </x:c>
      <x:c r="Q18" s="100" t="str">
        <x:f>IF('Master'!R421="","",'Master'!R421)</x:f>
      </x:c>
      <x:c r="R18" s="100" t="str">
        <x:f>IF('Master'!S421="","",'Master'!S421)</x:f>
      </x:c>
      <x:c r="S18" s="100" t="str">
        <x:f>IF('Master'!T421="","",'Master'!T421)</x:f>
      </x:c>
      <x:c r="T18" s="100" t="str">
        <x:f>IF('Master'!U421="","",'Master'!U421)</x:f>
      </x:c>
      <x:c r="U18" s="100" t="str">
        <x:f>IF('Master'!V421="","",'Master'!V421)</x:f>
        <x:v>Yes</x:v>
      </x:c>
      <x:c r="V18" s="100" t="str">
        <x:f>IF('Master'!W421="","",'Master'!W421)</x:f>
      </x:c>
      <x:c r="W18" s="100" t="str">
        <x:f>IF('Master'!X421="","",'Master'!X421)</x:f>
      </x:c>
      <x:c r="X18" s="100" t="str">
        <x:f>IF('Master'!Y421="","",'Master'!Y421)</x:f>
        <x:v>Yes</x:v>
      </x:c>
      <x:c r="Y18" s="100" t="str">
        <x:f>IF('Master'!Z421="","",'Master'!Z421)</x:f>
      </x:c>
      <x:c r="Z18" s="100" t="str">
        <x:f>IF('Master'!AA421="","",'Master'!AA421)</x:f>
      </x:c>
      <x:c r="AA18" s="104" t="str">
        <x:f>IF('Master'!AB421="","",'Master'!AB421)</x:f>
      </x:c>
      <x:c r="AB18" s="100" t="str">
        <x:f>IF('Master'!AC421="","",'Master'!AC421)</x:f>
      </x:c>
      <x:c r="AC18" s="100" t="str">
        <x:f>IF('Master'!AD421="","",'Master'!AD421)</x:f>
      </x:c>
      <x:c r="AD18" s="100" t="str">
        <x:f>IF('Master'!AE421="","",'Master'!AE421)</x:f>
      </x:c>
      <x:c r="AE18" s="100" t="str">
        <x:f>IF('Master'!AF421="","",'Master'!AF421)</x:f>
      </x:c>
      <x:c r="AF18" s="75" t="str">
        <x:f>IF('Master'!AG421="","",'Master'!AG421)</x:f>
      </x:c>
    </x:row>
    <x:row r="19" ht="36" customHeight="1">
      <x:c r="A19" s="135" t="str">
        <x:v>Per-Community Profile?</x:v>
      </x:c>
      <x:c r="B19" s="100" t="str">
        <x:f>IF('Master'!C422="","",'Master'!C422)</x:f>
        <x:v>Yes</x:v>
      </x:c>
      <x:c r="C19" s="100" t="str">
        <x:f>IF('Master'!D422="","",'Master'!D422)</x:f>
      </x:c>
      <x:c r="D19" s="100" t="str">
        <x:f>IF('Master'!E422="","",'Master'!E422)</x:f>
      </x:c>
      <x:c r="E19" s="100" t="str">
        <x:f>IF('Master'!F422="","",'Master'!F422)</x:f>
      </x:c>
      <x:c r="F19" s="100" t="str">
        <x:f>IF('Master'!G422="","",'Master'!G422)</x:f>
      </x:c>
      <x:c r="G19" s="100" t="str">
        <x:f>IF('Master'!H422="","",'Master'!H422)</x:f>
        <x:v>Yes</x:v>
      </x:c>
      <x:c r="H19" s="100" t="str">
        <x:f>IF('Master'!I422="","",'Master'!I422)</x:f>
      </x:c>
      <x:c r="I19" s="100" t="str">
        <x:f>IF('Master'!J422="","",'Master'!J422)</x:f>
      </x:c>
      <x:c r="J19" s="100" t="str">
        <x:f>IF('Master'!K422="","",'Master'!K422)</x:f>
      </x:c>
      <x:c r="K19" s="100" t="str">
        <x:f>IF('Master'!L422="","",'Master'!L422)</x:f>
        <x:v>Not specifically documented</x:v>
      </x:c>
      <x:c r="L19" s="100" t="str">
        <x:f>IF('Master'!M422="","",'Master'!M422)</x:f>
      </x:c>
      <x:c r="M19" s="100" t="str">
        <x:f>IF('Master'!N422="","",'Master'!N422)</x:f>
      </x:c>
      <x:c r="N19" s="100" t="str">
        <x:f>IF('Master'!O422="","",'Master'!O422)</x:f>
        <x:v>Client/provider-dependent</x:v>
      </x:c>
      <x:c r="O19" s="100" t="str">
        <x:f>IF('Master'!P422="","",'Master'!P422)</x:f>
      </x:c>
      <x:c r="P19" s="100" t="str">
        <x:f>IF('Master'!Q422="","",'Master'!Q422)</x:f>
      </x:c>
      <x:c r="Q19" s="100" t="str">
        <x:f>IF('Master'!R422="","",'Master'!R422)</x:f>
      </x:c>
      <x:c r="R19" s="100" t="str">
        <x:f>IF('Master'!S422="","",'Master'!S422)</x:f>
      </x:c>
      <x:c r="S19" s="100" t="str">
        <x:f>IF('Master'!T422="","",'Master'!T422)</x:f>
      </x:c>
      <x:c r="T19" s="100" t="str">
        <x:f>IF('Master'!U422="","",'Master'!U422)</x:f>
      </x:c>
      <x:c r="U19" s="100" t="str">
        <x:f>IF('Master'!V422="","",'Master'!V422)</x:f>
        <x:v>yes</x:v>
      </x:c>
      <x:c r="V19" s="100" t="str">
        <x:f>IF('Master'!W422="","",'Master'!W422)</x:f>
      </x:c>
      <x:c r="W19" s="100" t="str">
        <x:f>IF('Master'!X422="","",'Master'!X422)</x:f>
      </x:c>
      <x:c r="X19" s="100" t="str">
        <x:f>IF('Master'!Y422="","",'Master'!Y422)</x:f>
      </x:c>
      <x:c r="Y19" s="100" t="str">
        <x:f>IF('Master'!Z422="","",'Master'!Z422)</x:f>
      </x:c>
      <x:c r="Z19" s="100" t="str">
        <x:f>IF('Master'!AA422="","",'Master'!AA422)</x:f>
      </x:c>
      <x:c r="AA19" s="104" t="str">
        <x:f>IF('Master'!AB422="","",'Master'!AB422)</x:f>
      </x:c>
      <x:c r="AB19" s="100" t="str">
        <x:f>IF('Master'!AC422="","",'Master'!AC422)</x:f>
      </x:c>
      <x:c r="AC19" s="100" t="str">
        <x:f>IF('Master'!AD422="","",'Master'!AD422)</x:f>
      </x:c>
      <x:c r="AD19" s="100" t="str">
        <x:f>IF('Master'!AE422="","",'Master'!AE422)</x:f>
      </x:c>
      <x:c r="AE19" s="100" t="str">
        <x:f>IF('Master'!AF422="","",'Master'!AF422)</x:f>
      </x:c>
      <x:c r="AF19" s="75" t="str">
        <x:f>IF('Master'!AG422="","",'Master'!AG422)</x:f>
      </x:c>
    </x:row>
    <x:row r="20" ht="36" customHeight="1">
      <x:c r="A20" s="135" t="str">
        <x:v>Multiple Accounts Supported?</x:v>
      </x:c>
      <x:c r="B20" s="100" t="str">
        <x:f>IF('Master'!C423="","",'Master'!C423)</x:f>
        <x:v>Desktop Account Switcher up to 5 accounts</x:v>
      </x:c>
      <x:c r="C20" s="100" t="str">
        <x:f>IF('Master'!D423="","",'Master'!D423)</x:f>
        <x:v>Key-based identity</x:v>
      </x:c>
      <x:c r="D20" s="100" t="str">
        <x:f>IF('Master'!E423="","",'Master'!E423)</x:f>
      </x:c>
      <x:c r="E20" s="100" t="str">
        <x:f>IF('Master'!F423="","",'Master'!F423)</x:f>
      </x:c>
      <x:c r="F20" s="100" t="str">
        <x:f>IF('Master'!G423="","",'Master'!G423)</x:f>
      </x:c>
      <x:c r="G20" s="100" t="str">
        <x:f>IF('Master'!H423="","",'Master'!H423)</x:f>
      </x:c>
      <x:c r="H20" s="100" t="str">
        <x:f>IF('Master'!I423="","",'Master'!I423)</x:f>
      </x:c>
      <x:c r="I20" s="100" t="str">
        <x:f>IF('Master'!J423="","",'Master'!J423)</x:f>
      </x:c>
      <x:c r="J20" s="100" t="str">
        <x:f>IF('Master'!K423="","",'Master'!K423)</x:f>
        <x:v>Multi-device identity sync</x:v>
      </x:c>
      <x:c r="K20" s="100" t="str">
        <x:f>IF('Master'!L423="","",'Master'!L423)</x:f>
        <x:v>Not documented</x:v>
      </x:c>
      <x:c r="L20" s="100" t="str">
        <x:f>IF('Master'!M423="","",'Master'!M423)</x:f>
      </x:c>
      <x:c r="M20" s="100" t="str">
        <x:f>IF('Master'!N423="","",'Master'!N423)</x:f>
      </x:c>
      <x:c r="N20" s="100" t="str">
        <x:f>IF('Master'!O423="","",'Master'!O423)</x:f>
        <x:v>Client-dependent; some support multiple accounts</x:v>
      </x:c>
      <x:c r="O20" s="100" t="str">
        <x:f>IF('Master'!P423="","",'Master'!P423)</x:f>
        <x:v>Multiple servers</x:v>
      </x:c>
      <x:c r="P20" s="100" t="str">
        <x:f>IF('Master'!Q423="","",'Master'!Q423)</x:f>
      </x:c>
      <x:c r="Q20" s="100" t="str">
        <x:f>IF('Master'!R423="","",'Master'!R423)</x:f>
        <x:v>Server identity/bookmarks rather than cloud account switching</x:v>
      </x:c>
      <x:c r="R20" s="100" t="str">
        <x:f>IF('Master'!S423="","",'Master'!S423)</x:f>
      </x:c>
      <x:c r="S20" s="100" t="str">
        <x:f>IF('Master'!T423="","",'Master'!T423)</x:f>
      </x:c>
      <x:c r="T20" s="100" t="str">
        <x:f>IF('Master'!U423="","",'Master'!U423)</x:f>
      </x:c>
      <x:c r="U20" s="100" t="str">
        <x:f>IF('Master'!V423="","",'Master'!V423)</x:f>
        <x:v>no</x:v>
      </x:c>
      <x:c r="V20" s="100" t="str">
        <x:f>IF('Master'!W423="","",'Master'!W423)</x:f>
        <x:v>Multiple workspaces</x:v>
      </x:c>
      <x:c r="W20" s="100" t="str">
        <x:f>IF('Master'!X423="","",'Master'!X423)</x:f>
        <x:v>ATProto identity</x:v>
      </x:c>
      <x:c r="X20" s="100" t="str">
        <x:f>IF('Master'!Y423="","",'Master'!Y423)</x:f>
      </x:c>
      <x:c r="Y20" s="100" t="str">
        <x:f>IF('Master'!Z423="","",'Master'!Z423)</x:f>
      </x:c>
      <x:c r="Z20" s="100" t="str">
        <x:f>IF('Master'!AA423="","",'Master'!AA423)</x:f>
      </x:c>
      <x:c r="AA20" s="104" t="str">
        <x:f>IF('Master'!AB423="","",'Master'!AB423)</x:f>
      </x:c>
      <x:c r="AB20" s="100" t="str">
        <x:f>IF('Master'!AC423="","",'Master'!AC423)</x:f>
      </x:c>
      <x:c r="AC20" s="100" t="str">
        <x:f>IF('Master'!AD423="","",'Master'!AD423)</x:f>
      </x:c>
      <x:c r="AD20" s="100" t="str">
        <x:f>IF('Master'!AE423="","",'Master'!AE423)</x:f>
      </x:c>
      <x:c r="AE20" s="100" t="str">
        <x:f>IF('Master'!AF423="","",'Master'!AF423)</x:f>
      </x:c>
      <x:c r="AF20" s="75" t="str">
        <x:f>IF('Master'!AG423="","",'Master'!AG423)</x:f>
        <x:v>Multiple accounts/orgs</x:v>
      </x:c>
    </x:row>
    <x:row r="21" ht="36" customHeight="1">
      <x:c r="A21" s="135" t="str">
        <x:v>Account Switcher Max Accounts</x:v>
      </x:c>
      <x:c r="B21" s="100" t="str">
        <x:f>IF('Master'!C424="","",'Master'!C424)</x:f>
        <x:v>5</x:v>
      </x:c>
      <x:c r="C21" s="100" t="str">
        <x:f>IF('Master'!D424="","",'Master'!D424)</x:f>
      </x:c>
      <x:c r="D21" s="100" t="str">
        <x:f>IF('Master'!E424="","",'Master'!E424)</x:f>
      </x:c>
      <x:c r="E21" s="100" t="str">
        <x:f>IF('Master'!F424="","",'Master'!F424)</x:f>
      </x:c>
      <x:c r="F21" s="100" t="str">
        <x:f>IF('Master'!G424="","",'Master'!G424)</x:f>
      </x:c>
      <x:c r="G21" s="100" t="str">
        <x:f>IF('Master'!H424="","",'Master'!H424)</x:f>
      </x:c>
      <x:c r="H21" s="100" t="str">
        <x:f>IF('Master'!I424="","",'Master'!I424)</x:f>
      </x:c>
      <x:c r="I21" s="100" t="str">
        <x:f>IF('Master'!J424="","",'Master'!J424)</x:f>
      </x:c>
      <x:c r="J21" s="100" t="str">
        <x:f>IF('Master'!K424="","",'Master'!K424)</x:f>
      </x:c>
      <x:c r="K21" s="100" t="str">
        <x:f>IF('Master'!L424="","",'Master'!L424)</x:f>
        <x:v>Not documented</x:v>
      </x:c>
      <x:c r="L21" s="100" t="str">
        <x:f>IF('Master'!M424="","",'Master'!M424)</x:f>
      </x:c>
      <x:c r="M21" s="100" t="str">
        <x:f>IF('Master'!N424="","",'Master'!N424)</x:f>
      </x:c>
      <x:c r="N21" s="100" t="str">
        <x:f>IF('Master'!O424="","",'Master'!O424)</x:f>
      </x:c>
      <x:c r="O21" s="100" t="str">
        <x:f>IF('Master'!P424="","",'Master'!P424)</x:f>
      </x:c>
      <x:c r="P21" s="100" t="str">
        <x:f>IF('Master'!Q424="","",'Master'!Q424)</x:f>
      </x:c>
      <x:c r="Q21" s="100" t="str">
        <x:f>IF('Master'!R424="","",'Master'!R424)</x:f>
      </x:c>
      <x:c r="R21" s="100" t="str">
        <x:f>IF('Master'!S424="","",'Master'!S424)</x:f>
      </x:c>
      <x:c r="S21" s="100" t="str">
        <x:f>IF('Master'!T424="","",'Master'!T424)</x:f>
      </x:c>
      <x:c r="T21" s="100" t="str">
        <x:f>IF('Master'!U424="","",'Master'!U424)</x:f>
      </x:c>
      <x:c r="U21" s="100" t="str">
        <x:f>IF('Master'!V424="","",'Master'!V424)</x:f>
        <x:v>N/A</x:v>
      </x:c>
      <x:c r="V21" s="100" t="str">
        <x:f>IF('Master'!W424="","",'Master'!W424)</x:f>
      </x:c>
      <x:c r="W21" s="100" t="str">
        <x:f>IF('Master'!X424="","",'Master'!X424)</x:f>
      </x:c>
      <x:c r="X21" s="100" t="str">
        <x:f>IF('Master'!Y424="","",'Master'!Y424)</x:f>
      </x:c>
      <x:c r="Y21" s="100" t="str">
        <x:f>IF('Master'!Z424="","",'Master'!Z424)</x:f>
      </x:c>
      <x:c r="Z21" s="100" t="str">
        <x:f>IF('Master'!AA424="","",'Master'!AA424)</x:f>
      </x:c>
      <x:c r="AA21" s="104" t="str">
        <x:f>IF('Master'!AB424="","",'Master'!AB424)</x:f>
      </x:c>
      <x:c r="AB21" s="100" t="str">
        <x:f>IF('Master'!AC424="","",'Master'!AC424)</x:f>
      </x:c>
      <x:c r="AC21" s="100" t="str">
        <x:f>IF('Master'!AD424="","",'Master'!AD424)</x:f>
      </x:c>
      <x:c r="AD21" s="100" t="str">
        <x:f>IF('Master'!AE424="","",'Master'!AE424)</x:f>
      </x:c>
      <x:c r="AE21" s="100" t="str">
        <x:f>IF('Master'!AF424="","",'Master'!AF424)</x:f>
      </x:c>
      <x:c r="AF21" s="75" t="str">
        <x:f>IF('Master'!AG424="","",'Master'!AG424)</x:f>
      </x:c>
    </x:row>
    <x:row r="22" ht="23.100000381469727" customHeight="1">
      <x:c r="A22" s="135" t="str">
        <x:v>Identity Portable Across Servers / Instances?</x:v>
      </x:c>
      <x:c r="B22" s="102" t="str">
        <x:f>IF('Master'!C425="","",'Master'!C425)</x:f>
      </x:c>
      <x:c r="C22" s="102" t="str">
        <x:f>IF('Master'!D425="","",'Master'!D425)</x:f>
      </x:c>
      <x:c r="D22" s="102" t="str">
        <x:f>IF('Master'!E425="","",'Master'!E425)</x:f>
      </x:c>
      <x:c r="E22" s="102" t="str">
        <x:f>IF('Master'!F425="","",'Master'!F425)</x:f>
      </x:c>
      <x:c r="F22" s="102" t="str">
        <x:f>IF('Master'!G425="","",'Master'!G425)</x:f>
      </x:c>
      <x:c r="G22" s="102" t="str">
        <x:f>IF('Master'!H425="","",'Master'!H425)</x:f>
      </x:c>
      <x:c r="H22" s="102" t="str">
        <x:f>IF('Master'!I425="","",'Master'!I425)</x:f>
      </x:c>
      <x:c r="I22" s="102" t="str">
        <x:f>IF('Master'!J425="","",'Master'!J425)</x:f>
      </x:c>
      <x:c r="J22" s="102" t="str">
        <x:f>IF('Master'!K425="","",'Master'!K425)</x:f>
      </x:c>
      <x:c r="K22" s="102" t="str">
        <x:f>IF('Master'!L425="","",'Master'!L425)</x:f>
        <x:v>Federated identity works across instances, but home-instance migration is not documented</x:v>
      </x:c>
      <x:c r="L22" s="102" t="str">
        <x:f>IF('Master'!M425="","",'Master'!M425)</x:f>
      </x:c>
      <x:c r="M22" s="102" t="str">
        <x:f>IF('Master'!N425="","",'Master'!N425)</x:f>
      </x:c>
      <x:c r="N22" s="102" t="str">
        <x:f>IF('Master'!O425="","",'Master'!O425)</x:f>
      </x:c>
      <x:c r="O22" s="102" t="str">
        <x:f>IF('Master'!P425="","",'Master'!P425)</x:f>
      </x:c>
      <x:c r="P22" s="102" t="str">
        <x:f>IF('Master'!Q425="","",'Master'!Q425)</x:f>
      </x:c>
      <x:c r="Q22" s="102" t="str">
        <x:f>IF('Master'!R425="","",'Master'!R425)</x:f>
      </x:c>
      <x:c r="R22" s="102" t="str">
        <x:f>IF('Master'!S425="","",'Master'!S425)</x:f>
      </x:c>
      <x:c r="S22" s="102" t="str">
        <x:f>IF('Master'!T425="","",'Master'!T425)</x:f>
      </x:c>
      <x:c r="T22" s="102" t="str">
        <x:f>IF('Master'!U425="","",'Master'!U425)</x:f>
      </x:c>
      <x:c r="U22" s="102" t="str">
        <x:f>IF('Master'!V425="","",'Master'!V425)</x:f>
        <x:v>N/A</x:v>
      </x:c>
      <x:c r="V22" s="102" t="str">
        <x:f>IF('Master'!W425="","",'Master'!W425)</x:f>
      </x:c>
      <x:c r="W22" s="102" t="str">
        <x:f>IF('Master'!X425="","",'Master'!X425)</x:f>
      </x:c>
      <x:c r="X22" s="102" t="str">
        <x:f>IF('Master'!Y425="","",'Master'!Y425)</x:f>
      </x:c>
      <x:c r="Y22" s="102" t="str">
        <x:f>IF('Master'!Z425="","",'Master'!Z425)</x:f>
      </x:c>
      <x:c r="Z22" s="102" t="str">
        <x:f>IF('Master'!AA425="","",'Master'!AA425)</x:f>
      </x:c>
      <x:c r="AA22" s="103" t="str">
        <x:f>IF('Master'!AB425="","",'Master'!AB425)</x:f>
      </x:c>
      <x:c r="AB22" s="102" t="str">
        <x:f>IF('Master'!AC425="","",'Master'!AC425)</x:f>
      </x:c>
      <x:c r="AC22" s="102" t="str">
        <x:f>IF('Master'!AD425="","",'Master'!AD425)</x:f>
      </x:c>
      <x:c r="AD22" s="102" t="str">
        <x:f>IF('Master'!AE425="","",'Master'!AE425)</x:f>
      </x:c>
      <x:c r="AE22" s="102" t="str">
        <x:f>IF('Master'!AF425="","",'Master'!AF425)</x:f>
      </x:c>
      <x:c r="AF22" s="75" t="str">
        <x:f>IF('Master'!AG425="","",'Master'!AG425)</x:f>
      </x:c>
    </x:row>
    <x:row r="23" ht="22" customHeight="1">
      <x:c r="A23" s="138" t="str">
        <x:v>Account Lifecycle</x:v>
      </x:c>
      <x:c r="B23" s="138" t="str">
        <x:f>IF(""="","","")</x:f>
      </x:c>
      <x:c r="C23" s="138" t="str">
        <x:f>IF(""="","","")</x:f>
      </x:c>
      <x:c r="D23" s="138" t="str">
        <x:f>IF(""="","","")</x:f>
      </x:c>
      <x:c r="E23" s="138" t="str">
        <x:f>IF(""="","","")</x:f>
      </x:c>
      <x:c r="F23" s="138" t="str">
        <x:f>IF(""="","","")</x:f>
      </x:c>
      <x:c r="G23" s="138" t="str">
        <x:f>IF(""="","","")</x:f>
      </x:c>
      <x:c r="H23" s="138" t="str">
        <x:f>IF(""="","","")</x:f>
      </x:c>
      <x:c r="I23" s="138" t="str">
        <x:f>IF(""="","","")</x:f>
      </x:c>
      <x:c r="J23" s="138" t="str">
        <x:f>IF(""="","","")</x:f>
      </x:c>
      <x:c r="K23" s="138" t="str">
        <x:f>IF(""="","","")</x:f>
      </x:c>
      <x:c r="L23" s="138" t="str">
        <x:f>IF(""="","","")</x:f>
      </x:c>
      <x:c r="M23" s="138" t="str">
        <x:f>IF(""="","","")</x:f>
      </x:c>
      <x:c r="N23" s="138" t="str">
        <x:f>IF(""="","","")</x:f>
      </x:c>
      <x:c r="O23" s="138" t="str">
        <x:f>IF(""="","","")</x:f>
      </x:c>
      <x:c r="P23" s="138" t="str">
        <x:f>IF(""="","","")</x:f>
      </x:c>
      <x:c r="Q23" s="138" t="str">
        <x:f>IF(""="","","")</x:f>
      </x:c>
      <x:c r="R23" s="138" t="str">
        <x:f>IF(""="","","")</x:f>
      </x:c>
      <x:c r="S23" s="138" t="str">
        <x:f>IF(""="","","")</x:f>
      </x:c>
      <x:c r="T23" s="138" t="str">
        <x:f>IF(""="","","")</x:f>
      </x:c>
      <x:c r="U23" s="138" t="str">
        <x:f>IF(""="","","")</x:f>
      </x:c>
      <x:c r="V23" s="138" t="str">
        <x:f>IF(""="","","")</x:f>
      </x:c>
      <x:c r="W23" s="138" t="str">
        <x:f>IF(""="","","")</x:f>
      </x:c>
      <x:c r="X23" s="138" t="str">
        <x:f>IF(""="","","")</x:f>
      </x:c>
      <x:c r="Y23" s="138" t="str">
        <x:f>IF(""="","","")</x:f>
      </x:c>
      <x:c r="Z23" s="138" t="str">
        <x:f>IF(""="","","")</x:f>
      </x:c>
      <x:c r="AA23" s="138" t="str">
        <x:f>IF(""="","","")</x:f>
      </x:c>
      <x:c r="AB23" s="138" t="str">
        <x:f>IF(""="","","")</x:f>
      </x:c>
      <x:c r="AC23" s="138" t="str">
        <x:f>IF(""="","","")</x:f>
      </x:c>
      <x:c r="AD23" s="138" t="str">
        <x:f>IF(""="","","")</x:f>
      </x:c>
      <x:c r="AE23" s="138" t="str">
        <x:f>IF(""="","","")</x:f>
      </x:c>
      <x:c r="AF23" s="139" t="str">
        <x:f>IF(""="","","")</x:f>
      </x:c>
    </x:row>
    <x:row r="24" ht="36" customHeight="1">
      <x:c r="A24" s="135" t="str">
        <x:v>Minimum Age</x:v>
      </x:c>
      <x:c r="B24" s="100" t="str">
        <x:f>IF('Master'!C426="","",'Master'!C426)</x:f>
      </x:c>
      <x:c r="C24" s="100" t="str">
        <x:f>IF('Master'!D426="","",'Master'!D426)</x:f>
      </x:c>
      <x:c r="D24" s="100" t="str">
        <x:f>IF('Master'!E426="","",'Master'!E426)</x:f>
      </x:c>
      <x:c r="E24" s="100" t="str">
        <x:f>IF('Master'!F426="","",'Master'!F426)</x:f>
      </x:c>
      <x:c r="F24" s="100" t="str">
        <x:f>IF('Master'!G426="","",'Master'!G426)</x:f>
      </x:c>
      <x:c r="G24" s="100" t="str">
        <x:f>IF('Master'!H426="","",'Master'!H426)</x:f>
      </x:c>
      <x:c r="H24" s="100" t="str">
        <x:f>IF('Master'!I426="","",'Master'!I426)</x:f>
      </x:c>
      <x:c r="I24" s="100" t="str">
        <x:f>IF('Master'!J426="","",'Master'!J426)</x:f>
      </x:c>
      <x:c r="J24" s="100" t="str">
        <x:f>IF('Master'!K426="","",'Master'!K426)</x:f>
      </x:c>
      <x:c r="K24" s="100" t="str">
        <x:f>IF('Master'!L426="","",'Master'!L426)</x:f>
        <x:v>Operator-configurable legal minimum age when custom policy pages are enabled; no single Kaede-wide age</x:v>
      </x:c>
      <x:c r="L24" s="100" t="str">
        <x:f>IF('Master'!M426="","",'Master'!M426)</x:f>
      </x:c>
      <x:c r="M24" s="100" t="str">
        <x:f>IF('Master'!N426="","",'Master'!N426)</x:f>
      </x:c>
      <x:c r="N24" s="100" t="str">
        <x:f>IF('Master'!O426="","",'Master'!O426)</x:f>
      </x:c>
      <x:c r="O24" s="100" t="str">
        <x:f>IF('Master'!P426="","",'Master'!P426)</x:f>
      </x:c>
      <x:c r="P24" s="100" t="str">
        <x:f>IF('Master'!Q426="","",'Master'!Q426)</x:f>
      </x:c>
      <x:c r="Q24" s="100" t="str">
        <x:f>IF('Master'!R426="","",'Master'!R426)</x:f>
      </x:c>
      <x:c r="R24" s="100" t="str">
        <x:f>IF('Master'!S426="","",'Master'!S426)</x:f>
      </x:c>
      <x:c r="S24" s="100" t="str">
        <x:f>IF('Master'!T426="","",'Master'!T426)</x:f>
      </x:c>
      <x:c r="T24" s="100" t="str">
        <x:f>IF('Master'!U426="","",'Master'!U426)</x:f>
      </x:c>
      <x:c r="U24" s="100" t="str">
        <x:f>IF('Master'!V426="","",'Master'!V426)</x:f>
        <x:v>18+</x:v>
      </x:c>
      <x:c r="V24" s="100" t="str">
        <x:f>IF('Master'!W426="","",'Master'!W426)</x:f>
      </x:c>
      <x:c r="W24" s="100" t="str">
        <x:f>IF('Master'!X426="","",'Master'!X426)</x:f>
      </x:c>
      <x:c r="X24" s="100" t="str">
        <x:f>IF('Master'!Y426="","",'Master'!Y426)</x:f>
      </x:c>
      <x:c r="Y24" s="100" t="str">
        <x:f>IF('Master'!Z426="","",'Master'!Z426)</x:f>
      </x:c>
      <x:c r="Z24" s="100" t="str">
        <x:f>IF('Master'!AA426="","",'Master'!AA426)</x:f>
      </x:c>
      <x:c r="AA24" s="104" t="str">
        <x:f>IF('Master'!AB426="","",'Master'!AB426)</x:f>
      </x:c>
      <x:c r="AB24" s="100" t="str">
        <x:f>IF('Master'!AC426="","",'Master'!AC426)</x:f>
      </x:c>
      <x:c r="AC24" s="100" t="str">
        <x:f>IF('Master'!AD426="","",'Master'!AD426)</x:f>
      </x:c>
      <x:c r="AD24" s="100" t="str">
        <x:f>IF('Master'!AE426="","",'Master'!AE426)</x:f>
      </x:c>
      <x:c r="AE24" s="100" t="str">
        <x:f>IF('Master'!AF426="","",'Master'!AF426)</x:f>
      </x:c>
      <x:c r="AF24" s="75" t="str">
        <x:f>IF('Master'!AG426="","",'Master'!AG426)</x:f>
      </x:c>
    </x:row>
    <x:row r="25" ht="36" customHeight="1">
      <x:c r="A25" s="135" t="str">
        <x:v>Self-Service Account Deletion?</x:v>
      </x:c>
      <x:c r="B25" s="100" t="str">
        <x:f>IF('Master'!C427="","",'Master'!C427)</x:f>
        <x:v>Yes</x:v>
      </x:c>
      <x:c r="C25" s="100" t="str">
        <x:f>IF('Master'!D427="","",'Master'!D427)</x:f>
      </x:c>
      <x:c r="D25" s="100" t="str">
        <x:f>IF('Master'!E427="","",'Master'!E427)</x:f>
      </x:c>
      <x:c r="E25" s="100" t="str">
        <x:f>IF('Master'!F427="","",'Master'!F427)</x:f>
      </x:c>
      <x:c r="F25" s="100" t="str">
        <x:f>IF('Master'!G427="","",'Master'!G427)</x:f>
      </x:c>
      <x:c r="G25" s="100" t="str">
        <x:f>IF('Master'!H427="","",'Master'!H427)</x:f>
        <x:v>Yes</x:v>
      </x:c>
      <x:c r="H25" s="100" t="str">
        <x:f>IF('Master'!I427="","",'Master'!I427)</x:f>
      </x:c>
      <x:c r="I25" s="100" t="str">
        <x:f>IF('Master'!J427="","",'Master'!J427)</x:f>
      </x:c>
      <x:c r="J25" s="100" t="str">
        <x:f>IF('Master'!K427="","",'Master'!K427)</x:f>
      </x:c>
      <x:c r="K25" s="100" t="str">
        <x:f>IF('Master'!L427="","",'Master'!L427)</x:f>
        <x:v>No — operator guide explicitly says no self-service account-deletion control</x:v>
      </x:c>
      <x:c r="L25" s="100" t="str">
        <x:f>IF('Master'!M427="","",'Master'!M427)</x:f>
      </x:c>
      <x:c r="M25" s="100" t="str">
        <x:f>IF('Master'!N427="","",'Master'!N427)</x:f>
      </x:c>
      <x:c r="N25" s="100" t="str">
        <x:f>IF('Master'!O427="","",'Master'!O427)</x:f>
      </x:c>
      <x:c r="O25" s="100" t="str">
        <x:f>IF('Master'!P427="","",'Master'!P427)</x:f>
      </x:c>
      <x:c r="P25" s="100" t="str">
        <x:f>IF('Master'!Q427="","",'Master'!Q427)</x:f>
        <x:v>Yes</x:v>
      </x:c>
      <x:c r="Q25" s="100" t="str">
        <x:f>IF('Master'!R427="","",'Master'!R427)</x:f>
      </x:c>
      <x:c r="R25" s="100" t="str">
        <x:f>IF('Master'!S427="","",'Master'!S427)</x:f>
      </x:c>
      <x:c r="S25" s="100" t="str">
        <x:f>IF('Master'!T427="","",'Master'!T427)</x:f>
      </x:c>
      <x:c r="T25" s="100" t="str">
        <x:f>IF('Master'!U427="","",'Master'!U427)</x:f>
      </x:c>
      <x:c r="U25" s="100" t="str">
        <x:f>IF('Master'!V427="","",'Master'!V427)</x:f>
        <x:v>Yes</x:v>
      </x:c>
      <x:c r="V25" s="100" t="str">
        <x:f>IF('Master'!W427="","",'Master'!W427)</x:f>
      </x:c>
      <x:c r="W25" s="100" t="str">
        <x:f>IF('Master'!X427="","",'Master'!X427)</x:f>
      </x:c>
      <x:c r="X25" s="100" t="str">
        <x:f>IF('Master'!Y427="","",'Master'!Y427)</x:f>
        <x:v>Yes</x:v>
      </x:c>
      <x:c r="Y25" s="100" t="str">
        <x:f>IF('Master'!Z427="","",'Master'!Z427)</x:f>
      </x:c>
      <x:c r="Z25" s="100" t="str">
        <x:f>IF('Master'!AA427="","",'Master'!AA427)</x:f>
      </x:c>
      <x:c r="AA25" s="104" t="str">
        <x:f>IF('Master'!AB427="","",'Master'!AB427)</x:f>
      </x:c>
      <x:c r="AB25" s="100" t="str">
        <x:f>IF('Master'!AC427="","",'Master'!AC427)</x:f>
      </x:c>
      <x:c r="AC25" s="100" t="str">
        <x:f>IF('Master'!AD427="","",'Master'!AD427)</x:f>
      </x:c>
      <x:c r="AD25" s="100" t="str">
        <x:f>IF('Master'!AE427="","",'Master'!AE427)</x:f>
      </x:c>
      <x:c r="AE25" s="100" t="str">
        <x:f>IF('Master'!AF427="","",'Master'!AF427)</x:f>
      </x:c>
      <x:c r="AF25" s="75" t="str">
        <x:f>IF('Master'!AG427="","",'Master'!AG427)</x:f>
      </x:c>
    </x:row>
    <x:row r="26" ht="23.100000381469727" customHeight="1">
      <x:c r="A26" s="135" t="str">
        <x:v>Account Deletion Retention</x:v>
      </x:c>
      <x:c r="B26" s="102" t="str">
        <x:f>IF('Master'!C428="","",'Master'!C428)</x:f>
      </x:c>
      <x:c r="C26" s="102" t="str">
        <x:f>IF('Master'!D428="","",'Master'!D428)</x:f>
      </x:c>
      <x:c r="D26" s="102" t="str">
        <x:f>IF('Master'!E428="","",'Master'!E428)</x:f>
      </x:c>
      <x:c r="E26" s="102" t="str">
        <x:f>IF('Master'!F428="","",'Master'!F428)</x:f>
      </x:c>
      <x:c r="F26" s="102" t="str">
        <x:f>IF('Master'!G428="","",'Master'!G428)</x:f>
      </x:c>
      <x:c r="G26" s="102" t="str">
        <x:f>IF('Master'!H428="","",'Master'!H428)</x:f>
      </x:c>
      <x:c r="H26" s="102" t="str">
        <x:f>IF('Master'!I428="","",'Master'!I428)</x:f>
      </x:c>
      <x:c r="I26" s="102" t="str">
        <x:f>IF('Master'!J428="","",'Master'!J428)</x:f>
      </x:c>
      <x:c r="J26" s="102" t="str">
        <x:f>IF('Master'!K428="","",'Master'!K428)</x:f>
      </x:c>
      <x:c r="K26" s="102" t="str">
        <x:f>IF('Master'!L428="","",'Master'!L428)</x:f>
        <x:v>Operator/request workflow; exact purge window is deployment-specific/not publicly fixed</x:v>
      </x:c>
      <x:c r="L26" s="102" t="str">
        <x:f>IF('Master'!M428="","",'Master'!M428)</x:f>
      </x:c>
      <x:c r="M26" s="102" t="str">
        <x:f>IF('Master'!N428="","",'Master'!N428)</x:f>
      </x:c>
      <x:c r="N26" s="102" t="str">
        <x:f>IF('Master'!O428="","",'Master'!O428)</x:f>
      </x:c>
      <x:c r="O26" s="102" t="str">
        <x:f>IF('Master'!P428="","",'Master'!P428)</x:f>
      </x:c>
      <x:c r="P26" s="102" t="str">
        <x:f>IF('Master'!Q428="","",'Master'!Q428)</x:f>
      </x:c>
      <x:c r="Q26" s="102" t="str">
        <x:f>IF('Master'!R428="","",'Master'!R428)</x:f>
      </x:c>
      <x:c r="R26" s="102" t="str">
        <x:f>IF('Master'!S428="","",'Master'!S428)</x:f>
      </x:c>
      <x:c r="S26" s="102" t="str">
        <x:f>IF('Master'!T428="","",'Master'!T428)</x:f>
      </x:c>
      <x:c r="T26" s="102" t="str">
        <x:f>IF('Master'!U428="","",'Master'!U428)</x:f>
      </x:c>
      <x:c r="U26" s="102" t="str">
        <x:f>IF('Master'!V428="","",'Master'!V428)</x:f>
      </x:c>
      <x:c r="V26" s="102" t="str">
        <x:f>IF('Master'!W428="","",'Master'!W428)</x:f>
      </x:c>
      <x:c r="W26" s="102" t="str">
        <x:f>IF('Master'!X428="","",'Master'!X428)</x:f>
      </x:c>
      <x:c r="X26" s="102" t="str">
        <x:f>IF('Master'!Y428="","",'Master'!Y428)</x:f>
      </x:c>
      <x:c r="Y26" s="102" t="str">
        <x:f>IF('Master'!Z428="","",'Master'!Z428)</x:f>
      </x:c>
      <x:c r="Z26" s="102" t="str">
        <x:f>IF('Master'!AA428="","",'Master'!AA428)</x:f>
      </x:c>
      <x:c r="AA26" s="103" t="str">
        <x:f>IF('Master'!AB428="","",'Master'!AB428)</x:f>
      </x:c>
      <x:c r="AB26" s="102" t="str">
        <x:f>IF('Master'!AC428="","",'Master'!AC428)</x:f>
      </x:c>
      <x:c r="AC26" s="102" t="str">
        <x:f>IF('Master'!AD428="","",'Master'!AD428)</x:f>
      </x:c>
      <x:c r="AD26" s="102" t="str">
        <x:f>IF('Master'!AE428="","",'Master'!AE428)</x:f>
      </x:c>
      <x:c r="AE26" s="102" t="str">
        <x:f>IF('Master'!AF428="","",'Master'!AF428)</x:f>
      </x:c>
      <x:c r="AF26" s="75" t="str">
        <x:f>IF('Master'!AG428="","",'Master'!AG428)</x:f>
      </x:c>
    </x:row>
    <x:row r="27" ht="36" customHeight="1">
      <x:c r="A27" s="135" t="str">
        <x:v>Inactive Account Deletion Policy</x:v>
      </x:c>
      <x:c r="B27" s="100" t="str">
        <x:f>IF('Master'!C429="","",'Master'!C429)</x:f>
        <x:v>May delete inactive accounts after 2 years</x:v>
      </x:c>
      <x:c r="C27" s="100" t="str">
        <x:f>IF('Master'!D429="","",'Master'!D429)</x:f>
      </x:c>
      <x:c r="D27" s="100" t="str">
        <x:f>IF('Master'!E429="","",'Master'!E429)</x:f>
      </x:c>
      <x:c r="E27" s="100" t="str">
        <x:f>IF('Master'!F429="","",'Master'!F429)</x:f>
      </x:c>
      <x:c r="F27" s="100" t="str">
        <x:f>IF('Master'!G429="","",'Master'!G429)</x:f>
      </x:c>
      <x:c r="G27" s="100" t="str">
        <x:f>IF('Master'!H429="","",'Master'!H429)</x:f>
      </x:c>
      <x:c r="H27" s="100" t="str">
        <x:f>IF('Master'!I429="","",'Master'!I429)</x:f>
      </x:c>
      <x:c r="I27" s="100" t="str">
        <x:f>IF('Master'!J429="","",'Master'!J429)</x:f>
      </x:c>
      <x:c r="J27" s="100" t="str">
        <x:f>IF('Master'!K429="","",'Master'!K429)</x:f>
      </x:c>
      <x:c r="K27" s="100" t="str">
        <x:f>IF('Master'!L429="","",'Master'!L429)</x:f>
        <x:v>Not documented</x:v>
      </x:c>
      <x:c r="L27" s="100" t="str">
        <x:f>IF('Master'!M429="","",'Master'!M429)</x:f>
      </x:c>
      <x:c r="M27" s="100" t="str">
        <x:f>IF('Master'!N429="","",'Master'!N429)</x:f>
      </x:c>
      <x:c r="N27" s="100" t="str">
        <x:f>IF('Master'!O429="","",'Master'!O429)</x:f>
      </x:c>
      <x:c r="O27" s="100" t="str">
        <x:f>IF('Master'!P429="","",'Master'!P429)</x:f>
      </x:c>
      <x:c r="P27" s="100" t="str">
        <x:f>IF('Master'!Q429="","",'Master'!Q429)</x:f>
      </x:c>
      <x:c r="Q27" s="100" t="str">
        <x:f>IF('Master'!R429="","",'Master'!R429)</x:f>
      </x:c>
      <x:c r="R27" s="100" t="str">
        <x:f>IF('Master'!S429="","",'Master'!S429)</x:f>
      </x:c>
      <x:c r="S27" s="100" t="str">
        <x:f>IF('Master'!T429="","",'Master'!T429)</x:f>
      </x:c>
      <x:c r="T27" s="100" t="str">
        <x:f>IF('Master'!U429="","",'Master'!U429)</x:f>
      </x:c>
      <x:c r="U27" s="100" t="str">
        <x:f>IF('Master'!V429="","",'Master'!V429)</x:f>
      </x:c>
      <x:c r="V27" s="100" t="str">
        <x:f>IF('Master'!W429="","",'Master'!W429)</x:f>
      </x:c>
      <x:c r="W27" s="100" t="str">
        <x:f>IF('Master'!X429="","",'Master'!X429)</x:f>
      </x:c>
      <x:c r="X27" s="100" t="str">
        <x:f>IF('Master'!Y429="","",'Master'!Y429)</x:f>
      </x:c>
      <x:c r="Y27" s="100" t="str">
        <x:f>IF('Master'!Z429="","",'Master'!Z429)</x:f>
      </x:c>
      <x:c r="Z27" s="100" t="str">
        <x:f>IF('Master'!AA429="","",'Master'!AA429)</x:f>
      </x:c>
      <x:c r="AA27" s="104" t="str">
        <x:f>IF('Master'!AB429="","",'Master'!AB429)</x:f>
      </x:c>
      <x:c r="AB27" s="100" t="str">
        <x:f>IF('Master'!AC429="","",'Master'!AC429)</x:f>
      </x:c>
      <x:c r="AC27" s="100" t="str">
        <x:f>IF('Master'!AD429="","",'Master'!AD429)</x:f>
      </x:c>
      <x:c r="AD27" s="100" t="str">
        <x:f>IF('Master'!AE429="","",'Master'!AE429)</x:f>
      </x:c>
      <x:c r="AE27" s="100" t="str">
        <x:f>IF('Master'!AF429="","",'Master'!AF429)</x:f>
      </x:c>
      <x:c r="AF27" s="75" t="str">
        <x:f>IF('Master'!AG429="","",'Master'!AG429)</x:f>
      </x:c>
    </x:row>
    <x:row r="28" ht="23.100000381469727" customHeight="1">
      <x:c r="A28" s="135" t="str">
        <x:v>Source &amp; Notes</x:v>
      </x:c>
      <x:c r="B28" s="102" t="str">
        <x:f>IF('Master'!C430="","",'Master'!C430)</x:f>
      </x:c>
      <x:c r="C28" s="102" t="str">
        <x:f>IF('Master'!D430="","",'Master'!D430)</x:f>
      </x:c>
      <x:c r="D28" s="102" t="str">
        <x:f>IF('Master'!E430="","",'Master'!E430)</x:f>
      </x:c>
      <x:c r="E28" s="102" t="str">
        <x:f>IF('Master'!F430="","",'Master'!F430)</x:f>
      </x:c>
      <x:c r="F28" s="102" t="str">
        <x:f>IF('Master'!G430="","",'Master'!G430)</x:f>
      </x:c>
      <x:c r="G28" s="102" t="str">
        <x:f>IF('Master'!H430="","",'Master'!H430)</x:f>
      </x:c>
      <x:c r="H28" s="102" t="str">
        <x:f>IF('Master'!I430="","",'Master'!I430)</x:f>
      </x:c>
      <x:c r="I28" s="102" t="str">
        <x:f>IF('Master'!J430="","",'Master'!J430)</x:f>
      </x:c>
      <x:c r="J28" s="102" t="str">
        <x:f>IF('Master'!K430="","",'Master'!K430)</x:f>
      </x:c>
      <x:c r="K28" s="102" t="str">
        <x:f>IF('Master'!L430="","",'Master'!L430)</x:f>
      </x:c>
      <x:c r="L28" s="102" t="str">
        <x:f>IF('Master'!M430="","",'Master'!M430)</x:f>
      </x:c>
      <x:c r="M28" s="102" t="str">
        <x:f>IF('Master'!N430="","",'Master'!N430)</x:f>
      </x:c>
      <x:c r="N28" s="102" t="str">
        <x:f>IF('Master'!O430="","",'Master'!O430)</x:f>
      </x:c>
      <x:c r="O28" s="102" t="str">
        <x:f>IF('Master'!P430="","",'Master'!P430)</x:f>
      </x:c>
      <x:c r="P28" s="102" t="str">
        <x:f>IF('Master'!Q430="","",'Master'!Q430)</x:f>
      </x:c>
      <x:c r="Q28" s="102" t="str">
        <x:f>IF('Master'!R430="","",'Master'!R430)</x:f>
      </x:c>
      <x:c r="R28" s="102" t="str">
        <x:f>IF('Master'!S430="","",'Master'!S430)</x:f>
      </x:c>
      <x:c r="S28" s="102" t="str">
        <x:f>IF('Master'!T430="","",'Master'!T430)</x:f>
      </x:c>
      <x:c r="T28" s="102" t="str">
        <x:f>IF('Master'!U430="","",'Master'!U430)</x:f>
        <x:v>Hosted account system uses Clerk; exact signup/recovery field requirements were not provided</x:v>
      </x:c>
      <x:c r="U28" s="102" t="str">
        <x:f>IF('Master'!V430="","",'Master'!V430)</x:f>
      </x:c>
      <x:c r="V28" s="102" t="str">
        <x:f>IF('Master'!W430="","",'Master'!W430)</x:f>
      </x:c>
      <x:c r="W28" s="102" t="str">
        <x:f>IF('Master'!X430="","",'Master'!X430)</x:f>
      </x:c>
      <x:c r="X28" s="102" t="str">
        <x:f>IF('Master'!Y430="","",'Master'!Y430)</x:f>
      </x:c>
      <x:c r="Y28" s="102" t="str">
        <x:f>IF('Master'!Z430="","",'Master'!Z430)</x:f>
      </x:c>
      <x:c r="Z28" s="102" t="str">
        <x:f>IF('Master'!AA430="","",'Master'!AA430)</x:f>
      </x:c>
      <x:c r="AA28" s="103" t="str">
        <x:f>IF('Master'!AB430="","",'Master'!AB430)</x:f>
      </x:c>
      <x:c r="AB28" s="102" t="str">
        <x:f>IF('Master'!AC430="","",'Master'!AC430)</x:f>
      </x:c>
      <x:c r="AC28" s="102" t="str">
        <x:f>IF('Master'!AD430="","",'Master'!AD430)</x:f>
      </x:c>
      <x:c r="AD28" s="102" t="str">
        <x:f>IF('Master'!AE430="","",'Master'!AE430)</x:f>
      </x:c>
      <x:c r="AE28" s="102" t="str">
        <x:f>IF('Master'!AF430="","",'Master'!AF430)</x:f>
      </x:c>
      <x:c r="AF28" s="75" t="str">
        <x:f>IF('Master'!AG430="","",'Master'!AG430)</x:f>
      </x:c>
    </x:row>
    <x:row r="29" ht="36" customHeight="1">
      <x:c r="A29" s="135" t="str">
        <x:v>Account / Identity Source URL</x:v>
      </x:c>
      <x:c r="B29" s="100" t="str">
        <x:f>IF('Master'!C431="","",'Master'!C431)</x:f>
        <x:v>https://support.discord.com/hc/en-us/articles/31676852332439-Discord-Sign-Up-and-Registration-Guide</x:v>
      </x:c>
      <x:c r="C29" s="100" t="str">
        <x:f>IF('Master'!D431="","",'Master'!D431)</x:f>
        <x:v>See Research Sources</x:v>
      </x:c>
      <x:c r="D29" s="100" t="str">
        <x:f>IF('Master'!E431="","",'Master'!E431)</x:f>
        <x:v>See Research Sources</x:v>
      </x:c>
      <x:c r="E29" s="100" t="str">
        <x:f>IF('Master'!F431="","",'Master'!F431)</x:f>
        <x:v>See Research Sources</x:v>
      </x:c>
      <x:c r="F29" s="100" t="str">
        <x:f>IF('Master'!G431="","",'Master'!G431)</x:f>
        <x:v>See Research Sources</x:v>
      </x:c>
      <x:c r="G29" s="100" t="str">
        <x:f>IF('Master'!H431="","",'Master'!H431)</x:f>
        <x:v>See Research Sources</x:v>
      </x:c>
      <x:c r="H29" s="100" t="str">
        <x:f>IF('Master'!I431="","",'Master'!I431)</x:f>
        <x:v>See Research Sources</x:v>
      </x:c>
      <x:c r="I29" s="100" t="str">
        <x:f>IF('Master'!J431="","",'Master'!J431)</x:f>
        <x:v>See Research Sources</x:v>
      </x:c>
      <x:c r="J29" s="100" t="str">
        <x:f>IF('Master'!K431="","",'Master'!K431)</x:f>
        <x:v>See Research Sources</x:v>
      </x:c>
      <x:c r="K29" s="100" t="str">
        <x:f>IF('Master'!L431="","",'Master'!L431)</x:f>
        <x:v>https://github.com/CookieNom/KaedeChat/blob/main/docs/operator.md</x:v>
      </x:c>
      <x:c r="L29" s="100" t="str">
        <x:f>IF('Master'!M431="","",'Master'!M431)</x:f>
        <x:v>See Research Sources</x:v>
      </x:c>
      <x:c r="M29" s="100" t="str">
        <x:f>IF('Master'!N431="","",'Master'!N431)</x:f>
        <x:v>See Research Sources</x:v>
      </x:c>
      <x:c r="N29" s="100" t="str">
        <x:f>IF('Master'!O431="","",'Master'!O431)</x:f>
        <x:v>See Research Sources</x:v>
      </x:c>
      <x:c r="O29" s="100" t="str">
        <x:f>IF('Master'!P431="","",'Master'!P431)</x:f>
        <x:v>See Research Sources</x:v>
      </x:c>
      <x:c r="P29" s="100" t="str">
        <x:f>IF('Master'!Q431="","",'Master'!Q431)</x:f>
        <x:v>See Research Sources</x:v>
      </x:c>
      <x:c r="Q29" s="100" t="str">
        <x:f>IF('Master'!R431="","",'Master'!R431)</x:f>
        <x:v>See Research Sources</x:v>
      </x:c>
      <x:c r="R29" s="100" t="str">
        <x:f>IF('Master'!S431="","",'Master'!S431)</x:f>
        <x:v>See Research Sources</x:v>
      </x:c>
      <x:c r="S29" s="100" t="str">
        <x:f>IF('Master'!T431="","",'Master'!T431)</x:f>
        <x:v>See Research Sources</x:v>
      </x:c>
      <x:c r="T29" s="100" t="str">
        <x:f>IF('Master'!U431="","",'Master'!U431)</x:f>
        <x:v>See Research Sources</x:v>
      </x:c>
      <x:c r="U29" s="100" t="str">
        <x:f>IF('Master'!V431="","",'Master'!V431)</x:f>
        <x:v>https://therift.chat/about/</x:v>
      </x:c>
      <x:c r="V29" s="100" t="str">
        <x:f>IF('Master'!W431="","",'Master'!W431)</x:f>
        <x:v>See Research Sources</x:v>
      </x:c>
      <x:c r="W29" s="100" t="str">
        <x:f>IF('Master'!X431="","",'Master'!X431)</x:f>
        <x:v>See Research Sources</x:v>
      </x:c>
      <x:c r="X29" s="100" t="str">
        <x:f>IF('Master'!Y431="","",'Master'!Y431)</x:f>
        <x:v>See Research Sources</x:v>
      </x:c>
      <x:c r="Y29" s="100" t="str">
        <x:f>IF('Master'!Z431="","",'Master'!Z431)</x:f>
        <x:v>See Research Sources</x:v>
      </x:c>
      <x:c r="Z29" s="100" t="str">
        <x:f>IF('Master'!AA431="","",'Master'!AA431)</x:f>
        <x:v>See Research Sources</x:v>
      </x:c>
      <x:c r="AA29" s="104" t="str">
        <x:f>IF('Master'!AB431="","",'Master'!AB431)</x:f>
        <x:v>See Research Sources</x:v>
      </x:c>
      <x:c r="AB29" s="100" t="str">
        <x:f>IF('Master'!AC431="","",'Master'!AC431)</x:f>
        <x:v>See Research Sources</x:v>
      </x:c>
      <x:c r="AC29" s="100" t="str">
        <x:f>IF('Master'!AD431="","",'Master'!AD431)</x:f>
        <x:v>See Research Sources</x:v>
      </x:c>
      <x:c r="AD29" s="100" t="str">
        <x:f>IF('Master'!AE431="","",'Master'!AE431)</x:f>
        <x:v>See Research Sources</x:v>
      </x:c>
      <x:c r="AE29" s="100" t="str">
        <x:f>IF('Master'!AF431="","",'Master'!AF431)</x:f>
        <x:v>See Research Sources</x:v>
      </x:c>
      <x:c r="AF29" s="75" t="str">
        <x:f>IF('Master'!AG431="","",'Master'!AG431)</x:f>
        <x:v>See Research Sources</x:v>
      </x:c>
    </x:row>
    <x:row r="30" ht="36" customHeight="1">
      <x:c r="A30" s="135" t="str">
        <x:v>Account / Identity Notes</x:v>
      </x:c>
      <x:c r="B30" s="100" t="str">
        <x:f>IF('Master'!C432="","",'Master'!C432)</x:f>
        <x:v>Email + username + password + DOB on desktop; phone or email on mobile; verification may be required</x:v>
      </x:c>
      <x:c r="C30" s="100" t="str">
        <x:f>IF('Master'!D432="","",'Master'!D432)</x:f>
        <x:v>Keypair/secret-based Nostr identity</x:v>
      </x:c>
      <x:c r="D30" s="100" t="str">
        <x:f>IF('Master'!E432="","",'Master'!E432)</x:f>
        <x:v>Server account or key-based messenger identity</x:v>
      </x:c>
      <x:c r="E30" s="100" t="str">
        <x:f>IF('Master'!F432="","",'Master'!F432)</x:f>
      </x:c>
      <x:c r="F30" s="100" t="str">
        <x:f>IF('Master'!G432="","",'Master'!G432)</x:f>
      </x:c>
      <x:c r="G30" s="100" t="str">
        <x:f>IF('Master'!H432="","",'Master'!H432)</x:f>
        <x:v>Email + username + password + DOB; phone verification may be triggered</x:v>
      </x:c>
      <x:c r="H30" s="100" t="str">
        <x:f>IF('Master'!I432="","",'Master'!I432)</x:f>
        <x:v>Username + password; no email/phone/ID required</x:v>
      </x:c>
      <x:c r="I30" s="100" t="str">
        <x:f>IF('Master'!J432="","",'Master'!J432)</x:f>
        <x:v>Email/password on Fermi hosted instance</x:v>
      </x:c>
      <x:c r="J30" s="100" t="str">
        <x:f>IF('Master'!K432="","",'Master'!K432)</x:f>
        <x:v>No traditional account; Ed25519 key + 24-word recovery phrase</x:v>
      </x:c>
      <x:c r="K30" s="100" t="str">
        <x:f>IF('Master'!L432="","",'Master'!L432)</x:f>
        <x:v>Handles are immutable username@domain. Email may be disabled by operators. Public operator docs say there is currently no full account export, account migration or self-service account deletion.</x:v>
      </x:c>
      <x:c r="L30" s="100" t="str">
        <x:f>IF('Master'!M432="","",'Master'!M432)</x:f>
        <x:v>No email/phone required; secret-key identity</x:v>
      </x:c>
      <x:c r="M30" s="100" t="str">
        <x:f>IF('Master'!N432="","",'Master'!N432)</x:f>
      </x:c>
      <x:c r="N30" s="100" t="str">
        <x:f>IF('Master'!O432="","",'Master'!O432)</x:f>
        <x:v>Account on a homeserver; credential/SSO rules are server-dependent</x:v>
      </x:c>
      <x:c r="O30" s="100" t="str">
        <x:f>IF('Master'!P432="","",'Master'!P432)</x:f>
        <x:v>Email/SSO/LDAP depending deployment</x:v>
      </x:c>
      <x:c r="P30" s="100" t="str">
        <x:f>IF('Master'!Q432="","",'Master'!Q432)</x:f>
      </x:c>
      <x:c r="Q30" s="100" t="str">
        <x:f>IF('Master'!R432="","",'Master'!R432)</x:f>
        <x:v>Username/certificate/password depending server</x:v>
      </x:c>
      <x:c r="R30" s="100" t="str">
        <x:f>IF('Master'!S432="","",'Master'!S432)</x:f>
        <x:v>Email verification required for messaging</x:v>
      </x:c>
      <x:c r="S30" s="100" t="str">
        <x:f>IF('Master'!T432="","",'Master'!T432)</x:f>
        <x:v>Email + username/password</x:v>
      </x:c>
      <x:c r="T30" s="100" t="str">
        <x:f>IF('Master'!U432="","",'Master'!U432)</x:f>
        <x:v>Hosted accounts via Clerk; self-host operator controls its own deployment</x:v>
      </x:c>
      <x:c r="U30" s="100" t="str">
        <x:f>IF('Master'!V432="","",'Master'!V432)</x:f>
        <x:v>Username + password only; no email/phone/ID</x:v>
      </x:c>
      <x:c r="V30" s="100" t="str">
        <x:f>IF('Master'!W432="","",'Master'!W432)</x:f>
        <x:v>Email/SSO/LDAP depending deployment</x:v>
      </x:c>
      <x:c r="W30" s="100" t="str">
        <x:f>IF('Master'!X432="","",'Master'!X432)</x:f>
        <x:v>Bluesky/ATProto identity by default</x:v>
      </x:c>
      <x:c r="X30" s="100" t="str">
        <x:f>IF('Master'!Y432="","",'Master'!Y432)</x:f>
        <x:v>Username/email/password</x:v>
      </x:c>
      <x:c r="Y30" s="100" t="str">
        <x:f>IF('Master'!Z432="","",'Master'!Z432)</x:f>
        <x:v>Operator-configurable account rules</x:v>
      </x:c>
      <x:c r="Z30" s="100" t="str">
        <x:f>IF('Master'!AA432="","",'Master'!AA432)</x:f>
      </x:c>
      <x:c r="AA30" s="104" t="str">
        <x:f>IF('Master'!AB432="","",'Master'!AB432)</x:f>
      </x:c>
      <x:c r="AB30" s="100" t="str">
        <x:f>IF('Master'!AC432="","",'Master'!AC432)</x:f>
        <x:v>Email only; no phone/ID</x:v>
      </x:c>
      <x:c r="AC30" s="100" t="str">
        <x:f>IF('Master'!AD432="","",'Master'!AD432)</x:f>
        <x:v>Device/account registration</x:v>
      </x:c>
      <x:c r="AD30" s="100" t="str">
        <x:f>IF('Master'!AE432="","",'Master'!AE432)</x:f>
      </x:c>
      <x:c r="AE30" s="100" t="str">
        <x:f>IF('Master'!AF432="","",'Master'!AF432)</x:f>
        <x:v>Email/password or account</x:v>
      </x:c>
      <x:c r="AF30" s="75" t="str">
        <x:f>IF('Master'!AG432="","",'Master'!AG432)</x:f>
        <x:v>Email/SSO depending deployment</x:v>
      </x:c>
    </x:row>
    <x:row r="31" ht="22" customHeight="1">
      <x:c r="A31" s="138" t="str">
        <x:v>Authentication &amp; Session Security</x:v>
      </x:c>
      <x:c r="B31" s="138" t="str">
        <x:f>IF(""="","","")</x:f>
      </x:c>
      <x:c r="C31" s="138" t="str">
        <x:f>IF(""="","","")</x:f>
      </x:c>
      <x:c r="D31" s="138" t="str">
        <x:f>IF(""="","","")</x:f>
      </x:c>
      <x:c r="E31" s="138" t="str">
        <x:f>IF(""="","","")</x:f>
      </x:c>
      <x:c r="F31" s="138" t="str">
        <x:f>IF(""="","","")</x:f>
      </x:c>
      <x:c r="G31" s="138" t="str">
        <x:f>IF(""="","","")</x:f>
      </x:c>
      <x:c r="H31" s="138" t="str">
        <x:f>IF(""="","","")</x:f>
      </x:c>
      <x:c r="I31" s="138" t="str">
        <x:f>IF(""="","","")</x:f>
      </x:c>
      <x:c r="J31" s="138" t="str">
        <x:f>IF(""="","","")</x:f>
      </x:c>
      <x:c r="K31" s="138" t="str">
        <x:f>IF(""="","","")</x:f>
      </x:c>
      <x:c r="L31" s="138" t="str">
        <x:f>IF(""="","","")</x:f>
      </x:c>
      <x:c r="M31" s="138" t="str">
        <x:f>IF(""="","","")</x:f>
      </x:c>
      <x:c r="N31" s="138" t="str">
        <x:f>IF(""="","","")</x:f>
      </x:c>
      <x:c r="O31" s="138" t="str">
        <x:f>IF(""="","","")</x:f>
      </x:c>
      <x:c r="P31" s="138" t="str">
        <x:f>IF(""="","","")</x:f>
      </x:c>
      <x:c r="Q31" s="138" t="str">
        <x:f>IF(""="","","")</x:f>
      </x:c>
      <x:c r="R31" s="138" t="str">
        <x:f>IF(""="","","")</x:f>
      </x:c>
      <x:c r="S31" s="138" t="str">
        <x:f>IF(""="","","")</x:f>
      </x:c>
      <x:c r="T31" s="138" t="str">
        <x:f>IF(""="","","")</x:f>
      </x:c>
      <x:c r="U31" s="138" t="str">
        <x:f>IF(""="","","")</x:f>
      </x:c>
      <x:c r="V31" s="138" t="str">
        <x:f>IF(""="","","")</x:f>
      </x:c>
      <x:c r="W31" s="138" t="str">
        <x:f>IF(""="","","")</x:f>
      </x:c>
      <x:c r="X31" s="138" t="str">
        <x:f>IF(""="","","")</x:f>
      </x:c>
      <x:c r="Y31" s="138" t="str">
        <x:f>IF(""="","","")</x:f>
      </x:c>
      <x:c r="Z31" s="138" t="str">
        <x:f>IF(""="","","")</x:f>
      </x:c>
      <x:c r="AA31" s="138" t="str">
        <x:f>IF(""="","","")</x:f>
      </x:c>
      <x:c r="AB31" s="138" t="str">
        <x:f>IF(""="","","")</x:f>
      </x:c>
      <x:c r="AC31" s="138" t="str">
        <x:f>IF(""="","","")</x:f>
      </x:c>
      <x:c r="AD31" s="138" t="str">
        <x:f>IF(""="","","")</x:f>
      </x:c>
      <x:c r="AE31" s="138" t="str">
        <x:f>IF(""="","","")</x:f>
      </x:c>
      <x:c r="AF31" s="139" t="str">
        <x:f>IF(""="","","")</x:f>
      </x:c>
    </x:row>
    <x:row r="32" ht="36" customHeight="1">
      <x:c r="A32" s="135" t="str">
        <x:v>Two-Factor Authentication (TOTP)?</x:v>
      </x:c>
      <x:c r="B32" s="100" t="str">
        <x:f>IF('Master'!C433="","",'Master'!C433)</x:f>
        <x:v>Yes</x:v>
      </x:c>
      <x:c r="C32" s="100" t="str">
        <x:f>IF('Master'!D433="","",'Master'!D433)</x:f>
      </x:c>
      <x:c r="D32" s="100" t="str">
        <x:f>IF('Master'!E433="","",'Master'!E433)</x:f>
      </x:c>
      <x:c r="E32" s="100" t="str">
        <x:f>IF('Master'!F433="","",'Master'!F433)</x:f>
      </x:c>
      <x:c r="F32" s="100" t="str">
        <x:f>IF('Master'!G433="","",'Master'!G433)</x:f>
      </x:c>
      <x:c r="G32" s="100" t="str">
        <x:f>IF('Master'!H433="","",'Master'!H433)</x:f>
      </x:c>
      <x:c r="H32" s="100" t="str">
        <x:f>IF('Master'!I433="","",'Master'!I433)</x:f>
      </x:c>
      <x:c r="I32" s="100" t="str">
        <x:f>IF('Master'!J433="","",'Master'!J433)</x:f>
      </x:c>
      <x:c r="J32" s="100" t="str">
        <x:f>IF('Master'!K433="","",'Master'!K433)</x:f>
      </x:c>
      <x:c r="K32" s="100" t="str">
        <x:f>IF('Master'!L433="","",'Master'!L433)</x:f>
        <x:v>Yes/likely — backend architecture explicitly protects encrypted TOTP material; UI enrollment flow was not independently reviewed</x:v>
      </x:c>
      <x:c r="L32" s="100" t="str">
        <x:f>IF('Master'!M433="","",'Master'!M433)</x:f>
      </x:c>
      <x:c r="M32" s="100" t="str">
        <x:f>IF('Master'!N433="","",'Master'!N433)</x:f>
      </x:c>
      <x:c r="N32" s="100" t="str">
        <x:f>IF('Master'!O433="","",'Master'!O433)</x:f>
        <x:v>Provider/client dependent</x:v>
      </x:c>
      <x:c r="O32" s="100" t="str">
        <x:f>IF('Master'!P433="","",'Master'!P433)</x:f>
        <x:v>Yes</x:v>
      </x:c>
      <x:c r="P32" s="100" t="str">
        <x:f>IF('Master'!Q433="","",'Master'!Q433)</x:f>
      </x:c>
      <x:c r="Q32" s="100" t="str">
        <x:f>IF('Master'!R433="","",'Master'!R433)</x:f>
      </x:c>
      <x:c r="R32" s="100" t="str">
        <x:f>IF('Master'!S433="","",'Master'!S433)</x:f>
      </x:c>
      <x:c r="S32" s="100" t="str">
        <x:f>IF('Master'!T433="","",'Master'!T433)</x:f>
      </x:c>
      <x:c r="T32" s="100" t="str">
        <x:f>IF('Master'!U433="","",'Master'!U433)</x:f>
      </x:c>
      <x:c r="U32" s="100" t="str">
        <x:f>IF('Master'!V433="","",'Master'!V433)</x:f>
        <x:v>Yes - Other Logged in Rift Instances</x:v>
      </x:c>
      <x:c r="V32" s="100" t="str">
        <x:f>IF('Master'!W433="","",'Master'!W433)</x:f>
        <x:v>Yes</x:v>
      </x:c>
      <x:c r="W32" s="100" t="str">
        <x:f>IF('Master'!X433="","",'Master'!X433)</x:f>
      </x:c>
      <x:c r="X32" s="100" t="str">
        <x:f>IF('Master'!Y433="","",'Master'!Y433)</x:f>
      </x:c>
      <x:c r="Y32" s="100" t="str">
        <x:f>IF('Master'!Z433="","",'Master'!Z433)</x:f>
      </x:c>
      <x:c r="Z32" s="100" t="str">
        <x:f>IF('Master'!AA433="","",'Master'!AA433)</x:f>
      </x:c>
      <x:c r="AA32" s="104" t="str">
        <x:f>IF('Master'!AB433="","",'Master'!AB433)</x:f>
      </x:c>
      <x:c r="AB32" s="100" t="str">
        <x:f>IF('Master'!AC433="","",'Master'!AC433)</x:f>
      </x:c>
      <x:c r="AC32" s="100" t="str">
        <x:f>IF('Master'!AD433="","",'Master'!AD433)</x:f>
      </x:c>
      <x:c r="AD32" s="100" t="str">
        <x:f>IF('Master'!AE433="","",'Master'!AE433)</x:f>
      </x:c>
      <x:c r="AE32" s="100" t="str">
        <x:f>IF('Master'!AF433="","",'Master'!AF433)</x:f>
      </x:c>
      <x:c r="AF32" s="75" t="str">
        <x:f>IF('Master'!AG433="","",'Master'!AG433)</x:f>
        <x:v>Yes</x:v>
      </x:c>
    </x:row>
    <x:row r="33" ht="36" customHeight="1">
      <x:c r="A33" s="135" t="str">
        <x:v>Passkeys / WebAuthn?</x:v>
      </x:c>
      <x:c r="B33" s="100" t="str">
        <x:f>IF('Master'!C434="","",'Master'!C434)</x:f>
      </x:c>
      <x:c r="C33" s="100" t="str">
        <x:f>IF('Master'!D434="","",'Master'!D434)</x:f>
      </x:c>
      <x:c r="D33" s="100" t="str">
        <x:f>IF('Master'!E434="","",'Master'!E434)</x:f>
      </x:c>
      <x:c r="E33" s="100" t="str">
        <x:f>IF('Master'!F434="","",'Master'!F434)</x:f>
      </x:c>
      <x:c r="F33" s="100" t="str">
        <x:f>IF('Master'!G434="","",'Master'!G434)</x:f>
      </x:c>
      <x:c r="G33" s="100" t="str">
        <x:f>IF('Master'!H434="","",'Master'!H434)</x:f>
      </x:c>
      <x:c r="H33" s="100" t="str">
        <x:f>IF('Master'!I434="","",'Master'!I434)</x:f>
      </x:c>
      <x:c r="I33" s="100" t="str">
        <x:f>IF('Master'!J434="","",'Master'!J434)</x:f>
      </x:c>
      <x:c r="J33" s="100" t="str">
        <x:f>IF('Master'!K434="","",'Master'!K434)</x:f>
      </x:c>
      <x:c r="K33" s="100" t="str">
        <x:f>IF('Master'!L434="","",'Master'!L434)</x:f>
        <x:v>Not documented</x:v>
      </x:c>
      <x:c r="L33" s="100" t="str">
        <x:f>IF('Master'!M434="","",'Master'!M434)</x:f>
      </x:c>
      <x:c r="M33" s="100" t="str">
        <x:f>IF('Master'!N434="","",'Master'!N434)</x:f>
      </x:c>
      <x:c r="N33" s="100" t="str">
        <x:f>IF('Master'!O434="","",'Master'!O434)</x:f>
      </x:c>
      <x:c r="O33" s="100" t="str">
        <x:f>IF('Master'!P434="","",'Master'!P434)</x:f>
        <x:v>SSO/provider dependent</x:v>
      </x:c>
      <x:c r="P33" s="100" t="str">
        <x:f>IF('Master'!Q434="","",'Master'!Q434)</x:f>
      </x:c>
      <x:c r="Q33" s="100" t="str">
        <x:f>IF('Master'!R434="","",'Master'!R434)</x:f>
      </x:c>
      <x:c r="R33" s="100" t="str">
        <x:f>IF('Master'!S434="","",'Master'!S434)</x:f>
      </x:c>
      <x:c r="S33" s="100" t="str">
        <x:f>IF('Master'!T434="","",'Master'!T434)</x:f>
      </x:c>
      <x:c r="T33" s="100" t="str">
        <x:f>IF('Master'!U434="","",'Master'!U434)</x:f>
      </x:c>
      <x:c r="U33" s="100" t="str">
        <x:f>IF('Master'!V434="","",'Master'!V434)</x:f>
      </x:c>
      <x:c r="V33" s="100" t="str">
        <x:f>IF('Master'!W434="","",'Master'!W434)</x:f>
      </x:c>
      <x:c r="W33" s="100" t="str">
        <x:f>IF('Master'!X434="","",'Master'!X434)</x:f>
      </x:c>
      <x:c r="X33" s="100" t="str">
        <x:f>IF('Master'!Y434="","",'Master'!Y434)</x:f>
      </x:c>
      <x:c r="Y33" s="100" t="str">
        <x:f>IF('Master'!Z434="","",'Master'!Z434)</x:f>
      </x:c>
      <x:c r="Z33" s="100" t="str">
        <x:f>IF('Master'!AA434="","",'Master'!AA434)</x:f>
      </x:c>
      <x:c r="AA33" s="104" t="str">
        <x:f>IF('Master'!AB434="","",'Master'!AB434)</x:f>
      </x:c>
      <x:c r="AB33" s="100" t="str">
        <x:f>IF('Master'!AC434="","",'Master'!AC434)</x:f>
      </x:c>
      <x:c r="AC33" s="100" t="str">
        <x:f>IF('Master'!AD434="","",'Master'!AD434)</x:f>
      </x:c>
      <x:c r="AD33" s="100" t="str">
        <x:f>IF('Master'!AE434="","",'Master'!AE434)</x:f>
      </x:c>
      <x:c r="AE33" s="100" t="str">
        <x:f>IF('Master'!AF434="","",'Master'!AF434)</x:f>
      </x:c>
      <x:c r="AF33" s="75" t="str">
        <x:f>IF('Master'!AG434="","",'Master'!AG434)</x:f>
      </x:c>
    </x:row>
    <x:row r="34" ht="36" customHeight="1">
      <x:c r="A34" s="135" t="str">
        <x:v>SAML / Enterprise SSO?</x:v>
      </x:c>
      <x:c r="B34" s="100" t="str">
        <x:f>IF('Master'!C435="","",'Master'!C435)</x:f>
      </x:c>
      <x:c r="C34" s="100" t="str">
        <x:f>IF('Master'!D435="","",'Master'!D435)</x:f>
      </x:c>
      <x:c r="D34" s="100" t="str">
        <x:f>IF('Master'!E435="","",'Master'!E435)</x:f>
      </x:c>
      <x:c r="E34" s="100" t="str">
        <x:f>IF('Master'!F435="","",'Master'!F435)</x:f>
      </x:c>
      <x:c r="F34" s="100" t="str">
        <x:f>IF('Master'!G435="","",'Master'!G435)</x:f>
      </x:c>
      <x:c r="G34" s="100" t="str">
        <x:f>IF('Master'!H435="","",'Master'!H435)</x:f>
      </x:c>
      <x:c r="H34" s="100" t="str">
        <x:f>IF('Master'!I435="","",'Master'!I435)</x:f>
      </x:c>
      <x:c r="I34" s="100" t="str">
        <x:f>IF('Master'!J435="","",'Master'!J435)</x:f>
      </x:c>
      <x:c r="J34" s="100" t="str">
        <x:f>IF('Master'!K435="","",'Master'!K435)</x:f>
      </x:c>
      <x:c r="K34" s="100" t="str">
        <x:f>IF('Master'!L435="","",'Master'!L435)</x:f>
        <x:v>Not documented</x:v>
      </x:c>
      <x:c r="L34" s="100" t="str">
        <x:f>IF('Master'!M435="","",'Master'!M435)</x:f>
      </x:c>
      <x:c r="M34" s="100" t="str">
        <x:f>IF('Master'!N435="","",'Master'!N435)</x:f>
      </x:c>
      <x:c r="N34" s="100" t="str">
        <x:f>IF('Master'!O435="","",'Master'!O435)</x:f>
      </x:c>
      <x:c r="O34" s="100" t="str">
        <x:f>IF('Master'!P435="","",'Master'!P435)</x:f>
        <x:v>Yes — paid editions</x:v>
      </x:c>
      <x:c r="P34" s="100" t="str">
        <x:f>IF('Master'!Q435="","",'Master'!Q435)</x:f>
      </x:c>
      <x:c r="Q34" s="100" t="str">
        <x:f>IF('Master'!R435="","",'Master'!R435)</x:f>
      </x:c>
      <x:c r="R34" s="100" t="str">
        <x:f>IF('Master'!S435="","",'Master'!S435)</x:f>
      </x:c>
      <x:c r="S34" s="100" t="str">
        <x:f>IF('Master'!T435="","",'Master'!T435)</x:f>
      </x:c>
      <x:c r="T34" s="100" t="str">
        <x:f>IF('Master'!U435="","",'Master'!U435)</x:f>
      </x:c>
      <x:c r="U34" s="100" t="str">
        <x:f>IF('Master'!V435="","",'Master'!V435)</x:f>
      </x:c>
      <x:c r="V34" s="100" t="str">
        <x:f>IF('Master'!W435="","",'Master'!W435)</x:f>
        <x:v>Yes — enterprise</x:v>
      </x:c>
      <x:c r="W34" s="100" t="str">
        <x:f>IF('Master'!X435="","",'Master'!X435)</x:f>
      </x:c>
      <x:c r="X34" s="100" t="str">
        <x:f>IF('Master'!Y435="","",'Master'!Y435)</x:f>
      </x:c>
      <x:c r="Y34" s="100" t="str">
        <x:f>IF('Master'!Z435="","",'Master'!Z435)</x:f>
      </x:c>
      <x:c r="Z34" s="100" t="str">
        <x:f>IF('Master'!AA435="","",'Master'!AA435)</x:f>
      </x:c>
      <x:c r="AA34" s="104" t="str">
        <x:f>IF('Master'!AB435="","",'Master'!AB435)</x:f>
      </x:c>
      <x:c r="AB34" s="100" t="str">
        <x:f>IF('Master'!AC435="","",'Master'!AC435)</x:f>
      </x:c>
      <x:c r="AC34" s="100" t="str">
        <x:f>IF('Master'!AD435="","",'Master'!AD435)</x:f>
      </x:c>
      <x:c r="AD34" s="100" t="str">
        <x:f>IF('Master'!AE435="","",'Master'!AE435)</x:f>
      </x:c>
      <x:c r="AE34" s="100" t="str">
        <x:f>IF('Master'!AF435="","",'Master'!AF435)</x:f>
      </x:c>
      <x:c r="AF34" s="75" t="str">
        <x:f>IF('Master'!AG435="","",'Master'!AG435)</x:f>
        <x:v>Yes — plans/deployment dependent</x:v>
      </x:c>
    </x:row>
    <x:row r="35" ht="36" customHeight="1">
      <x:c r="A35" s="135" t="str">
        <x:v>OIDC / OAuth Login?</x:v>
      </x:c>
      <x:c r="B35" s="100" t="str">
        <x:f>IF('Master'!C436="","",'Master'!C436)</x:f>
      </x:c>
      <x:c r="C35" s="100" t="str">
        <x:f>IF('Master'!D436="","",'Master'!D436)</x:f>
      </x:c>
      <x:c r="D35" s="100" t="str">
        <x:f>IF('Master'!E436="","",'Master'!E436)</x:f>
      </x:c>
      <x:c r="E35" s="100" t="str">
        <x:f>IF('Master'!F436="","",'Master'!F436)</x:f>
      </x:c>
      <x:c r="F35" s="100" t="str">
        <x:f>IF('Master'!G436="","",'Master'!G436)</x:f>
      </x:c>
      <x:c r="G35" s="100" t="str">
        <x:f>IF('Master'!H436="","",'Master'!H436)</x:f>
      </x:c>
      <x:c r="H35" s="100" t="str">
        <x:f>IF('Master'!I436="","",'Master'!I436)</x:f>
      </x:c>
      <x:c r="I35" s="100" t="str">
        <x:f>IF('Master'!J436="","",'Master'!J436)</x:f>
      </x:c>
      <x:c r="J35" s="100" t="str">
        <x:f>IF('Master'!K436="","",'Master'!K436)</x:f>
      </x:c>
      <x:c r="K35" s="100" t="str">
        <x:f>IF('Master'!L436="","",'Master'!L436)</x:f>
        <x:v>Not documented</x:v>
      </x:c>
      <x:c r="L35" s="100" t="str">
        <x:f>IF('Master'!M436="","",'Master'!M436)</x:f>
      </x:c>
      <x:c r="M35" s="100" t="str">
        <x:f>IF('Master'!N436="","",'Master'!N436)</x:f>
      </x:c>
      <x:c r="N35" s="100" t="str">
        <x:f>IF('Master'!O436="","",'Master'!O436)</x:f>
        <x:v>Provider-dependent</x:v>
      </x:c>
      <x:c r="O35" s="100" t="str">
        <x:f>IF('Master'!P436="","",'Master'!P436)</x:f>
        <x:v>Yes</x:v>
      </x:c>
      <x:c r="P35" s="100" t="str">
        <x:f>IF('Master'!Q436="","",'Master'!Q436)</x:f>
      </x:c>
      <x:c r="Q35" s="100" t="str">
        <x:f>IF('Master'!R436="","",'Master'!R436)</x:f>
      </x:c>
      <x:c r="R35" s="100" t="str">
        <x:f>IF('Master'!S436="","",'Master'!S436)</x:f>
      </x:c>
      <x:c r="S35" s="100" t="str">
        <x:f>IF('Master'!T436="","",'Master'!T436)</x:f>
      </x:c>
      <x:c r="T35" s="100" t="str">
        <x:f>IF('Master'!U436="","",'Master'!U436)</x:f>
      </x:c>
      <x:c r="U35" s="100" t="str">
        <x:f>IF('Master'!V436="","",'Master'!V436)</x:f>
      </x:c>
      <x:c r="V35" s="100" t="str">
        <x:f>IF('Master'!W436="","",'Master'!W436)</x:f>
        <x:v>Yes</x:v>
      </x:c>
      <x:c r="W35" s="100" t="str">
        <x:f>IF('Master'!X436="","",'Master'!X436)</x:f>
      </x:c>
      <x:c r="X35" s="100" t="str">
        <x:f>IF('Master'!Y436="","",'Master'!Y436)</x:f>
      </x:c>
      <x:c r="Y35" s="100" t="str">
        <x:f>IF('Master'!Z436="","",'Master'!Z436)</x:f>
      </x:c>
      <x:c r="Z35" s="100" t="str">
        <x:f>IF('Master'!AA436="","",'Master'!AA436)</x:f>
      </x:c>
      <x:c r="AA35" s="104" t="str">
        <x:f>IF('Master'!AB436="","",'Master'!AB436)</x:f>
      </x:c>
      <x:c r="AB35" s="100" t="str">
        <x:f>IF('Master'!AC436="","",'Master'!AC436)</x:f>
      </x:c>
      <x:c r="AC35" s="100" t="str">
        <x:f>IF('Master'!AD436="","",'Master'!AD436)</x:f>
      </x:c>
      <x:c r="AD35" s="100" t="str">
        <x:f>IF('Master'!AE436="","",'Master'!AE436)</x:f>
      </x:c>
      <x:c r="AE35" s="100" t="str">
        <x:f>IF('Master'!AF436="","",'Master'!AF436)</x:f>
      </x:c>
      <x:c r="AF35" s="75" t="str">
        <x:f>IF('Master'!AG436="","",'Master'!AG436)</x:f>
        <x:v>Yes</x:v>
      </x:c>
    </x:row>
    <x:row r="36" ht="36" customHeight="1">
      <x:c r="A36" s="135" t="str">
        <x:v>Active Session / Device Management?</x:v>
      </x:c>
      <x:c r="B36" s="100" t="str">
        <x:f>IF('Master'!C437="","",'Master'!C437)</x:f>
        <x:v>Yes</x:v>
      </x:c>
      <x:c r="C36" s="100" t="str">
        <x:f>IF('Master'!D437="","",'Master'!D437)</x:f>
      </x:c>
      <x:c r="D36" s="100" t="str">
        <x:f>IF('Master'!E437="","",'Master'!E437)</x:f>
      </x:c>
      <x:c r="E36" s="100" t="str">
        <x:f>IF('Master'!F437="","",'Master'!F437)</x:f>
      </x:c>
      <x:c r="F36" s="100" t="str">
        <x:f>IF('Master'!G437="","",'Master'!G437)</x:f>
      </x:c>
      <x:c r="G36" s="100" t="str">
        <x:f>IF('Master'!H437="","",'Master'!H437)</x:f>
      </x:c>
      <x:c r="H36" s="100" t="str">
        <x:f>IF('Master'!I437="","",'Master'!I437)</x:f>
      </x:c>
      <x:c r="I36" s="100" t="str">
        <x:f>IF('Master'!J437="","",'Master'!J437)</x:f>
      </x:c>
      <x:c r="J36" s="100" t="str">
        <x:f>IF('Master'!K437="","",'Master'!K437)</x:f>
      </x:c>
      <x:c r="K36" s="100" t="str">
        <x:f>IF('Master'!L437="","",'Master'!L437)</x:f>
        <x:v>Yes — sessions are independently revocable in the E2EE/security model</x:v>
      </x:c>
      <x:c r="L36" s="100" t="str">
        <x:f>IF('Master'!M437="","",'Master'!M437)</x:f>
      </x:c>
      <x:c r="M36" s="100" t="str">
        <x:f>IF('Master'!N437="","",'Master'!N437)</x:f>
      </x:c>
      <x:c r="N36" s="100" t="str">
        <x:f>IF('Master'!O437="","",'Master'!O437)</x:f>
        <x:v>Client-dependent</x:v>
      </x:c>
      <x:c r="O36" s="100" t="str">
        <x:f>IF('Master'!P437="","",'Master'!P437)</x:f>
      </x:c>
      <x:c r="P36" s="100" t="str">
        <x:f>IF('Master'!Q437="","",'Master'!Q437)</x:f>
      </x:c>
      <x:c r="Q36" s="100" t="str">
        <x:f>IF('Master'!R437="","",'Master'!R437)</x:f>
      </x:c>
      <x:c r="R36" s="100" t="str">
        <x:f>IF('Master'!S437="","",'Master'!S437)</x:f>
      </x:c>
      <x:c r="S36" s="100" t="str">
        <x:f>IF('Master'!T437="","",'Master'!T437)</x:f>
      </x:c>
      <x:c r="T36" s="100" t="str">
        <x:f>IF('Master'!U437="","",'Master'!U437)</x:f>
      </x:c>
      <x:c r="U36" s="100" t="str">
        <x:f>IF('Master'!V437="","",'Master'!V437)</x:f>
        <x:v>Yes</x:v>
      </x:c>
      <x:c r="V36" s="100" t="str">
        <x:f>IF('Master'!W437="","",'Master'!W437)</x:f>
      </x:c>
      <x:c r="W36" s="100" t="str">
        <x:f>IF('Master'!X437="","",'Master'!X437)</x:f>
      </x:c>
      <x:c r="X36" s="100" t="str">
        <x:f>IF('Master'!Y437="","",'Master'!Y437)</x:f>
      </x:c>
      <x:c r="Y36" s="100" t="str">
        <x:f>IF('Master'!Z437="","",'Master'!Z437)</x:f>
      </x:c>
      <x:c r="Z36" s="100" t="str">
        <x:f>IF('Master'!AA437="","",'Master'!AA437)</x:f>
      </x:c>
      <x:c r="AA36" s="104" t="str">
        <x:f>IF('Master'!AB437="","",'Master'!AB437)</x:f>
      </x:c>
      <x:c r="AB36" s="100" t="str">
        <x:f>IF('Master'!AC437="","",'Master'!AC437)</x:f>
      </x:c>
      <x:c r="AC36" s="100" t="str">
        <x:f>IF('Master'!AD437="","",'Master'!AD437)</x:f>
      </x:c>
      <x:c r="AD36" s="100" t="str">
        <x:f>IF('Master'!AE437="","",'Master'!AE437)</x:f>
      </x:c>
      <x:c r="AE36" s="100" t="str">
        <x:f>IF('Master'!AF437="","",'Master'!AF437)</x:f>
      </x:c>
      <x:c r="AF36" s="75" t="str">
        <x:f>IF('Master'!AG437="","",'Master'!AG437)</x:f>
      </x:c>
    </x:row>
  </x:sheetData>
  <x:mergeCells>
    <x:mergeCell ref="A1:A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Directory'!A1","Portability &amp; Bridging"),"Portability &amp; Bridging")</x:f>
        <x:v>Portability &amp; Bridging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Discord Server Importer (Channels / Roles / Emotes)</x:v>
      </x:c>
      <x:c r="B3" s="100" t="str">
        <x:f>IF('Master'!C438="","",'Master'!C438)</x:f>
        <x:v>N/A — Discord is the source platform</x:v>
      </x:c>
      <x:c r="C3" s="100" t="str">
        <x:f>IF('Master'!D438="","",'Master'!D438)</x:f>
        <x:v>Yes — channels, roles, emoji and up to 10,000 messages/channel; optional live two-way bridge</x:v>
      </x:c>
      <x:c r="D3" s="100" t="str">
        <x:f>IF('Master'!E438="","",'Master'!E438)</x:f>
        <x:v>No template importer verified</x:v>
      </x:c>
      <x:c r="E3" s="100" t="str">
        <x:f>IF('Master'!F438="","",'Master'!F438)</x:f>
        <x:v>No Discord importer verified</x:v>
      </x:c>
      <x:c r="F3" s="100" t="str">
        <x:f>IF('Master'!G438="","",'Master'!G438)</x:f>
        <x:v>Planned/advertised Discord server template import</x:v>
      </x:c>
      <x:c r="G3" s="100" t="str">
        <x:f>IF('Master'!H438="","",'Master'!H438)</x:f>
        <x:v>No full Discord importer verified</x:v>
      </x:c>
      <x:c r="H3" s="100" t="str">
        <x:f>IF('Master'!I438="","",'Master'!I438)</x:f>
        <x:v>Yes — channels/roles/permissions/emojis/soundboard/events/assets</x:v>
      </x:c>
      <x:c r="I3" s="100" t="str">
        <x:f>IF('Master'!J438="","",'Master'!J438)</x:f>
        <x:v>No self-service importer verified; Creator plan advertises white-glove Discord migration</x:v>
      </x:c>
      <x:c r="J3" s="100" t="str">
        <x:f>IF('Master'!K438="","",'Master'!K438)</x:f>
        <x:v>No Discord importer verified</x:v>
      </x:c>
      <x:c r="K3" s="100" t="str">
        <x:f>IF('Master'!L438="","",'Master'!L438)</x:f>
        <x:v>No dedicated importer; official live Discord bridge exists</x:v>
      </x:c>
      <x:c r="L3" s="100" t="str">
        <x:f>IF('Master'!M438="","",'Master'!M438)</x:f>
        <x:v>No importer verified</x:v>
      </x:c>
      <x:c r="M3" s="100" t="str">
        <x:f>IF('Master'!N438="","",'Master'!N438)</x:f>
        <x:v>Yes — broad structural importer</x:v>
      </x:c>
      <x:c r="N3" s="100" t="str">
        <x:f>IF('Master'!O438="","",'Master'!O438)</x:f>
        <x:v>No protocol-level Discord importer; tools/clients may provide migration</x:v>
      </x:c>
      <x:c r="O3" s="100" t="str">
        <x:f>IF('Master'!P438="","",'Master'!P438)</x:f>
        <x:v>No native Discord importer</x:v>
      </x:c>
      <x:c r="P3" s="100" t="str">
        <x:f>IF('Master'!Q438="","",'Master'!Q438)</x:f>
      </x:c>
      <x:c r="Q3" s="100" t="str">
        <x:f>IF('Master'!R438="","",'Master'!R438)</x:f>
        <x:v>No</x:v>
      </x:c>
      <x:c r="R3" s="100" t="str">
        <x:f>IF('Master'!S438="","",'Master'!S438)</x:f>
        <x:v>No importer verified</x:v>
      </x:c>
      <x:c r="S3" s="100" t="str">
        <x:f>IF('Master'!T438="","",'Master'!T438)</x:f>
        <x:v>Partial/template migration reported</x:v>
      </x:c>
      <x:c r="T3" s="100" t="str">
        <x:f>IF('Master'!U438="","",'Master'!U438)</x:f>
        <x:v>Layout only — categories, channels and main permissions; no messages or members</x:v>
      </x:c>
      <x:c r="U3" s="100" t="str">
        <x:f>IF('Master'!V438="","",'Master'!V438)</x:f>
        <x:v>Yes — Discord template structure import: categories, channels, forum tags, roles/order/colors, equivalent permissions; no messages/members</x:v>
      </x:c>
      <x:c r="V3" s="100" t="str">
        <x:f>IF('Master'!W438="","",'Master'!W438)</x:f>
        <x:v>No first-party Discord importer verified</x:v>
      </x:c>
      <x:c r="W3" s="100" t="str">
        <x:f>IF('Master'!X438="","",'Master'!X438)</x:f>
        <x:v>Discord bridge/import component exists</x:v>
      </x:c>
      <x:c r="X3" s="100" t="str">
        <x:f>IF('Master'!Y438="","",'Master'!Y438)</x:f>
        <x:v>Yes — Discord server template import (roles/channels/groups/permissions)</x:v>
      </x:c>
      <x:c r="Y3" s="100" t="str">
        <x:f>IF('Master'!Z438="","",'Master'!Z438)</x:f>
        <x:v>Not an importer; aims for Discord client/bot API compatibility</x:v>
      </x:c>
      <x:c r="Z3" s="100" t="str">
        <x:f>IF('Master'!AA438="","",'Master'!AA438)</x:f>
        <x:v>No first-party Discord importer verified</x:v>
      </x:c>
      <x:c r="AA3" s="104" t="str">
        <x:f>IF('Master'!AB438="","",'Master'!AB438)</x:f>
        <x:v>No</x:v>
      </x:c>
      <x:c r="AB3" s="100" t="str">
        <x:f>IF('Master'!AC438="","",'Master'!AC438)</x:f>
        <x:v>Yes — built-in Discord importer</x:v>
      </x:c>
      <x:c r="AC3" s="100" t="str">
        <x:f>IF('Master'!AD438="","",'Master'!AD438)</x:f>
        <x:v>No Discord importer verified</x:v>
      </x:c>
      <x:c r="AD3" s="100" t="str">
        <x:f>IF('Master'!AE438="","",'Master'!AE438)</x:f>
        <x:v>No — design intentionally differs from Discord</x:v>
      </x:c>
      <x:c r="AE3" s="100" t="str">
        <x:f>IF('Master'!AF438="","",'Master'!AF438)</x:f>
        <x:v>No importer verified</x:v>
      </x:c>
      <x:c r="AF3" s="75" t="str">
        <x:f>IF('Master'!AG438="","",'Master'!AG438)</x:f>
        <x:v>No Discord importer; imports Slack/Mattermost/Rocket.Chat supported</x:v>
      </x:c>
    </x:row>
    <x:row r="4" ht="36" customHeight="1">
      <x:c r="A4" s="135" t="str">
        <x:v>Full Chat History Export (JSON / CSV / HTML)</x:v>
      </x:c>
      <x:c r="B4" s="100" t="str">
        <x:f>IF('Master'!C439="","",'Master'!C439)</x:f>
        <x:v>Yes — Data Package ZIP; messages/account data delivered primarily as JSON</x:v>
      </x:c>
      <x:c r="C4" s="100" t="str">
        <x:f>IF('Master'!D439="","",'Master'!D439)</x:f>
      </x:c>
      <x:c r="D4" s="100" t="str">
        <x:f>IF('Master'!E439="","",'Master'!E439)</x:f>
        <x:v>Account export/re-import</x:v>
      </x:c>
      <x:c r="E4" s="100" t="str">
        <x:f>IF('Master'!F439="","",'Master'!F439)</x:f>
      </x:c>
      <x:c r="F4" s="100" t="str">
        <x:f>IF('Master'!G439="","",'Master'!G439)</x:f>
      </x:c>
      <x:c r="G4" s="100" t="str">
        <x:f>IF('Master'!H439="","",'Master'!H439)</x:f>
        <x:v>Data export available</x:v>
      </x:c>
      <x:c r="H4" s="100" t="str">
        <x:f>IF('Master'!I439="","",'Master'!I439)</x:f>
      </x:c>
      <x:c r="I4" s="100" t="str">
        <x:f>IF('Master'!J439="","",'Master'!J439)</x:f>
      </x:c>
      <x:c r="J4" s="100" t="str">
        <x:f>IF('Master'!K439="","",'Master'!K439)</x:f>
        <x:v>Local archive export/import</x:v>
      </x:c>
      <x:c r="K4" s="100" t="str">
        <x:f>IF('Master'!L439="","",'Master'!L439)</x:f>
        <x:v>No full account/chat export workflow documented</x:v>
      </x:c>
      <x:c r="L4" s="100" t="str">
        <x:f>IF('Master'!M439="","",'Master'!M439)</x:f>
      </x:c>
      <x:c r="M4" s="100" t="str">
        <x:f>IF('Master'!N439="","",'Master'!N439)</x:f>
        <x:v>Yes</x:v>
      </x:c>
      <x:c r="N4" s="100" t="str">
        <x:f>IF('Master'!O439="","",'Master'!O439)</x:f>
        <x:v>Homeserver/client-dependent exports</x:v>
      </x:c>
      <x:c r="O4" s="100" t="str">
        <x:f>IF('Master'!P439="","",'Master'!P439)</x:f>
        <x:v>Bulk export tools/admin export</x:v>
      </x:c>
      <x:c r="P4" s="100" t="str">
        <x:f>IF('Master'!Q439="","",'Master'!Q439)</x:f>
      </x:c>
      <x:c r="Q4" s="100" t="str">
        <x:f>IF('Master'!R439="","",'Master'!R439)</x:f>
        <x:v>Server/operator logs/config; no Discord-style chat export</x:v>
      </x:c>
      <x:c r="R4" s="100" t="str">
        <x:f>IF('Master'!S439="","",'Master'!S439)</x:f>
      </x:c>
      <x:c r="S4" s="100" t="str">
        <x:f>IF('Master'!T439="","",'Master'!T439)</x:f>
      </x:c>
      <x:c r="T4" s="100" t="str">
        <x:f>IF('Master'!U439="","",'Master'!U439)</x:f>
        <x:v>Data export available; exact export format not stated</x:v>
      </x:c>
      <x:c r="U4" s="100" t="str">
        <x:f>IF('Master'!V439="","",'Master'!V439)</x:f>
        <x:v>No</x:v>
      </x:c>
      <x:c r="V4" s="100" t="str">
        <x:f>IF('Master'!W439="","",'Master'!W439)</x:f>
        <x:v>Admin export tools</x:v>
      </x:c>
      <x:c r="W4" s="100" t="str">
        <x:f>IF('Master'!X439="","",'Master'!X439)</x:f>
      </x:c>
      <x:c r="X4" s="100" t="str">
        <x:f>IF('Master'!Y439="","",'Master'!Y439)</x:f>
      </x:c>
      <x:c r="Y4" s="100" t="str">
        <x:f>IF('Master'!Z439="","",'Master'!Z439)</x:f>
      </x:c>
      <x:c r="Z4" s="100" t="str">
        <x:f>IF('Master'!AA439="","",'Master'!AA439)</x:f>
      </x:c>
      <x:c r="AA4" s="104" t="str">
        <x:f>IF('Master'!AB439="","",'Master'!AB439)</x:f>
      </x:c>
      <x:c r="AB4" s="100" t="str">
        <x:f>IF('Master'!AC439="","",'Master'!AC439)</x:f>
      </x:c>
      <x:c r="AC4" s="100" t="str">
        <x:f>IF('Master'!AD439="","",'Master'!AD439)</x:f>
      </x:c>
      <x:c r="AD4" s="100" t="str">
        <x:f>IF('Master'!AE439="","",'Master'!AE439)</x:f>
        <x:v>No</x:v>
      </x:c>
      <x:c r="AE4" s="100" t="str">
        <x:f>IF('Master'!AF439="","",'Master'!AF439)</x:f>
      </x:c>
      <x:c r="AF4" s="75" t="str">
        <x:f>IF('Master'!AG439="","",'Master'!AG439)</x:f>
        <x:v>Exports available</x:v>
      </x:c>
    </x:row>
    <x:row r="5" ht="36" customHeight="1">
      <x:c r="A5" s="135" t="str">
        <x:v>Media / Attachment Backup &amp; Export</x:v>
      </x:c>
      <x:c r="B5" s="100" t="str">
        <x:f>IF('Master'!C440="","",'Master'!C440)</x:f>
        <x:v>Yes — Data Package can include uploaded attachments in their file formats</x:v>
      </x:c>
      <x:c r="C5" s="100" t="str">
        <x:f>IF('Master'!D440="","",'Master'!D440)</x:f>
      </x:c>
      <x:c r="D5" s="100" t="str">
        <x:f>IF('Master'!E440="","",'Master'!E440)</x:f>
        <x:v>Operator data</x:v>
      </x:c>
      <x:c r="E5" s="100" t="str">
        <x:f>IF('Master'!F440="","",'Master'!F440)</x:f>
      </x:c>
      <x:c r="F5" s="100" t="str">
        <x:f>IF('Master'!G440="","",'Master'!G440)</x:f>
      </x:c>
      <x:c r="G5" s="100" t="str">
        <x:f>IF('Master'!H440="","",'Master'!H440)</x:f>
      </x:c>
      <x:c r="H5" s="100" t="str">
        <x:f>IF('Master'!I440="","",'Master'!I440)</x:f>
      </x:c>
      <x:c r="I5" s="100" t="str">
        <x:f>IF('Master'!J440="","",'Master'!J440)</x:f>
      </x:c>
      <x:c r="J5" s="100" t="str">
        <x:f>IF('Master'!K440="","",'Master'!K440)</x:f>
        <x:v>Local files/data export</x:v>
      </x:c>
      <x:c r="K5" s="100" t="str">
        <x:f>IF('Master'!L440="","",'Master'!L440)</x:f>
        <x:v>Direct attachment download exists; bulk media export is not documented</x:v>
      </x:c>
      <x:c r="L5" s="100" t="str">
        <x:f>IF('Master'!M440="","",'Master'!M440)</x:f>
      </x:c>
      <x:c r="M5" s="100" t="str">
        <x:f>IF('Master'!N440="","",'Master'!N440)</x:f>
        <x:v>Yes</x:v>
      </x:c>
      <x:c r="N5" s="100" t="str">
        <x:f>IF('Master'!O440="","",'Master'!O440)</x:f>
        <x:v>Homeserver/client-dependent</x:v>
      </x:c>
      <x:c r="O5" s="100" t="str">
        <x:f>IF('Master'!P440="","",'Master'!P440)</x:f>
        <x:v>Export/backup supported admin-side</x:v>
      </x:c>
      <x:c r="P5" s="100" t="str">
        <x:f>IF('Master'!Q440="","",'Master'!Q440)</x:f>
      </x:c>
      <x:c r="Q5" s="100" t="str">
        <x:f>IF('Master'!R440="","",'Master'!R440)</x:f>
        <x:v>N/A</x:v>
      </x:c>
      <x:c r="R5" s="100" t="str">
        <x:f>IF('Master'!S440="","",'Master'!S440)</x:f>
      </x:c>
      <x:c r="S5" s="100" t="str">
        <x:f>IF('Master'!T440="","",'Master'!T440)</x:f>
      </x:c>
      <x:c r="T5" s="100" t="str">
        <x:f>IF('Master'!U440="","",'Master'!U440)</x:f>
        <x:v>Data export exists; attachment-specific export behavior not stated</x:v>
      </x:c>
      <x:c r="U5" s="100" t="str">
        <x:f>IF('Master'!V440="","",'Master'!V440)</x:f>
        <x:v>Direct Attachement downloads</x:v>
      </x:c>
      <x:c r="V5" s="100" t="str">
        <x:f>IF('Master'!W440="","",'Master'!W440)</x:f>
        <x:v>Backup/export supported admin-side</x:v>
      </x:c>
      <x:c r="W5" s="100" t="str">
        <x:f>IF('Master'!X440="","",'Master'!X440)</x:f>
      </x:c>
      <x:c r="X5" s="100" t="str">
        <x:f>IF('Master'!Y440="","",'Master'!Y440)</x:f>
      </x:c>
      <x:c r="Y5" s="100" t="str">
        <x:f>IF('Master'!Z440="","",'Master'!Z440)</x:f>
      </x:c>
      <x:c r="Z5" s="100" t="str">
        <x:f>IF('Master'!AA440="","",'Master'!AA440)</x:f>
      </x:c>
      <x:c r="AA5" s="104" t="str">
        <x:f>IF('Master'!AB440="","",'Master'!AB440)</x:f>
      </x:c>
      <x:c r="AB5" s="100" t="str">
        <x:f>IF('Master'!AC440="","",'Master'!AC440)</x:f>
      </x:c>
      <x:c r="AC5" s="100" t="str">
        <x:f>IF('Master'!AD440="","",'Master'!AD440)</x:f>
      </x:c>
      <x:c r="AD5" s="100" t="str">
        <x:f>IF('Master'!AE440="","",'Master'!AE440)</x:f>
        <x:v>No</x:v>
      </x:c>
      <x:c r="AE5" s="100" t="str">
        <x:f>IF('Master'!AF440="","",'Master'!AF440)</x:f>
        <x:v>Operator files</x:v>
      </x:c>
      <x:c r="AF5" s="75" t="str">
        <x:f>IF('Master'!AG440="","",'Master'!AG440)</x:f>
        <x:v>Exports include realm data; attachment details deployment-dependent</x:v>
      </x:c>
    </x:row>
    <x:row r="6" ht="36" customHeight="1">
      <x:c r="A6" s="135" t="str">
        <x:v>Native Discord Bridge Support</x:v>
      </x:c>
      <x:c r="B6" s="100" t="str">
        <x:f>IF('Master'!C441="","",'Master'!C441)</x:f>
        <x:v>N/A — Discord is the source platform</x:v>
      </x:c>
      <x:c r="C6" s="100" t="str">
        <x:f>IF('Master'!D441="","",'Master'!D441)</x:f>
        <x:v>Yes — optional live two-way bridge</x:v>
      </x:c>
      <x:c r="D6" s="100" t="str">
        <x:f>IF('Master'!E441="","",'Master'!E441)</x:f>
        <x:v>Discord bridge WIP</x:v>
      </x:c>
      <x:c r="E6" s="100" t="str">
        <x:f>IF('Master'!F441="","",'Master'!F441)</x:f>
        <x:v>No</x:v>
      </x:c>
      <x:c r="F6" s="100" t="str">
        <x:f>IF('Master'!G441="","",'Master'!G441)</x:f>
        <x:v>No native bridge verified</x:v>
      </x:c>
      <x:c r="G6" s="100" t="str">
        <x:f>IF('Master'!H441="","",'Master'!H441)</x:f>
        <x:v>No native Discord bridge verified</x:v>
      </x:c>
      <x:c r="H6" s="100" t="str">
        <x:f>IF('Master'!I441="","",'Master'!I441)</x:f>
        <x:v>No native live bridge verified</x:v>
      </x:c>
      <x:c r="I6" s="100" t="str">
        <x:f>IF('Master'!J441="","",'Master'!J441)</x:f>
        <x:v>Discord bot/API compatibility can ease bot migration</x:v>
      </x:c>
      <x:c r="J6" s="100" t="str">
        <x:f>IF('Master'!K441="","",'Master'!K441)</x:f>
        <x:v>No Discord bridge verified</x:v>
      </x:c>
      <x:c r="K6" s="100" t="str">
        <x:f>IF('Master'!L441="","",'Master'!L441)</x:f>
        <x:v>Yes — official Discord↔Kaede bridge bot is included in the repository</x:v>
      </x:c>
      <x:c r="L6" s="100" t="str">
        <x:f>IF('Master'!M441="","",'Master'!M441)</x:f>
        <x:v>No</x:v>
      </x:c>
      <x:c r="M6" s="100" t="str">
        <x:f>IF('Master'!N441="","",'Master'!N441)</x:f>
        <x:v>No live bridge verified</x:v>
      </x:c>
      <x:c r="N6" s="100" t="str">
        <x:f>IF('Master'!O441="","",'Master'!O441)</x:f>
        <x:v>Yes — ecosystem bridges such as matrix-appservice-discord / mautrix-discord</x:v>
      </x:c>
      <x:c r="O6" s="100" t="str">
        <x:f>IF('Master'!P441="","",'Master'!P441)</x:f>
        <x:v>No native Discord bridge</x:v>
      </x:c>
      <x:c r="P6" s="100" t="str">
        <x:f>IF('Master'!Q441="","",'Master'!Q441)</x:f>
        <x:v>No</x:v>
      </x:c>
      <x:c r="Q6" s="100" t="str">
        <x:f>IF('Master'!R441="","",'Master'!R441)</x:f>
        <x:v>No</x:v>
      </x:c>
      <x:c r="R6" s="100" t="str">
        <x:f>IF('Master'!S441="","",'Master'!S441)</x:f>
        <x:v>No</x:v>
      </x:c>
      <x:c r="S6" s="100" t="str">
        <x:f>IF('Master'!T441="","",'Master'!T441)</x:f>
      </x:c>
      <x:c r="T6" s="100" t="str">
        <x:f>IF('Master'!U441="","",'Master'!U441)</x:f>
        <x:v>No</x:v>
      </x:c>
      <x:c r="U6" s="100" t="str">
        <x:f>IF('Master'!V441="","",'Master'!V441)</x:f>
        <x:v>No</x:v>
      </x:c>
      <x:c r="V6" s="100" t="str">
        <x:f>IF('Master'!W441="","",'Master'!W441)</x:f>
        <x:v>No native Discord bridge</x:v>
      </x:c>
      <x:c r="W6" s="100" t="str">
        <x:f>IF('Master'!X441="","",'Master'!X441)</x:f>
        <x:v>Yes — bidirectional Discord bridge package</x:v>
      </x:c>
      <x:c r="X6" s="100" t="str">
        <x:f>IF('Master'!Y441="","",'Master'!Y441)</x:f>
        <x:v>No native live Discord bridge</x:v>
      </x:c>
      <x:c r="Y6" s="100" t="str">
        <x:f>IF('Master'!Z441="","",'Master'!Z441)</x:f>
        <x:v>API compatibility enables some Discord bots/clients, not a live bridge</x:v>
      </x:c>
      <x:c r="Z6" s="100" t="str">
        <x:f>IF('Master'!AA441="","",'Master'!AA441)</x:f>
        <x:v>No native Discord bridge verified</x:v>
      </x:c>
      <x:c r="AA6" s="104" t="str">
        <x:f>IF('Master'!AB441="","",'Master'!AB441)</x:f>
        <x:v>No native</x:v>
      </x:c>
      <x:c r="AB6" s="100" t="str">
        <x:f>IF('Master'!AC441="","",'Master'!AC441)</x:f>
        <x:v>No live bridge verified</x:v>
      </x:c>
      <x:c r="AC6" s="100" t="str">
        <x:f>IF('Master'!AD441="","",'Master'!AD441)</x:f>
        <x:v>Bridge possible by protocol design; no native bridge verified</x:v>
      </x:c>
      <x:c r="AD6" s="100" t="str">
        <x:f>IF('Master'!AE441="","",'Master'!AE441)</x:f>
        <x:v>No</x:v>
      </x:c>
      <x:c r="AE6" s="100" t="str">
        <x:f>IF('Master'!AF441="","",'Master'!AF441)</x:f>
        <x:v>No</x:v>
      </x:c>
      <x:c r="AF6" s="75" t="str">
        <x:f>IF('Master'!AG441="","",'Master'!AG441)</x:f>
        <x:v>No native Discord bridge</x:v>
      </x:c>
    </x:row>
    <x:row r="7" ht="36" customHeight="1">
      <x:c r="A7" s="135" t="str">
        <x:v>Matrix Bridge / Appservice Support</x:v>
      </x:c>
      <x:c r="B7" s="100" t="str">
        <x:f>IF('Master'!C442="","",'Master'!C442)</x:f>
        <x:v>No native official Matrix bridge/appservice</x:v>
      </x:c>
      <x:c r="C7" s="100" t="str">
        <x:f>IF('Master'!D442="","",'Master'!D442)</x:f>
        <x:v>N/A</x:v>
      </x:c>
      <x:c r="D7" s="100" t="str">
        <x:f>IF('Master'!E442="","",'Master'!E442)</x:f>
        <x:v>No Matrix bridge verified</x:v>
      </x:c>
      <x:c r="E7" s="100" t="str">
        <x:f>IF('Master'!F442="","",'Master'!F442)</x:f>
        <x:v>No</x:v>
      </x:c>
      <x:c r="F7" s="100" t="str">
        <x:f>IF('Master'!G442="","",'Master'!G442)</x:f>
        <x:v>No native Matrix bridge verified</x:v>
      </x:c>
      <x:c r="G7" s="100" t="str">
        <x:f>IF('Master'!H442="","",'Master'!H442)</x:f>
        <x:v>No Matrix bridge verified</x:v>
      </x:c>
      <x:c r="H7" s="100" t="str">
        <x:f>IF('Master'!I442="","",'Master'!I442)</x:f>
        <x:v>No native Matrix bridge verified</x:v>
      </x:c>
      <x:c r="I7" s="100" t="str">
        <x:f>IF('Master'!J442="","",'Master'!J442)</x:f>
        <x:v>No Matrix bridge verified</x:v>
      </x:c>
      <x:c r="J7" s="100" t="str">
        <x:f>IF('Master'!K442="","",'Master'!K442)</x:f>
        <x:v>No Matrix bridge verified</x:v>
      </x:c>
      <x:c r="K7" s="100" t="str">
        <x:f>IF('Master'!L442="","",'Master'!L442)</x:f>
        <x:v>No Matrix bridge documented</x:v>
      </x:c>
      <x:c r="L7" s="100" t="str">
        <x:f>IF('Master'!M442="","",'Master'!M442)</x:f>
        <x:v>No</x:v>
      </x:c>
      <x:c r="M7" s="100" t="str">
        <x:f>IF('Master'!N442="","",'Master'!N442)</x:f>
        <x:v>No native Matrix bridge verified</x:v>
      </x:c>
      <x:c r="N7" s="100" t="str">
        <x:f>IF('Master'!O442="","",'Master'!O442)</x:f>
        <x:v>N/A — Matrix is itself the Matrix protocol</x:v>
      </x:c>
      <x:c r="O7" s="100" t="str">
        <x:f>IF('Master'!P442="","",'Master'!P442)</x:f>
        <x:v>Integrations possible; no native Matrix bridge core</x:v>
      </x:c>
      <x:c r="P7" s="100" t="str">
        <x:f>IF('Master'!Q442="","",'Master'!Q442)</x:f>
        <x:v>No</x:v>
      </x:c>
      <x:c r="Q7" s="100" t="str">
        <x:f>IF('Master'!R442="","",'Master'!R442)</x:f>
        <x:v>No native</x:v>
      </x:c>
      <x:c r="R7" s="100" t="str">
        <x:f>IF('Master'!S442="","",'Master'!S442)</x:f>
        <x:v>No</x:v>
      </x:c>
      <x:c r="S7" s="100" t="str">
        <x:f>IF('Master'!T442="","",'Master'!T442)</x:f>
      </x:c>
      <x:c r="T7" s="100" t="str">
        <x:f>IF('Master'!U442="","",'Master'!U442)</x:f>
        <x:v>No shipping Matrix bridge claim</x:v>
      </x:c>
      <x:c r="U7" s="100" t="str">
        <x:f>IF('Master'!V442="","",'Master'!V442)</x:f>
        <x:v>No</x:v>
      </x:c>
      <x:c r="V7" s="100" t="str">
        <x:f>IF('Master'!W442="","",'Master'!W442)</x:f>
        <x:v>Federation uses Matrix protocol components; not the same as a generic Matrix bridge</x:v>
      </x:c>
      <x:c r="W7" s="100" t="str">
        <x:f>IF('Master'!X442="","",'Master'!X442)</x:f>
        <x:v>N/A</x:v>
      </x:c>
      <x:c r="X7" s="100" t="str">
        <x:f>IF('Master'!Y442="","",'Master'!Y442)</x:f>
        <x:v>No native Matrix bridge</x:v>
      </x:c>
      <x:c r="Y7" s="100" t="str">
        <x:f>IF('Master'!Z442="","",'Master'!Z442)</x:f>
        <x:v>No native Matrix bridge verified</x:v>
      </x:c>
      <x:c r="Z7" s="100" t="str">
        <x:f>IF('Master'!AA442="","",'Master'!AA442)</x:f>
        <x:v>No native Matrix bridge verified</x:v>
      </x:c>
      <x:c r="AA7" s="104" t="str">
        <x:f>IF('Master'!AB442="","",'Master'!AB442)</x:f>
        <x:v>No native</x:v>
      </x:c>
      <x:c r="AB7" s="100" t="str">
        <x:f>IF('Master'!AC442="","",'Master'!AC442)</x:f>
        <x:v>No</x:v>
      </x:c>
      <x:c r="AC7" s="100" t="str">
        <x:f>IF('Master'!AD442="","",'Master'!AD442)</x:f>
        <x:v>Bridge to Matrix possible in theory, not native</x:v>
      </x:c>
      <x:c r="AD7" s="100" t="str">
        <x:f>IF('Master'!AE442="","",'Master'!AE442)</x:f>
        <x:v>No</x:v>
      </x:c>
      <x:c r="AE7" s="100" t="str">
        <x:f>IF('Master'!AF442="","",'Master'!AF442)</x:f>
        <x:v>No</x:v>
      </x:c>
      <x:c r="AF7" s="75" t="str">
        <x:f>IF('Master'!AG442="","",'Master'!AG442)</x:f>
        <x:v>No native Matrix bridge</x:v>
      </x:c>
    </x:row>
    <x:row r="8" ht="36" customHeight="1">
      <x:c r="A8" s="135" t="str">
        <x:v>IRC Relay Bridge Support</x:v>
      </x:c>
      <x:c r="B8" s="100" t="str">
        <x:f>IF('Master'!C443="","",'Master'!C443)</x:f>
        <x:v>No native official IRC relay bridge</x:v>
      </x:c>
      <x:c r="C8" s="100" t="str">
        <x:f>IF('Master'!D443="","",'Master'!D443)</x:f>
      </x:c>
      <x:c r="D8" s="100" t="str">
        <x:f>IF('Master'!E443="","",'Master'!E443)</x:f>
        <x:v>No IRC bridge verified</x:v>
      </x:c>
      <x:c r="E8" s="100" t="str">
        <x:f>IF('Master'!F443="","",'Master'!F443)</x:f>
        <x:v>No</x:v>
      </x:c>
      <x:c r="F8" s="100" t="str">
        <x:f>IF('Master'!G443="","",'Master'!G443)</x:f>
        <x:v>No native IRC bridge verified</x:v>
      </x:c>
      <x:c r="G8" s="100" t="str">
        <x:f>IF('Master'!H443="","",'Master'!H443)</x:f>
        <x:v>No IRC bridge verified</x:v>
      </x:c>
      <x:c r="H8" s="100" t="str">
        <x:f>IF('Master'!I443="","",'Master'!I443)</x:f>
        <x:v>No native IRC bridge verified</x:v>
      </x:c>
      <x:c r="I8" s="100" t="str">
        <x:f>IF('Master'!J443="","",'Master'!J443)</x:f>
        <x:v>Discord bridge via Bolt/community mentioned; not core verified</x:v>
      </x:c>
      <x:c r="J8" s="100" t="str">
        <x:f>IF('Master'!K443="","",'Master'!K443)</x:f>
        <x:v>No IRC bridge</x:v>
      </x:c>
      <x:c r="K8" s="100" t="str">
        <x:f>IF('Master'!L443="","",'Master'!L443)</x:f>
        <x:v>No IRC bridge documented</x:v>
      </x:c>
      <x:c r="L8" s="100" t="str">
        <x:f>IF('Master'!M443="","",'Master'!M443)</x:f>
        <x:v>No</x:v>
      </x:c>
      <x:c r="M8" s="100" t="str">
        <x:f>IF('Master'!N443="","",'Master'!N443)</x:f>
        <x:v>No native IRC bridge verified</x:v>
      </x:c>
      <x:c r="N8" s="100" t="str">
        <x:f>IF('Master'!O443="","",'Master'!O443)</x:f>
        <x:v>Yes — ecosystem IRC bridges</x:v>
      </x:c>
      <x:c r="O8" s="100" t="str">
        <x:f>IF('Master'!P443="","",'Master'!P443)</x:f>
        <x:v>Integrations possible</x:v>
      </x:c>
      <x:c r="P8" s="100" t="str">
        <x:f>IF('Master'!Q443="","",'Master'!Q443)</x:f>
        <x:v>No</x:v>
      </x:c>
      <x:c r="Q8" s="100" t="str">
        <x:f>IF('Master'!R443="","",'Master'!R443)</x:f>
        <x:v>No native</x:v>
      </x:c>
      <x:c r="R8" s="100" t="str">
        <x:f>IF('Master'!S443="","",'Master'!S443)</x:f>
        <x:v>No</x:v>
      </x:c>
      <x:c r="S8" s="100" t="str">
        <x:f>IF('Master'!T443="","",'Master'!T443)</x:f>
      </x:c>
      <x:c r="T8" s="100" t="str">
        <x:f>IF('Master'!U443="","",'Master'!U443)</x:f>
        <x:v>No</x:v>
      </x:c>
      <x:c r="U8" s="100" t="str">
        <x:f>IF('Master'!V443="","",'Master'!V443)</x:f>
        <x:v>No</x:v>
      </x:c>
      <x:c r="V8" s="100" t="str">
        <x:f>IF('Master'!W443="","",'Master'!W443)</x:f>
      </x:c>
      <x:c r="W8" s="100" t="str">
        <x:f>IF('Master'!X443="","",'Master'!X443)</x:f>
        <x:v>No native IRC</x:v>
      </x:c>
      <x:c r="X8" s="100" t="str">
        <x:f>IF('Master'!Y443="","",'Master'!Y443)</x:f>
        <x:v>No native IRC bridge</x:v>
      </x:c>
      <x:c r="Y8" s="100" t="str">
        <x:f>IF('Master'!Z443="","",'Master'!Z443)</x:f>
        <x:v>No native IRC bridge verified</x:v>
      </x:c>
      <x:c r="Z8" s="100" t="str">
        <x:f>IF('Master'!AA443="","",'Master'!AA443)</x:f>
        <x:v>No native IRC bridge verified</x:v>
      </x:c>
      <x:c r="AA8" s="104" t="str">
        <x:f>IF('Master'!AB443="","",'Master'!AB443)</x:f>
        <x:v>No native</x:v>
      </x:c>
      <x:c r="AB8" s="100" t="str">
        <x:f>IF('Master'!AC443="","",'Master'!AC443)</x:f>
        <x:v>No</x:v>
      </x:c>
      <x:c r="AC8" s="100" t="str">
        <x:f>IF('Master'!AD443="","",'Master'!AD443)</x:f>
      </x:c>
      <x:c r="AD8" s="100" t="str">
        <x:f>IF('Master'!AE443="","",'Master'!AE443)</x:f>
        <x:v>No</x:v>
      </x:c>
      <x:c r="AE8" s="100" t="str">
        <x:f>IF('Master'!AF443="","",'Master'!AF443)</x:f>
        <x:v>No</x:v>
      </x:c>
      <x:c r="AF8" s="75" t="str">
        <x:f>IF('Master'!AG443="","",'Master'!AG443)</x:f>
        <x:v>IRC integration possible via bots; no native relay verified</x:v>
      </x:c>
    </x:row>
    <x:row r="9" ht="36" customHeight="1">
      <x:c r="A9" s="135" t="str">
        <x:v>Multi-Server / Account Switching UX</x:v>
      </x:c>
      <x:c r="B9" s="100" t="str">
        <x:f>IF('Master'!C444="","",'Master'!C444)</x:f>
        <x:v>Yes — server switching + desktop Account Switcher for up to 5 accounts</x:v>
      </x:c>
      <x:c r="C9" s="100" t="str">
        <x:f>IF('Master'!D444="","",'Master'!D444)</x:f>
        <x:v>Nostr identity works across relays</x:v>
      </x:c>
      <x:c r="D9" s="100" t="str">
        <x:f>IF('Master'!E444="","",'Master'!E444)</x:f>
        <x:v>Accounts can export/import; messenger identity crosses home servers</x:v>
      </x:c>
      <x:c r="E9" s="100" t="str">
        <x:f>IF('Master'!F444="","",'Master'!F444)</x:f>
        <x:v>Multi-server</x:v>
      </x:c>
      <x:c r="F9" s="100" t="str">
        <x:f>IF('Master'!G444="","",'Master'!G444)</x:f>
      </x:c>
      <x:c r="G9" s="100" t="str">
        <x:f>IF('Master'!H444="","",'Master'!H444)</x:f>
        <x:v>Self-host instances supported; federation/account portability not yet</x:v>
      </x:c>
      <x:c r="H9" s="100" t="str">
        <x:f>IF('Master'!I444="","",'Master'!I444)</x:f>
        <x:v>Multi-server UX</x:v>
      </x:c>
      <x:c r="I9" s="100" t="str">
        <x:f>IF('Master'!J444="","",'Master'!J444)</x:f>
        <x:v>Instance picker in Fermi</x:v>
      </x:c>
      <x:c r="J9" s="100" t="str">
        <x:f>IF('Master'!K444="","",'Master'!K444)</x:f>
        <x:v>Identity key works across relays</x:v>
      </x:c>
      <x:c r="K9" s="100" t="str">
        <x:f>IF('Master'!L444="","",'Master'!L444)</x:f>
        <x:v>One home account accesses federated resources; no cross-home account switcher/migration workflow documented</x:v>
      </x:c>
      <x:c r="L9" s="100" t="str">
        <x:f>IF('Master'!M444="","",'Master'!M444)</x:f>
        <x:v>Single service</x:v>
      </x:c>
      <x:c r="M9" s="100" t="str">
        <x:f>IF('Master'!N444="","",'Master'!N444)</x:f>
        <x:v>Self-host/federation design</x:v>
      </x:c>
      <x:c r="N9" s="100" t="str">
        <x:f>IF('Master'!O444="","",'Master'!O444)</x:f>
        <x:v>Client choice is a core feature; users can switch Matrix clients on the same account</x:v>
      </x:c>
      <x:c r="O9" s="100" t="str">
        <x:f>IF('Master'!P444="","",'Master'!P444)</x:f>
        <x:v>Desktop supports multiple servers</x:v>
      </x:c>
      <x:c r="P9" s="100" t="str">
        <x:f>IF('Master'!Q444="","",'Master'!Q444)</x:f>
        <x:v>Multi-clan</x:v>
      </x:c>
      <x:c r="Q9" s="100" t="str">
        <x:f>IF('Master'!R444="","",'Master'!R444)</x:f>
        <x:v>Multi-server bookmarks; account identity can use certificates</x:v>
      </x:c>
      <x:c r="R9" s="100" t="str">
        <x:f>IF('Master'!S444="","",'Master'!S444)</x:f>
        <x:v>Single hosted service UX</x:v>
      </x:c>
      <x:c r="S9" s="100" t="str">
        <x:f>IF('Master'!T444="","",'Master'!T444)</x:f>
        <x:v>Multi-community</x:v>
      </x:c>
      <x:c r="T9" s="100" t="str">
        <x:f>IF('Master'!U444="","",'Master'!U444)</x:f>
        <x:v>No</x:v>
      </x:c>
      <x:c r="U9" s="100" t="str">
        <x:f>IF('Master'!V444="","",'Master'!V444)</x:f>
        <x:v>Multi-community/portal UX</x:v>
      </x:c>
      <x:c r="V9" s="100" t="str">
        <x:f>IF('Master'!W444="","",'Master'!W444)</x:f>
        <x:v>Multiple workspaces supported by clients</x:v>
      </x:c>
      <x:c r="W9" s="100" t="str">
        <x:f>IF('Master'!X444="","",'Master'!X444)</x:f>
        <x:v>ATProto identity/client model</x:v>
      </x:c>
      <x:c r="X9" s="100" t="str">
        <x:f>IF('Master'!Y444="","",'Master'!Y444)</x:f>
      </x:c>
      <x:c r="Y9" s="100" t="str">
        <x:f>IF('Master'!Z444="","",'Master'!Z444)</x:f>
        <x:v>Instances are separate; no federation</x:v>
      </x:c>
      <x:c r="Z9" s="100" t="str">
        <x:f>IF('Master'!AA444="","",'Master'!AA444)</x:f>
        <x:v>Multiple servers/instances are not fully seamless in official clients</x:v>
      </x:c>
      <x:c r="AA9" s="104" t="str">
        <x:f>IF('Master'!AB444="","",'Master'!AB444)</x:f>
        <x:v>Multi-server bookmarks/connections</x:v>
      </x:c>
      <x:c r="AB9" s="100" t="str">
        <x:f>IF('Master'!AC444="","",'Master'!AC444)</x:f>
        <x:v>Self-host/node migration</x:v>
      </x:c>
      <x:c r="AC9" s="100" t="str">
        <x:f>IF('Master'!AD444="","",'Master'!AD444)</x:f>
        <x:v>Federation target is single account across servers</x:v>
      </x:c>
      <x:c r="AD9" s="100" t="str">
        <x:f>IF('Master'!AE444="","",'Master'!AE444)</x:f>
        <x:v>Lobby-based UX</x:v>
      </x:c>
      <x:c r="AE9" s="100" t="str">
        <x:f>IF('Master'!AF444="","",'Master'!AF444)</x:f>
        <x:v>Server selection</x:v>
      </x:c>
      <x:c r="AF9" s="75" t="str">
        <x:f>IF('Master'!AG444="","",'Master'!AG444)</x:f>
        <x:v>Multiple organizations/accounts supported</x:v>
      </x:c>
    </x:row>
    <x:row r="10" ht="23.100000381469727" customHeight="1">
      <x:c r="A10" s="135" t="str">
        <x:v>Migration Depth</x:v>
      </x:c>
      <x:c r="B10" s="102" t="str">
        <x:f>IF('Master'!C445="","",'Master'!C445)</x:f>
      </x:c>
      <x:c r="C10" s="102" t="str">
        <x:f>IF('Master'!D445="","",'Master'!D445)</x:f>
      </x:c>
      <x:c r="D10" s="102" t="str">
        <x:f>IF('Master'!E445="","",'Master'!E445)</x:f>
      </x:c>
      <x:c r="E10" s="102" t="str">
        <x:f>IF('Master'!F445="","",'Master'!F445)</x:f>
      </x:c>
      <x:c r="F10" s="102" t="str">
        <x:f>IF('Master'!G445="","",'Master'!G445)</x:f>
      </x:c>
      <x:c r="G10" s="102" t="str">
        <x:f>IF('Master'!H445="","",'Master'!H445)</x:f>
      </x:c>
      <x:c r="H10" s="102" t="str">
        <x:f>IF('Master'!I445="","",'Master'!I445)</x:f>
      </x:c>
      <x:c r="I10" s="102" t="str">
        <x:f>IF('Master'!J445="","",'Master'!J445)</x:f>
      </x:c>
      <x:c r="J10" s="102" t="str">
        <x:f>IF('Master'!K445="","",'Master'!K445)</x:f>
      </x:c>
      <x:c r="K10" s="102" t="str">
        <x:f>IF('Master'!L445="","",'Master'!L445)</x:f>
        <x:v>Bridge/interoperability exists; no automated Discord data migration/importer</x:v>
      </x:c>
      <x:c r="L10" s="102" t="str">
        <x:f>IF('Master'!M445="","",'Master'!M445)</x:f>
      </x:c>
      <x:c r="M10" s="102" t="str">
        <x:f>IF('Master'!N445="","",'Master'!N445)</x:f>
      </x:c>
      <x:c r="N10" s="102" t="str">
        <x:f>IF('Master'!O445="","",'Master'!O445)</x:f>
      </x:c>
      <x:c r="O10" s="102" t="str">
        <x:f>IF('Master'!P445="","",'Master'!P445)</x:f>
      </x:c>
      <x:c r="P10" s="102" t="str">
        <x:f>IF('Master'!Q445="","",'Master'!Q445)</x:f>
      </x:c>
      <x:c r="Q10" s="102" t="str">
        <x:f>IF('Master'!R445="","",'Master'!R445)</x:f>
      </x:c>
      <x:c r="R10" s="102" t="str">
        <x:f>IF('Master'!S445="","",'Master'!S445)</x:f>
      </x:c>
      <x:c r="S10" s="102" t="str">
        <x:f>IF('Master'!T445="","",'Master'!T445)</x:f>
      </x:c>
      <x:c r="T10" s="102" t="str">
        <x:f>IF('Master'!U445="","",'Master'!U445)</x:f>
      </x:c>
      <x:c r="U10" s="102" t="str">
        <x:f>IF('Master'!V445="","",'Master'!V445)</x:f>
      </x:c>
      <x:c r="V10" s="102" t="str">
        <x:f>IF('Master'!W445="","",'Master'!W445)</x:f>
      </x:c>
      <x:c r="W10" s="102" t="str">
        <x:f>IF('Master'!X445="","",'Master'!X445)</x:f>
      </x:c>
      <x:c r="X10" s="102" t="str">
        <x:f>IF('Master'!Y445="","",'Master'!Y445)</x:f>
      </x:c>
      <x:c r="Y10" s="102" t="str">
        <x:f>IF('Master'!Z445="","",'Master'!Z445)</x:f>
      </x:c>
      <x:c r="Z10" s="102" t="str">
        <x:f>IF('Master'!AA445="","",'Master'!AA445)</x:f>
      </x:c>
      <x:c r="AA10" s="103" t="str">
        <x:f>IF('Master'!AB445="","",'Master'!AB445)</x:f>
      </x:c>
      <x:c r="AB10" s="102" t="str">
        <x:f>IF('Master'!AC445="","",'Master'!AC445)</x:f>
      </x:c>
      <x:c r="AC10" s="102" t="str">
        <x:f>IF('Master'!AD445="","",'Master'!AD445)</x:f>
      </x:c>
      <x:c r="AD10" s="102" t="str">
        <x:f>IF('Master'!AE445="","",'Master'!AE445)</x:f>
      </x:c>
      <x:c r="AE10" s="102" t="str">
        <x:f>IF('Master'!AF445="","",'Master'!AF445)</x:f>
      </x:c>
      <x:c r="AF10" s="75" t="str">
        <x:f>IF('Master'!AG445="","",'Master'!AG445)</x:f>
      </x:c>
    </x:row>
    <x:row r="11" ht="36" customHeight="1">
      <x:c r="A11" s="135" t="str">
        <x:v>Discord Permission Import</x:v>
      </x:c>
      <x:c r="B11" s="100" t="str">
        <x:f>IF('Master'!C450="","",'Master'!C450)</x:f>
        <x:v>N/A</x:v>
      </x:c>
      <x:c r="C11" s="100" t="str">
        <x:f>IF('Master'!D450="","",'Master'!D450)</x:f>
        <x:v>Partial — permissions are mapped where Armada has an equivalent; unsupported Discord-only permissions are dropped</x:v>
      </x:c>
      <x:c r="D11" s="100" t="str">
        <x:f>IF('Master'!E450="","",'Master'!E450)</x:f>
        <x:v>No</x:v>
      </x:c>
      <x:c r="E11" s="100" t="str">
        <x:f>IF('Master'!F450="","",'Master'!F450)</x:f>
        <x:v>No</x:v>
      </x:c>
      <x:c r="F11" s="100" t="str">
        <x:f>IF('Master'!G450="","",'Master'!G450)</x:f>
        <x:v>Planned/advertised</x:v>
      </x:c>
      <x:c r="G11" s="100" t="str">
        <x:f>IF('Master'!H450="","",'Master'!H450)</x:f>
        <x:v>No full importer verified</x:v>
      </x:c>
      <x:c r="H11" s="100" t="str">
        <x:f>IF('Master'!I450="","",'Master'!I450)</x:f>
        <x:v>Yes</x:v>
      </x:c>
      <x:c r="I11" s="100" t="str">
        <x:f>IF('Master'!J450="","",'Master'!J450)</x:f>
        <x:v>No</x:v>
      </x:c>
      <x:c r="J11" s="100" t="str">
        <x:f>IF('Master'!K450="","",'Master'!K450)</x:f>
        <x:v>No</x:v>
      </x:c>
      <x:c r="K11" s="100" t="str">
        <x:f>IF('Master'!L450="","",'Master'!L450)</x:f>
        <x:v>No dedicated Discord server importer documented</x:v>
      </x:c>
      <x:c r="L11" s="100" t="str">
        <x:f>IF('Master'!M450="","",'Master'!M450)</x:f>
        <x:v>No</x:v>
      </x:c>
      <x:c r="M11" s="100" t="str">
        <x:f>IF('Master'!N450="","",'Master'!N450)</x:f>
        <x:v>Yes</x:v>
      </x:c>
      <x:c r="N11" s="100" t="str">
        <x:f>IF('Master'!O450="","",'Master'!O450)</x:f>
        <x:v>Tool-dependent</x:v>
      </x:c>
      <x:c r="O11" s="100" t="str">
        <x:f>IF('Master'!P450="","",'Master'!P450)</x:f>
        <x:v>No</x:v>
      </x:c>
      <x:c r="P11" s="100" t="str">
        <x:f>IF('Master'!Q450="","",'Master'!Q450)</x:f>
      </x:c>
      <x:c r="Q11" s="100" t="str">
        <x:f>IF('Master'!R450="","",'Master'!R450)</x:f>
        <x:v>No</x:v>
      </x:c>
      <x:c r="R11" s="100" t="str">
        <x:f>IF('Master'!S450="","",'Master'!S450)</x:f>
        <x:v>No</x:v>
      </x:c>
      <x:c r="S11" s="100" t="str">
        <x:f>IF('Master'!T450="","",'Master'!T450)</x:f>
      </x:c>
      <x:c r="T11" s="100" t="str">
        <x:f>IF('Master'!U450="","",'Master'!U450)</x:f>
        <x:v>Yes — main permissions</x:v>
      </x:c>
      <x:c r="U11" s="100" t="str">
        <x:f>IF('Master'!V450="","",'Master'!V450)</x:f>
        <x:v>Yes — rules with Rift equivalents</x:v>
      </x:c>
      <x:c r="V11" s="100" t="str">
        <x:f>IF('Master'!W450="","",'Master'!W450)</x:f>
        <x:v>No verified</x:v>
      </x:c>
      <x:c r="W11" s="100" t="str">
        <x:f>IF('Master'!X450="","",'Master'!X450)</x:f>
      </x:c>
      <x:c r="X11" s="100" t="str">
        <x:f>IF('Master'!Y450="","",'Master'!Y450)</x:f>
        <x:v>Yes</x:v>
      </x:c>
      <x:c r="Y11" s="100" t="str">
        <x:f>IF('Master'!Z450="","",'Master'!Z450)</x:f>
        <x:v>N/A/compatibility</x:v>
      </x:c>
      <x:c r="Z11" s="100" t="str">
        <x:f>IF('Master'!AA450="","",'Master'!AA450)</x:f>
        <x:v>No verified</x:v>
      </x:c>
      <x:c r="AA11" s="104" t="str">
        <x:f>IF('Master'!AB450="","",'Master'!AB450)</x:f>
        <x:v>No</x:v>
      </x:c>
      <x:c r="AB11" s="100" t="str">
        <x:f>IF('Master'!AC450="","",'Master'!AC450)</x:f>
      </x:c>
      <x:c r="AC11" s="100" t="str">
        <x:f>IF('Master'!AD450="","",'Master'!AD450)</x:f>
        <x:v>No</x:v>
      </x:c>
      <x:c r="AD11" s="100" t="str">
        <x:f>IF('Master'!AE450="","",'Master'!AE450)</x:f>
        <x:v>No</x:v>
      </x:c>
      <x:c r="AE11" s="100" t="str">
        <x:f>IF('Master'!AF450="","",'Master'!AF450)</x:f>
        <x:v>No</x:v>
      </x:c>
      <x:c r="AF11" s="75" t="str">
        <x:f>IF('Master'!AG450="","",'Master'!AG450)</x:f>
        <x:v>No</x:v>
      </x:c>
    </x:row>
    <x:row r="12" ht="36" customHeight="1">
      <x:c r="A12" s="135" t="str">
        <x:v>Discord Emoji / Sticker Import</x:v>
      </x:c>
      <x:c r="B12" s="100" t="str">
        <x:f>IF('Master'!C451="","",'Master'!C451)</x:f>
        <x:v>N/A</x:v>
      </x:c>
      <x:c r="C12" s="100" t="str">
        <x:f>IF('Master'!D451="","",'Master'!D451)</x:f>
      </x:c>
      <x:c r="D12" s="100" t="str">
        <x:f>IF('Master'!E451="","",'Master'!E451)</x:f>
        <x:v>No</x:v>
      </x:c>
      <x:c r="E12" s="100" t="str">
        <x:f>IF('Master'!F451="","",'Master'!F451)</x:f>
        <x:v>No</x:v>
      </x:c>
      <x:c r="F12" s="100" t="str">
        <x:f>IF('Master'!G451="","",'Master'!G451)</x:f>
      </x:c>
      <x:c r="G12" s="100" t="str">
        <x:f>IF('Master'!H451="","",'Master'!H451)</x:f>
        <x:v>No</x:v>
      </x:c>
      <x:c r="H12" s="100" t="str">
        <x:f>IF('Master'!I451="","",'Master'!I451)</x:f>
        <x:v>Yes</x:v>
      </x:c>
      <x:c r="I12" s="100" t="str">
        <x:f>IF('Master'!J451="","",'Master'!J451)</x:f>
        <x:v>No</x:v>
      </x:c>
      <x:c r="J12" s="100" t="str">
        <x:f>IF('Master'!K451="","",'Master'!K451)</x:f>
        <x:v>No</x:v>
      </x:c>
      <x:c r="K12" s="100" t="str">
        <x:f>IF('Master'!L451="","",'Master'!L451)</x:f>
        <x:v>No dedicated Discord server importer documented</x:v>
      </x:c>
      <x:c r="L12" s="100" t="str">
        <x:f>IF('Master'!M451="","",'Master'!M451)</x:f>
        <x:v>No</x:v>
      </x:c>
      <x:c r="M12" s="100" t="str">
        <x:f>IF('Master'!N451="","",'Master'!N451)</x:f>
        <x:v>Yes</x:v>
      </x:c>
      <x:c r="N12" s="100" t="str">
        <x:f>IF('Master'!O451="","",'Master'!O451)</x:f>
        <x:v>Tool-dependent</x:v>
      </x:c>
      <x:c r="O12" s="100" t="str">
        <x:f>IF('Master'!P451="","",'Master'!P451)</x:f>
        <x:v>No</x:v>
      </x:c>
      <x:c r="P12" s="100" t="str">
        <x:f>IF('Master'!Q451="","",'Master'!Q451)</x:f>
      </x:c>
      <x:c r="Q12" s="100" t="str">
        <x:f>IF('Master'!R451="","",'Master'!R451)</x:f>
        <x:v>No</x:v>
      </x:c>
      <x:c r="R12" s="100" t="str">
        <x:f>IF('Master'!S451="","",'Master'!S451)</x:f>
        <x:v>No</x:v>
      </x:c>
      <x:c r="S12" s="100" t="str">
        <x:f>IF('Master'!T451="","",'Master'!T451)</x:f>
      </x:c>
      <x:c r="T12" s="100" t="str">
        <x:f>IF('Master'!U451="","",'Master'!U451)</x:f>
      </x:c>
      <x:c r="U12" s="100" t="str">
        <x:f>IF('Master'!V451="","",'Master'!V451)</x:f>
        <x:v>No / not documented</x:v>
      </x:c>
      <x:c r="V12" s="100" t="str">
        <x:f>IF('Master'!W451="","",'Master'!W451)</x:f>
        <x:v>No</x:v>
      </x:c>
      <x:c r="W12" s="100" t="str">
        <x:f>IF('Master'!X451="","",'Master'!X451)</x:f>
      </x:c>
      <x:c r="X12" s="100" t="str">
        <x:f>IF('Master'!Y451="","",'Master'!Y451)</x:f>
        <x:v>No</x:v>
      </x:c>
      <x:c r="Y12" s="100" t="str">
        <x:f>IF('Master'!Z451="","",'Master'!Z451)</x:f>
        <x:v>N/A/compatibility</x:v>
      </x:c>
      <x:c r="Z12" s="100" t="str">
        <x:f>IF('Master'!AA451="","",'Master'!AA451)</x:f>
        <x:v>No verified</x:v>
      </x:c>
      <x:c r="AA12" s="104" t="str">
        <x:f>IF('Master'!AB451="","",'Master'!AB451)</x:f>
        <x:v>No</x:v>
      </x:c>
      <x:c r="AB12" s="100" t="str">
        <x:f>IF('Master'!AC451="","",'Master'!AC451)</x:f>
      </x:c>
      <x:c r="AC12" s="100" t="str">
        <x:f>IF('Master'!AD451="","",'Master'!AD451)</x:f>
        <x:v>No</x:v>
      </x:c>
      <x:c r="AD12" s="100" t="str">
        <x:f>IF('Master'!AE451="","",'Master'!AE451)</x:f>
        <x:v>No</x:v>
      </x:c>
      <x:c r="AE12" s="100" t="str">
        <x:f>IF('Master'!AF451="","",'Master'!AF451)</x:f>
        <x:v>No</x:v>
      </x:c>
      <x:c r="AF12" s="75" t="str">
        <x:f>IF('Master'!AG451="","",'Master'!AG451)</x:f>
        <x:v>No</x:v>
      </x:c>
    </x:row>
    <x:row r="13" ht="36" customHeight="1">
      <x:c r="A13" s="135" t="str">
        <x:v>Discord Message History Import</x:v>
      </x:c>
      <x:c r="B13" s="100" t="str">
        <x:f>IF('Master'!C452="","",'Master'!C452)</x:f>
        <x:v>N/A</x:v>
      </x:c>
      <x:c r="C13" s="100" t="str">
        <x:f>IF('Master'!D452="","",'Master'!D452)</x:f>
        <x:v>Yes — newest 10,000 messages/channel for servers with 100 members or fewer</x:v>
      </x:c>
      <x:c r="D13" s="100" t="str">
        <x:f>IF('Master'!E452="","",'Master'!E452)</x:f>
        <x:v>No</x:v>
      </x:c>
      <x:c r="E13" s="100" t="str">
        <x:f>IF('Master'!F452="","",'Master'!F452)</x:f>
        <x:v>No</x:v>
      </x:c>
      <x:c r="F13" s="100" t="str">
        <x:f>IF('Master'!G452="","",'Master'!G452)</x:f>
        <x:v>No</x:v>
      </x:c>
      <x:c r="G13" s="100" t="str">
        <x:f>IF('Master'!H452="","",'Master'!H452)</x:f>
        <x:v>No</x:v>
      </x:c>
      <x:c r="H13" s="100" t="str">
        <x:f>IF('Master'!I452="","",'Master'!I452)</x:f>
        <x:v>No</x:v>
      </x:c>
      <x:c r="I13" s="100" t="str">
        <x:f>IF('Master'!J452="","",'Master'!J452)</x:f>
        <x:v>No</x:v>
      </x:c>
      <x:c r="J13" s="100" t="str">
        <x:f>IF('Master'!K452="","",'Master'!K452)</x:f>
        <x:v>No</x:v>
      </x:c>
      <x:c r="K13" s="100" t="str">
        <x:f>IF('Master'!L452="","",'Master'!L452)</x:f>
        <x:v>No dedicated Discord server importer documented</x:v>
      </x:c>
      <x:c r="L13" s="100" t="str">
        <x:f>IF('Master'!M452="","",'Master'!M452)</x:f>
        <x:v>No</x:v>
      </x:c>
      <x:c r="M13" s="100" t="str">
        <x:f>IF('Master'!N452="","",'Master'!N452)</x:f>
        <x:v>No</x:v>
      </x:c>
      <x:c r="N13" s="100" t="str">
        <x:f>IF('Master'!O452="","",'Master'!O452)</x:f>
        <x:v>Possible with bridge/import tooling</x:v>
      </x:c>
      <x:c r="O13" s="100" t="str">
        <x:f>IF('Master'!P452="","",'Master'!P452)</x:f>
        <x:v>No</x:v>
      </x:c>
      <x:c r="P13" s="100" t="str">
        <x:f>IF('Master'!Q452="","",'Master'!Q452)</x:f>
      </x:c>
      <x:c r="Q13" s="100" t="str">
        <x:f>IF('Master'!R452="","",'Master'!R452)</x:f>
        <x:v>No</x:v>
      </x:c>
      <x:c r="R13" s="100" t="str">
        <x:f>IF('Master'!S452="","",'Master'!S452)</x:f>
        <x:v>No</x:v>
      </x:c>
      <x:c r="S13" s="100" t="str">
        <x:f>IF('Master'!T452="","",'Master'!T452)</x:f>
        <x:v>No</x:v>
      </x:c>
      <x:c r="T13" s="100" t="str">
        <x:f>IF('Master'!U452="","",'Master'!U452)</x:f>
        <x:v>No</x:v>
      </x:c>
      <x:c r="U13" s="100" t="str">
        <x:f>IF('Master'!V452="","",'Master'!V452)</x:f>
        <x:v>No</x:v>
      </x:c>
      <x:c r="V13" s="100" t="str">
        <x:f>IF('Master'!W452="","",'Master'!W452)</x:f>
        <x:v>No</x:v>
      </x:c>
      <x:c r="W13" s="100" t="str">
        <x:f>IF('Master'!X452="","",'Master'!X452)</x:f>
      </x:c>
      <x:c r="X13" s="100" t="str">
        <x:f>IF('Master'!Y452="","",'Master'!Y452)</x:f>
        <x:v>No</x:v>
      </x:c>
      <x:c r="Y13" s="100" t="str">
        <x:f>IF('Master'!Z452="","",'Master'!Z452)</x:f>
        <x:v>No</x:v>
      </x:c>
      <x:c r="Z13" s="100" t="str">
        <x:f>IF('Master'!AA452="","",'Master'!AA452)</x:f>
        <x:v>No</x:v>
      </x:c>
      <x:c r="AA13" s="104" t="str">
        <x:f>IF('Master'!AB452="","",'Master'!AB452)</x:f>
        <x:v>No</x:v>
      </x:c>
      <x:c r="AB13" s="100" t="str">
        <x:f>IF('Master'!AC452="","",'Master'!AC452)</x:f>
      </x:c>
      <x:c r="AC13" s="100" t="str">
        <x:f>IF('Master'!AD452="","",'Master'!AD452)</x:f>
        <x:v>No</x:v>
      </x:c>
      <x:c r="AD13" s="100" t="str">
        <x:f>IF('Master'!AE452="","",'Master'!AE452)</x:f>
        <x:v>No</x:v>
      </x:c>
      <x:c r="AE13" s="100" t="str">
        <x:f>IF('Master'!AF452="","",'Master'!AF452)</x:f>
        <x:v>No</x:v>
      </x:c>
      <x:c r="AF13" s="75" t="str">
        <x:f>IF('Master'!AG452="","",'Master'!AG452)</x:f>
        <x:v>No</x:v>
      </x:c>
    </x:row>
    <x:row r="14" ht="36" customHeight="1">
      <x:c r="A14" s="135" t="str">
        <x:v>Discord Attachment Import</x:v>
      </x:c>
      <x:c r="B14" s="100" t="str">
        <x:f>IF('Master'!C453="","",'Master'!C453)</x:f>
        <x:v>N/A</x:v>
      </x:c>
      <x:c r="C14" s="100" t="str">
        <x:f>IF('Master'!D453="","",'Master'!D453)</x:f>
      </x:c>
      <x:c r="D14" s="100" t="str">
        <x:f>IF('Master'!E453="","",'Master'!E453)</x:f>
        <x:v>No</x:v>
      </x:c>
      <x:c r="E14" s="100" t="str">
        <x:f>IF('Master'!F453="","",'Master'!F453)</x:f>
        <x:v>No</x:v>
      </x:c>
      <x:c r="F14" s="100" t="str">
        <x:f>IF('Master'!G453="","",'Master'!G453)</x:f>
        <x:v>No</x:v>
      </x:c>
      <x:c r="G14" s="100" t="str">
        <x:f>IF('Master'!H453="","",'Master'!H453)</x:f>
        <x:v>No</x:v>
      </x:c>
      <x:c r="H14" s="100" t="str">
        <x:f>IF('Master'!I453="","",'Master'!I453)</x:f>
        <x:v>No</x:v>
      </x:c>
      <x:c r="I14" s="100" t="str">
        <x:f>IF('Master'!J453="","",'Master'!J453)</x:f>
        <x:v>No</x:v>
      </x:c>
      <x:c r="J14" s="100" t="str">
        <x:f>IF('Master'!K453="","",'Master'!K453)</x:f>
        <x:v>No</x:v>
      </x:c>
      <x:c r="K14" s="100" t="str">
        <x:f>IF('Master'!L453="","",'Master'!L453)</x:f>
        <x:v>No dedicated Discord server importer documented</x:v>
      </x:c>
      <x:c r="L14" s="100" t="str">
        <x:f>IF('Master'!M453="","",'Master'!M453)</x:f>
        <x:v>No</x:v>
      </x:c>
      <x:c r="M14" s="100" t="str">
        <x:f>IF('Master'!N453="","",'Master'!N453)</x:f>
        <x:v>No</x:v>
      </x:c>
      <x:c r="N14" s="100" t="str">
        <x:f>IF('Master'!O453="","",'Master'!O453)</x:f>
        <x:v>Possible with tooling</x:v>
      </x:c>
      <x:c r="O14" s="100" t="str">
        <x:f>IF('Master'!P453="","",'Master'!P453)</x:f>
        <x:v>No</x:v>
      </x:c>
      <x:c r="P14" s="100" t="str">
        <x:f>IF('Master'!Q453="","",'Master'!Q453)</x:f>
      </x:c>
      <x:c r="Q14" s="100" t="str">
        <x:f>IF('Master'!R453="","",'Master'!R453)</x:f>
        <x:v>No</x:v>
      </x:c>
      <x:c r="R14" s="100" t="str">
        <x:f>IF('Master'!S453="","",'Master'!S453)</x:f>
        <x:v>No</x:v>
      </x:c>
      <x:c r="S14" s="100" t="str">
        <x:f>IF('Master'!T453="","",'Master'!T453)</x:f>
        <x:v>No</x:v>
      </x:c>
      <x:c r="T14" s="100" t="str">
        <x:f>IF('Master'!U453="","",'Master'!U453)</x:f>
        <x:v>No</x:v>
      </x:c>
      <x:c r="U14" s="100" t="str">
        <x:f>IF('Master'!V453="","",'Master'!V453)</x:f>
        <x:v>No</x:v>
      </x:c>
      <x:c r="V14" s="100" t="str">
        <x:f>IF('Master'!W453="","",'Master'!W453)</x:f>
        <x:v>No</x:v>
      </x:c>
      <x:c r="W14" s="100" t="str">
        <x:f>IF('Master'!X453="","",'Master'!X453)</x:f>
      </x:c>
      <x:c r="X14" s="100" t="str">
        <x:f>IF('Master'!Y453="","",'Master'!Y453)</x:f>
        <x:v>No</x:v>
      </x:c>
      <x:c r="Y14" s="100" t="str">
        <x:f>IF('Master'!Z453="","",'Master'!Z453)</x:f>
        <x:v>No</x:v>
      </x:c>
      <x:c r="Z14" s="100" t="str">
        <x:f>IF('Master'!AA453="","",'Master'!AA453)</x:f>
        <x:v>No</x:v>
      </x:c>
      <x:c r="AA14" s="104" t="str">
        <x:f>IF('Master'!AB453="","",'Master'!AB453)</x:f>
        <x:v>No</x:v>
      </x:c>
      <x:c r="AB14" s="100" t="str">
        <x:f>IF('Master'!AC453="","",'Master'!AC453)</x:f>
      </x:c>
      <x:c r="AC14" s="100" t="str">
        <x:f>IF('Master'!AD453="","",'Master'!AD453)</x:f>
        <x:v>No</x:v>
      </x:c>
      <x:c r="AD14" s="100" t="str">
        <x:f>IF('Master'!AE453="","",'Master'!AE453)</x:f>
        <x:v>No</x:v>
      </x:c>
      <x:c r="AE14" s="100" t="str">
        <x:f>IF('Master'!AF453="","",'Master'!AF453)</x:f>
        <x:v>No</x:v>
      </x:c>
      <x:c r="AF14" s="75" t="str">
        <x:f>IF('Master'!AG453="","",'Master'!AG453)</x:f>
        <x:v>No</x:v>
      </x:c>
    </x:row>
    <x:row r="15" ht="36" customHeight="1">
      <x:c r="A15" s="135" t="str">
        <x:v>Account Portability</x:v>
      </x:c>
      <x:c r="B15" s="100" t="str">
        <x:f>IF('Master'!C462="","",'Master'!C462)</x:f>
        <x:v>No</x:v>
      </x:c>
      <x:c r="C15" s="100" t="str">
        <x:f>IF('Master'!D462="","",'Master'!D462)</x:f>
        <x:v>Yes — keypair identity</x:v>
      </x:c>
      <x:c r="D15" s="100" t="str">
        <x:f>IF('Master'!E462="","",'Master'!E462)</x:f>
        <x:v>Yes</x:v>
      </x:c>
      <x:c r="E15" s="100" t="str">
        <x:f>IF('Master'!F462="","",'Master'!F462)</x:f>
        <x:v>No</x:v>
      </x:c>
      <x:c r="F15" s="100" t="str">
        <x:f>IF('Master'!G462="","",'Master'!G462)</x:f>
        <x:v>No</x:v>
      </x:c>
      <x:c r="G15" s="100" t="str">
        <x:f>IF('Master'!H462="","",'Master'!H462)</x:f>
        <x:v>No</x:v>
      </x:c>
      <x:c r="H15" s="100" t="str">
        <x:f>IF('Master'!I462="","",'Master'!I462)</x:f>
        <x:v>Limited</x:v>
      </x:c>
      <x:c r="I15" s="100" t="str">
        <x:f>IF('Master'!J462="","",'Master'!J462)</x:f>
        <x:v>Planned</x:v>
      </x:c>
      <x:c r="J15" s="100" t="str">
        <x:f>IF('Master'!K462="","",'Master'!K462)</x:f>
        <x:v>Yes — identity key portable</x:v>
      </x:c>
      <x:c r="K15" s="100" t="str">
        <x:f>IF('Master'!L462="","",'Master'!L462)</x:f>
        <x:v>One home account accesses federated resources; no cross-home account switcher/migration workflow documented</x:v>
      </x:c>
      <x:c r="L15" s="100" t="str">
        <x:f>IF('Master'!M462="","",'Master'!M462)</x:f>
        <x:v>No</x:v>
      </x:c>
      <x:c r="M15" s="100" t="str">
        <x:f>IF('Master'!N462="","",'Master'!N462)</x:f>
      </x:c>
      <x:c r="N15" s="100" t="str">
        <x:f>IF('Master'!O462="","",'Master'!O462)</x:f>
        <x:v>Partial — ID is homeserver-scoped; migration is not universally seamless</x:v>
      </x:c>
      <x:c r="O15" s="100" t="str">
        <x:f>IF('Master'!P462="","",'Master'!P462)</x:f>
        <x:v>No</x:v>
      </x:c>
      <x:c r="P15" s="100" t="str">
        <x:f>IF('Master'!Q462="","",'Master'!Q462)</x:f>
        <x:v>No</x:v>
      </x:c>
      <x:c r="Q15" s="100" t="str">
        <x:f>IF('Master'!R462="","",'Master'!R462)</x:f>
        <x:v>Certificates/bookmarks manually portable</x:v>
      </x:c>
      <x:c r="R15" s="100" t="str">
        <x:f>IF('Master'!S462="","",'Master'!S462)</x:f>
        <x:v>No</x:v>
      </x:c>
      <x:c r="S15" s="100" t="str">
        <x:f>IF('Master'!T462="","",'Master'!T462)</x:f>
        <x:v>No</x:v>
      </x:c>
      <x:c r="T15" s="100" t="str">
        <x:f>IF('Master'!U462="","",'Master'!U462)</x:f>
        <x:v>Export/self-host</x:v>
      </x:c>
      <x:c r="U15" s="100" t="str">
        <x:f>IF('Master'!V462="","",'Master'!V462)</x:f>
        <x:v>No</x:v>
      </x:c>
      <x:c r="V15" s="100" t="str">
        <x:f>IF('Master'!W462="","",'Master'!W462)</x:f>
        <x:v>Limited</x:v>
      </x:c>
      <x:c r="W15" s="100" t="str">
        <x:f>IF('Master'!X462="","",'Master'!X462)</x:f>
        <x:v>ATProto identity</x:v>
      </x:c>
      <x:c r="X15" s="100" t="str">
        <x:f>IF('Master'!Y462="","",'Master'!Y462)</x:f>
        <x:v>No</x:v>
      </x:c>
      <x:c r="Y15" s="100" t="str">
        <x:f>IF('Master'!Z462="","",'Master'!Z462)</x:f>
        <x:v>No</x:v>
      </x:c>
      <x:c r="Z15" s="100" t="str">
        <x:f>IF('Master'!AA462="","",'Master'!AA462)</x:f>
        <x:v>No</x:v>
      </x:c>
      <x:c r="AA15" s="104" t="str">
        <x:f>IF('Master'!AB462="","",'Master'!AB462)</x:f>
        <x:v>Limited</x:v>
      </x:c>
      <x:c r="AB15" s="100" t="str">
        <x:f>IF('Master'!AC462="","",'Master'!AC462)</x:f>
        <x:v>Community data/node migration</x:v>
      </x:c>
      <x:c r="AC15" s="100" t="str">
        <x:f>IF('Master'!AD462="","",'Master'!AD462)</x:f>
        <x:v>Planned</x:v>
      </x:c>
      <x:c r="AD15" s="100" t="str">
        <x:f>IF('Master'!AE462="","",'Master'!AE462)</x:f>
        <x:v>No</x:v>
      </x:c>
      <x:c r="AE15" s="100" t="str">
        <x:f>IF('Master'!AF462="","",'Master'!AF462)</x:f>
        <x:v>Server/operator migration</x:v>
      </x:c>
      <x:c r="AF15" s="75" t="str">
        <x:f>IF('Master'!AG462="","",'Master'!AG462)</x:f>
        <x:v>No cross-server account portability</x:v>
      </x:c>
    </x:row>
    <x:row r="16" ht="36" customHeight="1">
      <x:c r="A16" s="135" t="str">
        <x:v>Discord Webhook Compatibility</x:v>
      </x:c>
      <x:c r="B16" s="100" t="str">
        <x:f>IF('Master'!C446="","",'Master'!C446)</x:f>
        <x:v>N/A</x:v>
      </x:c>
      <x:c r="C16" s="100" t="str">
        <x:f>IF('Master'!D446="","",'Master'!D446)</x:f>
      </x:c>
      <x:c r="D16" s="100" t="str">
        <x:f>IF('Master'!E446="","",'Master'!E446)</x:f>
      </x:c>
      <x:c r="E16" s="100" t="str">
        <x:f>IF('Master'!F446="","",'Master'!F446)</x:f>
      </x:c>
      <x:c r="F16" s="100" t="str">
        <x:f>IF('Master'!G446="","",'Master'!G446)</x:f>
      </x:c>
      <x:c r="G16" s="100" t="str">
        <x:f>IF('Master'!H446="","",'Master'!H446)</x:f>
      </x:c>
      <x:c r="H16" s="100" t="str">
        <x:f>IF('Master'!I446="","",'Master'!I446)</x:f>
      </x:c>
      <x:c r="I16" s="100" t="str">
        <x:f>IF('Master'!J446="","",'Master'!J446)</x:f>
      </x:c>
      <x:c r="J16" s="100" t="str">
        <x:f>IF('Master'!K446="","",'Master'!K446)</x:f>
      </x:c>
      <x:c r="K16" s="100" t="str">
        <x:f>IF('Master'!L446="","",'Master'!L446)</x:f>
        <x:v>No Discord webhook-format compatibility claim; Kaede has its own incoming webhook model</x:v>
      </x:c>
      <x:c r="L16" s="100" t="str">
        <x:f>IF('Master'!M446="","",'Master'!M446)</x:f>
      </x:c>
      <x:c r="M16" s="100" t="str">
        <x:f>IF('Master'!N446="","",'Master'!N446)</x:f>
      </x:c>
      <x:c r="N16" s="100" t="str">
        <x:f>IF('Master'!O446="","",'Master'!O446)</x:f>
      </x:c>
      <x:c r="O16" s="100" t="str">
        <x:f>IF('Master'!P446="","",'Master'!P446)</x:f>
      </x:c>
      <x:c r="P16" s="100" t="str">
        <x:f>IF('Master'!Q446="","",'Master'!Q446)</x:f>
      </x:c>
      <x:c r="Q16" s="100" t="str">
        <x:f>IF('Master'!R446="","",'Master'!R446)</x:f>
      </x:c>
      <x:c r="R16" s="100" t="str">
        <x:f>IF('Master'!S446="","",'Master'!S446)</x:f>
      </x:c>
      <x:c r="S16" s="100" t="str">
        <x:f>IF('Master'!T446="","",'Master'!T446)</x:f>
      </x:c>
      <x:c r="T16" s="100" t="str">
        <x:f>IF('Master'!U446="","",'Master'!U446)</x:f>
        <x:v>Yes — Discord-compatible incoming webhooks</x:v>
      </x:c>
      <x:c r="U16" s="100" t="str">
        <x:f>IF('Master'!V446="","",'Master'!V446)</x:f>
        <x:v>Yes — accepts Discord webhook format</x:v>
      </x:c>
      <x:c r="V16" s="100" t="str">
        <x:f>IF('Master'!W446="","",'Master'!W446)</x:f>
      </x:c>
      <x:c r="W16" s="100" t="str">
        <x:f>IF('Master'!X446="","",'Master'!X446)</x:f>
      </x:c>
      <x:c r="X16" s="100" t="str">
        <x:f>IF('Master'!Y446="","",'Master'!Y446)</x:f>
      </x:c>
      <x:c r="Y16" s="100" t="str">
        <x:f>IF('Master'!Z446="","",'Master'!Z446)</x:f>
      </x:c>
      <x:c r="Z16" s="100" t="str">
        <x:f>IF('Master'!AA446="","",'Master'!AA446)</x:f>
      </x:c>
      <x:c r="AA16" s="104" t="str">
        <x:f>IF('Master'!AB446="","",'Master'!AB446)</x:f>
      </x:c>
      <x:c r="AB16" s="100" t="str">
        <x:f>IF('Master'!AC446="","",'Master'!AC446)</x:f>
      </x:c>
      <x:c r="AC16" s="100" t="str">
        <x:f>IF('Master'!AD446="","",'Master'!AD446)</x:f>
      </x:c>
      <x:c r="AD16" s="100" t="str">
        <x:f>IF('Master'!AE446="","",'Master'!AE446)</x:f>
      </x:c>
      <x:c r="AE16" s="100" t="str">
        <x:f>IF('Master'!AF446="","",'Master'!AF446)</x:f>
      </x:c>
      <x:c r="AF16" s="75" t="str">
        <x:f>IF('Master'!AG446="","",'Master'!AG446)</x:f>
      </x:c>
    </x:row>
  </x:sheetData>
  <x:mergeCells>
    <x:mergeCell ref="A1:A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Directory'!A1","Interop &amp; Portability Details"),"Interop &amp; Portability Details")</x:f>
        <x:v>Interop &amp; Portability Details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Discord Server Template Import</x:v>
      </x:c>
      <x:c r="B3" s="100" t="str">
        <x:f>IF('Master'!C447="","",'Master'!C447)</x:f>
        <x:v>N/A</x:v>
      </x:c>
      <x:c r="C3" s="100" t="str">
        <x:f>IF('Master'!D447="","",'Master'!D447)</x:f>
        <x:v>Yes — built-in Discord import wizard</x:v>
      </x:c>
      <x:c r="D3" s="100" t="str">
        <x:f>IF('Master'!E447="","",'Master'!E447)</x:f>
        <x:v>No</x:v>
      </x:c>
      <x:c r="E3" s="100" t="str">
        <x:f>IF('Master'!F447="","",'Master'!F447)</x:f>
        <x:v>No</x:v>
      </x:c>
      <x:c r="F3" s="100" t="str">
        <x:f>IF('Master'!G447="","",'Master'!G447)</x:f>
        <x:v>Planned/advertised</x:v>
      </x:c>
      <x:c r="G3" s="100" t="str">
        <x:f>IF('Master'!H447="","",'Master'!H447)</x:f>
        <x:v>No full importer verified</x:v>
      </x:c>
      <x:c r="H3" s="100" t="str">
        <x:f>IF('Master'!I447="","",'Master'!I447)</x:f>
        <x:v>Yes</x:v>
      </x:c>
      <x:c r="I3" s="100" t="str">
        <x:f>IF('Master'!J447="","",'Master'!J447)</x:f>
        <x:v>No</x:v>
      </x:c>
      <x:c r="J3" s="100" t="str">
        <x:f>IF('Master'!K447="","",'Master'!K447)</x:f>
        <x:v>No</x:v>
      </x:c>
      <x:c r="K3" s="100" t="str">
        <x:f>IF('Master'!L447="","",'Master'!L447)</x:f>
        <x:v>No dedicated Discord server importer documented</x:v>
      </x:c>
      <x:c r="L3" s="100" t="str">
        <x:f>IF('Master'!M447="","",'Master'!M447)</x:f>
        <x:v>No</x:v>
      </x:c>
      <x:c r="M3" s="100" t="str">
        <x:f>IF('Master'!N447="","",'Master'!N447)</x:f>
        <x:v>Yes</x:v>
      </x:c>
      <x:c r="N3" s="100" t="str">
        <x:f>IF('Master'!O447="","",'Master'!O447)</x:f>
        <x:v>Third-party/tool-dependent</x:v>
      </x:c>
      <x:c r="O3" s="100" t="str">
        <x:f>IF('Master'!P447="","",'Master'!P447)</x:f>
        <x:v>No</x:v>
      </x:c>
      <x:c r="P3" s="100" t="str">
        <x:f>IF('Master'!Q447="","",'Master'!Q447)</x:f>
      </x:c>
      <x:c r="Q3" s="100" t="str">
        <x:f>IF('Master'!R447="","",'Master'!R447)</x:f>
        <x:v>No</x:v>
      </x:c>
      <x:c r="R3" s="100" t="str">
        <x:f>IF('Master'!S447="","",'Master'!S447)</x:f>
        <x:v>No</x:v>
      </x:c>
      <x:c r="S3" s="100" t="str">
        <x:f>IF('Master'!T447="","",'Master'!T447)</x:f>
        <x:v>Template/import tools reported</x:v>
      </x:c>
      <x:c r="T3" s="100" t="str">
        <x:f>IF('Master'!U447="","",'Master'!U447)</x:f>
        <x:v>Yes — paste a discord.new template; layout only</x:v>
      </x:c>
      <x:c r="U3" s="100" t="str">
        <x:f>IF('Master'!V447="","",'Master'!V447)</x:f>
        <x:v>Yes — previewed structure import</x:v>
      </x:c>
      <x:c r="V3" s="100" t="str">
        <x:f>IF('Master'!W447="","",'Master'!W447)</x:f>
        <x:v>No verified</x:v>
      </x:c>
      <x:c r="W3" s="100" t="str">
        <x:f>IF('Master'!X447="","",'Master'!X447)</x:f>
        <x:v>Bridge-based rather than template importer</x:v>
      </x:c>
      <x:c r="X3" s="100" t="str">
        <x:f>IF('Master'!Y447="","",'Master'!Y447)</x:f>
        <x:v>Yes</x:v>
      </x:c>
      <x:c r="Y3" s="100" t="str">
        <x:f>IF('Master'!Z447="","",'Master'!Z447)</x:f>
        <x:v>No — API compatibility approach instead</x:v>
      </x:c>
      <x:c r="Z3" s="100" t="str">
        <x:f>IF('Master'!AA447="","",'Master'!AA447)</x:f>
        <x:v>No verified</x:v>
      </x:c>
      <x:c r="AA3" s="104" t="str">
        <x:f>IF('Master'!AB447="","",'Master'!AB447)</x:f>
        <x:v>No</x:v>
      </x:c>
      <x:c r="AB3" s="100" t="str">
        <x:f>IF('Master'!AC447="","",'Master'!AC447)</x:f>
        <x:v>Yes</x:v>
      </x:c>
      <x:c r="AC3" s="100" t="str">
        <x:f>IF('Master'!AD447="","",'Master'!AD447)</x:f>
        <x:v>No</x:v>
      </x:c>
      <x:c r="AD3" s="100" t="str">
        <x:f>IF('Master'!AE447="","",'Master'!AE447)</x:f>
        <x:v>No</x:v>
      </x:c>
      <x:c r="AE3" s="100" t="str">
        <x:f>IF('Master'!AF447="","",'Master'!AF447)</x:f>
        <x:v>No</x:v>
      </x:c>
      <x:c r="AF3" s="75" t="str">
        <x:f>IF('Master'!AG447="","",'Master'!AG447)</x:f>
        <x:v>No</x:v>
      </x:c>
    </x:row>
    <x:row r="4" ht="36" customHeight="1">
      <x:c r="A4" s="135" t="str">
        <x:v>Discord Channels Import</x:v>
      </x:c>
      <x:c r="B4" s="100" t="str">
        <x:f>IF('Master'!C448="","",'Master'!C448)</x:f>
        <x:v>N/A</x:v>
      </x:c>
      <x:c r="C4" s="100" t="str">
        <x:f>IF('Master'!D448="","",'Master'!D448)</x:f>
      </x:c>
      <x:c r="D4" s="100" t="str">
        <x:f>IF('Master'!E448="","",'Master'!E448)</x:f>
        <x:v>No</x:v>
      </x:c>
      <x:c r="E4" s="100" t="str">
        <x:f>IF('Master'!F448="","",'Master'!F448)</x:f>
        <x:v>No</x:v>
      </x:c>
      <x:c r="F4" s="100" t="str">
        <x:f>IF('Master'!G448="","",'Master'!G448)</x:f>
        <x:v>Planned/advertised</x:v>
      </x:c>
      <x:c r="G4" s="100" t="str">
        <x:f>IF('Master'!H448="","",'Master'!H448)</x:f>
        <x:v>No full importer verified</x:v>
      </x:c>
      <x:c r="H4" s="100" t="str">
        <x:f>IF('Master'!I448="","",'Master'!I448)</x:f>
        <x:v>Yes</x:v>
      </x:c>
      <x:c r="I4" s="100" t="str">
        <x:f>IF('Master'!J448="","",'Master'!J448)</x:f>
        <x:v>No</x:v>
      </x:c>
      <x:c r="J4" s="100" t="str">
        <x:f>IF('Master'!K448="","",'Master'!K448)</x:f>
        <x:v>No</x:v>
      </x:c>
      <x:c r="K4" s="100" t="str">
        <x:f>IF('Master'!L448="","",'Master'!L448)</x:f>
        <x:v>No dedicated Discord server importer documented</x:v>
      </x:c>
      <x:c r="L4" s="100" t="str">
        <x:f>IF('Master'!M448="","",'Master'!M448)</x:f>
        <x:v>No</x:v>
      </x:c>
      <x:c r="M4" s="100" t="str">
        <x:f>IF('Master'!N448="","",'Master'!N448)</x:f>
        <x:v>Yes</x:v>
      </x:c>
      <x:c r="N4" s="100" t="str">
        <x:f>IF('Master'!O448="","",'Master'!O448)</x:f>
        <x:v>Tool-dependent</x:v>
      </x:c>
      <x:c r="O4" s="100" t="str">
        <x:f>IF('Master'!P448="","",'Master'!P448)</x:f>
        <x:v>No</x:v>
      </x:c>
      <x:c r="P4" s="100" t="str">
        <x:f>IF('Master'!Q448="","",'Master'!Q448)</x:f>
      </x:c>
      <x:c r="Q4" s="100" t="str">
        <x:f>IF('Master'!R448="","",'Master'!R448)</x:f>
        <x:v>No</x:v>
      </x:c>
      <x:c r="R4" s="100" t="str">
        <x:f>IF('Master'!S448="","",'Master'!S448)</x:f>
        <x:v>No</x:v>
      </x:c>
      <x:c r="S4" s="100" t="str">
        <x:f>IF('Master'!T448="","",'Master'!T448)</x:f>
      </x:c>
      <x:c r="T4" s="100" t="str">
        <x:f>IF('Master'!U448="","",'Master'!U448)</x:f>
        <x:v>Yes</x:v>
      </x:c>
      <x:c r="U4" s="100" t="str">
        <x:f>IF('Master'!V448="","",'Master'!V448)</x:f>
        <x:v>Yes — via template structure import</x:v>
      </x:c>
      <x:c r="V4" s="100" t="str">
        <x:f>IF('Master'!W448="","",'Master'!W448)</x:f>
        <x:v>No verified</x:v>
      </x:c>
      <x:c r="W4" s="100" t="str">
        <x:f>IF('Master'!X448="","",'Master'!X448)</x:f>
      </x:c>
      <x:c r="X4" s="100" t="str">
        <x:f>IF('Master'!Y448="","",'Master'!Y448)</x:f>
        <x:v>Yes</x:v>
      </x:c>
      <x:c r="Y4" s="100" t="str">
        <x:f>IF('Master'!Z448="","",'Master'!Z448)</x:f>
        <x:v>N/A/compatibility</x:v>
      </x:c>
      <x:c r="Z4" s="100" t="str">
        <x:f>IF('Master'!AA448="","",'Master'!AA448)</x:f>
        <x:v>No verified</x:v>
      </x:c>
      <x:c r="AA4" s="104" t="str">
        <x:f>IF('Master'!AB448="","",'Master'!AB448)</x:f>
        <x:v>No</x:v>
      </x:c>
      <x:c r="AB4" s="100" t="str">
        <x:f>IF('Master'!AC448="","",'Master'!AC448)</x:f>
      </x:c>
      <x:c r="AC4" s="100" t="str">
        <x:f>IF('Master'!AD448="","",'Master'!AD448)</x:f>
        <x:v>No</x:v>
      </x:c>
      <x:c r="AD4" s="100" t="str">
        <x:f>IF('Master'!AE448="","",'Master'!AE448)</x:f>
        <x:v>No</x:v>
      </x:c>
      <x:c r="AE4" s="100" t="str">
        <x:f>IF('Master'!AF448="","",'Master'!AF448)</x:f>
        <x:v>No</x:v>
      </x:c>
      <x:c r="AF4" s="75" t="str">
        <x:f>IF('Master'!AG448="","",'Master'!AG448)</x:f>
        <x:v>No</x:v>
      </x:c>
    </x:row>
    <x:row r="5" ht="36" customHeight="1">
      <x:c r="A5" s="135" t="str">
        <x:v>Discord Roles Import</x:v>
      </x:c>
      <x:c r="B5" s="100" t="str">
        <x:f>IF('Master'!C449="","",'Master'!C449)</x:f>
        <x:v>N/A</x:v>
      </x:c>
      <x:c r="C5" s="100" t="str">
        <x:f>IF('Master'!D449="","",'Master'!D449)</x:f>
        <x:v>Yes — names, colors, hierarchy and mapped permissions</x:v>
      </x:c>
      <x:c r="D5" s="100" t="str">
        <x:f>IF('Master'!E449="","",'Master'!E449)</x:f>
        <x:v>No</x:v>
      </x:c>
      <x:c r="E5" s="100" t="str">
        <x:f>IF('Master'!F449="","",'Master'!F449)</x:f>
        <x:v>No</x:v>
      </x:c>
      <x:c r="F5" s="100" t="str">
        <x:f>IF('Master'!G449="","",'Master'!G449)</x:f>
        <x:v>Planned/advertised</x:v>
      </x:c>
      <x:c r="G5" s="100" t="str">
        <x:f>IF('Master'!H449="","",'Master'!H449)</x:f>
        <x:v>No full importer verified</x:v>
      </x:c>
      <x:c r="H5" s="100" t="str">
        <x:f>IF('Master'!I449="","",'Master'!I449)</x:f>
        <x:v>Yes</x:v>
      </x:c>
      <x:c r="I5" s="100" t="str">
        <x:f>IF('Master'!J449="","",'Master'!J449)</x:f>
        <x:v>No</x:v>
      </x:c>
      <x:c r="J5" s="100" t="str">
        <x:f>IF('Master'!K449="","",'Master'!K449)</x:f>
        <x:v>No</x:v>
      </x:c>
      <x:c r="K5" s="100" t="str">
        <x:f>IF('Master'!L449="","",'Master'!L449)</x:f>
        <x:v>No dedicated Discord server importer documented</x:v>
      </x:c>
      <x:c r="L5" s="100" t="str">
        <x:f>IF('Master'!M449="","",'Master'!M449)</x:f>
        <x:v>No</x:v>
      </x:c>
      <x:c r="M5" s="100" t="str">
        <x:f>IF('Master'!N449="","",'Master'!N449)</x:f>
        <x:v>Yes</x:v>
      </x:c>
      <x:c r="N5" s="100" t="str">
        <x:f>IF('Master'!O449="","",'Master'!O449)</x:f>
        <x:v>Tool-dependent</x:v>
      </x:c>
      <x:c r="O5" s="100" t="str">
        <x:f>IF('Master'!P449="","",'Master'!P449)</x:f>
        <x:v>No</x:v>
      </x:c>
      <x:c r="P5" s="100" t="str">
        <x:f>IF('Master'!Q449="","",'Master'!Q449)</x:f>
      </x:c>
      <x:c r="Q5" s="100" t="str">
        <x:f>IF('Master'!R449="","",'Master'!R449)</x:f>
        <x:v>No</x:v>
      </x:c>
      <x:c r="R5" s="100" t="str">
        <x:f>IF('Master'!S449="","",'Master'!S449)</x:f>
        <x:v>No</x:v>
      </x:c>
      <x:c r="S5" s="100" t="str">
        <x:f>IF('Master'!T449="","",'Master'!T449)</x:f>
      </x:c>
      <x:c r="T5" s="100" t="str">
        <x:f>IF('Master'!U449="","",'Master'!U449)</x:f>
        <x:v>Yes — main roles/layout</x:v>
      </x:c>
      <x:c r="U5" s="100" t="str">
        <x:f>IF('Master'!V449="","",'Master'!V449)</x:f>
        <x:v>Yes — roles, colors, order</x:v>
      </x:c>
      <x:c r="V5" s="100" t="str">
        <x:f>IF('Master'!W449="","",'Master'!W449)</x:f>
        <x:v>No verified</x:v>
      </x:c>
      <x:c r="W5" s="100" t="str">
        <x:f>IF('Master'!X449="","",'Master'!X449)</x:f>
      </x:c>
      <x:c r="X5" s="100" t="str">
        <x:f>IF('Master'!Y449="","",'Master'!Y449)</x:f>
        <x:v>Yes</x:v>
      </x:c>
      <x:c r="Y5" s="100" t="str">
        <x:f>IF('Master'!Z449="","",'Master'!Z449)</x:f>
        <x:v>N/A/compatibility</x:v>
      </x:c>
      <x:c r="Z5" s="100" t="str">
        <x:f>IF('Master'!AA449="","",'Master'!AA449)</x:f>
        <x:v>No verified</x:v>
      </x:c>
      <x:c r="AA5" s="104" t="str">
        <x:f>IF('Master'!AB449="","",'Master'!AB449)</x:f>
        <x:v>No</x:v>
      </x:c>
      <x:c r="AB5" s="100" t="str">
        <x:f>IF('Master'!AC449="","",'Master'!AC449)</x:f>
      </x:c>
      <x:c r="AC5" s="100" t="str">
        <x:f>IF('Master'!AD449="","",'Master'!AD449)</x:f>
        <x:v>No</x:v>
      </x:c>
      <x:c r="AD5" s="100" t="str">
        <x:f>IF('Master'!AE449="","",'Master'!AE449)</x:f>
        <x:v>No</x:v>
      </x:c>
      <x:c r="AE5" s="100" t="str">
        <x:f>IF('Master'!AF449="","",'Master'!AF449)</x:f>
        <x:v>No</x:v>
      </x:c>
      <x:c r="AF5" s="75" t="str">
        <x:f>IF('Master'!AG449="","",'Master'!AG449)</x:f>
        <x:v>No</x:v>
      </x:c>
    </x:row>
    <x:row r="6" ht="36" customHeight="1">
      <x:c r="A6" s="135" t="str">
        <x:v>Discord Permission Import</x:v>
      </x:c>
      <x:c r="B6" s="100" t="str">
        <x:f>IF('Master'!C450="","",'Master'!C450)</x:f>
        <x:v>N/A</x:v>
      </x:c>
      <x:c r="C6" s="100" t="str">
        <x:f>IF('Master'!D450="","",'Master'!D450)</x:f>
        <x:v>Partial — permissions are mapped where Armada has an equivalent; unsupported Discord-only permissions are dropped</x:v>
      </x:c>
      <x:c r="D6" s="100" t="str">
        <x:f>IF('Master'!E450="","",'Master'!E450)</x:f>
        <x:v>No</x:v>
      </x:c>
      <x:c r="E6" s="100" t="str">
        <x:f>IF('Master'!F450="","",'Master'!F450)</x:f>
        <x:v>No</x:v>
      </x:c>
      <x:c r="F6" s="100" t="str">
        <x:f>IF('Master'!G450="","",'Master'!G450)</x:f>
        <x:v>Planned/advertised</x:v>
      </x:c>
      <x:c r="G6" s="100" t="str">
        <x:f>IF('Master'!H450="","",'Master'!H450)</x:f>
        <x:v>No full importer verified</x:v>
      </x:c>
      <x:c r="H6" s="100" t="str">
        <x:f>IF('Master'!I450="","",'Master'!I450)</x:f>
        <x:v>Yes</x:v>
      </x:c>
      <x:c r="I6" s="100" t="str">
        <x:f>IF('Master'!J450="","",'Master'!J450)</x:f>
        <x:v>No</x:v>
      </x:c>
      <x:c r="J6" s="100" t="str">
        <x:f>IF('Master'!K450="","",'Master'!K450)</x:f>
        <x:v>No</x:v>
      </x:c>
      <x:c r="K6" s="100" t="str">
        <x:f>IF('Master'!L450="","",'Master'!L450)</x:f>
        <x:v>No dedicated Discord server importer documented</x:v>
      </x:c>
      <x:c r="L6" s="100" t="str">
        <x:f>IF('Master'!M450="","",'Master'!M450)</x:f>
        <x:v>No</x:v>
      </x:c>
      <x:c r="M6" s="100" t="str">
        <x:f>IF('Master'!N450="","",'Master'!N450)</x:f>
        <x:v>Yes</x:v>
      </x:c>
      <x:c r="N6" s="100" t="str">
        <x:f>IF('Master'!O450="","",'Master'!O450)</x:f>
        <x:v>Tool-dependent</x:v>
      </x:c>
      <x:c r="O6" s="100" t="str">
        <x:f>IF('Master'!P450="","",'Master'!P450)</x:f>
        <x:v>No</x:v>
      </x:c>
      <x:c r="P6" s="100" t="str">
        <x:f>IF('Master'!Q450="","",'Master'!Q450)</x:f>
      </x:c>
      <x:c r="Q6" s="100" t="str">
        <x:f>IF('Master'!R450="","",'Master'!R450)</x:f>
        <x:v>No</x:v>
      </x:c>
      <x:c r="R6" s="100" t="str">
        <x:f>IF('Master'!S450="","",'Master'!S450)</x:f>
        <x:v>No</x:v>
      </x:c>
      <x:c r="S6" s="100" t="str">
        <x:f>IF('Master'!T450="","",'Master'!T450)</x:f>
      </x:c>
      <x:c r="T6" s="100" t="str">
        <x:f>IF('Master'!U450="","",'Master'!U450)</x:f>
        <x:v>Yes — main permissions</x:v>
      </x:c>
      <x:c r="U6" s="100" t="str">
        <x:f>IF('Master'!V450="","",'Master'!V450)</x:f>
        <x:v>Yes — rules with Rift equivalents</x:v>
      </x:c>
      <x:c r="V6" s="100" t="str">
        <x:f>IF('Master'!W450="","",'Master'!W450)</x:f>
        <x:v>No verified</x:v>
      </x:c>
      <x:c r="W6" s="100" t="str">
        <x:f>IF('Master'!X450="","",'Master'!X450)</x:f>
      </x:c>
      <x:c r="X6" s="100" t="str">
        <x:f>IF('Master'!Y450="","",'Master'!Y450)</x:f>
        <x:v>Yes</x:v>
      </x:c>
      <x:c r="Y6" s="100" t="str">
        <x:f>IF('Master'!Z450="","",'Master'!Z450)</x:f>
        <x:v>N/A/compatibility</x:v>
      </x:c>
      <x:c r="Z6" s="100" t="str">
        <x:f>IF('Master'!AA450="","",'Master'!AA450)</x:f>
        <x:v>No verified</x:v>
      </x:c>
      <x:c r="AA6" s="104" t="str">
        <x:f>IF('Master'!AB450="","",'Master'!AB450)</x:f>
        <x:v>No</x:v>
      </x:c>
      <x:c r="AB6" s="100" t="str">
        <x:f>IF('Master'!AC450="","",'Master'!AC450)</x:f>
      </x:c>
      <x:c r="AC6" s="100" t="str">
        <x:f>IF('Master'!AD450="","",'Master'!AD450)</x:f>
        <x:v>No</x:v>
      </x:c>
      <x:c r="AD6" s="100" t="str">
        <x:f>IF('Master'!AE450="","",'Master'!AE450)</x:f>
        <x:v>No</x:v>
      </x:c>
      <x:c r="AE6" s="100" t="str">
        <x:f>IF('Master'!AF450="","",'Master'!AF450)</x:f>
        <x:v>No</x:v>
      </x:c>
      <x:c r="AF6" s="75" t="str">
        <x:f>IF('Master'!AG450="","",'Master'!AG450)</x:f>
        <x:v>No</x:v>
      </x:c>
    </x:row>
    <x:row r="7" ht="36" customHeight="1">
      <x:c r="A7" s="135" t="str">
        <x:v>Discord Emoji / Sticker Import</x:v>
      </x:c>
      <x:c r="B7" s="100" t="str">
        <x:f>IF('Master'!C451="","",'Master'!C451)</x:f>
        <x:v>N/A</x:v>
      </x:c>
      <x:c r="C7" s="100" t="str">
        <x:f>IF('Master'!D451="","",'Master'!D451)</x:f>
      </x:c>
      <x:c r="D7" s="100" t="str">
        <x:f>IF('Master'!E451="","",'Master'!E451)</x:f>
        <x:v>No</x:v>
      </x:c>
      <x:c r="E7" s="100" t="str">
        <x:f>IF('Master'!F451="","",'Master'!F451)</x:f>
        <x:v>No</x:v>
      </x:c>
      <x:c r="F7" s="100" t="str">
        <x:f>IF('Master'!G451="","",'Master'!G451)</x:f>
      </x:c>
      <x:c r="G7" s="100" t="str">
        <x:f>IF('Master'!H451="","",'Master'!H451)</x:f>
        <x:v>No</x:v>
      </x:c>
      <x:c r="H7" s="100" t="str">
        <x:f>IF('Master'!I451="","",'Master'!I451)</x:f>
        <x:v>Yes</x:v>
      </x:c>
      <x:c r="I7" s="100" t="str">
        <x:f>IF('Master'!J451="","",'Master'!J451)</x:f>
        <x:v>No</x:v>
      </x:c>
      <x:c r="J7" s="100" t="str">
        <x:f>IF('Master'!K451="","",'Master'!K451)</x:f>
        <x:v>No</x:v>
      </x:c>
      <x:c r="K7" s="100" t="str">
        <x:f>IF('Master'!L451="","",'Master'!L451)</x:f>
        <x:v>No dedicated Discord server importer documented</x:v>
      </x:c>
      <x:c r="L7" s="100" t="str">
        <x:f>IF('Master'!M451="","",'Master'!M451)</x:f>
        <x:v>No</x:v>
      </x:c>
      <x:c r="M7" s="100" t="str">
        <x:f>IF('Master'!N451="","",'Master'!N451)</x:f>
        <x:v>Yes</x:v>
      </x:c>
      <x:c r="N7" s="100" t="str">
        <x:f>IF('Master'!O451="","",'Master'!O451)</x:f>
        <x:v>Tool-dependent</x:v>
      </x:c>
      <x:c r="O7" s="100" t="str">
        <x:f>IF('Master'!P451="","",'Master'!P451)</x:f>
        <x:v>No</x:v>
      </x:c>
      <x:c r="P7" s="100" t="str">
        <x:f>IF('Master'!Q451="","",'Master'!Q451)</x:f>
      </x:c>
      <x:c r="Q7" s="100" t="str">
        <x:f>IF('Master'!R451="","",'Master'!R451)</x:f>
        <x:v>No</x:v>
      </x:c>
      <x:c r="R7" s="100" t="str">
        <x:f>IF('Master'!S451="","",'Master'!S451)</x:f>
        <x:v>No</x:v>
      </x:c>
      <x:c r="S7" s="100" t="str">
        <x:f>IF('Master'!T451="","",'Master'!T451)</x:f>
      </x:c>
      <x:c r="T7" s="100" t="str">
        <x:f>IF('Master'!U451="","",'Master'!U451)</x:f>
      </x:c>
      <x:c r="U7" s="100" t="str">
        <x:f>IF('Master'!V451="","",'Master'!V451)</x:f>
        <x:v>No / not documented</x:v>
      </x:c>
      <x:c r="V7" s="100" t="str">
        <x:f>IF('Master'!W451="","",'Master'!W451)</x:f>
        <x:v>No</x:v>
      </x:c>
      <x:c r="W7" s="100" t="str">
        <x:f>IF('Master'!X451="","",'Master'!X451)</x:f>
      </x:c>
      <x:c r="X7" s="100" t="str">
        <x:f>IF('Master'!Y451="","",'Master'!Y451)</x:f>
        <x:v>No</x:v>
      </x:c>
      <x:c r="Y7" s="100" t="str">
        <x:f>IF('Master'!Z451="","",'Master'!Z451)</x:f>
        <x:v>N/A/compatibility</x:v>
      </x:c>
      <x:c r="Z7" s="100" t="str">
        <x:f>IF('Master'!AA451="","",'Master'!AA451)</x:f>
        <x:v>No verified</x:v>
      </x:c>
      <x:c r="AA7" s="104" t="str">
        <x:f>IF('Master'!AB451="","",'Master'!AB451)</x:f>
        <x:v>No</x:v>
      </x:c>
      <x:c r="AB7" s="100" t="str">
        <x:f>IF('Master'!AC451="","",'Master'!AC451)</x:f>
      </x:c>
      <x:c r="AC7" s="100" t="str">
        <x:f>IF('Master'!AD451="","",'Master'!AD451)</x:f>
        <x:v>No</x:v>
      </x:c>
      <x:c r="AD7" s="100" t="str">
        <x:f>IF('Master'!AE451="","",'Master'!AE451)</x:f>
        <x:v>No</x:v>
      </x:c>
      <x:c r="AE7" s="100" t="str">
        <x:f>IF('Master'!AF451="","",'Master'!AF451)</x:f>
        <x:v>No</x:v>
      </x:c>
      <x:c r="AF7" s="75" t="str">
        <x:f>IF('Master'!AG451="","",'Master'!AG451)</x:f>
        <x:v>No</x:v>
      </x:c>
    </x:row>
    <x:row r="8" ht="36" customHeight="1">
      <x:c r="A8" s="135" t="str">
        <x:v>Discord Message History Import</x:v>
      </x:c>
      <x:c r="B8" s="100" t="str">
        <x:f>IF('Master'!C452="","",'Master'!C452)</x:f>
        <x:v>N/A</x:v>
      </x:c>
      <x:c r="C8" s="100" t="str">
        <x:f>IF('Master'!D452="","",'Master'!D452)</x:f>
        <x:v>Yes — newest 10,000 messages/channel for servers with 100 members or fewer</x:v>
      </x:c>
      <x:c r="D8" s="100" t="str">
        <x:f>IF('Master'!E452="","",'Master'!E452)</x:f>
        <x:v>No</x:v>
      </x:c>
      <x:c r="E8" s="100" t="str">
        <x:f>IF('Master'!F452="","",'Master'!F452)</x:f>
        <x:v>No</x:v>
      </x:c>
      <x:c r="F8" s="100" t="str">
        <x:f>IF('Master'!G452="","",'Master'!G452)</x:f>
        <x:v>No</x:v>
      </x:c>
      <x:c r="G8" s="100" t="str">
        <x:f>IF('Master'!H452="","",'Master'!H452)</x:f>
        <x:v>No</x:v>
      </x:c>
      <x:c r="H8" s="100" t="str">
        <x:f>IF('Master'!I452="","",'Master'!I452)</x:f>
        <x:v>No</x:v>
      </x:c>
      <x:c r="I8" s="100" t="str">
        <x:f>IF('Master'!J452="","",'Master'!J452)</x:f>
        <x:v>No</x:v>
      </x:c>
      <x:c r="J8" s="100" t="str">
        <x:f>IF('Master'!K452="","",'Master'!K452)</x:f>
        <x:v>No</x:v>
      </x:c>
      <x:c r="K8" s="100" t="str">
        <x:f>IF('Master'!L452="","",'Master'!L452)</x:f>
        <x:v>No dedicated Discord server importer documented</x:v>
      </x:c>
      <x:c r="L8" s="100" t="str">
        <x:f>IF('Master'!M452="","",'Master'!M452)</x:f>
        <x:v>No</x:v>
      </x:c>
      <x:c r="M8" s="100" t="str">
        <x:f>IF('Master'!N452="","",'Master'!N452)</x:f>
        <x:v>No</x:v>
      </x:c>
      <x:c r="N8" s="100" t="str">
        <x:f>IF('Master'!O452="","",'Master'!O452)</x:f>
        <x:v>Possible with bridge/import tooling</x:v>
      </x:c>
      <x:c r="O8" s="100" t="str">
        <x:f>IF('Master'!P452="","",'Master'!P452)</x:f>
        <x:v>No</x:v>
      </x:c>
      <x:c r="P8" s="100" t="str">
        <x:f>IF('Master'!Q452="","",'Master'!Q452)</x:f>
      </x:c>
      <x:c r="Q8" s="100" t="str">
        <x:f>IF('Master'!R452="","",'Master'!R452)</x:f>
        <x:v>No</x:v>
      </x:c>
      <x:c r="R8" s="100" t="str">
        <x:f>IF('Master'!S452="","",'Master'!S452)</x:f>
        <x:v>No</x:v>
      </x:c>
      <x:c r="S8" s="100" t="str">
        <x:f>IF('Master'!T452="","",'Master'!T452)</x:f>
        <x:v>No</x:v>
      </x:c>
      <x:c r="T8" s="100" t="str">
        <x:f>IF('Master'!U452="","",'Master'!U452)</x:f>
        <x:v>No</x:v>
      </x:c>
      <x:c r="U8" s="100" t="str">
        <x:f>IF('Master'!V452="","",'Master'!V452)</x:f>
        <x:v>No</x:v>
      </x:c>
      <x:c r="V8" s="100" t="str">
        <x:f>IF('Master'!W452="","",'Master'!W452)</x:f>
        <x:v>No</x:v>
      </x:c>
      <x:c r="W8" s="100" t="str">
        <x:f>IF('Master'!X452="","",'Master'!X452)</x:f>
      </x:c>
      <x:c r="X8" s="100" t="str">
        <x:f>IF('Master'!Y452="","",'Master'!Y452)</x:f>
        <x:v>No</x:v>
      </x:c>
      <x:c r="Y8" s="100" t="str">
        <x:f>IF('Master'!Z452="","",'Master'!Z452)</x:f>
        <x:v>No</x:v>
      </x:c>
      <x:c r="Z8" s="100" t="str">
        <x:f>IF('Master'!AA452="","",'Master'!AA452)</x:f>
        <x:v>No</x:v>
      </x:c>
      <x:c r="AA8" s="104" t="str">
        <x:f>IF('Master'!AB452="","",'Master'!AB452)</x:f>
        <x:v>No</x:v>
      </x:c>
      <x:c r="AB8" s="100" t="str">
        <x:f>IF('Master'!AC452="","",'Master'!AC452)</x:f>
      </x:c>
      <x:c r="AC8" s="100" t="str">
        <x:f>IF('Master'!AD452="","",'Master'!AD452)</x:f>
        <x:v>No</x:v>
      </x:c>
      <x:c r="AD8" s="100" t="str">
        <x:f>IF('Master'!AE452="","",'Master'!AE452)</x:f>
        <x:v>No</x:v>
      </x:c>
      <x:c r="AE8" s="100" t="str">
        <x:f>IF('Master'!AF452="","",'Master'!AF452)</x:f>
        <x:v>No</x:v>
      </x:c>
      <x:c r="AF8" s="75" t="str">
        <x:f>IF('Master'!AG452="","",'Master'!AG452)</x:f>
        <x:v>No</x:v>
      </x:c>
    </x:row>
    <x:row r="9" ht="36" customHeight="1">
      <x:c r="A9" s="135" t="str">
        <x:v>Discord Attachment Import</x:v>
      </x:c>
      <x:c r="B9" s="100" t="str">
        <x:f>IF('Master'!C453="","",'Master'!C453)</x:f>
        <x:v>N/A</x:v>
      </x:c>
      <x:c r="C9" s="100" t="str">
        <x:f>IF('Master'!D453="","",'Master'!D453)</x:f>
      </x:c>
      <x:c r="D9" s="100" t="str">
        <x:f>IF('Master'!E453="","",'Master'!E453)</x:f>
        <x:v>No</x:v>
      </x:c>
      <x:c r="E9" s="100" t="str">
        <x:f>IF('Master'!F453="","",'Master'!F453)</x:f>
        <x:v>No</x:v>
      </x:c>
      <x:c r="F9" s="100" t="str">
        <x:f>IF('Master'!G453="","",'Master'!G453)</x:f>
        <x:v>No</x:v>
      </x:c>
      <x:c r="G9" s="100" t="str">
        <x:f>IF('Master'!H453="","",'Master'!H453)</x:f>
        <x:v>No</x:v>
      </x:c>
      <x:c r="H9" s="100" t="str">
        <x:f>IF('Master'!I453="","",'Master'!I453)</x:f>
        <x:v>No</x:v>
      </x:c>
      <x:c r="I9" s="100" t="str">
        <x:f>IF('Master'!J453="","",'Master'!J453)</x:f>
        <x:v>No</x:v>
      </x:c>
      <x:c r="J9" s="100" t="str">
        <x:f>IF('Master'!K453="","",'Master'!K453)</x:f>
        <x:v>No</x:v>
      </x:c>
      <x:c r="K9" s="100" t="str">
        <x:f>IF('Master'!L453="","",'Master'!L453)</x:f>
        <x:v>No dedicated Discord server importer documented</x:v>
      </x:c>
      <x:c r="L9" s="100" t="str">
        <x:f>IF('Master'!M453="","",'Master'!M453)</x:f>
        <x:v>No</x:v>
      </x:c>
      <x:c r="M9" s="100" t="str">
        <x:f>IF('Master'!N453="","",'Master'!N453)</x:f>
        <x:v>No</x:v>
      </x:c>
      <x:c r="N9" s="100" t="str">
        <x:f>IF('Master'!O453="","",'Master'!O453)</x:f>
        <x:v>Possible with tooling</x:v>
      </x:c>
      <x:c r="O9" s="100" t="str">
        <x:f>IF('Master'!P453="","",'Master'!P453)</x:f>
        <x:v>No</x:v>
      </x:c>
      <x:c r="P9" s="100" t="str">
        <x:f>IF('Master'!Q453="","",'Master'!Q453)</x:f>
      </x:c>
      <x:c r="Q9" s="100" t="str">
        <x:f>IF('Master'!R453="","",'Master'!R453)</x:f>
        <x:v>No</x:v>
      </x:c>
      <x:c r="R9" s="100" t="str">
        <x:f>IF('Master'!S453="","",'Master'!S453)</x:f>
        <x:v>No</x:v>
      </x:c>
      <x:c r="S9" s="100" t="str">
        <x:f>IF('Master'!T453="","",'Master'!T453)</x:f>
        <x:v>No</x:v>
      </x:c>
      <x:c r="T9" s="100" t="str">
        <x:f>IF('Master'!U453="","",'Master'!U453)</x:f>
        <x:v>No</x:v>
      </x:c>
      <x:c r="U9" s="100" t="str">
        <x:f>IF('Master'!V453="","",'Master'!V453)</x:f>
        <x:v>No</x:v>
      </x:c>
      <x:c r="V9" s="100" t="str">
        <x:f>IF('Master'!W453="","",'Master'!W453)</x:f>
        <x:v>No</x:v>
      </x:c>
      <x:c r="W9" s="100" t="str">
        <x:f>IF('Master'!X453="","",'Master'!X453)</x:f>
      </x:c>
      <x:c r="X9" s="100" t="str">
        <x:f>IF('Master'!Y453="","",'Master'!Y453)</x:f>
        <x:v>No</x:v>
      </x:c>
      <x:c r="Y9" s="100" t="str">
        <x:f>IF('Master'!Z453="","",'Master'!Z453)</x:f>
        <x:v>No</x:v>
      </x:c>
      <x:c r="Z9" s="100" t="str">
        <x:f>IF('Master'!AA453="","",'Master'!AA453)</x:f>
        <x:v>No</x:v>
      </x:c>
      <x:c r="AA9" s="104" t="str">
        <x:f>IF('Master'!AB453="","",'Master'!AB453)</x:f>
        <x:v>No</x:v>
      </x:c>
      <x:c r="AB9" s="100" t="str">
        <x:f>IF('Master'!AC453="","",'Master'!AC453)</x:f>
      </x:c>
      <x:c r="AC9" s="100" t="str">
        <x:f>IF('Master'!AD453="","",'Master'!AD453)</x:f>
        <x:v>No</x:v>
      </x:c>
      <x:c r="AD9" s="100" t="str">
        <x:f>IF('Master'!AE453="","",'Master'!AE453)</x:f>
        <x:v>No</x:v>
      </x:c>
      <x:c r="AE9" s="100" t="str">
        <x:f>IF('Master'!AF453="","",'Master'!AF453)</x:f>
        <x:v>No</x:v>
      </x:c>
      <x:c r="AF9" s="75" t="str">
        <x:f>IF('Master'!AG453="","",'Master'!AG453)</x:f>
        <x:v>No</x:v>
      </x:c>
    </x:row>
    <x:row r="10" ht="36" customHeight="1">
      <x:c r="A10" s="135" t="str">
        <x:v>User Data Export</x:v>
      </x:c>
      <x:c r="B10" s="100" t="str">
        <x:f>IF('Master'!C454="","",'Master'!C454)</x:f>
        <x:v>Yes</x:v>
      </x:c>
      <x:c r="C10" s="100" t="str">
        <x:f>IF('Master'!D454="","",'Master'!D454)</x:f>
        <x:v>Nostr events/keys are portable</x:v>
      </x:c>
      <x:c r="D10" s="100" t="str">
        <x:f>IF('Master'!E454="","",'Master'!E454)</x:f>
        <x:v>Yes — account export/import</x:v>
      </x:c>
      <x:c r="E10" s="100" t="str">
        <x:f>IF('Master'!F454="","",'Master'!F454)</x:f>
      </x:c>
      <x:c r="F10" s="100" t="str">
        <x:f>IF('Master'!G454="","",'Master'!G454)</x:f>
      </x:c>
      <x:c r="G10" s="100" t="str">
        <x:f>IF('Master'!H454="","",'Master'!H454)</x:f>
        <x:v>Yes</x:v>
      </x:c>
      <x:c r="H10" s="100" t="str">
        <x:f>IF('Master'!I454="","",'Master'!I454)</x:f>
      </x:c>
      <x:c r="I10" s="100" t="str">
        <x:f>IF('Master'!J454="","",'Master'!J454)</x:f>
        <x:v>Operator-defined</x:v>
      </x:c>
      <x:c r="J10" s="100" t="str">
        <x:f>IF('Master'!K454="","",'Master'!K454)</x:f>
        <x:v>Yes — local archive export/import</x:v>
      </x:c>
      <x:c r="K10" s="100" t="str">
        <x:f>IF('Master'!L454="","",'Master'!L454)</x:f>
        <x:v>No full account/chat export workflow documented</x:v>
      </x:c>
      <x:c r="L10" s="100" t="str">
        <x:f>IF('Master'!M454="","",'Master'!M454)</x:f>
      </x:c>
      <x:c r="M10" s="100" t="str">
        <x:f>IF('Master'!N454="","",'Master'!N454)</x:f>
        <x:v>Export coming soon</x:v>
      </x:c>
      <x:c r="N10" s="100" t="str">
        <x:f>IF('Master'!O454="","",'Master'!O454)</x:f>
        <x:v>Client/homeserver-dependent</x:v>
      </x:c>
      <x:c r="O10" s="100" t="str">
        <x:f>IF('Master'!P454="","",'Master'!P454)</x:f>
        <x:v>Yes — admin/bulk export</x:v>
      </x:c>
      <x:c r="P10" s="100" t="str">
        <x:f>IF('Master'!Q454="","",'Master'!Q454)</x:f>
      </x:c>
      <x:c r="Q10" s="100" t="str">
        <x:f>IF('Master'!R454="","",'Master'!R454)</x:f>
        <x:v>Server logs/config only</x:v>
      </x:c>
      <x:c r="R10" s="100" t="str">
        <x:f>IF('Master'!S454="","",'Master'!S454)</x:f>
      </x:c>
      <x:c r="S10" s="100" t="str">
        <x:f>IF('Master'!T454="","",'Master'!T454)</x:f>
      </x:c>
      <x:c r="T10" s="100" t="str">
        <x:f>IF('Master'!U454="","",'Master'!U454)</x:f>
        <x:v>Yes</x:v>
      </x:c>
      <x:c r="U10" s="100" t="str">
        <x:f>IF('Master'!V454="","",'Master'!V454)</x:f>
        <x:v>Yes - Account Data Export</x:v>
      </x:c>
      <x:c r="V10" s="100" t="str">
        <x:f>IF('Master'!W454="","",'Master'!W454)</x:f>
        <x:v>Yes/admin tools</x:v>
      </x:c>
      <x:c r="W10" s="100" t="str">
        <x:f>IF('Master'!X454="","",'Master'!X454)</x:f>
        <x:v>ATProto data portability</x:v>
      </x:c>
      <x:c r="X10" s="100" t="str">
        <x:f>IF('Master'!Y454="","",'Master'!Y454)</x:f>
      </x:c>
      <x:c r="Y10" s="100" t="str">
        <x:f>IF('Master'!Z454="","",'Master'!Z454)</x:f>
      </x:c>
      <x:c r="Z10" s="100" t="str">
        <x:f>IF('Master'!AA454="","",'Master'!AA454)</x:f>
      </x:c>
      <x:c r="AA10" s="104" t="str">
        <x:f>IF('Master'!AB454="","",'Master'!AB454)</x:f>
      </x:c>
      <x:c r="AB10" s="100" t="str">
        <x:f>IF('Master'!AC454="","",'Master'!AC454)</x:f>
      </x:c>
      <x:c r="AC10" s="100" t="str">
        <x:f>IF('Master'!AD454="","",'Master'!AD454)</x:f>
      </x:c>
      <x:c r="AD10" s="100" t="str">
        <x:f>IF('Master'!AE454="","",'Master'!AE454)</x:f>
      </x:c>
      <x:c r="AE10" s="100" t="str">
        <x:f>IF('Master'!AF454="","",'Master'!AF454)</x:f>
        <x:v>Operator-controlled</x:v>
      </x:c>
      <x:c r="AF10" s="75" t="str">
        <x:f>IF('Master'!AG454="","",'Master'!AG454)</x:f>
        <x:v>Yes</x:v>
      </x:c>
    </x:row>
    <x:row r="11" ht="36" customHeight="1">
      <x:c r="A11" s="135" t="str">
        <x:v>Export Format</x:v>
      </x:c>
      <x:c r="B11" s="100" t="str">
        <x:f>IF('Master'!C455="","",'Master'!C455)</x:f>
        <x:v>ZIP / JSON-heavy Data Package</x:v>
      </x:c>
      <x:c r="C11" s="100" t="str">
        <x:f>IF('Master'!D455="","",'Master'!D455)</x:f>
        <x:v>Nostr events</x:v>
      </x:c>
      <x:c r="D11" s="100" t="str">
        <x:f>IF('Master'!E455="","",'Master'!E455)</x:f>
        <x:v>DCTS export</x:v>
      </x:c>
      <x:c r="E11" s="100" t="str">
        <x:f>IF('Master'!F455="","",'Master'!F455)</x:f>
      </x:c>
      <x:c r="F11" s="100" t="str">
        <x:f>IF('Master'!G455="","",'Master'!G455)</x:f>
      </x:c>
      <x:c r="G11" s="100" t="str">
        <x:f>IF('Master'!H455="","",'Master'!H455)</x:f>
      </x:c>
      <x:c r="H11" s="100" t="str">
        <x:f>IF('Master'!I455="","",'Master'!I455)</x:f>
      </x:c>
      <x:c r="I11" s="100" t="str">
        <x:f>IF('Master'!J455="","",'Master'!J455)</x:f>
      </x:c>
      <x:c r="J11" s="100" t="str">
        <x:f>IF('Master'!K455="","",'Master'!K455)</x:f>
        <x:v>Encrypted .hollow/local formats</x:v>
      </x:c>
      <x:c r="K11" s="100" t="str">
        <x:f>IF('Master'!L455="","",'Master'!L455)</x:f>
        <x:v>No full account/chat export workflow documented</x:v>
      </x:c>
      <x:c r="L11" s="100" t="str">
        <x:f>IF('Master'!M455="","",'Master'!M455)</x:f>
      </x:c>
      <x:c r="M11" s="100" t="str">
        <x:f>IF('Master'!N455="","",'Master'!N455)</x:f>
      </x:c>
      <x:c r="N11" s="100" t="str">
        <x:f>IF('Master'!O455="","",'Master'!O455)</x:f>
        <x:v>Client/provider-dependent</x:v>
      </x:c>
      <x:c r="O11" s="100" t="str">
        <x:f>IF('Master'!P455="","",'Master'!P455)</x:f>
        <x:v>Bulk/export formats</x:v>
      </x:c>
      <x:c r="P11" s="100" t="str">
        <x:f>IF('Master'!Q455="","",'Master'!Q455)</x:f>
      </x:c>
      <x:c r="Q11" s="100" t="str">
        <x:f>IF('Master'!R455="","",'Master'!R455)</x:f>
        <x:v>N/A</x:v>
      </x:c>
      <x:c r="R11" s="100" t="str">
        <x:f>IF('Master'!S455="","",'Master'!S455)</x:f>
      </x:c>
      <x:c r="S11" s="100" t="str">
        <x:f>IF('Master'!T455="","",'Master'!T455)</x:f>
      </x:c>
      <x:c r="T11" s="100" t="str">
        <x:f>IF('Master'!U455="","",'Master'!U455)</x:f>
        <x:v>Not publicly specified in the response</x:v>
      </x:c>
      <x:c r="U11" s="100" t="str">
        <x:f>IF('Master'!V455="","",'Master'!V455)</x:f>
        <x:v>.json</x:v>
      </x:c>
      <x:c r="V11" s="100" t="str">
        <x:f>IF('Master'!W455="","",'Master'!W455)</x:f>
        <x:v>Export/backup deployment-dependent</x:v>
      </x:c>
      <x:c r="W11" s="100" t="str">
        <x:f>IF('Master'!X455="","",'Master'!X455)</x:f>
        <x:v>ATProto records</x:v>
      </x:c>
      <x:c r="X11" s="100" t="str">
        <x:f>IF('Master'!Y455="","",'Master'!Y455)</x:f>
      </x:c>
      <x:c r="Y11" s="100" t="str">
        <x:f>IF('Master'!Z455="","",'Master'!Z455)</x:f>
      </x:c>
      <x:c r="Z11" s="100" t="str">
        <x:f>IF('Master'!AA455="","",'Master'!AA455)</x:f>
      </x:c>
      <x:c r="AA11" s="104" t="str">
        <x:f>IF('Master'!AB455="","",'Master'!AB455)</x:f>
      </x:c>
      <x:c r="AB11" s="100" t="str">
        <x:f>IF('Master'!AC455="","",'Master'!AC455)</x:f>
      </x:c>
      <x:c r="AC11" s="100" t="str">
        <x:f>IF('Master'!AD455="","",'Master'!AD455)</x:f>
      </x:c>
      <x:c r="AD11" s="100" t="str">
        <x:f>IF('Master'!AE455="","",'Master'!AE455)</x:f>
      </x:c>
      <x:c r="AE11" s="100" t="str">
        <x:f>IF('Master'!AF455="","",'Master'!AF455)</x:f>
      </x:c>
      <x:c r="AF11" s="75" t="str">
        <x:f>IF('Master'!AG455="","",'Master'!AG455)</x:f>
        <x:v>Zulip export archives</x:v>
      </x:c>
    </x:row>
    <x:row r="12" ht="36" customHeight="1">
      <x:c r="A12" s="135" t="str">
        <x:v>Attachment Export</x:v>
      </x:c>
      <x:c r="B12" s="100" t="str">
        <x:f>IF('Master'!C456="","",'Master'!C456)</x:f>
        <x:v>Yes in data package</x:v>
      </x:c>
      <x:c r="C12" s="100" t="str">
        <x:f>IF('Master'!D456="","",'Master'!D456)</x:f>
        <x:v>Relay dependent</x:v>
      </x:c>
      <x:c r="D12" s="100" t="str">
        <x:f>IF('Master'!E456="","",'Master'!E456)</x:f>
      </x:c>
      <x:c r="E12" s="100" t="str">
        <x:f>IF('Master'!F456="","",'Master'!F456)</x:f>
      </x:c>
      <x:c r="F12" s="100" t="str">
        <x:f>IF('Master'!G456="","",'Master'!G456)</x:f>
      </x:c>
      <x:c r="G12" s="100" t="str">
        <x:f>IF('Master'!H456="","",'Master'!H456)</x:f>
      </x:c>
      <x:c r="H12" s="100" t="str">
        <x:f>IF('Master'!I456="","",'Master'!I456)</x:f>
      </x:c>
      <x:c r="I12" s="100" t="str">
        <x:f>IF('Master'!J456="","",'Master'!J456)</x:f>
      </x:c>
      <x:c r="J12" s="100" t="str">
        <x:f>IF('Master'!K456="","",'Master'!K456)</x:f>
        <x:v>Yes/local</x:v>
      </x:c>
      <x:c r="K12" s="100" t="str">
        <x:f>IF('Master'!L456="","",'Master'!L456)</x:f>
        <x:v>Direct attachment download exists; bulk media export is not documented</x:v>
      </x:c>
      <x:c r="L12" s="100" t="str">
        <x:f>IF('Master'!M456="","",'Master'!M456)</x:f>
      </x:c>
      <x:c r="M12" s="100" t="str">
        <x:f>IF('Master'!N456="","",'Master'!N456)</x:f>
        <x:v>Export coming soon</x:v>
      </x:c>
      <x:c r="N12" s="100" t="str">
        <x:f>IF('Master'!O456="","",'Master'!O456)</x:f>
        <x:v>Client/provider-dependent</x:v>
      </x:c>
      <x:c r="O12" s="100" t="str">
        <x:f>IF('Master'!P456="","",'Master'!P456)</x:f>
        <x:v>Yes/admin backup/export</x:v>
      </x:c>
      <x:c r="P12" s="100" t="str">
        <x:f>IF('Master'!Q456="","",'Master'!Q456)</x:f>
      </x:c>
      <x:c r="Q12" s="100" t="str">
        <x:f>IF('Master'!R456="","",'Master'!R456)</x:f>
        <x:v>N/A</x:v>
      </x:c>
      <x:c r="R12" s="100" t="str">
        <x:f>IF('Master'!S456="","",'Master'!S456)</x:f>
      </x:c>
      <x:c r="S12" s="100" t="str">
        <x:f>IF('Master'!T456="","",'Master'!T456)</x:f>
      </x:c>
      <x:c r="T12" s="100" t="str">
        <x:f>IF('Master'!U456="","",'Master'!U456)</x:f>
        <x:v>Yes</x:v>
      </x:c>
      <x:c r="U12" s="100" t="str">
        <x:f>IF('Master'!V456="","",'Master'!V456)</x:f>
        <x:v>Direct Download</x:v>
      </x:c>
      <x:c r="V12" s="100" t="str">
        <x:f>IF('Master'!W456="","",'Master'!W456)</x:f>
        <x:v>Yes/admin backup</x:v>
      </x:c>
      <x:c r="W12" s="100" t="str">
        <x:f>IF('Master'!X456="","",'Master'!X456)</x:f>
      </x:c>
      <x:c r="X12" s="100" t="str">
        <x:f>IF('Master'!Y456="","",'Master'!Y456)</x:f>
      </x:c>
      <x:c r="Y12" s="100" t="str">
        <x:f>IF('Master'!Z456="","",'Master'!Z456)</x:f>
      </x:c>
      <x:c r="Z12" s="100" t="str">
        <x:f>IF('Master'!AA456="","",'Master'!AA456)</x:f>
      </x:c>
      <x:c r="AA12" s="104" t="str">
        <x:f>IF('Master'!AB456="","",'Master'!AB456)</x:f>
      </x:c>
      <x:c r="AB12" s="100" t="str">
        <x:f>IF('Master'!AC456="","",'Master'!AC456)</x:f>
      </x:c>
      <x:c r="AC12" s="100" t="str">
        <x:f>IF('Master'!AD456="","",'Master'!AD456)</x:f>
      </x:c>
      <x:c r="AD12" s="100" t="str">
        <x:f>IF('Master'!AE456="","",'Master'!AE456)</x:f>
      </x:c>
      <x:c r="AE12" s="100" t="str">
        <x:f>IF('Master'!AF456="","",'Master'!AF456)</x:f>
        <x:v>Operator-controlled</x:v>
      </x:c>
      <x:c r="AF12" s="75" t="str">
        <x:f>IF('Master'!AG456="","",'Master'!AG456)</x:f>
        <x:v>Yes/admin export</x:v>
      </x:c>
    </x:row>
    <x:row r="13" ht="36" customHeight="1">
      <x:c r="A13" s="135" t="str">
        <x:v>Native Bridge / Appservice Framework</x:v>
      </x:c>
      <x:c r="B13" s="100" t="str">
        <x:f>IF('Master'!C457="","",'Master'!C457)</x:f>
        <x:v>No general bridge framework</x:v>
      </x:c>
      <x:c r="C13" s="100" t="str">
        <x:f>IF('Master'!D457="","",'Master'!D457)</x:f>
        <x:v>Yes — Discord two-way bridge; bridge can be self-hosted</x:v>
      </x:c>
      <x:c r="D13" s="100" t="str">
        <x:f>IF('Master'!E457="","",'Master'!E457)</x:f>
        <x:v>Custom decentralized messenger/server protocol</x:v>
      </x:c>
      <x:c r="E13" s="100" t="str">
        <x:f>IF('Master'!F457="","",'Master'!F457)</x:f>
        <x:v>No</x:v>
      </x:c>
      <x:c r="F13" s="100" t="str">
        <x:f>IF('Master'!G457="","",'Master'!G457)</x:f>
        <x:v>No public framework yet</x:v>
      </x:c>
      <x:c r="G13" s="100" t="str">
        <x:f>IF('Master'!H457="","",'Master'!H457)</x:f>
        <x:v>No federation bridge framework yet</x:v>
      </x:c>
      <x:c r="H13" s="100" t="str">
        <x:f>IF('Master'!I457="","",'Master'!I457)</x:f>
        <x:v>No general bridge framework</x:v>
      </x:c>
      <x:c r="I13" s="100" t="str">
        <x:f>IF('Master'!J457="","",'Master'!J457)</x:f>
        <x:v>Discord API compatibility</x:v>
      </x:c>
      <x:c r="J13" s="100" t="str">
        <x:f>IF('Master'!K457="","",'Master'!K457)</x:f>
        <x:v>No general bridge framework</x:v>
      </x:c>
      <x:c r="K13" s="100" t="str">
        <x:f>IF('Master'!L457="","",'Master'!L457)</x:f>
        <x:v>Yes — official Discord bridge repository</x:v>
      </x:c>
      <x:c r="L13" s="100" t="str">
        <x:f>IF('Master'!M457="","",'Master'!M457)</x:f>
        <x:v>No</x:v>
      </x:c>
      <x:c r="M13" s="100" t="str">
        <x:f>IF('Master'!N457="","",'Master'!N457)</x:f>
        <x:v>Discord-compatible bot/API surface</x:v>
      </x:c>
      <x:c r="N13" s="100" t="str">
        <x:f>IF('Master'!O457="","",'Master'!O457)</x:f>
        <x:v>Yes — Application Services/bridges are core ecosystem pattern</x:v>
      </x:c>
      <x:c r="O13" s="100" t="str">
        <x:f>IF('Master'!P457="","",'Master'!P457)</x:f>
        <x:v>Plugins/webhooks/integrations</x:v>
      </x:c>
      <x:c r="P13" s="100" t="str">
        <x:f>IF('Master'!Q457="","",'Master'!Q457)</x:f>
        <x:v>API-first integrations</x:v>
      </x:c>
      <x:c r="Q13" s="100" t="str">
        <x:f>IF('Master'!R457="","",'Master'!R457)</x:f>
        <x:v>No</x:v>
      </x:c>
      <x:c r="R13" s="100" t="str">
        <x:f>IF('Master'!S457="","",'Master'!S457)</x:f>
        <x:v>No</x:v>
      </x:c>
      <x:c r="S13" s="100" t="str">
        <x:f>IF('Master'!T457="","",'Master'!T457)</x:f>
        <x:v>No general bridge framework</x:v>
      </x:c>
      <x:c r="T13" s="100" t="str">
        <x:f>IF('Master'!U457="","",'Master'!U457)</x:f>
        <x:v>No native Matrix/IRC bridge; incoming Discord-compatible webhooks</x:v>
      </x:c>
      <x:c r="U13" s="100" t="str">
        <x:f>IF('Master'!V457="","",'Master'!V457)</x:f>
        <x:v>No general bridge framework</x:v>
      </x:c>
      <x:c r="V13" s="100" t="str">
        <x:f>IF('Master'!W457="","",'Master'!W457)</x:f>
        <x:v>Apps/integrations + federation</x:v>
      </x:c>
      <x:c r="W13" s="100" t="str">
        <x:f>IF('Master'!X457="","",'Master'!X457)</x:f>
        <x:v>Yes — bridge package</x:v>
      </x:c>
      <x:c r="X13" s="100" t="str">
        <x:f>IF('Master'!Y457="","",'Master'!Y457)</x:f>
        <x:v>Apps/Bots can integrate external services</x:v>
      </x:c>
      <x:c r="Y13" s="100" t="str">
        <x:f>IF('Master'!Z457="","",'Master'!Z457)</x:f>
        <x:v>Discord-compatible bot/client ecosystem rather than bridges</x:v>
      </x:c>
      <x:c r="Z13" s="100" t="str">
        <x:f>IF('Master'!AA457="","",'Master'!AA457)</x:f>
        <x:v>No native appservice framework</x:v>
      </x:c>
      <x:c r="AA13" s="104" t="str">
        <x:f>IF('Master'!AB457="","",'Master'!AB457)</x:f>
        <x:v>No general bridge framework</x:v>
      </x:c>
      <x:c r="AB13" s="100" t="str">
        <x:f>IF('Master'!AC457="","",'Master'!AC457)</x:f>
        <x:v>Open API/webhooks</x:v>
      </x:c>
      <x:c r="AC13" s="100" t="str">
        <x:f>IF('Master'!AD457="","",'Master'!AD457)</x:f>
        <x:v>Federation/bridge architecture in development</x:v>
      </x:c>
      <x:c r="AD13" s="100" t="str">
        <x:f>IF('Master'!AE457="","",'Master'!AE457)</x:f>
        <x:v>Game APIs/integrations rather than bridges</x:v>
      </x:c>
      <x:c r="AE13" s="100" t="str">
        <x:f>IF('Master'!AF457="","",'Master'!AF457)</x:f>
        <x:v>No</x:v>
      </x:c>
      <x:c r="AF13" s="75" t="str">
        <x:f>IF('Master'!AG457="","",'Master'!AG457)</x:f>
        <x:v>Integrations/bots/webhooks</x:v>
      </x:c>
    </x:row>
    <x:row r="14" ht="36" customHeight="1">
      <x:c r="A14" s="135" t="str">
        <x:v>Discord Bridge</x:v>
      </x:c>
      <x:c r="B14" s="100" t="str">
        <x:f>IF('Master'!C458="","",'Master'!C458)</x:f>
        <x:v>N/A</x:v>
      </x:c>
      <x:c r="C14" s="100" t="str">
        <x:f>IF('Master'!D458="","",'Master'!D458)</x:f>
        <x:v>Yes — Discord bridge supported/self-hostable per subreddit reports</x:v>
      </x:c>
      <x:c r="D14" s="100" t="str">
        <x:f>IF('Master'!E458="","",'Master'!E458)</x:f>
        <x:v>Discord bridge WIP</x:v>
      </x:c>
      <x:c r="E14" s="100" t="str">
        <x:f>IF('Master'!F458="","",'Master'!F458)</x:f>
        <x:v>No</x:v>
      </x:c>
      <x:c r="F14" s="100" t="str">
        <x:f>IF('Master'!G458="","",'Master'!G458)</x:f>
        <x:v>No</x:v>
      </x:c>
      <x:c r="G14" s="100" t="str">
        <x:f>IF('Master'!H458="","",'Master'!H458)</x:f>
        <x:v>No native</x:v>
      </x:c>
      <x:c r="H14" s="100" t="str">
        <x:f>IF('Master'!I458="","",'Master'!I458)</x:f>
        <x:v>No live Discord bridge</x:v>
      </x:c>
      <x:c r="I14" s="100" t="str">
        <x:f>IF('Master'!J458="","",'Master'!J458)</x:f>
        <x:v>Community Discord bridge possible</x:v>
      </x:c>
      <x:c r="J14" s="100" t="str">
        <x:f>IF('Master'!K458="","",'Master'!K458)</x:f>
        <x:v>No</x:v>
      </x:c>
      <x:c r="K14" s="100" t="str">
        <x:f>IF('Master'!L458="","",'Master'!L458)</x:f>
        <x:v>Yes — official Discord bridge bot is included</x:v>
      </x:c>
      <x:c r="L14" s="100" t="str">
        <x:f>IF('Master'!M458="","",'Master'!M458)</x:f>
        <x:v>No</x:v>
      </x:c>
      <x:c r="M14" s="100" t="str">
        <x:f>IF('Master'!N458="","",'Master'!N458)</x:f>
        <x:v>No live bridge</x:v>
      </x:c>
      <x:c r="N14" s="100" t="str">
        <x:f>IF('Master'!O458="","",'Master'!O458)</x:f>
        <x:v>Yes — matrix-appservice-discord / mautrix-discord</x:v>
      </x:c>
      <x:c r="O14" s="100" t="str">
        <x:f>IF('Master'!P458="","",'Master'!P458)</x:f>
        <x:v>No</x:v>
      </x:c>
      <x:c r="P14" s="100" t="str">
        <x:f>IF('Master'!Q458="","",'Master'!Q458)</x:f>
        <x:v>No</x:v>
      </x:c>
      <x:c r="Q14" s="100" t="str">
        <x:f>IF('Master'!R458="","",'Master'!R458)</x:f>
        <x:v>No</x:v>
      </x:c>
      <x:c r="R14" s="100" t="str">
        <x:f>IF('Master'!S458="","",'Master'!S458)</x:f>
        <x:v>No</x:v>
      </x:c>
      <x:c r="S14" s="100" t="str">
        <x:f>IF('Master'!T458="","",'Master'!T458)</x:f>
        <x:v>No</x:v>
      </x:c>
      <x:c r="T14" s="100" t="str">
        <x:f>IF('Master'!U458="","",'Master'!U458)</x:f>
        <x:v>No live bridge</x:v>
      </x:c>
      <x:c r="U14" s="100" t="str">
        <x:f>IF('Master'!V458="","",'Master'!V458)</x:f>
        <x:v>No</x:v>
      </x:c>
      <x:c r="V14" s="100" t="str">
        <x:f>IF('Master'!W458="","",'Master'!W458)</x:f>
        <x:v>No native</x:v>
      </x:c>
      <x:c r="W14" s="100" t="str">
        <x:f>IF('Master'!X458="","",'Master'!X458)</x:f>
        <x:v>Yes — bidirectional Discord bridge</x:v>
      </x:c>
      <x:c r="X14" s="100" t="str">
        <x:f>IF('Master'!Y458="","",'Master'!Y458)</x:f>
        <x:v>No live bridge</x:v>
      </x:c>
      <x:c r="Y14" s="100" t="str">
        <x:f>IF('Master'!Z458="","",'Master'!Z458)</x:f>
        <x:v>Not live bridge; compatibility target</x:v>
      </x:c>
      <x:c r="Z14" s="100" t="str">
        <x:f>IF('Master'!AA458="","",'Master'!AA458)</x:f>
        <x:v>No native</x:v>
      </x:c>
      <x:c r="AA14" s="104" t="str">
        <x:f>IF('Master'!AB458="","",'Master'!AB458)</x:f>
        <x:v>No</x:v>
      </x:c>
      <x:c r="AB14" s="100" t="str">
        <x:f>IF('Master'!AC458="","",'Master'!AC458)</x:f>
        <x:v>No live bridge</x:v>
      </x:c>
      <x:c r="AC14" s="100" t="str">
        <x:f>IF('Master'!AD458="","",'Master'!AD458)</x:f>
        <x:v>No</x:v>
      </x:c>
      <x:c r="AD14" s="100" t="str">
        <x:f>IF('Master'!AE458="","",'Master'!AE458)</x:f>
        <x:v>No</x:v>
      </x:c>
      <x:c r="AE14" s="100" t="str">
        <x:f>IF('Master'!AF458="","",'Master'!AF458)</x:f>
        <x:v>No</x:v>
      </x:c>
      <x:c r="AF14" s="75" t="str">
        <x:f>IF('Master'!AG458="","",'Master'!AG458)</x:f>
        <x:v>No native</x:v>
      </x:c>
    </x:row>
    <x:row r="15" ht="36" customHeight="1">
      <x:c r="A15" s="135" t="str">
        <x:v>Matrix Bridge</x:v>
      </x:c>
      <x:c r="B15" s="100" t="str">
        <x:f>IF('Master'!C459="","",'Master'!C459)</x:f>
        <x:v>Third-party Matrix bridges can connect to Discord; not native</x:v>
      </x:c>
      <x:c r="C15" s="100" t="str">
        <x:f>IF('Master'!D459="","",'Master'!D459)</x:f>
        <x:v>No native Matrix bridge verified</x:v>
      </x:c>
      <x:c r="D15" s="100" t="str">
        <x:f>IF('Master'!E459="","",'Master'!E459)</x:f>
        <x:v>No</x:v>
      </x:c>
      <x:c r="E15" s="100" t="str">
        <x:f>IF('Master'!F459="","",'Master'!F459)</x:f>
        <x:v>No</x:v>
      </x:c>
      <x:c r="F15" s="100" t="str">
        <x:f>IF('Master'!G459="","",'Master'!G459)</x:f>
        <x:v>No</x:v>
      </x:c>
      <x:c r="G15" s="100" t="str">
        <x:f>IF('Master'!H459="","",'Master'!H459)</x:f>
        <x:v>No native</x:v>
      </x:c>
      <x:c r="H15" s="100" t="str">
        <x:f>IF('Master'!I459="","",'Master'!I459)</x:f>
        <x:v>No</x:v>
      </x:c>
      <x:c r="I15" s="100" t="str">
        <x:f>IF('Master'!J459="","",'Master'!J459)</x:f>
        <x:v>No</x:v>
      </x:c>
      <x:c r="J15" s="100" t="str">
        <x:f>IF('Master'!K459="","",'Master'!K459)</x:f>
        <x:v>No</x:v>
      </x:c>
      <x:c r="K15" s="100" t="str">
        <x:f>IF('Master'!L459="","",'Master'!L459)</x:f>
        <x:v>No Matrix bridge documented</x:v>
      </x:c>
      <x:c r="L15" s="100" t="str">
        <x:f>IF('Master'!M459="","",'Master'!M459)</x:f>
        <x:v>No</x:v>
      </x:c>
      <x:c r="M15" s="100" t="str">
        <x:f>IF('Master'!N459="","",'Master'!N459)</x:f>
        <x:v>No</x:v>
      </x:c>
      <x:c r="N15" s="100" t="str">
        <x:f>IF('Master'!O459="","",'Master'!O459)</x:f>
        <x:v>N/A</x:v>
      </x:c>
      <x:c r="O15" s="100" t="str">
        <x:f>IF('Master'!P459="","",'Master'!P459)</x:f>
        <x:v>Integration possible</x:v>
      </x:c>
      <x:c r="P15" s="100" t="str">
        <x:f>IF('Master'!Q459="","",'Master'!Q459)</x:f>
        <x:v>No</x:v>
      </x:c>
      <x:c r="Q15" s="100" t="str">
        <x:f>IF('Master'!R459="","",'Master'!R459)</x:f>
        <x:v>No</x:v>
      </x:c>
      <x:c r="R15" s="100" t="str">
        <x:f>IF('Master'!S459="","",'Master'!S459)</x:f>
        <x:v>No</x:v>
      </x:c>
      <x:c r="S15" s="100" t="str">
        <x:f>IF('Master'!T459="","",'Master'!T459)</x:f>
        <x:v>No</x:v>
      </x:c>
      <x:c r="T15" s="100" t="str">
        <x:f>IF('Master'!U459="","",'Master'!U459)</x:f>
        <x:v>No</x:v>
      </x:c>
      <x:c r="U15" s="100" t="str">
        <x:f>IF('Master'!V459="","",'Master'!V459)</x:f>
        <x:v>No</x:v>
      </x:c>
      <x:c r="V15" s="100" t="str">
        <x:f>IF('Master'!W459="","",'Master'!W459)</x:f>
        <x:v>Federation uses Matrix-based technology but is not a generic Matrix client bridge</x:v>
      </x:c>
      <x:c r="W15" s="100" t="str">
        <x:f>IF('Master'!X459="","",'Master'!X459)</x:f>
        <x:v>N/A</x:v>
      </x:c>
      <x:c r="X15" s="100" t="str">
        <x:f>IF('Master'!Y459="","",'Master'!Y459)</x:f>
        <x:v>No</x:v>
      </x:c>
      <x:c r="Y15" s="100" t="str">
        <x:f>IF('Master'!Z459="","",'Master'!Z459)</x:f>
        <x:v>No native</x:v>
      </x:c>
      <x:c r="Z15" s="100" t="str">
        <x:f>IF('Master'!AA459="","",'Master'!AA459)</x:f>
        <x:v>No native</x:v>
      </x:c>
      <x:c r="AA15" s="104" t="str">
        <x:f>IF('Master'!AB459="","",'Master'!AB459)</x:f>
        <x:v>No</x:v>
      </x:c>
      <x:c r="AB15" s="100" t="str">
        <x:f>IF('Master'!AC459="","",'Master'!AC459)</x:f>
        <x:v>No</x:v>
      </x:c>
      <x:c r="AC15" s="100" t="str">
        <x:f>IF('Master'!AD459="","",'Master'!AD459)</x:f>
        <x:v>Possible in theory</x:v>
      </x:c>
      <x:c r="AD15" s="100" t="str">
        <x:f>IF('Master'!AE459="","",'Master'!AE459)</x:f>
        <x:v>No</x:v>
      </x:c>
      <x:c r="AE15" s="100" t="str">
        <x:f>IF('Master'!AF459="","",'Master'!AF459)</x:f>
        <x:v>No</x:v>
      </x:c>
      <x:c r="AF15" s="75" t="str">
        <x:f>IF('Master'!AG459="","",'Master'!AG459)</x:f>
        <x:v>No native</x:v>
      </x:c>
    </x:row>
    <x:row r="16" ht="36" customHeight="1">
      <x:c r="A16" s="135" t="str">
        <x:v>IRC Bridge</x:v>
      </x:c>
      <x:c r="B16" s="100" t="str">
        <x:f>IF('Master'!C460="","",'Master'!C460)</x:f>
        <x:v>Third-party relays; not native</x:v>
      </x:c>
      <x:c r="C16" s="100" t="str">
        <x:f>IF('Master'!D460="","",'Master'!D460)</x:f>
        <x:v>Nostr bridges possible</x:v>
      </x:c>
      <x:c r="D16" s="100" t="str">
        <x:f>IF('Master'!E460="","",'Master'!E460)</x:f>
        <x:v>No</x:v>
      </x:c>
      <x:c r="E16" s="100" t="str">
        <x:f>IF('Master'!F460="","",'Master'!F460)</x:f>
        <x:v>No</x:v>
      </x:c>
      <x:c r="F16" s="100" t="str">
        <x:f>IF('Master'!G460="","",'Master'!G460)</x:f>
        <x:v>No</x:v>
      </x:c>
      <x:c r="G16" s="100" t="str">
        <x:f>IF('Master'!H460="","",'Master'!H460)</x:f>
        <x:v>No native</x:v>
      </x:c>
      <x:c r="H16" s="100" t="str">
        <x:f>IF('Master'!I460="","",'Master'!I460)</x:f>
        <x:v>No</x:v>
      </x:c>
      <x:c r="I16" s="100" t="str">
        <x:f>IF('Master'!J460="","",'Master'!J460)</x:f>
        <x:v>No</x:v>
      </x:c>
      <x:c r="J16" s="100" t="str">
        <x:f>IF('Master'!K460="","",'Master'!K460)</x:f>
        <x:v>No</x:v>
      </x:c>
      <x:c r="K16" s="100" t="str">
        <x:f>IF('Master'!L460="","",'Master'!L460)</x:f>
        <x:v>No IRC bridge documented</x:v>
      </x:c>
      <x:c r="L16" s="100" t="str">
        <x:f>IF('Master'!M460="","",'Master'!M460)</x:f>
        <x:v>No</x:v>
      </x:c>
      <x:c r="M16" s="100" t="str">
        <x:f>IF('Master'!N460="","",'Master'!N460)</x:f>
        <x:v>No</x:v>
      </x:c>
      <x:c r="N16" s="100" t="str">
        <x:f>IF('Master'!O460="","",'Master'!O460)</x:f>
        <x:v>Yes — IRC bridges</x:v>
      </x:c>
      <x:c r="O16" s="100" t="str">
        <x:f>IF('Master'!P460="","",'Master'!P460)</x:f>
        <x:v>Integration possible</x:v>
      </x:c>
      <x:c r="P16" s="100" t="str">
        <x:f>IF('Master'!Q460="","",'Master'!Q460)</x:f>
        <x:v>No</x:v>
      </x:c>
      <x:c r="Q16" s="100" t="str">
        <x:f>IF('Master'!R460="","",'Master'!R460)</x:f>
        <x:v>No</x:v>
      </x:c>
      <x:c r="R16" s="100" t="str">
        <x:f>IF('Master'!S460="","",'Master'!S460)</x:f>
        <x:v>No</x:v>
      </x:c>
      <x:c r="S16" s="100" t="str">
        <x:f>IF('Master'!T460="","",'Master'!T460)</x:f>
        <x:v>No</x:v>
      </x:c>
      <x:c r="T16" s="100" t="str">
        <x:f>IF('Master'!U460="","",'Master'!U460)</x:f>
        <x:v>No</x:v>
      </x:c>
      <x:c r="U16" s="100" t="str">
        <x:f>IF('Master'!V460="","",'Master'!V460)</x:f>
        <x:v>No</x:v>
      </x:c>
      <x:c r="V16" s="100" t="str">
        <x:f>IF('Master'!W460="","",'Master'!W460)</x:f>
        <x:v>IRC integration possible</x:v>
      </x:c>
      <x:c r="W16" s="100" t="str">
        <x:f>IF('Master'!X460="","",'Master'!X460)</x:f>
      </x:c>
      <x:c r="X16" s="100" t="str">
        <x:f>IF('Master'!Y460="","",'Master'!Y460)</x:f>
        <x:v>No</x:v>
      </x:c>
      <x:c r="Y16" s="100" t="str">
        <x:f>IF('Master'!Z460="","",'Master'!Z460)</x:f>
        <x:v>No native</x:v>
      </x:c>
      <x:c r="Z16" s="100" t="str">
        <x:f>IF('Master'!AA460="","",'Master'!AA460)</x:f>
        <x:v>No native</x:v>
      </x:c>
      <x:c r="AA16" s="104" t="str">
        <x:f>IF('Master'!AB460="","",'Master'!AB460)</x:f>
        <x:v>No</x:v>
      </x:c>
      <x:c r="AB16" s="100" t="str">
        <x:f>IF('Master'!AC460="","",'Master'!AC460)</x:f>
        <x:v>No</x:v>
      </x:c>
      <x:c r="AC16" s="100" t="str">
        <x:f>IF('Master'!AD460="","",'Master'!AD460)</x:f>
      </x:c>
      <x:c r="AD16" s="100" t="str">
        <x:f>IF('Master'!AE460="","",'Master'!AE460)</x:f>
        <x:v>No</x:v>
      </x:c>
      <x:c r="AE16" s="100" t="str">
        <x:f>IF('Master'!AF460="","",'Master'!AF460)</x:f>
        <x:v>No</x:v>
      </x:c>
      <x:c r="AF16" s="75" t="str">
        <x:f>IF('Master'!AG460="","",'Master'!AG460)</x:f>
        <x:v>Via integration possible</x:v>
      </x:c>
    </x:row>
    <x:row r="17" ht="36" customHeight="1">
      <x:c r="A17" s="135" t="str">
        <x:v>Federation / Cross-Instance Interop</x:v>
      </x:c>
      <x:c r="B17" s="100" t="str">
        <x:f>IF('Master'!C461="","",'Master'!C461)</x:f>
        <x:v>No</x:v>
      </x:c>
      <x:c r="C17" s="100" t="str">
        <x:f>IF('Master'!D461="","",'Master'!D461)</x:f>
        <x:v>Yes through relays/protocol</x:v>
      </x:c>
      <x:c r="D17" s="100" t="str">
        <x:f>IF('Master'!E461="","",'Master'!E461)</x:f>
        <x:v>Yes — messenger cross-home-server</x:v>
      </x:c>
      <x:c r="E17" s="100" t="str">
        <x:f>IF('Master'!F461="","",'Master'!F461)</x:f>
        <x:v>No</x:v>
      </x:c>
      <x:c r="F17" s="100" t="str">
        <x:f>IF('Master'!G461="","",'Master'!G461)</x:f>
        <x:v>No</x:v>
      </x:c>
      <x:c r="G17" s="100" t="str">
        <x:f>IF('Master'!H461="","",'Master'!H461)</x:f>
        <x:v>Not yet</x:v>
      </x:c>
      <x:c r="H17" s="100" t="str">
        <x:f>IF('Master'!I461="","",'Master'!I461)</x:f>
        <x:v>No</x:v>
      </x:c>
      <x:c r="I17" s="100" t="str">
        <x:f>IF('Master'!J461="","",'Master'!J461)</x:f>
        <x:v>Federation planned</x:v>
      </x:c>
      <x:c r="J17" s="100" t="str">
        <x:f>IF('Master'!K461="","",'Master'!K461)</x:f>
        <x:v>Relay-based interoperability</x:v>
      </x:c>
      <x:c r="K17" s="100" t="str">
        <x:f>IF('Master'!L461="","",'Master'!L461)</x:f>
        <x:v>Yes — kaede-fed/1 federation across homes</x:v>
      </x:c>
      <x:c r="L17" s="100" t="str">
        <x:f>IF('Master'!M461="","",'Master'!M461)</x:f>
        <x:v>No</x:v>
      </x:c>
      <x:c r="M17" s="100" t="str">
        <x:f>IF('Master'!N461="","",'Master'!N461)</x:f>
        <x:v>Federation/self-hosting</x:v>
      </x:c>
      <x:c r="N17" s="100" t="str">
        <x:f>IF('Master'!O461="","",'Master'!O461)</x:f>
        <x:v>Yes — native federation</x:v>
      </x:c>
      <x:c r="O17" s="100" t="str">
        <x:f>IF('Master'!P461="","",'Master'!P461)</x:f>
        <x:v>No</x:v>
      </x:c>
      <x:c r="P17" s="100" t="str">
        <x:f>IF('Master'!Q461="","",'Master'!Q461)</x:f>
        <x:v>No federation verified</x:v>
      </x:c>
      <x:c r="Q17" s="100" t="str">
        <x:f>IF('Master'!R461="","",'Master'!R461)</x:f>
        <x:v>No</x:v>
      </x:c>
      <x:c r="R17" s="100" t="str">
        <x:f>IF('Master'!S461="","",'Master'!S461)</x:f>
        <x:v>No</x:v>
      </x:c>
      <x:c r="S17" s="100" t="str">
        <x:f>IF('Master'!T461="","",'Master'!T461)</x:f>
        <x:v>No</x:v>
      </x:c>
      <x:c r="T17" s="100" t="str">
        <x:f>IF('Master'!U461="","",'Master'!U461)</x:f>
        <x:v>No</x:v>
      </x:c>
      <x:c r="U17" s="100" t="str">
        <x:f>IF('Master'!V461="","",'Master'!V461)</x:f>
        <x:v>No</x:v>
      </x:c>
      <x:c r="V17" s="100" t="str">
        <x:f>IF('Master'!W461="","",'Master'!W461)</x:f>
        <x:v>Yes — supported federation features</x:v>
      </x:c>
      <x:c r="W17" s="100" t="str">
        <x:f>IF('Master'!X461="","",'Master'!X461)</x:f>
        <x:v>ATProto federation</x:v>
      </x:c>
      <x:c r="X17" s="100" t="str">
        <x:f>IF('Master'!Y461="","",'Master'!Y461)</x:f>
        <x:v>No</x:v>
      </x:c>
      <x:c r="Y17" s="100" t="str">
        <x:f>IF('Master'!Z461="","",'Master'!Z461)</x:f>
        <x:v>No</x:v>
      </x:c>
      <x:c r="Z17" s="100" t="str">
        <x:f>IF('Master'!AA461="","",'Master'!AA461)</x:f>
        <x:v>No federation</x:v>
      </x:c>
      <x:c r="AA17" s="104" t="str">
        <x:f>IF('Master'!AB461="","",'Master'!AB461)</x:f>
        <x:v>No</x:v>
      </x:c>
      <x:c r="AB17" s="100" t="str">
        <x:f>IF('Master'!AC461="","",'Master'!AC461)</x:f>
        <x:v>Node/federation migration</x:v>
      </x:c>
      <x:c r="AC17" s="100" t="str">
        <x:f>IF('Master'!AD461="","",'Master'!AD461)</x:f>
        <x:v>Planned federation</x:v>
      </x:c>
      <x:c r="AD17" s="100" t="str">
        <x:f>IF('Master'!AE461="","",'Master'!AE461)</x:f>
        <x:v>No</x:v>
      </x:c>
      <x:c r="AE17" s="100" t="str">
        <x:f>IF('Master'!AF461="","",'Master'!AF461)</x:f>
        <x:v>No federation</x:v>
      </x:c>
      <x:c r="AF17" s="75" t="str">
        <x:f>IF('Master'!AG461="","",'Master'!AG461)</x:f>
        <x:v>No</x:v>
      </x:c>
    </x:row>
    <x:row r="18" ht="36" customHeight="1">
      <x:c r="A18" s="135" t="str">
        <x:v>Account Portability</x:v>
      </x:c>
      <x:c r="B18" s="100" t="str">
        <x:f>IF('Master'!C462="","",'Master'!C462)</x:f>
        <x:v>No</x:v>
      </x:c>
      <x:c r="C18" s="100" t="str">
        <x:f>IF('Master'!D462="","",'Master'!D462)</x:f>
        <x:v>Yes — keypair identity</x:v>
      </x:c>
      <x:c r="D18" s="100" t="str">
        <x:f>IF('Master'!E462="","",'Master'!E462)</x:f>
        <x:v>Yes</x:v>
      </x:c>
      <x:c r="E18" s="100" t="str">
        <x:f>IF('Master'!F462="","",'Master'!F462)</x:f>
        <x:v>No</x:v>
      </x:c>
      <x:c r="F18" s="100" t="str">
        <x:f>IF('Master'!G462="","",'Master'!G462)</x:f>
        <x:v>No</x:v>
      </x:c>
      <x:c r="G18" s="100" t="str">
        <x:f>IF('Master'!H462="","",'Master'!H462)</x:f>
        <x:v>No</x:v>
      </x:c>
      <x:c r="H18" s="100" t="str">
        <x:f>IF('Master'!I462="","",'Master'!I462)</x:f>
        <x:v>Limited</x:v>
      </x:c>
      <x:c r="I18" s="100" t="str">
        <x:f>IF('Master'!J462="","",'Master'!J462)</x:f>
        <x:v>Planned</x:v>
      </x:c>
      <x:c r="J18" s="100" t="str">
        <x:f>IF('Master'!K462="","",'Master'!K462)</x:f>
        <x:v>Yes — identity key portable</x:v>
      </x:c>
      <x:c r="K18" s="100" t="str">
        <x:f>IF('Master'!L462="","",'Master'!L462)</x:f>
        <x:v>One home account accesses federated resources; no cross-home account switcher/migration workflow documented</x:v>
      </x:c>
      <x:c r="L18" s="100" t="str">
        <x:f>IF('Master'!M462="","",'Master'!M462)</x:f>
        <x:v>No</x:v>
      </x:c>
      <x:c r="M18" s="100" t="str">
        <x:f>IF('Master'!N462="","",'Master'!N462)</x:f>
      </x:c>
      <x:c r="N18" s="100" t="str">
        <x:f>IF('Master'!O462="","",'Master'!O462)</x:f>
        <x:v>Partial — ID is homeserver-scoped; migration is not universally seamless</x:v>
      </x:c>
      <x:c r="O18" s="100" t="str">
        <x:f>IF('Master'!P462="","",'Master'!P462)</x:f>
        <x:v>No</x:v>
      </x:c>
      <x:c r="P18" s="100" t="str">
        <x:f>IF('Master'!Q462="","",'Master'!Q462)</x:f>
        <x:v>No</x:v>
      </x:c>
      <x:c r="Q18" s="100" t="str">
        <x:f>IF('Master'!R462="","",'Master'!R462)</x:f>
        <x:v>Certificates/bookmarks manually portable</x:v>
      </x:c>
      <x:c r="R18" s="100" t="str">
        <x:f>IF('Master'!S462="","",'Master'!S462)</x:f>
        <x:v>No</x:v>
      </x:c>
      <x:c r="S18" s="100" t="str">
        <x:f>IF('Master'!T462="","",'Master'!T462)</x:f>
        <x:v>No</x:v>
      </x:c>
      <x:c r="T18" s="100" t="str">
        <x:f>IF('Master'!U462="","",'Master'!U462)</x:f>
        <x:v>Export/self-host</x:v>
      </x:c>
      <x:c r="U18" s="100" t="str">
        <x:f>IF('Master'!V462="","",'Master'!V462)</x:f>
        <x:v>No</x:v>
      </x:c>
      <x:c r="V18" s="100" t="str">
        <x:f>IF('Master'!W462="","",'Master'!W462)</x:f>
        <x:v>Limited</x:v>
      </x:c>
      <x:c r="W18" s="100" t="str">
        <x:f>IF('Master'!X462="","",'Master'!X462)</x:f>
        <x:v>ATProto identity</x:v>
      </x:c>
      <x:c r="X18" s="100" t="str">
        <x:f>IF('Master'!Y462="","",'Master'!Y462)</x:f>
        <x:v>No</x:v>
      </x:c>
      <x:c r="Y18" s="100" t="str">
        <x:f>IF('Master'!Z462="","",'Master'!Z462)</x:f>
        <x:v>No</x:v>
      </x:c>
      <x:c r="Z18" s="100" t="str">
        <x:f>IF('Master'!AA462="","",'Master'!AA462)</x:f>
        <x:v>No</x:v>
      </x:c>
      <x:c r="AA18" s="104" t="str">
        <x:f>IF('Master'!AB462="","",'Master'!AB462)</x:f>
        <x:v>Limited</x:v>
      </x:c>
      <x:c r="AB18" s="100" t="str">
        <x:f>IF('Master'!AC462="","",'Master'!AC462)</x:f>
        <x:v>Community data/node migration</x:v>
      </x:c>
      <x:c r="AC18" s="100" t="str">
        <x:f>IF('Master'!AD462="","",'Master'!AD462)</x:f>
        <x:v>Planned</x:v>
      </x:c>
      <x:c r="AD18" s="100" t="str">
        <x:f>IF('Master'!AE462="","",'Master'!AE462)</x:f>
        <x:v>No</x:v>
      </x:c>
      <x:c r="AE18" s="100" t="str">
        <x:f>IF('Master'!AF462="","",'Master'!AF462)</x:f>
        <x:v>Server/operator migration</x:v>
      </x:c>
      <x:c r="AF18" s="75" t="str">
        <x:f>IF('Master'!AG462="","",'Master'!AG462)</x:f>
        <x:v>No cross-server account portability</x:v>
      </x:c>
    </x:row>
    <x:row r="19" ht="36" customHeight="1">
      <x:c r="A19" s="135" t="str">
        <x:v>Client Portability</x:v>
      </x:c>
      <x:c r="B19" s="100" t="str">
        <x:f>IF('Master'!C463="","",'Master'!C463)</x:f>
        <x:v>Official clients only</x:v>
      </x:c>
      <x:c r="C19" s="100" t="str">
        <x:f>IF('Master'!D463="","",'Master'!D463)</x:f>
        <x:v>Open client/protocol potential</x:v>
      </x:c>
      <x:c r="D19" s="100" t="str">
        <x:f>IF('Master'!E463="","",'Master'!E463)</x:f>
        <x:v>Open-source clients</x:v>
      </x:c>
      <x:c r="E19" s="100" t="str">
        <x:f>IF('Master'!F463="","",'Master'!F463)</x:f>
        <x:v>Official clients</x:v>
      </x:c>
      <x:c r="F19" s="100" t="str">
        <x:f>IF('Master'!G463="","",'Master'!G463)</x:f>
        <x:v>Single first-party client/service</x:v>
      </x:c>
      <x:c r="G19" s="100" t="str">
        <x:f>IF('Master'!H463="","",'Master'!H463)</x:f>
        <x:v>Open clients/self-host but no federation</x:v>
      </x:c>
      <x:c r="H19" s="100" t="str">
        <x:f>IF('Master'!I463="","",'Master'!I463)</x:f>
        <x:v>Official clients</x:v>
      </x:c>
      <x:c r="I19" s="100" t="str">
        <x:f>IF('Master'!J463="","",'Master'!J463)</x:f>
        <x:v>Yes — custom clients</x:v>
      </x:c>
      <x:c r="J19" s="100" t="str">
        <x:f>IF('Master'!K463="","",'Master'!K463)</x:f>
        <x:v>Single open-source client currently</x:v>
      </x:c>
      <x:c r="K19" s="100" t="str">
        <x:f>IF('Master'!L463="","",'Master'!L463)</x:f>
        <x:v>Official clients share the same server APIs; third-party portability is possible but ecosystem is nascent</x:v>
      </x:c>
      <x:c r="L19" s="100" t="str">
        <x:f>IF('Master'!M463="","",'Master'!M463)</x:f>
        <x:v>No</x:v>
      </x:c>
      <x:c r="M19" s="100" t="str">
        <x:f>IF('Master'!N463="","",'Master'!N463)</x:f>
      </x:c>
      <x:c r="N19" s="100" t="str">
        <x:f>IF('Master'!O463="","",'Master'!O463)</x:f>
        <x:v>Yes — switch clients freely against same Matrix account</x:v>
      </x:c>
      <x:c r="O19" s="100" t="str">
        <x:f>IF('Master'!P463="","",'Master'!P463)</x:f>
        <x:v>Official clients can connect to custom servers</x:v>
      </x:c>
      <x:c r="P19" s="100" t="str">
        <x:f>IF('Master'!Q463="","",'Master'!Q463)</x:f>
        <x:v>Open-source clients</x:v>
      </x:c>
      <x:c r="Q19" s="100" t="str">
        <x:f>IF('Master'!R463="","",'Master'!R463)</x:f>
        <x:v>Yes across Mumble-compatible clients</x:v>
      </x:c>
      <x:c r="R19" s="100" t="str">
        <x:f>IF('Master'!S463="","",'Master'!S463)</x:f>
        <x:v>Open-source clients possible</x:v>
      </x:c>
      <x:c r="S19" s="100" t="str">
        <x:f>IF('Master'!T463="","",'Master'!T463)</x:f>
        <x:v>Official clients</x:v>
      </x:c>
      <x:c r="T19" s="100" t="str">
        <x:f>IF('Master'!U463="","",'Master'!U463)</x:f>
        <x:v>Open source</x:v>
      </x:c>
      <x:c r="U19" s="100" t="str">
        <x:f>IF('Master'!V463="","",'Master'!V463)</x:f>
        <x:v>Official client</x:v>
      </x:c>
      <x:c r="V19" s="100" t="str">
        <x:f>IF('Master'!W463="","",'Master'!W463)</x:f>
        <x:v>Official clients can connect to custom servers</x:v>
      </x:c>
      <x:c r="W19" s="100" t="str">
        <x:f>IF('Master'!X463="","",'Master'!X463)</x:f>
        <x:v>Potentially via open protocol</x:v>
      </x:c>
      <x:c r="X19" s="100" t="str">
        <x:f>IF('Master'!Y463="","",'Master'!Y463)</x:f>
        <x:v>First-party clients</x:v>
      </x:c>
      <x:c r="Y19" s="100" t="str">
        <x:f>IF('Master'!Z463="","",'Master'!Z463)</x:f>
        <x:v>Potentially compatible clients</x:v>
      </x:c>
      <x:c r="Z19" s="100" t="str">
        <x:f>IF('Master'!AA463="","",'Master'!AA463)</x:f>
        <x:v>Limited — client custom-instance support is uneven</x:v>
      </x:c>
      <x:c r="AA19" s="104" t="str">
        <x:f>IF('Master'!AB463="","",'Master'!AB463)</x:f>
        <x:v>Official ecosystem</x:v>
      </x:c>
      <x:c r="AB19" s="100" t="str">
        <x:f>IF('Master'!AC463="","",'Master'!AC463)</x:f>
        <x:v>Open API/client</x:v>
      </x:c>
      <x:c r="AC19" s="100" t="str">
        <x:f>IF('Master'!AD463="","",'Master'!AD463)</x:f>
      </x:c>
      <x:c r="AD19" s="100" t="str">
        <x:f>IF('Master'!AE463="","",'Master'!AE463)</x:f>
        <x:v>Official client</x:v>
      </x:c>
      <x:c r="AE19" s="100" t="str">
        <x:f>IF('Master'!AF463="","",'Master'!AF463)</x:f>
        <x:v>Official client</x:v>
      </x:c>
      <x:c r="AF19" s="75" t="str">
        <x:f>IF('Master'!AG463="","",'Master'!AG463)</x:f>
        <x:v>Official clients can connect to custom servers</x:v>
      </x:c>
    </x:row>
    <x:row r="20" ht="36" customHeight="1">
      <x:c r="A20" s="135" t="str">
        <x:v>Interop Notes</x:v>
      </x:c>
      <x:c r="B20" s="100" t="str">
        <x:f>IF('Master'!C464="","",'Master'!C464)</x:f>
        <x:v>Discord is the source platform.</x:v>
      </x:c>
      <x:c r="C20" s="100" t="str">
        <x:f>IF('Master'!D464="","",'Master'!D464)</x:f>
        <x:v>Built-in Discord import covers server metadata, text/announcement channels, roles, custom emoji and eligible history; members/private/forum/media channels do not migrate. Optional bridge mirrors supported content both ways.</x:v>
      </x:c>
      <x:c r="D20" s="100" t="str">
        <x:f>IF('Master'!E464="","",'Master'!E464)</x:f>
        <x:v>Discord bridge is experimental/WIP; native cross-instance messenger is more mature.</x:v>
      </x:c>
      <x:c r="E20" s="100" t="str">
        <x:f>IF('Master'!F464="","",'Master'!F464)</x:f>
        <x:v>No migration/federation framework verified.</x:v>
      </x:c>
      <x:c r="F20" s="100" t="str">
        <x:f>IF('Master'!G464="","",'Master'!G464)</x:f>
        <x:v>Migration features are still alpha/roadmap.</x:v>
      </x:c>
      <x:c r="G20" s="100" t="str">
        <x:f>IF('Master'!H464="","",'Master'!H464)</x:f>
        <x:v>Roadmap includes federation; do not mark it available yet.</x:v>
      </x:c>
      <x:c r="H20" s="100" t="str">
        <x:f>IF('Master'!I464="","",'Master'!I464)</x:f>
        <x:v>Importer handles structural server migration, not message history.</x:v>
      </x:c>
      <x:c r="I20" s="100" t="str">
        <x:f>IF('Master'!J464="","",'Master'!J464)</x:f>
        <x:v>API compatibility is currently more mature than federation.</x:v>
      </x:c>
      <x:c r="J20" s="100" t="str">
        <x:f>IF('Master'!K464="","",'Master'!K464)</x:f>
        <x:v>Local-first portability is stronger than migration from Discord.</x:v>
      </x:c>
      <x:c r="K20" s="100" t="str">
        <x:f>IF('Master'!L464="","",'Master'!L464)</x:f>
        <x:v>Discord bridge copies live messages between paired plaintext channels; it is not a history importer.</x:v>
      </x:c>
      <x:c r="L20" s="100" t="str">
        <x:f>IF('Master'!M464="","",'Master'!M464)</x:f>
        <x:v>No migration/interop framework verified.</x:v>
      </x:c>
      <x:c r="M20" s="100" t="str">
        <x:f>IF('Master'!N464="","",'Master'!N464)</x:f>
        <x:v>Importer handles channels/categories/roles/permissions/emoji/bans/icon.</x:v>
      </x:c>
      <x:c r="N20" s="100" t="str">
        <x:f>IF('Master'!O464="","",'Master'!O464)</x:f>
        <x:v>Matrix is strongest here because interoperability is part of the protocol model, not a single-vendor feature.</x:v>
      </x:c>
      <x:c r="O20" s="100" t="str">
        <x:f>IF('Master'!P464="","",'Master'!P464)</x:f>
        <x:v>Strong admin migration/export tools, but not federation.</x:v>
      </x:c>
      <x:c r="P20" s="100" t="str">
        <x:f>IF('Master'!Q464="","",'Master'!Q464)</x:f>
        <x:v>Extensible API/integration focus rather than federation.</x:v>
      </x:c>
      <x:c r="Q20" s="100" t="str">
        <x:f>IF('Master'!R464="","",'Master'!R464)</x:f>
        <x:v>Voice protocol interoperability rather than social-platform migration.</x:v>
      </x:c>
      <x:c r="R20" s="100" t="str">
        <x:f>IF('Master'!S464="","",'Master'!S464)</x:f>
        <x:v>No built-in Discord migration/federation verified.</x:v>
      </x:c>
      <x:c r="S20" s="100" t="str">
        <x:f>IF('Master'!T464="","",'Master'!T464)</x:f>
        <x:v>Migration features exist, but exact data coverage is not comprehensively documented.</x:v>
      </x:c>
      <x:c r="T20" s="100" t="str">
        <x:f>IF('Master'!U464="","",'Master'!U464)</x:f>
        <x:v>Discord template import is layout-only: categories, channels and main permissions. Messages and members do not migrate.</x:v>
      </x:c>
      <x:c r="U20" s="100" t="str">
        <x:f>IF('Master'!V464="","",'Master'!V464)</x:f>
        <x:v>No migration/bridge framework verified.</x:v>
      </x:c>
      <x:c r="V20" s="100" t="str">
        <x:f>IF('Master'!W464="","",'Master'!W464)</x:f>
        <x:v>Federation is real but has explicit limitations such as no E2EE/calls in federated rooms.</x:v>
      </x:c>
      <x:c r="W20" s="100" t="str">
        <x:f>IF('Master'!X464="","",'Master'!X464)</x:f>
        <x:v>Discord bridge is first-class in the repo.</x:v>
      </x:c>
      <x:c r="X20" s="100" t="str">
        <x:f>IF('Master'!Y464="","",'Master'!Y464)</x:f>
        <x:v>Discord template import is structural only; it does not move messages, users, files, emojis, bots or webhooks.</x:v>
      </x:c>
      <x:c r="Y20" s="100" t="str">
        <x:f>IF('Master'!Z464="","",'Master'!Z464)</x:f>
        <x:v>Designed to make Discord clients/bots easier to reuse on a separate service.</x:v>
      </x:c>
      <x:c r="Z20" s="100" t="str">
        <x:f>IF('Master'!AA464="","",'Master'!AA464)</x:f>
        <x:v>Self-hosting exists but migration/interop tooling is still limited.</x:v>
      </x:c>
      <x:c r="AA20" s="104" t="str">
        <x:f>IF('Master'!AB464="","",'Master'!AB464)</x:f>
        <x:v>Independent servers are portable operationally, not federated socially.</x:v>
      </x:c>
      <x:c r="AB20" s="100" t="str">
        <x:f>IF('Master'!AC464="","",'Master'!AC464)</x:f>
        <x:v>Built-in importer is a major onboarding feature.</x:v>
      </x:c>
      <x:c r="AC20" s="100" t="str">
        <x:f>IF('Master'!AD464="","",'Master'!AD464)</x:f>
        <x:v>Open protocol direction should allow bridges, but current production interop is limited.</x:v>
      </x:c>
      <x:c r="AD20" s="100" t="str">
        <x:f>IF('Master'!AE464="","",'Master'!AE464)</x:f>
        <x:v>No Discord importer because product model intentionally differs.</x:v>
      </x:c>
      <x:c r="AE20" s="100" t="str">
        <x:f>IF('Master'!AF464="","",'Master'!AF464)</x:f>
        <x:v>Self-host control rather than cross-platform bridging.</x:v>
      </x:c>
      <x:c r="AF20" s="75" t="str">
        <x:f>IF('Master'!AG464="","",'Master'!AG464)</x:f>
        <x:v>Native importers focus on Slack, Mattermost and Rocket.Chat rather than Discord.</x:v>
      </x:c>
    </x:row>
    <x:row r="21" ht="22" customHeight="1">
      <x:c r="A21" s="138" t="str">
        <x:v>Additional Migration Objects</x:v>
      </x:c>
      <x:c r="B21" s="138" t="str">
        <x:f>IF(""="","","")</x:f>
      </x:c>
      <x:c r="C21" s="138" t="str">
        <x:f>IF(""="","","")</x:f>
      </x:c>
      <x:c r="D21" s="138" t="str">
        <x:f>IF(""="","","")</x:f>
      </x:c>
      <x:c r="E21" s="138" t="str">
        <x:f>IF(""="","","")</x:f>
      </x:c>
      <x:c r="F21" s="138" t="str">
        <x:f>IF(""="","","")</x:f>
      </x:c>
      <x:c r="G21" s="138" t="str">
        <x:f>IF(""="","","")</x:f>
      </x:c>
      <x:c r="H21" s="138" t="str">
        <x:f>IF(""="","","")</x:f>
      </x:c>
      <x:c r="I21" s="138" t="str">
        <x:f>IF(""="","","")</x:f>
      </x:c>
      <x:c r="J21" s="138" t="str">
        <x:f>IF(""="","","")</x:f>
      </x:c>
      <x:c r="K21" s="138" t="str">
        <x:f>IF(""="","","")</x:f>
      </x:c>
      <x:c r="L21" s="138" t="str">
        <x:f>IF(""="","","")</x:f>
      </x:c>
      <x:c r="M21" s="138" t="str">
        <x:f>IF(""="","","")</x:f>
      </x:c>
      <x:c r="N21" s="138" t="str">
        <x:f>IF(""="","","")</x:f>
      </x:c>
      <x:c r="O21" s="138" t="str">
        <x:f>IF(""="","","")</x:f>
      </x:c>
      <x:c r="P21" s="138" t="str">
        <x:f>IF(""="","","")</x:f>
      </x:c>
      <x:c r="Q21" s="138" t="str">
        <x:f>IF(""="","","")</x:f>
      </x:c>
      <x:c r="R21" s="138" t="str">
        <x:f>IF(""="","","")</x:f>
      </x:c>
      <x:c r="S21" s="138" t="str">
        <x:f>IF(""="","","")</x:f>
      </x:c>
      <x:c r="T21" s="138" t="str">
        <x:f>IF(""="","","")</x:f>
      </x:c>
      <x:c r="U21" s="138" t="str">
        <x:f>IF(""="","","")</x:f>
      </x:c>
      <x:c r="V21" s="138" t="str">
        <x:f>IF(""="","","")</x:f>
      </x:c>
      <x:c r="W21" s="138" t="str">
        <x:f>IF(""="","","")</x:f>
      </x:c>
      <x:c r="X21" s="138" t="str">
        <x:f>IF(""="","","")</x:f>
      </x:c>
      <x:c r="Y21" s="138" t="str">
        <x:f>IF(""="","","")</x:f>
      </x:c>
      <x:c r="Z21" s="138" t="str">
        <x:f>IF(""="","","")</x:f>
      </x:c>
      <x:c r="AA21" s="138" t="str">
        <x:f>IF(""="","","")</x:f>
      </x:c>
      <x:c r="AB21" s="138" t="str">
        <x:f>IF(""="","","")</x:f>
      </x:c>
      <x:c r="AC21" s="138" t="str">
        <x:f>IF(""="","","")</x:f>
      </x:c>
      <x:c r="AD21" s="138" t="str">
        <x:f>IF(""="","","")</x:f>
      </x:c>
      <x:c r="AE21" s="138" t="str">
        <x:f>IF(""="","","")</x:f>
      </x:c>
      <x:c r="AF21" s="139" t="str">
        <x:f>IF(""="","","")</x:f>
      </x:c>
    </x:row>
    <x:row r="22" ht="36" customHeight="1">
      <x:c r="A22" s="135" t="str">
        <x:v>Discord Categories Import</x:v>
      </x:c>
      <x:c r="B22" s="100" t="str">
        <x:f>IF('Master'!C465="","",'Master'!C465)</x:f>
        <x:v>N/A</x:v>
      </x:c>
      <x:c r="C22" s="100" t="str">
        <x:f>IF('Master'!D465="","",'Master'!D465)</x:f>
        <x:v>Yes — category grouping preserved</x:v>
      </x:c>
      <x:c r="D22" s="100" t="str">
        <x:f>IF('Master'!E465="","",'Master'!E465)</x:f>
      </x:c>
      <x:c r="E22" s="100" t="str">
        <x:f>IF('Master'!F465="","",'Master'!F465)</x:f>
      </x:c>
      <x:c r="F22" s="100" t="str">
        <x:f>IF('Master'!G465="","",'Master'!G465)</x:f>
      </x:c>
      <x:c r="G22" s="100" t="str">
        <x:f>IF('Master'!H465="","",'Master'!H465)</x:f>
      </x:c>
      <x:c r="H22" s="100" t="str">
        <x:f>IF('Master'!I465="","",'Master'!I465)</x:f>
      </x:c>
      <x:c r="I22" s="100" t="str">
        <x:f>IF('Master'!J465="","",'Master'!J465)</x:f>
      </x:c>
      <x:c r="J22" s="100" t="str">
        <x:f>IF('Master'!K465="","",'Master'!K465)</x:f>
      </x:c>
      <x:c r="K22" s="100" t="str">
        <x:f>IF('Master'!L465="","",'Master'!L465)</x:f>
        <x:v>No dedicated Discord server importer documented</x:v>
      </x:c>
      <x:c r="L22" s="100" t="str">
        <x:f>IF('Master'!M465="","",'Master'!M465)</x:f>
      </x:c>
      <x:c r="M22" s="100" t="str">
        <x:f>IF('Master'!N465="","",'Master'!N465)</x:f>
      </x:c>
      <x:c r="N22" s="100" t="str">
        <x:f>IF('Master'!O465="","",'Master'!O465)</x:f>
      </x:c>
      <x:c r="O22" s="100" t="str">
        <x:f>IF('Master'!P465="","",'Master'!P465)</x:f>
      </x:c>
      <x:c r="P22" s="100" t="str">
        <x:f>IF('Master'!Q465="","",'Master'!Q465)</x:f>
      </x:c>
      <x:c r="Q22" s="100" t="str">
        <x:f>IF('Master'!R465="","",'Master'!R465)</x:f>
      </x:c>
      <x:c r="R22" s="100" t="str">
        <x:f>IF('Master'!S465="","",'Master'!S465)</x:f>
      </x:c>
      <x:c r="S22" s="100" t="str">
        <x:f>IF('Master'!T465="","",'Master'!T465)</x:f>
      </x:c>
      <x:c r="T22" s="100" t="str">
        <x:f>IF('Master'!U465="","",'Master'!U465)</x:f>
        <x:v>Yes</x:v>
      </x:c>
      <x:c r="U22" s="100" t="str">
        <x:f>IF('Master'!V465="","",'Master'!V465)</x:f>
        <x:v>Yes — Discord template import preserves categories/order</x:v>
      </x:c>
      <x:c r="V22" s="100" t="str">
        <x:f>IF('Master'!W465="","",'Master'!W465)</x:f>
      </x:c>
      <x:c r="W22" s="100" t="str">
        <x:f>IF('Master'!X465="","",'Master'!X465)</x:f>
      </x:c>
      <x:c r="X22" s="100" t="str">
        <x:f>IF('Master'!Y465="","",'Master'!Y465)</x:f>
      </x:c>
      <x:c r="Y22" s="100" t="str">
        <x:f>IF('Master'!Z465="","",'Master'!Z465)</x:f>
      </x:c>
      <x:c r="Z22" s="100" t="str">
        <x:f>IF('Master'!AA465="","",'Master'!AA465)</x:f>
      </x:c>
      <x:c r="AA22" s="104" t="str">
        <x:f>IF('Master'!AB465="","",'Master'!AB465)</x:f>
      </x:c>
      <x:c r="AB22" s="100" t="str">
        <x:f>IF('Master'!AC465="","",'Master'!AC465)</x:f>
      </x:c>
      <x:c r="AC22" s="100" t="str">
        <x:f>IF('Master'!AD465="","",'Master'!AD465)</x:f>
      </x:c>
      <x:c r="AD22" s="100" t="str">
        <x:f>IF('Master'!AE465="","",'Master'!AE465)</x:f>
      </x:c>
      <x:c r="AE22" s="100" t="str">
        <x:f>IF('Master'!AF465="","",'Master'!AF465)</x:f>
      </x:c>
      <x:c r="AF22" s="75" t="str">
        <x:f>IF('Master'!AG465="","",'Master'!AG465)</x:f>
      </x:c>
    </x:row>
    <x:row r="23" ht="36" customHeight="1">
      <x:c r="A23" s="135" t="str">
        <x:v>Discord Forum Tags Import</x:v>
      </x:c>
      <x:c r="B23" s="100" t="str">
        <x:f>IF('Master'!C466="","",'Master'!C466)</x:f>
        <x:v>N/A</x:v>
      </x:c>
      <x:c r="C23" s="100" t="str">
        <x:f>IF('Master'!D466="","",'Master'!D466)</x:f>
      </x:c>
      <x:c r="D23" s="100" t="str">
        <x:f>IF('Master'!E466="","",'Master'!E466)</x:f>
      </x:c>
      <x:c r="E23" s="100" t="str">
        <x:f>IF('Master'!F466="","",'Master'!F466)</x:f>
      </x:c>
      <x:c r="F23" s="100" t="str">
        <x:f>IF('Master'!G466="","",'Master'!G466)</x:f>
      </x:c>
      <x:c r="G23" s="100" t="str">
        <x:f>IF('Master'!H466="","",'Master'!H466)</x:f>
      </x:c>
      <x:c r="H23" s="100" t="str">
        <x:f>IF('Master'!I466="","",'Master'!I466)</x:f>
      </x:c>
      <x:c r="I23" s="100" t="str">
        <x:f>IF('Master'!J466="","",'Master'!J466)</x:f>
      </x:c>
      <x:c r="J23" s="100" t="str">
        <x:f>IF('Master'!K466="","",'Master'!K466)</x:f>
      </x:c>
      <x:c r="K23" s="100" t="str">
        <x:f>IF('Master'!L466="","",'Master'!L466)</x:f>
        <x:v>No dedicated Discord server importer documented</x:v>
      </x:c>
      <x:c r="L23" s="100" t="str">
        <x:f>IF('Master'!M466="","",'Master'!M466)</x:f>
      </x:c>
      <x:c r="M23" s="100" t="str">
        <x:f>IF('Master'!N466="","",'Master'!N466)</x:f>
      </x:c>
      <x:c r="N23" s="100" t="str">
        <x:f>IF('Master'!O466="","",'Master'!O466)</x:f>
      </x:c>
      <x:c r="O23" s="100" t="str">
        <x:f>IF('Master'!P466="","",'Master'!P466)</x:f>
      </x:c>
      <x:c r="P23" s="100" t="str">
        <x:f>IF('Master'!Q466="","",'Master'!Q466)</x:f>
      </x:c>
      <x:c r="Q23" s="100" t="str">
        <x:f>IF('Master'!R466="","",'Master'!R466)</x:f>
      </x:c>
      <x:c r="R23" s="100" t="str">
        <x:f>IF('Master'!S466="","",'Master'!S466)</x:f>
      </x:c>
      <x:c r="S23" s="100" t="str">
        <x:f>IF('Master'!T466="","",'Master'!T466)</x:f>
      </x:c>
      <x:c r="T23" s="100" t="str">
        <x:f>IF('Master'!U466="","",'Master'!U466)</x:f>
      </x:c>
      <x:c r="U23" s="100" t="str">
        <x:f>IF('Master'!V466="","",'Master'!V466)</x:f>
        <x:v>Yes — template import includes forum tags</x:v>
      </x:c>
      <x:c r="V23" s="100" t="str">
        <x:f>IF('Master'!W466="","",'Master'!W466)</x:f>
      </x:c>
      <x:c r="W23" s="100" t="str">
        <x:f>IF('Master'!X466="","",'Master'!X466)</x:f>
      </x:c>
      <x:c r="X23" s="100" t="str">
        <x:f>IF('Master'!Y466="","",'Master'!Y466)</x:f>
      </x:c>
      <x:c r="Y23" s="100" t="str">
        <x:f>IF('Master'!Z466="","",'Master'!Z466)</x:f>
      </x:c>
      <x:c r="Z23" s="100" t="str">
        <x:f>IF('Master'!AA466="","",'Master'!AA466)</x:f>
      </x:c>
      <x:c r="AA23" s="104" t="str">
        <x:f>IF('Master'!AB466="","",'Master'!AB466)</x:f>
      </x:c>
      <x:c r="AB23" s="100" t="str">
        <x:f>IF('Master'!AC466="","",'Master'!AC466)</x:f>
      </x:c>
      <x:c r="AC23" s="100" t="str">
        <x:f>IF('Master'!AD466="","",'Master'!AD466)</x:f>
      </x:c>
      <x:c r="AD23" s="100" t="str">
        <x:f>IF('Master'!AE466="","",'Master'!AE466)</x:f>
      </x:c>
      <x:c r="AE23" s="100" t="str">
        <x:f>IF('Master'!AF466="","",'Master'!AF466)</x:f>
      </x:c>
      <x:c r="AF23" s="75" t="str">
        <x:f>IF('Master'!AG466="","",'Master'!AG466)</x:f>
      </x:c>
    </x:row>
    <x:row r="24" ht="36" customHeight="1">
      <x:c r="A24" s="135" t="str">
        <x:v>Discord Webhook Format Compatibility</x:v>
      </x:c>
      <x:c r="B24" s="100" t="str">
        <x:f>IF('Master'!C467="","",'Master'!C467)</x:f>
        <x:v>N/A</x:v>
      </x:c>
      <x:c r="C24" s="100" t="str">
        <x:f>IF('Master'!D467="","",'Master'!D467)</x:f>
      </x:c>
      <x:c r="D24" s="100" t="str">
        <x:f>IF('Master'!E467="","",'Master'!E467)</x:f>
      </x:c>
      <x:c r="E24" s="100" t="str">
        <x:f>IF('Master'!F467="","",'Master'!F467)</x:f>
      </x:c>
      <x:c r="F24" s="100" t="str">
        <x:f>IF('Master'!G467="","",'Master'!G467)</x:f>
      </x:c>
      <x:c r="G24" s="100" t="str">
        <x:f>IF('Master'!H467="","",'Master'!H467)</x:f>
      </x:c>
      <x:c r="H24" s="100" t="str">
        <x:f>IF('Master'!I467="","",'Master'!I467)</x:f>
      </x:c>
      <x:c r="I24" s="100" t="str">
        <x:f>IF('Master'!J467="","",'Master'!J467)</x:f>
      </x:c>
      <x:c r="J24" s="100" t="str">
        <x:f>IF('Master'!K467="","",'Master'!K467)</x:f>
      </x:c>
      <x:c r="K24" s="100" t="str">
        <x:f>IF('Master'!L467="","",'Master'!L467)</x:f>
        <x:v>No Discord webhook-format compatibility claim; Kaede has its own incoming webhook model</x:v>
      </x:c>
      <x:c r="L24" s="100" t="str">
        <x:f>IF('Master'!M467="","",'Master'!M467)</x:f>
      </x:c>
      <x:c r="M24" s="100" t="str">
        <x:f>IF('Master'!N467="","",'Master'!N467)</x:f>
      </x:c>
      <x:c r="N24" s="100" t="str">
        <x:f>IF('Master'!O467="","",'Master'!O467)</x:f>
      </x:c>
      <x:c r="O24" s="100" t="str">
        <x:f>IF('Master'!P467="","",'Master'!P467)</x:f>
      </x:c>
      <x:c r="P24" s="100" t="str">
        <x:f>IF('Master'!Q467="","",'Master'!Q467)</x:f>
      </x:c>
      <x:c r="Q24" s="100" t="str">
        <x:f>IF('Master'!R467="","",'Master'!R467)</x:f>
      </x:c>
      <x:c r="R24" s="100" t="str">
        <x:f>IF('Master'!S467="","",'Master'!S467)</x:f>
      </x:c>
      <x:c r="S24" s="100" t="str">
        <x:f>IF('Master'!T467="","",'Master'!T467)</x:f>
      </x:c>
      <x:c r="T24" s="100" t="str">
        <x:f>IF('Master'!U467="","",'Master'!U467)</x:f>
        <x:v>Yes — incoming Discord-compatible webhooks</x:v>
      </x:c>
      <x:c r="U24" s="100" t="str">
        <x:f>IF('Master'!V467="","",'Master'!V467)</x:f>
        <x:v>Yes — incoming webhooks accept Discord format</x:v>
      </x:c>
      <x:c r="V24" s="100" t="str">
        <x:f>IF('Master'!W467="","",'Master'!W467)</x:f>
      </x:c>
      <x:c r="W24" s="100" t="str">
        <x:f>IF('Master'!X467="","",'Master'!X467)</x:f>
      </x:c>
      <x:c r="X24" s="100" t="str">
        <x:f>IF('Master'!Y467="","",'Master'!Y467)</x:f>
      </x:c>
      <x:c r="Y24" s="100" t="str">
        <x:f>IF('Master'!Z467="","",'Master'!Z467)</x:f>
      </x:c>
      <x:c r="Z24" s="100" t="str">
        <x:f>IF('Master'!AA467="","",'Master'!AA467)</x:f>
      </x:c>
      <x:c r="AA24" s="104" t="str">
        <x:f>IF('Master'!AB467="","",'Master'!AB467)</x:f>
      </x:c>
      <x:c r="AB24" s="100" t="str">
        <x:f>IF('Master'!AC467="","",'Master'!AC467)</x:f>
      </x:c>
      <x:c r="AC24" s="100" t="str">
        <x:f>IF('Master'!AD467="","",'Master'!AD467)</x:f>
      </x:c>
      <x:c r="AD24" s="100" t="str">
        <x:f>IF('Master'!AE467="","",'Master'!AE467)</x:f>
      </x:c>
      <x:c r="AE24" s="100" t="str">
        <x:f>IF('Master'!AF467="","",'Master'!AF467)</x:f>
      </x:c>
      <x:c r="AF24" s="75" t="str">
        <x:f>IF('Master'!AG467="","",'Master'!AG467)</x:f>
      </x:c>
    </x:row>
    <x:row r="25" ht="36" customHeight="1">
      <x:c r="A25" s="135" t="str">
        <x:v>Self-Host to Hosted Migration Tooling</x:v>
      </x:c>
      <x:c r="B25" s="100" t="str">
        <x:f>IF('Master'!C468="","",'Master'!C468)</x:f>
      </x:c>
      <x:c r="C25" s="100" t="str">
        <x:f>IF('Master'!D468="","",'Master'!D468)</x:f>
      </x:c>
      <x:c r="D25" s="100" t="str">
        <x:f>IF('Master'!E468="","",'Master'!E468)</x:f>
      </x:c>
      <x:c r="E25" s="100" t="str">
        <x:f>IF('Master'!F468="","",'Master'!F468)</x:f>
      </x:c>
      <x:c r="F25" s="100" t="str">
        <x:f>IF('Master'!G468="","",'Master'!G468)</x:f>
      </x:c>
      <x:c r="G25" s="100" t="str">
        <x:f>IF('Master'!H468="","",'Master'!H468)</x:f>
      </x:c>
      <x:c r="H25" s="100" t="str">
        <x:f>IF('Master'!I468="","",'Master'!I468)</x:f>
      </x:c>
      <x:c r="I25" s="100" t="str">
        <x:f>IF('Master'!J468="","",'Master'!J468)</x:f>
      </x:c>
      <x:c r="J25" s="100" t="str">
        <x:f>IF('Master'!K468="","",'Master'!K468)</x:f>
      </x:c>
      <x:c r="K25" s="100" t="str">
        <x:f>IF('Master'!L468="","",'Master'!L468)</x:f>
        <x:v>No hosted↔self-host migration tooling documented</x:v>
      </x:c>
      <x:c r="L25" s="100" t="str">
        <x:f>IF('Master'!M468="","",'Master'!M468)</x:f>
      </x:c>
      <x:c r="M25" s="100" t="str">
        <x:f>IF('Master'!N468="","",'Master'!N468)</x:f>
      </x:c>
      <x:c r="N25" s="100" t="str">
        <x:f>IF('Master'!O468="","",'Master'!O468)</x:f>
      </x:c>
      <x:c r="O25" s="100" t="str">
        <x:f>IF('Master'!P468="","",'Master'!P468)</x:f>
      </x:c>
      <x:c r="P25" s="100" t="str">
        <x:f>IF('Master'!Q468="","",'Master'!Q468)</x:f>
      </x:c>
      <x:c r="Q25" s="100" t="str">
        <x:f>IF('Master'!R468="","",'Master'!R468)</x:f>
      </x:c>
      <x:c r="R25" s="100" t="str">
        <x:f>IF('Master'!S468="","",'Master'!S468)</x:f>
      </x:c>
      <x:c r="S25" s="100" t="str">
        <x:f>IF('Master'!T468="","",'Master'!T468)</x:f>
      </x:c>
      <x:c r="T25" s="100" t="str">
        <x:f>IF('Master'!U468="","",'Master'!U468)</x:f>
        <x:v>No migration tooling claim provided</x:v>
      </x:c>
      <x:c r="U25" s="100" t="str">
        <x:f>IF('Master'!V468="","",'Master'!V468)</x:f>
        <x:v>N/A — no public self-hosting</x:v>
      </x:c>
      <x:c r="V25" s="100" t="str">
        <x:f>IF('Master'!W468="","",'Master'!W468)</x:f>
      </x:c>
      <x:c r="W25" s="100" t="str">
        <x:f>IF('Master'!X468="","",'Master'!X468)</x:f>
      </x:c>
      <x:c r="X25" s="100" t="str">
        <x:f>IF('Master'!Y468="","",'Master'!Y468)</x:f>
      </x:c>
      <x:c r="Y25" s="100" t="str">
        <x:f>IF('Master'!Z468="","",'Master'!Z468)</x:f>
      </x:c>
      <x:c r="Z25" s="100" t="str">
        <x:f>IF('Master'!AA468="","",'Master'!AA468)</x:f>
      </x:c>
      <x:c r="AA25" s="104" t="str">
        <x:f>IF('Master'!AB468="","",'Master'!AB468)</x:f>
      </x:c>
      <x:c r="AB25" s="100" t="str">
        <x:f>IF('Master'!AC468="","",'Master'!AC468)</x:f>
      </x:c>
      <x:c r="AC25" s="100" t="str">
        <x:f>IF('Master'!AD468="","",'Master'!AD468)</x:f>
      </x:c>
      <x:c r="AD25" s="100" t="str">
        <x:f>IF('Master'!AE468="","",'Master'!AE468)</x:f>
      </x:c>
      <x:c r="AE25" s="100" t="str">
        <x:f>IF('Master'!AF468="","",'Master'!AF468)</x:f>
      </x:c>
      <x:c r="AF25" s="75" t="str">
        <x:f>IF('Master'!AG468="","",'Master'!AG468)</x:f>
      </x:c>
    </x:row>
  </x:sheetData>
  <x:mergeCells>
    <x:mergeCell ref="A1:AF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Directory'!A1","Security &amp; Privacy"),"Security &amp; Privacy")</x:f>
        <x:v>Security &amp; Privacy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Encryption in Transit (TLS 1.3)</x:v>
      </x:c>
      <x:c r="B3" s="100" t="str">
        <x:f>IF('Master'!C469="","",'Master'!C469)</x:f>
      </x:c>
      <x:c r="C3" s="100" t="str">
        <x:f>IF('Master'!D469="","",'Master'!D469)</x:f>
        <x:v>TLS + Nostr relay transport</x:v>
      </x:c>
      <x:c r="D3" s="100" t="str">
        <x:f>IF('Master'!E469="","",'Master'!E469)</x:f>
        <x:v>TLS required for network access</x:v>
      </x:c>
      <x:c r="E3" s="100" t="str">
        <x:f>IF('Master'!F469="","",'Master'!F469)</x:f>
        <x:v>TLS</x:v>
      </x:c>
      <x:c r="F3" s="100" t="str">
        <x:f>IF('Master'!G469="","",'Master'!G469)</x:f>
        <x:v>TLS in transit</x:v>
      </x:c>
      <x:c r="G3" s="100" t="str">
        <x:f>IF('Master'!H469="","",'Master'!H469)</x:f>
        <x:v>Encrypted in transit; at rest for stored content</x:v>
      </x:c>
      <x:c r="H3" s="100" t="str">
        <x:f>IF('Master'!I469="","",'Master'!I469)</x:f>
        <x:v>TLS in transit</x:v>
      </x:c>
      <x:c r="I3" s="100" t="str">
        <x:f>IF('Master'!J469="","",'Master'!J469)</x:f>
        <x:v>TLS when deployed</x:v>
      </x:c>
      <x:c r="J3" s="100" t="str">
        <x:f>IF('Master'!K469="","",'Master'!K469)</x:f>
        <x:v>TLS relays + end-to-end crypto</x:v>
      </x:c>
      <x:c r="K3" s="100" t="str">
        <x:f>IF('Master'!L469="","",'Master'!L469)</x:f>
        <x:v>Yes — HTTPS/TLS required for production</x:v>
      </x:c>
      <x:c r="L3" s="100" t="str">
        <x:f>IF('Master'!M469="","",'Master'!M469)</x:f>
        <x:v>TLS</x:v>
      </x:c>
      <x:c r="M3" s="100" t="str">
        <x:f>IF('Master'!N469="","",'Master'!N469)</x:f>
        <x:v>TLS</x:v>
      </x:c>
      <x:c r="N3" s="100" t="str">
        <x:f>IF('Master'!O469="","",'Master'!O469)</x:f>
        <x:v>HTTPS/TLS transport; implementation-dependent TLS configuration</x:v>
      </x:c>
      <x:c r="O3" s="100" t="str">
        <x:f>IF('Master'!P469="","",'Master'!P469)</x:f>
        <x:v>TLS configurable; enterprise deployment-controlled</x:v>
      </x:c>
      <x:c r="P3" s="100" t="str">
        <x:f>IF('Master'!Q469="","",'Master'!Q469)</x:f>
        <x:v>TLS</x:v>
      </x:c>
      <x:c r="Q3" s="100" t="str">
        <x:f>IF('Master'!R469="","",'Master'!R469)</x:f>
        <x:v>TLS control channel + encrypted voice transport</x:v>
      </x:c>
      <x:c r="R3" s="100" t="str">
        <x:f>IF('Master'!S469="","",'Master'!S469)</x:f>
        <x:v>TLS in transit</x:v>
      </x:c>
      <x:c r="S3" s="100" t="str">
        <x:f>IF('Master'!T469="","",'Master'!T469)</x:f>
        <x:v>TLS/encrypted connections</x:v>
      </x:c>
      <x:c r="T3" s="100" t="str">
        <x:f>IF('Master'!U469="","",'Master'!U469)</x:f>
        <x:v>Yes — TLS in transit; TLS 1.3 specifically not claimed</x:v>
      </x:c>
      <x:c r="U3" s="100" t="str">
        <x:f>IF('Master'!V469="","",'Master'!V469)</x:f>
        <x:v>TLS</x:v>
      </x:c>
      <x:c r="V3" s="100" t="str">
        <x:f>IF('Master'!W469="","",'Master'!W469)</x:f>
        <x:v>TLS in transit configurable</x:v>
      </x:c>
      <x:c r="W3" s="100" t="str">
        <x:f>IF('Master'!X469="","",'Master'!X469)</x:f>
        <x:v>TLS</x:v>
      </x:c>
      <x:c r="X3" s="100" t="str">
        <x:f>IF('Master'!Y469="","",'Master'!Y469)</x:f>
        <x:v>TLS in transit</x:v>
      </x:c>
      <x:c r="Y3" s="100" t="str">
        <x:f>IF('Master'!Z469="","",'Master'!Z469)</x:f>
        <x:v>TLS when correctly deployed; operator-controlled</x:v>
      </x:c>
      <x:c r="Z3" s="100" t="str">
        <x:f>IF('Master'!AA469="","",'Master'!AA469)</x:f>
        <x:v>TLS in transit</x:v>
      </x:c>
      <x:c r="AA3" s="104" t="str">
        <x:f>IF('Master'!AB469="","",'Master'!AB469)</x:f>
        <x:v>Encrypted transport</x:v>
      </x:c>
      <x:c r="AB3" s="100" t="str">
        <x:f>IF('Master'!AC469="","",'Master'!AC469)</x:f>
        <x:v>TLS</x:v>
      </x:c>
      <x:c r="AC3" s="100" t="str">
        <x:f>IF('Master'!AD469="","",'Master'!AD469)</x:f>
        <x:v>TLS</x:v>
      </x:c>
      <x:c r="AD3" s="100" t="str">
        <x:f>IF('Master'!AE469="","",'Master'!AE469)</x:f>
        <x:v>TLS</x:v>
      </x:c>
      <x:c r="AE3" s="100" t="str">
        <x:f>IF('Master'!AF469="","",'Master'!AF469)</x:f>
        <x:v>TLS</x:v>
      </x:c>
      <x:c r="AF3" s="75" t="str">
        <x:f>IF('Master'!AG469="","",'Master'!AG469)</x:f>
        <x:v>TLS in transit</x:v>
      </x:c>
    </x:row>
    <x:row r="4" ht="36" customHeight="1">
      <x:c r="A4" s="135" t="str">
        <x:v>E2EE 1:1 DMs</x:v>
      </x:c>
      <x:c r="B4" s="100" t="str">
        <x:f>IF('Master'!C470="","",'Master'!C470)</x:f>
        <x:v>No for text DMs; DM voice/video calls are E2EE</x:v>
      </x:c>
      <x:c r="C4" s="100" t="str">
        <x:f>IF('Master'!D470="","",'Master'!D470)</x:f>
        <x:v>Yes — E2EE community/DM design</x:v>
      </x:c>
      <x:c r="D4" s="100" t="str">
        <x:f>IF('Master'!E470="","",'Master'!E470)</x:f>
        <x:v>Yes — desktop server DMs can be E2EE; decentralized messenger always E2EE</x:v>
      </x:c>
      <x:c r="E4" s="100" t="str">
        <x:f>IF('Master'!F470="","",'Master'!F470)</x:f>
        <x:v>No E2EE text claim</x:v>
      </x:c>
      <x:c r="F4" s="100" t="str">
        <x:f>IF('Master'!G470="","",'Master'!G470)</x:f>
        <x:v>Yes — DM text E2EE by default</x:v>
      </x:c>
      <x:c r="G4" s="100" t="str">
        <x:f>IF('Master'!H470="","",'Master'!H470)</x:f>
        <x:v>No — latest 2026 privacy policy says nothing is E2EE yet</x:v>
      </x:c>
      <x:c r="H4" s="100" t="str">
        <x:f>IF('Master'!I470="","",'Master'!I470)</x:f>
        <x:v>No text E2EE claim</x:v>
      </x:c>
      <x:c r="I4" s="100" t="str">
        <x:f>IF('Master'!J470="","",'Master'!J470)</x:f>
        <x:v>Yes — vodozemac-backed E2EE live</x:v>
      </x:c>
      <x:c r="J4" s="100" t="str">
        <x:f>IF('Master'!K470="","",'Master'!K470)</x:f>
        <x:v>Yes</x:v>
      </x:c>
      <x:c r="K4" s="100" t="str">
        <x:f>IF('Master'!L470="","",'Master'!L470)</x:f>
        <x:v>Yes — optional room/DM MLS 1.0</x:v>
      </x:c>
      <x:c r="L4" s="100" t="str">
        <x:f>IF('Master'!M470="","",'Master'!M470)</x:f>
        <x:v>E2EE not yet verified/currently WIP</x:v>
      </x:c>
      <x:c r="M4" s="100" t="str">
        <x:f>IF('Master'!N470="","",'Master'!N470)</x:f>
      </x:c>
      <x:c r="N4" s="100" t="str">
        <x:f>IF('Master'!O470="","",'Master'!O470)</x:f>
        <x:v>Supported by Matrix E2EE; default behavior is client-dependent</x:v>
      </x:c>
      <x:c r="O4" s="100" t="str">
        <x:f>IF('Master'!P470="","",'Master'!P470)</x:f>
        <x:v>No native E2EE for server-stored messages</x:v>
      </x:c>
      <x:c r="P4" s="100" t="str">
        <x:f>IF('Master'!Q470="","",'Master'!Q470)</x:f>
        <x:v>E2EE claimed</x:v>
      </x:c>
      <x:c r="Q4" s="100" t="str">
        <x:f>IF('Master'!R470="","",'Master'!R470)</x:f>
        <x:v>N/A — not a Discord-style persistent DM platform</x:v>
      </x:c>
      <x:c r="R4" s="100" t="str">
        <x:f>IF('Master'!S470="","",'Master'!S470)</x:f>
        <x:v>No public default E2EE verified</x:v>
      </x:c>
      <x:c r="S4" s="100" t="str">
        <x:f>IF('Master'!T470="","",'Master'!T470)</x:f>
        <x:v>No E2EE text claim</x:v>
      </x:c>
      <x:c r="T4" s="100" t="str">
        <x:f>IF('Master'!U470="","",'Master'!U470)</x:f>
        <x:v>No — not marketed as an E2EE product feature</x:v>
      </x:c>
      <x:c r="U4" s="100" t="str">
        <x:f>IF('Master'!V470="","",'Master'!V470)</x:f>
        <x:v>Yes — DM text E2EE (Signal-style X3DH/Double Ratchet)</x:v>
      </x:c>
      <x:c r="V4" s="100" t="str">
        <x:f>IF('Master'!W470="","",'Master'!W470)</x:f>
        <x:v>E2EE available for certain conversations but deployment/client constraints apply</x:v>
      </x:c>
      <x:c r="W4" s="100" t="str">
        <x:f>IF('Master'!X470="","",'Master'!X470)</x:f>
        <x:v>No E2EE chat claim verified</x:v>
      </x:c>
      <x:c r="X4" s="100" t="str">
        <x:f>IF('Master'!Y470="","",'Master'!Y470)</x:f>
        <x:v>No text E2EE disclosed</x:v>
      </x:c>
      <x:c r="Y4" s="100" t="str">
        <x:f>IF('Master'!Z470="","",'Master'!Z470)</x:f>
        <x:v>No documented default text E2EE</x:v>
      </x:c>
      <x:c r="Z4" s="100" t="str">
        <x:f>IF('Master'!AA470="","",'Master'!AA470)</x:f>
        <x:v>No default text E2EE verified</x:v>
      </x:c>
      <x:c r="AA4" s="104" t="str">
        <x:f>IF('Master'!AB470="","",'Master'!AB470)</x:f>
      </x:c>
      <x:c r="AB4" s="100" t="str">
        <x:f>IF('Master'!AC470="","",'Master'!AC470)</x:f>
        <x:v>No default E2EE claim</x:v>
      </x:c>
      <x:c r="AC4" s="100" t="str">
        <x:f>IF('Master'!AD470="","",'Master'!AD470)</x:f>
        <x:v>Default unencrypted; per-conversation E2EE planned/opt-in</x:v>
      </x:c>
      <x:c r="AD4" s="100" t="str">
        <x:f>IF('Master'!AE470="","",'Master'!AE470)</x:f>
        <x:v>No E2EE text claim</x:v>
      </x:c>
      <x:c r="AE4" s="100" t="str">
        <x:f>IF('Master'!AF470="","",'Master'!AF470)</x:f>
        <x:v>Server/operator controlled; E2EE not claimed</x:v>
      </x:c>
      <x:c r="AF4" s="75" t="str">
        <x:f>IF('Master'!AG470="","",'Master'!AG470)</x:f>
        <x:v>No native E2EE for server-stored chat</x:v>
      </x:c>
    </x:row>
    <x:row r="5" ht="36" customHeight="1">
      <x:c r="A5" s="135" t="str">
        <x:v>E2EE Group DMs</x:v>
      </x:c>
      <x:c r="B5" s="100" t="str">
        <x:f>IF('Master'!C471="","",'Master'!C471)</x:f>
        <x:v>No for text Group DMs; GDM voice/video calls are E2EE</x:v>
      </x:c>
      <x:c r="C5" s="100" t="str">
        <x:f>IF('Master'!D471="","",'Master'!D471)</x:f>
      </x:c>
      <x:c r="D5" s="100" t="str">
        <x:f>IF('Master'!E471="","",'Master'!E471)</x:f>
      </x:c>
      <x:c r="E5" s="100" t="str">
        <x:f>IF('Master'!F471="","",'Master'!F471)</x:f>
        <x:v>No</x:v>
      </x:c>
      <x:c r="F5" s="100" t="str">
        <x:f>IF('Master'!G471="","",'Master'!G471)</x:f>
      </x:c>
      <x:c r="G5" s="100" t="str">
        <x:f>IF('Master'!H471="","",'Master'!H471)</x:f>
        <x:v>No</x:v>
      </x:c>
      <x:c r="H5" s="100" t="str">
        <x:f>IF('Master'!I471="","",'Master'!I471)</x:f>
        <x:v>No text E2EE claim</x:v>
      </x:c>
      <x:c r="I5" s="100" t="str">
        <x:f>IF('Master'!J471="","",'Master'!J471)</x:f>
        <x:v>Not publicly claimed</x:v>
      </x:c>
      <x:c r="J5" s="100" t="str">
        <x:f>IF('Master'!K471="","",'Master'!K471)</x:f>
        <x:v>Yes</x:v>
      </x:c>
      <x:c r="K5" s="100" t="str">
        <x:f>IF('Master'!L471="","",'Master'!L471)</x:f>
        <x:v>Yes — optional room/DM MLS 1.0</x:v>
      </x:c>
      <x:c r="L5" s="100" t="str">
        <x:f>IF('Master'!M471="","",'Master'!M471)</x:f>
      </x:c>
      <x:c r="M5" s="100" t="str">
        <x:f>IF('Master'!N471="","",'Master'!N471)</x:f>
      </x:c>
      <x:c r="N5" s="100" t="str">
        <x:f>IF('Master'!O471="","",'Master'!O471)</x:f>
        <x:v>Supported in encrypted rooms; default client behavior varies</x:v>
      </x:c>
      <x:c r="O5" s="100" t="str">
        <x:f>IF('Master'!P471="","",'Master'!P471)</x:f>
        <x:v>No</x:v>
      </x:c>
      <x:c r="P5" s="100" t="str">
        <x:f>IF('Master'!Q471="","",'Master'!Q471)</x:f>
        <x:v>E2EE claimed</x:v>
      </x:c>
      <x:c r="Q5" s="100" t="str">
        <x:f>IF('Master'!R471="","",'Master'!R471)</x:f>
        <x:v>N/A</x:v>
      </x:c>
      <x:c r="R5" s="100" t="str">
        <x:f>IF('Master'!S471="","",'Master'!S471)</x:f>
        <x:v>No</x:v>
      </x:c>
      <x:c r="S5" s="100" t="str">
        <x:f>IF('Master'!T471="","",'Master'!T471)</x:f>
        <x:v>No</x:v>
      </x:c>
      <x:c r="T5" s="100" t="str">
        <x:f>IF('Master'!U471="","",'Master'!U471)</x:f>
        <x:v>No — not marketed as an E2EE product feature</x:v>
      </x:c>
      <x:c r="U5" s="100" t="str">
        <x:f>IF('Master'!V471="","",'Master'!V471)</x:f>
        <x:v>No — group chats / Splinters are encrypted at rest, not E2EE</x:v>
      </x:c>
      <x:c r="V5" s="100" t="str">
        <x:f>IF('Master'!W471="","",'Master'!W471)</x:f>
        <x:v>E2EE support exists; exact group behavior/version-dependent</x:v>
      </x:c>
      <x:c r="W5" s="100" t="str">
        <x:f>IF('Master'!X471="","",'Master'!X471)</x:f>
        <x:v>No</x:v>
      </x:c>
      <x:c r="X5" s="100" t="str">
        <x:f>IF('Master'!Y471="","",'Master'!Y471)</x:f>
        <x:v>No text E2EE disclosed</x:v>
      </x:c>
      <x:c r="Y5" s="100" t="str">
        <x:f>IF('Master'!Z471="","",'Master'!Z471)</x:f>
        <x:v>No documented default text E2EE</x:v>
      </x:c>
      <x:c r="Z5" s="100" t="str">
        <x:f>IF('Master'!AA471="","",'Master'!AA471)</x:f>
        <x:v>No default text E2EE verified</x:v>
      </x:c>
      <x:c r="AA5" s="104" t="str">
        <x:f>IF('Master'!AB471="","",'Master'!AB471)</x:f>
      </x:c>
      <x:c r="AB5" s="100" t="str">
        <x:f>IF('Master'!AC471="","",'Master'!AC471)</x:f>
        <x:v>No</x:v>
      </x:c>
      <x:c r="AC5" s="100" t="str">
        <x:f>IF('Master'!AD471="","",'Master'!AD471)</x:f>
      </x:c>
      <x:c r="AD5" s="100" t="str">
        <x:f>IF('Master'!AE471="","",'Master'!AE471)</x:f>
        <x:v>No</x:v>
      </x:c>
      <x:c r="AE5" s="100" t="str">
        <x:f>IF('Master'!AF471="","",'Master'!AF471)</x:f>
      </x:c>
      <x:c r="AF5" s="75" t="str">
        <x:f>IF('Master'!AG471="","",'Master'!AG471)</x:f>
        <x:v>No</x:v>
      </x:c>
    </x:row>
    <x:row r="6" ht="36" customHeight="1">
      <x:c r="A6" s="135" t="str">
        <x:v>E2EE Channels / Rooms</x:v>
      </x:c>
      <x:c r="B6" s="100" t="str">
        <x:f>IF('Master'!C472="","",'Master'!C472)</x:f>
        <x:v>No for text channels/rooms; voice/video channels are E2EE except Stage</x:v>
      </x:c>
      <x:c r="C6" s="100" t="str">
        <x:f>IF('Master'!D472="","",'Master'!D472)</x:f>
        <x:v>Yes — encrypted communities</x:v>
      </x:c>
      <x:c r="D6" s="100" t="str">
        <x:f>IF('Master'!E472="","",'Master'!E472)</x:f>
        <x:v>Server channels generally not E2EE</x:v>
      </x:c>
      <x:c r="E6" s="100" t="str">
        <x:f>IF('Master'!F472="","",'Master'!F472)</x:f>
        <x:v>No</x:v>
      </x:c>
      <x:c r="F6" s="100" t="str">
        <x:f>IF('Master'!G472="","",'Master'!G472)</x:f>
        <x:v>No — server/community text channels are plaintext to server</x:v>
      </x:c>
      <x:c r="G6" s="100" t="str">
        <x:f>IF('Master'!H472="","",'Master'!H472)</x:f>
        <x:v>No</x:v>
      </x:c>
      <x:c r="H6" s="100" t="str">
        <x:f>IF('Master'!I472="","",'Master'!I472)</x:f>
        <x:v>No channel text E2EE claim</x:v>
      </x:c>
      <x:c r="I6" s="100" t="str">
        <x:f>IF('Master'!J472="","",'Master'!J472)</x:f>
        <x:v>No published channel E2EE claim</x:v>
      </x:c>
      <x:c r="J6" s="100" t="str">
        <x:f>IF('Master'!K472="","",'Master'!K472)</x:f>
        <x:v>Encrypted private channels; public channels intentionally unencrypted</x:v>
      </x:c>
      <x:c r="K6" s="100" t="str">
        <x:f>IF('Master'!L472="","",'Master'!L472)</x:f>
        <x:v>Yes — optional room/DM MLS 1.0</x:v>
      </x:c>
      <x:c r="L6" s="100" t="str">
        <x:f>IF('Master'!M472="","",'Master'!M472)</x:f>
      </x:c>
      <x:c r="M6" s="100" t="str">
        <x:f>IF('Master'!N472="","",'Master'!N472)</x:f>
      </x:c>
      <x:c r="N6" s="100" t="str">
        <x:f>IF('Master'!O472="","",'Master'!O472)</x:f>
        <x:v>Supported for encrypted rooms; not every room is encrypted</x:v>
      </x:c>
      <x:c r="O6" s="100" t="str">
        <x:f>IF('Master'!P472="","",'Master'!P472)</x:f>
        <x:v>No</x:v>
      </x:c>
      <x:c r="P6" s="100" t="str">
        <x:f>IF('Master'!Q472="","",'Master'!Q472)</x:f>
      </x:c>
      <x:c r="Q6" s="100" t="str">
        <x:f>IF('Master'!R472="","",'Master'!R472)</x:f>
        <x:v>N/A</x:v>
      </x:c>
      <x:c r="R6" s="100" t="str">
        <x:f>IF('Master'!S472="","",'Master'!S472)</x:f>
        <x:v>No</x:v>
      </x:c>
      <x:c r="S6" s="100" t="str">
        <x:f>IF('Master'!T472="","",'Master'!T472)</x:f>
        <x:v>No</x:v>
      </x:c>
      <x:c r="T6" s="100" t="str">
        <x:f>IF('Master'!U472="","",'Master'!U472)</x:f>
        <x:v>No — not marketed as an E2EE product feature</x:v>
      </x:c>
      <x:c r="U6" s="100" t="str">
        <x:f>IF('Master'!V472="","",'Master'!V472)</x:f>
        <x:v>No — Shard/community channel text is encrypted at rest, not E2EE</x:v>
      </x:c>
      <x:c r="V6" s="100" t="str">
        <x:f>IF('Master'!W472="","",'Master'!W472)</x:f>
        <x:v>Encrypted rooms supported locally; federation docs note E2EE is not supported across federated servers</x:v>
      </x:c>
      <x:c r="W6" s="100" t="str">
        <x:f>IF('Master'!X472="","",'Master'!X472)</x:f>
        <x:v>No</x:v>
      </x:c>
      <x:c r="X6" s="100" t="str">
        <x:f>IF('Master'!Y472="","",'Master'!Y472)</x:f>
        <x:v>No text E2EE disclosed</x:v>
      </x:c>
      <x:c r="Y6" s="100" t="str">
        <x:f>IF('Master'!Z472="","",'Master'!Z472)</x:f>
        <x:v>No documented channel E2EE</x:v>
      </x:c>
      <x:c r="Z6" s="100" t="str">
        <x:f>IF('Master'!AA472="","",'Master'!AA472)</x:f>
        <x:v>No default channel E2EE</x:v>
      </x:c>
      <x:c r="AA6" s="104" t="str">
        <x:f>IF('Master'!AB472="","",'Master'!AB472)</x:f>
      </x:c>
      <x:c r="AB6" s="100" t="str">
        <x:f>IF('Master'!AC472="","",'Master'!AC472)</x:f>
        <x:v>No</x:v>
      </x:c>
      <x:c r="AC6" s="100" t="str">
        <x:f>IF('Master'!AD472="","",'Master'!AD472)</x:f>
      </x:c>
      <x:c r="AD6" s="100" t="str">
        <x:f>IF('Master'!AE472="","",'Master'!AE472)</x:f>
        <x:v>No</x:v>
      </x:c>
      <x:c r="AE6" s="100" t="str">
        <x:f>IF('Master'!AF472="","",'Master'!AF472)</x:f>
      </x:c>
      <x:c r="AF6" s="75" t="str">
        <x:f>IF('Master'!AG472="","",'Master'!AG472)</x:f>
        <x:v>No</x:v>
      </x:c>
    </x:row>
    <x:row r="7" ht="36" customHeight="1">
      <x:c r="A7" s="135" t="str">
        <x:v>E2EE Voice &amp; Video</x:v>
      </x:c>
      <x:c r="B7" s="100" t="str">
        <x:f>IF('Master'!C473="","",'Master'!C473)</x:f>
        <x:v>Yes by default for voice/video calls and Go Live; Stage channels excepted</x:v>
      </x:c>
      <x:c r="C7" s="100" t="str">
        <x:f>IF('Master'!D473="","",'Master'!D473)</x:f>
      </x:c>
      <x:c r="D7" s="100" t="str">
        <x:f>IF('Master'!E473="","",'Master'!E473)</x:f>
      </x:c>
      <x:c r="E7" s="100" t="str">
        <x:f>IF('Master'!F473="","",'Master'!F473)</x:f>
      </x:c>
      <x:c r="F7" s="100" t="str">
        <x:f>IF('Master'!G473="","",'Master'!G473)</x:f>
      </x:c>
      <x:c r="G7" s="100" t="str">
        <x:f>IF('Master'!H473="","",'Master'!H473)</x:f>
        <x:v>No currently; voice/video E2EE in development</x:v>
      </x:c>
      <x:c r="H7" s="100" t="str">
        <x:f>IF('Master'!I473="","",'Master'!I473)</x:f>
        <x:v>Voice E2EE claimed</x:v>
      </x:c>
      <x:c r="I7" s="100" t="str">
        <x:f>IF('Master'!J473="","",'Master'!J473)</x:f>
        <x:v>Not publicly claimed</x:v>
      </x:c>
      <x:c r="J7" s="100" t="str">
        <x:f>IF('Master'!K473="","",'Master'!K473)</x:f>
        <x:v>Olm+MLS+SFrame stated for media/messages</x:v>
      </x:c>
      <x:c r="K7" s="100" t="str">
        <x:f>IF('Master'!L473="","",'Master'!L473)</x:f>
        <x:v>Yes — MLS policy also protects supported LiveKit microphone/camera/screen/screen-audio frames</x:v>
      </x:c>
      <x:c r="L7" s="100" t="str">
        <x:f>IF('Master'!M473="","",'Master'!M473)</x:f>
      </x:c>
      <x:c r="M7" s="100" t="str">
        <x:f>IF('Master'!N473="","",'Master'!N473)</x:f>
      </x:c>
      <x:c r="N7" s="100" t="str">
        <x:f>IF('Master'!O473="","",'Master'!O473)</x:f>
        <x:v>MatrixRTC supports E2EE; client/media implementation matters</x:v>
      </x:c>
      <x:c r="O7" s="100" t="str">
        <x:f>IF('Master'!P473="","",'Master'!P473)</x:f>
      </x:c>
      <x:c r="P7" s="100" t="str">
        <x:f>IF('Master'!Q473="","",'Master'!Q473)</x:f>
        <x:v>E2EE claimed</x:v>
      </x:c>
      <x:c r="Q7" s="100" t="str">
        <x:f>IF('Master'!R473="","",'Master'!R473)</x:f>
        <x:v>Voice encrypted in transit; not E2EE against server operator</x:v>
      </x:c>
      <x:c r="R7" s="100" t="str">
        <x:f>IF('Master'!S473="","",'Master'!S473)</x:f>
      </x:c>
      <x:c r="S7" s="100" t="str">
        <x:f>IF('Master'!T473="","",'Master'!T473)</x:f>
        <x:v>Calls use encrypted connections; E2EE not claimed</x:v>
      </x:c>
      <x:c r="T7" s="100" t="str">
        <x:f>IF('Master'!U473="","",'Master'!U473)</x:f>
        <x:v>Not marketed as an E2EE product feature</x:v>
      </x:c>
      <x:c r="U7" s="100" t="str">
        <x:f>IF('Master'!V473="","",'Master'!V473)</x:f>
        <x:v>Yes — direct voice/video/screen calls are documented as E2EE</x:v>
      </x:c>
      <x:c r="V7" s="100" t="str">
        <x:f>IF('Master'!W473="","",'Master'!W473)</x:f>
        <x:v>Call-provider/deployment-dependent</x:v>
      </x:c>
      <x:c r="W7" s="100" t="str">
        <x:f>IF('Master'!X473="","",'Master'!X473)</x:f>
      </x:c>
      <x:c r="X7" s="100" t="str">
        <x:f>IF('Master'!Y473="","",'Master'!Y473)</x:f>
        <x:v>Calls transmitted in real time; E2EE not claimed in privacy policy</x:v>
      </x:c>
      <x:c r="Y7" s="100" t="str">
        <x:f>IF('Master'!Z473="","",'Master'!Z473)</x:f>
      </x:c>
      <x:c r="Z7" s="100" t="str">
        <x:f>IF('Master'!AA473="","",'Master'!AA473)</x:f>
      </x:c>
      <x:c r="AA7" s="104" t="str">
        <x:f>IF('Master'!AB473="","",'Master'!AB473)</x:f>
      </x:c>
      <x:c r="AB7" s="100" t="str">
        <x:f>IF('Master'!AC473="","",'Master'!AC473)</x:f>
      </x:c>
      <x:c r="AC7" s="100" t="str">
        <x:f>IF('Master'!AD473="","",'Master'!AD473)</x:f>
      </x:c>
      <x:c r="AD7" s="100" t="str">
        <x:f>IF('Master'!AE473="","",'Master'!AE473)</x:f>
      </x:c>
      <x:c r="AE7" s="100" t="str">
        <x:f>IF('Master'!AF473="","",'Master'!AF473)</x:f>
      </x:c>
      <x:c r="AF7" s="75" t="str">
        <x:f>IF('Master'!AG473="","",'Master'!AG473)</x:f>
        <x:v>External provider-dependent</x:v>
      </x:c>
    </x:row>
    <x:row r="8" ht="36" customHeight="1">
      <x:c r="A8" s="135" t="str">
        <x:v>Mandatory Signup Credentials (Phone / Email / Keypair)</x:v>
      </x:c>
      <x:c r="B8" s="100" t="str">
        <x:f>IF('Master'!C474="","",'Master'!C474)</x:f>
        <x:v>Email + username + password + DOB on desktop; phone or email on mobile; verification may be required</x:v>
      </x:c>
      <x:c r="C8" s="100" t="str">
        <x:f>IF('Master'!D474="","",'Master'!D474)</x:f>
        <x:v>Keypair/secret-based Nostr identity</x:v>
      </x:c>
      <x:c r="D8" s="100" t="str">
        <x:f>IF('Master'!E474="","",'Master'!E474)</x:f>
        <x:v>Server account or key-based messenger identity</x:v>
      </x:c>
      <x:c r="E8" s="100" t="str">
        <x:f>IF('Master'!F474="","",'Master'!F474)</x:f>
      </x:c>
      <x:c r="F8" s="100" t="str">
        <x:f>IF('Master'!G474="","",'Master'!G474)</x:f>
      </x:c>
      <x:c r="G8" s="100" t="str">
        <x:f>IF('Master'!H474="","",'Master'!H474)</x:f>
        <x:v>Email + username + password + DOB; phone verification may be triggered</x:v>
      </x:c>
      <x:c r="H8" s="100" t="str">
        <x:f>IF('Master'!I474="","",'Master'!I474)</x:f>
        <x:v>Username + password; no email/phone/ID required</x:v>
      </x:c>
      <x:c r="I8" s="100" t="str">
        <x:f>IF('Master'!J474="","",'Master'!J474)</x:f>
        <x:v>Email/password on Fermi hosted instance</x:v>
      </x:c>
      <x:c r="J8" s="100" t="str">
        <x:f>IF('Master'!K474="","",'Master'!K474)</x:f>
        <x:v>No traditional account; Ed25519 key + 24-word recovery phrase</x:v>
      </x:c>
      <x:c r="K8" s="100" t="str">
        <x:f>IF('Master'!L474="","",'Master'!L474)</x:f>
        <x:v>Official instance requires username/password/email; self-host can disable email</x:v>
      </x:c>
      <x:c r="L8" s="100" t="str">
        <x:f>IF('Master'!M474="","",'Master'!M474)</x:f>
        <x:v>No email/phone required; secret-key identity</x:v>
      </x:c>
      <x:c r="M8" s="100" t="str">
        <x:f>IF('Master'!N474="","",'Master'!N474)</x:f>
      </x:c>
      <x:c r="N8" s="100" t="str">
        <x:f>IF('Master'!O474="","",'Master'!O474)</x:f>
        <x:v>Account on a homeserver; credential/SSO rules are server-dependent</x:v>
      </x:c>
      <x:c r="O8" s="100" t="str">
        <x:f>IF('Master'!P474="","",'Master'!P474)</x:f>
        <x:v>Email/SSO/LDAP depending deployment</x:v>
      </x:c>
      <x:c r="P8" s="100" t="str">
        <x:f>IF('Master'!Q474="","",'Master'!Q474)</x:f>
      </x:c>
      <x:c r="Q8" s="100" t="str">
        <x:f>IF('Master'!R474="","",'Master'!R474)</x:f>
        <x:v>Username/certificate/password depending server</x:v>
      </x:c>
      <x:c r="R8" s="100" t="str">
        <x:f>IF('Master'!S474="","",'Master'!S474)</x:f>
        <x:v>Email verification required for messaging</x:v>
      </x:c>
      <x:c r="S8" s="100" t="str">
        <x:f>IF('Master'!T474="","",'Master'!T474)</x:f>
        <x:v>Email + username/password</x:v>
      </x:c>
      <x:c r="T8" s="100" t="str">
        <x:f>IF('Master'!U474="","",'Master'!U474)</x:f>
        <x:v>Accounts via Clerk; exact mandatory fields not stated</x:v>
      </x:c>
      <x:c r="U8" s="100" t="str">
        <x:f>IF('Master'!V474="","",'Master'!V474)</x:f>
        <x:v>Username + password only; no email/phone/ID</x:v>
      </x:c>
      <x:c r="V8" s="100" t="str">
        <x:f>IF('Master'!W474="","",'Master'!W474)</x:f>
        <x:v>Email/SSO/LDAP depending deployment</x:v>
      </x:c>
      <x:c r="W8" s="100" t="str">
        <x:f>IF('Master'!X474="","",'Master'!X474)</x:f>
        <x:v>Bluesky/ATProto identity by default</x:v>
      </x:c>
      <x:c r="X8" s="100" t="str">
        <x:f>IF('Master'!Y474="","",'Master'!Y474)</x:f>
        <x:v>Username/email/password</x:v>
      </x:c>
      <x:c r="Y8" s="100" t="str">
        <x:f>IF('Master'!Z474="","",'Master'!Z474)</x:f>
        <x:v>Operator-configurable account rules</x:v>
      </x:c>
      <x:c r="Z8" s="100" t="str">
        <x:f>IF('Master'!AA474="","",'Master'!AA474)</x:f>
      </x:c>
      <x:c r="AA8" s="104" t="str">
        <x:f>IF('Master'!AB474="","",'Master'!AB474)</x:f>
      </x:c>
      <x:c r="AB8" s="100" t="str">
        <x:f>IF('Master'!AC474="","",'Master'!AC474)</x:f>
        <x:v>Email only; no phone/ID</x:v>
      </x:c>
      <x:c r="AC8" s="100" t="str">
        <x:f>IF('Master'!AD474="","",'Master'!AD474)</x:f>
        <x:v>Device/account registration</x:v>
      </x:c>
      <x:c r="AD8" s="100" t="str">
        <x:f>IF('Master'!AE474="","",'Master'!AE474)</x:f>
      </x:c>
      <x:c r="AE8" s="100" t="str">
        <x:f>IF('Master'!AF474="","",'Master'!AF474)</x:f>
        <x:v>Email/password or account</x:v>
      </x:c>
      <x:c r="AF8" s="75" t="str">
        <x:f>IF('Master'!AG474="","",'Master'!AG474)</x:f>
        <x:v>Email/SSO depending deployment</x:v>
      </x:c>
    </x:row>
    <x:row r="9" ht="36" customHeight="1">
      <x:c r="A9" s="135" t="str">
        <x:v>Metadata Retention Policy</x:v>
      </x:c>
      <x:c r="B9" s="100" t="str">
        <x:f>IF('Master'!C475="","",'Master'!C475)</x:f>
        <x:v>Generally retained while an account is active/as needed; some data has fixed legal/safety periods; inactive accounts may be deleted after 2 years</x:v>
      </x:c>
      <x:c r="C9" s="100" t="str">
        <x:f>IF('Master'!D475="","",'Master'!D475)</x:f>
        <x:v>Relay stores encrypted events</x:v>
      </x:c>
      <x:c r="D9" s="100" t="str">
        <x:f>IF('Master'!E475="","",'Master'!E475)</x:f>
        <x:v>Operator controlled; messenger relay stores encrypted messages temporarily</x:v>
      </x:c>
      <x:c r="E9" s="100" t="str">
        <x:f>IF('Master'!F475="","",'Master'!F475)</x:f>
      </x:c>
      <x:c r="F9" s="100" t="str">
        <x:f>IF('Master'!G475="","",'Master'!G475)</x:f>
      </x:c>
      <x:c r="G9" s="100" t="str">
        <x:f>IF('Master'!H475="","",'Master'!H475)</x:f>
        <x:v>Published retention policy</x:v>
      </x:c>
      <x:c r="H9" s="100" t="str">
        <x:f>IF('Master'!I475="","",'Master'!I475)</x:f>
      </x:c>
      <x:c r="I9" s="100" t="str">
        <x:f>IF('Master'!J475="","",'Master'!J475)</x:f>
        <x:v>Operator controlled</x:v>
      </x:c>
      <x:c r="J9" s="100" t="str">
        <x:f>IF('Master'!K475="","",'Master'!K475)</x:f>
        <x:v>Data stored locally; relay stores no persistent content</x:v>
      </x:c>
      <x:c r="K9" s="100" t="str">
        <x:f>IF('Master'!L475="","",'Master'!L475)</x:f>
        <x:v>Developer reports data retained until user deletes/requests deletion; operators have retention/purge jobs and configurable policies</x:v>
      </x:c>
      <x:c r="L9" s="100" t="str">
        <x:f>IF('Master'!M475="","",'Master'!M475)</x:f>
        <x:v>Published privacy policy</x:v>
      </x:c>
      <x:c r="M9" s="100" t="str">
        <x:f>IF('Master'!N475="","",'Master'!N475)</x:f>
      </x:c>
      <x:c r="N9" s="100" t="str">
        <x:f>IF('Master'!O475="","",'Master'!O475)</x:f>
        <x:v>Homeserver-dependent</x:v>
      </x:c>
      <x:c r="O9" s="100" t="str">
        <x:f>IF('Master'!P475="","",'Master'!P475)</x:f>
        <x:v>Deployment/admin controlled</x:v>
      </x:c>
      <x:c r="P9" s="100" t="str">
        <x:f>IF('Master'!Q475="","",'Master'!Q475)</x:f>
      </x:c>
      <x:c r="Q9" s="100" t="str">
        <x:f>IF('Master'!R475="","",'Master'!R475)</x:f>
        <x:v>Server/operator-controlled</x:v>
      </x:c>
      <x:c r="R9" s="100" t="str">
        <x:f>IF('Master'!S475="","",'Master'!S475)</x:f>
      </x:c>
      <x:c r="S9" s="100" t="str">
        <x:f>IF('Master'!T475="","",'Master'!T475)</x:f>
        <x:v>Published privacy policy</x:v>
      </x:c>
      <x:c r="T9" s="100" t="str">
        <x:f>IF('Master'!U475="","",'Master'!U475)</x:f>
        <x:v>Message retention controls + data export; exact retention windows not stated</x:v>
      </x:c>
      <x:c r="U9" s="100" t="str">
        <x:f>IF('Master'!V475="","",'Master'!V475)</x:f>
        <x:v>Deletion stated as hard delete</x:v>
      </x:c>
      <x:c r="V9" s="100" t="str">
        <x:f>IF('Master'!W475="","",'Master'!W475)</x:f>
        <x:v>Admin/deployment policy</x:v>
      </x:c>
      <x:c r="W9" s="100" t="str">
        <x:f>IF('Master'!X475="","",'Master'!X475)</x:f>
        <x:v>ATProto/provider dependent</x:v>
      </x:c>
      <x:c r="X9" s="100" t="str">
        <x:f>IF('Master'!Y475="","",'Master'!Y475)</x:f>
      </x:c>
      <x:c r="Y9" s="100" t="str">
        <x:f>IF('Master'!Z475="","",'Master'!Z475)</x:f>
        <x:v>Operator-controlled</x:v>
      </x:c>
      <x:c r="Z9" s="100" t="str">
        <x:f>IF('Master'!AA475="","",'Master'!AA475)</x:f>
      </x:c>
      <x:c r="AA9" s="104" t="str">
        <x:f>IF('Master'!AB475="","",'Master'!AB475)</x:f>
        <x:v>Operator/service-dependent</x:v>
      </x:c>
      <x:c r="AB9" s="100" t="str">
        <x:f>IF('Master'!AC475="","",'Master'!AC475)</x:f>
      </x:c>
      <x:c r="AC9" s="100" t="str">
        <x:f>IF('Master'!AD475="","",'Master'!AD475)</x:f>
      </x:c>
      <x:c r="AD9" s="100" t="str">
        <x:f>IF('Master'!AE475="","",'Master'!AE475)</x:f>
      </x:c>
      <x:c r="AE9" s="100" t="str">
        <x:f>IF('Master'!AF475="","",'Master'!AF475)</x:f>
        <x:v>Operator controlled</x:v>
      </x:c>
      <x:c r="AF9" s="75" t="str">
        <x:f>IF('Master'!AG475="","",'Master'!AG475)</x:f>
        <x:v>Hosted/self-host policy-dependent</x:v>
      </x:c>
    </x:row>
    <x:row r="10" ht="36" customHeight="1">
      <x:c r="A10" s="135" t="str">
        <x:v>IP Address Logging Policy</x:v>
      </x:c>
      <x:c r="B10" s="100" t="str">
        <x:f>IF('Master'!C476="","",'Master'!C476)</x:f>
        <x:v>Yes — IP address is collected as device/use information</x:v>
      </x:c>
      <x:c r="C10" s="100" t="str">
        <x:f>IF('Master'!D476="","",'Master'!D476)</x:f>
        <x:v>Relay sees metadata; content encrypted</x:v>
      </x:c>
      <x:c r="D10" s="100" t="str">
        <x:f>IF('Master'!E476="","",'Master'!E476)</x:f>
        <x:v>Operator controlled; official messenger claims privacy model</x:v>
      </x:c>
      <x:c r="E10" s="100" t="str">
        <x:f>IF('Master'!F476="","",'Master'!F476)</x:f>
      </x:c>
      <x:c r="F10" s="100" t="str">
        <x:f>IF('Master'!G476="","",'Master'!G476)</x:f>
      </x:c>
      <x:c r="G10" s="100" t="str">
        <x:f>IF('Master'!H476="","",'Master'!H476)</x:f>
        <x:v>IP/network data processed; approximate location derived</x:v>
      </x:c>
      <x:c r="H10" s="100" t="str">
        <x:f>IF('Master'!I476="","",'Master'!I476)</x:f>
        <x:v>Operator/service dependent</x:v>
      </x:c>
      <x:c r="I10" s="100" t="str">
        <x:f>IF('Master'!J476="","",'Master'!J476)</x:f>
        <x:v>Operator controlled</x:v>
      </x:c>
      <x:c r="J10" s="100" t="str">
        <x:f>IF('Master'!K476="","",'Master'!K476)</x:f>
        <x:v>Official relay claims no IP logging; self-host operator could log metadata</x:v>
      </x:c>
      <x:c r="K10" s="100" t="str">
        <x:f>IF('Master'!L476="","",'Master'!L476)</x:f>
        <x:v>Not publicly specified</x:v>
      </x:c>
      <x:c r="L10" s="100" t="str">
        <x:f>IF('Master'!M476="","",'Master'!M476)</x:f>
      </x:c>
      <x:c r="M10" s="100" t="str">
        <x:f>IF('Master'!N476="","",'Master'!N476)</x:f>
      </x:c>
      <x:c r="N10" s="100" t="str">
        <x:f>IF('Master'!O476="","",'Master'!O476)</x:f>
        <x:v>Homeserver/operator sees IP/network metadata; exact logging is operator-dependent</x:v>
      </x:c>
      <x:c r="O10" s="100" t="str">
        <x:f>IF('Master'!P476="","",'Master'!P476)</x:f>
        <x:v>Deployment/admin controlled</x:v>
      </x:c>
      <x:c r="P10" s="100" t="str">
        <x:f>IF('Master'!Q476="","",'Master'!Q476)</x:f>
      </x:c>
      <x:c r="Q10" s="100" t="str">
        <x:f>IF('Master'!R476="","",'Master'!R476)</x:f>
        <x:v>Server/operator-controlled</x:v>
      </x:c>
      <x:c r="R10" s="100" t="str">
        <x:f>IF('Master'!S476="","",'Master'!S476)</x:f>
      </x:c>
      <x:c r="S10" s="100" t="str">
        <x:f>IF('Master'!T476="","",'Master'!T476)</x:f>
      </x:c>
      <x:c r="T10" s="100" t="str">
        <x:f>IF('Master'!U476="","",'Master'!U476)</x:f>
      </x:c>
      <x:c r="U10" s="100" t="str">
        <x:f>IF('Master'!V476="","",'Master'!V476)</x:f>
      </x:c>
      <x:c r="V10" s="100" t="str">
        <x:f>IF('Master'!W476="","",'Master'!W476)</x:f>
        <x:v>Admin/deployment policy</x:v>
      </x:c>
      <x:c r="W10" s="100" t="str">
        <x:f>IF('Master'!X476="","",'Master'!X476)</x:f>
        <x:v>Provider dependent</x:v>
      </x:c>
      <x:c r="X10" s="100" t="str">
        <x:f>IF('Master'!Y476="","",'Master'!Y476)</x:f>
        <x:v>Yes — device/network info incl. IP collected</x:v>
      </x:c>
      <x:c r="Y10" s="100" t="str">
        <x:f>IF('Master'!Z476="","",'Master'!Z476)</x:f>
        <x:v>Operator-controlled</x:v>
      </x:c>
      <x:c r="Z10" s="100" t="str">
        <x:f>IF('Master'!AA476="","",'Master'!AA476)</x:f>
      </x:c>
      <x:c r="AA10" s="104" t="str">
        <x:f>IF('Master'!AB476="","",'Master'!AB476)</x:f>
        <x:v>Operator/service-dependent</x:v>
      </x:c>
      <x:c r="AB10" s="100" t="str">
        <x:f>IF('Master'!AC476="","",'Master'!AC476)</x:f>
      </x:c>
      <x:c r="AC10" s="100" t="str">
        <x:f>IF('Master'!AD476="","",'Master'!AD476)</x:f>
      </x:c>
      <x:c r="AD10" s="100" t="str">
        <x:f>IF('Master'!AE476="","",'Master'!AE476)</x:f>
      </x:c>
      <x:c r="AE10" s="100" t="str">
        <x:f>IF('Master'!AF476="","",'Master'!AF476)</x:f>
        <x:v>Operator controlled</x:v>
      </x:c>
      <x:c r="AF10" s="75" t="str">
        <x:f>IF('Master'!AG476="","",'Master'!AG476)</x:f>
        <x:v>Hosted/operator dependent</x:v>
      </x:c>
    </x:row>
    <x:row r="11" ht="36" customHeight="1">
      <x:c r="A11" s="135" t="str">
        <x:v>EXIF Scrubbing on Uploads</x:v>
      </x:c>
      <x:c r="B11" s="100" t="str">
        <x:f>IF('Master'!C477="","",'Master'!C477)</x:f>
      </x:c>
      <x:c r="C11" s="100" t="str">
        <x:f>IF('Master'!D477="","",'Master'!D477)</x:f>
      </x:c>
      <x:c r="D11" s="100" t="str">
        <x:f>IF('Master'!E477="","",'Master'!E477)</x:f>
      </x:c>
      <x:c r="E11" s="100" t="str">
        <x:f>IF('Master'!F477="","",'Master'!F477)</x:f>
      </x:c>
      <x:c r="F11" s="100" t="str">
        <x:f>IF('Master'!G477="","",'Master'!G477)</x:f>
      </x:c>
      <x:c r="G11" s="100" t="str">
        <x:f>IF('Master'!H477="","",'Master'!H477)</x:f>
      </x:c>
      <x:c r="H11" s="100" t="str">
        <x:f>IF('Master'!I477="","",'Master'!I477)</x:f>
      </x:c>
      <x:c r="I11" s="100" t="str">
        <x:f>IF('Master'!J477="","",'Master'!J477)</x:f>
      </x:c>
      <x:c r="J11" s="100" t="str">
        <x:f>IF('Master'!K477="","",'Master'!K477)</x:f>
      </x:c>
      <x:c r="K11" s="100" t="str">
        <x:f>IF('Master'!L477="","",'Master'!L477)</x:f>
        <x:v>Not explicitly documented</x:v>
      </x:c>
      <x:c r="L11" s="100" t="str">
        <x:f>IF('Master'!M477="","",'Master'!M477)</x:f>
      </x:c>
      <x:c r="M11" s="100" t="str">
        <x:f>IF('Master'!N477="","",'Master'!N477)</x:f>
      </x:c>
      <x:c r="N11" s="100" t="str">
        <x:f>IF('Master'!O477="","",'Master'!O477)</x:f>
        <x:v>Client/server-dependent</x:v>
      </x:c>
      <x:c r="O11" s="100" t="str">
        <x:f>IF('Master'!P477="","",'Master'!P477)</x:f>
      </x:c>
      <x:c r="P11" s="100" t="str">
        <x:f>IF('Master'!Q477="","",'Master'!Q477)</x:f>
      </x:c>
      <x:c r="Q11" s="100" t="str">
        <x:f>IF('Master'!R477="","",'Master'!R477)</x:f>
        <x:v>N/A</x:v>
      </x:c>
      <x:c r="R11" s="100" t="str">
        <x:f>IF('Master'!S477="","",'Master'!S477)</x:f>
      </x:c>
      <x:c r="S11" s="100" t="str">
        <x:f>IF('Master'!T477="","",'Master'!T477)</x:f>
      </x:c>
      <x:c r="T11" s="100" t="str">
        <x:f>IF('Master'!U477="","",'Master'!U477)</x:f>
      </x:c>
      <x:c r="U11" s="100" t="str">
        <x:f>IF('Master'!V477="","",'Master'!V477)</x:f>
        <x:v>Yes — automatic EXIF stripping</x:v>
      </x:c>
      <x:c r="V11" s="100" t="str">
        <x:f>IF('Master'!W477="","",'Master'!W477)</x:f>
      </x:c>
      <x:c r="W11" s="100" t="str">
        <x:f>IF('Master'!X477="","",'Master'!X477)</x:f>
      </x:c>
      <x:c r="X11" s="100" t="str">
        <x:f>IF('Master'!Y477="","",'Master'!Y477)</x:f>
      </x:c>
      <x:c r="Y11" s="100" t="str">
        <x:f>IF('Master'!Z477="","",'Master'!Z477)</x:f>
      </x:c>
      <x:c r="Z11" s="100" t="str">
        <x:f>IF('Master'!AA477="","",'Master'!AA477)</x:f>
      </x:c>
      <x:c r="AA11" s="104" t="str">
        <x:f>IF('Master'!AB477="","",'Master'!AB477)</x:f>
      </x:c>
      <x:c r="AB11" s="100" t="str">
        <x:f>IF('Master'!AC477="","",'Master'!AC477)</x:f>
      </x:c>
      <x:c r="AC11" s="100" t="str">
        <x:f>IF('Master'!AD477="","",'Master'!AD477)</x:f>
      </x:c>
      <x:c r="AD11" s="100" t="str">
        <x:f>IF('Master'!AE477="","",'Master'!AE477)</x:f>
      </x:c>
      <x:c r="AE11" s="100" t="str">
        <x:f>IF('Master'!AF477="","",'Master'!AF477)</x:f>
      </x:c>
      <x:c r="AF11" s="75" t="str">
        <x:f>IF('Master'!AG477="","",'Master'!AG477)</x:f>
      </x:c>
    </x:row>
    <x:row r="12" ht="36" customHeight="1">
      <x:c r="A12" s="135" t="str">
        <x:v>Server Jurisdiction / Location</x:v>
      </x:c>
      <x:c r="B12" s="100" t="str">
        <x:f>IF('Master'!C478="","",'Master'!C478)</x:f>
      </x:c>
      <x:c r="C12" s="100" t="str">
        <x:f>IF('Master'!D478="","",'Master'!D478)</x:f>
        <x:v>Relay/operator/global</x:v>
      </x:c>
      <x:c r="D12" s="100" t="str">
        <x:f>IF('Master'!E478="","",'Master'!E478)</x:f>
        <x:v>Self-host operator controlled</x:v>
      </x:c>
      <x:c r="E12" s="100" t="str">
        <x:f>IF('Master'!F478="","",'Master'!F478)</x:f>
      </x:c>
      <x:c r="F12" s="100" t="str">
        <x:f>IF('Master'!G478="","",'Master'!G478)</x:f>
        <x:v>Fenrid LLC (New Mexico, US); global infrastructure</x:v>
      </x:c>
      <x:c r="G12" s="100" t="str">
        <x:f>IF('Master'!H478="","",'Master'!H478)</x:f>
        <x:v>Fluxer Platform AB (Sweden); most stored data hosted in New Jersey, US</x:v>
      </x:c>
      <x:c r="H12" s="100" t="str">
        <x:f>IF('Master'!I478="","",'Master'!I478)</x:f>
        <x:v>Hosted + self-host operator dependent</x:v>
      </x:c>
      <x:c r="I12" s="100" t="str">
        <x:f>IF('Master'!J478="","",'Master'!J478)</x:f>
        <x:v>Self-host/operator jurisdiction</x:v>
      </x:c>
      <x:c r="J12" s="100" t="str">
        <x:f>IF('Master'!K478="","",'Master'!K478)</x:f>
        <x:v>Local-first; relay jurisdiction replaceable</x:v>
      </x:c>
      <x:c r="K12" s="100" t="str">
        <x:f>IF('Master'!L478="","",'Master'!L478)</x:f>
        <x:v>Official deployment uses OVH core, Backblaze object storage and Hivelocity LiveKit capacity serving US-East/South America (developer report)</x:v>
      </x:c>
      <x:c r="L12" s="100" t="str">
        <x:f>IF('Master'!M478="","",'Master'!M478)</x:f>
      </x:c>
      <x:c r="M12" s="100" t="str">
        <x:f>IF('Master'!N478="","",'Master'!N478)</x:f>
        <x:v>Federated/self-host operator-dependent</x:v>
      </x:c>
      <x:c r="N12" s="100" t="str">
        <x:f>IF('Master'!O478="","",'Master'!O478)</x:f>
        <x:v>Federated — jurisdiction/location depends on homeserver(s) participating in a room</x:v>
      </x:c>
      <x:c r="O12" s="100" t="str">
        <x:f>IF('Master'!P478="","",'Master'!P478)</x:f>
        <x:v>Cloud or self-host jurisdiction</x:v>
      </x:c>
      <x:c r="P12" s="100" t="str">
        <x:f>IF('Master'!Q478="","",'Master'!Q478)</x:f>
      </x:c>
      <x:c r="Q12" s="100" t="str">
        <x:f>IF('Master'!R478="","",'Master'!R478)</x:f>
        <x:v>Self-hosted — operator-selected jurisdiction</x:v>
      </x:c>
      <x:c r="R12" s="100" t="str">
        <x:f>IF('Master'!S478="","",'Master'!S478)</x:f>
      </x:c>
      <x:c r="S12" s="100" t="str">
        <x:f>IF('Master'!T478="","",'Master'!T478)</x:f>
        <x:v>Regional data storage by user/community region</x:v>
      </x:c>
      <x:c r="T12" s="100" t="str">
        <x:f>IF('Master'!U478="","",'Master'!U478)</x:f>
        <x:v>Hosted in São Paulo, Brazil; self-host location is operator-controlled</x:v>
      </x:c>
      <x:c r="U12" s="100" t="str">
        <x:f>IF('Master'!V478="","",'Master'!V478)</x:f>
      </x:c>
      <x:c r="V12" s="100" t="str">
        <x:f>IF('Master'!W478="","",'Master'!W478)</x:f>
        <x:v>Cloud or self-host jurisdiction</x:v>
      </x:c>
      <x:c r="W12" s="100" t="str">
        <x:f>IF('Master'!X478="","",'Master'!X478)</x:f>
        <x:v>ATProto/PDS-dependent</x:v>
      </x:c>
      <x:c r="X12" s="100" t="str">
        <x:f>IF('Master'!Y478="","",'Master'!Y478)</x:f>
        <x:v>Root Communications, Inc., United States</x:v>
      </x:c>
      <x:c r="Y12" s="100" t="str">
        <x:f>IF('Master'!Z478="","",'Master'!Z478)</x:f>
        <x:v>Self-hosted — operator-selected jurisdiction</x:v>
      </x:c>
      <x:c r="Z12" s="100" t="str">
        <x:f>IF('Master'!AA478="","",'Master'!AA478)</x:f>
        <x:v>Hosted service: Europe-oriented; self-host location is operator-controlled</x:v>
      </x:c>
      <x:c r="AA12" s="104" t="str">
        <x:f>IF('Master'!AB478="","",'Master'!AB478)</x:f>
        <x:v>Self-hosted/hosted — jurisdiction depends operator/provider</x:v>
      </x:c>
      <x:c r="AB12" s="100" t="str">
        <x:f>IF('Master'!AC478="","",'Master'!AC478)</x:f>
        <x:v>Hosted/self-host dependent</x:v>
      </x:c>
      <x:c r="AC12" s="100" t="str">
        <x:f>IF('Master'!AD478="","",'Master'!AD478)</x:f>
        <x:v>Hosted/self-host dependent</x:v>
      </x:c>
      <x:c r="AD12" s="100" t="str">
        <x:f>IF('Master'!AE478="","",'Master'!AE478)</x:f>
      </x:c>
      <x:c r="AE12" s="100" t="str">
        <x:f>IF('Master'!AF478="","",'Master'!AF478)</x:f>
        <x:v>Self-host jurisdiction</x:v>
      </x:c>
      <x:c r="AF12" s="75" t="str">
        <x:f>IF('Master'!AG478="","",'Master'!AG478)</x:f>
        <x:v>Cloud jurisdiction/provider; self-host operator-controlled</x:v>
      </x:c>
    </x:row>
    <x:row r="13" ht="22" customHeight="1">
      <x:c r="A13" s="138" t="str">
        <x:v>Privacy Operations</x:v>
      </x:c>
      <x:c r="B13" s="138" t="str">
        <x:f>IF(""="","","")</x:f>
      </x:c>
      <x:c r="C13" s="138" t="str">
        <x:f>IF(""="","","")</x:f>
      </x:c>
      <x:c r="D13" s="138" t="str">
        <x:f>IF(""="","","")</x:f>
      </x:c>
      <x:c r="E13" s="138" t="str">
        <x:f>IF(""="","","")</x:f>
      </x:c>
      <x:c r="F13" s="138" t="str">
        <x:f>IF(""="","","")</x:f>
      </x:c>
      <x:c r="G13" s="138" t="str">
        <x:f>IF(""="","","")</x:f>
      </x:c>
      <x:c r="H13" s="138" t="str">
        <x:f>IF(""="","","")</x:f>
      </x:c>
      <x:c r="I13" s="138" t="str">
        <x:f>IF(""="","","")</x:f>
      </x:c>
      <x:c r="J13" s="138" t="str">
        <x:f>IF(""="","","")</x:f>
      </x:c>
      <x:c r="K13" s="138" t="str">
        <x:f>IF(""="","","")</x:f>
      </x:c>
      <x:c r="L13" s="138" t="str">
        <x:f>IF(""="","","")</x:f>
      </x:c>
      <x:c r="M13" s="138" t="str">
        <x:f>IF(""="","","")</x:f>
      </x:c>
      <x:c r="N13" s="138" t="str">
        <x:f>IF(""="","","")</x:f>
      </x:c>
      <x:c r="O13" s="138" t="str">
        <x:f>IF(""="","","")</x:f>
      </x:c>
      <x:c r="P13" s="138" t="str">
        <x:f>IF(""="","","")</x:f>
      </x:c>
      <x:c r="Q13" s="138" t="str">
        <x:f>IF(""="","","")</x:f>
      </x:c>
      <x:c r="R13" s="138" t="str">
        <x:f>IF(""="","","")</x:f>
      </x:c>
      <x:c r="S13" s="138" t="str">
        <x:f>IF(""="","","")</x:f>
      </x:c>
      <x:c r="T13" s="138" t="str">
        <x:f>IF(""="","","")</x:f>
      </x:c>
      <x:c r="U13" s="138" t="str">
        <x:f>IF(""="","","")</x:f>
      </x:c>
      <x:c r="V13" s="138" t="str">
        <x:f>IF(""="","","")</x:f>
      </x:c>
      <x:c r="W13" s="138" t="str">
        <x:f>IF(""="","","")</x:f>
      </x:c>
      <x:c r="X13" s="138" t="str">
        <x:f>IF(""="","","")</x:f>
      </x:c>
      <x:c r="Y13" s="138" t="str">
        <x:f>IF(""="","","")</x:f>
      </x:c>
      <x:c r="Z13" s="138" t="str">
        <x:f>IF(""="","","")</x:f>
      </x:c>
      <x:c r="AA13" s="138" t="str">
        <x:f>IF(""="","","")</x:f>
      </x:c>
      <x:c r="AB13" s="138" t="str">
        <x:f>IF(""="","","")</x:f>
      </x:c>
      <x:c r="AC13" s="138" t="str">
        <x:f>IF(""="","","")</x:f>
      </x:c>
      <x:c r="AD13" s="138" t="str">
        <x:f>IF(""="","","")</x:f>
      </x:c>
      <x:c r="AE13" s="138" t="str">
        <x:f>IF(""="","","")</x:f>
      </x:c>
      <x:c r="AF13" s="139" t="str">
        <x:f>IF(""="","","")</x:f>
      </x:c>
    </x:row>
    <x:row r="14" ht="36" customHeight="1">
      <x:c r="A14" s="135" t="str">
        <x:v>Encryption at Rest?</x:v>
      </x:c>
      <x:c r="B14" s="100" t="str">
        <x:f>IF('Master'!C500="","",'Master'!C500)</x:f>
        <x:v>Yes</x:v>
      </x:c>
      <x:c r="C14" s="100" t="str">
        <x:f>IF('Master'!D500="","",'Master'!D500)</x:f>
      </x:c>
      <x:c r="D14" s="100" t="str">
        <x:f>IF('Master'!E500="","",'Master'!E500)</x:f>
      </x:c>
      <x:c r="E14" s="100" t="str">
        <x:f>IF('Master'!F500="","",'Master'!F500)</x:f>
      </x:c>
      <x:c r="F14" s="100" t="str">
        <x:f>IF('Master'!G500="","",'Master'!G500)</x:f>
      </x:c>
      <x:c r="G14" s="100" t="str">
        <x:f>IF('Master'!H500="","",'Master'!H500)</x:f>
        <x:v>Yes</x:v>
      </x:c>
      <x:c r="H14" s="100" t="str">
        <x:f>IF('Master'!I500="","",'Master'!I500)</x:f>
      </x:c>
      <x:c r="I14" s="100" t="str">
        <x:f>IF('Master'!J500="","",'Master'!J500)</x:f>
      </x:c>
      <x:c r="J14" s="100" t="str">
        <x:f>IF('Master'!K500="","",'Master'!K500)</x:f>
      </x:c>
      <x:c r="K14" s="100" t="str">
        <x:f>IF('Master'!L500="","",'Master'!L500)</x:f>
        <x:v>Partial — selected secrets/TOTP/signing material are encrypted, but universal plaintext-message database-at-rest encryption is not claimed</x:v>
      </x:c>
      <x:c r="L14" s="100" t="str">
        <x:f>IF('Master'!M500="","",'Master'!M500)</x:f>
      </x:c>
      <x:c r="M14" s="100" t="str">
        <x:f>IF('Master'!N500="","",'Master'!N500)</x:f>
      </x:c>
      <x:c r="N14" s="100" t="str">
        <x:f>IF('Master'!O500="","",'Master'!O500)</x:f>
      </x:c>
      <x:c r="O14" s="100" t="str">
        <x:f>IF('Master'!P500="","",'Master'!P500)</x:f>
      </x:c>
      <x:c r="P14" s="100" t="str">
        <x:f>IF('Master'!Q500="","",'Master'!Q500)</x:f>
      </x:c>
      <x:c r="Q14" s="100" t="str">
        <x:f>IF('Master'!R500="","",'Master'!R500)</x:f>
      </x:c>
      <x:c r="R14" s="100" t="str">
        <x:f>IF('Master'!S500="","",'Master'!S500)</x:f>
      </x:c>
      <x:c r="S14" s="100" t="str">
        <x:f>IF('Master'!T500="","",'Master'!T500)</x:f>
      </x:c>
      <x:c r="T14" s="100" t="str">
        <x:f>IF('Master'!U500="","",'Master'!U500)</x:f>
      </x:c>
      <x:c r="U14" s="100" t="str">
        <x:f>IF('Master'!V500="","",'Master'!V500)</x:f>
        <x:v>Yes</x:v>
      </x:c>
      <x:c r="V14" s="100" t="str">
        <x:f>IF('Master'!W500="","",'Master'!W500)</x:f>
      </x:c>
      <x:c r="W14" s="100" t="str">
        <x:f>IF('Master'!X500="","",'Master'!X500)</x:f>
      </x:c>
      <x:c r="X14" s="100" t="str">
        <x:f>IF('Master'!Y500="","",'Master'!Y500)</x:f>
      </x:c>
      <x:c r="Y14" s="100" t="str">
        <x:f>IF('Master'!Z500="","",'Master'!Z500)</x:f>
      </x:c>
      <x:c r="Z14" s="100" t="str">
        <x:f>IF('Master'!AA500="","",'Master'!AA500)</x:f>
      </x:c>
      <x:c r="AA14" s="104" t="str">
        <x:f>IF('Master'!AB500="","",'Master'!AB500)</x:f>
      </x:c>
      <x:c r="AB14" s="100" t="str">
        <x:f>IF('Master'!AC500="","",'Master'!AC500)</x:f>
      </x:c>
      <x:c r="AC14" s="100" t="str">
        <x:f>IF('Master'!AD500="","",'Master'!AD500)</x:f>
      </x:c>
      <x:c r="AD14" s="100" t="str">
        <x:f>IF('Master'!AE500="","",'Master'!AE500)</x:f>
      </x:c>
      <x:c r="AE14" s="100" t="str">
        <x:f>IF('Master'!AF500="","",'Master'!AF500)</x:f>
      </x:c>
      <x:c r="AF14" s="75" t="str">
        <x:f>IF('Master'!AG500="","",'Master'!AG500)</x:f>
      </x:c>
    </x:row>
    <x:row r="15" ht="36" customHeight="1">
      <x:c r="A15" s="135" t="str">
        <x:v>Can Service / Server Read Text?</x:v>
      </x:c>
      <x:c r="B15" s="100" t="str">
        <x:f>IF('Master'!C507="","",'Master'!C507)</x:f>
        <x:v>Yes for text</x:v>
      </x:c>
      <x:c r="C15" s="100" t="str">
        <x:f>IF('Master'!D507="","",'Master'!D507)</x:f>
        <x:v>No for encrypted message bodies</x:v>
      </x:c>
      <x:c r="D15" s="100" t="str">
        <x:f>IF('Master'!E507="","",'Master'!E507)</x:f>
        <x:v>Server can read normal channel text; encrypted DMs are ciphertext</x:v>
      </x:c>
      <x:c r="E15" s="100" t="str">
        <x:f>IF('Master'!F507="","",'Master'!F507)</x:f>
        <x:v>Yes for text</x:v>
      </x:c>
      <x:c r="F15" s="100" t="str">
        <x:f>IF('Master'!G507="","",'Master'!G507)</x:f>
        <x:v>No for encrypted DM plaintext in normal flow; yes for community channels</x:v>
      </x:c>
      <x:c r="G15" s="100" t="str">
        <x:f>IF('Master'!H507="","",'Master'!H507)</x:f>
        <x:v>Yes</x:v>
      </x:c>
      <x:c r="H15" s="100" t="str">
        <x:f>IF('Master'!I507="","",'Master'!I507)</x:f>
        <x:v>Yes for text on hosted/self-host server</x:v>
      </x:c>
      <x:c r="I15" s="100" t="str">
        <x:f>IF('Master'!J507="","",'Master'!J507)</x:f>
        <x:v>Yes</x:v>
      </x:c>
      <x:c r="J15" s="100" t="str">
        <x:f>IF('Master'!K507="","",'Master'!K507)</x:f>
        <x:v>No for private plaintext</x:v>
      </x:c>
      <x:c r="K15" s="100" t="str">
        <x:f>IF('Master'!L507="","",'Master'!L507)</x:f>
        <x:v>Plaintext rooms: yes. Active MLS rooms: no message/file/media plaintext is available to honest-but-curious servers.</x:v>
      </x:c>
      <x:c r="L15" s="100" t="str">
        <x:f>IF('Master'!M507="","",'Master'!M507)</x:f>
        <x:v>Yes for current server-readable content</x:v>
      </x:c>
      <x:c r="M15" s="100" t="str">
        <x:f>IF('Master'!N507="","",'Master'!N507)</x:f>
        <x:v>Depends encrypted content type</x:v>
      </x:c>
      <x:c r="N15" s="100" t="str">
        <x:f>IF('Master'!O507="","",'Master'!O507)</x:f>
        <x:v>Not for correctly E2EE-encrypted events; homeserver still stores ciphertext and metadata</x:v>
      </x:c>
      <x:c r="O15" s="100" t="str">
        <x:f>IF('Master'!P507="","",'Master'!P507)</x:f>
        <x:v>Yes</x:v>
      </x:c>
      <x:c r="P15" s="100" t="str">
        <x:f>IF('Master'!Q507="","",'Master'!Q507)</x:f>
      </x:c>
      <x:c r="Q15" s="100" t="str">
        <x:f>IF('Master'!R507="","",'Master'!R507)</x:f>
        <x:v>N/A for persistent chat; server handles voice routing</x:v>
      </x:c>
      <x:c r="R15" s="100" t="str">
        <x:f>IF('Master'!S507="","",'Master'!S507)</x:f>
        <x:v>Yes for hosted text</x:v>
      </x:c>
      <x:c r="S15" s="100" t="str">
        <x:f>IF('Master'!T507="","",'Master'!T507)</x:f>
        <x:v>Yes for text</x:v>
      </x:c>
      <x:c r="T15" s="100" t="str">
        <x:f>IF('Master'!U507="","",'Master'!U507)</x:f>
        <x:v>No E2EE product claim; exact hosted-message access policy not stated in the response</x:v>
      </x:c>
      <x:c r="U15" s="100" t="str">
        <x:f>IF('Master'!V507="","",'Master'!V507)</x:f>
        <x:v>Cannot read E2EE DM plaintext; can process Shard/community plaintext</x:v>
      </x:c>
      <x:c r="V15" s="100" t="str">
        <x:f>IF('Master'!W507="","",'Master'!W507)</x:f>
        <x:v>Not for local E2EE message bodies when functioning; server still sees metadata</x:v>
      </x:c>
      <x:c r="W15" s="100" t="str">
        <x:f>IF('Master'!X507="","",'Master'!X507)</x:f>
        <x:v>Potentially visible to hosting services</x:v>
      </x:c>
      <x:c r="X15" s="100" t="str">
        <x:f>IF('Master'!Y507="","",'Master'!Y507)</x:f>
        <x:v>Yes for stored text</x:v>
      </x:c>
      <x:c r="Y15" s="100" t="str">
        <x:f>IF('Master'!Z507="","",'Master'!Z507)</x:f>
        <x:v>Yes unless operator adds extra encryption</x:v>
      </x:c>
      <x:c r="Z15" s="100" t="str">
        <x:f>IF('Master'!AA507="","",'Master'!AA507)</x:f>
        <x:v>Yes for normal text</x:v>
      </x:c>
      <x:c r="AA15" s="104" t="str">
        <x:f>IF('Master'!AB507="","",'Master'!AB507)</x:f>
      </x:c>
      <x:c r="AB15" s="100" t="str">
        <x:f>IF('Master'!AC507="","",'Master'!AC507)</x:f>
        <x:v>Yes</x:v>
      </x:c>
      <x:c r="AC15" s="100" t="str">
        <x:f>IF('Master'!AD507="","",'Master'!AD507)</x:f>
        <x:v>Yes for unencrypted content</x:v>
      </x:c>
      <x:c r="AD15" s="100" t="str">
        <x:f>IF('Master'!AE507="","",'Master'!AE507)</x:f>
        <x:v>Yes</x:v>
      </x:c>
      <x:c r="AE15" s="100" t="str">
        <x:f>IF('Master'!AF507="","",'Master'!AF507)</x:f>
        <x:v>Server operator may access text unless separate E2EE exists</x:v>
      </x:c>
      <x:c r="AF15" s="75" t="str">
        <x:f>IF('Master'!AG507="","",'Master'!AG507)</x:f>
        <x:v>Yes</x:v>
      </x:c>
    </x:row>
    <x:row r="16" ht="36" customHeight="1">
      <x:c r="A16" s="135" t="str">
        <x:v>IP Address Collected?</x:v>
      </x:c>
      <x:c r="B16" s="100" t="str">
        <x:f>IF('Master'!C517="","",'Master'!C517)</x:f>
        <x:v>Yes — IP address is collected as device/use information</x:v>
      </x:c>
      <x:c r="C16" s="100" t="str">
        <x:f>IF('Master'!D517="","",'Master'!D517)</x:f>
        <x:v>Relay sees metadata; content encrypted</x:v>
      </x:c>
      <x:c r="D16" s="100" t="str">
        <x:f>IF('Master'!E517="","",'Master'!E517)</x:f>
        <x:v>Operator controlled; official messenger claims privacy model</x:v>
      </x:c>
      <x:c r="E16" s="100" t="str">
        <x:f>IF('Master'!F517="","",'Master'!F517)</x:f>
      </x:c>
      <x:c r="F16" s="100" t="str">
        <x:f>IF('Master'!G517="","",'Master'!G517)</x:f>
      </x:c>
      <x:c r="G16" s="100" t="str">
        <x:f>IF('Master'!H517="","",'Master'!H517)</x:f>
        <x:v>IP/network data processed; approximate location derived</x:v>
      </x:c>
      <x:c r="H16" s="100" t="str">
        <x:f>IF('Master'!I517="","",'Master'!I517)</x:f>
        <x:v>Operator/service dependent</x:v>
      </x:c>
      <x:c r="I16" s="100" t="str">
        <x:f>IF('Master'!J517="","",'Master'!J517)</x:f>
        <x:v>Operator controlled</x:v>
      </x:c>
      <x:c r="J16" s="100" t="str">
        <x:f>IF('Master'!K517="","",'Master'!K517)</x:f>
        <x:v>Official relay claims no IP logging; self-host operator could log metadata</x:v>
      </x:c>
      <x:c r="K16" s="100" t="str">
        <x:f>IF('Master'!L517="","",'Master'!L517)</x:f>
        <x:v>Not publicly specified</x:v>
      </x:c>
      <x:c r="L16" s="100" t="str">
        <x:f>IF('Master'!M517="","",'Master'!M517)</x:f>
      </x:c>
      <x:c r="M16" s="100" t="str">
        <x:f>IF('Master'!N517="","",'Master'!N517)</x:f>
      </x:c>
      <x:c r="N16" s="100" t="str">
        <x:f>IF('Master'!O517="","",'Master'!O517)</x:f>
        <x:v>Homeserver/operator sees IP/network metadata; exact logging is operator-dependent</x:v>
      </x:c>
      <x:c r="O16" s="100" t="str">
        <x:f>IF('Master'!P517="","",'Master'!P517)</x:f>
        <x:v>Deployment/admin controlled</x:v>
      </x:c>
      <x:c r="P16" s="100" t="str">
        <x:f>IF('Master'!Q517="","",'Master'!Q517)</x:f>
      </x:c>
      <x:c r="Q16" s="100" t="str">
        <x:f>IF('Master'!R517="","",'Master'!R517)</x:f>
        <x:v>Server/operator-controlled</x:v>
      </x:c>
      <x:c r="R16" s="100" t="str">
        <x:f>IF('Master'!S517="","",'Master'!S517)</x:f>
      </x:c>
      <x:c r="S16" s="100" t="str">
        <x:f>IF('Master'!T517="","",'Master'!T517)</x:f>
      </x:c>
      <x:c r="T16" s="100" t="str">
        <x:f>IF('Master'!U517="","",'Master'!U517)</x:f>
      </x:c>
      <x:c r="U16" s="100" t="str">
        <x:f>IF('Master'!V517="","",'Master'!V517)</x:f>
      </x:c>
      <x:c r="V16" s="100" t="str">
        <x:f>IF('Master'!W517="","",'Master'!W517)</x:f>
        <x:v>Admin/deployment policy</x:v>
      </x:c>
      <x:c r="W16" s="100" t="str">
        <x:f>IF('Master'!X517="","",'Master'!X517)</x:f>
        <x:v>Provider dependent</x:v>
      </x:c>
      <x:c r="X16" s="100" t="str">
        <x:f>IF('Master'!Y517="","",'Master'!Y517)</x:f>
        <x:v>Yes — device/network info incl. IP collected</x:v>
      </x:c>
      <x:c r="Y16" s="100" t="str">
        <x:f>IF('Master'!Z517="","",'Master'!Z517)</x:f>
        <x:v>Operator-controlled</x:v>
      </x:c>
      <x:c r="Z16" s="100" t="str">
        <x:f>IF('Master'!AA517="","",'Master'!AA517)</x:f>
      </x:c>
      <x:c r="AA16" s="104" t="str">
        <x:f>IF('Master'!AB517="","",'Master'!AB517)</x:f>
        <x:v>Operator/service-dependent</x:v>
      </x:c>
      <x:c r="AB16" s="100" t="str">
        <x:f>IF('Master'!AC517="","",'Master'!AC517)</x:f>
      </x:c>
      <x:c r="AC16" s="100" t="str">
        <x:f>IF('Master'!AD517="","",'Master'!AD517)</x:f>
      </x:c>
      <x:c r="AD16" s="100" t="str">
        <x:f>IF('Master'!AE517="","",'Master'!AE517)</x:f>
      </x:c>
      <x:c r="AE16" s="100" t="str">
        <x:f>IF('Master'!AF517="","",'Master'!AF517)</x:f>
        <x:v>Operator controlled</x:v>
      </x:c>
      <x:c r="AF16" s="75" t="str">
        <x:f>IF('Master'!AG517="","",'Master'!AG517)</x:f>
        <x:v>Hosted/operator dependent</x:v>
      </x:c>
    </x:row>
    <x:row r="17" ht="36" customHeight="1">
      <x:c r="A17" s="135" t="str">
        <x:v>IP Retention Window</x:v>
      </x:c>
      <x:c r="B17" s="100" t="str">
        <x:f>IF('Master'!C518="","",'Master'!C518)</x:f>
      </x:c>
      <x:c r="C17" s="100" t="str">
        <x:f>IF('Master'!D518="","",'Master'!D518)</x:f>
      </x:c>
      <x:c r="D17" s="100" t="str">
        <x:f>IF('Master'!E518="","",'Master'!E518)</x:f>
      </x:c>
      <x:c r="E17" s="100" t="str">
        <x:f>IF('Master'!F518="","",'Master'!F518)</x:f>
      </x:c>
      <x:c r="F17" s="100" t="str">
        <x:f>IF('Master'!G518="","",'Master'!G518)</x:f>
      </x:c>
      <x:c r="G17" s="100" t="str">
        <x:f>IF('Master'!H518="","",'Master'!H518)</x:f>
      </x:c>
      <x:c r="H17" s="100" t="str">
        <x:f>IF('Master'!I518="","",'Master'!I518)</x:f>
      </x:c>
      <x:c r="I17" s="100" t="str">
        <x:f>IF('Master'!J518="","",'Master'!J518)</x:f>
      </x:c>
      <x:c r="J17" s="100" t="str">
        <x:f>IF('Master'!K518="","",'Master'!K518)</x:f>
      </x:c>
      <x:c r="K17" s="100" t="str">
        <x:f>IF('Master'!L518="","",'Master'!L518)</x:f>
        <x:v>Not publicly specified</x:v>
      </x:c>
      <x:c r="L17" s="100" t="str">
        <x:f>IF('Master'!M518="","",'Master'!M518)</x:f>
      </x:c>
      <x:c r="M17" s="100" t="str">
        <x:f>IF('Master'!N518="","",'Master'!N518)</x:f>
      </x:c>
      <x:c r="N17" s="100" t="str">
        <x:f>IF('Master'!O518="","",'Master'!O518)</x:f>
      </x:c>
      <x:c r="O17" s="100" t="str">
        <x:f>IF('Master'!P518="","",'Master'!P518)</x:f>
      </x:c>
      <x:c r="P17" s="100" t="str">
        <x:f>IF('Master'!Q518="","",'Master'!Q518)</x:f>
      </x:c>
      <x:c r="Q17" s="100" t="str">
        <x:f>IF('Master'!R518="","",'Master'!R518)</x:f>
      </x:c>
      <x:c r="R17" s="100" t="str">
        <x:f>IF('Master'!S518="","",'Master'!S518)</x:f>
      </x:c>
      <x:c r="S17" s="100" t="str">
        <x:f>IF('Master'!T518="","",'Master'!T518)</x:f>
      </x:c>
      <x:c r="T17" s="100" t="str">
        <x:f>IF('Master'!U518="","",'Master'!U518)</x:f>
      </x:c>
      <x:c r="U17" s="100" t="str">
        <x:f>IF('Master'!V518="","",'Master'!V518)</x:f>
        <x:v>48 hours / HMAC fingerprint</x:v>
      </x:c>
      <x:c r="V17" s="100" t="str">
        <x:f>IF('Master'!W518="","",'Master'!W518)</x:f>
      </x:c>
      <x:c r="W17" s="100" t="str">
        <x:f>IF('Master'!X518="","",'Master'!X518)</x:f>
      </x:c>
      <x:c r="X17" s="100" t="str">
        <x:f>IF('Master'!Y518="","",'Master'!Y518)</x:f>
      </x:c>
      <x:c r="Y17" s="100" t="str">
        <x:f>IF('Master'!Z518="","",'Master'!Z518)</x:f>
      </x:c>
      <x:c r="Z17" s="100" t="str">
        <x:f>IF('Master'!AA518="","",'Master'!AA518)</x:f>
      </x:c>
      <x:c r="AA17" s="104" t="str">
        <x:f>IF('Master'!AB518="","",'Master'!AB518)</x:f>
      </x:c>
      <x:c r="AB17" s="100" t="str">
        <x:f>IF('Master'!AC518="","",'Master'!AC518)</x:f>
      </x:c>
      <x:c r="AC17" s="100" t="str">
        <x:f>IF('Master'!AD518="","",'Master'!AD518)</x:f>
      </x:c>
      <x:c r="AD17" s="100" t="str">
        <x:f>IF('Master'!AE518="","",'Master'!AE518)</x:f>
      </x:c>
      <x:c r="AE17" s="100" t="str">
        <x:f>IF('Master'!AF518="","",'Master'!AF518)</x:f>
      </x:c>
      <x:c r="AF17" s="75" t="str">
        <x:f>IF('Master'!AG518="","",'Master'!AG518)</x:f>
      </x:c>
    </x:row>
    <x:row r="18" ht="36" customHeight="1">
      <x:c r="A18" s="135" t="str">
        <x:v>EXIF Scrubbing?</x:v>
      </x:c>
      <x:c r="B18" s="100" t="str">
        <x:f>IF('Master'!C309="","",'Master'!C309)</x:f>
      </x:c>
      <x:c r="C18" s="100" t="str">
        <x:f>IF('Master'!D309="","",'Master'!D309)</x:f>
      </x:c>
      <x:c r="D18" s="100" t="str">
        <x:f>IF('Master'!E309="","",'Master'!E309)</x:f>
      </x:c>
      <x:c r="E18" s="100" t="str">
        <x:f>IF('Master'!F309="","",'Master'!F309)</x:f>
      </x:c>
      <x:c r="F18" s="100" t="str">
        <x:f>IF('Master'!G309="","",'Master'!G309)</x:f>
      </x:c>
      <x:c r="G18" s="100" t="str">
        <x:f>IF('Master'!H309="","",'Master'!H309)</x:f>
      </x:c>
      <x:c r="H18" s="100" t="str">
        <x:f>IF('Master'!I309="","",'Master'!I309)</x:f>
      </x:c>
      <x:c r="I18" s="100" t="str">
        <x:f>IF('Master'!J309="","",'Master'!J309)</x:f>
      </x:c>
      <x:c r="J18" s="100" t="str">
        <x:f>IF('Master'!K309="","",'Master'!K309)</x:f>
      </x:c>
      <x:c r="K18" s="100" t="str">
        <x:f>IF('Master'!L309="","",'Master'!L309)</x:f>
        <x:v>Not explicitly documented</x:v>
      </x:c>
      <x:c r="L18" s="100" t="str">
        <x:f>IF('Master'!M309="","",'Master'!M309)</x:f>
      </x:c>
      <x:c r="M18" s="100" t="str">
        <x:f>IF('Master'!N309="","",'Master'!N309)</x:f>
      </x:c>
      <x:c r="N18" s="100" t="str">
        <x:f>IF('Master'!O309="","",'Master'!O309)</x:f>
        <x:v>Client/server-dependent</x:v>
      </x:c>
      <x:c r="O18" s="100" t="str">
        <x:f>IF('Master'!P309="","",'Master'!P309)</x:f>
      </x:c>
      <x:c r="P18" s="100" t="str">
        <x:f>IF('Master'!Q309="","",'Master'!Q309)</x:f>
      </x:c>
      <x:c r="Q18" s="100" t="str">
        <x:f>IF('Master'!R309="","",'Master'!R309)</x:f>
        <x:v>N/A</x:v>
      </x:c>
      <x:c r="R18" s="100" t="str">
        <x:f>IF('Master'!S309="","",'Master'!S309)</x:f>
      </x:c>
      <x:c r="S18" s="100" t="str">
        <x:f>IF('Master'!T309="","",'Master'!T309)</x:f>
      </x:c>
      <x:c r="T18" s="100" t="str">
        <x:f>IF('Master'!U309="","",'Master'!U309)</x:f>
      </x:c>
      <x:c r="U18" s="100" t="str">
        <x:f>IF('Master'!V309="","",'Master'!V309)</x:f>
        <x:v>Yes — automatic EXIF stripping</x:v>
      </x:c>
      <x:c r="V18" s="100" t="str">
        <x:f>IF('Master'!W309="","",'Master'!W309)</x:f>
      </x:c>
      <x:c r="W18" s="100" t="str">
        <x:f>IF('Master'!X309="","",'Master'!X309)</x:f>
      </x:c>
      <x:c r="X18" s="100" t="str">
        <x:f>IF('Master'!Y309="","",'Master'!Y309)</x:f>
      </x:c>
      <x:c r="Y18" s="100" t="str">
        <x:f>IF('Master'!Z309="","",'Master'!Z309)</x:f>
      </x:c>
      <x:c r="Z18" s="100" t="str">
        <x:f>IF('Master'!AA309="","",'Master'!AA309)</x:f>
      </x:c>
      <x:c r="AA18" s="104" t="str">
        <x:f>IF('Master'!AB309="","",'Master'!AB309)</x:f>
      </x:c>
      <x:c r="AB18" s="100" t="str">
        <x:f>IF('Master'!AC309="","",'Master'!AC309)</x:f>
      </x:c>
      <x:c r="AC18" s="100" t="str">
        <x:f>IF('Master'!AD309="","",'Master'!AD309)</x:f>
      </x:c>
      <x:c r="AD18" s="100" t="str">
        <x:f>IF('Master'!AE309="","",'Master'!AE309)</x:f>
      </x:c>
      <x:c r="AE18" s="100" t="str">
        <x:f>IF('Master'!AF309="","",'Master'!AF309)</x:f>
      </x:c>
      <x:c r="AF18" s="75" t="str">
        <x:f>IF('Master'!AG309="","",'Master'!AG309)</x:f>
      </x:c>
    </x:row>
    <x:row r="19" ht="36" customHeight="1">
      <x:c r="A19" s="135" t="str">
        <x:v>Data Region Selectable?</x:v>
      </x:c>
      <x:c r="B19" s="100" t="str">
        <x:f>IF('Master'!C523="","",'Master'!C523)</x:f>
      </x:c>
      <x:c r="C19" s="100" t="str">
        <x:f>IF('Master'!D523="","",'Master'!D523)</x:f>
        <x:v>Operator-selected</x:v>
      </x:c>
      <x:c r="D19" s="100" t="str">
        <x:f>IF('Master'!E523="","",'Master'!E523)</x:f>
        <x:v>Operator-selected</x:v>
      </x:c>
      <x:c r="E19" s="100" t="str">
        <x:f>IF('Master'!F523="","",'Master'!F523)</x:f>
      </x:c>
      <x:c r="F19" s="100" t="str">
        <x:f>IF('Master'!G523="","",'Master'!G523)</x:f>
      </x:c>
      <x:c r="G19" s="100" t="str">
        <x:f>IF('Master'!H523="","",'Master'!H523)</x:f>
      </x:c>
      <x:c r="H19" s="100" t="str">
        <x:f>IF('Master'!I523="","",'Master'!I523)</x:f>
        <x:v>Operator-selected</x:v>
      </x:c>
      <x:c r="I19" s="100" t="str">
        <x:f>IF('Master'!J523="","",'Master'!J523)</x:f>
        <x:v>Operator-selected</x:v>
      </x:c>
      <x:c r="J19" s="100" t="str">
        <x:f>IF('Master'!K523="","",'Master'!K523)</x:f>
      </x:c>
      <x:c r="K19" s="100" t="str">
        <x:f>IF('Master'!L523="","",'Master'!L523)</x:f>
        <x:v>Self-host: operator chooses region/providers; official hosted service does not document per-user region selection</x:v>
      </x:c>
      <x:c r="L19" s="100" t="str">
        <x:f>IF('Master'!M523="","",'Master'!M523)</x:f>
      </x:c>
      <x:c r="M19" s="100" t="str">
        <x:f>IF('Master'!N523="","",'Master'!N523)</x:f>
        <x:v>Operator-selected</x:v>
      </x:c>
      <x:c r="N19" s="100" t="str">
        <x:f>IF('Master'!O523="","",'Master'!O523)</x:f>
      </x:c>
      <x:c r="O19" s="100" t="str">
        <x:f>IF('Master'!P523="","",'Master'!P523)</x:f>
        <x:v>Operator-selected</x:v>
      </x:c>
      <x:c r="P19" s="100" t="str">
        <x:f>IF('Master'!Q523="","",'Master'!Q523)</x:f>
      </x:c>
      <x:c r="Q19" s="100" t="str">
        <x:f>IF('Master'!R523="","",'Master'!R523)</x:f>
        <x:v>Operator-selected</x:v>
      </x:c>
      <x:c r="R19" s="100" t="str">
        <x:f>IF('Master'!S523="","",'Master'!S523)</x:f>
      </x:c>
      <x:c r="S19" s="100" t="str">
        <x:f>IF('Master'!T523="","",'Master'!T523)</x:f>
        <x:v>Yes</x:v>
      </x:c>
      <x:c r="T19" s="100" t="str">
        <x:f>IF('Master'!U523="","",'Master'!U523)</x:f>
        <x:v>Hosted service is in São Paulo; self-hosters choose their own region</x:v>
      </x:c>
      <x:c r="U19" s="100" t="str">
        <x:f>IF('Master'!V523="","",'Master'!V523)</x:f>
      </x:c>
      <x:c r="V19" s="100" t="str">
        <x:f>IF('Master'!W523="","",'Master'!W523)</x:f>
        <x:v>Operator-selected</x:v>
      </x:c>
      <x:c r="W19" s="100" t="str">
        <x:f>IF('Master'!X523="","",'Master'!X523)</x:f>
      </x:c>
      <x:c r="X19" s="100" t="str">
        <x:f>IF('Master'!Y523="","",'Master'!Y523)</x:f>
      </x:c>
      <x:c r="Y19" s="100" t="str">
        <x:f>IF('Master'!Z523="","",'Master'!Z523)</x:f>
        <x:v>Operator-selected</x:v>
      </x:c>
      <x:c r="Z19" s="100" t="str">
        <x:f>IF('Master'!AA523="","",'Master'!AA523)</x:f>
        <x:v>Operator-selected</x:v>
      </x:c>
      <x:c r="AA19" s="104" t="str">
        <x:f>IF('Master'!AB523="","",'Master'!AB523)</x:f>
        <x:v>Operator-selected</x:v>
      </x:c>
      <x:c r="AB19" s="100" t="str">
        <x:f>IF('Master'!AC523="","",'Master'!AC523)</x:f>
        <x:v>Operator-selected</x:v>
      </x:c>
      <x:c r="AC19" s="100" t="str">
        <x:f>IF('Master'!AD523="","",'Master'!AD523)</x:f>
        <x:v>Operator-selected</x:v>
      </x:c>
      <x:c r="AD19" s="100" t="str">
        <x:f>IF('Master'!AE523="","",'Master'!AE523)</x:f>
      </x:c>
      <x:c r="AE19" s="100" t="str">
        <x:f>IF('Master'!AF523="","",'Master'!AF523)</x:f>
        <x:v>Operator-selected</x:v>
      </x:c>
      <x:c r="AF19" s="75" t="str">
        <x:f>IF('Master'!AG523="","",'Master'!AG523)</x:f>
        <x:v>Operator-selected</x:v>
      </x:c>
    </x:row>
  </x:sheetData>
  <x:mergeCells>
    <x:mergeCell ref="A1:AF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Directory'!A1","Encryption Details"),"Encryption Details")</x:f>
        <x:v>Encryption Details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Text 1:1 DM E2EE</x:v>
      </x:c>
      <x:c r="B3" s="100" t="str">
        <x:f>IF('Master'!C479="","",'Master'!C479)</x:f>
        <x:v>No (text)</x:v>
      </x:c>
      <x:c r="C3" s="100" t="str">
        <x:f>IF('Master'!D479="","",'Master'!D479)</x:f>
        <x:v>Yes</x:v>
      </x:c>
      <x:c r="D3" s="100" t="str">
        <x:f>IF('Master'!E479="","",'Master'!E479)</x:f>
        <x:v>Yes for desktop server DMs when enabled; messenger always yes</x:v>
      </x:c>
      <x:c r="E3" s="100" t="str">
        <x:f>IF('Master'!F479="","",'Master'!F479)</x:f>
        <x:v>No default text E2EE verified</x:v>
      </x:c>
      <x:c r="F3" s="100" t="str">
        <x:f>IF('Master'!G479="","",'Master'!G479)</x:f>
        <x:v>Yes</x:v>
      </x:c>
      <x:c r="G3" s="100" t="str">
        <x:f>IF('Master'!H479="","",'Master'!H479)</x:f>
        <x:v>No</x:v>
      </x:c>
      <x:c r="H3" s="100" t="str">
        <x:f>IF('Master'!I479="","",'Master'!I479)</x:f>
        <x:v>No</x:v>
      </x:c>
      <x:c r="I3" s="100" t="str">
        <x:f>IF('Master'!J479="","",'Master'!J479)</x:f>
        <x:v>No</x:v>
      </x:c>
      <x:c r="J3" s="100" t="str">
        <x:f>IF('Master'!K479="","",'Master'!K479)</x:f>
        <x:v>Yes</x:v>
      </x:c>
      <x:c r="K3" s="100" t="str">
        <x:f>IF('Master'!L479="","",'Master'!L479)</x:f>
        <x:v>Yes — optional room/DM MLS 1.0</x:v>
      </x:c>
      <x:c r="L3" s="100" t="str">
        <x:f>IF('Master'!M479="","",'Master'!M479)</x:f>
      </x:c>
      <x:c r="M3" s="100" t="str">
        <x:f>IF('Master'!N479="","",'Master'!N479)</x:f>
      </x:c>
      <x:c r="N3" s="100" t="str">
        <x:f>IF('Master'!O479="","",'Master'!O479)</x:f>
        <x:v>Supported; default depends on client/room</x:v>
      </x:c>
      <x:c r="O3" s="100" t="str">
        <x:f>IF('Master'!P479="","",'Master'!P479)</x:f>
        <x:v>No</x:v>
      </x:c>
      <x:c r="P3" s="100" t="str">
        <x:f>IF('Master'!Q479="","",'Master'!Q479)</x:f>
        <x:v>E2EE claimed</x:v>
      </x:c>
      <x:c r="Q3" s="100" t="str">
        <x:f>IF('Master'!R479="","",'Master'!R479)</x:f>
        <x:v>N/A</x:v>
      </x:c>
      <x:c r="R3" s="100" t="str">
        <x:f>IF('Master'!S479="","",'Master'!S479)</x:f>
        <x:v>No default E2EE verified</x:v>
      </x:c>
      <x:c r="S3" s="100" t="str">
        <x:f>IF('Master'!T479="","",'Master'!T479)</x:f>
        <x:v>No</x:v>
      </x:c>
      <x:c r="T3" s="100" t="str">
        <x:f>IF('Master'!U479="","",'Master'!U479)</x:f>
        <x:v>No — not marketed as E2EE</x:v>
      </x:c>
      <x:c r="U3" s="100" t="str">
        <x:f>IF('Master'!V479="","",'Master'!V479)</x:f>
        <x:v>Yes</x:v>
      </x:c>
      <x:c r="V3" s="100" t="str">
        <x:f>IF('Master'!W479="","",'Master'!W479)</x:f>
        <x:v>Available in supported E2EE conversations</x:v>
      </x:c>
      <x:c r="W3" s="100" t="str">
        <x:f>IF('Master'!X479="","",'Master'!X479)</x:f>
        <x:v>No default E2EE verified</x:v>
      </x:c>
      <x:c r="X3" s="100" t="str">
        <x:f>IF('Master'!Y479="","",'Master'!Y479)</x:f>
        <x:v>No claim / treated as server-readable</x:v>
      </x:c>
      <x:c r="Y3" s="100" t="str">
        <x:f>IF('Master'!Z479="","",'Master'!Z479)</x:f>
        <x:v>No documented default</x:v>
      </x:c>
      <x:c r="Z3" s="100" t="str">
        <x:f>IF('Master'!AA479="","",'Master'!AA479)</x:f>
        <x:v>No default E2EE verified</x:v>
      </x:c>
      <x:c r="AA3" s="104" t="str">
        <x:f>IF('Master'!AB479="","",'Master'!AB479)</x:f>
      </x:c>
      <x:c r="AB3" s="100" t="str">
        <x:f>IF('Master'!AC479="","",'Master'!AC479)</x:f>
        <x:v>No default E2EE claim</x:v>
      </x:c>
      <x:c r="AC3" s="100" t="str">
        <x:f>IF('Master'!AD479="","",'Master'!AD479)</x:f>
        <x:v>No by default</x:v>
      </x:c>
      <x:c r="AD3" s="100" t="str">
        <x:f>IF('Master'!AE479="","",'Master'!AE479)</x:f>
        <x:v>No</x:v>
      </x:c>
      <x:c r="AE3" s="100" t="str">
        <x:f>IF('Master'!AF479="","",'Master'!AF479)</x:f>
      </x:c>
      <x:c r="AF3" s="75" t="str">
        <x:f>IF('Master'!AG479="","",'Master'!AG479)</x:f>
        <x:v>No</x:v>
      </x:c>
    </x:row>
    <x:row r="4" ht="36" customHeight="1">
      <x:c r="A4" s="135" t="str">
        <x:v>Group DM E2EE</x:v>
      </x:c>
      <x:c r="B4" s="100" t="str">
        <x:f>IF('Master'!C480="","",'Master'!C480)</x:f>
        <x:v>No (text)</x:v>
      </x:c>
      <x:c r="C4" s="100" t="str">
        <x:f>IF('Master'!D480="","",'Master'!D480)</x:f>
        <x:v>Yes</x:v>
      </x:c>
      <x:c r="D4" s="100" t="str">
        <x:f>IF('Master'!E480="","",'Master'!E480)</x:f>
      </x:c>
      <x:c r="E4" s="100" t="str">
        <x:f>IF('Master'!F480="","",'Master'!F480)</x:f>
        <x:v>No</x:v>
      </x:c>
      <x:c r="F4" s="100" t="str">
        <x:f>IF('Master'!G480="","",'Master'!G480)</x:f>
      </x:c>
      <x:c r="G4" s="100" t="str">
        <x:f>IF('Master'!H480="","",'Master'!H480)</x:f>
        <x:v>No</x:v>
      </x:c>
      <x:c r="H4" s="100" t="str">
        <x:f>IF('Master'!I480="","",'Master'!I480)</x:f>
        <x:v>No</x:v>
      </x:c>
      <x:c r="I4" s="100" t="str">
        <x:f>IF('Master'!J480="","",'Master'!J480)</x:f>
        <x:v>No</x:v>
      </x:c>
      <x:c r="J4" s="100" t="str">
        <x:f>IF('Master'!K480="","",'Master'!K480)</x:f>
        <x:v>Yes</x:v>
      </x:c>
      <x:c r="K4" s="100" t="str">
        <x:f>IF('Master'!L480="","",'Master'!L480)</x:f>
        <x:v>Yes — optional room/DM MLS 1.0</x:v>
      </x:c>
      <x:c r="L4" s="100" t="str">
        <x:f>IF('Master'!M480="","",'Master'!M480)</x:f>
      </x:c>
      <x:c r="M4" s="100" t="str">
        <x:f>IF('Master'!N480="","",'Master'!N480)</x:f>
      </x:c>
      <x:c r="N4" s="100" t="str">
        <x:f>IF('Master'!O480="","",'Master'!O480)</x:f>
        <x:v>Supported in encrypted rooms</x:v>
      </x:c>
      <x:c r="O4" s="100" t="str">
        <x:f>IF('Master'!P480="","",'Master'!P480)</x:f>
        <x:v>No</x:v>
      </x:c>
      <x:c r="P4" s="100" t="str">
        <x:f>IF('Master'!Q480="","",'Master'!Q480)</x:f>
        <x:v>E2EE claimed</x:v>
      </x:c>
      <x:c r="Q4" s="100" t="str">
        <x:f>IF('Master'!R480="","",'Master'!R480)</x:f>
        <x:v>N/A</x:v>
      </x:c>
      <x:c r="R4" s="100" t="str">
        <x:f>IF('Master'!S480="","",'Master'!S480)</x:f>
        <x:v>No</x:v>
      </x:c>
      <x:c r="S4" s="100" t="str">
        <x:f>IF('Master'!T480="","",'Master'!T480)</x:f>
        <x:v>No</x:v>
      </x:c>
      <x:c r="T4" s="100" t="str">
        <x:f>IF('Master'!U480="","",'Master'!U480)</x:f>
        <x:v>No — not marketed as E2EE</x:v>
      </x:c>
      <x:c r="U4" s="100" t="str">
        <x:f>IF('Master'!V480="","",'Master'!V480)</x:f>
        <x:v>No — Splinters/group chats are server-readable after decryption</x:v>
      </x:c>
      <x:c r="V4" s="100" t="str">
        <x:f>IF('Master'!W480="","",'Master'!W480)</x:f>
        <x:v>Available with limitations/version-dependent</x:v>
      </x:c>
      <x:c r="W4" s="100" t="str">
        <x:f>IF('Master'!X480="","",'Master'!X480)</x:f>
        <x:v>No</x:v>
      </x:c>
      <x:c r="X4" s="100" t="str">
        <x:f>IF('Master'!Y480="","",'Master'!Y480)</x:f>
        <x:v>No claim</x:v>
      </x:c>
      <x:c r="Y4" s="100" t="str">
        <x:f>IF('Master'!Z480="","",'Master'!Z480)</x:f>
        <x:v>No documented default</x:v>
      </x:c>
      <x:c r="Z4" s="100" t="str">
        <x:f>IF('Master'!AA480="","",'Master'!AA480)</x:f>
        <x:v>No default E2EE verified</x:v>
      </x:c>
      <x:c r="AA4" s="104" t="str">
        <x:f>IF('Master'!AB480="","",'Master'!AB480)</x:f>
      </x:c>
      <x:c r="AB4" s="100" t="str">
        <x:f>IF('Master'!AC480="","",'Master'!AC480)</x:f>
        <x:v>No</x:v>
      </x:c>
      <x:c r="AC4" s="100" t="str">
        <x:f>IF('Master'!AD480="","",'Master'!AD480)</x:f>
      </x:c>
      <x:c r="AD4" s="100" t="str">
        <x:f>IF('Master'!AE480="","",'Master'!AE480)</x:f>
        <x:v>No</x:v>
      </x:c>
      <x:c r="AE4" s="100" t="str">
        <x:f>IF('Master'!AF480="","",'Master'!AF480)</x:f>
      </x:c>
      <x:c r="AF4" s="75" t="str">
        <x:f>IF('Master'!AG480="","",'Master'!AG480)</x:f>
        <x:v>No</x:v>
      </x:c>
    </x:row>
    <x:row r="5" ht="36" customHeight="1">
      <x:c r="A5" s="135" t="str">
        <x:v>Community / Channel Text E2EE</x:v>
      </x:c>
      <x:c r="B5" s="100" t="str">
        <x:f>IF('Master'!C481="","",'Master'!C481)</x:f>
        <x:v>No (text)</x:v>
      </x:c>
      <x:c r="C5" s="100" t="str">
        <x:f>IF('Master'!D481="","",'Master'!D481)</x:f>
        <x:v>Yes</x:v>
      </x:c>
      <x:c r="D5" s="100" t="str">
        <x:f>IF('Master'!E481="","",'Master'!E481)</x:f>
        <x:v>No for normal server channels</x:v>
      </x:c>
      <x:c r="E5" s="100" t="str">
        <x:f>IF('Master'!F481="","",'Master'!F481)</x:f>
        <x:v>No</x:v>
      </x:c>
      <x:c r="F5" s="100" t="str">
        <x:f>IF('Master'!G481="","",'Master'!G481)</x:f>
        <x:v>No</x:v>
      </x:c>
      <x:c r="G5" s="100" t="str">
        <x:f>IF('Master'!H481="","",'Master'!H481)</x:f>
        <x:v>No</x:v>
      </x:c>
      <x:c r="H5" s="100" t="str">
        <x:f>IF('Master'!I481="","",'Master'!I481)</x:f>
        <x:v>No</x:v>
      </x:c>
      <x:c r="I5" s="100" t="str">
        <x:f>IF('Master'!J481="","",'Master'!J481)</x:f>
        <x:v>No</x:v>
      </x:c>
      <x:c r="J5" s="100" t="str">
        <x:f>IF('Master'!K481="","",'Master'!K481)</x:f>
        <x:v>Yes for private channels; public channels are intentionally plaintext/public</x:v>
      </x:c>
      <x:c r="K5" s="100" t="str">
        <x:f>IF('Master'!L481="","",'Master'!L481)</x:f>
        <x:v>Yes — optional room/DM MLS 1.0</x:v>
      </x:c>
      <x:c r="L5" s="100" t="str">
        <x:f>IF('Master'!M481="","",'Master'!M481)</x:f>
      </x:c>
      <x:c r="M5" s="100" t="str">
        <x:f>IF('Master'!N481="","",'Master'!N481)</x:f>
      </x:c>
      <x:c r="N5" s="100" t="str">
        <x:f>IF('Master'!O481="","",'Master'!O481)</x:f>
        <x:v>Supported in encrypted rooms</x:v>
      </x:c>
      <x:c r="O5" s="100" t="str">
        <x:f>IF('Master'!P481="","",'Master'!P481)</x:f>
        <x:v>No</x:v>
      </x:c>
      <x:c r="P5" s="100" t="str">
        <x:f>IF('Master'!Q481="","",'Master'!Q481)</x:f>
      </x:c>
      <x:c r="Q5" s="100" t="str">
        <x:f>IF('Master'!R481="","",'Master'!R481)</x:f>
        <x:v>N/A</x:v>
      </x:c>
      <x:c r="R5" s="100" t="str">
        <x:f>IF('Master'!S481="","",'Master'!S481)</x:f>
        <x:v>No</x:v>
      </x:c>
      <x:c r="S5" s="100" t="str">
        <x:f>IF('Master'!T481="","",'Master'!T481)</x:f>
        <x:v>No</x:v>
      </x:c>
      <x:c r="T5" s="100" t="str">
        <x:f>IF('Master'!U481="","",'Master'!U481)</x:f>
        <x:v>No — not marketed as E2EE</x:v>
      </x:c>
      <x:c r="U5" s="100" t="str">
        <x:f>IF('Master'!V481="","",'Master'!V481)</x:f>
        <x:v>No — community channels are encrypted at rest, not E2EE</x:v>
      </x:c>
      <x:c r="V5" s="100" t="str">
        <x:f>IF('Master'!W481="","",'Master'!W481)</x:f>
        <x:v>Available for encrypted rooms; federation has limitations</x:v>
      </x:c>
      <x:c r="W5" s="100" t="str">
        <x:f>IF('Master'!X481="","",'Master'!X481)</x:f>
        <x:v>No</x:v>
      </x:c>
      <x:c r="X5" s="100" t="str">
        <x:f>IF('Master'!Y481="","",'Master'!Y481)</x:f>
        <x:v>No claim</x:v>
      </x:c>
      <x:c r="Y5" s="100" t="str">
        <x:f>IF('Master'!Z481="","",'Master'!Z481)</x:f>
        <x:v>No documented default</x:v>
      </x:c>
      <x:c r="Z5" s="100" t="str">
        <x:f>IF('Master'!AA481="","",'Master'!AA481)</x:f>
        <x:v>No</x:v>
      </x:c>
      <x:c r="AA5" s="104" t="str">
        <x:f>IF('Master'!AB481="","",'Master'!AB481)</x:f>
      </x:c>
      <x:c r="AB5" s="100" t="str">
        <x:f>IF('Master'!AC481="","",'Master'!AC481)</x:f>
        <x:v>No</x:v>
      </x:c>
      <x:c r="AC5" s="100" t="str">
        <x:f>IF('Master'!AD481="","",'Master'!AD481)</x:f>
        <x:v>No by default</x:v>
      </x:c>
      <x:c r="AD5" s="100" t="str">
        <x:f>IF('Master'!AE481="","",'Master'!AE481)</x:f>
        <x:v>No</x:v>
      </x:c>
      <x:c r="AE5" s="100" t="str">
        <x:f>IF('Master'!AF481="","",'Master'!AF481)</x:f>
      </x:c>
      <x:c r="AF5" s="75" t="str">
        <x:f>IF('Master'!AG481="","",'Master'!AG481)</x:f>
        <x:v>No</x:v>
      </x:c>
    </x:row>
    <x:row r="6" ht="36" customHeight="1">
      <x:c r="A6" s="135" t="str">
        <x:v>Voice E2EE</x:v>
      </x:c>
      <x:c r="B6" s="100" t="str">
        <x:f>IF('Master'!C482="","",'Master'!C482)</x:f>
        <x:v>Yes by default for calls/Go Live via DAVE</x:v>
      </x:c>
      <x:c r="C6" s="100" t="str">
        <x:f>IF('Master'!D482="","",'Master'!D482)</x:f>
      </x:c>
      <x:c r="D6" s="100" t="str">
        <x:f>IF('Master'!E482="","",'Master'!E482)</x:f>
      </x:c>
      <x:c r="E6" s="100" t="str">
        <x:f>IF('Master'!F482="","",'Master'!F482)</x:f>
      </x:c>
      <x:c r="F6" s="100" t="str">
        <x:f>IF('Master'!G482="","",'Master'!G482)</x:f>
      </x:c>
      <x:c r="G6" s="100" t="str">
        <x:f>IF('Master'!H482="","",'Master'!H482)</x:f>
        <x:v>No currently</x:v>
      </x:c>
      <x:c r="H6" s="100" t="str">
        <x:f>IF('Master'!I482="","",'Master'!I482)</x:f>
        <x:v>Yes — voice claimed E2EE</x:v>
      </x:c>
      <x:c r="I6" s="100" t="str">
        <x:f>IF('Master'!J482="","",'Master'!J482)</x:f>
        <x:v>No currently</x:v>
      </x:c>
      <x:c r="J6" s="100" t="str">
        <x:f>IF('Master'!K482="","",'Master'!K482)</x:f>
        <x:v>Yes/SFrame claim</x:v>
      </x:c>
      <x:c r="K6" s="100" t="str">
        <x:f>IF('Master'!L482="","",'Master'!L482)</x:f>
        <x:v>Yes — MLS policy also protects supported LiveKit microphone/camera/screen/screen-audio frames</x:v>
      </x:c>
      <x:c r="L6" s="100" t="str">
        <x:f>IF('Master'!M482="","",'Master'!M482)</x:f>
      </x:c>
      <x:c r="M6" s="100" t="str">
        <x:f>IF('Master'!N482="","",'Master'!N482)</x:f>
      </x:c>
      <x:c r="N6" s="100" t="str">
        <x:f>IF('Master'!O482="","",'Master'!O482)</x:f>
        <x:v>Supported by MatrixRTC/capable clients</x:v>
      </x:c>
      <x:c r="O6" s="100" t="str">
        <x:f>IF('Master'!P482="","",'Master'!P482)</x:f>
        <x:v>Not generally E2EE against server; deployment media security applies</x:v>
      </x:c>
      <x:c r="P6" s="100" t="str">
        <x:f>IF('Master'!Q482="","",'Master'!Q482)</x:f>
        <x:v>E2EE claimed</x:v>
      </x:c>
      <x:c r="Q6" s="100" t="str">
        <x:f>IF('Master'!R482="","",'Master'!R482)</x:f>
        <x:v>No — media is encrypted to server, not E2EE against server operator</x:v>
      </x:c>
      <x:c r="R6" s="100" t="str">
        <x:f>IF('Master'!S482="","",'Master'!S482)</x:f>
      </x:c>
      <x:c r="S6" s="100" t="str">
        <x:f>IF('Master'!T482="","",'Master'!T482)</x:f>
        <x:v>Encrypted transport; E2EE not claimed</x:v>
      </x:c>
      <x:c r="T6" s="100" t="str">
        <x:f>IF('Master'!U482="","",'Master'!U482)</x:f>
        <x:v>Not marketed as an E2EE product feature</x:v>
      </x:c>
      <x:c r="U6" s="100" t="str">
        <x:f>IF('Master'!V482="","",'Master'!V482)</x:f>
        <x:v>Yes — direct calls</x:v>
      </x:c>
      <x:c r="V6" s="100" t="str">
        <x:f>IF('Master'!W482="","",'Master'!W482)</x:f>
        <x:v>Provider/deployment-dependent</x:v>
      </x:c>
      <x:c r="W6" s="100" t="str">
        <x:f>IF('Master'!X482="","",'Master'!X482)</x:f>
        <x:v>N/A</x:v>
      </x:c>
      <x:c r="X6" s="100" t="str">
        <x:f>IF('Master'!Y482="","",'Master'!Y482)</x:f>
        <x:v>No E2EE claim in privacy policy</x:v>
      </x:c>
      <x:c r="Y6" s="100" t="str">
        <x:f>IF('Master'!Z482="","",'Master'!Z482)</x:f>
      </x:c>
      <x:c r="Z6" s="100" t="str">
        <x:f>IF('Master'!AA482="","",'Master'!AA482)</x:f>
      </x:c>
      <x:c r="AA6" s="104" t="str">
        <x:f>IF('Master'!AB482="","",'Master'!AB482)</x:f>
      </x:c>
      <x:c r="AB6" s="100" t="str">
        <x:f>IF('Master'!AC482="","",'Master'!AC482)</x:f>
      </x:c>
      <x:c r="AC6" s="100" t="str">
        <x:f>IF('Master'!AD482="","",'Master'!AD482)</x:f>
      </x:c>
      <x:c r="AD6" s="100" t="str">
        <x:f>IF('Master'!AE482="","",'Master'!AE482)</x:f>
      </x:c>
      <x:c r="AE6" s="100" t="str">
        <x:f>IF('Master'!AF482="","",'Master'!AF482)</x:f>
      </x:c>
      <x:c r="AF6" s="75" t="str">
        <x:f>IF('Master'!AG482="","",'Master'!AG482)</x:f>
        <x:v>External provider-dependent</x:v>
      </x:c>
    </x:row>
    <x:row r="7" ht="36" customHeight="1">
      <x:c r="A7" s="135" t="str">
        <x:v>Video E2EE</x:v>
      </x:c>
      <x:c r="B7" s="100" t="str">
        <x:f>IF('Master'!C483="","",'Master'!C483)</x:f>
        <x:v>Yes by default for calls/Go Live via DAVE</x:v>
      </x:c>
      <x:c r="C7" s="100" t="str">
        <x:f>IF('Master'!D483="","",'Master'!D483)</x:f>
      </x:c>
      <x:c r="D7" s="100" t="str">
        <x:f>IF('Master'!E483="","",'Master'!E483)</x:f>
      </x:c>
      <x:c r="E7" s="100" t="str">
        <x:f>IF('Master'!F483="","",'Master'!F483)</x:f>
      </x:c>
      <x:c r="F7" s="100" t="str">
        <x:f>IF('Master'!G483="","",'Master'!G483)</x:f>
      </x:c>
      <x:c r="G7" s="100" t="str">
        <x:f>IF('Master'!H483="","",'Master'!H483)</x:f>
        <x:v>No currently</x:v>
      </x:c>
      <x:c r="H7" s="100" t="str">
        <x:f>IF('Master'!I483="","",'Master'!I483)</x:f>
      </x:c>
      <x:c r="I7" s="100" t="str">
        <x:f>IF('Master'!J483="","",'Master'!J483)</x:f>
        <x:v>No currently</x:v>
      </x:c>
      <x:c r="J7" s="100" t="str">
        <x:f>IF('Master'!K483="","",'Master'!K483)</x:f>
        <x:v>Yes/SFrame claim</x:v>
      </x:c>
      <x:c r="K7" s="100" t="str">
        <x:f>IF('Master'!L483="","",'Master'!L483)</x:f>
        <x:v>Yes — MLS policy also protects supported LiveKit microphone/camera/screen/screen-audio frames</x:v>
      </x:c>
      <x:c r="L7" s="100" t="str">
        <x:f>IF('Master'!M483="","",'Master'!M483)</x:f>
      </x:c>
      <x:c r="M7" s="100" t="str">
        <x:f>IF('Master'!N483="","",'Master'!N483)</x:f>
      </x:c>
      <x:c r="N7" s="100" t="str">
        <x:f>IF('Master'!O483="","",'Master'!O483)</x:f>
        <x:v>Supported by MatrixRTC/capable clients</x:v>
      </x:c>
      <x:c r="O7" s="100" t="str">
        <x:f>IF('Master'!P483="","",'Master'!P483)</x:f>
        <x:v>Same</x:v>
      </x:c>
      <x:c r="P7" s="100" t="str">
        <x:f>IF('Master'!Q483="","",'Master'!Q483)</x:f>
        <x:v>E2EE claimed</x:v>
      </x:c>
      <x:c r="Q7" s="100" t="str">
        <x:f>IF('Master'!R483="","",'Master'!R483)</x:f>
        <x:v>N/A</x:v>
      </x:c>
      <x:c r="R7" s="100" t="str">
        <x:f>IF('Master'!S483="","",'Master'!S483)</x:f>
      </x:c>
      <x:c r="S7" s="100" t="str">
        <x:f>IF('Master'!T483="","",'Master'!T483)</x:f>
        <x:v>Encrypted transport; E2EE not claimed</x:v>
      </x:c>
      <x:c r="T7" s="100" t="str">
        <x:f>IF('Master'!U483="","",'Master'!U483)</x:f>
        <x:v>Not marketed as an E2EE product feature</x:v>
      </x:c>
      <x:c r="U7" s="100" t="str">
        <x:f>IF('Master'!V483="","",'Master'!V483)</x:f>
        <x:v>Yes — direct calls</x:v>
      </x:c>
      <x:c r="V7" s="100" t="str">
        <x:f>IF('Master'!W483="","",'Master'!W483)</x:f>
        <x:v>Provider/deployment-dependent</x:v>
      </x:c>
      <x:c r="W7" s="100" t="str">
        <x:f>IF('Master'!X483="","",'Master'!X483)</x:f>
        <x:v>N/A</x:v>
      </x:c>
      <x:c r="X7" s="100" t="str">
        <x:f>IF('Master'!Y483="","",'Master'!Y483)</x:f>
        <x:v>No E2EE claim</x:v>
      </x:c>
      <x:c r="Y7" s="100" t="str">
        <x:f>IF('Master'!Z483="","",'Master'!Z483)</x:f>
      </x:c>
      <x:c r="Z7" s="100" t="str">
        <x:f>IF('Master'!AA483="","",'Master'!AA483)</x:f>
      </x:c>
      <x:c r="AA7" s="104" t="str">
        <x:f>IF('Master'!AB483="","",'Master'!AB483)</x:f>
      </x:c>
      <x:c r="AB7" s="100" t="str">
        <x:f>IF('Master'!AC483="","",'Master'!AC483)</x:f>
      </x:c>
      <x:c r="AC7" s="100" t="str">
        <x:f>IF('Master'!AD483="","",'Master'!AD483)</x:f>
      </x:c>
      <x:c r="AD7" s="100" t="str">
        <x:f>IF('Master'!AE483="","",'Master'!AE483)</x:f>
      </x:c>
      <x:c r="AE7" s="100" t="str">
        <x:f>IF('Master'!AF483="","",'Master'!AF483)</x:f>
      </x:c>
      <x:c r="AF7" s="75" t="str">
        <x:f>IF('Master'!AG483="","",'Master'!AG483)</x:f>
        <x:v>External provider-dependent</x:v>
      </x:c>
    </x:row>
    <x:row r="8" ht="36" customHeight="1">
      <x:c r="A8" s="135" t="str">
        <x:v>Screen Share E2EE</x:v>
      </x:c>
      <x:c r="B8" s="100" t="str">
        <x:f>IF('Master'!C484="","",'Master'!C484)</x:f>
        <x:v>Yes by default for Go Live; Stage exception</x:v>
      </x:c>
      <x:c r="C8" s="100" t="str">
        <x:f>IF('Master'!D484="","",'Master'!D484)</x:f>
      </x:c>
      <x:c r="D8" s="100" t="str">
        <x:f>IF('Master'!E484="","",'Master'!E484)</x:f>
      </x:c>
      <x:c r="E8" s="100" t="str">
        <x:f>IF('Master'!F484="","",'Master'!F484)</x:f>
      </x:c>
      <x:c r="F8" s="100" t="str">
        <x:f>IF('Master'!G484="","",'Master'!G484)</x:f>
      </x:c>
      <x:c r="G8" s="100" t="str">
        <x:f>IF('Master'!H484="","",'Master'!H484)</x:f>
        <x:v>No currently</x:v>
      </x:c>
      <x:c r="H8" s="100" t="str">
        <x:f>IF('Master'!I484="","",'Master'!I484)</x:f>
      </x:c>
      <x:c r="I8" s="100" t="str">
        <x:f>IF('Master'!J484="","",'Master'!J484)</x:f>
        <x:v>No currently</x:v>
      </x:c>
      <x:c r="J8" s="100" t="str">
        <x:f>IF('Master'!K484="","",'Master'!K484)</x:f>
      </x:c>
      <x:c r="K8" s="100" t="str">
        <x:f>IF('Master'!L484="","",'Master'!L484)</x:f>
        <x:v>Yes — MLS policy also protects supported LiveKit microphone/camera/screen/screen-audio frames</x:v>
      </x:c>
      <x:c r="L8" s="100" t="str">
        <x:f>IF('Master'!M484="","",'Master'!M484)</x:f>
      </x:c>
      <x:c r="M8" s="100" t="str">
        <x:f>IF('Master'!N484="","",'Master'!N484)</x:f>
      </x:c>
      <x:c r="N8" s="100" t="str">
        <x:f>IF('Master'!O484="","",'Master'!O484)</x:f>
        <x:v>Supported by MatrixRTC/capable clients</x:v>
      </x:c>
      <x:c r="O8" s="100" t="str">
        <x:f>IF('Master'!P484="","",'Master'!P484)</x:f>
        <x:v>Same</x:v>
      </x:c>
      <x:c r="P8" s="100" t="str">
        <x:f>IF('Master'!Q484="","",'Master'!Q484)</x:f>
      </x:c>
      <x:c r="Q8" s="100" t="str">
        <x:f>IF('Master'!R484="","",'Master'!R484)</x:f>
        <x:v>N/A</x:v>
      </x:c>
      <x:c r="R8" s="100" t="str">
        <x:f>IF('Master'!S484="","",'Master'!S484)</x:f>
      </x:c>
      <x:c r="S8" s="100" t="str">
        <x:f>IF('Master'!T484="","",'Master'!T484)</x:f>
      </x:c>
      <x:c r="T8" s="100" t="str">
        <x:f>IF('Master'!U484="","",'Master'!U484)</x:f>
        <x:v>Not marketed as an E2EE product feature</x:v>
      </x:c>
      <x:c r="U8" s="100" t="str">
        <x:f>IF('Master'!V484="","",'Master'!V484)</x:f>
        <x:v>Yes — direct screen sharing/calls</x:v>
      </x:c>
      <x:c r="V8" s="100" t="str">
        <x:f>IF('Master'!W484="","",'Master'!W484)</x:f>
        <x:v>Provider/deployment-dependent</x:v>
      </x:c>
      <x:c r="W8" s="100" t="str">
        <x:f>IF('Master'!X484="","",'Master'!X484)</x:f>
        <x:v>N/A</x:v>
      </x:c>
      <x:c r="X8" s="100" t="str">
        <x:f>IF('Master'!Y484="","",'Master'!Y484)</x:f>
        <x:v>No E2EE claim</x:v>
      </x:c>
      <x:c r="Y8" s="100" t="str">
        <x:f>IF('Master'!Z484="","",'Master'!Z484)</x:f>
      </x:c>
      <x:c r="Z8" s="100" t="str">
        <x:f>IF('Master'!AA484="","",'Master'!AA484)</x:f>
      </x:c>
      <x:c r="AA8" s="104" t="str">
        <x:f>IF('Master'!AB484="","",'Master'!AB484)</x:f>
      </x:c>
      <x:c r="AB8" s="100" t="str">
        <x:f>IF('Master'!AC484="","",'Master'!AC484)</x:f>
      </x:c>
      <x:c r="AC8" s="100" t="str">
        <x:f>IF('Master'!AD484="","",'Master'!AD484)</x:f>
      </x:c>
      <x:c r="AD8" s="100" t="str">
        <x:f>IF('Master'!AE484="","",'Master'!AE484)</x:f>
      </x:c>
      <x:c r="AE8" s="100" t="str">
        <x:f>IF('Master'!AF484="","",'Master'!AF484)</x:f>
      </x:c>
      <x:c r="AF8" s="75" t="str">
        <x:f>IF('Master'!AG484="","",'Master'!AG484)</x:f>
        <x:v>External provider-dependent</x:v>
      </x:c>
    </x:row>
    <x:row r="9" ht="36" customHeight="1">
      <x:c r="A9" s="135" t="str">
        <x:v>Encryption Default / Optional</x:v>
      </x:c>
      <x:c r="B9" s="100" t="str">
        <x:f>IF('Master'!C485="","",'Master'!C485)</x:f>
        <x:v>Mandatory for supported voice/video; text not E2EE</x:v>
      </x:c>
      <x:c r="C9" s="100" t="str">
        <x:f>IF('Master'!D485="","",'Master'!D485)</x:f>
        <x:v>E2EE by default for communities</x:v>
      </x:c>
      <x:c r="D9" s="100" t="str">
        <x:f>IF('Master'!E485="","",'Master'!E485)</x:f>
        <x:v>Messenger mandatory; server DM encryption optional</x:v>
      </x:c>
      <x:c r="E9" s="100" t="str">
        <x:f>IF('Master'!F485="","",'Master'!F485)</x:f>
      </x:c>
      <x:c r="F9" s="100" t="str">
        <x:f>IF('Master'!G485="","",'Master'!G485)</x:f>
        <x:v>DM encryption is intended/default; media status is evolving</x:v>
      </x:c>
      <x:c r="G9" s="100" t="str">
        <x:f>IF('Master'!H485="","",'Master'!H485)</x:f>
        <x:v>Not E2EE as of 2026-09-13 privacy policy</x:v>
      </x:c>
      <x:c r="H9" s="100" t="str">
        <x:f>IF('Master'!I485="","",'Master'!I485)</x:f>
        <x:v>Voice only / text not claimed E2EE</x:v>
      </x:c>
      <x:c r="I9" s="100" t="str">
        <x:f>IF('Master'!J485="","",'Master'!J485)</x:f>
        <x:v>No E2EE currently</x:v>
      </x:c>
      <x:c r="J9" s="100" t="str">
        <x:f>IF('Master'!K485="","",'Master'!K485)</x:f>
        <x:v>Mandatory for private communication; public channels intentionally not</x:v>
      </x:c>
      <x:c r="K9" s="100" t="str">
        <x:f>IF('Master'!L485="","",'Master'!L485)</x:f>
        <x:v>Optional, room-level; activation is fail-closed and irreversible for future content once active</x:v>
      </x:c>
      <x:c r="L9" s="100" t="str">
        <x:f>IF('Master'!M485="","",'Master'!M485)</x:f>
        <x:v>E2EE WIP; TLS today</x:v>
      </x:c>
      <x:c r="M9" s="100" t="str">
        <x:f>IF('Master'!N485="","",'Master'!N485)</x:f>
        <x:v>Mixed/eligible content</x:v>
      </x:c>
      <x:c r="N9" s="100" t="str">
        <x:f>IF('Master'!O485="","",'Master'!O485)</x:f>
        <x:v>Optional at protocol level; many clients default private chats to encrypted</x:v>
      </x:c>
      <x:c r="O9" s="100" t="str">
        <x:f>IF('Master'!P485="","",'Master'!P485)</x:f>
        <x:v>Server-side enterprise collaboration model</x:v>
      </x:c>
      <x:c r="P9" s="100" t="str">
        <x:f>IF('Master'!Q485="","",'Master'!Q485)</x:f>
        <x:v>Claimed zero-knowledge/E2EE</x:v>
      </x:c>
      <x:c r="Q9" s="100" t="str">
        <x:f>IF('Master'!R485="","",'Master'!R485)</x:f>
        <x:v>Transport encryption</x:v>
      </x:c>
      <x:c r="R9" s="100" t="str">
        <x:f>IF('Master'!S485="","",'Master'!S485)</x:f>
      </x:c>
      <x:c r="S9" s="100" t="str">
        <x:f>IF('Master'!T485="","",'Master'!T485)</x:f>
        <x:v>Transport encryption</x:v>
      </x:c>
      <x:c r="T9" s="100" t="str">
        <x:f>IF('Master'!U485="","",'Master'!U485)</x:f>
        <x:v>TLS in transit; no E2EE product claim</x:v>
      </x:c>
      <x:c r="U9" s="100" t="str">
        <x:f>IF('Master'!V485="","",'Master'!V485)</x:f>
        <x:v>DM E2EE is default; Shard text is not E2EE</x:v>
      </x:c>
      <x:c r="V9" s="100" t="str">
        <x:f>IF('Master'!W485="","",'Master'!W485)</x:f>
        <x:v>Optional/room-dependent</x:v>
      </x:c>
      <x:c r="W9" s="100" t="str">
        <x:f>IF('Master'!X485="","",'Master'!X485)</x:f>
        <x:v>No E2EE verified</x:v>
      </x:c>
      <x:c r="X9" s="100" t="str">
        <x:f>IF('Master'!Y485="","",'Master'!Y485)</x:f>
        <x:v>Transport encryption only</x:v>
      </x:c>
      <x:c r="Y9" s="100" t="str">
        <x:f>IF('Master'!Z485="","",'Master'!Z485)</x:f>
        <x:v>No platform-wide E2EE guarantee</x:v>
      </x:c>
      <x:c r="Z9" s="100" t="str">
        <x:f>IF('Master'!AA485="","",'Master'!AA485)</x:f>
      </x:c>
      <x:c r="AA9" s="104" t="str">
        <x:f>IF('Master'!AB485="","",'Master'!AB485)</x:f>
      </x:c>
      <x:c r="AB9" s="100" t="str">
        <x:f>IF('Master'!AC485="","",'Master'!AC485)</x:f>
        <x:v>Transport/server-side</x:v>
      </x:c>
      <x:c r="AC9" s="100" t="str">
        <x:f>IF('Master'!AD485="","",'Master'!AD485)</x:f>
        <x:v>Per-conversation opt-in planned; default unencrypted</x:v>
      </x:c>
      <x:c r="AD9" s="100" t="str">
        <x:f>IF('Master'!AE485="","",'Master'!AE485)</x:f>
        <x:v>Transport encryption</x:v>
      </x:c>
      <x:c r="AE9" s="100" t="str">
        <x:f>IF('Master'!AF485="","",'Master'!AF485)</x:f>
        <x:v>Transport/self-host privacy model</x:v>
      </x:c>
      <x:c r="AF9" s="75" t="str">
        <x:f>IF('Master'!AG485="","",'Master'!AG485)</x:f>
        <x:v>Server-stored chat, no native E2EE</x:v>
      </x:c>
    </x:row>
    <x:row r="10" ht="36" customHeight="1">
      <x:c r="A10" s="135" t="str">
        <x:v>Can Hosted Server / Operator Read Text?</x:v>
      </x:c>
      <x:c r="B10" s="100" t="str">
        <x:f>IF('Master'!C486="","",'Master'!C486)</x:f>
        <x:v>Yes for text</x:v>
      </x:c>
      <x:c r="C10" s="100" t="str">
        <x:f>IF('Master'!D486="","",'Master'!D486)</x:f>
        <x:v>No for encrypted message bodies</x:v>
      </x:c>
      <x:c r="D10" s="100" t="str">
        <x:f>IF('Master'!E486="","",'Master'!E486)</x:f>
        <x:v>Server can read normal channel text; encrypted DMs are ciphertext</x:v>
      </x:c>
      <x:c r="E10" s="100" t="str">
        <x:f>IF('Master'!F486="","",'Master'!F486)</x:f>
        <x:v>Yes for text</x:v>
      </x:c>
      <x:c r="F10" s="100" t="str">
        <x:f>IF('Master'!G486="","",'Master'!G486)</x:f>
        <x:v>No for encrypted DM plaintext in normal flow; yes for community channels</x:v>
      </x:c>
      <x:c r="G10" s="100" t="str">
        <x:f>IF('Master'!H486="","",'Master'!H486)</x:f>
        <x:v>Yes</x:v>
      </x:c>
      <x:c r="H10" s="100" t="str">
        <x:f>IF('Master'!I486="","",'Master'!I486)</x:f>
        <x:v>Yes for text on hosted/self-host server</x:v>
      </x:c>
      <x:c r="I10" s="100" t="str">
        <x:f>IF('Master'!J486="","",'Master'!J486)</x:f>
        <x:v>Yes</x:v>
      </x:c>
      <x:c r="J10" s="100" t="str">
        <x:f>IF('Master'!K486="","",'Master'!K486)</x:f>
        <x:v>No for private plaintext</x:v>
      </x:c>
      <x:c r="K10" s="100" t="str">
        <x:f>IF('Master'!L486="","",'Master'!L486)</x:f>
        <x:v>Plaintext rooms: yes. Active MLS rooms: no message/file/media plaintext is available to honest-but-curious servers.</x:v>
      </x:c>
      <x:c r="L10" s="100" t="str">
        <x:f>IF('Master'!M486="","",'Master'!M486)</x:f>
        <x:v>Yes for current server-readable content</x:v>
      </x:c>
      <x:c r="M10" s="100" t="str">
        <x:f>IF('Master'!N486="","",'Master'!N486)</x:f>
        <x:v>Depends encrypted content type</x:v>
      </x:c>
      <x:c r="N10" s="100" t="str">
        <x:f>IF('Master'!O486="","",'Master'!O486)</x:f>
        <x:v>Not for correctly E2EE-encrypted events; homeserver still stores ciphertext and metadata</x:v>
      </x:c>
      <x:c r="O10" s="100" t="str">
        <x:f>IF('Master'!P486="","",'Master'!P486)</x:f>
        <x:v>Yes</x:v>
      </x:c>
      <x:c r="P10" s="100" t="str">
        <x:f>IF('Master'!Q486="","",'Master'!Q486)</x:f>
      </x:c>
      <x:c r="Q10" s="100" t="str">
        <x:f>IF('Master'!R486="","",'Master'!R486)</x:f>
        <x:v>N/A for persistent chat; server handles voice routing</x:v>
      </x:c>
      <x:c r="R10" s="100" t="str">
        <x:f>IF('Master'!S486="","",'Master'!S486)</x:f>
        <x:v>Yes for hosted text</x:v>
      </x:c>
      <x:c r="S10" s="100" t="str">
        <x:f>IF('Master'!T486="","",'Master'!T486)</x:f>
        <x:v>Yes for text</x:v>
      </x:c>
      <x:c r="T10" s="100" t="str">
        <x:f>IF('Master'!U486="","",'Master'!U486)</x:f>
        <x:v>No E2EE product claim; exact access policy not stated</x:v>
      </x:c>
      <x:c r="U10" s="100" t="str">
        <x:f>IF('Master'!V486="","",'Master'!V486)</x:f>
        <x:v>No for E2EE DM plaintext; yes for Shard/community channel plaintext</x:v>
      </x:c>
      <x:c r="V10" s="100" t="str">
        <x:f>IF('Master'!W486="","",'Master'!W486)</x:f>
        <x:v>Not for local E2EE message bodies when functioning; server still sees metadata</x:v>
      </x:c>
      <x:c r="W10" s="100" t="str">
        <x:f>IF('Master'!X486="","",'Master'!X486)</x:f>
        <x:v>Potentially visible to hosting services</x:v>
      </x:c>
      <x:c r="X10" s="100" t="str">
        <x:f>IF('Master'!Y486="","",'Master'!Y486)</x:f>
        <x:v>Yes for stored text</x:v>
      </x:c>
      <x:c r="Y10" s="100" t="str">
        <x:f>IF('Master'!Z486="","",'Master'!Z486)</x:f>
        <x:v>Yes unless operator adds extra encryption</x:v>
      </x:c>
      <x:c r="Z10" s="100" t="str">
        <x:f>IF('Master'!AA486="","",'Master'!AA486)</x:f>
        <x:v>Yes for normal text</x:v>
      </x:c>
      <x:c r="AA10" s="104" t="str">
        <x:f>IF('Master'!AB486="","",'Master'!AB486)</x:f>
      </x:c>
      <x:c r="AB10" s="100" t="str">
        <x:f>IF('Master'!AC486="","",'Master'!AC486)</x:f>
        <x:v>Yes</x:v>
      </x:c>
      <x:c r="AC10" s="100" t="str">
        <x:f>IF('Master'!AD486="","",'Master'!AD486)</x:f>
        <x:v>Yes for unencrypted content</x:v>
      </x:c>
      <x:c r="AD10" s="100" t="str">
        <x:f>IF('Master'!AE486="","",'Master'!AE486)</x:f>
        <x:v>Yes</x:v>
      </x:c>
      <x:c r="AE10" s="100" t="str">
        <x:f>IF('Master'!AF486="","",'Master'!AF486)</x:f>
        <x:v>Server operator may access text unless separate E2EE exists</x:v>
      </x:c>
      <x:c r="AF10" s="75" t="str">
        <x:f>IF('Master'!AG486="","",'Master'!AG486)</x:f>
        <x:v>Yes</x:v>
      </x:c>
    </x:row>
    <x:row r="11" ht="36" customHeight="1">
      <x:c r="A11" s="135" t="str">
        <x:v>Key Ownership / Storage</x:v>
      </x:c>
      <x:c r="B11" s="100" t="str">
        <x:f>IF('Master'!C487="","",'Master'!C487)</x:f>
        <x:v>DAVE keys negotiated by clients; text stored server-side</x:v>
      </x:c>
      <x:c r="C11" s="100" t="str">
        <x:f>IF('Master'!D487="","",'Master'!D487)</x:f>
        <x:v>User-held Nostr keys</x:v>
      </x:c>
      <x:c r="D11" s="100" t="str">
        <x:f>IF('Master'!E487="","",'Master'!E487)</x:f>
        <x:v>Device-generated key</x:v>
      </x:c>
      <x:c r="E11" s="100" t="str">
        <x:f>IF('Master'!F487="","",'Master'!F487)</x:f>
        <x:v>Server-side</x:v>
      </x:c>
      <x:c r="F11" s="100" t="str">
        <x:f>IF('Master'!G487="","",'Master'!G487)</x:f>
        <x:v>Passphrase-derived account key + per-message encryption keys; server stores public key/ciphertext</x:v>
      </x:c>
      <x:c r="G11" s="100" t="str">
        <x:f>IF('Master'!H487="","",'Master'!H487)</x:f>
        <x:v>Server-side storage; transport/at-rest encryption</x:v>
      </x:c>
      <x:c r="H11" s="100" t="str">
        <x:f>IF('Master'!I487="","",'Master'!I487)</x:f>
      </x:c>
      <x:c r="I11" s="100" t="str">
        <x:f>IF('Master'!J487="","",'Master'!J487)</x:f>
        <x:v>Server/operator</x:v>
      </x:c>
      <x:c r="J11" s="100" t="str">
        <x:f>IF('Master'!K487="","",'Master'!K487)</x:f>
        <x:v>User-held Ed25519/device keys</x:v>
      </x:c>
      <x:c r="K11" s="100" t="str">
        <x:f>IF('Master'!L487="","",'Master'!L487)</x:f>
        <x:v>Client-held MLS identity/vault; server stores public credentials and encrypted portable state but not MLS group secrets/private keys</x:v>
      </x:c>
      <x:c r="L11" s="100" t="str">
        <x:f>IF('Master'!M487="","",'Master'!M487)</x:f>
      </x:c>
      <x:c r="M11" s="100" t="str">
        <x:f>IF('Master'!N487="","",'Master'!N487)</x:f>
      </x:c>
      <x:c r="N11" s="100" t="str">
        <x:f>IF('Master'!O487="","",'Master'!O487)</x:f>
        <x:v>Client-held device keys; cross-signing/key backup implementations defined by Matrix</x:v>
      </x:c>
      <x:c r="O11" s="100" t="str">
        <x:f>IF('Master'!P487="","",'Master'!P487)</x:f>
        <x:v>Server-side / deployment-controlled</x:v>
      </x:c>
      <x:c r="P11" s="100" t="str">
        <x:f>IF('Master'!Q487="","",'Master'!Q487)</x:f>
      </x:c>
      <x:c r="Q11" s="100" t="str">
        <x:f>IF('Master'!R487="","",'Master'!R487)</x:f>
        <x:v>TLS/certificate/server session model</x:v>
      </x:c>
      <x:c r="R11" s="100" t="str">
        <x:f>IF('Master'!S487="","",'Master'!S487)</x:f>
        <x:v>Server-side</x:v>
      </x:c>
      <x:c r="S11" s="100" t="str">
        <x:f>IF('Master'!T487="","",'Master'!T487)</x:f>
        <x:v>Server-side</x:v>
      </x:c>
      <x:c r="T11" s="100" t="str">
        <x:f>IF('Master'!U487="","",'Master'!U487)</x:f>
        <x:v>Server-side</x:v>
      </x:c>
      <x:c r="U11" s="100" t="str">
        <x:f>IF('Master'!V487="","",'Master'!V487)</x:f>
        <x:v>User device / Rift Key roots the encryption keys</x:v>
      </x:c>
      <x:c r="V11" s="100" t="str">
        <x:f>IF('Master'!W487="","",'Master'!W487)</x:f>
        <x:v>Client keys for E2EE; exact implementation/version-dependent</x:v>
      </x:c>
      <x:c r="W11" s="100" t="str">
        <x:f>IF('Master'!X487="","",'Master'!X487)</x:f>
        <x:v>ATProto/PDS</x:v>
      </x:c>
      <x:c r="X11" s="100" t="str">
        <x:f>IF('Master'!Y487="","",'Master'!Y487)</x:f>
        <x:v>Server-managed</x:v>
      </x:c>
      <x:c r="Y11" s="100" t="str">
        <x:f>IF('Master'!Z487="","",'Master'!Z487)</x:f>
        <x:v>Operator-controlled</x:v>
      </x:c>
      <x:c r="Z11" s="100" t="str">
        <x:f>IF('Master'!AA487="","",'Master'!AA487)</x:f>
      </x:c>
      <x:c r="AA11" s="104" t="str">
        <x:f>IF('Master'!AB487="","",'Master'!AB487)</x:f>
        <x:v>Proprietary</x:v>
      </x:c>
      <x:c r="AB11" s="100" t="str">
        <x:f>IF('Master'!AC487="","",'Master'!AC487)</x:f>
        <x:v>Server-side</x:v>
      </x:c>
      <x:c r="AC11" s="100" t="str">
        <x:f>IF('Master'!AD487="","",'Master'!AD487)</x:f>
      </x:c>
      <x:c r="AD11" s="100" t="str">
        <x:f>IF('Master'!AE487="","",'Master'!AE487)</x:f>
        <x:v>Server-side</x:v>
      </x:c>
      <x:c r="AE11" s="100" t="str">
        <x:f>IF('Master'!AF487="","",'Master'!AF487)</x:f>
      </x:c>
      <x:c r="AF11" s="75" t="str">
        <x:f>IF('Master'!AG487="","",'Master'!AG487)</x:f>
        <x:v>Server-side</x:v>
      </x:c>
    </x:row>
    <x:row r="12" ht="36" customHeight="1">
      <x:c r="A12" s="135" t="str">
        <x:v>Forward Secrecy / Ratcheting</x:v>
      </x:c>
      <x:c r="B12" s="100" t="str">
        <x:f>IF('Master'!C488="","",'Master'!C488)</x:f>
        <x:v>DAVE design; exact ratchet properties depend spec</x:v>
      </x:c>
      <x:c r="C12" s="100" t="str">
        <x:f>IF('Master'!D488="","",'Master'!D488)</x:f>
      </x:c>
      <x:c r="D12" s="100" t="str">
        <x:f>IF('Master'!E488="","",'Master'!E488)</x:f>
      </x:c>
      <x:c r="E12" s="100" t="str">
        <x:f>IF('Master'!F488="","",'Master'!F488)</x:f>
      </x:c>
      <x:c r="F12" s="100" t="str">
        <x:f>IF('Master'!G488="","",'Master'!G488)</x:f>
        <x:v>Not Signal Double Ratchet; founder explicitly says mature Signal-level forward secrecy is not claimed</x:v>
      </x:c>
      <x:c r="G12" s="100" t="str">
        <x:f>IF('Master'!H488="","",'Master'!H488)</x:f>
        <x:v>N/A currently</x:v>
      </x:c>
      <x:c r="H12" s="100" t="str">
        <x:f>IF('Master'!I488="","",'Master'!I488)</x:f>
      </x:c>
      <x:c r="I12" s="100" t="str">
        <x:f>IF('Master'!J488="","",'Master'!J488)</x:f>
        <x:v>N/A</x:v>
      </x:c>
      <x:c r="J12" s="100" t="str">
        <x:f>IF('Master'!K488="","",'Master'!K488)</x:f>
        <x:v>Olm/MLS/SFrame design</x:v>
      </x:c>
      <x:c r="K12" s="100" t="str">
        <x:f>IF('Master'!L488="","",'Master'!L488)</x:f>
        <x:v>Yes — MLS 1.0 epochs/rekeys; membership/device changes force rekey before writes resume</x:v>
      </x:c>
      <x:c r="L12" s="100" t="str">
        <x:f>IF('Master'!M488="","",'Master'!M488)</x:f>
      </x:c>
      <x:c r="M12" s="100" t="str">
        <x:f>IF('Master'!N488="","",'Master'!N488)</x:f>
      </x:c>
      <x:c r="N12" s="100" t="str">
        <x:f>IF('Master'!O488="","",'Master'!O488)</x:f>
        <x:v>Megolm/Olm-era designs and newer crypto work; properties vary by room/media protocol</x:v>
      </x:c>
      <x:c r="O12" s="100" t="str">
        <x:f>IF('Master'!P488="","",'Master'!P488)</x:f>
        <x:v>N/A</x:v>
      </x:c>
      <x:c r="P12" s="100" t="str">
        <x:f>IF('Master'!Q488="","",'Master'!Q488)</x:f>
      </x:c>
      <x:c r="Q12" s="100" t="str">
        <x:f>IF('Master'!R488="","",'Master'!R488)</x:f>
        <x:v>N/A</x:v>
      </x:c>
      <x:c r="R12" s="100" t="str">
        <x:f>IF('Master'!S488="","",'Master'!S488)</x:f>
        <x:v>N/A</x:v>
      </x:c>
      <x:c r="S12" s="100" t="str">
        <x:f>IF('Master'!T488="","",'Master'!T488)</x:f>
        <x:v>N/A</x:v>
      </x:c>
      <x:c r="T12" s="100" t="str">
        <x:f>IF('Master'!U488="","",'Master'!U488)</x:f>
        <x:v>N/A</x:v>
      </x:c>
      <x:c r="U12" s="100" t="str">
        <x:f>IF('Master'!V488="","",'Master'!V488)</x:f>
        <x:v>Yes — X3DH / Double Ratchet design</x:v>
      </x:c>
      <x:c r="V12" s="100" t="str">
        <x:f>IF('Master'!W488="","",'Master'!W488)</x:f>
        <x:v>Version-dependent</x:v>
      </x:c>
      <x:c r="W12" s="100" t="str">
        <x:f>IF('Master'!X488="","",'Master'!X488)</x:f>
        <x:v>N/A</x:v>
      </x:c>
      <x:c r="X12" s="100" t="str">
        <x:f>IF('Master'!Y488="","",'Master'!Y488)</x:f>
      </x:c>
      <x:c r="Y12" s="100" t="str">
        <x:f>IF('Master'!Z488="","",'Master'!Z488)</x:f>
      </x:c>
      <x:c r="Z12" s="100" t="str">
        <x:f>IF('Master'!AA488="","",'Master'!AA488)</x:f>
      </x:c>
      <x:c r="AA12" s="104" t="str">
        <x:f>IF('Master'!AB488="","",'Master'!AB488)</x:f>
      </x:c>
      <x:c r="AB12" s="100" t="str">
        <x:f>IF('Master'!AC488="","",'Master'!AC488)</x:f>
        <x:v>N/A</x:v>
      </x:c>
      <x:c r="AC12" s="100" t="str">
        <x:f>IF('Master'!AD488="","",'Master'!AD488)</x:f>
      </x:c>
      <x:c r="AD12" s="100" t="str">
        <x:f>IF('Master'!AE488="","",'Master'!AE488)</x:f>
        <x:v>N/A</x:v>
      </x:c>
      <x:c r="AE12" s="100" t="str">
        <x:f>IF('Master'!AF488="","",'Master'!AF488)</x:f>
      </x:c>
      <x:c r="AF12" s="75" t="str">
        <x:f>IF('Master'!AG488="","",'Master'!AG488)</x:f>
        <x:v>N/A</x:v>
      </x:c>
    </x:row>
    <x:row r="13" ht="36" customHeight="1">
      <x:c r="A13" s="135" t="str">
        <x:v>Multi-Device E2EE</x:v>
      </x:c>
      <x:c r="B13" s="100" t="str">
        <x:f>IF('Master'!C489="","",'Master'!C489)</x:f>
        <x:v>Yes for DAVE-compatible clients</x:v>
      </x:c>
      <x:c r="C13" s="100" t="str">
        <x:f>IF('Master'!D489="","",'Master'!D489)</x:f>
      </x:c>
      <x:c r="D13" s="100" t="str">
        <x:f>IF('Master'!E489="","",'Master'!E489)</x:f>
        <x:v>Yes — multi-device sync described</x:v>
      </x:c>
      <x:c r="E13" s="100" t="str">
        <x:f>IF('Master'!F489="","",'Master'!F489)</x:f>
      </x:c>
      <x:c r="F13" s="100" t="str">
        <x:f>IF('Master'!G489="","",'Master'!G489)</x:f>
      </x:c>
      <x:c r="G13" s="100" t="str">
        <x:f>IF('Master'!H489="","",'Master'!H489)</x:f>
        <x:v>N/A currently</x:v>
      </x:c>
      <x:c r="H13" s="100" t="str">
        <x:f>IF('Master'!I489="","",'Master'!I489)</x:f>
      </x:c>
      <x:c r="I13" s="100" t="str">
        <x:f>IF('Master'!J489="","",'Master'!J489)</x:f>
        <x:v>N/A</x:v>
      </x:c>
      <x:c r="J13" s="100" t="str">
        <x:f>IF('Master'!K489="","",'Master'!K489)</x:f>
        <x:v>Multi-device supported</x:v>
      </x:c>
      <x:c r="K13" s="100" t="str">
        <x:f>IF('Master'!L489="","",'Master'!L489)</x:f>
        <x:v>Yes — portable encrypted account state supports multiple signed-in clients with serialized MLS state updates</x:v>
      </x:c>
      <x:c r="L13" s="100" t="str">
        <x:f>IF('Master'!M489="","",'Master'!M489)</x:f>
      </x:c>
      <x:c r="M13" s="100" t="str">
        <x:f>IF('Master'!N489="","",'Master'!N489)</x:f>
      </x:c>
      <x:c r="N13" s="100" t="str">
        <x:f>IF('Master'!O489="","",'Master'!O489)</x:f>
        <x:v>Yes — designed for multi-device keys</x:v>
      </x:c>
      <x:c r="O13" s="100" t="str">
        <x:f>IF('Master'!P489="","",'Master'!P489)</x:f>
        <x:v>N/A</x:v>
      </x:c>
      <x:c r="P13" s="100" t="str">
        <x:f>IF('Master'!Q489="","",'Master'!Q489)</x:f>
      </x:c>
      <x:c r="Q13" s="100" t="str">
        <x:f>IF('Master'!R489="","",'Master'!R489)</x:f>
        <x:v>N/A</x:v>
      </x:c>
      <x:c r="R13" s="100" t="str">
        <x:f>IF('Master'!S489="","",'Master'!S489)</x:f>
        <x:v>N/A</x:v>
      </x:c>
      <x:c r="S13" s="100" t="str">
        <x:f>IF('Master'!T489="","",'Master'!T489)</x:f>
        <x:v>N/A</x:v>
      </x:c>
      <x:c r="T13" s="100" t="str">
        <x:f>IF('Master'!U489="","",'Master'!U489)</x:f>
        <x:v>N/A</x:v>
      </x:c>
      <x:c r="U13" s="100" t="str">
        <x:f>IF('Master'!V489="","",'Master'!V489)</x:f>
      </x:c>
      <x:c r="V13" s="100" t="str">
        <x:f>IF('Master'!W489="","",'Master'!W489)</x:f>
        <x:v>Version-dependent</x:v>
      </x:c>
      <x:c r="W13" s="100" t="str">
        <x:f>IF('Master'!X489="","",'Master'!X489)</x:f>
        <x:v>N/A</x:v>
      </x:c>
      <x:c r="X13" s="100" t="str">
        <x:f>IF('Master'!Y489="","",'Master'!Y489)</x:f>
      </x:c>
      <x:c r="Y13" s="100" t="str">
        <x:f>IF('Master'!Z489="","",'Master'!Z489)</x:f>
      </x:c>
      <x:c r="Z13" s="100" t="str">
        <x:f>IF('Master'!AA489="","",'Master'!AA489)</x:f>
      </x:c>
      <x:c r="AA13" s="104" t="str">
        <x:f>IF('Master'!AB489="","",'Master'!AB489)</x:f>
      </x:c>
      <x:c r="AB13" s="100" t="str">
        <x:f>IF('Master'!AC489="","",'Master'!AC489)</x:f>
        <x:v>N/A</x:v>
      </x:c>
      <x:c r="AC13" s="100" t="str">
        <x:f>IF('Master'!AD489="","",'Master'!AD489)</x:f>
      </x:c>
      <x:c r="AD13" s="100" t="str">
        <x:f>IF('Master'!AE489="","",'Master'!AE489)</x:f>
        <x:v>N/A</x:v>
      </x:c>
      <x:c r="AE13" s="100" t="str">
        <x:f>IF('Master'!AF489="","",'Master'!AF489)</x:f>
      </x:c>
      <x:c r="AF13" s="75" t="str">
        <x:f>IF('Master'!AG489="","",'Master'!AG489)</x:f>
        <x:v>N/A</x:v>
      </x:c>
    </x:row>
    <x:row r="14" ht="36" customHeight="1">
      <x:c r="A14" s="135" t="str">
        <x:v>Metadata Protected by E2EE?</x:v>
      </x:c>
      <x:c r="B14" s="100" t="str">
        <x:f>IF('Master'!C490="","",'Master'!C490)</x:f>
        <x:v>No — metadata remains visible</x:v>
      </x:c>
      <x:c r="C14" s="100" t="str">
        <x:f>IF('Master'!D490="","",'Master'!D490)</x:f>
        <x:v>No — relay metadata remains</x:v>
      </x:c>
      <x:c r="D14" s="100" t="str">
        <x:f>IF('Master'!E490="","",'Master'!E490)</x:f>
        <x:v>No — home server sees routing metadata</x:v>
      </x:c>
      <x:c r="E14" s="100" t="str">
        <x:f>IF('Master'!F490="","",'Master'!F490)</x:f>
        <x:v>No</x:v>
      </x:c>
      <x:c r="F14" s="100" t="str">
        <x:f>IF('Master'!G490="","",'Master'!G490)</x:f>
        <x:v>No — delivery/relationship metadata remains</x:v>
      </x:c>
      <x:c r="G14" s="100" t="str">
        <x:f>IF('Master'!H490="","",'Master'!H490)</x:f>
        <x:v>No</x:v>
      </x:c>
      <x:c r="H14" s="100" t="str">
        <x:f>IF('Master'!I490="","",'Master'!I490)</x:f>
        <x:v>No</x:v>
      </x:c>
      <x:c r="I14" s="100" t="str">
        <x:f>IF('Master'!J490="","",'Master'!J490)</x:f>
        <x:v>No</x:v>
      </x:c>
      <x:c r="J14" s="100" t="str">
        <x:f>IF('Master'!K490="","",'Master'!K490)</x:f>
        <x:v>No — relay metadata/timing can exist</x:v>
      </x:c>
      <x:c r="K14" s="100" t="str">
        <x:f>IF('Master'!L490="","",'Master'!L490)</x:f>
        <x:v>No — routing metadata, participants, timestamps, sizes, delivery activity and track kinds remain visible</x:v>
      </x:c>
      <x:c r="L14" s="100" t="str">
        <x:f>IF('Master'!M490="","",'Master'!M490)</x:f>
        <x:v>No</x:v>
      </x:c>
      <x:c r="M14" s="100" t="str">
        <x:f>IF('Master'!N490="","",'Master'!N490)</x:f>
        <x:v>No</x:v>
      </x:c>
      <x:c r="N14" s="100" t="str">
        <x:f>IF('Master'!O490="","",'Master'!O490)</x:f>
        <x:v>No — homeserver/federation metadata remains visible</x:v>
      </x:c>
      <x:c r="O14" s="100" t="str">
        <x:f>IF('Master'!P490="","",'Master'!P490)</x:f>
        <x:v>No</x:v>
      </x:c>
      <x:c r="P14" s="100" t="str">
        <x:f>IF('Master'!Q490="","",'Master'!Q490)</x:f>
        <x:v>No</x:v>
      </x:c>
      <x:c r="Q14" s="100" t="str">
        <x:f>IF('Master'!R490="","",'Master'!R490)</x:f>
        <x:v>No</x:v>
      </x:c>
      <x:c r="R14" s="100" t="str">
        <x:f>IF('Master'!S490="","",'Master'!S490)</x:f>
        <x:v>No</x:v>
      </x:c>
      <x:c r="S14" s="100" t="str">
        <x:f>IF('Master'!T490="","",'Master'!T490)</x:f>
        <x:v>No</x:v>
      </x:c>
      <x:c r="T14" s="100" t="str">
        <x:f>IF('Master'!U490="","",'Master'!U490)</x:f>
        <x:v>No</x:v>
      </x:c>
      <x:c r="U14" s="100" t="str">
        <x:f>IF('Master'!V490="","",'Master'!V490)</x:f>
        <x:v>No — metadata/routing information is not hidden by E2EE</x:v>
      </x:c>
      <x:c r="V14" s="100" t="str">
        <x:f>IF('Master'!W490="","",'Master'!W490)</x:f>
        <x:v>No</x:v>
      </x:c>
      <x:c r="W14" s="100" t="str">
        <x:f>IF('Master'!X490="","",'Master'!X490)</x:f>
        <x:v>No</x:v>
      </x:c>
      <x:c r="X14" s="100" t="str">
        <x:f>IF('Master'!Y490="","",'Master'!Y490)</x:f>
        <x:v>No</x:v>
      </x:c>
      <x:c r="Y14" s="100" t="str">
        <x:f>IF('Master'!Z490="","",'Master'!Z490)</x:f>
        <x:v>No</x:v>
      </x:c>
      <x:c r="Z14" s="100" t="str">
        <x:f>IF('Master'!AA490="","",'Master'!AA490)</x:f>
        <x:v>No</x:v>
      </x:c>
      <x:c r="AA14" s="104" t="str">
        <x:f>IF('Master'!AB490="","",'Master'!AB490)</x:f>
      </x:c>
      <x:c r="AB14" s="100" t="str">
        <x:f>IF('Master'!AC490="","",'Master'!AC490)</x:f>
        <x:v>No</x:v>
      </x:c>
      <x:c r="AC14" s="100" t="str">
        <x:f>IF('Master'!AD490="","",'Master'!AD490)</x:f>
        <x:v>No</x:v>
      </x:c>
      <x:c r="AD14" s="100" t="str">
        <x:f>IF('Master'!AE490="","",'Master'!AE490)</x:f>
        <x:v>No</x:v>
      </x:c>
      <x:c r="AE14" s="100" t="str">
        <x:f>IF('Master'!AF490="","",'Master'!AF490)</x:f>
        <x:v>No</x:v>
      </x:c>
      <x:c r="AF14" s="75" t="str">
        <x:f>IF('Master'!AG490="","",'Master'!AG490)</x:f>
        <x:v>No</x:v>
      </x:c>
    </x:row>
    <x:row r="15" ht="36" customHeight="1">
      <x:c r="A15" s="135" t="str">
        <x:v>Public Cryptographic Design</x:v>
      </x:c>
      <x:c r="B15" s="100" t="str">
        <x:f>IF('Master'!C491="","",'Master'!C491)</x:f>
        <x:v>Yes — DAVE design public</x:v>
      </x:c>
      <x:c r="C15" s="100" t="str">
        <x:f>IF('Master'!D491="","",'Master'!D491)</x:f>
        <x:v>Open protocol/code</x:v>
      </x:c>
      <x:c r="D15" s="100" t="str">
        <x:f>IF('Master'!E491="","",'Master'!E491)</x:f>
        <x:v>Public docs/source</x:v>
      </x:c>
      <x:c r="E15" s="100" t="str">
        <x:f>IF('Master'!F491="","",'Master'!F491)</x:f>
        <x:v>No public E2EE protocol</x:v>
      </x:c>
      <x:c r="F15" s="100" t="str">
        <x:f>IF('Master'!G491="","",'Master'!G491)</x:f>
        <x:v>Yes — founder publishes design boundaries/primitives</x:v>
      </x:c>
      <x:c r="G15" s="100" t="str">
        <x:f>IF('Master'!H491="","",'Master'!H491)</x:f>
        <x:v>E2EE roadmap/design discussion public, but not deployed as policy baseline</x:v>
      </x:c>
      <x:c r="H15" s="100" t="str">
        <x:f>IF('Master'!I491="","",'Master'!I491)</x:f>
        <x:v>No public cryptographic design found</x:v>
      </x:c>
      <x:c r="I15" s="100" t="str">
        <x:f>IF('Master'!J491="","",'Master'!J491)</x:f>
        <x:v>No public E2EE design</x:v>
      </x:c>
      <x:c r="J15" s="100" t="str">
        <x:f>IF('Master'!K491="","",'Master'!K491)</x:f>
        <x:v>Whitepaper/source public</x:v>
      </x:c>
      <x:c r="K15" s="100" t="str">
        <x:f>IF('Master'!L491="","",'Master'!L491)</x:f>
        <x:v>Yes — public E2EE contract documents threat model, MLS suite and rollout gates</x:v>
      </x:c>
      <x:c r="L15" s="100" t="str">
        <x:f>IF('Master'!M491="","",'Master'!M491)</x:f>
        <x:v>No public mature E2EE design verified</x:v>
      </x:c>
      <x:c r="M15" s="100" t="str">
        <x:f>IF('Master'!N491="","",'Master'!N491)</x:f>
      </x:c>
      <x:c r="N15" s="100" t="str">
        <x:f>IF('Master'!O491="","",'Master'!O491)</x:f>
        <x:v>Yes — open specification/MSC process</x:v>
      </x:c>
      <x:c r="O15" s="100" t="str">
        <x:f>IF('Master'!P491="","",'Master'!P491)</x:f>
        <x:v>Open-source implementation for core messaging</x:v>
      </x:c>
      <x:c r="P15" s="100" t="str">
        <x:f>IF('Master'!Q491="","",'Master'!Q491)</x:f>
      </x:c>
      <x:c r="Q15" s="100" t="str">
        <x:f>IF('Master'!R491="","",'Master'!R491)</x:f>
        <x:v>Public protocol/source</x:v>
      </x:c>
      <x:c r="R15" s="100" t="str">
        <x:f>IF('Master'!S491="","",'Master'!S491)</x:f>
        <x:v>No public E2EE design</x:v>
      </x:c>
      <x:c r="S15" s="100" t="str">
        <x:f>IF('Master'!T491="","",'Master'!T491)</x:f>
        <x:v>No public E2EE design</x:v>
      </x:c>
      <x:c r="T15" s="100" t="str">
        <x:f>IF('Master'!U491="","",'Master'!U491)</x:f>
        <x:v>No</x:v>
      </x:c>
      <x:c r="U15" s="100" t="str">
        <x:f>IF('Master'!V491="","",'Master'!V491)</x:f>
        <x:v>Yes — protocol model publicly described</x:v>
      </x:c>
      <x:c r="V15" s="100" t="str">
        <x:f>IF('Master'!W491="","",'Master'!W491)</x:f>
        <x:v>Public implementation/docs</x:v>
      </x:c>
      <x:c r="W15" s="100" t="str">
        <x:f>IF('Master'!X491="","",'Master'!X491)</x:f>
        <x:v>No</x:v>
      </x:c>
      <x:c r="X15" s="100" t="str">
        <x:f>IF('Master'!Y491="","",'Master'!Y491)</x:f>
        <x:v>No public crypto protocol</x:v>
      </x:c>
      <x:c r="Y15" s="100" t="str">
        <x:f>IF('Master'!Z491="","",'Master'!Z491)</x:f>
        <x:v>No mature platform-wide crypto design verified</x:v>
      </x:c>
      <x:c r="Z15" s="100" t="str">
        <x:f>IF('Master'!AA491="","",'Master'!AA491)</x:f>
        <x:v>No public text-E2EE design verified</x:v>
      </x:c>
      <x:c r="AA15" s="104" t="str">
        <x:f>IF('Master'!AB491="","",'Master'!AB491)</x:f>
        <x:v>Limited public details</x:v>
      </x:c>
      <x:c r="AB15" s="100" t="str">
        <x:f>IF('Master'!AC491="","",'Master'!AC491)</x:f>
        <x:v>No public E2EE design</x:v>
      </x:c>
      <x:c r="AC15" s="100" t="str">
        <x:f>IF('Master'!AD491="","",'Master'!AD491)</x:f>
      </x:c>
      <x:c r="AD15" s="100" t="str">
        <x:f>IF('Master'!AE491="","",'Master'!AE491)</x:f>
        <x:v>No public E2EE design</x:v>
      </x:c>
      <x:c r="AE15" s="100" t="str">
        <x:f>IF('Master'!AF491="","",'Master'!AF491)</x:f>
        <x:v>No public crypto design</x:v>
      </x:c>
      <x:c r="AF15" s="75" t="str">
        <x:f>IF('Master'!AG491="","",'Master'!AG491)</x:f>
        <x:v>Open source but no E2EE protocol</x:v>
      </x:c>
    </x:row>
    <x:row r="16" ht="36" customHeight="1">
      <x:c r="A16" s="135" t="str">
        <x:v>Independent Cryptographic Audit</x:v>
      </x:c>
      <x:c r="B16" s="100" t="str">
        <x:f>IF('Master'!C492="","",'Master'!C492)</x:f>
        <x:v>Trail of Bits reviews of DAVE (2024/2025)</x:v>
      </x:c>
      <x:c r="C16" s="100" t="str">
        <x:f>IF('Master'!D492="","",'Master'!D492)</x:f>
      </x:c>
      <x:c r="D16" s="100" t="str">
        <x:f>IF('Master'!E492="","",'Master'!E492)</x:f>
      </x:c>
      <x:c r="E16" s="100" t="str">
        <x:f>IF('Master'!F492="","",'Master'!F492)</x:f>
        <x:v>No audit verified</x:v>
      </x:c>
      <x:c r="F16" s="100" t="str">
        <x:f>IF('Master'!G492="","",'Master'!G492)</x:f>
        <x:v>No independent audit published</x:v>
      </x:c>
      <x:c r="G16" s="100" t="str">
        <x:f>IF('Master'!H492="","",'Master'!H492)</x:f>
        <x:v>No comprehensive audit verified</x:v>
      </x:c>
      <x:c r="H16" s="100" t="str">
        <x:f>IF('Master'!I492="","",'Master'!I492)</x:f>
      </x:c>
      <x:c r="I16" s="100" t="str">
        <x:f>IF('Master'!J492="","",'Master'!J492)</x:f>
        <x:v>No</x:v>
      </x:c>
      <x:c r="J16" s="100" t="str">
        <x:f>IF('Master'!K492="","",'Master'!K492)</x:f>
      </x:c>
      <x:c r="K16" s="100" t="str">
        <x:f>IF('Master'!L492="","",'Master'!L492)</x:f>
        <x:v>No independent cryptographic audit published; docs list external review as a remaining release gate</x:v>
      </x:c>
      <x:c r="L16" s="100" t="str">
        <x:f>IF('Master'!M492="","",'Master'!M492)</x:f>
        <x:v>No independent audit verified</x:v>
      </x:c>
      <x:c r="M16" s="100" t="str">
        <x:f>IF('Master'!N492="","",'Master'!N492)</x:f>
      </x:c>
      <x:c r="N16" s="100" t="str">
        <x:f>IF('Master'!O492="","",'Master'!O492)</x:f>
        <x:v>Multiple implementation/protocol audits; no single universal client audit</x:v>
      </x:c>
      <x:c r="O16" s="100" t="str">
        <x:f>IF('Master'!P492="","",'Master'!P492)</x:f>
        <x:v>Security certifications/audits vary by offering</x:v>
      </x:c>
      <x:c r="P16" s="100" t="str">
        <x:f>IF('Master'!Q492="","",'Master'!Q492)</x:f>
      </x:c>
      <x:c r="Q16" s="100" t="str">
        <x:f>IF('Master'!R492="","",'Master'!R492)</x:f>
      </x:c>
      <x:c r="R16" s="100" t="str">
        <x:f>IF('Master'!S492="","",'Master'!S492)</x:f>
      </x:c>
      <x:c r="S16" s="100" t="str">
        <x:f>IF('Master'!T492="","",'Master'!T492)</x:f>
      </x:c>
      <x:c r="T16" s="100" t="str">
        <x:f>IF('Master'!U492="","",'Master'!U492)</x:f>
        <x:v>None published</x:v>
      </x:c>
      <x:c r="U16" s="100" t="str">
        <x:f>IF('Master'!V492="","",'Master'!V492)</x:f>
        <x:v>No independent audit yet; Rift says audits are planned</x:v>
      </x:c>
      <x:c r="V16" s="100" t="str">
        <x:f>IF('Master'!W492="","",'Master'!W492)</x:f>
      </x:c>
      <x:c r="W16" s="100" t="str">
        <x:f>IF('Master'!X492="","",'Master'!X492)</x:f>
      </x:c>
      <x:c r="X16" s="100" t="str">
        <x:f>IF('Master'!Y492="","",'Master'!Y492)</x:f>
        <x:v>No public audit verified</x:v>
      </x:c>
      <x:c r="Y16" s="100" t="str">
        <x:f>IF('Master'!Z492="","",'Master'!Z492)</x:f>
        <x:v>No</x:v>
      </x:c>
      <x:c r="Z16" s="100" t="str">
        <x:f>IF('Master'!AA492="","",'Master'!AA492)</x:f>
        <x:v>No comprehensive crypto audit verified</x:v>
      </x:c>
      <x:c r="AA16" s="104" t="str">
        <x:f>IF('Master'!AB492="","",'Master'!AB492)</x:f>
      </x:c>
      <x:c r="AB16" s="100" t="str">
        <x:f>IF('Master'!AC492="","",'Master'!AC492)</x:f>
      </x:c>
      <x:c r="AC16" s="100" t="str">
        <x:f>IF('Master'!AD492="","",'Master'!AD492)</x:f>
        <x:v>No audit verified</x:v>
      </x:c>
      <x:c r="AD16" s="100" t="str">
        <x:f>IF('Master'!AE492="","",'Master'!AE492)</x:f>
      </x:c>
      <x:c r="AE16" s="100" t="str">
        <x:f>IF('Master'!AF492="","",'Master'!AF492)</x:f>
      </x:c>
      <x:c r="AF16" s="75" t="str">
        <x:f>IF('Master'!AG492="","",'Master'!AG492)</x:f>
      </x:c>
    </x:row>
    <x:row r="17" ht="36" customHeight="1">
      <x:c r="A17" s="135" t="str">
        <x:v>Encryption Scope Notes</x:v>
      </x:c>
      <x:c r="B17" s="100" t="str">
        <x:f>IF('Master'!C493="","",'Master'!C493)</x:f>
        <x:v>Discord text chat remains server-readable even though voice/video is now E2EE.</x:v>
      </x:c>
      <x:c r="C17" s="100" t="str">
        <x:f>IF('Master'!D493="","",'Master'!D493)</x:f>
      </x:c>
      <x:c r="D17" s="100" t="str">
        <x:f>IF('Master'!E493="","",'Master'!E493)</x:f>
        <x:v>Encryption depends on which DCTS messaging mode is used.</x:v>
      </x:c>
      <x:c r="E17" s="100" t="str">
        <x:f>IF('Master'!F493="","",'Master'!F493)</x:f>
        <x:v>Security details are sparse; do not infer E2EE from WebRTC/LiveKit.</x:v>
      </x:c>
      <x:c r="F17" s="100" t="str">
        <x:f>IF('Master'!G493="","",'Master'!G493)</x:f>
        <x:v>Fenrid itself cautions that its home-grown design is not equivalent to Signal's mature ratchet protocol.</x:v>
      </x:c>
      <x:c r="G17" s="100" t="str">
        <x:f>IF('Master'!H493="","",'Master'!H493)</x:f>
        <x:v>Latest privacy policy explicitly says nothing on Fluxer is E2EE yet; voice/video E2EE is in development.</x:v>
      </x:c>
      <x:c r="H17" s="100" t="str">
        <x:f>IF('Master'!I493="","",'Master'!I493)</x:f>
        <x:v>Voice E2EE is claimed; do not extend that claim to text messages.</x:v>
      </x:c>
      <x:c r="I17" s="100" t="str">
        <x:f>IF('Master'!J493="","",'Master'!J493)</x:f>
        <x:v>Project discussions explicitly say E2EE is not currently implemented.</x:v>
      </x:c>
      <x:c r="J17" s="100" t="str">
        <x:f>IF('Master'!K493="","",'Master'!K493)</x:f>
      </x:c>
      <x:c r="K17" s="100" t="str">
        <x:f>IF('Master'!L493="","",'Master'!L493)</x:f>
        <x:v>MLS 1.0 RFC 9420; mandatory suite MLS_128_DHKEMX25519_AES128GCM_SHA256_Ed25519</x:v>
      </x:c>
      <x:c r="L17" s="100" t="str">
        <x:f>IF('Master'!M493="","",'Master'!M493)</x:f>
        <x:v>Do not treat privacy-first marketing as proof of deployed E2EE.</x:v>
      </x:c>
      <x:c r="M17" s="100" t="str">
        <x:f>IF('Master'!N493="","",'Master'!N493)</x:f>
        <x:v>Treat E2EE claims as feature-scope specific, not universal.</x:v>
      </x:c>
      <x:c r="N17" s="100" t="str">
        <x:f>IF('Master'!O493="","",'Master'!O493)</x:f>
        <x:v>Matrix supports E2EE, but whether a room is encrypted and how UX works is client/homeserver-dependent.</x:v>
      </x:c>
      <x:c r="O17" s="100" t="str">
        <x:f>IF('Master'!P493="","",'Master'!P493)</x:f>
        <x:v>Self-hosting can keep plaintext under your organization's control, but is not E2EE.</x:v>
      </x:c>
      <x:c r="P17" s="100" t="str">
        <x:f>IF('Master'!Q493="","",'Master'!Q493)</x:f>
        <x:v>Marketing/repo claims E2EE; exact room-by-room defaults should be verified before high-stakes use.</x:v>
      </x:c>
      <x:c r="Q17" s="100" t="str">
        <x:f>IF('Master'!R493="","",'Master'!R493)</x:f>
        <x:v>Strong encrypted transport is not the same as E2EE from client to client.</x:v>
      </x:c>
      <x:c r="R17" s="100" t="str">
        <x:f>IF('Master'!S493="","",'Master'!S493)</x:f>
        <x:v>No default E2EE was verified.</x:v>
      </x:c>
      <x:c r="S17" s="100" t="str">
        <x:f>IF('Master'!T493="","",'Master'!T493)</x:f>
        <x:v>Privacy policy says calls use encrypted connections; that is not the same as E2EE.</x:v>
      </x:c>
      <x:c r="T17" s="100" t="str">
        <x:f>IF('Master'!U493="","",'Master'!U493)</x:f>
        <x:v>TLS in transit. pqp does not market E2EE as a product feature.</x:v>
      </x:c>
      <x:c r="U17" s="100" t="str">
        <x:f>IF('Master'!V493="","",'Master'!V493)</x:f>
        <x:v>DM text and direct calls are E2EE; Shard/community text and Splinters are not.</x:v>
      </x:c>
      <x:c r="V17" s="100" t="str">
        <x:f>IF('Master'!W493="","",'Master'!W493)</x:f>
        <x:v>Federation documentation explicitly says E2EE is not supported across federated servers.</x:v>
      </x:c>
      <x:c r="W17" s="100" t="str">
        <x:f>IF('Master'!X493="","",'Master'!X493)</x:f>
        <x:v>Privacy inherits ATProto/server design rather than E2EE.</x:v>
      </x:c>
      <x:c r="X17" s="100" t="str">
        <x:f>IF('Master'!Y493="","",'Master'!Y493)</x:f>
        <x:v>Privacy policy says calls are real-time and not stored, but does not claim end-to-end encryption.</x:v>
      </x:c>
      <x:c r="Y17" s="100" t="str">
        <x:f>IF('Master'!Z493="","",'Master'!Z493)</x:f>
        <x:v>Self-hosting changes who you trust; it does not automatically create end-to-end encryption.</x:v>
      </x:c>
      <x:c r="Z17" s="100" t="str">
        <x:f>IF('Master'!AA493="","",'Master'!AA493)</x:f>
        <x:v>Do not infer LiveKit's E2EE capability means Stoat currently enables E2EE.</x:v>
      </x:c>
      <x:c r="AA17" s="104" t="str">
        <x:f>IF('Master'!AB493="","",'Master'!AB493)</x:f>
      </x:c>
      <x:c r="AB17" s="100" t="str">
        <x:f>IF('Master'!AC493="","",'Master'!AC493)</x:f>
        <x:v>Privacy focus is data policy/open source/self-hosting rather than E2EE messaging.</x:v>
      </x:c>
      <x:c r="AC17" s="100" t="str">
        <x:f>IF('Master'!AD493="","",'Master'!AD493)</x:f>
        <x:v>Developer states E2EE is per-conversation opt-in and default is currently unencrypted.</x:v>
      </x:c>
      <x:c r="AD17" s="100" t="str">
        <x:f>IF('Master'!AE493="","",'Master'!AE493)</x:f>
        <x:v>Security model is typical hosted app; no E2EE claim verified.</x:v>
      </x:c>
      <x:c r="AE17" s="100" t="str">
        <x:f>IF('Master'!AF493="","",'Master'!AF493)</x:f>
        <x:v>Self-hosting/data sovereignty is the main privacy control, not verified E2EE.</x:v>
      </x:c>
      <x:c r="AF17" s="75" t="str">
        <x:f>IF('Master'!AG493="","",'Master'!AG493)</x:f>
        <x:v>Zulip prioritizes searchable server-side team history rather than E2EE chat.</x:v>
      </x:c>
    </x:row>
    <x:row r="18" ht="22" customHeight="1">
      <x:c r="A18" s="138" t="str">
        <x:v>Key Management &amp; Encrypted Content</x:v>
      </x:c>
      <x:c r="B18" s="138" t="str">
        <x:f>IF(""="","","")</x:f>
      </x:c>
      <x:c r="C18" s="138" t="str">
        <x:f>IF(""="","","")</x:f>
      </x:c>
      <x:c r="D18" s="138" t="str">
        <x:f>IF(""="","","")</x:f>
      </x:c>
      <x:c r="E18" s="138" t="str">
        <x:f>IF(""="","","")</x:f>
      </x:c>
      <x:c r="F18" s="138" t="str">
        <x:f>IF(""="","","")</x:f>
      </x:c>
      <x:c r="G18" s="138" t="str">
        <x:f>IF(""="","","")</x:f>
      </x:c>
      <x:c r="H18" s="138" t="str">
        <x:f>IF(""="","","")</x:f>
      </x:c>
      <x:c r="I18" s="138" t="str">
        <x:f>IF(""="","","")</x:f>
      </x:c>
      <x:c r="J18" s="138" t="str">
        <x:f>IF(""="","","")</x:f>
      </x:c>
      <x:c r="K18" s="138" t="str">
        <x:f>IF(""="","","")</x:f>
      </x:c>
      <x:c r="L18" s="138" t="str">
        <x:f>IF(""="","","")</x:f>
      </x:c>
      <x:c r="M18" s="138" t="str">
        <x:f>IF(""="","","")</x:f>
      </x:c>
      <x:c r="N18" s="138" t="str">
        <x:f>IF(""="","","")</x:f>
      </x:c>
      <x:c r="O18" s="138" t="str">
        <x:f>IF(""="","","")</x:f>
      </x:c>
      <x:c r="P18" s="138" t="str">
        <x:f>IF(""="","","")</x:f>
      </x:c>
      <x:c r="Q18" s="138" t="str">
        <x:f>IF(""="","","")</x:f>
      </x:c>
      <x:c r="R18" s="138" t="str">
        <x:f>IF(""="","","")</x:f>
      </x:c>
      <x:c r="S18" s="138" t="str">
        <x:f>IF(""="","","")</x:f>
      </x:c>
      <x:c r="T18" s="138" t="str">
        <x:f>IF(""="","","")</x:f>
      </x:c>
      <x:c r="U18" s="138" t="str">
        <x:f>IF(""="","","")</x:f>
      </x:c>
      <x:c r="V18" s="138" t="str">
        <x:f>IF(""="","","")</x:f>
      </x:c>
      <x:c r="W18" s="138" t="str">
        <x:f>IF(""="","","")</x:f>
      </x:c>
      <x:c r="X18" s="138" t="str">
        <x:f>IF(""="","","")</x:f>
      </x:c>
      <x:c r="Y18" s="138" t="str">
        <x:f>IF(""="","","")</x:f>
      </x:c>
      <x:c r="Z18" s="138" t="str">
        <x:f>IF(""="","","")</x:f>
      </x:c>
      <x:c r="AA18" s="138" t="str">
        <x:f>IF(""="","","")</x:f>
      </x:c>
      <x:c r="AB18" s="138" t="str">
        <x:f>IF(""="","","")</x:f>
      </x:c>
      <x:c r="AC18" s="138" t="str">
        <x:f>IF(""="","","")</x:f>
      </x:c>
      <x:c r="AD18" s="138" t="str">
        <x:f>IF(""="","","")</x:f>
      </x:c>
      <x:c r="AE18" s="138" t="str">
        <x:f>IF(""="","","")</x:f>
      </x:c>
      <x:c r="AF18" s="139" t="str">
        <x:f>IF(""="","","")</x:f>
      </x:c>
    </x:row>
    <x:row r="19" ht="36" customHeight="1">
      <x:c r="A19" s="135" t="str">
        <x:v>Encrypted Attachments / Media with E2EE</x:v>
      </x:c>
      <x:c r="B19" s="100" t="str">
        <x:f>IF('Master'!C494="","",'Master'!C494)</x:f>
        <x:v>Voice/video media E2EE; text attachments not DM-text E2EE</x:v>
      </x:c>
      <x:c r="C19" s="100" t="str">
        <x:f>IF('Master'!D494="","",'Master'!D494)</x:f>
      </x:c>
      <x:c r="D19" s="100" t="str">
        <x:f>IF('Master'!E494="","",'Master'!E494)</x:f>
      </x:c>
      <x:c r="E19" s="100" t="str">
        <x:f>IF('Master'!F494="","",'Master'!F494)</x:f>
      </x:c>
      <x:c r="F19" s="100" t="str">
        <x:f>IF('Master'!G494="","",'Master'!G494)</x:f>
      </x:c>
      <x:c r="G19" s="100" t="str">
        <x:f>IF('Master'!H494="","",'Master'!H494)</x:f>
      </x:c>
      <x:c r="H19" s="100" t="str">
        <x:f>IF('Master'!I494="","",'Master'!I494)</x:f>
      </x:c>
      <x:c r="I19" s="100" t="str">
        <x:f>IF('Master'!J494="","",'Master'!J494)</x:f>
      </x:c>
      <x:c r="J19" s="100" t="str">
        <x:f>IF('Master'!K494="","",'Master'!K494)</x:f>
      </x:c>
      <x:c r="K19" s="100" t="str">
        <x:f>IF('Master'!L494="","",'Master'!L494)</x:f>
        <x:v>Yes — encrypted chunked AEAD attachment format; filenames/MIME/previews stay in encrypted manifest</x:v>
      </x:c>
      <x:c r="L19" s="100" t="str">
        <x:f>IF('Master'!M494="","",'Master'!M494)</x:f>
      </x:c>
      <x:c r="M19" s="100" t="str">
        <x:f>IF('Master'!N494="","",'Master'!N494)</x:f>
      </x:c>
      <x:c r="N19" s="100" t="str">
        <x:f>IF('Master'!O494="","",'Master'!O494)</x:f>
        <x:v>Yes in encrypted rooms (client-dependent)</x:v>
      </x:c>
      <x:c r="O19" s="100" t="str">
        <x:f>IF('Master'!P494="","",'Master'!P494)</x:f>
      </x:c>
      <x:c r="P19" s="100" t="str">
        <x:f>IF('Master'!Q494="","",'Master'!Q494)</x:f>
      </x:c>
      <x:c r="Q19" s="100" t="str">
        <x:f>IF('Master'!R494="","",'Master'!R494)</x:f>
      </x:c>
      <x:c r="R19" s="100" t="str">
        <x:f>IF('Master'!S494="","",'Master'!S494)</x:f>
      </x:c>
      <x:c r="S19" s="100" t="str">
        <x:f>IF('Master'!T494="","",'Master'!T494)</x:f>
      </x:c>
      <x:c r="T19" s="100" t="str">
        <x:f>IF('Master'!U494="","",'Master'!U494)</x:f>
      </x:c>
      <x:c r="U19" s="100" t="str">
        <x:f>IF('Master'!V494="","",'Master'!V494)</x:f>
        <x:v>E2EE in DMs</x:v>
      </x:c>
      <x:c r="V19" s="100" t="str">
        <x:f>IF('Master'!W494="","",'Master'!W494)</x:f>
      </x:c>
      <x:c r="W19" s="100" t="str">
        <x:f>IF('Master'!X494="","",'Master'!X494)</x:f>
      </x:c>
      <x:c r="X19" s="100" t="str">
        <x:f>IF('Master'!Y494="","",'Master'!Y494)</x:f>
      </x:c>
      <x:c r="Y19" s="100" t="str">
        <x:f>IF('Master'!Z494="","",'Master'!Z494)</x:f>
      </x:c>
      <x:c r="Z19" s="100" t="str">
        <x:f>IF('Master'!AA494="","",'Master'!AA494)</x:f>
      </x:c>
      <x:c r="AA19" s="104" t="str">
        <x:f>IF('Master'!AB494="","",'Master'!AB494)</x:f>
      </x:c>
      <x:c r="AB19" s="100" t="str">
        <x:f>IF('Master'!AC494="","",'Master'!AC494)</x:f>
      </x:c>
      <x:c r="AC19" s="100" t="str">
        <x:f>IF('Master'!AD494="","",'Master'!AD494)</x:f>
      </x:c>
      <x:c r="AD19" s="100" t="str">
        <x:f>IF('Master'!AE494="","",'Master'!AE494)</x:f>
      </x:c>
      <x:c r="AE19" s="100" t="str">
        <x:f>IF('Master'!AF494="","",'Master'!AF494)</x:f>
      </x:c>
      <x:c r="AF19" s="75" t="str">
        <x:f>IF('Master'!AG494="","",'Master'!AG494)</x:f>
      </x:c>
    </x:row>
    <x:row r="20" ht="36" customHeight="1">
      <x:c r="A20" s="135" t="str">
        <x:v>Device Verification / Trust UX</x:v>
      </x:c>
      <x:c r="B20" s="100" t="str">
        <x:f>IF('Master'!C495="","",'Master'!C495)</x:f>
        <x:v>DAVE verification mechanisms exist for calls</x:v>
      </x:c>
      <x:c r="C20" s="100" t="str">
        <x:f>IF('Master'!D495="","",'Master'!D495)</x:f>
      </x:c>
      <x:c r="D20" s="100" t="str">
        <x:f>IF('Master'!E495="","",'Master'!E495)</x:f>
      </x:c>
      <x:c r="E20" s="100" t="str">
        <x:f>IF('Master'!F495="","",'Master'!F495)</x:f>
      </x:c>
      <x:c r="F20" s="100" t="str">
        <x:f>IF('Master'!G495="","",'Master'!G495)</x:f>
      </x:c>
      <x:c r="G20" s="100" t="str">
        <x:f>IF('Master'!H495="","",'Master'!H495)</x:f>
      </x:c>
      <x:c r="H20" s="100" t="str">
        <x:f>IF('Master'!I495="","",'Master'!I495)</x:f>
      </x:c>
      <x:c r="I20" s="100" t="str">
        <x:f>IF('Master'!J495="","",'Master'!J495)</x:f>
      </x:c>
      <x:c r="J20" s="100" t="str">
        <x:f>IF('Master'!K495="","",'Master'!K495)</x:f>
      </x:c>
      <x:c r="K20" s="100" t="str">
        <x:f>IF('Master'!L495="","",'Master'!L495)</x:f>
        <x:v>Yes — room safety number comparison is the identity-verification step</x:v>
      </x:c>
      <x:c r="L20" s="100" t="str">
        <x:f>IF('Master'!M495="","",'Master'!M495)</x:f>
      </x:c>
      <x:c r="M20" s="100" t="str">
        <x:f>IF('Master'!N495="","",'Master'!N495)</x:f>
      </x:c>
      <x:c r="N20" s="100" t="str">
        <x:f>IF('Master'!O495="","",'Master'!O495)</x:f>
        <x:v>Yes — client-dependent cross-signing/device verification</x:v>
      </x:c>
      <x:c r="O20" s="100" t="str">
        <x:f>IF('Master'!P495="","",'Master'!P495)</x:f>
      </x:c>
      <x:c r="P20" s="100" t="str">
        <x:f>IF('Master'!Q495="","",'Master'!Q495)</x:f>
      </x:c>
      <x:c r="Q20" s="100" t="str">
        <x:f>IF('Master'!R495="","",'Master'!R495)</x:f>
      </x:c>
      <x:c r="R20" s="100" t="str">
        <x:f>IF('Master'!S495="","",'Master'!S495)</x:f>
      </x:c>
      <x:c r="S20" s="100" t="str">
        <x:f>IF('Master'!T495="","",'Master'!T495)</x:f>
      </x:c>
      <x:c r="T20" s="100" t="str">
        <x:f>IF('Master'!U495="","",'Master'!U495)</x:f>
      </x:c>
      <x:c r="U20" s="100" t="str">
        <x:f>IF('Master'!V495="","",'Master'!V495)</x:f>
      </x:c>
      <x:c r="V20" s="100" t="str">
        <x:f>IF('Master'!W495="","",'Master'!W495)</x:f>
      </x:c>
      <x:c r="W20" s="100" t="str">
        <x:f>IF('Master'!X495="","",'Master'!X495)</x:f>
      </x:c>
      <x:c r="X20" s="100" t="str">
        <x:f>IF('Master'!Y495="","",'Master'!Y495)</x:f>
      </x:c>
      <x:c r="Y20" s="100" t="str">
        <x:f>IF('Master'!Z495="","",'Master'!Z495)</x:f>
      </x:c>
      <x:c r="Z20" s="100" t="str">
        <x:f>IF('Master'!AA495="","",'Master'!AA495)</x:f>
      </x:c>
      <x:c r="AA20" s="104" t="str">
        <x:f>IF('Master'!AB495="","",'Master'!AB495)</x:f>
      </x:c>
      <x:c r="AB20" s="100" t="str">
        <x:f>IF('Master'!AC495="","",'Master'!AC495)</x:f>
      </x:c>
      <x:c r="AC20" s="100" t="str">
        <x:f>IF('Master'!AD495="","",'Master'!AD495)</x:f>
      </x:c>
      <x:c r="AD20" s="100" t="str">
        <x:f>IF('Master'!AE495="","",'Master'!AE495)</x:f>
      </x:c>
      <x:c r="AE20" s="100" t="str">
        <x:f>IF('Master'!AF495="","",'Master'!AF495)</x:f>
      </x:c>
      <x:c r="AF20" s="75" t="str">
        <x:f>IF('Master'!AG495="","",'Master'!AG495)</x:f>
      </x:c>
    </x:row>
    <x:row r="21" ht="36" customHeight="1">
      <x:c r="A21" s="135" t="str">
        <x:v>Encrypted Backup / Key Recovery</x:v>
      </x:c>
      <x:c r="B21" s="100" t="str">
        <x:f>IF('Master'!C496="","",'Master'!C496)</x:f>
        <x:v>N/A for non-E2EE text</x:v>
      </x:c>
      <x:c r="C21" s="100" t="str">
        <x:f>IF('Master'!D496="","",'Master'!D496)</x:f>
      </x:c>
      <x:c r="D21" s="100" t="str">
        <x:f>IF('Master'!E496="","",'Master'!E496)</x:f>
      </x:c>
      <x:c r="E21" s="100" t="str">
        <x:f>IF('Master'!F496="","",'Master'!F496)</x:f>
      </x:c>
      <x:c r="F21" s="100" t="str">
        <x:f>IF('Master'!G496="","",'Master'!G496)</x:f>
      </x:c>
      <x:c r="G21" s="100" t="str">
        <x:f>IF('Master'!H496="","",'Master'!H496)</x:f>
      </x:c>
      <x:c r="H21" s="100" t="str">
        <x:f>IF('Master'!I496="","",'Master'!I496)</x:f>
      </x:c>
      <x:c r="I21" s="100" t="str">
        <x:f>IF('Master'!J496="","",'Master'!J496)</x:f>
      </x:c>
      <x:c r="J21" s="100" t="str">
        <x:f>IF('Master'!K496="","",'Master'!K496)</x:f>
      </x:c>
      <x:c r="K21" s="100" t="str">
        <x:f>IF('Master'!L496="","",'Master'!L496)</x:f>
        <x:v>Yes — encrypted recovery/vault flow exists; synchronized plaintext cache is bounded to newest 2,000 messages or 8 MiB</x:v>
      </x:c>
      <x:c r="L21" s="100" t="str">
        <x:f>IF('Master'!M496="","",'Master'!M496)</x:f>
      </x:c>
      <x:c r="M21" s="100" t="str">
        <x:f>IF('Master'!N496="","",'Master'!N496)</x:f>
      </x:c>
      <x:c r="N21" s="100" t="str">
        <x:f>IF('Master'!O496="","",'Master'!O496)</x:f>
        <x:v>Client/provider dependent</x:v>
      </x:c>
      <x:c r="O21" s="100" t="str">
        <x:f>IF('Master'!P496="","",'Master'!P496)</x:f>
      </x:c>
      <x:c r="P21" s="100" t="str">
        <x:f>IF('Master'!Q496="","",'Master'!Q496)</x:f>
      </x:c>
      <x:c r="Q21" s="100" t="str">
        <x:f>IF('Master'!R496="","",'Master'!R496)</x:f>
      </x:c>
      <x:c r="R21" s="100" t="str">
        <x:f>IF('Master'!S496="","",'Master'!S496)</x:f>
      </x:c>
      <x:c r="S21" s="100" t="str">
        <x:f>IF('Master'!T496="","",'Master'!T496)</x:f>
      </x:c>
      <x:c r="T21" s="100" t="str">
        <x:f>IF('Master'!U496="","",'Master'!U496)</x:f>
      </x:c>
      <x:c r="U21" s="100" t="str">
        <x:f>IF('Master'!V496="","",'Master'!V496)</x:f>
      </x:c>
      <x:c r="V21" s="100" t="str">
        <x:f>IF('Master'!W496="","",'Master'!W496)</x:f>
      </x:c>
      <x:c r="W21" s="100" t="str">
        <x:f>IF('Master'!X496="","",'Master'!X496)</x:f>
      </x:c>
      <x:c r="X21" s="100" t="str">
        <x:f>IF('Master'!Y496="","",'Master'!Y496)</x:f>
      </x:c>
      <x:c r="Y21" s="100" t="str">
        <x:f>IF('Master'!Z496="","",'Master'!Z496)</x:f>
      </x:c>
      <x:c r="Z21" s="100" t="str">
        <x:f>IF('Master'!AA496="","",'Master'!AA496)</x:f>
      </x:c>
      <x:c r="AA21" s="104" t="str">
        <x:f>IF('Master'!AB496="","",'Master'!AB496)</x:f>
      </x:c>
      <x:c r="AB21" s="100" t="str">
        <x:f>IF('Master'!AC496="","",'Master'!AC496)</x:f>
      </x:c>
      <x:c r="AC21" s="100" t="str">
        <x:f>IF('Master'!AD496="","",'Master'!AD496)</x:f>
      </x:c>
      <x:c r="AD21" s="100" t="str">
        <x:f>IF('Master'!AE496="","",'Master'!AE496)</x:f>
      </x:c>
      <x:c r="AE21" s="100" t="str">
        <x:f>IF('Master'!AF496="","",'Master'!AF496)</x:f>
      </x:c>
      <x:c r="AF21" s="75" t="str">
        <x:f>IF('Master'!AG496="","",'Master'!AG496)</x:f>
      </x:c>
    </x:row>
    <x:row r="22" ht="36" customHeight="1">
      <x:c r="A22" s="135" t="str">
        <x:v>Server-Side Search Works on E2EE Text</x:v>
      </x:c>
      <x:c r="B22" s="100" t="str">
        <x:f>IF('Master'!C497="","",'Master'!C497)</x:f>
        <x:v>N/A — text not E2EE</x:v>
      </x:c>
      <x:c r="C22" s="100" t="str">
        <x:f>IF('Master'!D497="","",'Master'!D497)</x:f>
      </x:c>
      <x:c r="D22" s="100" t="str">
        <x:f>IF('Master'!E497="","",'Master'!E497)</x:f>
      </x:c>
      <x:c r="E22" s="100" t="str">
        <x:f>IF('Master'!F497="","",'Master'!F497)</x:f>
      </x:c>
      <x:c r="F22" s="100" t="str">
        <x:f>IF('Master'!G497="","",'Master'!G497)</x:f>
      </x:c>
      <x:c r="G22" s="100" t="str">
        <x:f>IF('Master'!H497="","",'Master'!H497)</x:f>
      </x:c>
      <x:c r="H22" s="100" t="str">
        <x:f>IF('Master'!I497="","",'Master'!I497)</x:f>
      </x:c>
      <x:c r="I22" s="100" t="str">
        <x:f>IF('Master'!J497="","",'Master'!J497)</x:f>
      </x:c>
      <x:c r="J22" s="100" t="str">
        <x:f>IF('Master'!K497="","",'Master'!K497)</x:f>
      </x:c>
      <x:c r="K22" s="100" t="str">
        <x:f>IF('Master'!L497="","",'Master'!L497)</x:f>
        <x:v>No — server-side plaintext search is disabled for E2EE channels</x:v>
      </x:c>
      <x:c r="L22" s="100" t="str">
        <x:f>IF('Master'!M497="","",'Master'!M497)</x:f>
      </x:c>
      <x:c r="M22" s="100" t="str">
        <x:f>IF('Master'!N497="","",'Master'!N497)</x:f>
      </x:c>
      <x:c r="N22" s="100" t="str">
        <x:f>IF('Master'!O497="","",'Master'!O497)</x:f>
        <x:v>Generally limited/client-side depending implementation</x:v>
      </x:c>
      <x:c r="O22" s="100" t="str">
        <x:f>IF('Master'!P497="","",'Master'!P497)</x:f>
      </x:c>
      <x:c r="P22" s="100" t="str">
        <x:f>IF('Master'!Q497="","",'Master'!Q497)</x:f>
      </x:c>
      <x:c r="Q22" s="100" t="str">
        <x:f>IF('Master'!R497="","",'Master'!R497)</x:f>
      </x:c>
      <x:c r="R22" s="100" t="str">
        <x:f>IF('Master'!S497="","",'Master'!S497)</x:f>
      </x:c>
      <x:c r="S22" s="100" t="str">
        <x:f>IF('Master'!T497="","",'Master'!T497)</x:f>
      </x:c>
      <x:c r="T22" s="100" t="str">
        <x:f>IF('Master'!U497="","",'Master'!U497)</x:f>
      </x:c>
      <x:c r="U22" s="100" t="str">
        <x:f>IF('Master'!V497="","",'Master'!V497)</x:f>
      </x:c>
      <x:c r="V22" s="100" t="str">
        <x:f>IF('Master'!W497="","",'Master'!W497)</x:f>
      </x:c>
      <x:c r="W22" s="100" t="str">
        <x:f>IF('Master'!X497="","",'Master'!X497)</x:f>
      </x:c>
      <x:c r="X22" s="100" t="str">
        <x:f>IF('Master'!Y497="","",'Master'!Y497)</x:f>
      </x:c>
      <x:c r="Y22" s="100" t="str">
        <x:f>IF('Master'!Z497="","",'Master'!Z497)</x:f>
      </x:c>
      <x:c r="Z22" s="100" t="str">
        <x:f>IF('Master'!AA497="","",'Master'!AA497)</x:f>
      </x:c>
      <x:c r="AA22" s="104" t="str">
        <x:f>IF('Master'!AB497="","",'Master'!AB497)</x:f>
      </x:c>
      <x:c r="AB22" s="100" t="str">
        <x:f>IF('Master'!AC497="","",'Master'!AC497)</x:f>
      </x:c>
      <x:c r="AC22" s="100" t="str">
        <x:f>IF('Master'!AD497="","",'Master'!AD497)</x:f>
      </x:c>
      <x:c r="AD22" s="100" t="str">
        <x:f>IF('Master'!AE497="","",'Master'!AE497)</x:f>
      </x:c>
      <x:c r="AE22" s="100" t="str">
        <x:f>IF('Master'!AF497="","",'Master'!AF497)</x:f>
      </x:c>
      <x:c r="AF22" s="75" t="str">
        <x:f>IF('Master'!AG497="","",'Master'!AG497)</x:f>
      </x:c>
    </x:row>
  </x:sheetData>
  <x:mergeCells>
    <x:mergeCell ref="A1:AF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Directory'!A1","Encryption &amp; Privacy — Atomic Matrix"),"Encryption &amp; Privacy — Atomic Matrix")</x:f>
        <x:v>Encryption &amp; Privacy — Atomic Matrix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Transport &amp; Storage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TLS in Transit?</x:v>
      </x:c>
      <x:c r="B4" s="100" t="str">
        <x:f>IF('Master'!C498="","",'Master'!C498)</x:f>
      </x:c>
      <x:c r="C4" s="100" t="str">
        <x:f>IF('Master'!D498="","",'Master'!D498)</x:f>
        <x:v>TLS + Nostr relay transport</x:v>
      </x:c>
      <x:c r="D4" s="100" t="str">
        <x:f>IF('Master'!E498="","",'Master'!E498)</x:f>
        <x:v>TLS required for network access</x:v>
      </x:c>
      <x:c r="E4" s="100" t="str">
        <x:f>IF('Master'!F498="","",'Master'!F498)</x:f>
        <x:v>TLS</x:v>
      </x:c>
      <x:c r="F4" s="100" t="str">
        <x:f>IF('Master'!G498="","",'Master'!G498)</x:f>
        <x:v>TLS in transit</x:v>
      </x:c>
      <x:c r="G4" s="100" t="str">
        <x:f>IF('Master'!H498="","",'Master'!H498)</x:f>
        <x:v>Encrypted in transit; at rest for stored content</x:v>
      </x:c>
      <x:c r="H4" s="100" t="str">
        <x:f>IF('Master'!I498="","",'Master'!I498)</x:f>
        <x:v>TLS in transit</x:v>
      </x:c>
      <x:c r="I4" s="100" t="str">
        <x:f>IF('Master'!J498="","",'Master'!J498)</x:f>
        <x:v>TLS when deployed</x:v>
      </x:c>
      <x:c r="J4" s="100" t="str">
        <x:f>IF('Master'!K498="","",'Master'!K498)</x:f>
        <x:v>TLS relays + end-to-end crypto</x:v>
      </x:c>
      <x:c r="K4" s="100" t="str">
        <x:f>IF('Master'!L498="","",'Master'!L498)</x:f>
        <x:v>Yes — HTTPS/TLS required for production</x:v>
      </x:c>
      <x:c r="L4" s="100" t="str">
        <x:f>IF('Master'!M498="","",'Master'!M498)</x:f>
        <x:v>TLS</x:v>
      </x:c>
      <x:c r="M4" s="100" t="str">
        <x:f>IF('Master'!N498="","",'Master'!N498)</x:f>
        <x:v>TLS</x:v>
      </x:c>
      <x:c r="N4" s="100" t="str">
        <x:f>IF('Master'!O498="","",'Master'!O498)</x:f>
        <x:v>HTTPS/TLS transport; implementation-dependent TLS configuration</x:v>
      </x:c>
      <x:c r="O4" s="100" t="str">
        <x:f>IF('Master'!P498="","",'Master'!P498)</x:f>
        <x:v>TLS configurable; enterprise deployment-controlled</x:v>
      </x:c>
      <x:c r="P4" s="100" t="str">
        <x:f>IF('Master'!Q498="","",'Master'!Q498)</x:f>
        <x:v>TLS</x:v>
      </x:c>
      <x:c r="Q4" s="100" t="str">
        <x:f>IF('Master'!R498="","",'Master'!R498)</x:f>
        <x:v>TLS control channel + encrypted voice transport</x:v>
      </x:c>
      <x:c r="R4" s="100" t="str">
        <x:f>IF('Master'!S498="","",'Master'!S498)</x:f>
        <x:v>TLS in transit</x:v>
      </x:c>
      <x:c r="S4" s="100" t="str">
        <x:f>IF('Master'!T498="","",'Master'!T498)</x:f>
        <x:v>TLS/encrypted connections</x:v>
      </x:c>
      <x:c r="T4" s="100" t="str">
        <x:f>IF('Master'!U498="","",'Master'!U498)</x:f>
        <x:v>Yes</x:v>
      </x:c>
      <x:c r="U4" s="100" t="str">
        <x:f>IF('Master'!V498="","",'Master'!V498)</x:f>
        <x:v>TLS</x:v>
      </x:c>
      <x:c r="V4" s="100" t="str">
        <x:f>IF('Master'!W498="","",'Master'!W498)</x:f>
        <x:v>TLS in transit configurable</x:v>
      </x:c>
      <x:c r="W4" s="100" t="str">
        <x:f>IF('Master'!X498="","",'Master'!X498)</x:f>
        <x:v>TLS</x:v>
      </x:c>
      <x:c r="X4" s="100" t="str">
        <x:f>IF('Master'!Y498="","",'Master'!Y498)</x:f>
        <x:v>TLS in transit</x:v>
      </x:c>
      <x:c r="Y4" s="100" t="str">
        <x:f>IF('Master'!Z498="","",'Master'!Z498)</x:f>
        <x:v>TLS when correctly deployed; operator-controlled</x:v>
      </x:c>
      <x:c r="Z4" s="100" t="str">
        <x:f>IF('Master'!AA498="","",'Master'!AA498)</x:f>
        <x:v>TLS in transit</x:v>
      </x:c>
      <x:c r="AA4" s="104" t="str">
        <x:f>IF('Master'!AB498="","",'Master'!AB498)</x:f>
        <x:v>Encrypted transport</x:v>
      </x:c>
      <x:c r="AB4" s="100" t="str">
        <x:f>IF('Master'!AC498="","",'Master'!AC498)</x:f>
        <x:v>TLS</x:v>
      </x:c>
      <x:c r="AC4" s="100" t="str">
        <x:f>IF('Master'!AD498="","",'Master'!AD498)</x:f>
        <x:v>TLS</x:v>
      </x:c>
      <x:c r="AD4" s="100" t="str">
        <x:f>IF('Master'!AE498="","",'Master'!AE498)</x:f>
        <x:v>TLS</x:v>
      </x:c>
      <x:c r="AE4" s="100" t="str">
        <x:f>IF('Master'!AF498="","",'Master'!AF498)</x:f>
        <x:v>TLS</x:v>
      </x:c>
      <x:c r="AF4" s="75" t="str">
        <x:f>IF('Master'!AG498="","",'Master'!AG498)</x:f>
        <x:v>TLS in transit</x:v>
      </x:c>
    </x:row>
    <x:row r="5" ht="36" customHeight="1">
      <x:c r="A5" s="135" t="str">
        <x:v>TLS 1.3 Explicitly Documented?</x:v>
      </x:c>
      <x:c r="B5" s="100" t="str">
        <x:f>IF('Master'!C499="","",'Master'!C499)</x:f>
        <x:v>Yes</x:v>
      </x:c>
      <x:c r="C5" s="100" t="str">
        <x:f>IF('Master'!D499="","",'Master'!D499)</x:f>
      </x:c>
      <x:c r="D5" s="100" t="str">
        <x:f>IF('Master'!E499="","",'Master'!E499)</x:f>
      </x:c>
      <x:c r="E5" s="100" t="str">
        <x:f>IF('Master'!F499="","",'Master'!F499)</x:f>
      </x:c>
      <x:c r="F5" s="100" t="str">
        <x:f>IF('Master'!G499="","",'Master'!G499)</x:f>
      </x:c>
      <x:c r="G5" s="100" t="str">
        <x:f>IF('Master'!H499="","",'Master'!H499)</x:f>
      </x:c>
      <x:c r="H5" s="100" t="str">
        <x:f>IF('Master'!I499="","",'Master'!I499)</x:f>
      </x:c>
      <x:c r="I5" s="100" t="str">
        <x:f>IF('Master'!J499="","",'Master'!J499)</x:f>
      </x:c>
      <x:c r="J5" s="100" t="str">
        <x:f>IF('Master'!K499="","",'Master'!K499)</x:f>
      </x:c>
      <x:c r="K5" s="100" t="str">
        <x:f>IF('Master'!L499="","",'Master'!L499)</x:f>
        <x:v>TLS required; TLS 1.3 is not explicitly pinned in the reviewed Kaede docs</x:v>
      </x:c>
      <x:c r="L5" s="100" t="str">
        <x:f>IF('Master'!M499="","",'Master'!M499)</x:f>
      </x:c>
      <x:c r="M5" s="100" t="str">
        <x:f>IF('Master'!N499="","",'Master'!N499)</x:f>
      </x:c>
      <x:c r="N5" s="100" t="str">
        <x:f>IF('Master'!O499="","",'Master'!O499)</x:f>
      </x:c>
      <x:c r="O5" s="100" t="str">
        <x:f>IF('Master'!P499="","",'Master'!P499)</x:f>
      </x:c>
      <x:c r="P5" s="100" t="str">
        <x:f>IF('Master'!Q499="","",'Master'!Q499)</x:f>
      </x:c>
      <x:c r="Q5" s="100" t="str">
        <x:f>IF('Master'!R499="","",'Master'!R499)</x:f>
      </x:c>
      <x:c r="R5" s="100" t="str">
        <x:f>IF('Master'!S499="","",'Master'!S499)</x:f>
      </x:c>
      <x:c r="S5" s="100" t="str">
        <x:f>IF('Master'!T499="","",'Master'!T499)</x:f>
      </x:c>
      <x:c r="T5" s="100" t="str">
        <x:f>IF('Master'!U499="","",'Master'!U499)</x:f>
        <x:v>No — TLS is claimed, specific TLS version is not</x:v>
      </x:c>
      <x:c r="U5" s="100" t="str">
        <x:f>IF('Master'!V499="","",'Master'!V499)</x:f>
      </x:c>
      <x:c r="V5" s="100" t="str">
        <x:f>IF('Master'!W499="","",'Master'!W499)</x:f>
      </x:c>
      <x:c r="W5" s="100" t="str">
        <x:f>IF('Master'!X499="","",'Master'!X499)</x:f>
      </x:c>
      <x:c r="X5" s="100" t="str">
        <x:f>IF('Master'!Y499="","",'Master'!Y499)</x:f>
      </x:c>
      <x:c r="Y5" s="100" t="str">
        <x:f>IF('Master'!Z499="","",'Master'!Z499)</x:f>
      </x:c>
      <x:c r="Z5" s="100" t="str">
        <x:f>IF('Master'!AA499="","",'Master'!AA499)</x:f>
      </x:c>
      <x:c r="AA5" s="104" t="str">
        <x:f>IF('Master'!AB499="","",'Master'!AB499)</x:f>
      </x:c>
      <x:c r="AB5" s="100" t="str">
        <x:f>IF('Master'!AC499="","",'Master'!AC499)</x:f>
      </x:c>
      <x:c r="AC5" s="100" t="str">
        <x:f>IF('Master'!AD499="","",'Master'!AD499)</x:f>
      </x:c>
      <x:c r="AD5" s="100" t="str">
        <x:f>IF('Master'!AE499="","",'Master'!AE499)</x:f>
      </x:c>
      <x:c r="AE5" s="100" t="str">
        <x:f>IF('Master'!AF499="","",'Master'!AF499)</x:f>
      </x:c>
      <x:c r="AF5" s="75" t="str">
        <x:f>IF('Master'!AG499="","",'Master'!AG499)</x:f>
      </x:c>
    </x:row>
    <x:row r="6" ht="36" customHeight="1">
      <x:c r="A6" s="135" t="str">
        <x:v>Encryption at Rest?</x:v>
      </x:c>
      <x:c r="B6" s="100" t="str">
        <x:f>IF('Master'!C500="","",'Master'!C500)</x:f>
        <x:v>Yes</x:v>
      </x:c>
      <x:c r="C6" s="100" t="str">
        <x:f>IF('Master'!D500="","",'Master'!D500)</x:f>
      </x:c>
      <x:c r="D6" s="100" t="str">
        <x:f>IF('Master'!E500="","",'Master'!E500)</x:f>
      </x:c>
      <x:c r="E6" s="100" t="str">
        <x:f>IF('Master'!F500="","",'Master'!F500)</x:f>
      </x:c>
      <x:c r="F6" s="100" t="str">
        <x:f>IF('Master'!G500="","",'Master'!G500)</x:f>
      </x:c>
      <x:c r="G6" s="100" t="str">
        <x:f>IF('Master'!H500="","",'Master'!H500)</x:f>
        <x:v>Yes</x:v>
      </x:c>
      <x:c r="H6" s="100" t="str">
        <x:f>IF('Master'!I500="","",'Master'!I500)</x:f>
      </x:c>
      <x:c r="I6" s="100" t="str">
        <x:f>IF('Master'!J500="","",'Master'!J500)</x:f>
      </x:c>
      <x:c r="J6" s="100" t="str">
        <x:f>IF('Master'!K500="","",'Master'!K500)</x:f>
      </x:c>
      <x:c r="K6" s="100" t="str">
        <x:f>IF('Master'!L500="","",'Master'!L500)</x:f>
        <x:v>Partial — selected secrets/TOTP/signing material are encrypted, but universal plaintext-message database-at-rest encryption is not claimed</x:v>
      </x:c>
      <x:c r="L6" s="100" t="str">
        <x:f>IF('Master'!M500="","",'Master'!M500)</x:f>
      </x:c>
      <x:c r="M6" s="100" t="str">
        <x:f>IF('Master'!N500="","",'Master'!N500)</x:f>
      </x:c>
      <x:c r="N6" s="100" t="str">
        <x:f>IF('Master'!O500="","",'Master'!O500)</x:f>
      </x:c>
      <x:c r="O6" s="100" t="str">
        <x:f>IF('Master'!P500="","",'Master'!P500)</x:f>
      </x:c>
      <x:c r="P6" s="100" t="str">
        <x:f>IF('Master'!Q500="","",'Master'!Q500)</x:f>
      </x:c>
      <x:c r="Q6" s="100" t="str">
        <x:f>IF('Master'!R500="","",'Master'!R500)</x:f>
      </x:c>
      <x:c r="R6" s="100" t="str">
        <x:f>IF('Master'!S500="","",'Master'!S500)</x:f>
      </x:c>
      <x:c r="S6" s="100" t="str">
        <x:f>IF('Master'!T500="","",'Master'!T500)</x:f>
      </x:c>
      <x:c r="T6" s="100" t="str">
        <x:f>IF('Master'!U500="","",'Master'!U500)</x:f>
      </x:c>
      <x:c r="U6" s="100" t="str">
        <x:f>IF('Master'!V500="","",'Master'!V500)</x:f>
        <x:v>Yes</x:v>
      </x:c>
      <x:c r="V6" s="100" t="str">
        <x:f>IF('Master'!W500="","",'Master'!W500)</x:f>
      </x:c>
      <x:c r="W6" s="100" t="str">
        <x:f>IF('Master'!X500="","",'Master'!X500)</x:f>
      </x:c>
      <x:c r="X6" s="100" t="str">
        <x:f>IF('Master'!Y500="","",'Master'!Y500)</x:f>
      </x:c>
      <x:c r="Y6" s="100" t="str">
        <x:f>IF('Master'!Z500="","",'Master'!Z500)</x:f>
      </x:c>
      <x:c r="Z6" s="100" t="str">
        <x:f>IF('Master'!AA500="","",'Master'!AA500)</x:f>
      </x:c>
      <x:c r="AA6" s="104" t="str">
        <x:f>IF('Master'!AB500="","",'Master'!AB500)</x:f>
      </x:c>
      <x:c r="AB6" s="100" t="str">
        <x:f>IF('Master'!AC500="","",'Master'!AC500)</x:f>
      </x:c>
      <x:c r="AC6" s="100" t="str">
        <x:f>IF('Master'!AD500="","",'Master'!AD500)</x:f>
      </x:c>
      <x:c r="AD6" s="100" t="str">
        <x:f>IF('Master'!AE500="","",'Master'!AE500)</x:f>
      </x:c>
      <x:c r="AE6" s="100" t="str">
        <x:f>IF('Master'!AF500="","",'Master'!AF500)</x:f>
      </x:c>
      <x:c r="AF6" s="75" t="str">
        <x:f>IF('Master'!AG500="","",'Master'!AG500)</x:f>
      </x:c>
    </x:row>
    <x:row r="7" ht="23.100000381469727" customHeight="1">
      <x:c r="A7" s="135" t="str">
        <x:v>Text E2EE</x:v>
      </x:c>
      <x:c r="B7" s="102" t="str">
        <x:f>IF('Master'!C501="","",'Master'!C501)</x:f>
      </x:c>
      <x:c r="C7" s="102" t="str">
        <x:f>IF('Master'!D501="","",'Master'!D501)</x:f>
      </x:c>
      <x:c r="D7" s="102" t="str">
        <x:f>IF('Master'!E501="","",'Master'!E501)</x:f>
      </x:c>
      <x:c r="E7" s="102" t="str">
        <x:f>IF('Master'!F501="","",'Master'!F501)</x:f>
      </x:c>
      <x:c r="F7" s="102" t="str">
        <x:f>IF('Master'!G501="","",'Master'!G501)</x:f>
      </x:c>
      <x:c r="G7" s="102" t="str">
        <x:f>IF('Master'!H501="","",'Master'!H501)</x:f>
      </x:c>
      <x:c r="H7" s="102" t="str">
        <x:f>IF('Master'!I501="","",'Master'!I501)</x:f>
      </x:c>
      <x:c r="I7" s="102" t="str">
        <x:f>IF('Master'!J501="","",'Master'!J501)</x:f>
      </x:c>
      <x:c r="J7" s="102" t="str">
        <x:f>IF('Master'!K501="","",'Master'!K501)</x:f>
      </x:c>
      <x:c r="K7" s="102" t="str">
        <x:f>IF('Master'!L501="","",'Master'!L501)</x:f>
        <x:v>Yes — optional room/DM MLS 1.0</x:v>
      </x:c>
      <x:c r="L7" s="102" t="str">
        <x:f>IF('Master'!M501="","",'Master'!M501)</x:f>
      </x:c>
      <x:c r="M7" s="102" t="str">
        <x:f>IF('Master'!N501="","",'Master'!N501)</x:f>
      </x:c>
      <x:c r="N7" s="102" t="str">
        <x:f>IF('Master'!O501="","",'Master'!O501)</x:f>
      </x:c>
      <x:c r="O7" s="102" t="str">
        <x:f>IF('Master'!P501="","",'Master'!P501)</x:f>
      </x:c>
      <x:c r="P7" s="102" t="str">
        <x:f>IF('Master'!Q501="","",'Master'!Q501)</x:f>
      </x:c>
      <x:c r="Q7" s="102" t="str">
        <x:f>IF('Master'!R501="","",'Master'!R501)</x:f>
      </x:c>
      <x:c r="R7" s="102" t="str">
        <x:f>IF('Master'!S501="","",'Master'!S501)</x:f>
      </x:c>
      <x:c r="S7" s="102" t="str">
        <x:f>IF('Master'!T501="","",'Master'!T501)</x:f>
      </x:c>
      <x:c r="T7" s="102" t="str">
        <x:f>IF('Master'!U501="","",'Master'!U501)</x:f>
      </x:c>
      <x:c r="U7" s="102" t="str">
        <x:f>IF('Master'!V501="","",'Master'!V501)</x:f>
      </x:c>
      <x:c r="V7" s="102" t="str">
        <x:f>IF('Master'!W501="","",'Master'!W501)</x:f>
      </x:c>
      <x:c r="W7" s="102" t="str">
        <x:f>IF('Master'!X501="","",'Master'!X501)</x:f>
      </x:c>
      <x:c r="X7" s="102" t="str">
        <x:f>IF('Master'!Y501="","",'Master'!Y501)</x:f>
      </x:c>
      <x:c r="Y7" s="102" t="str">
        <x:f>IF('Master'!Z501="","",'Master'!Z501)</x:f>
      </x:c>
      <x:c r="Z7" s="102" t="str">
        <x:f>IF('Master'!AA501="","",'Master'!AA501)</x:f>
      </x:c>
      <x:c r="AA7" s="103" t="str">
        <x:f>IF('Master'!AB501="","",'Master'!AB501)</x:f>
      </x:c>
      <x:c r="AB7" s="102" t="str">
        <x:f>IF('Master'!AC501="","",'Master'!AC501)</x:f>
      </x:c>
      <x:c r="AC7" s="102" t="str">
        <x:f>IF('Master'!AD501="","",'Master'!AD501)</x:f>
      </x:c>
      <x:c r="AD7" s="102" t="str">
        <x:f>IF('Master'!AE501="","",'Master'!AE501)</x:f>
      </x:c>
      <x:c r="AE7" s="102" t="str">
        <x:f>IF('Master'!AF501="","",'Master'!AF501)</x:f>
      </x:c>
      <x:c r="AF7" s="75" t="str">
        <x:f>IF('Master'!AG501="","",'Master'!AG501)</x:f>
      </x:c>
    </x:row>
    <x:row r="8" ht="36" customHeight="1">
      <x:c r="A8" s="135" t="str">
        <x:v>1:1 DM Text E2EE?</x:v>
      </x:c>
      <x:c r="B8" s="100" t="str">
        <x:f>IF('Master'!C502="","",'Master'!C502)</x:f>
        <x:v>No (text)</x:v>
      </x:c>
      <x:c r="C8" s="100" t="str">
        <x:f>IF('Master'!D502="","",'Master'!D502)</x:f>
        <x:v>Yes</x:v>
      </x:c>
      <x:c r="D8" s="100" t="str">
        <x:f>IF('Master'!E502="","",'Master'!E502)</x:f>
        <x:v>Yes for desktop server DMs when enabled; messenger always yes</x:v>
      </x:c>
      <x:c r="E8" s="100" t="str">
        <x:f>IF('Master'!F502="","",'Master'!F502)</x:f>
        <x:v>No default text E2EE verified</x:v>
      </x:c>
      <x:c r="F8" s="100" t="str">
        <x:f>IF('Master'!G502="","",'Master'!G502)</x:f>
        <x:v>Yes</x:v>
      </x:c>
      <x:c r="G8" s="100" t="str">
        <x:f>IF('Master'!H502="","",'Master'!H502)</x:f>
        <x:v>No</x:v>
      </x:c>
      <x:c r="H8" s="100" t="str">
        <x:f>IF('Master'!I502="","",'Master'!I502)</x:f>
        <x:v>No</x:v>
      </x:c>
      <x:c r="I8" s="100" t="str">
        <x:f>IF('Master'!J502="","",'Master'!J502)</x:f>
        <x:v>No</x:v>
      </x:c>
      <x:c r="J8" s="100" t="str">
        <x:f>IF('Master'!K502="","",'Master'!K502)</x:f>
        <x:v>Yes</x:v>
      </x:c>
      <x:c r="K8" s="100" t="str">
        <x:f>IF('Master'!L502="","",'Master'!L502)</x:f>
        <x:v>Yes — optional room/DM MLS 1.0</x:v>
      </x:c>
      <x:c r="L8" s="100" t="str">
        <x:f>IF('Master'!M502="","",'Master'!M502)</x:f>
      </x:c>
      <x:c r="M8" s="100" t="str">
        <x:f>IF('Master'!N502="","",'Master'!N502)</x:f>
      </x:c>
      <x:c r="N8" s="100" t="str">
        <x:f>IF('Master'!O502="","",'Master'!O502)</x:f>
        <x:v>Supported; default depends on client/room</x:v>
      </x:c>
      <x:c r="O8" s="100" t="str">
        <x:f>IF('Master'!P502="","",'Master'!P502)</x:f>
        <x:v>No</x:v>
      </x:c>
      <x:c r="P8" s="100" t="str">
        <x:f>IF('Master'!Q502="","",'Master'!Q502)</x:f>
        <x:v>E2EE claimed</x:v>
      </x:c>
      <x:c r="Q8" s="100" t="str">
        <x:f>IF('Master'!R502="","",'Master'!R502)</x:f>
        <x:v>N/A</x:v>
      </x:c>
      <x:c r="R8" s="100" t="str">
        <x:f>IF('Master'!S502="","",'Master'!S502)</x:f>
        <x:v>No default E2EE verified</x:v>
      </x:c>
      <x:c r="S8" s="100" t="str">
        <x:f>IF('Master'!T502="","",'Master'!T502)</x:f>
        <x:v>No</x:v>
      </x:c>
      <x:c r="T8" s="100" t="str">
        <x:f>IF('Master'!U502="","",'Master'!U502)</x:f>
        <x:v>No — not marketed as E2EE</x:v>
      </x:c>
      <x:c r="U8" s="100" t="str">
        <x:f>IF('Master'!V502="","",'Master'!V502)</x:f>
        <x:v>Yes — Signal-style X3DH/Double Ratchet</x:v>
      </x:c>
      <x:c r="V8" s="100" t="str">
        <x:f>IF('Master'!W502="","",'Master'!W502)</x:f>
        <x:v>Available in supported E2EE conversations</x:v>
      </x:c>
      <x:c r="W8" s="100" t="str">
        <x:f>IF('Master'!X502="","",'Master'!X502)</x:f>
        <x:v>No default E2EE verified</x:v>
      </x:c>
      <x:c r="X8" s="100" t="str">
        <x:f>IF('Master'!Y502="","",'Master'!Y502)</x:f>
        <x:v>No claim / treated as server-readable</x:v>
      </x:c>
      <x:c r="Y8" s="100" t="str">
        <x:f>IF('Master'!Z502="","",'Master'!Z502)</x:f>
        <x:v>No documented default</x:v>
      </x:c>
      <x:c r="Z8" s="100" t="str">
        <x:f>IF('Master'!AA502="","",'Master'!AA502)</x:f>
        <x:v>No default E2EE verified</x:v>
      </x:c>
      <x:c r="AA8" s="104" t="str">
        <x:f>IF('Master'!AB502="","",'Master'!AB502)</x:f>
      </x:c>
      <x:c r="AB8" s="100" t="str">
        <x:f>IF('Master'!AC502="","",'Master'!AC502)</x:f>
        <x:v>No default E2EE claim</x:v>
      </x:c>
      <x:c r="AC8" s="100" t="str">
        <x:f>IF('Master'!AD502="","",'Master'!AD502)</x:f>
        <x:v>No by default</x:v>
      </x:c>
      <x:c r="AD8" s="100" t="str">
        <x:f>IF('Master'!AE502="","",'Master'!AE502)</x:f>
        <x:v>No</x:v>
      </x:c>
      <x:c r="AE8" s="100" t="str">
        <x:f>IF('Master'!AF502="","",'Master'!AF502)</x:f>
      </x:c>
      <x:c r="AF8" s="75" t="str">
        <x:f>IF('Master'!AG502="","",'Master'!AG502)</x:f>
        <x:v>No</x:v>
      </x:c>
    </x:row>
    <x:row r="9" ht="36" customHeight="1">
      <x:c r="A9" s="135" t="str">
        <x:v>Group DM Text E2EE?</x:v>
      </x:c>
      <x:c r="B9" s="100" t="str">
        <x:f>IF('Master'!C503="","",'Master'!C503)</x:f>
        <x:v>No (text)</x:v>
      </x:c>
      <x:c r="C9" s="100" t="str">
        <x:f>IF('Master'!D503="","",'Master'!D503)</x:f>
        <x:v>Yes</x:v>
      </x:c>
      <x:c r="D9" s="100" t="str">
        <x:f>IF('Master'!E503="","",'Master'!E503)</x:f>
      </x:c>
      <x:c r="E9" s="100" t="str">
        <x:f>IF('Master'!F503="","",'Master'!F503)</x:f>
        <x:v>No</x:v>
      </x:c>
      <x:c r="F9" s="100" t="str">
        <x:f>IF('Master'!G503="","",'Master'!G503)</x:f>
      </x:c>
      <x:c r="G9" s="100" t="str">
        <x:f>IF('Master'!H503="","",'Master'!H503)</x:f>
        <x:v>No</x:v>
      </x:c>
      <x:c r="H9" s="100" t="str">
        <x:f>IF('Master'!I503="","",'Master'!I503)</x:f>
        <x:v>No</x:v>
      </x:c>
      <x:c r="I9" s="100" t="str">
        <x:f>IF('Master'!J503="","",'Master'!J503)</x:f>
        <x:v>No</x:v>
      </x:c>
      <x:c r="J9" s="100" t="str">
        <x:f>IF('Master'!K503="","",'Master'!K503)</x:f>
        <x:v>Yes</x:v>
      </x:c>
      <x:c r="K9" s="100" t="str">
        <x:f>IF('Master'!L503="","",'Master'!L503)</x:f>
        <x:v>Yes — optional room/DM MLS 1.0</x:v>
      </x:c>
      <x:c r="L9" s="100" t="str">
        <x:f>IF('Master'!M503="","",'Master'!M503)</x:f>
      </x:c>
      <x:c r="M9" s="100" t="str">
        <x:f>IF('Master'!N503="","",'Master'!N503)</x:f>
      </x:c>
      <x:c r="N9" s="100" t="str">
        <x:f>IF('Master'!O503="","",'Master'!O503)</x:f>
        <x:v>Supported in encrypted rooms</x:v>
      </x:c>
      <x:c r="O9" s="100" t="str">
        <x:f>IF('Master'!P503="","",'Master'!P503)</x:f>
        <x:v>No</x:v>
      </x:c>
      <x:c r="P9" s="100" t="str">
        <x:f>IF('Master'!Q503="","",'Master'!Q503)</x:f>
        <x:v>E2EE claimed</x:v>
      </x:c>
      <x:c r="Q9" s="100" t="str">
        <x:f>IF('Master'!R503="","",'Master'!R503)</x:f>
        <x:v>N/A</x:v>
      </x:c>
      <x:c r="R9" s="100" t="str">
        <x:f>IF('Master'!S503="","",'Master'!S503)</x:f>
        <x:v>No</x:v>
      </x:c>
      <x:c r="S9" s="100" t="str">
        <x:f>IF('Master'!T503="","",'Master'!T503)</x:f>
        <x:v>No</x:v>
      </x:c>
      <x:c r="T9" s="100" t="str">
        <x:f>IF('Master'!U503="","",'Master'!U503)</x:f>
        <x:v>No — not marketed as E2EE</x:v>
      </x:c>
      <x:c r="U9" s="100" t="str">
        <x:f>IF('Master'!V503="","",'Master'!V503)</x:f>
        <x:v>No — Splinters encrypted at rest, not E2EE</x:v>
      </x:c>
      <x:c r="V9" s="100" t="str">
        <x:f>IF('Master'!W503="","",'Master'!W503)</x:f>
        <x:v>Available with limitations/version-dependent</x:v>
      </x:c>
      <x:c r="W9" s="100" t="str">
        <x:f>IF('Master'!X503="","",'Master'!X503)</x:f>
        <x:v>No</x:v>
      </x:c>
      <x:c r="X9" s="100" t="str">
        <x:f>IF('Master'!Y503="","",'Master'!Y503)</x:f>
        <x:v>No claim</x:v>
      </x:c>
      <x:c r="Y9" s="100" t="str">
        <x:f>IF('Master'!Z503="","",'Master'!Z503)</x:f>
        <x:v>No documented default</x:v>
      </x:c>
      <x:c r="Z9" s="100" t="str">
        <x:f>IF('Master'!AA503="","",'Master'!AA503)</x:f>
        <x:v>No default E2EE verified</x:v>
      </x:c>
      <x:c r="AA9" s="104" t="str">
        <x:f>IF('Master'!AB503="","",'Master'!AB503)</x:f>
      </x:c>
      <x:c r="AB9" s="100" t="str">
        <x:f>IF('Master'!AC503="","",'Master'!AC503)</x:f>
        <x:v>No</x:v>
      </x:c>
      <x:c r="AC9" s="100" t="str">
        <x:f>IF('Master'!AD503="","",'Master'!AD503)</x:f>
      </x:c>
      <x:c r="AD9" s="100" t="str">
        <x:f>IF('Master'!AE503="","",'Master'!AE503)</x:f>
        <x:v>No</x:v>
      </x:c>
      <x:c r="AE9" s="100" t="str">
        <x:f>IF('Master'!AF503="","",'Master'!AF503)</x:f>
      </x:c>
      <x:c r="AF9" s="75" t="str">
        <x:f>IF('Master'!AG503="","",'Master'!AG503)</x:f>
        <x:v>No</x:v>
      </x:c>
    </x:row>
    <x:row r="10" ht="36" customHeight="1">
      <x:c r="A10" s="135" t="str">
        <x:v>Private Channel Text E2EE?</x:v>
      </x:c>
      <x:c r="B10" s="100" t="str">
        <x:f>IF('Master'!C504="","",'Master'!C504)</x:f>
        <x:v>No (text)</x:v>
      </x:c>
      <x:c r="C10" s="100" t="str">
        <x:f>IF('Master'!D504="","",'Master'!D504)</x:f>
        <x:v>Yes</x:v>
      </x:c>
      <x:c r="D10" s="100" t="str">
        <x:f>IF('Master'!E504="","",'Master'!E504)</x:f>
        <x:v>No for normal server channels</x:v>
      </x:c>
      <x:c r="E10" s="100" t="str">
        <x:f>IF('Master'!F504="","",'Master'!F504)</x:f>
        <x:v>No</x:v>
      </x:c>
      <x:c r="F10" s="100" t="str">
        <x:f>IF('Master'!G504="","",'Master'!G504)</x:f>
        <x:v>No</x:v>
      </x:c>
      <x:c r="G10" s="100" t="str">
        <x:f>IF('Master'!H504="","",'Master'!H504)</x:f>
        <x:v>No</x:v>
      </x:c>
      <x:c r="H10" s="100" t="str">
        <x:f>IF('Master'!I504="","",'Master'!I504)</x:f>
        <x:v>No</x:v>
      </x:c>
      <x:c r="I10" s="100" t="str">
        <x:f>IF('Master'!J504="","",'Master'!J504)</x:f>
        <x:v>No</x:v>
      </x:c>
      <x:c r="J10" s="100" t="str">
        <x:f>IF('Master'!K504="","",'Master'!K504)</x:f>
        <x:v>Yes for private channels; public channels are intentionally plaintext/public</x:v>
      </x:c>
      <x:c r="K10" s="100" t="str">
        <x:f>IF('Master'!L504="","",'Master'!L504)</x:f>
        <x:v>Yes — optional room/DM MLS 1.0</x:v>
      </x:c>
      <x:c r="L10" s="100" t="str">
        <x:f>IF('Master'!M504="","",'Master'!M504)</x:f>
      </x:c>
      <x:c r="M10" s="100" t="str">
        <x:f>IF('Master'!N504="","",'Master'!N504)</x:f>
      </x:c>
      <x:c r="N10" s="100" t="str">
        <x:f>IF('Master'!O504="","",'Master'!O504)</x:f>
        <x:v>Supported in encrypted rooms</x:v>
      </x:c>
      <x:c r="O10" s="100" t="str">
        <x:f>IF('Master'!P504="","",'Master'!P504)</x:f>
        <x:v>No</x:v>
      </x:c>
      <x:c r="P10" s="100" t="str">
        <x:f>IF('Master'!Q504="","",'Master'!Q504)</x:f>
      </x:c>
      <x:c r="Q10" s="100" t="str">
        <x:f>IF('Master'!R504="","",'Master'!R504)</x:f>
        <x:v>N/A</x:v>
      </x:c>
      <x:c r="R10" s="100" t="str">
        <x:f>IF('Master'!S504="","",'Master'!S504)</x:f>
        <x:v>No</x:v>
      </x:c>
      <x:c r="S10" s="100" t="str">
        <x:f>IF('Master'!T504="","",'Master'!T504)</x:f>
        <x:v>No</x:v>
      </x:c>
      <x:c r="T10" s="100" t="str">
        <x:f>IF('Master'!U504="","",'Master'!U504)</x:f>
        <x:v>No — not marketed as E2EE</x:v>
      </x:c>
      <x:c r="U10" s="100" t="str">
        <x:f>IF('Master'!V504="","",'Master'!V504)</x:f>
        <x:v>No — Shard/community channels encrypted at rest</x:v>
      </x:c>
      <x:c r="V10" s="100" t="str">
        <x:f>IF('Master'!W504="","",'Master'!W504)</x:f>
        <x:v>Available for encrypted rooms; federation has limitations</x:v>
      </x:c>
      <x:c r="W10" s="100" t="str">
        <x:f>IF('Master'!X504="","",'Master'!X504)</x:f>
        <x:v>No</x:v>
      </x:c>
      <x:c r="X10" s="100" t="str">
        <x:f>IF('Master'!Y504="","",'Master'!Y504)</x:f>
        <x:v>No claim</x:v>
      </x:c>
      <x:c r="Y10" s="100" t="str">
        <x:f>IF('Master'!Z504="","",'Master'!Z504)</x:f>
        <x:v>No documented default</x:v>
      </x:c>
      <x:c r="Z10" s="100" t="str">
        <x:f>IF('Master'!AA504="","",'Master'!AA504)</x:f>
        <x:v>No</x:v>
      </x:c>
      <x:c r="AA10" s="104" t="str">
        <x:f>IF('Master'!AB504="","",'Master'!AB504)</x:f>
      </x:c>
      <x:c r="AB10" s="100" t="str">
        <x:f>IF('Master'!AC504="","",'Master'!AC504)</x:f>
        <x:v>No</x:v>
      </x:c>
      <x:c r="AC10" s="100" t="str">
        <x:f>IF('Master'!AD504="","",'Master'!AD504)</x:f>
        <x:v>No by default</x:v>
      </x:c>
      <x:c r="AD10" s="100" t="str">
        <x:f>IF('Master'!AE504="","",'Master'!AE504)</x:f>
        <x:v>No</x:v>
      </x:c>
      <x:c r="AE10" s="100" t="str">
        <x:f>IF('Master'!AF504="","",'Master'!AF504)</x:f>
      </x:c>
      <x:c r="AF10" s="75" t="str">
        <x:f>IF('Master'!AG504="","",'Master'!AG504)</x:f>
        <x:v>No</x:v>
      </x:c>
    </x:row>
    <x:row r="11" ht="36" customHeight="1">
      <x:c r="A11" s="135" t="str">
        <x:v>Public Channel Text E2EE?</x:v>
      </x:c>
      <x:c r="B11" s="100" t="str">
        <x:f>IF('Master'!C505="","",'Master'!C505)</x:f>
        <x:v>No</x:v>
      </x:c>
      <x:c r="C11" s="100" t="str">
        <x:f>IF('Master'!D505="","",'Master'!D505)</x:f>
      </x:c>
      <x:c r="D11" s="100" t="str">
        <x:f>IF('Master'!E505="","",'Master'!E505)</x:f>
      </x:c>
      <x:c r="E11" s="100" t="str">
        <x:f>IF('Master'!F505="","",'Master'!F505)</x:f>
      </x:c>
      <x:c r="F11" s="100" t="str">
        <x:f>IF('Master'!G505="","",'Master'!G505)</x:f>
        <x:v>No</x:v>
      </x:c>
      <x:c r="G11" s="100" t="str">
        <x:f>IF('Master'!H505="","",'Master'!H505)</x:f>
        <x:v>No</x:v>
      </x:c>
      <x:c r="H11" s="100" t="str">
        <x:f>IF('Master'!I505="","",'Master'!I505)</x:f>
      </x:c>
      <x:c r="I11" s="100" t="str">
        <x:f>IF('Master'!J505="","",'Master'!J505)</x:f>
      </x:c>
      <x:c r="J11" s="100" t="str">
        <x:f>IF('Master'!K505="","",'Master'!K505)</x:f>
        <x:v>Optional / room-dependent</x:v>
      </x:c>
      <x:c r="K11" s="100" t="str">
        <x:f>IF('Master'!L505="","",'Master'!L505)</x:f>
        <x:v>Yes — optional room/DM MLS 1.0</x:v>
      </x:c>
      <x:c r="L11" s="100" t="str">
        <x:f>IF('Master'!M505="","",'Master'!M505)</x:f>
      </x:c>
      <x:c r="M11" s="100" t="str">
        <x:f>IF('Master'!N505="","",'Master'!N505)</x:f>
      </x:c>
      <x:c r="N11" s="100" t="str">
        <x:f>IF('Master'!O505="","",'Master'!O505)</x:f>
        <x:v>Optional / room-dependent</x:v>
      </x:c>
      <x:c r="O11" s="100" t="str">
        <x:f>IF('Master'!P505="","",'Master'!P505)</x:f>
        <x:v>No</x:v>
      </x:c>
      <x:c r="P11" s="100" t="str">
        <x:f>IF('Master'!Q505="","",'Master'!Q505)</x:f>
      </x:c>
      <x:c r="Q11" s="100" t="str">
        <x:f>IF('Master'!R505="","",'Master'!R505)</x:f>
      </x:c>
      <x:c r="R11" s="100" t="str">
        <x:f>IF('Master'!S505="","",'Master'!S505)</x:f>
      </x:c>
      <x:c r="S11" s="100" t="str">
        <x:f>IF('Master'!T505="","",'Master'!T505)</x:f>
      </x:c>
      <x:c r="T11" s="100" t="str">
        <x:f>IF('Master'!U505="","",'Master'!U505)</x:f>
      </x:c>
      <x:c r="U11" s="100" t="str">
        <x:f>IF('Master'!V505="","",'Master'!V505)</x:f>
        <x:v>No</x:v>
      </x:c>
      <x:c r="V11" s="100" t="str">
        <x:f>IF('Master'!W505="","",'Master'!W505)</x:f>
        <x:v>Optional / room-dependent</x:v>
      </x:c>
      <x:c r="W11" s="100" t="str">
        <x:f>IF('Master'!X505="","",'Master'!X505)</x:f>
      </x:c>
      <x:c r="X11" s="100" t="str">
        <x:f>IF('Master'!Y505="","",'Master'!Y505)</x:f>
        <x:v>No</x:v>
      </x:c>
      <x:c r="Y11" s="100" t="str">
        <x:f>IF('Master'!Z505="","",'Master'!Z505)</x:f>
      </x:c>
      <x:c r="Z11" s="100" t="str">
        <x:f>IF('Master'!AA505="","",'Master'!AA505)</x:f>
      </x:c>
      <x:c r="AA11" s="104" t="str">
        <x:f>IF('Master'!AB505="","",'Master'!AB505)</x:f>
      </x:c>
      <x:c r="AB11" s="100" t="str">
        <x:f>IF('Master'!AC505="","",'Master'!AC505)</x:f>
      </x:c>
      <x:c r="AC11" s="100" t="str">
        <x:f>IF('Master'!AD505="","",'Master'!AD505)</x:f>
      </x:c>
      <x:c r="AD11" s="100" t="str">
        <x:f>IF('Master'!AE505="","",'Master'!AE505)</x:f>
      </x:c>
      <x:c r="AE11" s="100" t="str">
        <x:f>IF('Master'!AF505="","",'Master'!AF505)</x:f>
      </x:c>
      <x:c r="AF11" s="75" t="str">
        <x:f>IF('Master'!AG505="","",'Master'!AG505)</x:f>
        <x:v>No</x:v>
      </x:c>
    </x:row>
    <x:row r="12" ht="36" customHeight="1">
      <x:c r="A12" s="135" t="str">
        <x:v>E2EE Default or Optional</x:v>
      </x:c>
      <x:c r="B12" s="100" t="str">
        <x:f>IF('Master'!C506="","",'Master'!C506)</x:f>
        <x:v>Mandatory for supported voice/video; text not E2EE</x:v>
      </x:c>
      <x:c r="C12" s="100" t="str">
        <x:f>IF('Master'!D506="","",'Master'!D506)</x:f>
        <x:v>E2EE by default for communities</x:v>
      </x:c>
      <x:c r="D12" s="100" t="str">
        <x:f>IF('Master'!E506="","",'Master'!E506)</x:f>
        <x:v>Messenger mandatory; server DM encryption optional</x:v>
      </x:c>
      <x:c r="E12" s="100" t="str">
        <x:f>IF('Master'!F506="","",'Master'!F506)</x:f>
      </x:c>
      <x:c r="F12" s="100" t="str">
        <x:f>IF('Master'!G506="","",'Master'!G506)</x:f>
        <x:v>DM encryption is intended/default; media status is evolving</x:v>
      </x:c>
      <x:c r="G12" s="100" t="str">
        <x:f>IF('Master'!H506="","",'Master'!H506)</x:f>
        <x:v>Not E2EE as of 2026-09-13 privacy policy</x:v>
      </x:c>
      <x:c r="H12" s="100" t="str">
        <x:f>IF('Master'!I506="","",'Master'!I506)</x:f>
        <x:v>Voice only / text not claimed E2EE</x:v>
      </x:c>
      <x:c r="I12" s="100" t="str">
        <x:f>IF('Master'!J506="","",'Master'!J506)</x:f>
        <x:v>No E2EE currently</x:v>
      </x:c>
      <x:c r="J12" s="100" t="str">
        <x:f>IF('Master'!K506="","",'Master'!K506)</x:f>
        <x:v>Mandatory for private communication; public channels intentionally not</x:v>
      </x:c>
      <x:c r="K12" s="100" t="str">
        <x:f>IF('Master'!L506="","",'Master'!L506)</x:f>
        <x:v>Optional, room-level; activation is fail-closed and irreversible for future content once active</x:v>
      </x:c>
      <x:c r="L12" s="100" t="str">
        <x:f>IF('Master'!M506="","",'Master'!M506)</x:f>
        <x:v>E2EE WIP; TLS today</x:v>
      </x:c>
      <x:c r="M12" s="100" t="str">
        <x:f>IF('Master'!N506="","",'Master'!N506)</x:f>
        <x:v>Mixed/eligible content</x:v>
      </x:c>
      <x:c r="N12" s="100" t="str">
        <x:f>IF('Master'!O506="","",'Master'!O506)</x:f>
        <x:v>Optional at protocol level; many clients default private chats to encrypted</x:v>
      </x:c>
      <x:c r="O12" s="100" t="str">
        <x:f>IF('Master'!P506="","",'Master'!P506)</x:f>
        <x:v>Server-side enterprise collaboration model</x:v>
      </x:c>
      <x:c r="P12" s="100" t="str">
        <x:f>IF('Master'!Q506="","",'Master'!Q506)</x:f>
        <x:v>Claimed zero-knowledge/E2EE</x:v>
      </x:c>
      <x:c r="Q12" s="100" t="str">
        <x:f>IF('Master'!R506="","",'Master'!R506)</x:f>
        <x:v>Transport encryption</x:v>
      </x:c>
      <x:c r="R12" s="100" t="str">
        <x:f>IF('Master'!S506="","",'Master'!S506)</x:f>
      </x:c>
      <x:c r="S12" s="100" t="str">
        <x:f>IF('Master'!T506="","",'Master'!T506)</x:f>
        <x:v>Transport encryption</x:v>
      </x:c>
      <x:c r="T12" s="100" t="str">
        <x:f>IF('Master'!U506="","",'Master'!U506)</x:f>
        <x:v>No E2EE product claim</x:v>
      </x:c>
      <x:c r="U12" s="100" t="str">
        <x:f>IF('Master'!V506="","",'Master'!V506)</x:f>
        <x:v>Default for DMs/direct calls; not used for Shard channels</x:v>
      </x:c>
      <x:c r="V12" s="100" t="str">
        <x:f>IF('Master'!W506="","",'Master'!W506)</x:f>
        <x:v>Optional/room-dependent</x:v>
      </x:c>
      <x:c r="W12" s="100" t="str">
        <x:f>IF('Master'!X506="","",'Master'!X506)</x:f>
        <x:v>No E2EE verified</x:v>
      </x:c>
      <x:c r="X12" s="100" t="str">
        <x:f>IF('Master'!Y506="","",'Master'!Y506)</x:f>
        <x:v>Transport encryption only</x:v>
      </x:c>
      <x:c r="Y12" s="100" t="str">
        <x:f>IF('Master'!Z506="","",'Master'!Z506)</x:f>
        <x:v>No platform-wide E2EE guarantee</x:v>
      </x:c>
      <x:c r="Z12" s="100" t="str">
        <x:f>IF('Master'!AA506="","",'Master'!AA506)</x:f>
      </x:c>
      <x:c r="AA12" s="104" t="str">
        <x:f>IF('Master'!AB506="","",'Master'!AB506)</x:f>
      </x:c>
      <x:c r="AB12" s="100" t="str">
        <x:f>IF('Master'!AC506="","",'Master'!AC506)</x:f>
        <x:v>Transport/server-side</x:v>
      </x:c>
      <x:c r="AC12" s="100" t="str">
        <x:f>IF('Master'!AD506="","",'Master'!AD506)</x:f>
        <x:v>Per-conversation opt-in planned; default unencrypted</x:v>
      </x:c>
      <x:c r="AD12" s="100" t="str">
        <x:f>IF('Master'!AE506="","",'Master'!AE506)</x:f>
        <x:v>Transport encryption</x:v>
      </x:c>
      <x:c r="AE12" s="100" t="str">
        <x:f>IF('Master'!AF506="","",'Master'!AF506)</x:f>
        <x:v>Transport/self-host privacy model</x:v>
      </x:c>
      <x:c r="AF12" s="75" t="str">
        <x:f>IF('Master'!AG506="","",'Master'!AG506)</x:f>
        <x:v>Server-stored chat, no native E2EE</x:v>
      </x:c>
    </x:row>
    <x:row r="13" ht="36" customHeight="1">
      <x:c r="A13" s="135" t="str">
        <x:v>Can Service / Server Read Text?</x:v>
      </x:c>
      <x:c r="B13" s="100" t="str">
        <x:f>IF('Master'!C507="","",'Master'!C507)</x:f>
        <x:v>Yes for text</x:v>
      </x:c>
      <x:c r="C13" s="100" t="str">
        <x:f>IF('Master'!D507="","",'Master'!D507)</x:f>
        <x:v>No for encrypted message bodies</x:v>
      </x:c>
      <x:c r="D13" s="100" t="str">
        <x:f>IF('Master'!E507="","",'Master'!E507)</x:f>
        <x:v>Server can read normal channel text; encrypted DMs are ciphertext</x:v>
      </x:c>
      <x:c r="E13" s="100" t="str">
        <x:f>IF('Master'!F507="","",'Master'!F507)</x:f>
        <x:v>Yes for text</x:v>
      </x:c>
      <x:c r="F13" s="100" t="str">
        <x:f>IF('Master'!G507="","",'Master'!G507)</x:f>
        <x:v>No for encrypted DM plaintext in normal flow; yes for community channels</x:v>
      </x:c>
      <x:c r="G13" s="100" t="str">
        <x:f>IF('Master'!H507="","",'Master'!H507)</x:f>
        <x:v>Yes</x:v>
      </x:c>
      <x:c r="H13" s="100" t="str">
        <x:f>IF('Master'!I507="","",'Master'!I507)</x:f>
        <x:v>Yes for text on hosted/self-host server</x:v>
      </x:c>
      <x:c r="I13" s="100" t="str">
        <x:f>IF('Master'!J507="","",'Master'!J507)</x:f>
        <x:v>Yes</x:v>
      </x:c>
      <x:c r="J13" s="100" t="str">
        <x:f>IF('Master'!K507="","",'Master'!K507)</x:f>
        <x:v>No for private plaintext</x:v>
      </x:c>
      <x:c r="K13" s="100" t="str">
        <x:f>IF('Master'!L507="","",'Master'!L507)</x:f>
        <x:v>Plaintext rooms: yes. Active MLS rooms: no message/file/media plaintext is available to honest-but-curious servers.</x:v>
      </x:c>
      <x:c r="L13" s="100" t="str">
        <x:f>IF('Master'!M507="","",'Master'!M507)</x:f>
        <x:v>Yes for current server-readable content</x:v>
      </x:c>
      <x:c r="M13" s="100" t="str">
        <x:f>IF('Master'!N507="","",'Master'!N507)</x:f>
        <x:v>Depends encrypted content type</x:v>
      </x:c>
      <x:c r="N13" s="100" t="str">
        <x:f>IF('Master'!O507="","",'Master'!O507)</x:f>
        <x:v>Not for correctly E2EE-encrypted events; homeserver still stores ciphertext and metadata</x:v>
      </x:c>
      <x:c r="O13" s="100" t="str">
        <x:f>IF('Master'!P507="","",'Master'!P507)</x:f>
        <x:v>Yes</x:v>
      </x:c>
      <x:c r="P13" s="100" t="str">
        <x:f>IF('Master'!Q507="","",'Master'!Q507)</x:f>
      </x:c>
      <x:c r="Q13" s="100" t="str">
        <x:f>IF('Master'!R507="","",'Master'!R507)</x:f>
        <x:v>N/A for persistent chat; server handles voice routing</x:v>
      </x:c>
      <x:c r="R13" s="100" t="str">
        <x:f>IF('Master'!S507="","",'Master'!S507)</x:f>
        <x:v>Yes for hosted text</x:v>
      </x:c>
      <x:c r="S13" s="100" t="str">
        <x:f>IF('Master'!T507="","",'Master'!T507)</x:f>
        <x:v>Yes for text</x:v>
      </x:c>
      <x:c r="T13" s="100" t="str">
        <x:f>IF('Master'!U507="","",'Master'!U507)</x:f>
        <x:v>No E2EE product claim; exact hosted-message access policy not stated in the response</x:v>
      </x:c>
      <x:c r="U13" s="100" t="str">
        <x:f>IF('Master'!V507="","",'Master'!V507)</x:f>
        <x:v>Cannot read E2EE DM plaintext; can process Shard/community plaintext</x:v>
      </x:c>
      <x:c r="V13" s="100" t="str">
        <x:f>IF('Master'!W507="","",'Master'!W507)</x:f>
        <x:v>Not for local E2EE message bodies when functioning; server still sees metadata</x:v>
      </x:c>
      <x:c r="W13" s="100" t="str">
        <x:f>IF('Master'!X507="","",'Master'!X507)</x:f>
        <x:v>Potentially visible to hosting services</x:v>
      </x:c>
      <x:c r="X13" s="100" t="str">
        <x:f>IF('Master'!Y507="","",'Master'!Y507)</x:f>
        <x:v>Yes for stored text</x:v>
      </x:c>
      <x:c r="Y13" s="100" t="str">
        <x:f>IF('Master'!Z507="","",'Master'!Z507)</x:f>
        <x:v>Yes unless operator adds extra encryption</x:v>
      </x:c>
      <x:c r="Z13" s="100" t="str">
        <x:f>IF('Master'!AA507="","",'Master'!AA507)</x:f>
        <x:v>Yes for normal text</x:v>
      </x:c>
      <x:c r="AA13" s="104" t="str">
        <x:f>IF('Master'!AB507="","",'Master'!AB507)</x:f>
      </x:c>
      <x:c r="AB13" s="100" t="str">
        <x:f>IF('Master'!AC507="","",'Master'!AC507)</x:f>
        <x:v>Yes</x:v>
      </x:c>
      <x:c r="AC13" s="100" t="str">
        <x:f>IF('Master'!AD507="","",'Master'!AD507)</x:f>
        <x:v>Yes for unencrypted content</x:v>
      </x:c>
      <x:c r="AD13" s="100" t="str">
        <x:f>IF('Master'!AE507="","",'Master'!AE507)</x:f>
        <x:v>Yes</x:v>
      </x:c>
      <x:c r="AE13" s="100" t="str">
        <x:f>IF('Master'!AF507="","",'Master'!AF507)</x:f>
        <x:v>Server operator may access text unless separate E2EE exists</x:v>
      </x:c>
      <x:c r="AF13" s="75" t="str">
        <x:f>IF('Master'!AG507="","",'Master'!AG507)</x:f>
        <x:v>Yes</x:v>
      </x:c>
    </x:row>
    <x:row r="14" ht="22" customHeight="1">
      <x:c r="A14" s="138" t="str">
        <x:v>Media E2EE</x:v>
      </x:c>
      <x:c r="B14" s="138" t="str">
        <x:f>IF(""="","","")</x:f>
      </x:c>
      <x:c r="C14" s="138" t="str">
        <x:f>IF(""="","","")</x:f>
      </x:c>
      <x:c r="D14" s="138" t="str">
        <x:f>IF(""="","","")</x:f>
      </x:c>
      <x:c r="E14" s="138" t="str">
        <x:f>IF(""="","","")</x:f>
      </x:c>
      <x:c r="F14" s="138" t="str">
        <x:f>IF(""="","","")</x:f>
      </x:c>
      <x:c r="G14" s="138" t="str">
        <x:f>IF(""="","","")</x:f>
      </x:c>
      <x:c r="H14" s="138" t="str">
        <x:f>IF(""="","","")</x:f>
      </x:c>
      <x:c r="I14" s="138" t="str">
        <x:f>IF(""="","","")</x:f>
      </x:c>
      <x:c r="J14" s="138" t="str">
        <x:f>IF(""="","","")</x:f>
      </x:c>
      <x:c r="K14" s="138" t="str">
        <x:f>IF(""="","","")</x:f>
      </x:c>
      <x:c r="L14" s="138" t="str">
        <x:f>IF(""="","","")</x:f>
      </x:c>
      <x:c r="M14" s="138" t="str">
        <x:f>IF(""="","","")</x:f>
      </x:c>
      <x:c r="N14" s="138" t="str">
        <x:f>IF(""="","","")</x:f>
      </x:c>
      <x:c r="O14" s="138" t="str">
        <x:f>IF(""="","","")</x:f>
      </x:c>
      <x:c r="P14" s="138" t="str">
        <x:f>IF(""="","","")</x:f>
      </x:c>
      <x:c r="Q14" s="138" t="str">
        <x:f>IF(""="","","")</x:f>
      </x:c>
      <x:c r="R14" s="138" t="str">
        <x:f>IF(""="","","")</x:f>
      </x:c>
      <x:c r="S14" s="138" t="str">
        <x:f>IF(""="","","")</x:f>
      </x:c>
      <x:c r="T14" s="138" t="str">
        <x:f>IF(""="","","")</x:f>
      </x:c>
      <x:c r="U14" s="138" t="str">
        <x:f>IF(""="","","")</x:f>
      </x:c>
      <x:c r="V14" s="138" t="str">
        <x:f>IF(""="","","")</x:f>
      </x:c>
      <x:c r="W14" s="138" t="str">
        <x:f>IF(""="","","")</x:f>
      </x:c>
      <x:c r="X14" s="138" t="str">
        <x:f>IF(""="","","")</x:f>
      </x:c>
      <x:c r="Y14" s="138" t="str">
        <x:f>IF(""="","","")</x:f>
      </x:c>
      <x:c r="Z14" s="138" t="str">
        <x:f>IF(""="","","")</x:f>
      </x:c>
      <x:c r="AA14" s="138" t="str">
        <x:f>IF(""="","","")</x:f>
      </x:c>
      <x:c r="AB14" s="138" t="str">
        <x:f>IF(""="","","")</x:f>
      </x:c>
      <x:c r="AC14" s="138" t="str">
        <x:f>IF(""="","","")</x:f>
      </x:c>
      <x:c r="AD14" s="138" t="str">
        <x:f>IF(""="","","")</x:f>
      </x:c>
      <x:c r="AE14" s="138" t="str">
        <x:f>IF(""="","","")</x:f>
      </x:c>
      <x:c r="AF14" s="139" t="str">
        <x:f>IF(""="","","")</x:f>
      </x:c>
    </x:row>
    <x:row r="15" ht="36" customHeight="1">
      <x:c r="A15" s="135" t="str">
        <x:v>Voice E2EE?</x:v>
      </x:c>
      <x:c r="B15" s="100" t="str">
        <x:f>IF('Master'!C508="","",'Master'!C508)</x:f>
        <x:v>Yes by default for calls/Go Live via DAVE</x:v>
      </x:c>
      <x:c r="C15" s="100" t="str">
        <x:f>IF('Master'!D508="","",'Master'!D508)</x:f>
      </x:c>
      <x:c r="D15" s="100" t="str">
        <x:f>IF('Master'!E508="","",'Master'!E508)</x:f>
      </x:c>
      <x:c r="E15" s="100" t="str">
        <x:f>IF('Master'!F508="","",'Master'!F508)</x:f>
      </x:c>
      <x:c r="F15" s="100" t="str">
        <x:f>IF('Master'!G508="","",'Master'!G508)</x:f>
      </x:c>
      <x:c r="G15" s="100" t="str">
        <x:f>IF('Master'!H508="","",'Master'!H508)</x:f>
        <x:v>No currently</x:v>
      </x:c>
      <x:c r="H15" s="100" t="str">
        <x:f>IF('Master'!I508="","",'Master'!I508)</x:f>
        <x:v>Yes — voice claimed E2EE</x:v>
      </x:c>
      <x:c r="I15" s="100" t="str">
        <x:f>IF('Master'!J508="","",'Master'!J508)</x:f>
        <x:v>No currently</x:v>
      </x:c>
      <x:c r="J15" s="100" t="str">
        <x:f>IF('Master'!K508="","",'Master'!K508)</x:f>
        <x:v>Yes/SFrame claim</x:v>
      </x:c>
      <x:c r="K15" s="100" t="str">
        <x:f>IF('Master'!L508="","",'Master'!L508)</x:f>
        <x:v>Yes — MLS policy also protects supported LiveKit microphone/camera/screen/screen-audio frames</x:v>
      </x:c>
      <x:c r="L15" s="100" t="str">
        <x:f>IF('Master'!M508="","",'Master'!M508)</x:f>
      </x:c>
      <x:c r="M15" s="100" t="str">
        <x:f>IF('Master'!N508="","",'Master'!N508)</x:f>
      </x:c>
      <x:c r="N15" s="100" t="str">
        <x:f>IF('Master'!O508="","",'Master'!O508)</x:f>
        <x:v>Supported by MatrixRTC/capable clients</x:v>
      </x:c>
      <x:c r="O15" s="100" t="str">
        <x:f>IF('Master'!P508="","",'Master'!P508)</x:f>
        <x:v>Not generally E2EE against server; deployment media security applies</x:v>
      </x:c>
      <x:c r="P15" s="100" t="str">
        <x:f>IF('Master'!Q508="","",'Master'!Q508)</x:f>
        <x:v>E2EE claimed</x:v>
      </x:c>
      <x:c r="Q15" s="100" t="str">
        <x:f>IF('Master'!R508="","",'Master'!R508)</x:f>
        <x:v>No — media is encrypted to server, not E2EE against server operator</x:v>
      </x:c>
      <x:c r="R15" s="100" t="str">
        <x:f>IF('Master'!S508="","",'Master'!S508)</x:f>
      </x:c>
      <x:c r="S15" s="100" t="str">
        <x:f>IF('Master'!T508="","",'Master'!T508)</x:f>
        <x:v>Encrypted transport; E2EE not claimed</x:v>
      </x:c>
      <x:c r="T15" s="100" t="str">
        <x:f>IF('Master'!U508="","",'Master'!U508)</x:f>
        <x:v>Not marketed as E2EE</x:v>
      </x:c>
      <x:c r="U15" s="100" t="str">
        <x:f>IF('Master'!V508="","",'Master'!V508)</x:f>
        <x:v>Yes — direct calls</x:v>
      </x:c>
      <x:c r="V15" s="100" t="str">
        <x:f>IF('Master'!W508="","",'Master'!W508)</x:f>
        <x:v>Provider/deployment-dependent</x:v>
      </x:c>
      <x:c r="W15" s="100" t="str">
        <x:f>IF('Master'!X508="","",'Master'!X508)</x:f>
        <x:v>N/A</x:v>
      </x:c>
      <x:c r="X15" s="100" t="str">
        <x:f>IF('Master'!Y508="","",'Master'!Y508)</x:f>
        <x:v>No E2EE claim in privacy policy</x:v>
      </x:c>
      <x:c r="Y15" s="100" t="str">
        <x:f>IF('Master'!Z508="","",'Master'!Z508)</x:f>
      </x:c>
      <x:c r="Z15" s="100" t="str">
        <x:f>IF('Master'!AA508="","",'Master'!AA508)</x:f>
      </x:c>
      <x:c r="AA15" s="104" t="str">
        <x:f>IF('Master'!AB508="","",'Master'!AB508)</x:f>
      </x:c>
      <x:c r="AB15" s="100" t="str">
        <x:f>IF('Master'!AC508="","",'Master'!AC508)</x:f>
      </x:c>
      <x:c r="AC15" s="100" t="str">
        <x:f>IF('Master'!AD508="","",'Master'!AD508)</x:f>
      </x:c>
      <x:c r="AD15" s="100" t="str">
        <x:f>IF('Master'!AE508="","",'Master'!AE508)</x:f>
      </x:c>
      <x:c r="AE15" s="100" t="str">
        <x:f>IF('Master'!AF508="","",'Master'!AF508)</x:f>
      </x:c>
      <x:c r="AF15" s="75" t="str">
        <x:f>IF('Master'!AG508="","",'Master'!AG508)</x:f>
        <x:v>External provider-dependent</x:v>
      </x:c>
    </x:row>
    <x:row r="16" ht="36" customHeight="1">
      <x:c r="A16" s="135" t="str">
        <x:v>Video E2EE?</x:v>
      </x:c>
      <x:c r="B16" s="100" t="str">
        <x:f>IF('Master'!C509="","",'Master'!C509)</x:f>
        <x:v>Yes by default for calls/Go Live via DAVE</x:v>
      </x:c>
      <x:c r="C16" s="100" t="str">
        <x:f>IF('Master'!D509="","",'Master'!D509)</x:f>
      </x:c>
      <x:c r="D16" s="100" t="str">
        <x:f>IF('Master'!E509="","",'Master'!E509)</x:f>
      </x:c>
      <x:c r="E16" s="100" t="str">
        <x:f>IF('Master'!F509="","",'Master'!F509)</x:f>
      </x:c>
      <x:c r="F16" s="100" t="str">
        <x:f>IF('Master'!G509="","",'Master'!G509)</x:f>
      </x:c>
      <x:c r="G16" s="100" t="str">
        <x:f>IF('Master'!H509="","",'Master'!H509)</x:f>
        <x:v>No currently</x:v>
      </x:c>
      <x:c r="H16" s="100" t="str">
        <x:f>IF('Master'!I509="","",'Master'!I509)</x:f>
      </x:c>
      <x:c r="I16" s="100" t="str">
        <x:f>IF('Master'!J509="","",'Master'!J509)</x:f>
        <x:v>No currently</x:v>
      </x:c>
      <x:c r="J16" s="100" t="str">
        <x:f>IF('Master'!K509="","",'Master'!K509)</x:f>
        <x:v>Yes/SFrame claim</x:v>
      </x:c>
      <x:c r="K16" s="100" t="str">
        <x:f>IF('Master'!L509="","",'Master'!L509)</x:f>
        <x:v>Yes — MLS policy also protects supported LiveKit microphone/camera/screen/screen-audio frames</x:v>
      </x:c>
      <x:c r="L16" s="100" t="str">
        <x:f>IF('Master'!M509="","",'Master'!M509)</x:f>
      </x:c>
      <x:c r="M16" s="100" t="str">
        <x:f>IF('Master'!N509="","",'Master'!N509)</x:f>
      </x:c>
      <x:c r="N16" s="100" t="str">
        <x:f>IF('Master'!O509="","",'Master'!O509)</x:f>
        <x:v>Supported by MatrixRTC/capable clients</x:v>
      </x:c>
      <x:c r="O16" s="100" t="str">
        <x:f>IF('Master'!P509="","",'Master'!P509)</x:f>
        <x:v>Same</x:v>
      </x:c>
      <x:c r="P16" s="100" t="str">
        <x:f>IF('Master'!Q509="","",'Master'!Q509)</x:f>
        <x:v>E2EE claimed</x:v>
      </x:c>
      <x:c r="Q16" s="100" t="str">
        <x:f>IF('Master'!R509="","",'Master'!R509)</x:f>
        <x:v>N/A</x:v>
      </x:c>
      <x:c r="R16" s="100" t="str">
        <x:f>IF('Master'!S509="","",'Master'!S509)</x:f>
      </x:c>
      <x:c r="S16" s="100" t="str">
        <x:f>IF('Master'!T509="","",'Master'!T509)</x:f>
        <x:v>Encrypted transport; E2EE not claimed</x:v>
      </x:c>
      <x:c r="T16" s="100" t="str">
        <x:f>IF('Master'!U509="","",'Master'!U509)</x:f>
        <x:v>Not marketed as E2EE</x:v>
      </x:c>
      <x:c r="U16" s="100" t="str">
        <x:f>IF('Master'!V509="","",'Master'!V509)</x:f>
        <x:v>Yes — direct calls</x:v>
      </x:c>
      <x:c r="V16" s="100" t="str">
        <x:f>IF('Master'!W509="","",'Master'!W509)</x:f>
        <x:v>Provider/deployment-dependent</x:v>
      </x:c>
      <x:c r="W16" s="100" t="str">
        <x:f>IF('Master'!X509="","",'Master'!X509)</x:f>
        <x:v>N/A</x:v>
      </x:c>
      <x:c r="X16" s="100" t="str">
        <x:f>IF('Master'!Y509="","",'Master'!Y509)</x:f>
        <x:v>No E2EE claim</x:v>
      </x:c>
      <x:c r="Y16" s="100" t="str">
        <x:f>IF('Master'!Z509="","",'Master'!Z509)</x:f>
      </x:c>
      <x:c r="Z16" s="100" t="str">
        <x:f>IF('Master'!AA509="","",'Master'!AA509)</x:f>
      </x:c>
      <x:c r="AA16" s="104" t="str">
        <x:f>IF('Master'!AB509="","",'Master'!AB509)</x:f>
      </x:c>
      <x:c r="AB16" s="100" t="str">
        <x:f>IF('Master'!AC509="","",'Master'!AC509)</x:f>
      </x:c>
      <x:c r="AC16" s="100" t="str">
        <x:f>IF('Master'!AD509="","",'Master'!AD509)</x:f>
      </x:c>
      <x:c r="AD16" s="100" t="str">
        <x:f>IF('Master'!AE509="","",'Master'!AE509)</x:f>
      </x:c>
      <x:c r="AE16" s="100" t="str">
        <x:f>IF('Master'!AF509="","",'Master'!AF509)</x:f>
      </x:c>
      <x:c r="AF16" s="75" t="str">
        <x:f>IF('Master'!AG509="","",'Master'!AG509)</x:f>
        <x:v>External provider-dependent</x:v>
      </x:c>
    </x:row>
    <x:row r="17" ht="36" customHeight="1">
      <x:c r="A17" s="135" t="str">
        <x:v>Screen Share E2EE?</x:v>
      </x:c>
      <x:c r="B17" s="100" t="str">
        <x:f>IF('Master'!C510="","",'Master'!C510)</x:f>
        <x:v>Yes by default for Go Live; Stage exception</x:v>
      </x:c>
      <x:c r="C17" s="100" t="str">
        <x:f>IF('Master'!D510="","",'Master'!D510)</x:f>
      </x:c>
      <x:c r="D17" s="100" t="str">
        <x:f>IF('Master'!E510="","",'Master'!E510)</x:f>
      </x:c>
      <x:c r="E17" s="100" t="str">
        <x:f>IF('Master'!F510="","",'Master'!F510)</x:f>
      </x:c>
      <x:c r="F17" s="100" t="str">
        <x:f>IF('Master'!G510="","",'Master'!G510)</x:f>
      </x:c>
      <x:c r="G17" s="100" t="str">
        <x:f>IF('Master'!H510="","",'Master'!H510)</x:f>
        <x:v>No currently</x:v>
      </x:c>
      <x:c r="H17" s="100" t="str">
        <x:f>IF('Master'!I510="","",'Master'!I510)</x:f>
      </x:c>
      <x:c r="I17" s="100" t="str">
        <x:f>IF('Master'!J510="","",'Master'!J510)</x:f>
        <x:v>No currently</x:v>
      </x:c>
      <x:c r="J17" s="100" t="str">
        <x:f>IF('Master'!K510="","",'Master'!K510)</x:f>
      </x:c>
      <x:c r="K17" s="100" t="str">
        <x:f>IF('Master'!L510="","",'Master'!L510)</x:f>
        <x:v>Yes — MLS policy also protects supported LiveKit microphone/camera/screen/screen-audio frames</x:v>
      </x:c>
      <x:c r="L17" s="100" t="str">
        <x:f>IF('Master'!M510="","",'Master'!M510)</x:f>
      </x:c>
      <x:c r="M17" s="100" t="str">
        <x:f>IF('Master'!N510="","",'Master'!N510)</x:f>
      </x:c>
      <x:c r="N17" s="100" t="str">
        <x:f>IF('Master'!O510="","",'Master'!O510)</x:f>
        <x:v>Supported by MatrixRTC/capable clients</x:v>
      </x:c>
      <x:c r="O17" s="100" t="str">
        <x:f>IF('Master'!P510="","",'Master'!P510)</x:f>
        <x:v>Same</x:v>
      </x:c>
      <x:c r="P17" s="100" t="str">
        <x:f>IF('Master'!Q510="","",'Master'!Q510)</x:f>
      </x:c>
      <x:c r="Q17" s="100" t="str">
        <x:f>IF('Master'!R510="","",'Master'!R510)</x:f>
        <x:v>N/A</x:v>
      </x:c>
      <x:c r="R17" s="100" t="str">
        <x:f>IF('Master'!S510="","",'Master'!S510)</x:f>
      </x:c>
      <x:c r="S17" s="100" t="str">
        <x:f>IF('Master'!T510="","",'Master'!T510)</x:f>
      </x:c>
      <x:c r="T17" s="100" t="str">
        <x:f>IF('Master'!U510="","",'Master'!U510)</x:f>
        <x:v>Not marketed as E2EE</x:v>
      </x:c>
      <x:c r="U17" s="100" t="str">
        <x:f>IF('Master'!V510="","",'Master'!V510)</x:f>
        <x:v>Yes — direct calls</x:v>
      </x:c>
      <x:c r="V17" s="100" t="str">
        <x:f>IF('Master'!W510="","",'Master'!W510)</x:f>
        <x:v>Provider/deployment-dependent</x:v>
      </x:c>
      <x:c r="W17" s="100" t="str">
        <x:f>IF('Master'!X510="","",'Master'!X510)</x:f>
        <x:v>N/A</x:v>
      </x:c>
      <x:c r="X17" s="100" t="str">
        <x:f>IF('Master'!Y510="","",'Master'!Y510)</x:f>
        <x:v>No E2EE claim</x:v>
      </x:c>
      <x:c r="Y17" s="100" t="str">
        <x:f>IF('Master'!Z510="","",'Master'!Z510)</x:f>
      </x:c>
      <x:c r="Z17" s="100" t="str">
        <x:f>IF('Master'!AA510="","",'Master'!AA510)</x:f>
      </x:c>
      <x:c r="AA17" s="104" t="str">
        <x:f>IF('Master'!AB510="","",'Master'!AB510)</x:f>
      </x:c>
      <x:c r="AB17" s="100" t="str">
        <x:f>IF('Master'!AC510="","",'Master'!AC510)</x:f>
      </x:c>
      <x:c r="AC17" s="100" t="str">
        <x:f>IF('Master'!AD510="","",'Master'!AD510)</x:f>
      </x:c>
      <x:c r="AD17" s="100" t="str">
        <x:f>IF('Master'!AE510="","",'Master'!AE510)</x:f>
      </x:c>
      <x:c r="AE17" s="100" t="str">
        <x:f>IF('Master'!AF510="","",'Master'!AF510)</x:f>
      </x:c>
      <x:c r="AF17" s="75" t="str">
        <x:f>IF('Master'!AG510="","",'Master'!AG510)</x:f>
        <x:v>External provider-dependent</x:v>
      </x:c>
    </x:row>
    <x:row r="18" ht="23.100000381469727" customHeight="1">
      <x:c r="A18" s="135" t="str">
        <x:v>Key &amp; Crypto Model</x:v>
      </x:c>
      <x:c r="B18" s="102" t="str">
        <x:f>IF('Master'!C511="","",'Master'!C511)</x:f>
      </x:c>
      <x:c r="C18" s="102" t="str">
        <x:f>IF('Master'!D511="","",'Master'!D511)</x:f>
      </x:c>
      <x:c r="D18" s="102" t="str">
        <x:f>IF('Master'!E511="","",'Master'!E511)</x:f>
      </x:c>
      <x:c r="E18" s="102" t="str">
        <x:f>IF('Master'!F511="","",'Master'!F511)</x:f>
      </x:c>
      <x:c r="F18" s="102" t="str">
        <x:f>IF('Master'!G511="","",'Master'!G511)</x:f>
      </x:c>
      <x:c r="G18" s="102" t="str">
        <x:f>IF('Master'!H511="","",'Master'!H511)</x:f>
      </x:c>
      <x:c r="H18" s="102" t="str">
        <x:f>IF('Master'!I511="","",'Master'!I511)</x:f>
      </x:c>
      <x:c r="I18" s="102" t="str">
        <x:f>IF('Master'!J511="","",'Master'!J511)</x:f>
      </x:c>
      <x:c r="J18" s="102" t="str">
        <x:f>IF('Master'!K511="","",'Master'!K511)</x:f>
      </x:c>
      <x:c r="K18" s="102" t="str">
        <x:f>IF('Master'!L511="","",'Master'!L511)</x:f>
        <x:v>MLS 1.0 RFC 9420; mandatory suite MLS_128_DHKEMX25519_AES128GCM_SHA256_Ed25519</x:v>
      </x:c>
      <x:c r="L18" s="102" t="str">
        <x:f>IF('Master'!M511="","",'Master'!M511)</x:f>
      </x:c>
      <x:c r="M18" s="102" t="str">
        <x:f>IF('Master'!N511="","",'Master'!N511)</x:f>
      </x:c>
      <x:c r="N18" s="102" t="str">
        <x:f>IF('Master'!O511="","",'Master'!O511)</x:f>
      </x:c>
      <x:c r="O18" s="102" t="str">
        <x:f>IF('Master'!P511="","",'Master'!P511)</x:f>
      </x:c>
      <x:c r="P18" s="102" t="str">
        <x:f>IF('Master'!Q511="","",'Master'!Q511)</x:f>
      </x:c>
      <x:c r="Q18" s="102" t="str">
        <x:f>IF('Master'!R511="","",'Master'!R511)</x:f>
      </x:c>
      <x:c r="R18" s="102" t="str">
        <x:f>IF('Master'!S511="","",'Master'!S511)</x:f>
      </x:c>
      <x:c r="S18" s="102" t="str">
        <x:f>IF('Master'!T511="","",'Master'!T511)</x:f>
      </x:c>
      <x:c r="T18" s="102" t="str">
        <x:f>IF('Master'!U511="","",'Master'!U511)</x:f>
      </x:c>
      <x:c r="U18" s="102" t="str">
        <x:f>IF('Master'!V511="","",'Master'!V511)</x:f>
      </x:c>
      <x:c r="V18" s="102" t="str">
        <x:f>IF('Master'!W511="","",'Master'!W511)</x:f>
      </x:c>
      <x:c r="W18" s="102" t="str">
        <x:f>IF('Master'!X511="","",'Master'!X511)</x:f>
      </x:c>
      <x:c r="X18" s="102" t="str">
        <x:f>IF('Master'!Y511="","",'Master'!Y511)</x:f>
      </x:c>
      <x:c r="Y18" s="102" t="str">
        <x:f>IF('Master'!Z511="","",'Master'!Z511)</x:f>
      </x:c>
      <x:c r="Z18" s="102" t="str">
        <x:f>IF('Master'!AA511="","",'Master'!AA511)</x:f>
      </x:c>
      <x:c r="AA18" s="103" t="str">
        <x:f>IF('Master'!AB511="","",'Master'!AB511)</x:f>
      </x:c>
      <x:c r="AB18" s="102" t="str">
        <x:f>IF('Master'!AC511="","",'Master'!AC511)</x:f>
      </x:c>
      <x:c r="AC18" s="102" t="str">
        <x:f>IF('Master'!AD511="","",'Master'!AD511)</x:f>
      </x:c>
      <x:c r="AD18" s="102" t="str">
        <x:f>IF('Master'!AE511="","",'Master'!AE511)</x:f>
      </x:c>
      <x:c r="AE18" s="102" t="str">
        <x:f>IF('Master'!AF511="","",'Master'!AF511)</x:f>
      </x:c>
      <x:c r="AF18" s="75" t="str">
        <x:f>IF('Master'!AG511="","",'Master'!AG511)</x:f>
      </x:c>
    </x:row>
    <x:row r="19" ht="36" customHeight="1">
      <x:c r="A19" s="135" t="str">
        <x:v>Client-Held Keys?</x:v>
      </x:c>
      <x:c r="B19" s="100" t="str">
        <x:f>IF('Master'!C512="","",'Master'!C512)</x:f>
        <x:v>No</x:v>
      </x:c>
      <x:c r="C19" s="100" t="str">
        <x:f>IF('Master'!D512="","",'Master'!D512)</x:f>
        <x:v>Yes</x:v>
      </x:c>
      <x:c r="D19" s="100" t="str">
        <x:f>IF('Master'!E512="","",'Master'!E512)</x:f>
        <x:v>Yes</x:v>
      </x:c>
      <x:c r="E19" s="100" t="str">
        <x:f>IF('Master'!F512="","",'Master'!F512)</x:f>
        <x:v>No</x:v>
      </x:c>
      <x:c r="F19" s="100" t="str">
        <x:f>IF('Master'!G512="","",'Master'!G512)</x:f>
        <x:v>Yes</x:v>
      </x:c>
      <x:c r="G19" s="100" t="str">
        <x:f>IF('Master'!H512="","",'Master'!H512)</x:f>
        <x:v>No</x:v>
      </x:c>
      <x:c r="H19" s="100" t="str">
        <x:f>IF('Master'!I512="","",'Master'!I512)</x:f>
      </x:c>
      <x:c r="I19" s="100" t="str">
        <x:f>IF('Master'!J512="","",'Master'!J512)</x:f>
      </x:c>
      <x:c r="J19" s="100" t="str">
        <x:f>IF('Master'!K512="","",'Master'!K512)</x:f>
        <x:v>Yes</x:v>
      </x:c>
      <x:c r="K19" s="100" t="str">
        <x:f>IF('Master'!L512="","",'Master'!L512)</x:f>
        <x:v>Client-held MLS identity/vault; server stores public credentials and encrypted portable state but not MLS group secrets/private keys</x:v>
      </x:c>
      <x:c r="L19" s="100" t="str">
        <x:f>IF('Master'!M512="","",'Master'!M512)</x:f>
      </x:c>
      <x:c r="M19" s="100" t="str">
        <x:f>IF('Master'!N512="","",'Master'!N512)</x:f>
      </x:c>
      <x:c r="N19" s="100" t="str">
        <x:f>IF('Master'!O512="","",'Master'!O512)</x:f>
        <x:v>Yes</x:v>
      </x:c>
      <x:c r="O19" s="100" t="str">
        <x:f>IF('Master'!P512="","",'Master'!P512)</x:f>
        <x:v>No</x:v>
      </x:c>
      <x:c r="P19" s="100" t="str">
        <x:f>IF('Master'!Q512="","",'Master'!Q512)</x:f>
      </x:c>
      <x:c r="Q19" s="100" t="str">
        <x:f>IF('Master'!R512="","",'Master'!R512)</x:f>
      </x:c>
      <x:c r="R19" s="100" t="str">
        <x:f>IF('Master'!S512="","",'Master'!S512)</x:f>
        <x:v>No</x:v>
      </x:c>
      <x:c r="S19" s="100" t="str">
        <x:f>IF('Master'!T512="","",'Master'!T512)</x:f>
        <x:v>No</x:v>
      </x:c>
      <x:c r="T19" s="100" t="str">
        <x:f>IF('Master'!U512="","",'Master'!U512)</x:f>
        <x:v>No</x:v>
      </x:c>
      <x:c r="U19" s="100" t="str">
        <x:f>IF('Master'!V512="","",'Master'!V512)</x:f>
        <x:v>Yes — Rift Key/device key model</x:v>
      </x:c>
      <x:c r="V19" s="100" t="str">
        <x:f>IF('Master'!W512="","",'Master'!W512)</x:f>
      </x:c>
      <x:c r="W19" s="100" t="str">
        <x:f>IF('Master'!X512="","",'Master'!X512)</x:f>
      </x:c>
      <x:c r="X19" s="100" t="str">
        <x:f>IF('Master'!Y512="","",'Master'!Y512)</x:f>
        <x:v>No</x:v>
      </x:c>
      <x:c r="Y19" s="100" t="str">
        <x:f>IF('Master'!Z512="","",'Master'!Z512)</x:f>
      </x:c>
      <x:c r="Z19" s="100" t="str">
        <x:f>IF('Master'!AA512="","",'Master'!AA512)</x:f>
        <x:v>No</x:v>
      </x:c>
      <x:c r="AA19" s="104" t="str">
        <x:f>IF('Master'!AB512="","",'Master'!AB512)</x:f>
      </x:c>
      <x:c r="AB19" s="100" t="str">
        <x:f>IF('Master'!AC512="","",'Master'!AC512)</x:f>
        <x:v>No</x:v>
      </x:c>
      <x:c r="AC19" s="100" t="str">
        <x:f>IF('Master'!AD512="","",'Master'!AD512)</x:f>
      </x:c>
      <x:c r="AD19" s="100" t="str">
        <x:f>IF('Master'!AE512="","",'Master'!AE512)</x:f>
        <x:v>No</x:v>
      </x:c>
      <x:c r="AE19" s="100" t="str">
        <x:f>IF('Master'!AF512="","",'Master'!AF512)</x:f>
      </x:c>
      <x:c r="AF19" s="75" t="str">
        <x:f>IF('Master'!AG512="","",'Master'!AG512)</x:f>
        <x:v>No</x:v>
      </x:c>
    </x:row>
    <x:row r="20" ht="36" customHeight="1">
      <x:c r="A20" s="135" t="str">
        <x:v>Multi-Device E2EE?</x:v>
      </x:c>
      <x:c r="B20" s="100" t="str">
        <x:f>IF('Master'!C489="","",'Master'!C489)</x:f>
        <x:v>Yes for DAVE-compatible clients</x:v>
      </x:c>
      <x:c r="C20" s="100" t="str">
        <x:f>IF('Master'!D489="","",'Master'!D489)</x:f>
      </x:c>
      <x:c r="D20" s="100" t="str">
        <x:f>IF('Master'!E489="","",'Master'!E489)</x:f>
        <x:v>Yes — multi-device sync described</x:v>
      </x:c>
      <x:c r="E20" s="100" t="str">
        <x:f>IF('Master'!F489="","",'Master'!F489)</x:f>
      </x:c>
      <x:c r="F20" s="100" t="str">
        <x:f>IF('Master'!G489="","",'Master'!G489)</x:f>
      </x:c>
      <x:c r="G20" s="100" t="str">
        <x:f>IF('Master'!H489="","",'Master'!H489)</x:f>
        <x:v>N/A currently</x:v>
      </x:c>
      <x:c r="H20" s="100" t="str">
        <x:f>IF('Master'!I489="","",'Master'!I489)</x:f>
      </x:c>
      <x:c r="I20" s="100" t="str">
        <x:f>IF('Master'!J489="","",'Master'!J489)</x:f>
        <x:v>N/A</x:v>
      </x:c>
      <x:c r="J20" s="100" t="str">
        <x:f>IF('Master'!K489="","",'Master'!K489)</x:f>
        <x:v>Multi-device supported</x:v>
      </x:c>
      <x:c r="K20" s="100" t="str">
        <x:f>IF('Master'!L489="","",'Master'!L489)</x:f>
        <x:v>Yes — portable encrypted account state supports multiple signed-in clients with serialized MLS state updates</x:v>
      </x:c>
      <x:c r="L20" s="100" t="str">
        <x:f>IF('Master'!M489="","",'Master'!M489)</x:f>
      </x:c>
      <x:c r="M20" s="100" t="str">
        <x:f>IF('Master'!N489="","",'Master'!N489)</x:f>
      </x:c>
      <x:c r="N20" s="100" t="str">
        <x:f>IF('Master'!O489="","",'Master'!O489)</x:f>
        <x:v>Yes — designed for multi-device keys</x:v>
      </x:c>
      <x:c r="O20" s="100" t="str">
        <x:f>IF('Master'!P489="","",'Master'!P489)</x:f>
        <x:v>N/A</x:v>
      </x:c>
      <x:c r="P20" s="100" t="str">
        <x:f>IF('Master'!Q489="","",'Master'!Q489)</x:f>
      </x:c>
      <x:c r="Q20" s="100" t="str">
        <x:f>IF('Master'!R489="","",'Master'!R489)</x:f>
        <x:v>N/A</x:v>
      </x:c>
      <x:c r="R20" s="100" t="str">
        <x:f>IF('Master'!S489="","",'Master'!S489)</x:f>
        <x:v>N/A</x:v>
      </x:c>
      <x:c r="S20" s="100" t="str">
        <x:f>IF('Master'!T489="","",'Master'!T489)</x:f>
        <x:v>N/A</x:v>
      </x:c>
      <x:c r="T20" s="100" t="str">
        <x:f>IF('Master'!U489="","",'Master'!U489)</x:f>
        <x:v>N/A</x:v>
      </x:c>
      <x:c r="U20" s="100" t="str">
        <x:f>IF('Master'!V489="","",'Master'!V489)</x:f>
      </x:c>
      <x:c r="V20" s="100" t="str">
        <x:f>IF('Master'!W489="","",'Master'!W489)</x:f>
        <x:v>Version-dependent</x:v>
      </x:c>
      <x:c r="W20" s="100" t="str">
        <x:f>IF('Master'!X489="","",'Master'!X489)</x:f>
        <x:v>N/A</x:v>
      </x:c>
      <x:c r="X20" s="100" t="str">
        <x:f>IF('Master'!Y489="","",'Master'!Y489)</x:f>
      </x:c>
      <x:c r="Y20" s="100" t="str">
        <x:f>IF('Master'!Z489="","",'Master'!Z489)</x:f>
      </x:c>
      <x:c r="Z20" s="100" t="str">
        <x:f>IF('Master'!AA489="","",'Master'!AA489)</x:f>
      </x:c>
      <x:c r="AA20" s="104" t="str">
        <x:f>IF('Master'!AB489="","",'Master'!AB489)</x:f>
      </x:c>
      <x:c r="AB20" s="100" t="str">
        <x:f>IF('Master'!AC489="","",'Master'!AC489)</x:f>
        <x:v>N/A</x:v>
      </x:c>
      <x:c r="AC20" s="100" t="str">
        <x:f>IF('Master'!AD489="","",'Master'!AD489)</x:f>
      </x:c>
      <x:c r="AD20" s="100" t="str">
        <x:f>IF('Master'!AE489="","",'Master'!AE489)</x:f>
        <x:v>N/A</x:v>
      </x:c>
      <x:c r="AE20" s="100" t="str">
        <x:f>IF('Master'!AF489="","",'Master'!AF489)</x:f>
      </x:c>
      <x:c r="AF20" s="75" t="str">
        <x:f>IF('Master'!AG489="","",'Master'!AG489)</x:f>
        <x:v>N/A</x:v>
      </x:c>
    </x:row>
    <x:row r="21" ht="36" customHeight="1">
      <x:c r="A21" s="135" t="str">
        <x:v>Forward Secrecy / Ratcheting?</x:v>
      </x:c>
      <x:c r="B21" s="100" t="str">
        <x:f>IF('Master'!C513="","",'Master'!C513)</x:f>
        <x:v>DAVE design; exact ratchet properties depend spec</x:v>
      </x:c>
      <x:c r="C21" s="100" t="str">
        <x:f>IF('Master'!D513="","",'Master'!D513)</x:f>
      </x:c>
      <x:c r="D21" s="100" t="str">
        <x:f>IF('Master'!E513="","",'Master'!E513)</x:f>
      </x:c>
      <x:c r="E21" s="100" t="str">
        <x:f>IF('Master'!F513="","",'Master'!F513)</x:f>
      </x:c>
      <x:c r="F21" s="100" t="str">
        <x:f>IF('Master'!G513="","",'Master'!G513)</x:f>
        <x:v>Not Signal Double Ratchet; founder explicitly says mature Signal-level forward secrecy is not claimed</x:v>
      </x:c>
      <x:c r="G21" s="100" t="str">
        <x:f>IF('Master'!H513="","",'Master'!H513)</x:f>
        <x:v>N/A currently</x:v>
      </x:c>
      <x:c r="H21" s="100" t="str">
        <x:f>IF('Master'!I513="","",'Master'!I513)</x:f>
      </x:c>
      <x:c r="I21" s="100" t="str">
        <x:f>IF('Master'!J513="","",'Master'!J513)</x:f>
        <x:v>N/A</x:v>
      </x:c>
      <x:c r="J21" s="100" t="str">
        <x:f>IF('Master'!K513="","",'Master'!K513)</x:f>
        <x:v>Olm/MLS/SFrame design</x:v>
      </x:c>
      <x:c r="K21" s="100" t="str">
        <x:f>IF('Master'!L513="","",'Master'!L513)</x:f>
        <x:v>Yes — MLS 1.0 epochs/rekeys; membership/device changes force rekey before writes resume</x:v>
      </x:c>
      <x:c r="L21" s="100" t="str">
        <x:f>IF('Master'!M513="","",'Master'!M513)</x:f>
      </x:c>
      <x:c r="M21" s="100" t="str">
        <x:f>IF('Master'!N513="","",'Master'!N513)</x:f>
      </x:c>
      <x:c r="N21" s="100" t="str">
        <x:f>IF('Master'!O513="","",'Master'!O513)</x:f>
        <x:v>Megolm/Olm-era designs and newer crypto work; properties vary by room/media protocol</x:v>
      </x:c>
      <x:c r="O21" s="100" t="str">
        <x:f>IF('Master'!P513="","",'Master'!P513)</x:f>
        <x:v>N/A</x:v>
      </x:c>
      <x:c r="P21" s="100" t="str">
        <x:f>IF('Master'!Q513="","",'Master'!Q513)</x:f>
      </x:c>
      <x:c r="Q21" s="100" t="str">
        <x:f>IF('Master'!R513="","",'Master'!R513)</x:f>
        <x:v>N/A</x:v>
      </x:c>
      <x:c r="R21" s="100" t="str">
        <x:f>IF('Master'!S513="","",'Master'!S513)</x:f>
        <x:v>N/A</x:v>
      </x:c>
      <x:c r="S21" s="100" t="str">
        <x:f>IF('Master'!T513="","",'Master'!T513)</x:f>
        <x:v>N/A</x:v>
      </x:c>
      <x:c r="T21" s="100" t="str">
        <x:f>IF('Master'!U513="","",'Master'!U513)</x:f>
        <x:v>N/A</x:v>
      </x:c>
      <x:c r="U21" s="100" t="str">
        <x:f>IF('Master'!V513="","",'Master'!V513)</x:f>
        <x:v>Yes — X3DH / Double Ratchet</x:v>
      </x:c>
      <x:c r="V21" s="100" t="str">
        <x:f>IF('Master'!W513="","",'Master'!W513)</x:f>
        <x:v>Version-dependent</x:v>
      </x:c>
      <x:c r="W21" s="100" t="str">
        <x:f>IF('Master'!X513="","",'Master'!X513)</x:f>
        <x:v>N/A</x:v>
      </x:c>
      <x:c r="X21" s="100" t="str">
        <x:f>IF('Master'!Y513="","",'Master'!Y513)</x:f>
      </x:c>
      <x:c r="Y21" s="100" t="str">
        <x:f>IF('Master'!Z513="","",'Master'!Z513)</x:f>
      </x:c>
      <x:c r="Z21" s="100" t="str">
        <x:f>IF('Master'!AA513="","",'Master'!AA513)</x:f>
      </x:c>
      <x:c r="AA21" s="104" t="str">
        <x:f>IF('Master'!AB513="","",'Master'!AB513)</x:f>
      </x:c>
      <x:c r="AB21" s="100" t="str">
        <x:f>IF('Master'!AC513="","",'Master'!AC513)</x:f>
        <x:v>N/A</x:v>
      </x:c>
      <x:c r="AC21" s="100" t="str">
        <x:f>IF('Master'!AD513="","",'Master'!AD513)</x:f>
      </x:c>
      <x:c r="AD21" s="100" t="str">
        <x:f>IF('Master'!AE513="","",'Master'!AE513)</x:f>
        <x:v>N/A</x:v>
      </x:c>
      <x:c r="AE21" s="100" t="str">
        <x:f>IF('Master'!AF513="","",'Master'!AF513)</x:f>
      </x:c>
      <x:c r="AF21" s="75" t="str">
        <x:f>IF('Master'!AG513="","",'Master'!AG513)</x:f>
        <x:v>N/A</x:v>
      </x:c>
    </x:row>
    <x:row r="22" ht="36" customHeight="1">
      <x:c r="A22" s="135" t="str">
        <x:v>Metadata Hidden by E2EE?</x:v>
      </x:c>
      <x:c r="B22" s="100" t="str">
        <x:f>IF('Master'!C514="","",'Master'!C514)</x:f>
        <x:v>No — metadata remains visible</x:v>
      </x:c>
      <x:c r="C22" s="100" t="str">
        <x:f>IF('Master'!D514="","",'Master'!D514)</x:f>
        <x:v>No — relay metadata remains</x:v>
      </x:c>
      <x:c r="D22" s="100" t="str">
        <x:f>IF('Master'!E514="","",'Master'!E514)</x:f>
        <x:v>No — home server sees routing metadata</x:v>
      </x:c>
      <x:c r="E22" s="100" t="str">
        <x:f>IF('Master'!F514="","",'Master'!F514)</x:f>
        <x:v>No</x:v>
      </x:c>
      <x:c r="F22" s="100" t="str">
        <x:f>IF('Master'!G514="","",'Master'!G514)</x:f>
        <x:v>No — delivery/relationship metadata remains</x:v>
      </x:c>
      <x:c r="G22" s="100" t="str">
        <x:f>IF('Master'!H514="","",'Master'!H514)</x:f>
        <x:v>No</x:v>
      </x:c>
      <x:c r="H22" s="100" t="str">
        <x:f>IF('Master'!I514="","",'Master'!I514)</x:f>
        <x:v>No</x:v>
      </x:c>
      <x:c r="I22" s="100" t="str">
        <x:f>IF('Master'!J514="","",'Master'!J514)</x:f>
        <x:v>No</x:v>
      </x:c>
      <x:c r="J22" s="100" t="str">
        <x:f>IF('Master'!K514="","",'Master'!K514)</x:f>
        <x:v>No — relay metadata/timing can exist</x:v>
      </x:c>
      <x:c r="K22" s="100" t="str">
        <x:f>IF('Master'!L514="","",'Master'!L514)</x:f>
        <x:v>No — routing metadata, participants, timestamps, sizes, delivery activity and track kinds remain visible</x:v>
      </x:c>
      <x:c r="L22" s="100" t="str">
        <x:f>IF('Master'!M514="","",'Master'!M514)</x:f>
        <x:v>No</x:v>
      </x:c>
      <x:c r="M22" s="100" t="str">
        <x:f>IF('Master'!N514="","",'Master'!N514)</x:f>
        <x:v>No</x:v>
      </x:c>
      <x:c r="N22" s="100" t="str">
        <x:f>IF('Master'!O514="","",'Master'!O514)</x:f>
        <x:v>No — homeserver/federation metadata remains visible</x:v>
      </x:c>
      <x:c r="O22" s="100" t="str">
        <x:f>IF('Master'!P514="","",'Master'!P514)</x:f>
        <x:v>No</x:v>
      </x:c>
      <x:c r="P22" s="100" t="str">
        <x:f>IF('Master'!Q514="","",'Master'!Q514)</x:f>
        <x:v>No</x:v>
      </x:c>
      <x:c r="Q22" s="100" t="str">
        <x:f>IF('Master'!R514="","",'Master'!R514)</x:f>
        <x:v>No</x:v>
      </x:c>
      <x:c r="R22" s="100" t="str">
        <x:f>IF('Master'!S514="","",'Master'!S514)</x:f>
        <x:v>No</x:v>
      </x:c>
      <x:c r="S22" s="100" t="str">
        <x:f>IF('Master'!T514="","",'Master'!T514)</x:f>
        <x:v>No</x:v>
      </x:c>
      <x:c r="T22" s="100" t="str">
        <x:f>IF('Master'!U514="","",'Master'!U514)</x:f>
        <x:v>No</x:v>
      </x:c>
      <x:c r="U22" s="100" t="str">
        <x:f>IF('Master'!V514="","",'Master'!V514)</x:f>
        <x:v>No — metadata/routing information is not hidden by E2EE</x:v>
      </x:c>
      <x:c r="V22" s="100" t="str">
        <x:f>IF('Master'!W514="","",'Master'!W514)</x:f>
        <x:v>No</x:v>
      </x:c>
      <x:c r="W22" s="100" t="str">
        <x:f>IF('Master'!X514="","",'Master'!X514)</x:f>
        <x:v>No</x:v>
      </x:c>
      <x:c r="X22" s="100" t="str">
        <x:f>IF('Master'!Y514="","",'Master'!Y514)</x:f>
        <x:v>No</x:v>
      </x:c>
      <x:c r="Y22" s="100" t="str">
        <x:f>IF('Master'!Z514="","",'Master'!Z514)</x:f>
        <x:v>No</x:v>
      </x:c>
      <x:c r="Z22" s="100" t="str">
        <x:f>IF('Master'!AA514="","",'Master'!AA514)</x:f>
        <x:v>No</x:v>
      </x:c>
      <x:c r="AA22" s="104" t="str">
        <x:f>IF('Master'!AB514="","",'Master'!AB514)</x:f>
      </x:c>
      <x:c r="AB22" s="100" t="str">
        <x:f>IF('Master'!AC514="","",'Master'!AC514)</x:f>
        <x:v>No</x:v>
      </x:c>
      <x:c r="AC22" s="100" t="str">
        <x:f>IF('Master'!AD514="","",'Master'!AD514)</x:f>
        <x:v>No</x:v>
      </x:c>
      <x:c r="AD22" s="100" t="str">
        <x:f>IF('Master'!AE514="","",'Master'!AE514)</x:f>
        <x:v>No</x:v>
      </x:c>
      <x:c r="AE22" s="100" t="str">
        <x:f>IF('Master'!AF514="","",'Master'!AF514)</x:f>
        <x:v>No</x:v>
      </x:c>
      <x:c r="AF22" s="75" t="str">
        <x:f>IF('Master'!AG514="","",'Master'!AG514)</x:f>
        <x:v>No</x:v>
      </x:c>
    </x:row>
    <x:row r="23" ht="36" customHeight="1">
      <x:c r="A23" s="135" t="str">
        <x:v>Public Crypto Design?</x:v>
      </x:c>
      <x:c r="B23" s="100" t="str">
        <x:f>IF('Master'!C515="","",'Master'!C515)</x:f>
        <x:v>Yes — DAVE design public</x:v>
      </x:c>
      <x:c r="C23" s="100" t="str">
        <x:f>IF('Master'!D515="","",'Master'!D515)</x:f>
        <x:v>Open protocol/code</x:v>
      </x:c>
      <x:c r="D23" s="100" t="str">
        <x:f>IF('Master'!E515="","",'Master'!E515)</x:f>
        <x:v>Public docs/source</x:v>
      </x:c>
      <x:c r="E23" s="100" t="str">
        <x:f>IF('Master'!F515="","",'Master'!F515)</x:f>
        <x:v>No public E2EE protocol</x:v>
      </x:c>
      <x:c r="F23" s="100" t="str">
        <x:f>IF('Master'!G515="","",'Master'!G515)</x:f>
        <x:v>Yes — founder publishes design boundaries/primitives</x:v>
      </x:c>
      <x:c r="G23" s="100" t="str">
        <x:f>IF('Master'!H515="","",'Master'!H515)</x:f>
        <x:v>E2EE roadmap/design discussion public, but not deployed as policy baseline</x:v>
      </x:c>
      <x:c r="H23" s="100" t="str">
        <x:f>IF('Master'!I515="","",'Master'!I515)</x:f>
        <x:v>No public cryptographic design found</x:v>
      </x:c>
      <x:c r="I23" s="100" t="str">
        <x:f>IF('Master'!J515="","",'Master'!J515)</x:f>
        <x:v>No public E2EE design</x:v>
      </x:c>
      <x:c r="J23" s="100" t="str">
        <x:f>IF('Master'!K515="","",'Master'!K515)</x:f>
        <x:v>Whitepaper/source public</x:v>
      </x:c>
      <x:c r="K23" s="100" t="str">
        <x:f>IF('Master'!L515="","",'Master'!L515)</x:f>
        <x:v>Yes — public E2EE contract documents threat model, MLS suite and rollout gates</x:v>
      </x:c>
      <x:c r="L23" s="100" t="str">
        <x:f>IF('Master'!M515="","",'Master'!M515)</x:f>
        <x:v>No public mature E2EE design verified</x:v>
      </x:c>
      <x:c r="M23" s="100" t="str">
        <x:f>IF('Master'!N515="","",'Master'!N515)</x:f>
      </x:c>
      <x:c r="N23" s="100" t="str">
        <x:f>IF('Master'!O515="","",'Master'!O515)</x:f>
        <x:v>Yes — open specification/MSC process</x:v>
      </x:c>
      <x:c r="O23" s="100" t="str">
        <x:f>IF('Master'!P515="","",'Master'!P515)</x:f>
        <x:v>Open-source implementation for core messaging</x:v>
      </x:c>
      <x:c r="P23" s="100" t="str">
        <x:f>IF('Master'!Q515="","",'Master'!Q515)</x:f>
      </x:c>
      <x:c r="Q23" s="100" t="str">
        <x:f>IF('Master'!R515="","",'Master'!R515)</x:f>
        <x:v>Public protocol/source</x:v>
      </x:c>
      <x:c r="R23" s="100" t="str">
        <x:f>IF('Master'!S515="","",'Master'!S515)</x:f>
        <x:v>No public E2EE design</x:v>
      </x:c>
      <x:c r="S23" s="100" t="str">
        <x:f>IF('Master'!T515="","",'Master'!T515)</x:f>
        <x:v>No public E2EE design</x:v>
      </x:c>
      <x:c r="T23" s="100" t="str">
        <x:f>IF('Master'!U515="","",'Master'!U515)</x:f>
        <x:v>No</x:v>
      </x:c>
      <x:c r="U23" s="100" t="str">
        <x:f>IF('Master'!V515="","",'Master'!V515)</x:f>
        <x:v>Yes — protocol model described publicly</x:v>
      </x:c>
      <x:c r="V23" s="100" t="str">
        <x:f>IF('Master'!W515="","",'Master'!W515)</x:f>
        <x:v>Public implementation/docs</x:v>
      </x:c>
      <x:c r="W23" s="100" t="str">
        <x:f>IF('Master'!X515="","",'Master'!X515)</x:f>
        <x:v>No</x:v>
      </x:c>
      <x:c r="X23" s="100" t="str">
        <x:f>IF('Master'!Y515="","",'Master'!Y515)</x:f>
        <x:v>No public crypto protocol</x:v>
      </x:c>
      <x:c r="Y23" s="100" t="str">
        <x:f>IF('Master'!Z515="","",'Master'!Z515)</x:f>
        <x:v>No mature platform-wide crypto design verified</x:v>
      </x:c>
      <x:c r="Z23" s="100" t="str">
        <x:f>IF('Master'!AA515="","",'Master'!AA515)</x:f>
        <x:v>No public text-E2EE design verified</x:v>
      </x:c>
      <x:c r="AA23" s="104" t="str">
        <x:f>IF('Master'!AB515="","",'Master'!AB515)</x:f>
        <x:v>Limited public details</x:v>
      </x:c>
      <x:c r="AB23" s="100" t="str">
        <x:f>IF('Master'!AC515="","",'Master'!AC515)</x:f>
        <x:v>No public E2EE design</x:v>
      </x:c>
      <x:c r="AC23" s="100" t="str">
        <x:f>IF('Master'!AD515="","",'Master'!AD515)</x:f>
      </x:c>
      <x:c r="AD23" s="100" t="str">
        <x:f>IF('Master'!AE515="","",'Master'!AE515)</x:f>
        <x:v>No public E2EE design</x:v>
      </x:c>
      <x:c r="AE23" s="100" t="str">
        <x:f>IF('Master'!AF515="","",'Master'!AF515)</x:f>
        <x:v>No public crypto design</x:v>
      </x:c>
      <x:c r="AF23" s="75" t="str">
        <x:f>IF('Master'!AG515="","",'Master'!AG515)</x:f>
        <x:v>Open source but no E2EE protocol</x:v>
      </x:c>
    </x:row>
    <x:row r="24" ht="36" customHeight="1">
      <x:c r="A24" s="135" t="str">
        <x:v>Independent Crypto Audit?</x:v>
      </x:c>
      <x:c r="B24" s="100" t="str">
        <x:f>IF('Master'!C516="","",'Master'!C516)</x:f>
        <x:v>Trail of Bits reviews of DAVE (2024/2025)</x:v>
      </x:c>
      <x:c r="C24" s="100" t="str">
        <x:f>IF('Master'!D516="","",'Master'!D516)</x:f>
      </x:c>
      <x:c r="D24" s="100" t="str">
        <x:f>IF('Master'!E516="","",'Master'!E516)</x:f>
      </x:c>
      <x:c r="E24" s="100" t="str">
        <x:f>IF('Master'!F516="","",'Master'!F516)</x:f>
        <x:v>No audit verified</x:v>
      </x:c>
      <x:c r="F24" s="100" t="str">
        <x:f>IF('Master'!G516="","",'Master'!G516)</x:f>
        <x:v>No independent audit published</x:v>
      </x:c>
      <x:c r="G24" s="100" t="str">
        <x:f>IF('Master'!H516="","",'Master'!H516)</x:f>
        <x:v>No comprehensive audit verified</x:v>
      </x:c>
      <x:c r="H24" s="100" t="str">
        <x:f>IF('Master'!I516="","",'Master'!I516)</x:f>
      </x:c>
      <x:c r="I24" s="100" t="str">
        <x:f>IF('Master'!J516="","",'Master'!J516)</x:f>
        <x:v>No</x:v>
      </x:c>
      <x:c r="J24" s="100" t="str">
        <x:f>IF('Master'!K516="","",'Master'!K516)</x:f>
      </x:c>
      <x:c r="K24" s="100" t="str">
        <x:f>IF('Master'!L516="","",'Master'!L516)</x:f>
        <x:v>No independent cryptographic audit published; docs list external review as a remaining release gate</x:v>
      </x:c>
      <x:c r="L24" s="100" t="str">
        <x:f>IF('Master'!M516="","",'Master'!M516)</x:f>
        <x:v>No independent audit verified</x:v>
      </x:c>
      <x:c r="M24" s="100" t="str">
        <x:f>IF('Master'!N516="","",'Master'!N516)</x:f>
      </x:c>
      <x:c r="N24" s="100" t="str">
        <x:f>IF('Master'!O516="","",'Master'!O516)</x:f>
        <x:v>Multiple implementation/protocol audits; no single universal client audit</x:v>
      </x:c>
      <x:c r="O24" s="100" t="str">
        <x:f>IF('Master'!P516="","",'Master'!P516)</x:f>
        <x:v>Security certifications/audits vary by offering</x:v>
      </x:c>
      <x:c r="P24" s="100" t="str">
        <x:f>IF('Master'!Q516="","",'Master'!Q516)</x:f>
      </x:c>
      <x:c r="Q24" s="100" t="str">
        <x:f>IF('Master'!R516="","",'Master'!R516)</x:f>
      </x:c>
      <x:c r="R24" s="100" t="str">
        <x:f>IF('Master'!S516="","",'Master'!S516)</x:f>
      </x:c>
      <x:c r="S24" s="100" t="str">
        <x:f>IF('Master'!T516="","",'Master'!T516)</x:f>
      </x:c>
      <x:c r="T24" s="100" t="str">
        <x:f>IF('Master'!U516="","",'Master'!U516)</x:f>
        <x:v>None published</x:v>
      </x:c>
      <x:c r="U24" s="100" t="str">
        <x:f>IF('Master'!V516="","",'Master'!V516)</x:f>
        <x:v>No — audits listed as future work</x:v>
      </x:c>
      <x:c r="V24" s="100" t="str">
        <x:f>IF('Master'!W516="","",'Master'!W516)</x:f>
      </x:c>
      <x:c r="W24" s="100" t="str">
        <x:f>IF('Master'!X516="","",'Master'!X516)</x:f>
      </x:c>
      <x:c r="X24" s="100" t="str">
        <x:f>IF('Master'!Y516="","",'Master'!Y516)</x:f>
        <x:v>No public audit verified</x:v>
      </x:c>
      <x:c r="Y24" s="100" t="str">
        <x:f>IF('Master'!Z516="","",'Master'!Z516)</x:f>
        <x:v>No</x:v>
      </x:c>
      <x:c r="Z24" s="100" t="str">
        <x:f>IF('Master'!AA516="","",'Master'!AA516)</x:f>
        <x:v>No comprehensive crypto audit verified</x:v>
      </x:c>
      <x:c r="AA24" s="104" t="str">
        <x:f>IF('Master'!AB516="","",'Master'!AB516)</x:f>
      </x:c>
      <x:c r="AB24" s="100" t="str">
        <x:f>IF('Master'!AC516="","",'Master'!AC516)</x:f>
      </x:c>
      <x:c r="AC24" s="100" t="str">
        <x:f>IF('Master'!AD516="","",'Master'!AD516)</x:f>
        <x:v>No audit verified</x:v>
      </x:c>
      <x:c r="AD24" s="100" t="str">
        <x:f>IF('Master'!AE516="","",'Master'!AE516)</x:f>
      </x:c>
      <x:c r="AE24" s="100" t="str">
        <x:f>IF('Master'!AF516="","",'Master'!AF516)</x:f>
      </x:c>
      <x:c r="AF24" s="75" t="str">
        <x:f>IF('Master'!AG516="","",'Master'!AG516)</x:f>
      </x:c>
    </x:row>
    <x:row r="25" ht="22" customHeight="1">
      <x:c r="A25" s="138" t="str">
        <x:v>Privacy Operations</x:v>
      </x:c>
      <x:c r="B25" s="138" t="str">
        <x:f>IF(""="","","")</x:f>
      </x:c>
      <x:c r="C25" s="138" t="str">
        <x:f>IF(""="","","")</x:f>
      </x:c>
      <x:c r="D25" s="138" t="str">
        <x:f>IF(""="","","")</x:f>
      </x:c>
      <x:c r="E25" s="138" t="str">
        <x:f>IF(""="","","")</x:f>
      </x:c>
      <x:c r="F25" s="138" t="str">
        <x:f>IF(""="","","")</x:f>
      </x:c>
      <x:c r="G25" s="138" t="str">
        <x:f>IF(""="","","")</x:f>
      </x:c>
      <x:c r="H25" s="138" t="str">
        <x:f>IF(""="","","")</x:f>
      </x:c>
      <x:c r="I25" s="138" t="str">
        <x:f>IF(""="","","")</x:f>
      </x:c>
      <x:c r="J25" s="138" t="str">
        <x:f>IF(""="","","")</x:f>
      </x:c>
      <x:c r="K25" s="138" t="str">
        <x:f>IF(""="","","")</x:f>
      </x:c>
      <x:c r="L25" s="138" t="str">
        <x:f>IF(""="","","")</x:f>
      </x:c>
      <x:c r="M25" s="138" t="str">
        <x:f>IF(""="","","")</x:f>
      </x:c>
      <x:c r="N25" s="138" t="str">
        <x:f>IF(""="","","")</x:f>
      </x:c>
      <x:c r="O25" s="138" t="str">
        <x:f>IF(""="","","")</x:f>
      </x:c>
      <x:c r="P25" s="138" t="str">
        <x:f>IF(""="","","")</x:f>
      </x:c>
      <x:c r="Q25" s="138" t="str">
        <x:f>IF(""="","","")</x:f>
      </x:c>
      <x:c r="R25" s="138" t="str">
        <x:f>IF(""="","","")</x:f>
      </x:c>
      <x:c r="S25" s="138" t="str">
        <x:f>IF(""="","","")</x:f>
      </x:c>
      <x:c r="T25" s="138" t="str">
        <x:f>IF(""="","","")</x:f>
      </x:c>
      <x:c r="U25" s="138" t="str">
        <x:f>IF(""="","","")</x:f>
      </x:c>
      <x:c r="V25" s="138" t="str">
        <x:f>IF(""="","","")</x:f>
      </x:c>
      <x:c r="W25" s="138" t="str">
        <x:f>IF(""="","","")</x:f>
      </x:c>
      <x:c r="X25" s="138" t="str">
        <x:f>IF(""="","","")</x:f>
      </x:c>
      <x:c r="Y25" s="138" t="str">
        <x:f>IF(""="","","")</x:f>
      </x:c>
      <x:c r="Z25" s="138" t="str">
        <x:f>IF(""="","","")</x:f>
      </x:c>
      <x:c r="AA25" s="138" t="str">
        <x:f>IF(""="","","")</x:f>
      </x:c>
      <x:c r="AB25" s="138" t="str">
        <x:f>IF(""="","","")</x:f>
      </x:c>
      <x:c r="AC25" s="138" t="str">
        <x:f>IF(""="","","")</x:f>
      </x:c>
      <x:c r="AD25" s="138" t="str">
        <x:f>IF(""="","","")</x:f>
      </x:c>
      <x:c r="AE25" s="138" t="str">
        <x:f>IF(""="","","")</x:f>
      </x:c>
      <x:c r="AF25" s="139" t="str">
        <x:f>IF(""="","","")</x:f>
      </x:c>
    </x:row>
    <x:row r="26" ht="36" customHeight="1">
      <x:c r="A26" s="135" t="str">
        <x:v>IP Address Collected?</x:v>
      </x:c>
      <x:c r="B26" s="100" t="str">
        <x:f>IF('Master'!C517="","",'Master'!C517)</x:f>
        <x:v>Yes — IP address is collected as device/use information</x:v>
      </x:c>
      <x:c r="C26" s="100" t="str">
        <x:f>IF('Master'!D517="","",'Master'!D517)</x:f>
        <x:v>Relay sees metadata; content encrypted</x:v>
      </x:c>
      <x:c r="D26" s="100" t="str">
        <x:f>IF('Master'!E517="","",'Master'!E517)</x:f>
        <x:v>Operator controlled; official messenger claims privacy model</x:v>
      </x:c>
      <x:c r="E26" s="100" t="str">
        <x:f>IF('Master'!F517="","",'Master'!F517)</x:f>
      </x:c>
      <x:c r="F26" s="100" t="str">
        <x:f>IF('Master'!G517="","",'Master'!G517)</x:f>
      </x:c>
      <x:c r="G26" s="100" t="str">
        <x:f>IF('Master'!H517="","",'Master'!H517)</x:f>
        <x:v>IP/network data processed; approximate location derived</x:v>
      </x:c>
      <x:c r="H26" s="100" t="str">
        <x:f>IF('Master'!I517="","",'Master'!I517)</x:f>
        <x:v>Operator/service dependent</x:v>
      </x:c>
      <x:c r="I26" s="100" t="str">
        <x:f>IF('Master'!J517="","",'Master'!J517)</x:f>
        <x:v>Operator controlled</x:v>
      </x:c>
      <x:c r="J26" s="100" t="str">
        <x:f>IF('Master'!K517="","",'Master'!K517)</x:f>
        <x:v>Official relay claims no IP logging; self-host operator could log metadata</x:v>
      </x:c>
      <x:c r="K26" s="100" t="str">
        <x:f>IF('Master'!L517="","",'Master'!L517)</x:f>
        <x:v>Not publicly specified</x:v>
      </x:c>
      <x:c r="L26" s="100" t="str">
        <x:f>IF('Master'!M517="","",'Master'!M517)</x:f>
      </x:c>
      <x:c r="M26" s="100" t="str">
        <x:f>IF('Master'!N517="","",'Master'!N517)</x:f>
      </x:c>
      <x:c r="N26" s="100" t="str">
        <x:f>IF('Master'!O517="","",'Master'!O517)</x:f>
        <x:v>Homeserver/operator sees IP/network metadata; exact logging is operator-dependent</x:v>
      </x:c>
      <x:c r="O26" s="100" t="str">
        <x:f>IF('Master'!P517="","",'Master'!P517)</x:f>
        <x:v>Deployment/admin controlled</x:v>
      </x:c>
      <x:c r="P26" s="100" t="str">
        <x:f>IF('Master'!Q517="","",'Master'!Q517)</x:f>
      </x:c>
      <x:c r="Q26" s="100" t="str">
        <x:f>IF('Master'!R517="","",'Master'!R517)</x:f>
        <x:v>Server/operator-controlled</x:v>
      </x:c>
      <x:c r="R26" s="100" t="str">
        <x:f>IF('Master'!S517="","",'Master'!S517)</x:f>
      </x:c>
      <x:c r="S26" s="100" t="str">
        <x:f>IF('Master'!T517="","",'Master'!T517)</x:f>
      </x:c>
      <x:c r="T26" s="100" t="str">
        <x:f>IF('Master'!U517="","",'Master'!U517)</x:f>
      </x:c>
      <x:c r="U26" s="100" t="str">
        <x:f>IF('Master'!V517="","",'Master'!V517)</x:f>
      </x:c>
      <x:c r="V26" s="100" t="str">
        <x:f>IF('Master'!W517="","",'Master'!W517)</x:f>
        <x:v>Admin/deployment policy</x:v>
      </x:c>
      <x:c r="W26" s="100" t="str">
        <x:f>IF('Master'!X517="","",'Master'!X517)</x:f>
        <x:v>Provider dependent</x:v>
      </x:c>
      <x:c r="X26" s="100" t="str">
        <x:f>IF('Master'!Y517="","",'Master'!Y517)</x:f>
        <x:v>Yes — device/network info incl. IP collected</x:v>
      </x:c>
      <x:c r="Y26" s="100" t="str">
        <x:f>IF('Master'!Z517="","",'Master'!Z517)</x:f>
        <x:v>Operator-controlled</x:v>
      </x:c>
      <x:c r="Z26" s="100" t="str">
        <x:f>IF('Master'!AA517="","",'Master'!AA517)</x:f>
      </x:c>
      <x:c r="AA26" s="104" t="str">
        <x:f>IF('Master'!AB517="","",'Master'!AB517)</x:f>
        <x:v>Operator/service-dependent</x:v>
      </x:c>
      <x:c r="AB26" s="100" t="str">
        <x:f>IF('Master'!AC517="","",'Master'!AC517)</x:f>
      </x:c>
      <x:c r="AC26" s="100" t="str">
        <x:f>IF('Master'!AD517="","",'Master'!AD517)</x:f>
      </x:c>
      <x:c r="AD26" s="100" t="str">
        <x:f>IF('Master'!AE517="","",'Master'!AE517)</x:f>
      </x:c>
      <x:c r="AE26" s="100" t="str">
        <x:f>IF('Master'!AF517="","",'Master'!AF517)</x:f>
        <x:v>Operator controlled</x:v>
      </x:c>
      <x:c r="AF26" s="75" t="str">
        <x:f>IF('Master'!AG517="","",'Master'!AG517)</x:f>
        <x:v>Hosted/operator dependent</x:v>
      </x:c>
    </x:row>
    <x:row r="27" ht="36" customHeight="1">
      <x:c r="A27" s="135" t="str">
        <x:v>IP Retention Window</x:v>
      </x:c>
      <x:c r="B27" s="100" t="str">
        <x:f>IF('Master'!C518="","",'Master'!C518)</x:f>
      </x:c>
      <x:c r="C27" s="100" t="str">
        <x:f>IF('Master'!D518="","",'Master'!D518)</x:f>
      </x:c>
      <x:c r="D27" s="100" t="str">
        <x:f>IF('Master'!E518="","",'Master'!E518)</x:f>
      </x:c>
      <x:c r="E27" s="100" t="str">
        <x:f>IF('Master'!F518="","",'Master'!F518)</x:f>
      </x:c>
      <x:c r="F27" s="100" t="str">
        <x:f>IF('Master'!G518="","",'Master'!G518)</x:f>
      </x:c>
      <x:c r="G27" s="100" t="str">
        <x:f>IF('Master'!H518="","",'Master'!H518)</x:f>
      </x:c>
      <x:c r="H27" s="100" t="str">
        <x:f>IF('Master'!I518="","",'Master'!I518)</x:f>
      </x:c>
      <x:c r="I27" s="100" t="str">
        <x:f>IF('Master'!J518="","",'Master'!J518)</x:f>
      </x:c>
      <x:c r="J27" s="100" t="str">
        <x:f>IF('Master'!K518="","",'Master'!K518)</x:f>
      </x:c>
      <x:c r="K27" s="100" t="str">
        <x:f>IF('Master'!L518="","",'Master'!L518)</x:f>
        <x:v>Not publicly specified</x:v>
      </x:c>
      <x:c r="L27" s="100" t="str">
        <x:f>IF('Master'!M518="","",'Master'!M518)</x:f>
      </x:c>
      <x:c r="M27" s="100" t="str">
        <x:f>IF('Master'!N518="","",'Master'!N518)</x:f>
      </x:c>
      <x:c r="N27" s="100" t="str">
        <x:f>IF('Master'!O518="","",'Master'!O518)</x:f>
      </x:c>
      <x:c r="O27" s="100" t="str">
        <x:f>IF('Master'!P518="","",'Master'!P518)</x:f>
      </x:c>
      <x:c r="P27" s="100" t="str">
        <x:f>IF('Master'!Q518="","",'Master'!Q518)</x:f>
      </x:c>
      <x:c r="Q27" s="100" t="str">
        <x:f>IF('Master'!R518="","",'Master'!R518)</x:f>
      </x:c>
      <x:c r="R27" s="100" t="str">
        <x:f>IF('Master'!S518="","",'Master'!S518)</x:f>
      </x:c>
      <x:c r="S27" s="100" t="str">
        <x:f>IF('Master'!T518="","",'Master'!T518)</x:f>
      </x:c>
      <x:c r="T27" s="100" t="str">
        <x:f>IF('Master'!U518="","",'Master'!U518)</x:f>
      </x:c>
      <x:c r="U27" s="100" t="str">
        <x:f>IF('Master'!V518="","",'Master'!V518)</x:f>
        <x:v>48 hours / HMAC fingerprint</x:v>
      </x:c>
      <x:c r="V27" s="100" t="str">
        <x:f>IF('Master'!W518="","",'Master'!W518)</x:f>
      </x:c>
      <x:c r="W27" s="100" t="str">
        <x:f>IF('Master'!X518="","",'Master'!X518)</x:f>
      </x:c>
      <x:c r="X27" s="100" t="str">
        <x:f>IF('Master'!Y518="","",'Master'!Y518)</x:f>
      </x:c>
      <x:c r="Y27" s="100" t="str">
        <x:f>IF('Master'!Z518="","",'Master'!Z518)</x:f>
      </x:c>
      <x:c r="Z27" s="100" t="str">
        <x:f>IF('Master'!AA518="","",'Master'!AA518)</x:f>
      </x:c>
      <x:c r="AA27" s="104" t="str">
        <x:f>IF('Master'!AB518="","",'Master'!AB518)</x:f>
      </x:c>
      <x:c r="AB27" s="100" t="str">
        <x:f>IF('Master'!AC518="","",'Master'!AC518)</x:f>
      </x:c>
      <x:c r="AC27" s="100" t="str">
        <x:f>IF('Master'!AD518="","",'Master'!AD518)</x:f>
      </x:c>
      <x:c r="AD27" s="100" t="str">
        <x:f>IF('Master'!AE518="","",'Master'!AE518)</x:f>
      </x:c>
      <x:c r="AE27" s="100" t="str">
        <x:f>IF('Master'!AF518="","",'Master'!AF518)</x:f>
      </x:c>
      <x:c r="AF27" s="75" t="str">
        <x:f>IF('Master'!AG518="","",'Master'!AG518)</x:f>
      </x:c>
    </x:row>
    <x:row r="28" ht="36" customHeight="1">
      <x:c r="A28" s="135" t="str">
        <x:v>EXIF Scrubbing?</x:v>
      </x:c>
      <x:c r="B28" s="100" t="str">
        <x:f>IF('Master'!C309="","",'Master'!C309)</x:f>
      </x:c>
      <x:c r="C28" s="100" t="str">
        <x:f>IF('Master'!D309="","",'Master'!D309)</x:f>
      </x:c>
      <x:c r="D28" s="100" t="str">
        <x:f>IF('Master'!E309="","",'Master'!E309)</x:f>
      </x:c>
      <x:c r="E28" s="100" t="str">
        <x:f>IF('Master'!F309="","",'Master'!F309)</x:f>
      </x:c>
      <x:c r="F28" s="100" t="str">
        <x:f>IF('Master'!G309="","",'Master'!G309)</x:f>
      </x:c>
      <x:c r="G28" s="100" t="str">
        <x:f>IF('Master'!H309="","",'Master'!H309)</x:f>
      </x:c>
      <x:c r="H28" s="100" t="str">
        <x:f>IF('Master'!I309="","",'Master'!I309)</x:f>
      </x:c>
      <x:c r="I28" s="100" t="str">
        <x:f>IF('Master'!J309="","",'Master'!J309)</x:f>
      </x:c>
      <x:c r="J28" s="100" t="str">
        <x:f>IF('Master'!K309="","",'Master'!K309)</x:f>
      </x:c>
      <x:c r="K28" s="100" t="str">
        <x:f>IF('Master'!L309="","",'Master'!L309)</x:f>
        <x:v>Not explicitly documented</x:v>
      </x:c>
      <x:c r="L28" s="100" t="str">
        <x:f>IF('Master'!M309="","",'Master'!M309)</x:f>
      </x:c>
      <x:c r="M28" s="100" t="str">
        <x:f>IF('Master'!N309="","",'Master'!N309)</x:f>
      </x:c>
      <x:c r="N28" s="100" t="str">
        <x:f>IF('Master'!O309="","",'Master'!O309)</x:f>
        <x:v>Client/server-dependent</x:v>
      </x:c>
      <x:c r="O28" s="100" t="str">
        <x:f>IF('Master'!P309="","",'Master'!P309)</x:f>
      </x:c>
      <x:c r="P28" s="100" t="str">
        <x:f>IF('Master'!Q309="","",'Master'!Q309)</x:f>
      </x:c>
      <x:c r="Q28" s="100" t="str">
        <x:f>IF('Master'!R309="","",'Master'!R309)</x:f>
        <x:v>N/A</x:v>
      </x:c>
      <x:c r="R28" s="100" t="str">
        <x:f>IF('Master'!S309="","",'Master'!S309)</x:f>
      </x:c>
      <x:c r="S28" s="100" t="str">
        <x:f>IF('Master'!T309="","",'Master'!T309)</x:f>
      </x:c>
      <x:c r="T28" s="100" t="str">
        <x:f>IF('Master'!U309="","",'Master'!U309)</x:f>
      </x:c>
      <x:c r="U28" s="100" t="str">
        <x:f>IF('Master'!V309="","",'Master'!V309)</x:f>
        <x:v>Yes — automatic EXIF stripping</x:v>
      </x:c>
      <x:c r="V28" s="100" t="str">
        <x:f>IF('Master'!W309="","",'Master'!W309)</x:f>
      </x:c>
      <x:c r="W28" s="100" t="str">
        <x:f>IF('Master'!X309="","",'Master'!X309)</x:f>
      </x:c>
      <x:c r="X28" s="100" t="str">
        <x:f>IF('Master'!Y309="","",'Master'!Y309)</x:f>
      </x:c>
      <x:c r="Y28" s="100" t="str">
        <x:f>IF('Master'!Z309="","",'Master'!Z309)</x:f>
      </x:c>
      <x:c r="Z28" s="100" t="str">
        <x:f>IF('Master'!AA309="","",'Master'!AA309)</x:f>
      </x:c>
      <x:c r="AA28" s="104" t="str">
        <x:f>IF('Master'!AB309="","",'Master'!AB309)</x:f>
      </x:c>
      <x:c r="AB28" s="100" t="str">
        <x:f>IF('Master'!AC309="","",'Master'!AC309)</x:f>
      </x:c>
      <x:c r="AC28" s="100" t="str">
        <x:f>IF('Master'!AD309="","",'Master'!AD309)</x:f>
      </x:c>
      <x:c r="AD28" s="100" t="str">
        <x:f>IF('Master'!AE309="","",'Master'!AE309)</x:f>
      </x:c>
      <x:c r="AE28" s="100" t="str">
        <x:f>IF('Master'!AF309="","",'Master'!AF309)</x:f>
      </x:c>
      <x:c r="AF28" s="75" t="str">
        <x:f>IF('Master'!AG309="","",'Master'!AG309)</x:f>
      </x:c>
    </x:row>
    <x:row r="29" ht="36" customHeight="1">
      <x:c r="A29" s="135" t="str">
        <x:v>Voice Stored?</x:v>
      </x:c>
      <x:c r="B29" s="100" t="str">
        <x:f>IF('Master'!C519="","",'Master'!C519)</x:f>
        <x:v>Generally no</x:v>
      </x:c>
      <x:c r="C29" s="100" t="str">
        <x:f>IF('Master'!D519="","",'Master'!D519)</x:f>
      </x:c>
      <x:c r="D29" s="100" t="str">
        <x:f>IF('Master'!E519="","",'Master'!E519)</x:f>
      </x:c>
      <x:c r="E29" s="100" t="str">
        <x:f>IF('Master'!F519="","",'Master'!F519)</x:f>
      </x:c>
      <x:c r="F29" s="100" t="str">
        <x:f>IF('Master'!G519="","",'Master'!G519)</x:f>
      </x:c>
      <x:c r="G29" s="100" t="str">
        <x:f>IF('Master'!H519="","",'Master'!H519)</x:f>
      </x:c>
      <x:c r="H29" s="100" t="str">
        <x:f>IF('Master'!I519="","",'Master'!I519)</x:f>
      </x:c>
      <x:c r="I29" s="100" t="str">
        <x:f>IF('Master'!J519="","",'Master'!J519)</x:f>
      </x:c>
      <x:c r="J29" s="100" t="str">
        <x:f>IF('Master'!K519="","",'Master'!K519)</x:f>
      </x:c>
      <x:c r="K29" s="100" t="str">
        <x:f>IF('Master'!L519="","",'Master'!L519)</x:f>
        <x:v>No native recording documented</x:v>
      </x:c>
      <x:c r="L29" s="100" t="str">
        <x:f>IF('Master'!M519="","",'Master'!M519)</x:f>
      </x:c>
      <x:c r="M29" s="100" t="str">
        <x:f>IF('Master'!N519="","",'Master'!N519)</x:f>
      </x:c>
      <x:c r="N29" s="100" t="str">
        <x:f>IF('Master'!O519="","",'Master'!O519)</x:f>
      </x:c>
      <x:c r="O29" s="100" t="str">
        <x:f>IF('Master'!P519="","",'Master'!P519)</x:f>
      </x:c>
      <x:c r="P29" s="100" t="str">
        <x:f>IF('Master'!Q519="","",'Master'!Q519)</x:f>
      </x:c>
      <x:c r="Q29" s="100" t="str">
        <x:f>IF('Master'!R519="","",'Master'!R519)</x:f>
        <x:v>Generally no</x:v>
      </x:c>
      <x:c r="R29" s="100" t="str">
        <x:f>IF('Master'!S519="","",'Master'!S519)</x:f>
      </x:c>
      <x:c r="S29" s="100" t="str">
        <x:f>IF('Master'!T519="","",'Master'!T519)</x:f>
      </x:c>
      <x:c r="T29" s="100" t="str">
        <x:f>IF('Master'!U519="","",'Master'!U519)</x:f>
      </x:c>
      <x:c r="U29" s="100" t="str">
        <x:f>IF('Master'!V519="","",'Master'!V519)</x:f>
        <x:v>Generally no</x:v>
      </x:c>
      <x:c r="V29" s="100" t="str">
        <x:f>IF('Master'!W519="","",'Master'!W519)</x:f>
      </x:c>
      <x:c r="W29" s="100" t="str">
        <x:f>IF('Master'!X519="","",'Master'!X519)</x:f>
      </x:c>
      <x:c r="X29" s="100" t="str">
        <x:f>IF('Master'!Y519="","",'Master'!Y519)</x:f>
        <x:v>Generally no</x:v>
      </x:c>
      <x:c r="Y29" s="100" t="str">
        <x:f>IF('Master'!Z519="","",'Master'!Z519)</x:f>
      </x:c>
      <x:c r="Z29" s="100" t="str">
        <x:f>IF('Master'!AA519="","",'Master'!AA519)</x:f>
      </x:c>
      <x:c r="AA29" s="104" t="str">
        <x:f>IF('Master'!AB519="","",'Master'!AB519)</x:f>
      </x:c>
      <x:c r="AB29" s="100" t="str">
        <x:f>IF('Master'!AC519="","",'Master'!AC519)</x:f>
      </x:c>
      <x:c r="AC29" s="100" t="str">
        <x:f>IF('Master'!AD519="","",'Master'!AD519)</x:f>
      </x:c>
      <x:c r="AD29" s="100" t="str">
        <x:f>IF('Master'!AE519="","",'Master'!AE519)</x:f>
      </x:c>
      <x:c r="AE29" s="100" t="str">
        <x:f>IF('Master'!AF519="","",'Master'!AF519)</x:f>
      </x:c>
      <x:c r="AF29" s="75" t="str">
        <x:f>IF('Master'!AG519="","",'Master'!AG519)</x:f>
      </x:c>
    </x:row>
    <x:row r="30" ht="36" customHeight="1">
      <x:c r="A30" s="135" t="str">
        <x:v>Video Stored?</x:v>
      </x:c>
      <x:c r="B30" s="100" t="str">
        <x:f>IF('Master'!C520="","",'Master'!C520)</x:f>
        <x:v>Generally no</x:v>
      </x:c>
      <x:c r="C30" s="100" t="str">
        <x:f>IF('Master'!D520="","",'Master'!D520)</x:f>
      </x:c>
      <x:c r="D30" s="100" t="str">
        <x:f>IF('Master'!E520="","",'Master'!E520)</x:f>
      </x:c>
      <x:c r="E30" s="100" t="str">
        <x:f>IF('Master'!F520="","",'Master'!F520)</x:f>
      </x:c>
      <x:c r="F30" s="100" t="str">
        <x:f>IF('Master'!G520="","",'Master'!G520)</x:f>
      </x:c>
      <x:c r="G30" s="100" t="str">
        <x:f>IF('Master'!H520="","",'Master'!H520)</x:f>
      </x:c>
      <x:c r="H30" s="100" t="str">
        <x:f>IF('Master'!I520="","",'Master'!I520)</x:f>
      </x:c>
      <x:c r="I30" s="100" t="str">
        <x:f>IF('Master'!J520="","",'Master'!J520)</x:f>
      </x:c>
      <x:c r="J30" s="100" t="str">
        <x:f>IF('Master'!K520="","",'Master'!K520)</x:f>
      </x:c>
      <x:c r="K30" s="100" t="str">
        <x:f>IF('Master'!L520="","",'Master'!L520)</x:f>
        <x:v>No native recording documented</x:v>
      </x:c>
      <x:c r="L30" s="100" t="str">
        <x:f>IF('Master'!M520="","",'Master'!M520)</x:f>
      </x:c>
      <x:c r="M30" s="100" t="str">
        <x:f>IF('Master'!N520="","",'Master'!N520)</x:f>
      </x:c>
      <x:c r="N30" s="100" t="str">
        <x:f>IF('Master'!O520="","",'Master'!O520)</x:f>
      </x:c>
      <x:c r="O30" s="100" t="str">
        <x:f>IF('Master'!P520="","",'Master'!P520)</x:f>
      </x:c>
      <x:c r="P30" s="100" t="str">
        <x:f>IF('Master'!Q520="","",'Master'!Q520)</x:f>
      </x:c>
      <x:c r="Q30" s="100" t="str">
        <x:f>IF('Master'!R520="","",'Master'!R520)</x:f>
      </x:c>
      <x:c r="R30" s="100" t="str">
        <x:f>IF('Master'!S520="","",'Master'!S520)</x:f>
      </x:c>
      <x:c r="S30" s="100" t="str">
        <x:f>IF('Master'!T520="","",'Master'!T520)</x:f>
      </x:c>
      <x:c r="T30" s="100" t="str">
        <x:f>IF('Master'!U520="","",'Master'!U520)</x:f>
      </x:c>
      <x:c r="U30" s="100" t="str">
        <x:f>IF('Master'!V520="","",'Master'!V520)</x:f>
        <x:v>Generally no</x:v>
      </x:c>
      <x:c r="V30" s="100" t="str">
        <x:f>IF('Master'!W520="","",'Master'!W520)</x:f>
      </x:c>
      <x:c r="W30" s="100" t="str">
        <x:f>IF('Master'!X520="","",'Master'!X520)</x:f>
      </x:c>
      <x:c r="X30" s="100" t="str">
        <x:f>IF('Master'!Y520="","",'Master'!Y520)</x:f>
        <x:v>Generally no</x:v>
      </x:c>
      <x:c r="Y30" s="100" t="str">
        <x:f>IF('Master'!Z520="","",'Master'!Z520)</x:f>
      </x:c>
      <x:c r="Z30" s="100" t="str">
        <x:f>IF('Master'!AA520="","",'Master'!AA520)</x:f>
      </x:c>
      <x:c r="AA30" s="104" t="str">
        <x:f>IF('Master'!AB520="","",'Master'!AB520)</x:f>
      </x:c>
      <x:c r="AB30" s="100" t="str">
        <x:f>IF('Master'!AC520="","",'Master'!AC520)</x:f>
      </x:c>
      <x:c r="AC30" s="100" t="str">
        <x:f>IF('Master'!AD520="","",'Master'!AD520)</x:f>
      </x:c>
      <x:c r="AD30" s="100" t="str">
        <x:f>IF('Master'!AE520="","",'Master'!AE520)</x:f>
      </x:c>
      <x:c r="AE30" s="100" t="str">
        <x:f>IF('Master'!AF520="","",'Master'!AF520)</x:f>
      </x:c>
      <x:c r="AF30" s="75" t="str">
        <x:f>IF('Master'!AG520="","",'Master'!AG520)</x:f>
      </x:c>
    </x:row>
    <x:row r="31" ht="36" customHeight="1">
      <x:c r="A31" s="135" t="str">
        <x:v>Message Retention Default</x:v>
      </x:c>
      <x:c r="B31" s="100" t="str">
        <x:f>IF('Master'!C521="","",'Master'!C521)</x:f>
        <x:v>Generally retained while an account is active/as needed; some data has fixed legal/safety periods; inactive accounts may be deleted after 2 years</x:v>
      </x:c>
      <x:c r="C31" s="100" t="str">
        <x:f>IF('Master'!D521="","",'Master'!D521)</x:f>
        <x:v>Relay stores encrypted events</x:v>
      </x:c>
      <x:c r="D31" s="100" t="str">
        <x:f>IF('Master'!E521="","",'Master'!E521)</x:f>
        <x:v>Operator controlled; messenger relay stores encrypted messages temporarily</x:v>
      </x:c>
      <x:c r="E31" s="100" t="str">
        <x:f>IF('Master'!F521="","",'Master'!F521)</x:f>
      </x:c>
      <x:c r="F31" s="100" t="str">
        <x:f>IF('Master'!G521="","",'Master'!G521)</x:f>
      </x:c>
      <x:c r="G31" s="100" t="str">
        <x:f>IF('Master'!H521="","",'Master'!H521)</x:f>
        <x:v>Published retention policy</x:v>
      </x:c>
      <x:c r="H31" s="100" t="str">
        <x:f>IF('Master'!I521="","",'Master'!I521)</x:f>
      </x:c>
      <x:c r="I31" s="100" t="str">
        <x:f>IF('Master'!J521="","",'Master'!J521)</x:f>
        <x:v>Operator controlled</x:v>
      </x:c>
      <x:c r="J31" s="100" t="str">
        <x:f>IF('Master'!K521="","",'Master'!K521)</x:f>
        <x:v>Data stored locally; relay stores no persistent content</x:v>
      </x:c>
      <x:c r="K31" s="100" t="str">
        <x:f>IF('Master'!L521="","",'Master'!L521)</x:f>
        <x:v>Developer reports message/content retention until user deletion/request; operator jobs enforce configured cleanup</x:v>
      </x:c>
      <x:c r="L31" s="100" t="str">
        <x:f>IF('Master'!M521="","",'Master'!M521)</x:f>
        <x:v>Published privacy policy</x:v>
      </x:c>
      <x:c r="M31" s="100" t="str">
        <x:f>IF('Master'!N521="","",'Master'!N521)</x:f>
      </x:c>
      <x:c r="N31" s="100" t="str">
        <x:f>IF('Master'!O521="","",'Master'!O521)</x:f>
        <x:v>Homeserver-dependent</x:v>
      </x:c>
      <x:c r="O31" s="100" t="str">
        <x:f>IF('Master'!P521="","",'Master'!P521)</x:f>
        <x:v>Deployment/admin controlled</x:v>
      </x:c>
      <x:c r="P31" s="100" t="str">
        <x:f>IF('Master'!Q521="","",'Master'!Q521)</x:f>
      </x:c>
      <x:c r="Q31" s="100" t="str">
        <x:f>IF('Master'!R521="","",'Master'!R521)</x:f>
        <x:v>Server/operator-controlled</x:v>
      </x:c>
      <x:c r="R31" s="100" t="str">
        <x:f>IF('Master'!S521="","",'Master'!S521)</x:f>
      </x:c>
      <x:c r="S31" s="100" t="str">
        <x:f>IF('Master'!T521="","",'Master'!T521)</x:f>
        <x:v>Published privacy policy</x:v>
      </x:c>
      <x:c r="T31" s="100" t="str">
        <x:f>IF('Master'!U521="","",'Master'!U521)</x:f>
        <x:v>Retention controls exist; default window not publicly stated</x:v>
      </x:c>
      <x:c r="U31" s="100" t="str">
        <x:f>IF('Master'!V521="","",'Master'!V521)</x:f>
        <x:v>Deletion stated as hard delete</x:v>
      </x:c>
      <x:c r="V31" s="100" t="str">
        <x:f>IF('Master'!W521="","",'Master'!W521)</x:f>
        <x:v>Admin/deployment policy</x:v>
      </x:c>
      <x:c r="W31" s="100" t="str">
        <x:f>IF('Master'!X521="","",'Master'!X521)</x:f>
        <x:v>ATProto/provider dependent</x:v>
      </x:c>
      <x:c r="X31" s="100" t="str">
        <x:f>IF('Master'!Y521="","",'Master'!Y521)</x:f>
      </x:c>
      <x:c r="Y31" s="100" t="str">
        <x:f>IF('Master'!Z521="","",'Master'!Z521)</x:f>
        <x:v>Operator-controlled</x:v>
      </x:c>
      <x:c r="Z31" s="100" t="str">
        <x:f>IF('Master'!AA521="","",'Master'!AA521)</x:f>
      </x:c>
      <x:c r="AA31" s="104" t="str">
        <x:f>IF('Master'!AB521="","",'Master'!AB521)</x:f>
        <x:v>Operator/service-dependent</x:v>
      </x:c>
      <x:c r="AB31" s="100" t="str">
        <x:f>IF('Master'!AC521="","",'Master'!AC521)</x:f>
      </x:c>
      <x:c r="AC31" s="100" t="str">
        <x:f>IF('Master'!AD521="","",'Master'!AD521)</x:f>
      </x:c>
      <x:c r="AD31" s="100" t="str">
        <x:f>IF('Master'!AE521="","",'Master'!AE521)</x:f>
      </x:c>
      <x:c r="AE31" s="100" t="str">
        <x:f>IF('Master'!AF521="","",'Master'!AF521)</x:f>
        <x:v>Operator controlled</x:v>
      </x:c>
      <x:c r="AF31" s="75" t="str">
        <x:f>IF('Master'!AG521="","",'Master'!AG521)</x:f>
        <x:v>Hosted/self-host policy-dependent</x:v>
      </x:c>
    </x:row>
    <x:row r="32" ht="36" customHeight="1">
      <x:c r="A32" s="135" t="str">
        <x:v>Deleted Message Retention</x:v>
      </x:c>
      <x:c r="B32" s="100" t="str">
        <x:f>IF('Master'!C522="","",'Master'!C522)</x:f>
      </x:c>
      <x:c r="C32" s="100" t="str">
        <x:f>IF('Master'!D522="","",'Master'!D522)</x:f>
      </x:c>
      <x:c r="D32" s="100" t="str">
        <x:f>IF('Master'!E522="","",'Master'!E522)</x:f>
      </x:c>
      <x:c r="E32" s="100" t="str">
        <x:f>IF('Master'!F522="","",'Master'!F522)</x:f>
      </x:c>
      <x:c r="F32" s="100" t="str">
        <x:f>IF('Master'!G522="","",'Master'!G522)</x:f>
      </x:c>
      <x:c r="G32" s="100" t="str">
        <x:f>IF('Master'!H522="","",'Master'!H522)</x:f>
      </x:c>
      <x:c r="H32" s="100" t="str">
        <x:f>IF('Master'!I522="","",'Master'!I522)</x:f>
      </x:c>
      <x:c r="I32" s="100" t="str">
        <x:f>IF('Master'!J522="","",'Master'!J522)</x:f>
      </x:c>
      <x:c r="J32" s="100" t="str">
        <x:f>IF('Master'!K522="","",'Master'!K522)</x:f>
      </x:c>
      <x:c r="K32" s="100" t="str">
        <x:f>IF('Master'!L522="","",'Master'!L522)</x:f>
        <x:v>No single public deleted-message retention interval located</x:v>
      </x:c>
      <x:c r="L32" s="100" t="str">
        <x:f>IF('Master'!M522="","",'Master'!M522)</x:f>
      </x:c>
      <x:c r="M32" s="100" t="str">
        <x:f>IF('Master'!N522="","",'Master'!N522)</x:f>
      </x:c>
      <x:c r="N32" s="100" t="str">
        <x:f>IF('Master'!O522="","",'Master'!O522)</x:f>
      </x:c>
      <x:c r="O32" s="100" t="str">
        <x:f>IF('Master'!P522="","",'Master'!P522)</x:f>
      </x:c>
      <x:c r="P32" s="100" t="str">
        <x:f>IF('Master'!Q522="","",'Master'!Q522)</x:f>
      </x:c>
      <x:c r="Q32" s="100" t="str">
        <x:f>IF('Master'!R522="","",'Master'!R522)</x:f>
      </x:c>
      <x:c r="R32" s="100" t="str">
        <x:f>IF('Master'!S522="","",'Master'!S522)</x:f>
      </x:c>
      <x:c r="S32" s="100" t="str">
        <x:f>IF('Master'!T522="","",'Master'!T522)</x:f>
      </x:c>
      <x:c r="T32" s="100" t="str">
        <x:f>IF('Master'!U522="","",'Master'!U522)</x:f>
      </x:c>
      <x:c r="U32" s="100" t="str">
        <x:f>IF('Master'!V522="","",'Master'!V522)</x:f>
        <x:v>Immediate hard delete claimed</x:v>
      </x:c>
      <x:c r="V32" s="100" t="str">
        <x:f>IF('Master'!W522="","",'Master'!W522)</x:f>
      </x:c>
      <x:c r="W32" s="100" t="str">
        <x:f>IF('Master'!X522="","",'Master'!X522)</x:f>
      </x:c>
      <x:c r="X32" s="100" t="str">
        <x:f>IF('Master'!Y522="","",'Master'!Y522)</x:f>
      </x:c>
      <x:c r="Y32" s="100" t="str">
        <x:f>IF('Master'!Z522="","",'Master'!Z522)</x:f>
      </x:c>
      <x:c r="Z32" s="100" t="str">
        <x:f>IF('Master'!AA522="","",'Master'!AA522)</x:f>
      </x:c>
      <x:c r="AA32" s="104" t="str">
        <x:f>IF('Master'!AB522="","",'Master'!AB522)</x:f>
      </x:c>
      <x:c r="AB32" s="100" t="str">
        <x:f>IF('Master'!AC522="","",'Master'!AC522)</x:f>
      </x:c>
      <x:c r="AC32" s="100" t="str">
        <x:f>IF('Master'!AD522="","",'Master'!AD522)</x:f>
      </x:c>
      <x:c r="AD32" s="100" t="str">
        <x:f>IF('Master'!AE522="","",'Master'!AE522)</x:f>
      </x:c>
      <x:c r="AE32" s="100" t="str">
        <x:f>IF('Master'!AF522="","",'Master'!AF522)</x:f>
      </x:c>
      <x:c r="AF32" s="75" t="str">
        <x:f>IF('Master'!AG522="","",'Master'!AG522)</x:f>
      </x:c>
    </x:row>
    <x:row r="33" ht="36" customHeight="1">
      <x:c r="A33" s="135" t="str">
        <x:v>Data Region Selectable?</x:v>
      </x:c>
      <x:c r="B33" s="100" t="str">
        <x:f>IF('Master'!C523="","",'Master'!C523)</x:f>
      </x:c>
      <x:c r="C33" s="100" t="str">
        <x:f>IF('Master'!D523="","",'Master'!D523)</x:f>
        <x:v>Operator-selected</x:v>
      </x:c>
      <x:c r="D33" s="100" t="str">
        <x:f>IF('Master'!E523="","",'Master'!E523)</x:f>
        <x:v>Operator-selected</x:v>
      </x:c>
      <x:c r="E33" s="100" t="str">
        <x:f>IF('Master'!F523="","",'Master'!F523)</x:f>
      </x:c>
      <x:c r="F33" s="100" t="str">
        <x:f>IF('Master'!G523="","",'Master'!G523)</x:f>
      </x:c>
      <x:c r="G33" s="100" t="str">
        <x:f>IF('Master'!H523="","",'Master'!H523)</x:f>
      </x:c>
      <x:c r="H33" s="100" t="str">
        <x:f>IF('Master'!I523="","",'Master'!I523)</x:f>
        <x:v>Operator-selected</x:v>
      </x:c>
      <x:c r="I33" s="100" t="str">
        <x:f>IF('Master'!J523="","",'Master'!J523)</x:f>
        <x:v>Operator-selected</x:v>
      </x:c>
      <x:c r="J33" s="100" t="str">
        <x:f>IF('Master'!K523="","",'Master'!K523)</x:f>
      </x:c>
      <x:c r="K33" s="100" t="str">
        <x:f>IF('Master'!L523="","",'Master'!L523)</x:f>
        <x:v>Self-host: operator chooses region/providers; official hosted service does not document per-user region selection</x:v>
      </x:c>
      <x:c r="L33" s="100" t="str">
        <x:f>IF('Master'!M523="","",'Master'!M523)</x:f>
      </x:c>
      <x:c r="M33" s="100" t="str">
        <x:f>IF('Master'!N523="","",'Master'!N523)</x:f>
        <x:v>Operator-selected</x:v>
      </x:c>
      <x:c r="N33" s="100" t="str">
        <x:f>IF('Master'!O523="","",'Master'!O523)</x:f>
      </x:c>
      <x:c r="O33" s="100" t="str">
        <x:f>IF('Master'!P523="","",'Master'!P523)</x:f>
        <x:v>Operator-selected</x:v>
      </x:c>
      <x:c r="P33" s="100" t="str">
        <x:f>IF('Master'!Q523="","",'Master'!Q523)</x:f>
      </x:c>
      <x:c r="Q33" s="100" t="str">
        <x:f>IF('Master'!R523="","",'Master'!R523)</x:f>
        <x:v>Operator-selected</x:v>
      </x:c>
      <x:c r="R33" s="100" t="str">
        <x:f>IF('Master'!S523="","",'Master'!S523)</x:f>
      </x:c>
      <x:c r="S33" s="100" t="str">
        <x:f>IF('Master'!T523="","",'Master'!T523)</x:f>
        <x:v>Yes</x:v>
      </x:c>
      <x:c r="T33" s="100" t="str">
        <x:f>IF('Master'!U523="","",'Master'!U523)</x:f>
        <x:v>Hosted service is in São Paulo; self-hosters choose their own region</x:v>
      </x:c>
      <x:c r="U33" s="100" t="str">
        <x:f>IF('Master'!V523="","",'Master'!V523)</x:f>
      </x:c>
      <x:c r="V33" s="100" t="str">
        <x:f>IF('Master'!W523="","",'Master'!W523)</x:f>
        <x:v>Operator-selected</x:v>
      </x:c>
      <x:c r="W33" s="100" t="str">
        <x:f>IF('Master'!X523="","",'Master'!X523)</x:f>
      </x:c>
      <x:c r="X33" s="100" t="str">
        <x:f>IF('Master'!Y523="","",'Master'!Y523)</x:f>
      </x:c>
      <x:c r="Y33" s="100" t="str">
        <x:f>IF('Master'!Z523="","",'Master'!Z523)</x:f>
        <x:v>Operator-selected</x:v>
      </x:c>
      <x:c r="Z33" s="100" t="str">
        <x:f>IF('Master'!AA523="","",'Master'!AA523)</x:f>
        <x:v>Operator-selected</x:v>
      </x:c>
      <x:c r="AA33" s="104" t="str">
        <x:f>IF('Master'!AB523="","",'Master'!AB523)</x:f>
        <x:v>Operator-selected</x:v>
      </x:c>
      <x:c r="AB33" s="100" t="str">
        <x:f>IF('Master'!AC523="","",'Master'!AC523)</x:f>
        <x:v>Operator-selected</x:v>
      </x:c>
      <x:c r="AC33" s="100" t="str">
        <x:f>IF('Master'!AD523="","",'Master'!AD523)</x:f>
        <x:v>Operator-selected</x:v>
      </x:c>
      <x:c r="AD33" s="100" t="str">
        <x:f>IF('Master'!AE523="","",'Master'!AE523)</x:f>
      </x:c>
      <x:c r="AE33" s="100" t="str">
        <x:f>IF('Master'!AF523="","",'Master'!AF523)</x:f>
        <x:v>Operator-selected</x:v>
      </x:c>
      <x:c r="AF33" s="75" t="str">
        <x:f>IF('Master'!AG523="","",'Master'!AG523)</x:f>
        <x:v>Operator-selected</x:v>
      </x:c>
    </x:row>
    <x:row r="34" ht="22" customHeight="1">
      <x:c r="A34" s="138" t="str">
        <x:v>Source &amp; Notes</x:v>
      </x:c>
      <x:c r="B34" s="138" t="str">
        <x:f>IF(""="","","")</x:f>
      </x:c>
      <x:c r="C34" s="138" t="str">
        <x:f>IF(""="","","")</x:f>
      </x:c>
      <x:c r="D34" s="138" t="str">
        <x:f>IF(""="","","")</x:f>
      </x:c>
      <x:c r="E34" s="138" t="str">
        <x:f>IF(""="","","")</x:f>
      </x:c>
      <x:c r="F34" s="138" t="str">
        <x:f>IF(""="","","")</x:f>
      </x:c>
      <x:c r="G34" s="138" t="str">
        <x:f>IF(""="","","")</x:f>
      </x:c>
      <x:c r="H34" s="138" t="str">
        <x:f>IF(""="","","")</x:f>
      </x:c>
      <x:c r="I34" s="138" t="str">
        <x:f>IF(""="","","")</x:f>
      </x:c>
      <x:c r="J34" s="138" t="str">
        <x:f>IF(""="","","")</x:f>
      </x:c>
      <x:c r="K34" s="138" t="str">
        <x:f>IF(""="","","")</x:f>
      </x:c>
      <x:c r="L34" s="138" t="str">
        <x:f>IF(""="","","")</x:f>
      </x:c>
      <x:c r="M34" s="138" t="str">
        <x:f>IF(""="","","")</x:f>
      </x:c>
      <x:c r="N34" s="138" t="str">
        <x:f>IF(""="","","")</x:f>
      </x:c>
      <x:c r="O34" s="138" t="str">
        <x:f>IF(""="","","")</x:f>
      </x:c>
      <x:c r="P34" s="138" t="str">
        <x:f>IF(""="","","")</x:f>
      </x:c>
      <x:c r="Q34" s="138" t="str">
        <x:f>IF(""="","","")</x:f>
      </x:c>
      <x:c r="R34" s="138" t="str">
        <x:f>IF(""="","","")</x:f>
      </x:c>
      <x:c r="S34" s="138" t="str">
        <x:f>IF(""="","","")</x:f>
      </x:c>
      <x:c r="T34" s="138" t="str">
        <x:f>IF(""="","","")</x:f>
      </x:c>
      <x:c r="U34" s="138" t="str">
        <x:f>IF(""="","","")</x:f>
      </x:c>
      <x:c r="V34" s="138" t="str">
        <x:f>IF(""="","","")</x:f>
      </x:c>
      <x:c r="W34" s="138" t="str">
        <x:f>IF(""="","","")</x:f>
      </x:c>
      <x:c r="X34" s="138" t="str">
        <x:f>IF(""="","","")</x:f>
      </x:c>
      <x:c r="Y34" s="138" t="str">
        <x:f>IF(""="","","")</x:f>
      </x:c>
      <x:c r="Z34" s="138" t="str">
        <x:f>IF(""="","","")</x:f>
      </x:c>
      <x:c r="AA34" s="138" t="str">
        <x:f>IF(""="","","")</x:f>
      </x:c>
      <x:c r="AB34" s="138" t="str">
        <x:f>IF(""="","","")</x:f>
      </x:c>
      <x:c r="AC34" s="138" t="str">
        <x:f>IF(""="","","")</x:f>
      </x:c>
      <x:c r="AD34" s="138" t="str">
        <x:f>IF(""="","","")</x:f>
      </x:c>
      <x:c r="AE34" s="138" t="str">
        <x:f>IF(""="","","")</x:f>
      </x:c>
      <x:c r="AF34" s="139" t="str">
        <x:f>IF(""="","","")</x:f>
      </x:c>
    </x:row>
    <x:row r="35" ht="36" customHeight="1">
      <x:c r="A35" s="135" t="str">
        <x:v>Security / Privacy Notes</x:v>
      </x:c>
      <x:c r="B35" s="100" t="str">
        <x:f>IF('Master'!C524="","",'Master'!C524)</x:f>
        <x:v>Discord text chat remains server-readable even though voice/video is now E2EE.</x:v>
      </x:c>
      <x:c r="C35" s="100" t="str">
        <x:f>IF('Master'!D524="","",'Master'!D524)</x:f>
      </x:c>
      <x:c r="D35" s="100" t="str">
        <x:f>IF('Master'!E524="","",'Master'!E524)</x:f>
        <x:v>Encryption depends on which DCTS messaging mode is used.</x:v>
      </x:c>
      <x:c r="E35" s="100" t="str">
        <x:f>IF('Master'!F524="","",'Master'!F524)</x:f>
        <x:v>Security details are sparse; do not infer E2EE from WebRTC/LiveKit.</x:v>
      </x:c>
      <x:c r="F35" s="100" t="str">
        <x:f>IF('Master'!G524="","",'Master'!G524)</x:f>
        <x:v>Fenrid itself cautions that its home-grown design is not equivalent to Signal's mature ratchet protocol.</x:v>
      </x:c>
      <x:c r="G35" s="100" t="str">
        <x:f>IF('Master'!H524="","",'Master'!H524)</x:f>
        <x:v>Latest privacy policy explicitly says nothing on Fluxer is E2EE yet; voice/video E2EE is in development.</x:v>
      </x:c>
      <x:c r="H35" s="100" t="str">
        <x:f>IF('Master'!I524="","",'Master'!I524)</x:f>
        <x:v>Voice E2EE is claimed; do not extend that claim to text messages.</x:v>
      </x:c>
      <x:c r="I35" s="100" t="str">
        <x:f>IF('Master'!J524="","",'Master'!J524)</x:f>
        <x:v>Project discussions explicitly say E2EE is not currently implemented.</x:v>
      </x:c>
      <x:c r="J35" s="100" t="str">
        <x:f>IF('Master'!K524="","",'Master'!K524)</x:f>
      </x:c>
      <x:c r="K35" s="100" t="str">
        <x:f>IF('Master'!L524="","",'Master'!L524)</x:f>
        <x:v>https://github.com/CookieNom/KaedeChat/blob/main/docs/e2ee.md</x:v>
      </x:c>
      <x:c r="L35" s="100" t="str">
        <x:f>IF('Master'!M524="","",'Master'!M524)</x:f>
        <x:v>Do not treat privacy-first marketing as proof of deployed E2EE.</x:v>
      </x:c>
      <x:c r="M35" s="100" t="str">
        <x:f>IF('Master'!N524="","",'Master'!N524)</x:f>
        <x:v>Treat E2EE claims as feature-scope specific, not universal.</x:v>
      </x:c>
      <x:c r="N35" s="100" t="str">
        <x:f>IF('Master'!O524="","",'Master'!O524)</x:f>
        <x:v>Matrix supports E2EE, but whether a room is encrypted and how UX works is client/homeserver-dependent.</x:v>
      </x:c>
      <x:c r="O35" s="100" t="str">
        <x:f>IF('Master'!P524="","",'Master'!P524)</x:f>
        <x:v>Self-hosting can keep plaintext under your organization's control, but is not E2EE.</x:v>
      </x:c>
      <x:c r="P35" s="100" t="str">
        <x:f>IF('Master'!Q524="","",'Master'!Q524)</x:f>
        <x:v>Marketing/repo claims E2EE; exact room-by-room defaults should be verified before high-stakes use.</x:v>
      </x:c>
      <x:c r="Q35" s="100" t="str">
        <x:f>IF('Master'!R524="","",'Master'!R524)</x:f>
        <x:v>Strong encrypted transport is not the same as E2EE from client to client.</x:v>
      </x:c>
      <x:c r="R35" s="100" t="str">
        <x:f>IF('Master'!S524="","",'Master'!S524)</x:f>
        <x:v>No default E2EE was verified.</x:v>
      </x:c>
      <x:c r="S35" s="100" t="str">
        <x:f>IF('Master'!T524="","",'Master'!T524)</x:f>
        <x:v>Privacy policy says calls use encrypted connections; that is not the same as E2EE.</x:v>
      </x:c>
      <x:c r="T35" s="100" t="str">
        <x:f>IF('Master'!U524="","",'Master'!U524)</x:f>
        <x:v>TLS in transit; hosted in São Paulo; Clerk accounts; cookie-less Umami analytics + signup conversion tag; no E2EE product claim.</x:v>
      </x:c>
      <x:c r="U35" s="100" t="str">
        <x:f>IF('Master'!V524="","",'Master'!V524)</x:f>
        <x:v>DM text uses client-side Signal-style X3DH/Double Ratchet (AES-256-GCM); Shard messages are encrypted at rest but not E2EE.</x:v>
      </x:c>
      <x:c r="V35" s="100" t="str">
        <x:f>IF('Master'!W524="","",'Master'!W524)</x:f>
        <x:v>Federation documentation explicitly says E2EE is not supported across federated servers.</x:v>
      </x:c>
      <x:c r="W35" s="100" t="str">
        <x:f>IF('Master'!X524="","",'Master'!X524)</x:f>
        <x:v>Privacy inherits ATProto/server design rather than E2EE.</x:v>
      </x:c>
      <x:c r="X35" s="100" t="str">
        <x:f>IF('Master'!Y524="","",'Master'!Y524)</x:f>
        <x:v>Privacy policy says calls are real-time and not stored, but does not claim end-to-end encryption.</x:v>
      </x:c>
      <x:c r="Y35" s="100" t="str">
        <x:f>IF('Master'!Z524="","",'Master'!Z524)</x:f>
        <x:v>Self-hosting changes who you trust; it does not automatically create end-to-end encryption.</x:v>
      </x:c>
      <x:c r="Z35" s="100" t="str">
        <x:f>IF('Master'!AA524="","",'Master'!AA524)</x:f>
        <x:v>Do not infer LiveKit's E2EE capability means Stoat currently enables E2EE.</x:v>
      </x:c>
      <x:c r="AA35" s="104" t="str">
        <x:f>IF('Master'!AB524="","",'Master'!AB524)</x:f>
      </x:c>
      <x:c r="AB35" s="100" t="str">
        <x:f>IF('Master'!AC524="","",'Master'!AC524)</x:f>
        <x:v>Privacy focus is data policy/open source/self-hosting rather than E2EE messaging.</x:v>
      </x:c>
      <x:c r="AC35" s="100" t="str">
        <x:f>IF('Master'!AD524="","",'Master'!AD524)</x:f>
        <x:v>Developer states E2EE is per-conversation opt-in and default is currently unencrypted.</x:v>
      </x:c>
      <x:c r="AD35" s="100" t="str">
        <x:f>IF('Master'!AE524="","",'Master'!AE524)</x:f>
        <x:v>Security model is typical hosted app; no E2EE claim verified.</x:v>
      </x:c>
      <x:c r="AE35" s="100" t="str">
        <x:f>IF('Master'!AF524="","",'Master'!AF524)</x:f>
        <x:v>Self-hosting/data sovereignty is the main privacy control, not verified E2EE.</x:v>
      </x:c>
      <x:c r="AF35" s="75" t="str">
        <x:f>IF('Master'!AG524="","",'Master'!AG524)</x:f>
        <x:v>Zulip prioritizes searchable server-side team history rather than E2EE chat.</x:v>
      </x:c>
    </x:row>
    <x:row r="36" ht="22" customHeight="1">
      <x:c r="A36" s="138" t="str">
        <x:v>Account &amp; Platform Security</x:v>
      </x:c>
      <x:c r="B36" s="138" t="str">
        <x:f>IF(""="","","")</x:f>
      </x:c>
      <x:c r="C36" s="138" t="str">
        <x:f>IF(""="","","")</x:f>
      </x:c>
      <x:c r="D36" s="138" t="str">
        <x:f>IF(""="","","")</x:f>
      </x:c>
      <x:c r="E36" s="138" t="str">
        <x:f>IF(""="","","")</x:f>
      </x:c>
      <x:c r="F36" s="138" t="str">
        <x:f>IF(""="","","")</x:f>
      </x:c>
      <x:c r="G36" s="138" t="str">
        <x:f>IF(""="","","")</x:f>
      </x:c>
      <x:c r="H36" s="138" t="str">
        <x:f>IF(""="","","")</x:f>
      </x:c>
      <x:c r="I36" s="138" t="str">
        <x:f>IF(""="","","")</x:f>
      </x:c>
      <x:c r="J36" s="138" t="str">
        <x:f>IF(""="","","")</x:f>
      </x:c>
      <x:c r="K36" s="138" t="str">
        <x:f>IF(""="","","")</x:f>
      </x:c>
      <x:c r="L36" s="138" t="str">
        <x:f>IF(""="","","")</x:f>
      </x:c>
      <x:c r="M36" s="138" t="str">
        <x:f>IF(""="","","")</x:f>
      </x:c>
      <x:c r="N36" s="138" t="str">
        <x:f>IF(""="","","")</x:f>
      </x:c>
      <x:c r="O36" s="138" t="str">
        <x:f>IF(""="","","")</x:f>
      </x:c>
      <x:c r="P36" s="138" t="str">
        <x:f>IF(""="","","")</x:f>
      </x:c>
      <x:c r="Q36" s="138" t="str">
        <x:f>IF(""="","","")</x:f>
      </x:c>
      <x:c r="R36" s="138" t="str">
        <x:f>IF(""="","","")</x:f>
      </x:c>
      <x:c r="S36" s="138" t="str">
        <x:f>IF(""="","","")</x:f>
      </x:c>
      <x:c r="T36" s="138" t="str">
        <x:f>IF(""="","","")</x:f>
      </x:c>
      <x:c r="U36" s="138" t="str">
        <x:f>IF(""="","","")</x:f>
      </x:c>
      <x:c r="V36" s="138" t="str">
        <x:f>IF(""="","","")</x:f>
      </x:c>
      <x:c r="W36" s="138" t="str">
        <x:f>IF(""="","","")</x:f>
      </x:c>
      <x:c r="X36" s="138" t="str">
        <x:f>IF(""="","","")</x:f>
      </x:c>
      <x:c r="Y36" s="138" t="str">
        <x:f>IF(""="","","")</x:f>
      </x:c>
      <x:c r="Z36" s="138" t="str">
        <x:f>IF(""="","","")</x:f>
      </x:c>
      <x:c r="AA36" s="138" t="str">
        <x:f>IF(""="","","")</x:f>
      </x:c>
      <x:c r="AB36" s="138" t="str">
        <x:f>IF(""="","","")</x:f>
      </x:c>
      <x:c r="AC36" s="138" t="str">
        <x:f>IF(""="","","")</x:f>
      </x:c>
      <x:c r="AD36" s="138" t="str">
        <x:f>IF(""="","","")</x:f>
      </x:c>
      <x:c r="AE36" s="138" t="str">
        <x:f>IF(""="","","")</x:f>
      </x:c>
      <x:c r="AF36" s="139" t="str">
        <x:f>IF(""="","","")</x:f>
      </x:c>
    </x:row>
    <x:row r="37" ht="36" customHeight="1">
      <x:c r="A37" s="135" t="str">
        <x:v>2FA / TOTP Available?</x:v>
      </x:c>
      <x:c r="B37" s="100" t="str">
        <x:f>IF('Master'!C525="","",'Master'!C525)</x:f>
        <x:v>Yes</x:v>
      </x:c>
      <x:c r="C37" s="100" t="str">
        <x:f>IF('Master'!D525="","",'Master'!D525)</x:f>
      </x:c>
      <x:c r="D37" s="100" t="str">
        <x:f>IF('Master'!E525="","",'Master'!E525)</x:f>
      </x:c>
      <x:c r="E37" s="100" t="str">
        <x:f>IF('Master'!F525="","",'Master'!F525)</x:f>
      </x:c>
      <x:c r="F37" s="100" t="str">
        <x:f>IF('Master'!G525="","",'Master'!G525)</x:f>
      </x:c>
      <x:c r="G37" s="100" t="str">
        <x:f>IF('Master'!H525="","",'Master'!H525)</x:f>
      </x:c>
      <x:c r="H37" s="100" t="str">
        <x:f>IF('Master'!I525="","",'Master'!I525)</x:f>
      </x:c>
      <x:c r="I37" s="100" t="str">
        <x:f>IF('Master'!J525="","",'Master'!J525)</x:f>
      </x:c>
      <x:c r="J37" s="100" t="str">
        <x:f>IF('Master'!K525="","",'Master'!K525)</x:f>
      </x:c>
      <x:c r="K37" s="100" t="str">
        <x:f>IF('Master'!L525="","",'Master'!L525)</x:f>
        <x:v>Yes/likely — architecture explicitly references protected TOTP material</x:v>
      </x:c>
      <x:c r="L37" s="100" t="str">
        <x:f>IF('Master'!M525="","",'Master'!M525)</x:f>
      </x:c>
      <x:c r="M37" s="100" t="str">
        <x:f>IF('Master'!N525="","",'Master'!N525)</x:f>
      </x:c>
      <x:c r="N37" s="100" t="str">
        <x:f>IF('Master'!O525="","",'Master'!O525)</x:f>
      </x:c>
      <x:c r="O37" s="100" t="str">
        <x:f>IF('Master'!P525="","",'Master'!P525)</x:f>
        <x:v>Yes</x:v>
      </x:c>
      <x:c r="P37" s="100" t="str">
        <x:f>IF('Master'!Q525="","",'Master'!Q525)</x:f>
      </x:c>
      <x:c r="Q37" s="100" t="str">
        <x:f>IF('Master'!R525="","",'Master'!R525)</x:f>
      </x:c>
      <x:c r="R37" s="100" t="str">
        <x:f>IF('Master'!S525="","",'Master'!S525)</x:f>
      </x:c>
      <x:c r="S37" s="100" t="str">
        <x:f>IF('Master'!T525="","",'Master'!T525)</x:f>
      </x:c>
      <x:c r="T37" s="100" t="str">
        <x:f>IF('Master'!U525="","",'Master'!U525)</x:f>
      </x:c>
      <x:c r="U37" s="100" t="str">
        <x:f>IF('Master'!V525="","",'Master'!V525)</x:f>
      </x:c>
      <x:c r="V37" s="100" t="str">
        <x:f>IF('Master'!W525="","",'Master'!W525)</x:f>
        <x:v>Yes</x:v>
      </x:c>
      <x:c r="W37" s="100" t="str">
        <x:f>IF('Master'!X525="","",'Master'!X525)</x:f>
      </x:c>
      <x:c r="X37" s="100" t="str">
        <x:f>IF('Master'!Y525="","",'Master'!Y525)</x:f>
      </x:c>
      <x:c r="Y37" s="100" t="str">
        <x:f>IF('Master'!Z525="","",'Master'!Z525)</x:f>
      </x:c>
      <x:c r="Z37" s="100" t="str">
        <x:f>IF('Master'!AA525="","",'Master'!AA525)</x:f>
      </x:c>
      <x:c r="AA37" s="104" t="str">
        <x:f>IF('Master'!AB525="","",'Master'!AB525)</x:f>
      </x:c>
      <x:c r="AB37" s="100" t="str">
        <x:f>IF('Master'!AC525="","",'Master'!AC525)</x:f>
      </x:c>
      <x:c r="AC37" s="100" t="str">
        <x:f>IF('Master'!AD525="","",'Master'!AD525)</x:f>
      </x:c>
      <x:c r="AD37" s="100" t="str">
        <x:f>IF('Master'!AE525="","",'Master'!AE525)</x:f>
      </x:c>
      <x:c r="AE37" s="100" t="str">
        <x:f>IF('Master'!AF525="","",'Master'!AF525)</x:f>
      </x:c>
      <x:c r="AF37" s="75" t="str">
        <x:f>IF('Master'!AG525="","",'Master'!AG525)</x:f>
        <x:v>Yes</x:v>
      </x:c>
    </x:row>
    <x:row r="38" ht="36" customHeight="1">
      <x:c r="A38" s="135" t="str">
        <x:v>SSO / Enterprise Identity?</x:v>
      </x:c>
      <x:c r="B38" s="100" t="str">
        <x:f>IF('Master'!C526="","",'Master'!C526)</x:f>
      </x:c>
      <x:c r="C38" s="100" t="str">
        <x:f>IF('Master'!D526="","",'Master'!D526)</x:f>
      </x:c>
      <x:c r="D38" s="100" t="str">
        <x:f>IF('Master'!E526="","",'Master'!E526)</x:f>
      </x:c>
      <x:c r="E38" s="100" t="str">
        <x:f>IF('Master'!F526="","",'Master'!F526)</x:f>
      </x:c>
      <x:c r="F38" s="100" t="str">
        <x:f>IF('Master'!G526="","",'Master'!G526)</x:f>
      </x:c>
      <x:c r="G38" s="100" t="str">
        <x:f>IF('Master'!H526="","",'Master'!H526)</x:f>
      </x:c>
      <x:c r="H38" s="100" t="str">
        <x:f>IF('Master'!I526="","",'Master'!I526)</x:f>
      </x:c>
      <x:c r="I38" s="100" t="str">
        <x:f>IF('Master'!J526="","",'Master'!J526)</x:f>
      </x:c>
      <x:c r="J38" s="100" t="str">
        <x:f>IF('Master'!K526="","",'Master'!K526)</x:f>
      </x:c>
      <x:c r="K38" s="100" t="str">
        <x:f>IF('Master'!L526="","",'Master'!L526)</x:f>
        <x:v>No enterprise SSO documented</x:v>
      </x:c>
      <x:c r="L38" s="100" t="str">
        <x:f>IF('Master'!M526="","",'Master'!M526)</x:f>
      </x:c>
      <x:c r="M38" s="100" t="str">
        <x:f>IF('Master'!N526="","",'Master'!N526)</x:f>
      </x:c>
      <x:c r="N38" s="100" t="str">
        <x:f>IF('Master'!O526="","",'Master'!O526)</x:f>
        <x:v>Provider-dependent</x:v>
      </x:c>
      <x:c r="O38" s="100" t="str">
        <x:f>IF('Master'!P526="","",'Master'!P526)</x:f>
        <x:v>Yes</x:v>
      </x:c>
      <x:c r="P38" s="100" t="str">
        <x:f>IF('Master'!Q526="","",'Master'!Q526)</x:f>
      </x:c>
      <x:c r="Q38" s="100" t="str">
        <x:f>IF('Master'!R526="","",'Master'!R526)</x:f>
      </x:c>
      <x:c r="R38" s="100" t="str">
        <x:f>IF('Master'!S526="","",'Master'!S526)</x:f>
      </x:c>
      <x:c r="S38" s="100" t="str">
        <x:f>IF('Master'!T526="","",'Master'!T526)</x:f>
      </x:c>
      <x:c r="T38" s="100" t="str">
        <x:f>IF('Master'!U526="","",'Master'!U526)</x:f>
      </x:c>
      <x:c r="U38" s="100" t="str">
        <x:f>IF('Master'!V526="","",'Master'!V526)</x:f>
      </x:c>
      <x:c r="V38" s="100" t="str">
        <x:f>IF('Master'!W526="","",'Master'!W526)</x:f>
        <x:v>Yes</x:v>
      </x:c>
      <x:c r="W38" s="100" t="str">
        <x:f>IF('Master'!X526="","",'Master'!X526)</x:f>
      </x:c>
      <x:c r="X38" s="100" t="str">
        <x:f>IF('Master'!Y526="","",'Master'!Y526)</x:f>
      </x:c>
      <x:c r="Y38" s="100" t="str">
        <x:f>IF('Master'!Z526="","",'Master'!Z526)</x:f>
      </x:c>
      <x:c r="Z38" s="100" t="str">
        <x:f>IF('Master'!AA526="","",'Master'!AA526)</x:f>
      </x:c>
      <x:c r="AA38" s="104" t="str">
        <x:f>IF('Master'!AB526="","",'Master'!AB526)</x:f>
      </x:c>
      <x:c r="AB38" s="100" t="str">
        <x:f>IF('Master'!AC526="","",'Master'!AC526)</x:f>
      </x:c>
      <x:c r="AC38" s="100" t="str">
        <x:f>IF('Master'!AD526="","",'Master'!AD526)</x:f>
      </x:c>
      <x:c r="AD38" s="100" t="str">
        <x:f>IF('Master'!AE526="","",'Master'!AE526)</x:f>
      </x:c>
      <x:c r="AE38" s="100" t="str">
        <x:f>IF('Master'!AF526="","",'Master'!AF526)</x:f>
      </x:c>
      <x:c r="AF38" s="75" t="str">
        <x:f>IF('Master'!AG526="","",'Master'!AG526)</x:f>
        <x:v>Yes</x:v>
      </x:c>
    </x:row>
    <x:row r="39" ht="36" customHeight="1">
      <x:c r="A39" s="135" t="str">
        <x:v>Public Vulnerability Disclosure Policy?</x:v>
      </x:c>
      <x:c r="B39" s="100" t="str">
        <x:f>IF('Master'!C527="","",'Master'!C527)</x:f>
        <x:v>Yes</x:v>
      </x:c>
      <x:c r="C39" s="100" t="str">
        <x:f>IF('Master'!D527="","",'Master'!D527)</x:f>
      </x:c>
      <x:c r="D39" s="100" t="str">
        <x:f>IF('Master'!E527="","",'Master'!E527)</x:f>
      </x:c>
      <x:c r="E39" s="100" t="str">
        <x:f>IF('Master'!F527="","",'Master'!F527)</x:f>
      </x:c>
      <x:c r="F39" s="100" t="str">
        <x:f>IF('Master'!G527="","",'Master'!G527)</x:f>
      </x:c>
      <x:c r="G39" s="100" t="str">
        <x:f>IF('Master'!H527="","",'Master'!H527)</x:f>
      </x:c>
      <x:c r="H39" s="100" t="str">
        <x:f>IF('Master'!I527="","",'Master'!I527)</x:f>
      </x:c>
      <x:c r="I39" s="100" t="str">
        <x:f>IF('Master'!J527="","",'Master'!J527)</x:f>
      </x:c>
      <x:c r="J39" s="100" t="str">
        <x:f>IF('Master'!K527="","",'Master'!K527)</x:f>
      </x:c>
      <x:c r="K39" s="100" t="str">
        <x:f>IF('Master'!L527="","",'Master'!L527)</x:f>
        <x:v>No public vulnerability disclosure policy located</x:v>
      </x:c>
      <x:c r="L39" s="100" t="str">
        <x:f>IF('Master'!M527="","",'Master'!M527)</x:f>
      </x:c>
      <x:c r="M39" s="100" t="str">
        <x:f>IF('Master'!N527="","",'Master'!N527)</x:f>
      </x:c>
      <x:c r="N39" s="100" t="str">
        <x:f>IF('Master'!O527="","",'Master'!O527)</x:f>
      </x:c>
      <x:c r="O39" s="100" t="str">
        <x:f>IF('Master'!P527="","",'Master'!P527)</x:f>
      </x:c>
      <x:c r="P39" s="100" t="str">
        <x:f>IF('Master'!Q527="","",'Master'!Q527)</x:f>
      </x:c>
      <x:c r="Q39" s="100" t="str">
        <x:f>IF('Master'!R527="","",'Master'!R527)</x:f>
      </x:c>
      <x:c r="R39" s="100" t="str">
        <x:f>IF('Master'!S527="","",'Master'!S527)</x:f>
      </x:c>
      <x:c r="S39" s="100" t="str">
        <x:f>IF('Master'!T527="","",'Master'!T527)</x:f>
      </x:c>
      <x:c r="T39" s="100" t="str">
        <x:f>IF('Master'!U527="","",'Master'!U527)</x:f>
        <x:v>Yes — https://pqp.gg/.well-known/security.txt</x:v>
      </x:c>
      <x:c r="U39" s="100" t="str">
        <x:f>IF('Master'!V527="","",'Master'!V527)</x:f>
      </x:c>
      <x:c r="V39" s="100" t="str">
        <x:f>IF('Master'!W527="","",'Master'!W527)</x:f>
      </x:c>
      <x:c r="W39" s="100" t="str">
        <x:f>IF('Master'!X527="","",'Master'!X527)</x:f>
      </x:c>
      <x:c r="X39" s="100" t="str">
        <x:f>IF('Master'!Y527="","",'Master'!Y527)</x:f>
      </x:c>
      <x:c r="Y39" s="100" t="str">
        <x:f>IF('Master'!Z527="","",'Master'!Z527)</x:f>
      </x:c>
      <x:c r="Z39" s="100" t="str">
        <x:f>IF('Master'!AA527="","",'Master'!AA527)</x:f>
      </x:c>
      <x:c r="AA39" s="104" t="str">
        <x:f>IF('Master'!AB527="","",'Master'!AB527)</x:f>
      </x:c>
      <x:c r="AB39" s="100" t="str">
        <x:f>IF('Master'!AC527="","",'Master'!AC527)</x:f>
      </x:c>
      <x:c r="AC39" s="100" t="str">
        <x:f>IF('Master'!AD527="","",'Master'!AD527)</x:f>
      </x:c>
      <x:c r="AD39" s="100" t="str">
        <x:f>IF('Master'!AE527="","",'Master'!AE527)</x:f>
      </x:c>
      <x:c r="AE39" s="100" t="str">
        <x:f>IF('Master'!AF527="","",'Master'!AF527)</x:f>
      </x:c>
      <x:c r="AF39" s="75" t="str">
        <x:f>IF('Master'!AG527="","",'Master'!AG527)</x:f>
      </x:c>
    </x:row>
    <x:row r="40" ht="36" customHeight="1">
      <x:c r="A40" s="135" t="str">
        <x:v>Security Advisories Published?</x:v>
      </x:c>
      <x:c r="B40" s="100" t="str">
        <x:f>IF('Master'!C528="","",'Master'!C528)</x:f>
        <x:v>Yes</x:v>
      </x:c>
      <x:c r="C40" s="100" t="str">
        <x:f>IF('Master'!D528="","",'Master'!D528)</x:f>
      </x:c>
      <x:c r="D40" s="100" t="str">
        <x:f>IF('Master'!E528="","",'Master'!E528)</x:f>
      </x:c>
      <x:c r="E40" s="100" t="str">
        <x:f>IF('Master'!F528="","",'Master'!F528)</x:f>
      </x:c>
      <x:c r="F40" s="100" t="str">
        <x:f>IF('Master'!G528="","",'Master'!G528)</x:f>
      </x:c>
      <x:c r="G40" s="100" t="str">
        <x:f>IF('Master'!H528="","",'Master'!H528)</x:f>
      </x:c>
      <x:c r="H40" s="100" t="str">
        <x:f>IF('Master'!I528="","",'Master'!I528)</x:f>
      </x:c>
      <x:c r="I40" s="100" t="str">
        <x:f>IF('Master'!J528="","",'Master'!J528)</x:f>
      </x:c>
      <x:c r="J40" s="100" t="str">
        <x:f>IF('Master'!K528="","",'Master'!K528)</x:f>
      </x:c>
      <x:c r="K40" s="100" t="str">
        <x:f>IF('Master'!L528="","",'Master'!L528)</x:f>
        <x:v>No public security-advisory feed located</x:v>
      </x:c>
      <x:c r="L40" s="100" t="str">
        <x:f>IF('Master'!M528="","",'Master'!M528)</x:f>
      </x:c>
      <x:c r="M40" s="100" t="str">
        <x:f>IF('Master'!N528="","",'Master'!N528)</x:f>
      </x:c>
      <x:c r="N40" s="100" t="str">
        <x:f>IF('Master'!O528="","",'Master'!O528)</x:f>
        <x:v>Yes</x:v>
      </x:c>
      <x:c r="O40" s="100" t="str">
        <x:f>IF('Master'!P528="","",'Master'!P528)</x:f>
        <x:v>Yes</x:v>
      </x:c>
      <x:c r="P40" s="100" t="str">
        <x:f>IF('Master'!Q528="","",'Master'!Q528)</x:f>
      </x:c>
      <x:c r="Q40" s="100" t="str">
        <x:f>IF('Master'!R528="","",'Master'!R528)</x:f>
        <x:v>Yes</x:v>
      </x:c>
      <x:c r="R40" s="100" t="str">
        <x:f>IF('Master'!S528="","",'Master'!S528)</x:f>
      </x:c>
      <x:c r="S40" s="100" t="str">
        <x:f>IF('Master'!T528="","",'Master'!T528)</x:f>
      </x:c>
      <x:c r="T40" s="100" t="str">
        <x:f>IF('Master'!U528="","",'Master'!U528)</x:f>
        <x:v>No public breach/CVE story reported by the project</x:v>
      </x:c>
      <x:c r="U40" s="100" t="str">
        <x:f>IF('Master'!V528="","",'Master'!V528)</x:f>
      </x:c>
      <x:c r="V40" s="100" t="str">
        <x:f>IF('Master'!W528="","",'Master'!W528)</x:f>
        <x:v>Yes</x:v>
      </x:c>
      <x:c r="W40" s="100" t="str">
        <x:f>IF('Master'!X528="","",'Master'!X528)</x:f>
      </x:c>
      <x:c r="X40" s="100" t="str">
        <x:f>IF('Master'!Y528="","",'Master'!Y528)</x:f>
      </x:c>
      <x:c r="Y40" s="100" t="str">
        <x:f>IF('Master'!Z528="","",'Master'!Z528)</x:f>
      </x:c>
      <x:c r="Z40" s="100" t="str">
        <x:f>IF('Master'!AA528="","",'Master'!AA528)</x:f>
      </x:c>
      <x:c r="AA40" s="104" t="str">
        <x:f>IF('Master'!AB528="","",'Master'!AB528)</x:f>
      </x:c>
      <x:c r="AB40" s="100" t="str">
        <x:f>IF('Master'!AC528="","",'Master'!AC528)</x:f>
      </x:c>
      <x:c r="AC40" s="100" t="str">
        <x:f>IF('Master'!AD528="","",'Master'!AD528)</x:f>
      </x:c>
      <x:c r="AD40" s="100" t="str">
        <x:f>IF('Master'!AE528="","",'Master'!AE528)</x:f>
      </x:c>
      <x:c r="AE40" s="100" t="str">
        <x:f>IF('Master'!AF528="","",'Master'!AF528)</x:f>
      </x:c>
      <x:c r="AF40" s="75" t="str">
        <x:f>IF('Master'!AG528="","",'Master'!AG528)</x:f>
      </x:c>
    </x:row>
  </x:sheetData>
  <x:mergeCells>
    <x:mergeCell ref="A1:AF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Directory'!A1","Security History &amp; Audits"),"Security History &amp; Audits")</x:f>
        <x:v>Security History &amp; Audits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Known Past CVEs / Exploits</x:v>
      </x:c>
      <x:c r="B3" s="100" t="str">
        <x:f>IF('Master'!C529="","",'Master'!C529)</x:f>
      </x:c>
      <x:c r="C3" s="100" t="str">
        <x:f>IF('Master'!D529="","",'Master'!D529)</x:f>
      </x:c>
      <x:c r="D3" s="100" t="str">
        <x:f>IF('Master'!E529="","",'Master'!E529)</x:f>
      </x:c>
      <x:c r="E3" s="100" t="str">
        <x:f>IF('Master'!F529="","",'Master'!F529)</x:f>
      </x:c>
      <x:c r="F3" s="100" t="str">
        <x:f>IF('Master'!G529="","",'Master'!G529)</x:f>
      </x:c>
      <x:c r="G3" s="100" t="str">
        <x:f>IF('Master'!H529="","",'Master'!H529)</x:f>
      </x:c>
      <x:c r="H3" s="100" t="str">
        <x:f>IF('Master'!I529="","",'Master'!I529)</x:f>
      </x:c>
      <x:c r="I3" s="100" t="str">
        <x:f>IF('Master'!J529="","",'Master'!J529)</x:f>
      </x:c>
      <x:c r="J3" s="100" t="str">
        <x:f>IF('Master'!K529="","",'Master'!K529)</x:f>
      </x:c>
      <x:c r="K3" s="100" t="str">
        <x:f>IF('Master'!L529="","",'Master'!L529)</x:f>
        <x:v>None publicly known/reported by developer</x:v>
      </x:c>
      <x:c r="L3" s="100" t="str">
        <x:f>IF('Master'!M529="","",'Master'!M529)</x:f>
      </x:c>
      <x:c r="M3" s="100" t="str">
        <x:f>IF('Master'!N529="","",'Master'!N529)</x:f>
      </x:c>
      <x:c r="N3" s="100" t="str">
        <x:f>IF('Master'!O529="","",'Master'!O529)</x:f>
        <x:v>Implementation-specific; protocol/clients/servers have had CVEs</x:v>
      </x:c>
      <x:c r="O3" s="100" t="str">
        <x:f>IF('Master'!P529="","",'Master'!P529)</x:f>
        <x:v>Public CVEs/security advisories</x:v>
      </x:c>
      <x:c r="P3" s="100" t="str">
        <x:f>IF('Master'!Q529="","",'Master'!Q529)</x:f>
      </x:c>
      <x:c r="Q3" s="100" t="str">
        <x:f>IF('Master'!R529="","",'Master'!R529)</x:f>
        <x:v>Public CVEs/advisories exist over long project history</x:v>
      </x:c>
      <x:c r="R3" s="100" t="str">
        <x:f>IF('Master'!S529="","",'Master'!S529)</x:f>
      </x:c>
      <x:c r="S3" s="100" t="str">
        <x:f>IF('Master'!T529="","",'Master'!T529)</x:f>
      </x:c>
      <x:c r="T3" s="100" t="str">
        <x:f>IF('Master'!U529="","",'Master'!U529)</x:f>
        <x:v>No public CVE/exploit story reported by the project</x:v>
      </x:c>
      <x:c r="U3" s="100" t="str">
        <x:f>IF('Master'!V529="","",'Master'!V529)</x:f>
        <x:v>No Known</x:v>
      </x:c>
      <x:c r="V3" s="100" t="str">
        <x:f>IF('Master'!W529="","",'Master'!W529)</x:f>
        <x:v>Public CVEs/security advisories</x:v>
      </x:c>
      <x:c r="W3" s="100" t="str">
        <x:f>IF('Master'!X529="","",'Master'!X529)</x:f>
      </x:c>
      <x:c r="X3" s="100" t="str">
        <x:f>IF('Master'!Y529="","",'Master'!Y529)</x:f>
      </x:c>
      <x:c r="Y3" s="100" t="str">
        <x:f>IF('Master'!Z529="","",'Master'!Z529)</x:f>
      </x:c>
      <x:c r="Z3" s="100" t="str">
        <x:f>IF('Master'!AA529="","",'Master'!AA529)</x:f>
      </x:c>
      <x:c r="AA3" s="104" t="str">
        <x:f>IF('Master'!AB529="","",'Master'!AB529)</x:f>
      </x:c>
      <x:c r="AB3" s="100" t="str">
        <x:f>IF('Master'!AC529="","",'Master'!AC529)</x:f>
      </x:c>
      <x:c r="AC3" s="100" t="str">
        <x:f>IF('Master'!AD529="","",'Master'!AD529)</x:f>
      </x:c>
      <x:c r="AD3" s="100" t="str">
        <x:f>IF('Master'!AE529="","",'Master'!AE529)</x:f>
      </x:c>
      <x:c r="AE3" s="100" t="str">
        <x:f>IF('Master'!AF529="","",'Master'!AF529)</x:f>
      </x:c>
      <x:c r="AF3" s="75" t="str">
        <x:f>IF('Master'!AG529="","",'Master'!AG529)</x:f>
      </x:c>
    </x:row>
    <x:row r="4" ht="36" customHeight="1">
      <x:c r="A4" s="135" t="str">
        <x:v>Data Breach / Leak History</x:v>
      </x:c>
      <x:c r="B4" s="100" t="str">
        <x:f>IF('Master'!C530="","",'Master'!C530)</x:f>
        <x:v>Yes — 2025 third-party customer-support vendor incident; ~70,000 users may have had government-ID photos exposed; core Discord service was not breached</x:v>
      </x:c>
      <x:c r="C4" s="100" t="str">
        <x:f>IF('Master'!D530="","",'Master'!D530)</x:f>
      </x:c>
      <x:c r="D4" s="100" t="str">
        <x:f>IF('Master'!E530="","",'Master'!E530)</x:f>
      </x:c>
      <x:c r="E4" s="100" t="str">
        <x:f>IF('Master'!F530="","",'Master'!F530)</x:f>
      </x:c>
      <x:c r="F4" s="100" t="str">
        <x:f>IF('Master'!G530="","",'Master'!G530)</x:f>
        <x:v>No public breach verified</x:v>
      </x:c>
      <x:c r="G4" s="100" t="str">
        <x:f>IF('Master'!H530="","",'Master'!H530)</x:f>
        <x:v>No major public breach verified</x:v>
      </x:c>
      <x:c r="H4" s="100" t="str">
        <x:f>IF('Master'!I530="","",'Master'!I530)</x:f>
      </x:c>
      <x:c r="I4" s="100" t="str">
        <x:f>IF('Master'!J530="","",'Master'!J530)</x:f>
      </x:c>
      <x:c r="J4" s="100" t="str">
        <x:f>IF('Master'!K530="","",'Master'!K530)</x:f>
      </x:c>
      <x:c r="K4" s="100" t="str">
        <x:f>IF('Master'!L530="","",'Master'!L530)</x:f>
        <x:v>None publicly known/reported by developer</x:v>
      </x:c>
      <x:c r="L4" s="100" t="str">
        <x:f>IF('Master'!M530="","",'Master'!M530)</x:f>
      </x:c>
      <x:c r="M4" s="100" t="str">
        <x:f>IF('Master'!N530="","",'Master'!N530)</x:f>
      </x:c>
      <x:c r="N4" s="100" t="str">
        <x:f>IF('Master'!O530="","",'Master'!O530)</x:f>
        <x:v>Incidents are provider/implementation-specific</x:v>
      </x:c>
      <x:c r="O4" s="100" t="str">
        <x:f>IF('Master'!P530="","",'Master'!P530)</x:f>
        <x:v>Past vulnerabilities; major breach of vendor service not verified</x:v>
      </x:c>
      <x:c r="P4" s="100" t="str">
        <x:f>IF('Master'!Q530="","",'Master'!Q530)</x:f>
      </x:c>
      <x:c r="Q4" s="100" t="str">
        <x:f>IF('Master'!R530="","",'Master'!R530)</x:f>
        <x:v>No central hosted data breach model</x:v>
      </x:c>
      <x:c r="R4" s="100" t="str">
        <x:f>IF('Master'!S530="","",'Master'!S530)</x:f>
      </x:c>
      <x:c r="S4" s="100" t="str">
        <x:f>IF('Master'!T530="","",'Master'!T530)</x:f>
      </x:c>
      <x:c r="T4" s="100" t="str">
        <x:f>IF('Master'!U530="","",'Master'!U530)</x:f>
        <x:v>No public breach story reported by the project</x:v>
      </x:c>
      <x:c r="U4" s="100" t="str">
        <x:f>IF('Master'!V530="","",'Master'!V530)</x:f>
        <x:v>No Known</x:v>
      </x:c>
      <x:c r="V4" s="100" t="str">
        <x:f>IF('Master'!W530="","",'Master'!W530)</x:f>
      </x:c>
      <x:c r="W4" s="100" t="str">
        <x:f>IF('Master'!X530="","",'Master'!X530)</x:f>
      </x:c>
      <x:c r="X4" s="100" t="str">
        <x:f>IF('Master'!Y530="","",'Master'!Y530)</x:f>
        <x:v>No public breach verified</x:v>
      </x:c>
      <x:c r="Y4" s="100" t="str">
        <x:f>IF('Master'!Z530="","",'Master'!Z530)</x:f>
        <x:v>No major public breach verified</x:v>
      </x:c>
      <x:c r="Z4" s="100" t="str">
        <x:f>IF('Master'!AA530="","",'Master'!AA530)</x:f>
        <x:v>No major public hosted-service breach verified</x:v>
      </x:c>
      <x:c r="AA4" s="104" t="str">
        <x:f>IF('Master'!AB530="","",'Master'!AB530)</x:f>
        <x:v>No recent major breach verified here</x:v>
      </x:c>
      <x:c r="AB4" s="100" t="str">
        <x:f>IF('Master'!AC530="","",'Master'!AC530)</x:f>
      </x:c>
      <x:c r="AC4" s="100" t="str">
        <x:f>IF('Master'!AD530="","",'Master'!AD530)</x:f>
      </x:c>
      <x:c r="AD4" s="100" t="str">
        <x:f>IF('Master'!AE530="","",'Master'!AE530)</x:f>
      </x:c>
      <x:c r="AE4" s="100" t="str">
        <x:f>IF('Master'!AF530="","",'Master'!AF530)</x:f>
      </x:c>
      <x:c r="AF4" s="75" t="str">
        <x:f>IF('Master'!AG530="","",'Master'!AG530)</x:f>
        <x:v>No major current breach verified</x:v>
      </x:c>
    </x:row>
    <x:row r="5" ht="36" customHeight="1">
      <x:c r="A5" s="135" t="str">
        <x:v>Independent Security Audits (Public / Private / None)</x:v>
      </x:c>
      <x:c r="B5" s="100" t="str">
        <x:f>IF('Master'!C531="","",'Master'!C531)</x:f>
        <x:v>Public targeted audits of DAVE E2EE; no comprehensive public whole-platform audit verified</x:v>
      </x:c>
      <x:c r="C5" s="100" t="str">
        <x:f>IF('Master'!D531="","",'Master'!D531)</x:f>
        <x:v>No comprehensive independent security audit verified</x:v>
      </x:c>
      <x:c r="D5" s="100" t="str">
        <x:f>IF('Master'!E531="","",'Master'!E531)</x:f>
        <x:v>No comprehensive independent security audit verified</x:v>
      </x:c>
      <x:c r="E5" s="100" t="str">
        <x:f>IF('Master'!F531="","",'Master'!F531)</x:f>
        <x:v>No comprehensive independent security audit verified</x:v>
      </x:c>
      <x:c r="F5" s="100" t="str">
        <x:f>IF('Master'!G531="","",'Master'!G531)</x:f>
        <x:v>No independent audit published</x:v>
      </x:c>
      <x:c r="G5" s="100" t="str">
        <x:f>IF('Master'!H531="","",'Master'!H531)</x:f>
        <x:v>No comprehensive independent audit verified</x:v>
      </x:c>
      <x:c r="H5" s="100" t="str">
        <x:f>IF('Master'!I531="","",'Master'!I531)</x:f>
        <x:v>No comprehensive independent security audit verified</x:v>
      </x:c>
      <x:c r="I5" s="100" t="str">
        <x:f>IF('Master'!J531="","",'Master'!J531)</x:f>
        <x:v>No comprehensive independent security audit verified</x:v>
      </x:c>
      <x:c r="J5" s="100" t="str">
        <x:f>IF('Master'!K531="","",'Master'!K531)</x:f>
        <x:v>No comprehensive independent security audit verified</x:v>
      </x:c>
      <x:c r="K5" s="100" t="str">
        <x:f>IF('Master'!L531="","",'Master'!L531)</x:f>
        <x:v>None published</x:v>
      </x:c>
      <x:c r="L5" s="100" t="str">
        <x:f>IF('Master'!M531="","",'Master'!M531)</x:f>
        <x:v>No comprehensive independent security audit verified</x:v>
      </x:c>
      <x:c r="M5" s="100" t="str">
        <x:f>IF('Master'!N531="","",'Master'!N531)</x:f>
        <x:v>No comprehensive independent security audit verified</x:v>
      </x:c>
      <x:c r="N5" s="100" t="str">
        <x:f>IF('Master'!O531="","",'Master'!O531)</x:f>
        <x:v>Multiple independent audits across implementations; no single Matrix-wide audit</x:v>
      </x:c>
      <x:c r="O5" s="100" t="str">
        <x:f>IF('Master'!P531="","",'Master'!P531)</x:f>
      </x:c>
      <x:c r="P5" s="100" t="str">
        <x:f>IF('Master'!Q531="","",'Master'!Q531)</x:f>
        <x:v>No comprehensive independent security audit verified</x:v>
      </x:c>
      <x:c r="Q5" s="100" t="str">
        <x:f>IF('Master'!R531="","",'Master'!R531)</x:f>
      </x:c>
      <x:c r="R5" s="100" t="str">
        <x:f>IF('Master'!S531="","",'Master'!S531)</x:f>
        <x:v>No comprehensive independent security audit verified</x:v>
      </x:c>
      <x:c r="S5" s="100" t="str">
        <x:f>IF('Master'!T531="","",'Master'!T531)</x:f>
        <x:v>No comprehensive independent security audit verified</x:v>
      </x:c>
      <x:c r="T5" s="100" t="str">
        <x:f>IF('Master'!U531="","",'Master'!U531)</x:f>
        <x:v>None published</x:v>
      </x:c>
      <x:c r="U5" s="100" t="str">
        <x:f>IF('Master'!V531="","",'Master'!V531)</x:f>
        <x:v>No comprehensive independent security audit verified</x:v>
      </x:c>
      <x:c r="V5" s="100" t="str">
        <x:f>IF('Master'!W531="","",'Master'!W531)</x:f>
        <x:v>Security audits/certifications vary by offering</x:v>
      </x:c>
      <x:c r="W5" s="100" t="str">
        <x:f>IF('Master'!X531="","",'Master'!X531)</x:f>
        <x:v>No comprehensive independent security audit verified</x:v>
      </x:c>
      <x:c r="X5" s="100" t="str">
        <x:f>IF('Master'!Y531="","",'Master'!Y531)</x:f>
        <x:v>No independent audit published</x:v>
      </x:c>
      <x:c r="Y5" s="100" t="str">
        <x:f>IF('Master'!Z531="","",'Master'!Z531)</x:f>
        <x:v>No independent audit published</x:v>
      </x:c>
      <x:c r="Z5" s="100" t="str">
        <x:f>IF('Master'!AA531="","",'Master'!AA531)</x:f>
        <x:v>No comprehensive independent audit verified</x:v>
      </x:c>
      <x:c r="AA5" s="104" t="str">
        <x:f>IF('Master'!AB531="","",'Master'!AB531)</x:f>
      </x:c>
      <x:c r="AB5" s="100" t="str">
        <x:f>IF('Master'!AC531="","",'Master'!AC531)</x:f>
        <x:v>No comprehensive independent security audit verified</x:v>
      </x:c>
      <x:c r="AC5" s="100" t="str">
        <x:f>IF('Master'!AD531="","",'Master'!AD531)</x:f>
        <x:v>No comprehensive independent security audit verified</x:v>
      </x:c>
      <x:c r="AD5" s="100" t="str">
        <x:f>IF('Master'!AE531="","",'Master'!AE531)</x:f>
        <x:v>No comprehensive independent security audit verified</x:v>
      </x:c>
      <x:c r="AE5" s="100" t="str">
        <x:f>IF('Master'!AF531="","",'Master'!AF531)</x:f>
        <x:v>No comprehensive independent security audit verified</x:v>
      </x:c>
      <x:c r="AF5" s="75" t="str">
        <x:f>IF('Master'!AG531="","",'Master'!AG531)</x:f>
      </x:c>
    </x:row>
    <x:row r="6" ht="36" customHeight="1">
      <x:c r="A6" s="135" t="str">
        <x:v>Auditing Firm &amp; Date of Last Audit</x:v>
      </x:c>
      <x:c r="B6" s="100" t="str">
        <x:f>IF('Master'!C532="","",'Master'!C532)</x:f>
        <x:v>Trail of Bits — DAVE design/implementation review (2024) and follow-up audit (2025)</x:v>
      </x:c>
      <x:c r="C6" s="100" t="str">
        <x:f>IF('Master'!D532="","",'Master'!D532)</x:f>
      </x:c>
      <x:c r="D6" s="100" t="str">
        <x:f>IF('Master'!E532="","",'Master'!E532)</x:f>
      </x:c>
      <x:c r="E6" s="100" t="str">
        <x:f>IF('Master'!F532="","",'Master'!F532)</x:f>
      </x:c>
      <x:c r="F6" s="100" t="str">
        <x:f>IF('Master'!G532="","",'Master'!G532)</x:f>
      </x:c>
      <x:c r="G6" s="100" t="str">
        <x:f>IF('Master'!H532="","",'Master'!H532)</x:f>
      </x:c>
      <x:c r="H6" s="100" t="str">
        <x:f>IF('Master'!I532="","",'Master'!I532)</x:f>
      </x:c>
      <x:c r="I6" s="100" t="str">
        <x:f>IF('Master'!J532="","",'Master'!J532)</x:f>
      </x:c>
      <x:c r="J6" s="100" t="str">
        <x:f>IF('Master'!K532="","",'Master'!K532)</x:f>
      </x:c>
      <x:c r="K6" s="100" t="str">
        <x:f>IF('Master'!L532="","",'Master'!L532)</x:f>
        <x:v>None published</x:v>
      </x:c>
      <x:c r="L6" s="100" t="str">
        <x:f>IF('Master'!M532="","",'Master'!M532)</x:f>
      </x:c>
      <x:c r="M6" s="100" t="str">
        <x:f>IF('Master'!N532="","",'Master'!N532)</x:f>
      </x:c>
      <x:c r="N6" s="100" t="str">
        <x:f>IF('Master'!O532="","",'Master'!O532)</x:f>
        <x:v>Implementation-specific</x:v>
      </x:c>
      <x:c r="O6" s="100" t="str">
        <x:f>IF('Master'!P532="","",'Master'!P532)</x:f>
      </x:c>
      <x:c r="P6" s="100" t="str">
        <x:f>IF('Master'!Q532="","",'Master'!Q532)</x:f>
      </x:c>
      <x:c r="Q6" s="100" t="str">
        <x:f>IF('Master'!R532="","",'Master'!R532)</x:f>
      </x:c>
      <x:c r="R6" s="100" t="str">
        <x:f>IF('Master'!S532="","",'Master'!S532)</x:f>
      </x:c>
      <x:c r="S6" s="100" t="str">
        <x:f>IF('Master'!T532="","",'Master'!T532)</x:f>
      </x:c>
      <x:c r="T6" s="100" t="str">
        <x:f>IF('Master'!U532="","",'Master'!U532)</x:f>
        <x:v>N/A — no independent audit published</x:v>
      </x:c>
      <x:c r="U6" s="100" t="str">
        <x:f>IF('Master'!V532="","",'Master'!V532)</x:f>
      </x:c>
      <x:c r="V6" s="100" t="str">
        <x:f>IF('Master'!W532="","",'Master'!W532)</x:f>
      </x:c>
      <x:c r="W6" s="100" t="str">
        <x:f>IF('Master'!X532="","",'Master'!X532)</x:f>
      </x:c>
      <x:c r="X6" s="100" t="str">
        <x:f>IF('Master'!Y532="","",'Master'!Y532)</x:f>
      </x:c>
      <x:c r="Y6" s="100" t="str">
        <x:f>IF('Master'!Z532="","",'Master'!Z532)</x:f>
      </x:c>
      <x:c r="Z6" s="100" t="str">
        <x:f>IF('Master'!AA532="","",'Master'!AA532)</x:f>
      </x:c>
      <x:c r="AA6" s="104" t="str">
        <x:f>IF('Master'!AB532="","",'Master'!AB532)</x:f>
      </x:c>
      <x:c r="AB6" s="100" t="str">
        <x:f>IF('Master'!AC532="","",'Master'!AC532)</x:f>
      </x:c>
      <x:c r="AC6" s="100" t="str">
        <x:f>IF('Master'!AD532="","",'Master'!AD532)</x:f>
      </x:c>
      <x:c r="AD6" s="100" t="str">
        <x:f>IF('Master'!AE532="","",'Master'!AE532)</x:f>
      </x:c>
      <x:c r="AE6" s="100" t="str">
        <x:f>IF('Master'!AF532="","",'Master'!AF532)</x:f>
      </x:c>
      <x:c r="AF6" s="75" t="str">
        <x:f>IF('Master'!AG532="","",'Master'!AG532)</x:f>
      </x:c>
    </x:row>
    <x:row r="7" ht="36" customHeight="1">
      <x:c r="A7" s="135" t="str">
        <x:v>Active Bug Bounty Program</x:v>
      </x:c>
      <x:c r="B7" s="100" t="str">
        <x:f>IF('Master'!C533="","",'Master'!C533)</x:f>
        <x:v>Yes — private Bugcrowd program with cash bounties; DAVE is in scope</x:v>
      </x:c>
      <x:c r="C7" s="100" t="str">
        <x:f>IF('Master'!D533="","",'Master'!D533)</x:f>
      </x:c>
      <x:c r="D7" s="100" t="str">
        <x:f>IF('Master'!E533="","",'Master'!E533)</x:f>
      </x:c>
      <x:c r="E7" s="100" t="str">
        <x:f>IF('Master'!F533="","",'Master'!F533)</x:f>
      </x:c>
      <x:c r="F7" s="100" t="str">
        <x:f>IF('Master'!G533="","",'Master'!G533)</x:f>
        <x:v>No public bug bounty verified</x:v>
      </x:c>
      <x:c r="G7" s="100" t="str">
        <x:f>IF('Master'!H533="","",'Master'!H533)</x:f>
      </x:c>
      <x:c r="H7" s="100" t="str">
        <x:f>IF('Master'!I533="","",'Master'!I533)</x:f>
      </x:c>
      <x:c r="I7" s="100" t="str">
        <x:f>IF('Master'!J533="","",'Master'!J533)</x:f>
      </x:c>
      <x:c r="J7" s="100" t="str">
        <x:f>IF('Master'!K533="","",'Master'!K533)</x:f>
      </x:c>
      <x:c r="K7" s="100" t="str">
        <x:f>IF('Master'!L533="","",'Master'!L533)</x:f>
        <x:v>No public bug bounty located</x:v>
      </x:c>
      <x:c r="L7" s="100" t="str">
        <x:f>IF('Master'!M533="","",'Master'!M533)</x:f>
      </x:c>
      <x:c r="M7" s="100" t="str">
        <x:f>IF('Master'!N533="","",'Master'!N533)</x:f>
      </x:c>
      <x:c r="N7" s="100" t="str">
        <x:f>IF('Master'!O533="","",'Master'!O533)</x:f>
        <x:v>Implementation-specific</x:v>
      </x:c>
      <x:c r="O7" s="100" t="str">
        <x:f>IF('Master'!P533="","",'Master'!P533)</x:f>
        <x:v>Security disclosure/bounty program</x:v>
      </x:c>
      <x:c r="P7" s="100" t="str">
        <x:f>IF('Master'!Q533="","",'Master'!Q533)</x:f>
      </x:c>
      <x:c r="Q7" s="100" t="str">
        <x:f>IF('Master'!R533="","",'Master'!R533)</x:f>
        <x:v>No formal bounty verified</x:v>
      </x:c>
      <x:c r="R7" s="100" t="str">
        <x:f>IF('Master'!S533="","",'Master'!S533)</x:f>
      </x:c>
      <x:c r="S7" s="100" t="str">
        <x:f>IF('Master'!T533="","",'Master'!T533)</x:f>
      </x:c>
      <x:c r="T7" s="100" t="str">
        <x:f>IF('Master'!U533="","",'Master'!U533)</x:f>
      </x:c>
      <x:c r="U7" s="100" t="str">
        <x:f>IF('Master'!V533="","",'Master'!V533)</x:f>
      </x:c>
      <x:c r="V7" s="100" t="str">
        <x:f>IF('Master'!W533="","",'Master'!W533)</x:f>
      </x:c>
      <x:c r="W7" s="100" t="str">
        <x:f>IF('Master'!X533="","",'Master'!X533)</x:f>
      </x:c>
      <x:c r="X7" s="100" t="str">
        <x:f>IF('Master'!Y533="","",'Master'!Y533)</x:f>
        <x:v>No public bug bounty verified</x:v>
      </x:c>
      <x:c r="Y7" s="100" t="str">
        <x:f>IF('Master'!Z533="","",'Master'!Z533)</x:f>
        <x:v>No formal bounty verified</x:v>
      </x:c>
      <x:c r="Z7" s="100" t="str">
        <x:f>IF('Master'!AA533="","",'Master'!AA533)</x:f>
      </x:c>
      <x:c r="AA7" s="104" t="str">
        <x:f>IF('Master'!AB533="","",'Master'!AB533)</x:f>
      </x:c>
      <x:c r="AB7" s="100" t="str">
        <x:f>IF('Master'!AC533="","",'Master'!AC533)</x:f>
      </x:c>
      <x:c r="AC7" s="100" t="str">
        <x:f>IF('Master'!AD533="","",'Master'!AD533)</x:f>
      </x:c>
      <x:c r="AD7" s="100" t="str">
        <x:f>IF('Master'!AE533="","",'Master'!AE533)</x:f>
      </x:c>
      <x:c r="AE7" s="100" t="str">
        <x:f>IF('Master'!AF533="","",'Master'!AF533)</x:f>
      </x:c>
      <x:c r="AF7" s="75" t="str">
        <x:f>IF('Master'!AG533="","",'Master'!AG533)</x:f>
      </x:c>
    </x:row>
    <x:row r="8" ht="36" customHeight="1">
      <x:c r="A8" s="135" t="str">
        <x:v>Vulnerability Disclosure Responsiveness</x:v>
      </x:c>
      <x:c r="B8" s="100" t="str">
        <x:f>IF('Master'!C534="","",'Master'!C534)</x:f>
        <x:v>Reports are usually answered within ~24 hours, per Discord's security page</x:v>
      </x:c>
      <x:c r="C8" s="100" t="str">
        <x:f>IF('Master'!D534="","",'Master'!D534)</x:f>
      </x:c>
      <x:c r="D8" s="100" t="str">
        <x:f>IF('Master'!E534="","",'Master'!E534)</x:f>
      </x:c>
      <x:c r="E8" s="100" t="str">
        <x:f>IF('Master'!F534="","",'Master'!F534)</x:f>
      </x:c>
      <x:c r="F8" s="100" t="str">
        <x:f>IF('Master'!G534="","",'Master'!G534)</x:f>
      </x:c>
      <x:c r="G8" s="100" t="str">
        <x:f>IF('Master'!H534="","",'Master'!H534)</x:f>
        <x:v>Public security/privacy documentation</x:v>
      </x:c>
      <x:c r="H8" s="100" t="str">
        <x:f>IF('Master'!I534="","",'Master'!I534)</x:f>
      </x:c>
      <x:c r="I8" s="100" t="str">
        <x:f>IF('Master'!J534="","",'Master'!J534)</x:f>
      </x:c>
      <x:c r="J8" s="100" t="str">
        <x:f>IF('Master'!K534="","",'Master'!K534)</x:f>
      </x:c>
      <x:c r="K8" s="100" t="str">
        <x:f>IF('Master'!L534="","",'Master'!L534)</x:f>
        <x:v>Developer reports a security-researcher friend has privately reported bugs before production; no formal public disclosure program located</x:v>
      </x:c>
      <x:c r="L8" s="100" t="str">
        <x:f>IF('Master'!M534="","",'Master'!M534)</x:f>
      </x:c>
      <x:c r="M8" s="100" t="str">
        <x:f>IF('Master'!N534="","",'Master'!N534)</x:f>
      </x:c>
      <x:c r="N8" s="100" t="str">
        <x:f>IF('Master'!O534="","",'Master'!O534)</x:f>
        <x:v>Public security advisories across ecosystem</x:v>
      </x:c>
      <x:c r="O8" s="100" t="str">
        <x:f>IF('Master'!P534="","",'Master'!P534)</x:f>
        <x:v>Public advisories/responsive security process</x:v>
      </x:c>
      <x:c r="P8" s="100" t="str">
        <x:f>IF('Master'!Q534="","",'Master'!Q534)</x:f>
      </x:c>
      <x:c r="Q8" s="100" t="str">
        <x:f>IF('Master'!R534="","",'Master'!R534)</x:f>
        <x:v>Public GitHub/security channels</x:v>
      </x:c>
      <x:c r="R8" s="100" t="str">
        <x:f>IF('Master'!S534="","",'Master'!S534)</x:f>
      </x:c>
      <x:c r="S8" s="100" t="str">
        <x:f>IF('Master'!T534="","",'Master'!T534)</x:f>
      </x:c>
      <x:c r="T8" s="100" t="str">
        <x:f>IF('Master'!U534="","",'Master'!U534)</x:f>
        <x:v>Security contact published at /.well-known/security.txt; response history not independently established</x:v>
      </x:c>
      <x:c r="U8" s="100" t="str">
        <x:f>IF('Master'!V534="","",'Master'!V534)</x:f>
      </x:c>
      <x:c r="V8" s="100" t="str">
        <x:f>IF('Master'!W534="","",'Master'!W534)</x:f>
        <x:v>Public security advisories</x:v>
      </x:c>
      <x:c r="W8" s="100" t="str">
        <x:f>IF('Master'!X534="","",'Master'!X534)</x:f>
      </x:c>
      <x:c r="X8" s="100" t="str">
        <x:f>IF('Master'!Y534="","",'Master'!Y534)</x:f>
      </x:c>
      <x:c r="Y8" s="100" t="str">
        <x:f>IF('Master'!Z534="","",'Master'!Z534)</x:f>
        <x:v>Public GitHub</x:v>
      </x:c>
      <x:c r="Z8" s="100" t="str">
        <x:f>IF('Master'!AA534="","",'Master'!AA534)</x:f>
        <x:v>Public issues/security advisories</x:v>
      </x:c>
      <x:c r="AA8" s="104" t="str">
        <x:f>IF('Master'!AB534="","",'Master'!AB534)</x:f>
      </x:c>
      <x:c r="AB8" s="100" t="str">
        <x:f>IF('Master'!AC534="","",'Master'!AC534)</x:f>
      </x:c>
      <x:c r="AC8" s="100" t="str">
        <x:f>IF('Master'!AD534="","",'Master'!AD534)</x:f>
      </x:c>
      <x:c r="AD8" s="100" t="str">
        <x:f>IF('Master'!AE534="","",'Master'!AE534)</x:f>
      </x:c>
      <x:c r="AE8" s="100" t="str">
        <x:f>IF('Master'!AF534="","",'Master'!AF534)</x:f>
      </x:c>
      <x:c r="AF8" s="75" t="str">
        <x:f>IF('Master'!AG534="","",'Master'!AG534)</x:f>
        <x:v>Public security process</x:v>
      </x:c>
    </x:row>
    <x:row r="9" ht="23.100000381469727" customHeight="1">
      <x:c r="A9" s="135" t="str">
        <x:v>Security Program Maturity</x:v>
      </x:c>
      <x:c r="B9" s="102" t="str">
        <x:f>IF('Master'!C535="","",'Master'!C535)</x:f>
      </x:c>
      <x:c r="C9" s="102" t="str">
        <x:f>IF('Master'!D535="","",'Master'!D535)</x:f>
      </x:c>
      <x:c r="D9" s="102" t="str">
        <x:f>IF('Master'!E535="","",'Master'!E535)</x:f>
      </x:c>
      <x:c r="E9" s="102" t="str">
        <x:f>IF('Master'!F535="","",'Master'!F535)</x:f>
      </x:c>
      <x:c r="F9" s="102" t="str">
        <x:f>IF('Master'!G535="","",'Master'!G535)</x:f>
      </x:c>
      <x:c r="G9" s="102" t="str">
        <x:f>IF('Master'!H535="","",'Master'!H535)</x:f>
      </x:c>
      <x:c r="H9" s="102" t="str">
        <x:f>IF('Master'!I535="","",'Master'!I535)</x:f>
      </x:c>
      <x:c r="I9" s="102" t="str">
        <x:f>IF('Master'!J535="","",'Master'!J535)</x:f>
      </x:c>
      <x:c r="J9" s="102" t="str">
        <x:f>IF('Master'!K535="","",'Master'!K535)</x:f>
      </x:c>
      <x:c r="K9" s="102" t="str">
        <x:f>IF('Master'!L535="","",'Master'!L535)</x:f>
        <x:v>Developer reports a security-researcher friend has privately reported bugs before production; no formal public disclosure program located</x:v>
      </x:c>
      <x:c r="L9" s="102" t="str">
        <x:f>IF('Master'!M535="","",'Master'!M535)</x:f>
      </x:c>
      <x:c r="M9" s="102" t="str">
        <x:f>IF('Master'!N535="","",'Master'!N535)</x:f>
      </x:c>
      <x:c r="N9" s="102" t="str">
        <x:f>IF('Master'!O535="","",'Master'!O535)</x:f>
      </x:c>
      <x:c r="O9" s="102" t="str">
        <x:f>IF('Master'!P535="","",'Master'!P535)</x:f>
      </x:c>
      <x:c r="P9" s="102" t="str">
        <x:f>IF('Master'!Q535="","",'Master'!Q535)</x:f>
      </x:c>
      <x:c r="Q9" s="102" t="str">
        <x:f>IF('Master'!R535="","",'Master'!R535)</x:f>
      </x:c>
      <x:c r="R9" s="102" t="str">
        <x:f>IF('Master'!S535="","",'Master'!S535)</x:f>
      </x:c>
      <x:c r="S9" s="102" t="str">
        <x:f>IF('Master'!T535="","",'Master'!T535)</x:f>
      </x:c>
      <x:c r="T9" s="102" t="str">
        <x:f>IF('Master'!U535="","",'Master'!U535)</x:f>
        <x:v>Early product; security contact published; no independent audit yet</x:v>
      </x:c>
      <x:c r="U9" s="102" t="str">
        <x:f>IF('Master'!V535="","",'Master'!V535)</x:f>
      </x:c>
      <x:c r="V9" s="102" t="str">
        <x:f>IF('Master'!W535="","",'Master'!W535)</x:f>
      </x:c>
      <x:c r="W9" s="102" t="str">
        <x:f>IF('Master'!X535="","",'Master'!X535)</x:f>
      </x:c>
      <x:c r="X9" s="102" t="str">
        <x:f>IF('Master'!Y535="","",'Master'!Y535)</x:f>
      </x:c>
      <x:c r="Y9" s="102" t="str">
        <x:f>IF('Master'!Z535="","",'Master'!Z535)</x:f>
      </x:c>
      <x:c r="Z9" s="102" t="str">
        <x:f>IF('Master'!AA535="","",'Master'!AA535)</x:f>
      </x:c>
      <x:c r="AA9" s="103" t="str">
        <x:f>IF('Master'!AB535="","",'Master'!AB535)</x:f>
      </x:c>
      <x:c r="AB9" s="102" t="str">
        <x:f>IF('Master'!AC535="","",'Master'!AC535)</x:f>
      </x:c>
      <x:c r="AC9" s="102" t="str">
        <x:f>IF('Master'!AD535="","",'Master'!AD535)</x:f>
      </x:c>
      <x:c r="AD9" s="102" t="str">
        <x:f>IF('Master'!AE535="","",'Master'!AE535)</x:f>
      </x:c>
      <x:c r="AE9" s="102" t="str">
        <x:f>IF('Master'!AF535="","",'Master'!AF535)</x:f>
      </x:c>
      <x:c r="AF9" s="75" t="str">
        <x:f>IF('Master'!AG535="","",'Master'!AG535)</x:f>
      </x:c>
    </x:row>
    <x:row r="10" ht="36" customHeight="1">
      <x:c r="A10" s="135" t="str">
        <x:v>Public Security Advisory / CVE Process</x:v>
      </x:c>
      <x:c r="B10" s="100" t="str">
        <x:f>IF('Master'!C536="","",'Master'!C536)</x:f>
        <x:v>Yes</x:v>
      </x:c>
      <x:c r="C10" s="100" t="str">
        <x:f>IF('Master'!D536="","",'Master'!D536)</x:f>
      </x:c>
      <x:c r="D10" s="100" t="str">
        <x:f>IF('Master'!E536="","",'Master'!E536)</x:f>
      </x:c>
      <x:c r="E10" s="100" t="str">
        <x:f>IF('Master'!F536="","",'Master'!F536)</x:f>
      </x:c>
      <x:c r="F10" s="100" t="str">
        <x:f>IF('Master'!G536="","",'Master'!G536)</x:f>
      </x:c>
      <x:c r="G10" s="100" t="str">
        <x:f>IF('Master'!H536="","",'Master'!H536)</x:f>
      </x:c>
      <x:c r="H10" s="100" t="str">
        <x:f>IF('Master'!I536="","",'Master'!I536)</x:f>
      </x:c>
      <x:c r="I10" s="100" t="str">
        <x:f>IF('Master'!J536="","",'Master'!J536)</x:f>
      </x:c>
      <x:c r="J10" s="100" t="str">
        <x:f>IF('Master'!K536="","",'Master'!K536)</x:f>
      </x:c>
      <x:c r="K10" s="100" t="str">
        <x:f>IF('Master'!L536="","",'Master'!L536)</x:f>
        <x:v>No public CVE/advisory process located</x:v>
      </x:c>
      <x:c r="L10" s="100" t="str">
        <x:f>IF('Master'!M536="","",'Master'!M536)</x:f>
      </x:c>
      <x:c r="M10" s="100" t="str">
        <x:f>IF('Master'!N536="","",'Master'!N536)</x:f>
      </x:c>
      <x:c r="N10" s="100" t="str">
        <x:f>IF('Master'!O536="","",'Master'!O536)</x:f>
        <x:v>Yes</x:v>
      </x:c>
      <x:c r="O10" s="100" t="str">
        <x:f>IF('Master'!P536="","",'Master'!P536)</x:f>
        <x:v>Yes</x:v>
      </x:c>
      <x:c r="P10" s="100" t="str">
        <x:f>IF('Master'!Q536="","",'Master'!Q536)</x:f>
      </x:c>
      <x:c r="Q10" s="100" t="str">
        <x:f>IF('Master'!R536="","",'Master'!R536)</x:f>
        <x:v>Yes</x:v>
      </x:c>
      <x:c r="R10" s="100" t="str">
        <x:f>IF('Master'!S536="","",'Master'!S536)</x:f>
      </x:c>
      <x:c r="S10" s="100" t="str">
        <x:f>IF('Master'!T536="","",'Master'!T536)</x:f>
      </x:c>
      <x:c r="T10" s="100" t="str">
        <x:f>IF('Master'!U536="","",'Master'!U536)</x:f>
        <x:v>Security contact: https://pqp.gg/.well-known/security.txt; no public CVE story reported</x:v>
      </x:c>
      <x:c r="U10" s="100" t="str">
        <x:f>IF('Master'!V536="","",'Master'!V536)</x:f>
      </x:c>
      <x:c r="V10" s="100" t="str">
        <x:f>IF('Master'!W536="","",'Master'!W536)</x:f>
        <x:v>Yes</x:v>
      </x:c>
      <x:c r="W10" s="100" t="str">
        <x:f>IF('Master'!X536="","",'Master'!X536)</x:f>
      </x:c>
      <x:c r="X10" s="100" t="str">
        <x:f>IF('Master'!Y536="","",'Master'!Y536)</x:f>
      </x:c>
      <x:c r="Y10" s="100" t="str">
        <x:f>IF('Master'!Z536="","",'Master'!Z536)</x:f>
      </x:c>
      <x:c r="Z10" s="100" t="str">
        <x:f>IF('Master'!AA536="","",'Master'!AA536)</x:f>
      </x:c>
      <x:c r="AA10" s="104" t="str">
        <x:f>IF('Master'!AB536="","",'Master'!AB536)</x:f>
      </x:c>
      <x:c r="AB10" s="100" t="str">
        <x:f>IF('Master'!AC536="","",'Master'!AC536)</x:f>
      </x:c>
      <x:c r="AC10" s="100" t="str">
        <x:f>IF('Master'!AD536="","",'Master'!AD536)</x:f>
      </x:c>
      <x:c r="AD10" s="100" t="str">
        <x:f>IF('Master'!AE536="","",'Master'!AE536)</x:f>
      </x:c>
      <x:c r="AE10" s="100" t="str">
        <x:f>IF('Master'!AF536="","",'Master'!AF536)</x:f>
      </x:c>
      <x:c r="AF10" s="75" t="str">
        <x:f>IF('Master'!AG536="","",'Master'!AG536)</x:f>
      </x:c>
    </x:row>
    <x:row r="11" ht="36" customHeight="1">
      <x:c r="A11" s="135" t="str">
        <x:v>Independent Penetration Tests Published</x:v>
      </x:c>
      <x:c r="B11" s="100" t="str">
        <x:f>IF('Master'!C537="","",'Master'!C537)</x:f>
        <x:v>Security/audit details vary; DAVE cryptographic audits published</x:v>
      </x:c>
      <x:c r="C11" s="100" t="str">
        <x:f>IF('Master'!D537="","",'Master'!D537)</x:f>
      </x:c>
      <x:c r="D11" s="100" t="str">
        <x:f>IF('Master'!E537="","",'Master'!E537)</x:f>
      </x:c>
      <x:c r="E11" s="100" t="str">
        <x:f>IF('Master'!F537="","",'Master'!F537)</x:f>
      </x:c>
      <x:c r="F11" s="100" t="str">
        <x:f>IF('Master'!G537="","",'Master'!G537)</x:f>
      </x:c>
      <x:c r="G11" s="100" t="str">
        <x:f>IF('Master'!H537="","",'Master'!H537)</x:f>
      </x:c>
      <x:c r="H11" s="100" t="str">
        <x:f>IF('Master'!I537="","",'Master'!I537)</x:f>
      </x:c>
      <x:c r="I11" s="100" t="str">
        <x:f>IF('Master'!J537="","",'Master'!J537)</x:f>
      </x:c>
      <x:c r="J11" s="100" t="str">
        <x:f>IF('Master'!K537="","",'Master'!K537)</x:f>
      </x:c>
      <x:c r="K11" s="100" t="str">
        <x:f>IF('Master'!L537="","",'Master'!L537)</x:f>
        <x:v>None published</x:v>
      </x:c>
      <x:c r="L11" s="100" t="str">
        <x:f>IF('Master'!M537="","",'Master'!M537)</x:f>
      </x:c>
      <x:c r="M11" s="100" t="str">
        <x:f>IF('Master'!N537="","",'Master'!N537)</x:f>
      </x:c>
      <x:c r="N11" s="100" t="str">
        <x:f>IF('Master'!O537="","",'Master'!O537)</x:f>
      </x:c>
      <x:c r="O11" s="100" t="str">
        <x:f>IF('Master'!P537="","",'Master'!P537)</x:f>
      </x:c>
      <x:c r="P11" s="100" t="str">
        <x:f>IF('Master'!Q537="","",'Master'!Q537)</x:f>
      </x:c>
      <x:c r="Q11" s="100" t="str">
        <x:f>IF('Master'!R537="","",'Master'!R537)</x:f>
      </x:c>
      <x:c r="R11" s="100" t="str">
        <x:f>IF('Master'!S537="","",'Master'!S537)</x:f>
      </x:c>
      <x:c r="S11" s="100" t="str">
        <x:f>IF('Master'!T537="","",'Master'!T537)</x:f>
      </x:c>
      <x:c r="T11" s="100" t="str">
        <x:f>IF('Master'!U537="","",'Master'!U537)</x:f>
        <x:v>None published</x:v>
      </x:c>
      <x:c r="U11" s="100" t="str">
        <x:f>IF('Master'!V537="","",'Master'!V537)</x:f>
      </x:c>
      <x:c r="V11" s="100" t="str">
        <x:f>IF('Master'!W537="","",'Master'!W537)</x:f>
      </x:c>
      <x:c r="W11" s="100" t="str">
        <x:f>IF('Master'!X537="","",'Master'!X537)</x:f>
      </x:c>
      <x:c r="X11" s="100" t="str">
        <x:f>IF('Master'!Y537="","",'Master'!Y537)</x:f>
      </x:c>
      <x:c r="Y11" s="100" t="str">
        <x:f>IF('Master'!Z537="","",'Master'!Z537)</x:f>
      </x:c>
      <x:c r="Z11" s="100" t="str">
        <x:f>IF('Master'!AA537="","",'Master'!AA537)</x:f>
      </x:c>
      <x:c r="AA11" s="104" t="str">
        <x:f>IF('Master'!AB537="","",'Master'!AB537)</x:f>
      </x:c>
      <x:c r="AB11" s="100" t="str">
        <x:f>IF('Master'!AC537="","",'Master'!AC537)</x:f>
      </x:c>
      <x:c r="AC11" s="100" t="str">
        <x:f>IF('Master'!AD537="","",'Master'!AD537)</x:f>
      </x:c>
      <x:c r="AD11" s="100" t="str">
        <x:f>IF('Master'!AE537="","",'Master'!AE537)</x:f>
      </x:c>
      <x:c r="AE11" s="100" t="str">
        <x:f>IF('Master'!AF537="","",'Master'!AF537)</x:f>
      </x:c>
      <x:c r="AF11" s="75" t="str">
        <x:f>IF('Master'!AG537="","",'Master'!AG537)</x:f>
      </x:c>
    </x:row>
    <x:row r="12" ht="23.100000381469727" customHeight="1">
      <x:c r="A12" s="135" t="str">
        <x:v>Release / Artifact Signing Documented</x:v>
      </x:c>
      <x:c r="B12" s="102" t="str">
        <x:f>IF('Master'!C538="","",'Master'!C538)</x:f>
      </x:c>
      <x:c r="C12" s="102" t="str">
        <x:f>IF('Master'!D538="","",'Master'!D538)</x:f>
      </x:c>
      <x:c r="D12" s="102" t="str">
        <x:f>IF('Master'!E538="","",'Master'!E538)</x:f>
      </x:c>
      <x:c r="E12" s="102" t="str">
        <x:f>IF('Master'!F538="","",'Master'!F538)</x:f>
      </x:c>
      <x:c r="F12" s="102" t="str">
        <x:f>IF('Master'!G538="","",'Master'!G538)</x:f>
      </x:c>
      <x:c r="G12" s="102" t="str">
        <x:f>IF('Master'!H538="","",'Master'!H538)</x:f>
      </x:c>
      <x:c r="H12" s="102" t="str">
        <x:f>IF('Master'!I538="","",'Master'!I538)</x:f>
      </x:c>
      <x:c r="I12" s="102" t="str">
        <x:f>IF('Master'!J538="","",'Master'!J538)</x:f>
      </x:c>
      <x:c r="J12" s="102" t="str">
        <x:f>IF('Master'!K538="","",'Master'!K538)</x:f>
      </x:c>
      <x:c r="K12" s="102" t="str">
        <x:f>IF('Master'!L538="","",'Master'!L538)</x:f>
        <x:v>No release-signing documentation located</x:v>
      </x:c>
      <x:c r="L12" s="102" t="str">
        <x:f>IF('Master'!M538="","",'Master'!M538)</x:f>
      </x:c>
      <x:c r="M12" s="102" t="str">
        <x:f>IF('Master'!N538="","",'Master'!N538)</x:f>
      </x:c>
      <x:c r="N12" s="102" t="str">
        <x:f>IF('Master'!O538="","",'Master'!O538)</x:f>
      </x:c>
      <x:c r="O12" s="102" t="str">
        <x:f>IF('Master'!P538="","",'Master'!P538)</x:f>
      </x:c>
      <x:c r="P12" s="102" t="str">
        <x:f>IF('Master'!Q538="","",'Master'!Q538)</x:f>
      </x:c>
      <x:c r="Q12" s="102" t="str">
        <x:f>IF('Master'!R538="","",'Master'!R538)</x:f>
      </x:c>
      <x:c r="R12" s="102" t="str">
        <x:f>IF('Master'!S538="","",'Master'!S538)</x:f>
      </x:c>
      <x:c r="S12" s="102" t="str">
        <x:f>IF('Master'!T538="","",'Master'!T538)</x:f>
      </x:c>
      <x:c r="T12" s="102" t="str">
        <x:f>IF('Master'!U538="","",'Master'!U538)</x:f>
      </x:c>
      <x:c r="U12" s="102" t="str">
        <x:f>IF('Master'!V538="","",'Master'!V538)</x:f>
      </x:c>
      <x:c r="V12" s="102" t="str">
        <x:f>IF('Master'!W538="","",'Master'!W538)</x:f>
      </x:c>
      <x:c r="W12" s="102" t="str">
        <x:f>IF('Master'!X538="","",'Master'!X538)</x:f>
      </x:c>
      <x:c r="X12" s="102" t="str">
        <x:f>IF('Master'!Y538="","",'Master'!Y538)</x:f>
      </x:c>
      <x:c r="Y12" s="102" t="str">
        <x:f>IF('Master'!Z538="","",'Master'!Z538)</x:f>
      </x:c>
      <x:c r="Z12" s="102" t="str">
        <x:f>IF('Master'!AA538="","",'Master'!AA538)</x:f>
      </x:c>
      <x:c r="AA12" s="103" t="str">
        <x:f>IF('Master'!AB538="","",'Master'!AB538)</x:f>
      </x:c>
      <x:c r="AB12" s="102" t="str">
        <x:f>IF('Master'!AC538="","",'Master'!AC538)</x:f>
      </x:c>
      <x:c r="AC12" s="102" t="str">
        <x:f>IF('Master'!AD538="","",'Master'!AD538)</x:f>
      </x:c>
      <x:c r="AD12" s="102" t="str">
        <x:f>IF('Master'!AE538="","",'Master'!AE538)</x:f>
      </x:c>
      <x:c r="AE12" s="102" t="str">
        <x:f>IF('Master'!AF538="","",'Master'!AF538)</x:f>
      </x:c>
      <x:c r="AF12" s="75" t="str">
        <x:f>IF('Master'!AG538="","",'Master'!AG538)</x:f>
      </x:c>
    </x:row>
    <x:row r="13" ht="23.100000381469727" customHeight="1">
      <x:c r="A13" s="135" t="str">
        <x:v>SBOM / Supply-Chain Transparency</x:v>
      </x:c>
      <x:c r="B13" s="102" t="str">
        <x:f>IF('Master'!C539="","",'Master'!C539)</x:f>
      </x:c>
      <x:c r="C13" s="102" t="str">
        <x:f>IF('Master'!D539="","",'Master'!D539)</x:f>
      </x:c>
      <x:c r="D13" s="102" t="str">
        <x:f>IF('Master'!E539="","",'Master'!E539)</x:f>
      </x:c>
      <x:c r="E13" s="102" t="str">
        <x:f>IF('Master'!F539="","",'Master'!F539)</x:f>
      </x:c>
      <x:c r="F13" s="102" t="str">
        <x:f>IF('Master'!G539="","",'Master'!G539)</x:f>
      </x:c>
      <x:c r="G13" s="102" t="str">
        <x:f>IF('Master'!H539="","",'Master'!H539)</x:f>
      </x:c>
      <x:c r="H13" s="102" t="str">
        <x:f>IF('Master'!I539="","",'Master'!I539)</x:f>
      </x:c>
      <x:c r="I13" s="102" t="str">
        <x:f>IF('Master'!J539="","",'Master'!J539)</x:f>
      </x:c>
      <x:c r="J13" s="102" t="str">
        <x:f>IF('Master'!K539="","",'Master'!K539)</x:f>
      </x:c>
      <x:c r="K13" s="102" t="str">
        <x:f>IF('Master'!L539="","",'Master'!L539)</x:f>
        <x:v>No SBOM/public supply-chain inventory located</x:v>
      </x:c>
      <x:c r="L13" s="102" t="str">
        <x:f>IF('Master'!M539="","",'Master'!M539)</x:f>
      </x:c>
      <x:c r="M13" s="102" t="str">
        <x:f>IF('Master'!N539="","",'Master'!N539)</x:f>
      </x:c>
      <x:c r="N13" s="102" t="str">
        <x:f>IF('Master'!O539="","",'Master'!O539)</x:f>
      </x:c>
      <x:c r="O13" s="102" t="str">
        <x:f>IF('Master'!P539="","",'Master'!P539)</x:f>
      </x:c>
      <x:c r="P13" s="102" t="str">
        <x:f>IF('Master'!Q539="","",'Master'!Q539)</x:f>
      </x:c>
      <x:c r="Q13" s="102" t="str">
        <x:f>IF('Master'!R539="","",'Master'!R539)</x:f>
      </x:c>
      <x:c r="R13" s="102" t="str">
        <x:f>IF('Master'!S539="","",'Master'!S539)</x:f>
      </x:c>
      <x:c r="S13" s="102" t="str">
        <x:f>IF('Master'!T539="","",'Master'!T539)</x:f>
      </x:c>
      <x:c r="T13" s="102" t="str">
        <x:f>IF('Master'!U539="","",'Master'!U539)</x:f>
      </x:c>
      <x:c r="U13" s="102" t="str">
        <x:f>IF('Master'!V539="","",'Master'!V539)</x:f>
      </x:c>
      <x:c r="V13" s="102" t="str">
        <x:f>IF('Master'!W539="","",'Master'!W539)</x:f>
      </x:c>
      <x:c r="W13" s="102" t="str">
        <x:f>IF('Master'!X539="","",'Master'!X539)</x:f>
      </x:c>
      <x:c r="X13" s="102" t="str">
        <x:f>IF('Master'!Y539="","",'Master'!Y539)</x:f>
      </x:c>
      <x:c r="Y13" s="102" t="str">
        <x:f>IF('Master'!Z539="","",'Master'!Z539)</x:f>
      </x:c>
      <x:c r="Z13" s="102" t="str">
        <x:f>IF('Master'!AA539="","",'Master'!AA539)</x:f>
      </x:c>
      <x:c r="AA13" s="103" t="str">
        <x:f>IF('Master'!AB539="","",'Master'!AB539)</x:f>
      </x:c>
      <x:c r="AB13" s="102" t="str">
        <x:f>IF('Master'!AC539="","",'Master'!AC539)</x:f>
      </x:c>
      <x:c r="AC13" s="102" t="str">
        <x:f>IF('Master'!AD539="","",'Master'!AD539)</x:f>
      </x:c>
      <x:c r="AD13" s="102" t="str">
        <x:f>IF('Master'!AE539="","",'Master'!AE539)</x:f>
      </x:c>
      <x:c r="AE13" s="102" t="str">
        <x:f>IF('Master'!AF539="","",'Master'!AF539)</x:f>
      </x:c>
      <x:c r="AF13" s="75" t="str">
        <x:f>IF('Master'!AG539="","",'Master'!AG539)</x:f>
      </x:c>
    </x:row>
  </x:sheetData>
  <x:mergeCells>
    <x:mergeCell ref="A1:AF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Directory'!A1","Moderation &amp; Safety"),"Moderation &amp; Safety")</x:f>
        <x:v>Moderation &amp; Safety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Native AutoMod Engine</x:v>
      </x:c>
      <x:c r="B3" s="100" t="str">
        <x:f>IF('Master'!C540="","",'Master'!C540)</x:f>
        <x:v>Yes — AutoMod</x:v>
      </x:c>
      <x:c r="C3" s="100" t="str">
        <x:f>IF('Master'!D540="","",'Master'!D540)</x:f>
      </x:c>
      <x:c r="D3" s="100" t="str">
        <x:f>IF('Master'!E540="","",'Master'!E540)</x:f>
        <x:v>Server/operator moderation</x:v>
      </x:c>
      <x:c r="E3" s="100" t="str">
        <x:f>IF('Master'!F540="","",'Master'!F540)</x:f>
      </x:c>
      <x:c r="F3" s="100" t="str">
        <x:f>IF('Master'!G540="","",'Master'!G540)</x:f>
        <x:v>Native moderation</x:v>
      </x:c>
      <x:c r="G3" s="100" t="str">
        <x:f>IF('Master'!H540="","",'Master'!H540)</x:f>
        <x:v>Native moderation</x:v>
      </x:c>
      <x:c r="H3" s="100" t="str">
        <x:f>IF('Master'!I540="","",'Master'!I540)</x:f>
      </x:c>
      <x:c r="I3" s="100" t="str">
        <x:f>IF('Master'!J540="","",'Master'!J540)</x:f>
      </x:c>
      <x:c r="J3" s="100" t="str">
        <x:f>IF('Master'!K540="","",'Master'!K540)</x:f>
      </x:c>
      <x:c r="K3" s="100" t="str">
        <x:f>IF('Master'!L540="","",'Master'!L540)</x:f>
        <x:v>Yes — developer reports native AutoMod</x:v>
      </x:c>
      <x:c r="L3" s="100" t="str">
        <x:f>IF('Master'!M540="","",'Master'!M540)</x:f>
        <x:v>Native moderation</x:v>
      </x:c>
      <x:c r="M3" s="100" t="str">
        <x:f>IF('Master'!N540="","",'Master'!N540)</x:f>
      </x:c>
      <x:c r="N3" s="100" t="str">
        <x:f>IF('Master'!O540="","",'Master'!O540)</x:f>
        <x:v>Protocol supports room permissions/power levels; tooling varies by client/server</x:v>
      </x:c>
      <x:c r="O3" s="100" t="str">
        <x:f>IF('Master'!P540="","",'Master'!P540)</x:f>
        <x:v>Moderation/admin/retention/compliance tools</x:v>
      </x:c>
      <x:c r="P3" s="100" t="str">
        <x:f>IF('Master'!Q540="","",'Master'!Q540)</x:f>
      </x:c>
      <x:c r="Q3" s="100" t="str">
        <x:f>IF('Master'!R540="","",'Master'!R540)</x:f>
        <x:v>ACLs/permissions rather than AutoMod</x:v>
      </x:c>
      <x:c r="R3" s="100" t="str">
        <x:f>IF('Master'!S540="","",'Master'!S540)</x:f>
      </x:c>
      <x:c r="S3" s="100" t="str">
        <x:f>IF('Master'!T540="","",'Master'!T540)</x:f>
      </x:c>
      <x:c r="T3" s="100" t="str">
        <x:f>IF('Master'!U540="","",'Master'!U540)</x:f>
        <x:v>Native moderation</x:v>
      </x:c>
      <x:c r="U3" s="100" t="str">
        <x:f>IF('Master'!V540="","",'Master'!V540)</x:f>
        <x:v>Yes — built-in AutoMod</x:v>
      </x:c>
      <x:c r="V3" s="100" t="str">
        <x:f>IF('Master'!W540="","",'Master'!W540)</x:f>
        <x:v>Moderation/admin tools</x:v>
      </x:c>
      <x:c r="W3" s="100" t="str">
        <x:f>IF('Master'!X540="","",'Master'!X540)</x:f>
      </x:c>
      <x:c r="X3" s="100" t="str">
        <x:f>IF('Master'!Y540="","",'Master'!Y540)</x:f>
        <x:v>Yes — Moderation App + native controls</x:v>
      </x:c>
      <x:c r="Y3" s="100" t="str">
        <x:f>IF('Master'!Z540="","",'Master'!Z540)</x:f>
        <x:v>Discord-compatible moderation target</x:v>
      </x:c>
      <x:c r="Z3" s="100" t="str">
        <x:f>IF('Master'!AA540="","",'Master'!AA540)</x:f>
        <x:v>Partial/native moderation controls</x:v>
      </x:c>
      <x:c r="AA3" s="104" t="str">
        <x:f>IF('Master'!AB540="","",'Master'!AB540)</x:f>
        <x:v>Permissions/admin tools</x:v>
      </x:c>
      <x:c r="AB3" s="100" t="str">
        <x:f>IF('Master'!AC540="","",'Master'!AC540)</x:f>
        <x:v>Built-in automod</x:v>
      </x:c>
      <x:c r="AC3" s="100" t="str">
        <x:f>IF('Master'!AD540="","",'Master'!AD540)</x:f>
      </x:c>
      <x:c r="AD3" s="100" t="str">
        <x:f>IF('Master'!AE540="","",'Master'!AE540)</x:f>
      </x:c>
      <x:c r="AE3" s="100" t="str">
        <x:f>IF('Master'!AF540="","",'Master'!AF540)</x:f>
      </x:c>
      <x:c r="AF3" s="75" t="str">
        <x:f>IF('Master'!AG540="","",'Master'!AG540)</x:f>
        <x:v>Moderation/admin controls; no Discord-style AutoMod core</x:v>
      </x:c>
    </x:row>
    <x:row r="4" ht="36" customHeight="1">
      <x:c r="A4" s="135" t="str">
        <x:v>Custom Keyword &amp; Regex Blocklists</x:v>
      </x:c>
      <x:c r="B4" s="100" t="str">
        <x:f>IF('Master'!C541="","",'Master'!C541)</x:f>
        <x:v>Yes — custom keywords + Rust-flavor regex</x:v>
      </x:c>
      <x:c r="C4" s="100" t="str">
        <x:f>IF('Master'!D541="","",'Master'!D541)</x:f>
      </x:c>
      <x:c r="D4" s="100" t="str">
        <x:f>IF('Master'!E541="","",'Master'!E541)</x:f>
        <x:v>Advanced anti-spam advertised</x:v>
      </x:c>
      <x:c r="E4" s="100" t="str">
        <x:f>IF('Master'!F541="","",'Master'!F541)</x:f>
      </x:c>
      <x:c r="F4" s="100" t="str">
        <x:f>IF('Master'!G541="","",'Master'!G541)</x:f>
      </x:c>
      <x:c r="G4" s="100" t="str">
        <x:f>IF('Master'!H541="","",'Master'!H541)</x:f>
      </x:c>
      <x:c r="H4" s="100" t="str">
        <x:f>IF('Master'!I541="","",'Master'!I541)</x:f>
      </x:c>
      <x:c r="I4" s="100" t="str">
        <x:f>IF('Master'!J541="","",'Master'!J541)</x:f>
      </x:c>
      <x:c r="J4" s="100" t="str">
        <x:f>IF('Master'!K541="","",'Master'!K541)</x:f>
      </x:c>
      <x:c r="K4" s="100" t="str">
        <x:f>IF('Master'!L541="","",'Master'!L541)</x:f>
        <x:v>AutoMod exists, but exact keyword/regex rule types were not fully documented in reviewed public docs</x:v>
      </x:c>
      <x:c r="L4" s="100" t="str">
        <x:f>IF('Master'!M541="","",'Master'!M541)</x:f>
      </x:c>
      <x:c r="M4" s="100" t="str">
        <x:f>IF('Master'!N541="","",'Master'!N541)</x:f>
      </x:c>
      <x:c r="N4" s="100" t="str">
        <x:f>IF('Master'!O541="","",'Master'!O541)</x:f>
        <x:v>Client/server/bot-dependent</x:v>
      </x:c>
      <x:c r="O4" s="100" t="str">
        <x:f>IF('Master'!P541="","",'Master'!P541)</x:f>
      </x:c>
      <x:c r="P4" s="100" t="str">
        <x:f>IF('Master'!Q541="","",'Master'!Q541)</x:f>
      </x:c>
      <x:c r="Q4" s="100" t="str">
        <x:f>IF('Master'!R541="","",'Master'!R541)</x:f>
        <x:v>No text AutoMod focus</x:v>
      </x:c>
      <x:c r="R4" s="100" t="str">
        <x:f>IF('Master'!S541="","",'Master'!S541)</x:f>
      </x:c>
      <x:c r="S4" s="100" t="str">
        <x:f>IF('Master'!T541="","",'Master'!T541)</x:f>
      </x:c>
      <x:c r="T4" s="100" t="str">
        <x:f>IF('Master'!U541="","",'Master'!U541)</x:f>
      </x:c>
      <x:c r="U4" s="100" t="str">
        <x:f>IF('Master'!V541="","",'Master'!V541)</x:f>
        <x:v>Yes - built-in automod</x:v>
      </x:c>
      <x:c r="V4" s="100" t="str">
        <x:f>IF('Master'!W541="","",'Master'!W541)</x:f>
      </x:c>
      <x:c r="W4" s="100" t="str">
        <x:f>IF('Master'!X541="","",'Master'!X541)</x:f>
      </x:c>
      <x:c r="X4" s="100" t="str">
        <x:f>IF('Master'!Y541="","",'Master'!Y541)</x:f>
      </x:c>
      <x:c r="Y4" s="100" t="str">
        <x:f>IF('Master'!Z541="","",'Master'!Z541)</x:f>
      </x:c>
      <x:c r="Z4" s="100" t="str">
        <x:f>IF('Master'!AA541="","",'Master'!AA541)</x:f>
      </x:c>
      <x:c r="AA4" s="104" t="str">
        <x:f>IF('Master'!AB541="","",'Master'!AB541)</x:f>
      </x:c>
      <x:c r="AB4" s="100" t="str">
        <x:f>IF('Master'!AC541="","",'Master'!AC541)</x:f>
        <x:v>Blocklists/automod</x:v>
      </x:c>
      <x:c r="AC4" s="100" t="str">
        <x:f>IF('Master'!AD541="","",'Master'!AD541)</x:f>
      </x:c>
      <x:c r="AD4" s="100" t="str">
        <x:f>IF('Master'!AE541="","",'Master'!AE541)</x:f>
      </x:c>
      <x:c r="AE4" s="100" t="str">
        <x:f>IF('Master'!AF541="","",'Master'!AF541)</x:f>
      </x:c>
      <x:c r="AF4" s="75" t="str">
        <x:f>IF('Master'!AG541="","",'Master'!AG541)</x:f>
      </x:c>
    </x:row>
    <x:row r="5" ht="36" customHeight="1">
      <x:c r="A5" s="135" t="str">
        <x:v>Anti-Spam &amp; Rate Limiting</x:v>
      </x:c>
      <x:c r="B5" s="100" t="str">
        <x:f>IF('Master'!C542="","",'Master'!C542)</x:f>
        <x:v>Yes — AutoMod spam filter, platform/API rate limits, verification levels, and slowmode</x:v>
      </x:c>
      <x:c r="C5" s="100" t="str">
        <x:f>IF('Master'!D542="","",'Master'!D542)</x:f>
      </x:c>
      <x:c r="D5" s="100" t="str">
        <x:f>IF('Master'!E542="","",'Master'!E542)</x:f>
        <x:v>Advanced anti-spam/rate controls</x:v>
      </x:c>
      <x:c r="E5" s="100" t="str">
        <x:f>IF('Master'!F542="","",'Master'!F542)</x:f>
      </x:c>
      <x:c r="F5" s="100" t="str">
        <x:f>IF('Master'!G542="","",'Master'!G542)</x:f>
        <x:v>Yes / planned native</x:v>
      </x:c>
      <x:c r="G5" s="100" t="str">
        <x:f>IF('Master'!H542="","",'Master'!H542)</x:f>
        <x:v>Rate limits + moderation tools</x:v>
      </x:c>
      <x:c r="H5" s="100" t="str">
        <x:f>IF('Master'!I542="","",'Master'!I542)</x:f>
      </x:c>
      <x:c r="I5" s="100" t="str">
        <x:f>IF('Master'!J542="","",'Master'!J542)</x:f>
      </x:c>
      <x:c r="J5" s="100" t="str">
        <x:f>IF('Master'!K542="","",'Master'!K542)</x:f>
      </x:c>
      <x:c r="K5" s="100" t="str">
        <x:f>IF('Master'!L542="","",'Master'!L542)</x:f>
        <x:v>Yes — API/gateway mutation rate limits and bounded report limits are documented</x:v>
      </x:c>
      <x:c r="L5" s="100" t="str">
        <x:f>IF('Master'!M542="","",'Master'!M542)</x:f>
      </x:c>
      <x:c r="M5" s="100" t="str">
        <x:f>IF('Master'!N542="","",'Master'!N542)</x:f>
      </x:c>
      <x:c r="N5" s="100" t="str">
        <x:f>IF('Master'!O542="","",'Master'!O542)</x:f>
        <x:v>Homeserver and bot-dependent</x:v>
      </x:c>
      <x:c r="O5" s="100" t="str">
        <x:f>IF('Master'!P542="","",'Master'!P542)</x:f>
        <x:v>Rate limits + admin controls</x:v>
      </x:c>
      <x:c r="P5" s="100" t="str">
        <x:f>IF('Master'!Q542="","",'Master'!Q542)</x:f>
      </x:c>
      <x:c r="Q5" s="100" t="str">
        <x:f>IF('Master'!R542="","",'Master'!R542)</x:f>
        <x:v>Server ACLs/rate controls</x:v>
      </x:c>
      <x:c r="R5" s="100" t="str">
        <x:f>IF('Master'!S542="","",'Master'!S542)</x:f>
      </x:c>
      <x:c r="S5" s="100" t="str">
        <x:f>IF('Master'!T542="","",'Master'!T542)</x:f>
      </x:c>
      <x:c r="T5" s="100" t="str">
        <x:f>IF('Master'!U542="","",'Master'!U542)</x:f>
        <x:v>Rate controls</x:v>
      </x:c>
      <x:c r="U5" s="100" t="str">
        <x:f>IF('Master'!V542="","",'Master'!V542)</x:f>
        <x:v>Yes — spam protection + slowmode</x:v>
      </x:c>
      <x:c r="V5" s="100" t="str">
        <x:f>IF('Master'!W542="","",'Master'!W542)</x:f>
        <x:v>Rate limiting + moderation</x:v>
      </x:c>
      <x:c r="W5" s="100" t="str">
        <x:f>IF('Master'!X542="","",'Master'!X542)</x:f>
      </x:c>
      <x:c r="X5" s="100" t="str">
        <x:f>IF('Master'!Y542="","",'Master'!Y542)</x:f>
        <x:v>Yes — spam rules</x:v>
      </x:c>
      <x:c r="Y5" s="100" t="str">
        <x:f>IF('Master'!Z542="","",'Master'!Z542)</x:f>
        <x:v>Configurable rate limiting</x:v>
      </x:c>
      <x:c r="Z5" s="100" t="str">
        <x:f>IF('Master'!AA542="","",'Master'!AA542)</x:f>
        <x:v>Rate limiting + moderation controls</x:v>
      </x:c>
      <x:c r="AA5" s="104" t="str">
        <x:f>IF('Master'!AB542="","",'Master'!AB542)</x:f>
        <x:v>Anti-spam/flood controls</x:v>
      </x:c>
      <x:c r="AB5" s="100" t="str">
        <x:f>IF('Master'!AC542="","",'Master'!AC542)</x:f>
        <x:v>Spam/raid tools</x:v>
      </x:c>
      <x:c r="AC5" s="100" t="str">
        <x:f>IF('Master'!AD542="","",'Master'!AD542)</x:f>
      </x:c>
      <x:c r="AD5" s="100" t="str">
        <x:f>IF('Master'!AE542="","",'Master'!AE542)</x:f>
      </x:c>
      <x:c r="AE5" s="100" t="str">
        <x:f>IF('Master'!AF542="","",'Master'!AF542)</x:f>
      </x:c>
      <x:c r="AF5" s="75" t="str">
        <x:f>IF('Master'!AG542="","",'Master'!AG542)</x:f>
        <x:v>Rate limiting/admin controls</x:v>
      </x:c>
    </x:row>
    <x:row r="6" ht="36" customHeight="1">
      <x:c r="A6" s="135" t="str">
        <x:v>Anti-Raid / Mass Join Mitigation</x:v>
      </x:c>
      <x:c r="B6" s="100" t="str">
        <x:f>IF('Master'!C543="","",'Master'!C543)</x:f>
        <x:v>Yes — Raid Protection uses ML signals and can require CAPTCHA; verification/security controls also available</x:v>
      </x:c>
      <x:c r="C6" s="100" t="str">
        <x:f>IF('Master'!D543="","",'Master'!D543)</x:f>
      </x:c>
      <x:c r="D6" s="100" t="str">
        <x:f>IF('Master'!E543="","",'Master'!E543)</x:f>
        <x:v>Federated ban-sharing planned</x:v>
      </x:c>
      <x:c r="E6" s="100" t="str">
        <x:f>IF('Master'!F543="","",'Master'!F543)</x:f>
      </x:c>
      <x:c r="F6" s="100" t="str">
        <x:f>IF('Master'!G543="","",'Master'!G543)</x:f>
      </x:c>
      <x:c r="G6" s="100" t="str">
        <x:f>IF('Master'!H543="","",'Master'!H543)</x:f>
      </x:c>
      <x:c r="H6" s="100" t="str">
        <x:f>IF('Master'!I543="","",'Master'!I543)</x:f>
      </x:c>
      <x:c r="I6" s="100" t="str">
        <x:f>IF('Master'!J543="","",'Master'!J543)</x:f>
      </x:c>
      <x:c r="J6" s="100" t="str">
        <x:f>IF('Master'!K543="","",'Master'!K543)</x:f>
      </x:c>
      <x:c r="K6" s="100" t="str">
        <x:f>IF('Master'!L543="","",'Master'!L543)</x:f>
        <x:v>Not fully documented</x:v>
      </x:c>
      <x:c r="L6" s="100" t="str">
        <x:f>IF('Master'!M543="","",'Master'!M543)</x:f>
      </x:c>
      <x:c r="M6" s="100" t="str">
        <x:f>IF('Master'!N543="","",'Master'!N543)</x:f>
      </x:c>
      <x:c r="N6" s="100" t="str">
        <x:f>IF('Master'!O543="","",'Master'!O543)</x:f>
        <x:v>Homeserver/operator-dependent</x:v>
      </x:c>
      <x:c r="O6" s="100" t="str">
        <x:f>IF('Master'!P543="","",'Master'!P543)</x:f>
      </x:c>
      <x:c r="P6" s="100" t="str">
        <x:f>IF('Master'!Q543="","",'Master'!Q543)</x:f>
      </x:c>
      <x:c r="Q6" s="100" t="str">
        <x:f>IF('Master'!R543="","",'Master'!R543)</x:f>
        <x:v>N/A</x:v>
      </x:c>
      <x:c r="R6" s="100" t="str">
        <x:f>IF('Master'!S543="","",'Master'!S543)</x:f>
      </x:c>
      <x:c r="S6" s="100" t="str">
        <x:f>IF('Master'!T543="","",'Master'!T543)</x:f>
      </x:c>
      <x:c r="T6" s="100" t="str">
        <x:f>IF('Master'!U543="","",'Master'!U543)</x:f>
      </x:c>
      <x:c r="U6" s="100" t="str">
        <x:f>IF('Master'!V543="","",'Master'!V543)</x:f>
        <x:v>Yes — join-spike detection, account-age gate, raid mode</x:v>
      </x:c>
      <x:c r="V6" s="100" t="str">
        <x:f>IF('Master'!W543="","",'Master'!W543)</x:f>
      </x:c>
      <x:c r="W6" s="100" t="str">
        <x:f>IF('Master'!X543="","",'Master'!X543)</x:f>
      </x:c>
      <x:c r="X6" s="100" t="str">
        <x:f>IF('Master'!Y543="","",'Master'!Y543)</x:f>
      </x:c>
      <x:c r="Y6" s="100" t="str">
        <x:f>IF('Master'!Z543="","",'Master'!Z543)</x:f>
      </x:c>
      <x:c r="Z6" s="100" t="str">
        <x:f>IF('Master'!AA543="","",'Master'!AA543)</x:f>
      </x:c>
      <x:c r="AA6" s="104" t="str">
        <x:f>IF('Master'!AB543="","",'Master'!AB543)</x:f>
      </x:c>
      <x:c r="AB6" s="100" t="str">
        <x:f>IF('Master'!AC543="","",'Master'!AC543)</x:f>
        <x:v>Automod raid protection</x:v>
      </x:c>
      <x:c r="AC6" s="100" t="str">
        <x:f>IF('Master'!AD543="","",'Master'!AD543)</x:f>
      </x:c>
      <x:c r="AD6" s="100" t="str">
        <x:f>IF('Master'!AE543="","",'Master'!AE543)</x:f>
      </x:c>
      <x:c r="AE6" s="100" t="str">
        <x:f>IF('Master'!AF543="","",'Master'!AF543)</x:f>
      </x:c>
      <x:c r="AF6" s="75" t="str">
        <x:f>IF('Master'!AG543="","",'Master'!AG543)</x:f>
      </x:c>
    </x:row>
    <x:row r="7" ht="36" customHeight="1">
      <x:c r="A7" s="135" t="str">
        <x:v>Audit Log Retention Period</x:v>
      </x:c>
      <x:c r="B7" s="100" t="str">
        <x:f>IF('Master'!C544="","",'Master'!C544)</x:f>
        <x:v>45 days</x:v>
      </x:c>
      <x:c r="C7" s="100" t="str">
        <x:f>IF('Master'!D544="","",'Master'!D544)</x:f>
      </x:c>
      <x:c r="D7" s="100" t="str">
        <x:f>IF('Master'!E544="","",'Master'!E544)</x:f>
        <x:v>Operator controlled</x:v>
      </x:c>
      <x:c r="E7" s="100" t="str">
        <x:f>IF('Master'!F544="","",'Master'!F544)</x:f>
      </x:c>
      <x:c r="F7" s="100" t="str">
        <x:f>IF('Master'!G544="","",'Master'!G544)</x:f>
      </x:c>
      <x:c r="G7" s="100" t="str">
        <x:f>IF('Master'!H544="","",'Master'!H544)</x:f>
      </x:c>
      <x:c r="H7" s="100" t="str">
        <x:f>IF('Master'!I544="","",'Master'!I544)</x:f>
      </x:c>
      <x:c r="I7" s="100" t="str">
        <x:f>IF('Master'!J544="","",'Master'!J544)</x:f>
      </x:c>
      <x:c r="J7" s="100" t="str">
        <x:f>IF('Master'!K544="","",'Master'!K544)</x:f>
      </x:c>
      <x:c r="K7" s="100" t="str">
        <x:f>IF('Master'!L544="","",'Master'!L544)</x:f>
        <x:v>Developer reports no audit-depth limit; public docs confirm audit records but do not publish a retention cap</x:v>
      </x:c>
      <x:c r="L7" s="100" t="str">
        <x:f>IF('Master'!M544="","",'Master'!M544)</x:f>
      </x:c>
      <x:c r="M7" s="100" t="str">
        <x:f>IF('Master'!N544="","",'Master'!N544)</x:f>
      </x:c>
      <x:c r="N7" s="100" t="str">
        <x:f>IF('Master'!O544="","",'Master'!O544)</x:f>
        <x:v>Homeserver-dependent</x:v>
      </x:c>
      <x:c r="O7" s="100" t="str">
        <x:f>IF('Master'!P544="","",'Master'!P544)</x:f>
        <x:v>Audit logs enterprise/deployment-dependent</x:v>
      </x:c>
      <x:c r="P7" s="100" t="str">
        <x:f>IF('Master'!Q544="","",'Master'!Q544)</x:f>
      </x:c>
      <x:c r="Q7" s="100" t="str">
        <x:f>IF('Master'!R544="","",'Master'!R544)</x:f>
        <x:v>Server logs operator-controlled</x:v>
      </x:c>
      <x:c r="R7" s="100" t="str">
        <x:f>IF('Master'!S544="","",'Master'!S544)</x:f>
      </x:c>
      <x:c r="S7" s="100" t="str">
        <x:f>IF('Master'!T544="","",'Master'!T544)</x:f>
      </x:c>
      <x:c r="T7" s="100" t="str">
        <x:f>IF('Master'!U544="","",'Master'!U544)</x:f>
        <x:v>Audit log exists; retention period not publicly claimed</x:v>
      </x:c>
      <x:c r="U7" s="100" t="str">
        <x:f>IF('Master'!V544="","",'Master'!V544)</x:f>
      </x:c>
      <x:c r="V7" s="100" t="str">
        <x:f>IF('Master'!W544="","",'Master'!W544)</x:f>
        <x:v>Audit logs enterprise/admin</x:v>
      </x:c>
      <x:c r="W7" s="100" t="str">
        <x:f>IF('Master'!X544="","",'Master'!X544)</x:f>
      </x:c>
      <x:c r="X7" s="100" t="str">
        <x:f>IF('Master'!Y544="","",'Master'!Y544)</x:f>
      </x:c>
      <x:c r="Y7" s="100" t="str">
        <x:f>IF('Master'!Z544="","",'Master'!Z544)</x:f>
      </x:c>
      <x:c r="Z7" s="100" t="str">
        <x:f>IF('Master'!AA544="","",'Master'!AA544)</x:f>
      </x:c>
      <x:c r="AA7" s="104" t="str">
        <x:f>IF('Master'!AB544="","",'Master'!AB544)</x:f>
        <x:v>Server logs/operator-controlled</x:v>
      </x:c>
      <x:c r="AB7" s="100" t="str">
        <x:f>IF('Master'!AC544="","",'Master'!AC544)</x:f>
      </x:c>
      <x:c r="AC7" s="100" t="str">
        <x:f>IF('Master'!AD544="","",'Master'!AD544)</x:f>
      </x:c>
      <x:c r="AD7" s="100" t="str">
        <x:f>IF('Master'!AE544="","",'Master'!AE544)</x:f>
      </x:c>
      <x:c r="AE7" s="100" t="str">
        <x:f>IF('Master'!AF544="","",'Master'!AF544)</x:f>
      </x:c>
      <x:c r="AF7" s="75" t="str">
        <x:f>IF('Master'!AG544="","",'Master'!AG544)</x:f>
        <x:v>Audit/admin logs deployment-dependent</x:v>
      </x:c>
    </x:row>
    <x:row r="8" ht="36" customHeight="1">
      <x:c r="A8" s="135" t="str">
        <x:v>Audit Log Granularity &amp; Filtering</x:v>
      </x:c>
      <x:c r="B8" s="100" t="str">
        <x:f>IF('Master'!C545="","",'Master'!C545)</x:f>
        <x:v>Granular administrative actions with actor/target/changes/reason; available in client and API</x:v>
      </x:c>
      <x:c r="C8" s="100" t="str">
        <x:f>IF('Master'!D545="","",'Master'!D545)</x:f>
      </x:c>
      <x:c r="D8" s="100" t="str">
        <x:f>IF('Master'!E545="","",'Master'!E545)</x:f>
        <x:v>Operator tools</x:v>
      </x:c>
      <x:c r="E8" s="100" t="str">
        <x:f>IF('Master'!F545="","",'Master'!F545)</x:f>
      </x:c>
      <x:c r="F8" s="100" t="str">
        <x:f>IF('Master'!G545="","",'Master'!G545)</x:f>
      </x:c>
      <x:c r="G8" s="100" t="str">
        <x:f>IF('Master'!H545="","",'Master'!H545)</x:f>
      </x:c>
      <x:c r="H8" s="100" t="str">
        <x:f>IF('Master'!I545="","",'Master'!I545)</x:f>
      </x:c>
      <x:c r="I8" s="100" t="str">
        <x:f>IF('Master'!J545="","",'Master'!J545)</x:f>
      </x:c>
      <x:c r="J8" s="100" t="str">
        <x:f>IF('Master'!K545="","",'Master'!K545)</x:f>
      </x:c>
      <x:c r="K8" s="100" t="str">
        <x:f>IF('Master'!L545="","",'Master'!L545)</x:f>
        <x:v>Yes — administration audit includes actor, action, target, safe metadata and timestamp</x:v>
      </x:c>
      <x:c r="L8" s="100" t="str">
        <x:f>IF('Master'!M545="","",'Master'!M545)</x:f>
      </x:c>
      <x:c r="M8" s="100" t="str">
        <x:f>IF('Master'!N545="","",'Master'!N545)</x:f>
      </x:c>
      <x:c r="N8" s="100" t="str">
        <x:f>IF('Master'!O545="","",'Master'!O545)</x:f>
        <x:v>Homeserver-dependent</x:v>
      </x:c>
      <x:c r="O8" s="100" t="str">
        <x:f>IF('Master'!P545="","",'Master'!P545)</x:f>
        <x:v>Detailed audit/compliance tooling</x:v>
      </x:c>
      <x:c r="P8" s="100" t="str">
        <x:f>IF('Master'!Q545="","",'Master'!Q545)</x:f>
      </x:c>
      <x:c r="Q8" s="100" t="str">
        <x:f>IF('Master'!R545="","",'Master'!R545)</x:f>
        <x:v>ACL/log tools</x:v>
      </x:c>
      <x:c r="R8" s="100" t="str">
        <x:f>IF('Master'!S545="","",'Master'!S545)</x:f>
      </x:c>
      <x:c r="S8" s="100" t="str">
        <x:f>IF('Master'!T545="","",'Master'!T545)</x:f>
      </x:c>
      <x:c r="T8" s="100" t="str">
        <x:f>IF('Master'!U545="","",'Master'!U545)</x:f>
        <x:v>Audit log exists; detailed filtering/granularity not stated</x:v>
      </x:c>
      <x:c r="U8" s="100" t="str">
        <x:f>IF('Master'!V545="","",'Master'!V545)</x:f>
        <x:v>Yes — searchable mod feed by user/date/action</x:v>
      </x:c>
      <x:c r="V8" s="100" t="str">
        <x:f>IF('Master'!W545="","",'Master'!W545)</x:f>
        <x:v>Detailed enterprise audit tools</x:v>
      </x:c>
      <x:c r="W8" s="100" t="str">
        <x:f>IF('Master'!X545="","",'Master'!X545)</x:f>
      </x:c>
      <x:c r="X8" s="100" t="str">
        <x:f>IF('Master'!Y545="","",'Master'!Y545)</x:f>
      </x:c>
      <x:c r="Y8" s="100" t="str">
        <x:f>IF('Master'!Z545="","",'Master'!Z545)</x:f>
      </x:c>
      <x:c r="Z8" s="100" t="str">
        <x:f>IF('Master'!AA545="","",'Master'!AA545)</x:f>
      </x:c>
      <x:c r="AA8" s="104" t="str">
        <x:f>IF('Master'!AB545="","",'Master'!AB545)</x:f>
        <x:v>Detailed permissions/logging</x:v>
      </x:c>
      <x:c r="AB8" s="100" t="str">
        <x:f>IF('Master'!AC545="","",'Master'!AC545)</x:f>
        <x:v>Moderation tooling</x:v>
      </x:c>
      <x:c r="AC8" s="100" t="str">
        <x:f>IF('Master'!AD545="","",'Master'!AD545)</x:f>
      </x:c>
      <x:c r="AD8" s="100" t="str">
        <x:f>IF('Master'!AE545="","",'Master'!AE545)</x:f>
      </x:c>
      <x:c r="AE8" s="100" t="str">
        <x:f>IF('Master'!AF545="","",'Master'!AF545)</x:f>
      </x:c>
      <x:c r="AF8" s="75" t="str">
        <x:f>IF('Master'!AG545="","",'Master'!AG545)</x:f>
        <x:v>Admin tooling</x:v>
      </x:c>
    </x:row>
    <x:row r="9" ht="36" customHeight="1">
      <x:c r="A9" s="135" t="str">
        <x:v>New Member Screening / Gate</x:v>
      </x:c>
      <x:c r="B9" s="100" t="str">
        <x:f>IF('Master'!C546="","",'Master'!C546)</x:f>
        <x:v>Yes — Rules Screening + verification levels; Server Member Applications are available/rolling out</x:v>
      </x:c>
      <x:c r="C9" s="100" t="str">
        <x:f>IF('Master'!D546="","",'Master'!D546)</x:f>
      </x:c>
      <x:c r="D9" s="100" t="str">
        <x:f>IF('Master'!E546="","",'Master'!E546)</x:f>
        <x:v>Instance controls</x:v>
      </x:c>
      <x:c r="E9" s="100" t="str">
        <x:f>IF('Master'!F546="","",'Master'!F546)</x:f>
      </x:c>
      <x:c r="F9" s="100" t="str">
        <x:f>IF('Master'!G546="","",'Master'!G546)</x:f>
      </x:c>
      <x:c r="G9" s="100" t="str">
        <x:f>IF('Master'!H546="","",'Master'!H546)</x:f>
      </x:c>
      <x:c r="H9" s="100" t="str">
        <x:f>IF('Master'!I546="","",'Master'!I546)</x:f>
      </x:c>
      <x:c r="I9" s="100" t="str">
        <x:f>IF('Master'!J546="","",'Master'!J546)</x:f>
      </x:c>
      <x:c r="J9" s="100" t="str">
        <x:f>IF('Master'!K546="","",'Master'!K546)</x:f>
      </x:c>
      <x:c r="K9" s="100" t="str">
        <x:f>IF('Master'!L546="","",'Master'!L546)</x:f>
      </x:c>
      <x:c r="L9" s="100" t="str">
        <x:f>IF('Master'!M546="","",'Master'!M546)</x:f>
      </x:c>
      <x:c r="M9" s="100" t="str">
        <x:f>IF('Master'!N546="","",'Master'!N546)</x:f>
      </x:c>
      <x:c r="N9" s="100" t="str">
        <x:f>IF('Master'!O546="","",'Master'!O546)</x:f>
        <x:v>Client/server-dependent</x:v>
      </x:c>
      <x:c r="O9" s="100" t="str">
        <x:f>IF('Master'!P546="","",'Master'!P546)</x:f>
        <x:v>Invite/SSO/admin restrictions</x:v>
      </x:c>
      <x:c r="P9" s="100" t="str">
        <x:f>IF('Master'!Q546="","",'Master'!Q546)</x:f>
      </x:c>
      <x:c r="Q9" s="100" t="str">
        <x:f>IF('Master'!R546="","",'Master'!R546)</x:f>
        <x:v>Password/cert/ACL gates</x:v>
      </x:c>
      <x:c r="R9" s="100" t="str">
        <x:f>IF('Master'!S546="","",'Master'!S546)</x:f>
      </x:c>
      <x:c r="S9" s="100" t="str">
        <x:f>IF('Master'!T546="","",'Master'!T546)</x:f>
      </x:c>
      <x:c r="T9" s="100" t="str">
        <x:f>IF('Master'!U546="","",'Master'!U546)</x:f>
      </x:c>
      <x:c r="U9" s="100" t="str">
        <x:f>IF('Master'!V546="","",'Master'!V546)</x:f>
      </x:c>
      <x:c r="V9" s="100" t="str">
        <x:f>IF('Master'!W546="","",'Master'!W546)</x:f>
        <x:v>Invite/SSO/approval options</x:v>
      </x:c>
      <x:c r="W9" s="100" t="str">
        <x:f>IF('Master'!X546="","",'Master'!X546)</x:f>
      </x:c>
      <x:c r="X9" s="100" t="str">
        <x:f>IF('Master'!Y546="","",'Master'!Y546)</x:f>
      </x:c>
      <x:c r="Y9" s="100" t="str">
        <x:f>IF('Master'!Z546="","",'Master'!Z546)</x:f>
      </x:c>
      <x:c r="Z9" s="100" t="str">
        <x:f>IF('Master'!AA546="","",'Master'!AA546)</x:f>
      </x:c>
      <x:c r="AA9" s="104" t="str">
        <x:f>IF('Master'!AB546="","",'Master'!AB546)</x:f>
        <x:v>Password/permissions</x:v>
      </x:c>
      <x:c r="AB9" s="100" t="str">
        <x:f>IF('Master'!AC546="","",'Master'!AC546)</x:f>
      </x:c>
      <x:c r="AC9" s="100" t="str">
        <x:f>IF('Master'!AD546="","",'Master'!AD546)</x:f>
      </x:c>
      <x:c r="AD9" s="100" t="str">
        <x:f>IF('Master'!AE546="","",'Master'!AE546)</x:f>
      </x:c>
      <x:c r="AE9" s="100" t="str">
        <x:f>IF('Master'!AF546="","",'Master'!AF546)</x:f>
      </x:c>
      <x:c r="AF9" s="75" t="str">
        <x:f>IF('Master'!AG546="","",'Master'!AG546)</x:f>
        <x:v>Invite/SSO/domain controls</x:v>
      </x:c>
    </x:row>
    <x:row r="10" ht="36" customHeight="1">
      <x:c r="A10" s="135" t="str">
        <x:v>Report Management Queue &amp; Mod Dashboard</x:v>
      </x:c>
      <x:c r="B10" s="100" t="str">
        <x:f>IF('Master'!C547="","",'Master'!C547)</x:f>
      </x:c>
      <x:c r="C10" s="100" t="str">
        <x:f>IF('Master'!D547="","",'Master'!D547)</x:f>
      </x:c>
      <x:c r="D10" s="100" t="str">
        <x:f>IF('Master'!E547="","",'Master'!E547)</x:f>
        <x:v>Operator responsibility</x:v>
      </x:c>
      <x:c r="E10" s="100" t="str">
        <x:f>IF('Master'!F547="","",'Master'!F547)</x:f>
      </x:c>
      <x:c r="F10" s="100" t="str">
        <x:f>IF('Master'!G547="","",'Master'!G547)</x:f>
        <x:v>Native moderation controls</x:v>
      </x:c>
      <x:c r="G10" s="100" t="str">
        <x:f>IF('Master'!H547="","",'Master'!H547)</x:f>
      </x:c>
      <x:c r="H10" s="100" t="str">
        <x:f>IF('Master'!I547="","",'Master'!I547)</x:f>
      </x:c>
      <x:c r="I10" s="100" t="str">
        <x:f>IF('Master'!J547="","",'Master'!J547)</x:f>
      </x:c>
      <x:c r="J10" s="100" t="str">
        <x:f>IF('Master'!K547="","",'Master'!K547)</x:f>
      </x:c>
      <x:c r="K10" s="100" t="str">
        <x:f>IF('Master'!L547="","",'Master'!L547)</x:f>
        <x:v>Yes — instance Trust &amp; Safety report queue with triage/review/request-info/action/no-action/duplicate/reopen workflow</x:v>
      </x:c>
      <x:c r="L10" s="100" t="str">
        <x:f>IF('Master'!M547="","",'Master'!M547)</x:f>
      </x:c>
      <x:c r="M10" s="100" t="str">
        <x:f>IF('Master'!N547="","",'Master'!N547)</x:f>
      </x:c>
      <x:c r="N10" s="100" t="str">
        <x:f>IF('Master'!O547="","",'Master'!O547)</x:f>
        <x:v>Client/server-dependent</x:v>
      </x:c>
      <x:c r="O10" s="100" t="str">
        <x:f>IF('Master'!P547="","",'Master'!P547)</x:f>
        <x:v>Admin console</x:v>
      </x:c>
      <x:c r="P10" s="100" t="str">
        <x:f>IF('Master'!Q547="","",'Master'!Q547)</x:f>
      </x:c>
      <x:c r="Q10" s="100" t="str">
        <x:f>IF('Master'!R547="","",'Master'!R547)</x:f>
        <x:v>Admin tools</x:v>
      </x:c>
      <x:c r="R10" s="100" t="str">
        <x:f>IF('Master'!S547="","",'Master'!S547)</x:f>
      </x:c>
      <x:c r="S10" s="100" t="str">
        <x:f>IF('Master'!T547="","",'Master'!T547)</x:f>
      </x:c>
      <x:c r="T10" s="100" t="str">
        <x:f>IF('Master'!U547="","",'Master'!U547)</x:f>
        <x:v>Reports in-app</x:v>
      </x:c>
      <x:c r="U10" s="100" t="str">
        <x:f>IF('Master'!V547="","",'Master'!V547)</x:f>
        <x:v>Yes — structured reports + Shard Command Center</x:v>
      </x:c>
      <x:c r="V10" s="100" t="str">
        <x:f>IF('Master'!W547="","",'Master'!W547)</x:f>
        <x:v>Admin console</x:v>
      </x:c>
      <x:c r="W10" s="100" t="str">
        <x:f>IF('Master'!X547="","",'Master'!X547)</x:f>
      </x:c>
      <x:c r="X10" s="100" t="str">
        <x:f>IF('Master'!Y547="","",'Master'!Y547)</x:f>
        <x:v>Moderation App dashboards/analytics</x:v>
      </x:c>
      <x:c r="Y10" s="100" t="str">
        <x:f>IF('Master'!Z547="","",'Master'!Z547)</x:f>
      </x:c>
      <x:c r="Z10" s="100" t="str">
        <x:f>IF('Master'!AA547="","",'Master'!AA547)</x:f>
      </x:c>
      <x:c r="AA10" s="104" t="str">
        <x:f>IF('Master'!AB547="","",'Master'!AB547)</x:f>
        <x:v>Admin tools</x:v>
      </x:c>
      <x:c r="AB10" s="100" t="str">
        <x:f>IF('Master'!AC547="","",'Master'!AC547)</x:f>
        <x:v>Admin/mod tools</x:v>
      </x:c>
      <x:c r="AC10" s="100" t="str">
        <x:f>IF('Master'!AD547="","",'Master'!AD547)</x:f>
      </x:c>
      <x:c r="AD10" s="100" t="str">
        <x:f>IF('Master'!AE547="","",'Master'!AE547)</x:f>
      </x:c>
      <x:c r="AE10" s="100" t="str">
        <x:f>IF('Master'!AF547="","",'Master'!AF547)</x:f>
      </x:c>
      <x:c r="AF10" s="75" t="str">
        <x:f>IF('Master'!AG547="","",'Master'!AG547)</x:f>
        <x:v>Admin UI</x:v>
      </x:c>
    </x:row>
    <x:row r="11" ht="23.100000381469727" customHeight="1">
      <x:c r="A11" s="135" t="str">
        <x:v>Moderator Workflow &amp; Enforcement</x:v>
      </x:c>
      <x:c r="B11" s="102" t="str">
        <x:f>IF('Master'!C548="","",'Master'!C548)</x:f>
      </x:c>
      <x:c r="C11" s="102" t="str">
        <x:f>IF('Master'!D548="","",'Master'!D548)</x:f>
      </x:c>
      <x:c r="D11" s="102" t="str">
        <x:f>IF('Master'!E548="","",'Master'!E548)</x:f>
      </x:c>
      <x:c r="E11" s="102" t="str">
        <x:f>IF('Master'!F548="","",'Master'!F548)</x:f>
      </x:c>
      <x:c r="F11" s="102" t="str">
        <x:f>IF('Master'!G548="","",'Master'!G548)</x:f>
      </x:c>
      <x:c r="G11" s="102" t="str">
        <x:f>IF('Master'!H548="","",'Master'!H548)</x:f>
      </x:c>
      <x:c r="H11" s="102" t="str">
        <x:f>IF('Master'!I548="","",'Master'!I548)</x:f>
      </x:c>
      <x:c r="I11" s="102" t="str">
        <x:f>IF('Master'!J548="","",'Master'!J548)</x:f>
      </x:c>
      <x:c r="J11" s="102" t="str">
        <x:f>IF('Master'!K548="","",'Master'!K548)</x:f>
      </x:c>
      <x:c r="K11" s="102" t="str">
        <x:f>IF('Master'!L548="","",'Master'!L548)</x:f>
        <x:v>Yes — instance Trust &amp; Safety report queue with triage/review/request-info/action/no-action/duplicate/reopen workflow</x:v>
      </x:c>
      <x:c r="L11" s="102" t="str">
        <x:f>IF('Master'!M548="","",'Master'!M548)</x:f>
      </x:c>
      <x:c r="M11" s="102" t="str">
        <x:f>IF('Master'!N548="","",'Master'!N548)</x:f>
      </x:c>
      <x:c r="N11" s="102" t="str">
        <x:f>IF('Master'!O548="","",'Master'!O548)</x:f>
      </x:c>
      <x:c r="O11" s="102" t="str">
        <x:f>IF('Master'!P548="","",'Master'!P548)</x:f>
      </x:c>
      <x:c r="P11" s="102" t="str">
        <x:f>IF('Master'!Q548="","",'Master'!Q548)</x:f>
      </x:c>
      <x:c r="Q11" s="102" t="str">
        <x:f>IF('Master'!R548="","",'Master'!R548)</x:f>
      </x:c>
      <x:c r="R11" s="102" t="str">
        <x:f>IF('Master'!S548="","",'Master'!S548)</x:f>
      </x:c>
      <x:c r="S11" s="102" t="str">
        <x:f>IF('Master'!T548="","",'Master'!T548)</x:f>
      </x:c>
      <x:c r="T11" s="102" t="str">
        <x:f>IF('Master'!U548="","",'Master'!U548)</x:f>
      </x:c>
      <x:c r="U11" s="102" t="str">
        <x:f>IF('Master'!V548="","",'Master'!V548)</x:f>
      </x:c>
      <x:c r="V11" s="102" t="str">
        <x:f>IF('Master'!W548="","",'Master'!W548)</x:f>
      </x:c>
      <x:c r="W11" s="102" t="str">
        <x:f>IF('Master'!X548="","",'Master'!X548)</x:f>
      </x:c>
      <x:c r="X11" s="102" t="str">
        <x:f>IF('Master'!Y548="","",'Master'!Y548)</x:f>
      </x:c>
      <x:c r="Y11" s="102" t="str">
        <x:f>IF('Master'!Z548="","",'Master'!Z548)</x:f>
      </x:c>
      <x:c r="Z11" s="102" t="str">
        <x:f>IF('Master'!AA548="","",'Master'!AA548)</x:f>
      </x:c>
      <x:c r="AA11" s="103" t="str">
        <x:f>IF('Master'!AB548="","",'Master'!AB548)</x:f>
      </x:c>
      <x:c r="AB11" s="102" t="str">
        <x:f>IF('Master'!AC548="","",'Master'!AC548)</x:f>
      </x:c>
      <x:c r="AC11" s="102" t="str">
        <x:f>IF('Master'!AD548="","",'Master'!AD548)</x:f>
      </x:c>
      <x:c r="AD11" s="102" t="str">
        <x:f>IF('Master'!AE548="","",'Master'!AE548)</x:f>
      </x:c>
      <x:c r="AE11" s="102" t="str">
        <x:f>IF('Master'!AF548="","",'Master'!AF548)</x:f>
      </x:c>
      <x:c r="AF11" s="75" t="str">
        <x:f>IF('Master'!AG548="","",'Master'!AG548)</x:f>
      </x:c>
    </x:row>
    <x:row r="12" ht="36" customHeight="1">
      <x:c r="A12" s="135" t="str">
        <x:v>Slowmode?</x:v>
      </x:c>
      <x:c r="B12" s="100" t="str">
        <x:f>IF('Master'!C556="","",'Master'!C556)</x:f>
        <x:v>Yes</x:v>
      </x:c>
      <x:c r="C12" s="100" t="str">
        <x:f>IF('Master'!D556="","",'Master'!D556)</x:f>
      </x:c>
      <x:c r="D12" s="100" t="str">
        <x:f>IF('Master'!E556="","",'Master'!E556)</x:f>
      </x:c>
      <x:c r="E12" s="100" t="str">
        <x:f>IF('Master'!F556="","",'Master'!F556)</x:f>
      </x:c>
      <x:c r="F12" s="100" t="str">
        <x:f>IF('Master'!G556="","",'Master'!G556)</x:f>
      </x:c>
      <x:c r="G12" s="100" t="str">
        <x:f>IF('Master'!H556="","",'Master'!H556)</x:f>
      </x:c>
      <x:c r="H12" s="100" t="str">
        <x:f>IF('Master'!I556="","",'Master'!I556)</x:f>
      </x:c>
      <x:c r="I12" s="100" t="str">
        <x:f>IF('Master'!J556="","",'Master'!J556)</x:f>
      </x:c>
      <x:c r="J12" s="100" t="str">
        <x:f>IF('Master'!K556="","",'Master'!K556)</x:f>
      </x:c>
      <x:c r="K12" s="100" t="str">
        <x:f>IF('Master'!L556="","",'Master'!L556)</x:f>
        <x:v>Not documented</x:v>
      </x:c>
      <x:c r="L12" s="100" t="str">
        <x:f>IF('Master'!M556="","",'Master'!M556)</x:f>
      </x:c>
      <x:c r="M12" s="100" t="str">
        <x:f>IF('Master'!N556="","",'Master'!N556)</x:f>
      </x:c>
      <x:c r="N12" s="100" t="str">
        <x:f>IF('Master'!O556="","",'Master'!O556)</x:f>
      </x:c>
      <x:c r="O12" s="100" t="str">
        <x:f>IF('Master'!P556="","",'Master'!P556)</x:f>
      </x:c>
      <x:c r="P12" s="100" t="str">
        <x:f>IF('Master'!Q556="","",'Master'!Q556)</x:f>
      </x:c>
      <x:c r="Q12" s="100" t="str">
        <x:f>IF('Master'!R556="","",'Master'!R556)</x:f>
      </x:c>
      <x:c r="R12" s="100" t="str">
        <x:f>IF('Master'!S556="","",'Master'!S556)</x:f>
      </x:c>
      <x:c r="S12" s="100" t="str">
        <x:f>IF('Master'!T556="","",'Master'!T556)</x:f>
      </x:c>
      <x:c r="T12" s="100" t="str">
        <x:f>IF('Master'!U556="","",'Master'!U556)</x:f>
      </x:c>
      <x:c r="U12" s="100" t="str">
        <x:f>IF('Master'!V556="","",'Master'!V556)</x:f>
        <x:v>Yes</x:v>
      </x:c>
      <x:c r="V12" s="100" t="str">
        <x:f>IF('Master'!W556="","",'Master'!W556)</x:f>
      </x:c>
      <x:c r="W12" s="100" t="str">
        <x:f>IF('Master'!X556="","",'Master'!X556)</x:f>
      </x:c>
      <x:c r="X12" s="100" t="str">
        <x:f>IF('Master'!Y556="","",'Master'!Y556)</x:f>
      </x:c>
      <x:c r="Y12" s="100" t="str">
        <x:f>IF('Master'!Z556="","",'Master'!Z556)</x:f>
      </x:c>
      <x:c r="Z12" s="100" t="str">
        <x:f>IF('Master'!AA556="","",'Master'!AA556)</x:f>
      </x:c>
      <x:c r="AA12" s="104" t="str">
        <x:f>IF('Master'!AB556="","",'Master'!AB556)</x:f>
      </x:c>
      <x:c r="AB12" s="100" t="str">
        <x:f>IF('Master'!AC556="","",'Master'!AC556)</x:f>
      </x:c>
      <x:c r="AC12" s="100" t="str">
        <x:f>IF('Master'!AD556="","",'Master'!AD556)</x:f>
      </x:c>
      <x:c r="AD12" s="100" t="str">
        <x:f>IF('Master'!AE556="","",'Master'!AE556)</x:f>
      </x:c>
      <x:c r="AE12" s="100" t="str">
        <x:f>IF('Master'!AF556="","",'Master'!AF556)</x:f>
      </x:c>
      <x:c r="AF12" s="75" t="str">
        <x:f>IF('Master'!AG556="","",'Master'!AG556)</x:f>
      </x:c>
    </x:row>
    <x:row r="13" ht="36" customHeight="1">
      <x:c r="A13" s="135" t="str">
        <x:v>Mention Spam Protection?</x:v>
      </x:c>
      <x:c r="B13" s="100" t="str">
        <x:f>IF('Master'!C553="","",'Master'!C553)</x:f>
        <x:v>Yes / included in anti-spam</x:v>
      </x:c>
      <x:c r="C13" s="100" t="str">
        <x:f>IF('Master'!D553="","",'Master'!D553)</x:f>
      </x:c>
      <x:c r="D13" s="100" t="str">
        <x:f>IF('Master'!E553="","",'Master'!E553)</x:f>
        <x:v>Yes / included in anti-spam</x:v>
      </x:c>
      <x:c r="E13" s="100" t="str">
        <x:f>IF('Master'!F553="","",'Master'!F553)</x:f>
      </x:c>
      <x:c r="F13" s="100" t="str">
        <x:f>IF('Master'!G553="","",'Master'!G553)</x:f>
      </x:c>
      <x:c r="G13" s="100" t="str">
        <x:f>IF('Master'!H553="","",'Master'!H553)</x:f>
      </x:c>
      <x:c r="H13" s="100" t="str">
        <x:f>IF('Master'!I553="","",'Master'!I553)</x:f>
      </x:c>
      <x:c r="I13" s="100" t="str">
        <x:f>IF('Master'!J553="","",'Master'!J553)</x:f>
      </x:c>
      <x:c r="J13" s="100" t="str">
        <x:f>IF('Master'!K553="","",'Master'!K553)</x:f>
      </x:c>
      <x:c r="K13" s="100" t="str">
        <x:f>IF('Master'!L553="","",'Master'!L553)</x:f>
        <x:v>AutoMod exists, but exact keyword/regex rule types were not fully documented in reviewed public docs</x:v>
      </x:c>
      <x:c r="L13" s="100" t="str">
        <x:f>IF('Master'!M553="","",'Master'!M553)</x:f>
      </x:c>
      <x:c r="M13" s="100" t="str">
        <x:f>IF('Master'!N553="","",'Master'!N553)</x:f>
      </x:c>
      <x:c r="N13" s="100" t="str">
        <x:f>IF('Master'!O553="","",'Master'!O553)</x:f>
      </x:c>
      <x:c r="O13" s="100" t="str">
        <x:f>IF('Master'!P553="","",'Master'!P553)</x:f>
      </x:c>
      <x:c r="P13" s="100" t="str">
        <x:f>IF('Master'!Q553="","",'Master'!Q553)</x:f>
      </x:c>
      <x:c r="Q13" s="100" t="str">
        <x:f>IF('Master'!R553="","",'Master'!R553)</x:f>
      </x:c>
      <x:c r="R13" s="100" t="str">
        <x:f>IF('Master'!S553="","",'Master'!S553)</x:f>
      </x:c>
      <x:c r="S13" s="100" t="str">
        <x:f>IF('Master'!T553="","",'Master'!T553)</x:f>
      </x:c>
      <x:c r="T13" s="100" t="str">
        <x:f>IF('Master'!U553="","",'Master'!U553)</x:f>
      </x:c>
      <x:c r="U13" s="100" t="str">
        <x:f>IF('Master'!V553="","",'Master'!V553)</x:f>
        <x:v>Yes</x:v>
      </x:c>
      <x:c r="V13" s="100" t="str">
        <x:f>IF('Master'!W553="","",'Master'!W553)</x:f>
      </x:c>
      <x:c r="W13" s="100" t="str">
        <x:f>IF('Master'!X553="","",'Master'!X553)</x:f>
      </x:c>
      <x:c r="X13" s="100" t="str">
        <x:f>IF('Master'!Y553="","",'Master'!Y553)</x:f>
        <x:v>Yes / included in anti-spam</x:v>
      </x:c>
      <x:c r="Y13" s="100" t="str">
        <x:f>IF('Master'!Z553="","",'Master'!Z553)</x:f>
      </x:c>
      <x:c r="Z13" s="100" t="str">
        <x:f>IF('Master'!AA553="","",'Master'!AA553)</x:f>
      </x:c>
      <x:c r="AA13" s="104" t="str">
        <x:f>IF('Master'!AB553="","",'Master'!AB553)</x:f>
        <x:v>Yes / included in anti-spam</x:v>
      </x:c>
      <x:c r="AB13" s="100" t="str">
        <x:f>IF('Master'!AC553="","",'Master'!AC553)</x:f>
        <x:v>Yes / included in anti-spam</x:v>
      </x:c>
      <x:c r="AC13" s="100" t="str">
        <x:f>IF('Master'!AD553="","",'Master'!AD553)</x:f>
      </x:c>
      <x:c r="AD13" s="100" t="str">
        <x:f>IF('Master'!AE553="","",'Master'!AE553)</x:f>
      </x:c>
      <x:c r="AE13" s="100" t="str">
        <x:f>IF('Master'!AF553="","",'Master'!AF553)</x:f>
      </x:c>
      <x:c r="AF13" s="75" t="str">
        <x:f>IF('Master'!AG553="","",'Master'!AG553)</x:f>
      </x:c>
    </x:row>
    <x:row r="14" ht="36" customHeight="1">
      <x:c r="A14" s="135" t="str">
        <x:v>Verification Levels?</x:v>
      </x:c>
      <x:c r="B14" s="100" t="str">
        <x:f>IF('Master'!C560="","",'Master'!C560)</x:f>
        <x:v>Yes</x:v>
      </x:c>
      <x:c r="C14" s="100" t="str">
        <x:f>IF('Master'!D560="","",'Master'!D560)</x:f>
      </x:c>
      <x:c r="D14" s="100" t="str">
        <x:f>IF('Master'!E560="","",'Master'!E560)</x:f>
      </x:c>
      <x:c r="E14" s="100" t="str">
        <x:f>IF('Master'!F560="","",'Master'!F560)</x:f>
      </x:c>
      <x:c r="F14" s="100" t="str">
        <x:f>IF('Master'!G560="","",'Master'!G560)</x:f>
      </x:c>
      <x:c r="G14" s="100" t="str">
        <x:f>IF('Master'!H560="","",'Master'!H560)</x:f>
      </x:c>
      <x:c r="H14" s="100" t="str">
        <x:f>IF('Master'!I560="","",'Master'!I560)</x:f>
      </x:c>
      <x:c r="I14" s="100" t="str">
        <x:f>IF('Master'!J560="","",'Master'!J560)</x:f>
      </x:c>
      <x:c r="J14" s="100" t="str">
        <x:f>IF('Master'!K560="","",'Master'!K560)</x:f>
      </x:c>
      <x:c r="K14" s="100" t="str">
        <x:f>IF('Master'!L560="","",'Master'!L560)</x:f>
        <x:v>Not documented</x:v>
      </x:c>
      <x:c r="L14" s="100" t="str">
        <x:f>IF('Master'!M560="","",'Master'!M560)</x:f>
      </x:c>
      <x:c r="M14" s="100" t="str">
        <x:f>IF('Master'!N560="","",'Master'!N560)</x:f>
      </x:c>
      <x:c r="N14" s="100" t="str">
        <x:f>IF('Master'!O560="","",'Master'!O560)</x:f>
      </x:c>
      <x:c r="O14" s="100" t="str">
        <x:f>IF('Master'!P560="","",'Master'!P560)</x:f>
      </x:c>
      <x:c r="P14" s="100" t="str">
        <x:f>IF('Master'!Q560="","",'Master'!Q560)</x:f>
      </x:c>
      <x:c r="Q14" s="100" t="str">
        <x:f>IF('Master'!R560="","",'Master'!R560)</x:f>
      </x:c>
      <x:c r="R14" s="100" t="str">
        <x:f>IF('Master'!S560="","",'Master'!S560)</x:f>
      </x:c>
      <x:c r="S14" s="100" t="str">
        <x:f>IF('Master'!T560="","",'Master'!T560)</x:f>
      </x:c>
      <x:c r="T14" s="100" t="str">
        <x:f>IF('Master'!U560="","",'Master'!U560)</x:f>
      </x:c>
      <x:c r="U14" s="100" t="str">
        <x:f>IF('Master'!V560="","",'Master'!V560)</x:f>
      </x:c>
      <x:c r="V14" s="100" t="str">
        <x:f>IF('Master'!W560="","",'Master'!W560)</x:f>
      </x:c>
      <x:c r="W14" s="100" t="str">
        <x:f>IF('Master'!X560="","",'Master'!X560)</x:f>
      </x:c>
      <x:c r="X14" s="100" t="str">
        <x:f>IF('Master'!Y560="","",'Master'!Y560)</x:f>
      </x:c>
      <x:c r="Y14" s="100" t="str">
        <x:f>IF('Master'!Z560="","",'Master'!Z560)</x:f>
      </x:c>
      <x:c r="Z14" s="100" t="str">
        <x:f>IF('Master'!AA560="","",'Master'!AA560)</x:f>
      </x:c>
      <x:c r="AA14" s="104" t="str">
        <x:f>IF('Master'!AB560="","",'Master'!AB560)</x:f>
      </x:c>
      <x:c r="AB14" s="100" t="str">
        <x:f>IF('Master'!AC560="","",'Master'!AC560)</x:f>
      </x:c>
      <x:c r="AC14" s="100" t="str">
        <x:f>IF('Master'!AD560="","",'Master'!AD560)</x:f>
      </x:c>
      <x:c r="AD14" s="100" t="str">
        <x:f>IF('Master'!AE560="","",'Master'!AE560)</x:f>
      </x:c>
      <x:c r="AE14" s="100" t="str">
        <x:f>IF('Master'!AF560="","",'Master'!AF560)</x:f>
      </x:c>
      <x:c r="AF14" s="75" t="str">
        <x:f>IF('Master'!AG560="","",'Master'!AG560)</x:f>
      </x:c>
    </x:row>
    <x:row r="15" ht="36" customHeight="1">
      <x:c r="A15" s="135" t="str">
        <x:v>Rules Screening?</x:v>
      </x:c>
      <x:c r="B15" s="100" t="str">
        <x:f>IF('Master'!C561="","",'Master'!C561)</x:f>
        <x:v>Yes — Rules Screening + verification levels; Server Member Applications are available/rolling out</x:v>
      </x:c>
      <x:c r="C15" s="100" t="str">
        <x:f>IF('Master'!D561="","",'Master'!D561)</x:f>
      </x:c>
      <x:c r="D15" s="100" t="str">
        <x:f>IF('Master'!E561="","",'Master'!E561)</x:f>
        <x:v>Instance controls</x:v>
      </x:c>
      <x:c r="E15" s="100" t="str">
        <x:f>IF('Master'!F561="","",'Master'!F561)</x:f>
      </x:c>
      <x:c r="F15" s="100" t="str">
        <x:f>IF('Master'!G561="","",'Master'!G561)</x:f>
      </x:c>
      <x:c r="G15" s="100" t="str">
        <x:f>IF('Master'!H561="","",'Master'!H561)</x:f>
      </x:c>
      <x:c r="H15" s="100" t="str">
        <x:f>IF('Master'!I561="","",'Master'!I561)</x:f>
      </x:c>
      <x:c r="I15" s="100" t="str">
        <x:f>IF('Master'!J561="","",'Master'!J561)</x:f>
      </x:c>
      <x:c r="J15" s="100" t="str">
        <x:f>IF('Master'!K561="","",'Master'!K561)</x:f>
      </x:c>
      <x:c r="K15" s="100" t="str">
        <x:f>IF('Master'!L561="","",'Master'!L561)</x:f>
        <x:v>Not documented</x:v>
      </x:c>
      <x:c r="L15" s="100" t="str">
        <x:f>IF('Master'!M561="","",'Master'!M561)</x:f>
      </x:c>
      <x:c r="M15" s="100" t="str">
        <x:f>IF('Master'!N561="","",'Master'!N561)</x:f>
      </x:c>
      <x:c r="N15" s="100" t="str">
        <x:f>IF('Master'!O561="","",'Master'!O561)</x:f>
        <x:v>Client/server-dependent</x:v>
      </x:c>
      <x:c r="O15" s="100" t="str">
        <x:f>IF('Master'!P561="","",'Master'!P561)</x:f>
        <x:v>Invite/SSO/admin restrictions</x:v>
      </x:c>
      <x:c r="P15" s="100" t="str">
        <x:f>IF('Master'!Q561="","",'Master'!Q561)</x:f>
      </x:c>
      <x:c r="Q15" s="100" t="str">
        <x:f>IF('Master'!R561="","",'Master'!R561)</x:f>
        <x:v>Password/cert/ACL gates</x:v>
      </x:c>
      <x:c r="R15" s="100" t="str">
        <x:f>IF('Master'!S561="","",'Master'!S561)</x:f>
      </x:c>
      <x:c r="S15" s="100" t="str">
        <x:f>IF('Master'!T561="","",'Master'!T561)</x:f>
      </x:c>
      <x:c r="T15" s="100" t="str">
        <x:f>IF('Master'!U561="","",'Master'!U561)</x:f>
      </x:c>
      <x:c r="U15" s="100" t="str">
        <x:f>IF('Master'!V561="","",'Master'!V561)</x:f>
        <x:v>Yes</x:v>
      </x:c>
      <x:c r="V15" s="100" t="str">
        <x:f>IF('Master'!W561="","",'Master'!W561)</x:f>
        <x:v>Invite/SSO/approval options</x:v>
      </x:c>
      <x:c r="W15" s="100" t="str">
        <x:f>IF('Master'!X561="","",'Master'!X561)</x:f>
      </x:c>
      <x:c r="X15" s="100" t="str">
        <x:f>IF('Master'!Y561="","",'Master'!Y561)</x:f>
      </x:c>
      <x:c r="Y15" s="100" t="str">
        <x:f>IF('Master'!Z561="","",'Master'!Z561)</x:f>
      </x:c>
      <x:c r="Z15" s="100" t="str">
        <x:f>IF('Master'!AA561="","",'Master'!AA561)</x:f>
      </x:c>
      <x:c r="AA15" s="104" t="str">
        <x:f>IF('Master'!AB561="","",'Master'!AB561)</x:f>
        <x:v>Password/permissions</x:v>
      </x:c>
      <x:c r="AB15" s="100" t="str">
        <x:f>IF('Master'!AC561="","",'Master'!AC561)</x:f>
      </x:c>
      <x:c r="AC15" s="100" t="str">
        <x:f>IF('Master'!AD561="","",'Master'!AD561)</x:f>
      </x:c>
      <x:c r="AD15" s="100" t="str">
        <x:f>IF('Master'!AE561="","",'Master'!AE561)</x:f>
      </x:c>
      <x:c r="AE15" s="100" t="str">
        <x:f>IF('Master'!AF561="","",'Master'!AF561)</x:f>
      </x:c>
      <x:c r="AF15" s="75" t="str">
        <x:f>IF('Master'!AG561="","",'Master'!AG561)</x:f>
        <x:v>Invite/SSO/domain controls</x:v>
      </x:c>
    </x:row>
    <x:row r="16" ht="36" customHeight="1">
      <x:c r="A16" s="135" t="str">
        <x:v>Join Questions / Application?</x:v>
      </x:c>
      <x:c r="B16" s="100" t="str">
        <x:f>IF('Master'!C562="","",'Master'!C562)</x:f>
        <x:v>Yes — Rules Screening + verification levels; Server Member Applications are available/rolling out</x:v>
      </x:c>
      <x:c r="C16" s="100" t="str">
        <x:f>IF('Master'!D562="","",'Master'!D562)</x:f>
      </x:c>
      <x:c r="D16" s="100" t="str">
        <x:f>IF('Master'!E562="","",'Master'!E562)</x:f>
        <x:v>Instance controls</x:v>
      </x:c>
      <x:c r="E16" s="100" t="str">
        <x:f>IF('Master'!F562="","",'Master'!F562)</x:f>
      </x:c>
      <x:c r="F16" s="100" t="str">
        <x:f>IF('Master'!G562="","",'Master'!G562)</x:f>
      </x:c>
      <x:c r="G16" s="100" t="str">
        <x:f>IF('Master'!H562="","",'Master'!H562)</x:f>
      </x:c>
      <x:c r="H16" s="100" t="str">
        <x:f>IF('Master'!I562="","",'Master'!I562)</x:f>
      </x:c>
      <x:c r="I16" s="100" t="str">
        <x:f>IF('Master'!J562="","",'Master'!J562)</x:f>
      </x:c>
      <x:c r="J16" s="100" t="str">
        <x:f>IF('Master'!K562="","",'Master'!K562)</x:f>
      </x:c>
      <x:c r="K16" s="100" t="str">
        <x:f>IF('Master'!L562="","",'Master'!L562)</x:f>
        <x:v>Not documented</x:v>
      </x:c>
      <x:c r="L16" s="100" t="str">
        <x:f>IF('Master'!M562="","",'Master'!M562)</x:f>
      </x:c>
      <x:c r="M16" s="100" t="str">
        <x:f>IF('Master'!N562="","",'Master'!N562)</x:f>
      </x:c>
      <x:c r="N16" s="100" t="str">
        <x:f>IF('Master'!O562="","",'Master'!O562)</x:f>
        <x:v>Client/server-dependent</x:v>
      </x:c>
      <x:c r="O16" s="100" t="str">
        <x:f>IF('Master'!P562="","",'Master'!P562)</x:f>
        <x:v>Invite/SSO/admin restrictions</x:v>
      </x:c>
      <x:c r="P16" s="100" t="str">
        <x:f>IF('Master'!Q562="","",'Master'!Q562)</x:f>
      </x:c>
      <x:c r="Q16" s="100" t="str">
        <x:f>IF('Master'!R562="","",'Master'!R562)</x:f>
        <x:v>Password/cert/ACL gates</x:v>
      </x:c>
      <x:c r="R16" s="100" t="str">
        <x:f>IF('Master'!S562="","",'Master'!S562)</x:f>
      </x:c>
      <x:c r="S16" s="100" t="str">
        <x:f>IF('Master'!T562="","",'Master'!T562)</x:f>
      </x:c>
      <x:c r="T16" s="100" t="str">
        <x:f>IF('Master'!U562="","",'Master'!U562)</x:f>
      </x:c>
      <x:c r="U16" s="100" t="str">
        <x:f>IF('Master'!V562="","",'Master'!V562)</x:f>
        <x:v>Yes</x:v>
      </x:c>
      <x:c r="V16" s="100" t="str">
        <x:f>IF('Master'!W562="","",'Master'!W562)</x:f>
        <x:v>Invite/SSO/approval options</x:v>
      </x:c>
      <x:c r="W16" s="100" t="str">
        <x:f>IF('Master'!X562="","",'Master'!X562)</x:f>
      </x:c>
      <x:c r="X16" s="100" t="str">
        <x:f>IF('Master'!Y562="","",'Master'!Y562)</x:f>
      </x:c>
      <x:c r="Y16" s="100" t="str">
        <x:f>IF('Master'!Z562="","",'Master'!Z562)</x:f>
      </x:c>
      <x:c r="Z16" s="100" t="str">
        <x:f>IF('Master'!AA562="","",'Master'!AA562)</x:f>
      </x:c>
      <x:c r="AA16" s="104" t="str">
        <x:f>IF('Master'!AB562="","",'Master'!AB562)</x:f>
        <x:v>Password/permissions</x:v>
      </x:c>
      <x:c r="AB16" s="100" t="str">
        <x:f>IF('Master'!AC562="","",'Master'!AC562)</x:f>
      </x:c>
      <x:c r="AC16" s="100" t="str">
        <x:f>IF('Master'!AD562="","",'Master'!AD562)</x:f>
      </x:c>
      <x:c r="AD16" s="100" t="str">
        <x:f>IF('Master'!AE562="","",'Master'!AE562)</x:f>
      </x:c>
      <x:c r="AE16" s="100" t="str">
        <x:f>IF('Master'!AF562="","",'Master'!AF562)</x:f>
      </x:c>
      <x:c r="AF16" s="75" t="str">
        <x:f>IF('Master'!AG562="","",'Master'!AG562)</x:f>
        <x:v>Invite/SSO/domain controls</x:v>
      </x:c>
    </x:row>
    <x:row r="17" ht="36" customHeight="1">
      <x:c r="A17" s="135" t="str">
        <x:v>Ban?</x:v>
      </x:c>
      <x:c r="B17" s="100" t="str">
        <x:f>IF('Master'!C569="","",'Master'!C569)</x:f>
        <x:v>Yes</x:v>
      </x:c>
      <x:c r="C17" s="100" t="str">
        <x:f>IF('Master'!D569="","",'Master'!D569)</x:f>
        <x:v>Yes</x:v>
      </x:c>
      <x:c r="D17" s="100" t="str">
        <x:f>IF('Master'!E569="","",'Master'!E569)</x:f>
        <x:v>Yes</x:v>
      </x:c>
      <x:c r="E17" s="100" t="str">
        <x:f>IF('Master'!F569="","",'Master'!F569)</x:f>
        <x:v>Yes</x:v>
      </x:c>
      <x:c r="F17" s="100" t="str">
        <x:f>IF('Master'!G569="","",'Master'!G569)</x:f>
        <x:v>Yes</x:v>
      </x:c>
      <x:c r="G17" s="100" t="str">
        <x:f>IF('Master'!H569="","",'Master'!H569)</x:f>
        <x:v>Yes</x:v>
      </x:c>
      <x:c r="H17" s="100" t="str">
        <x:f>IF('Master'!I569="","",'Master'!I569)</x:f>
        <x:v>Yes</x:v>
      </x:c>
      <x:c r="I17" s="100" t="str">
        <x:f>IF('Master'!J569="","",'Master'!J569)</x:f>
        <x:v>Yes</x:v>
      </x:c>
      <x:c r="J17" s="100" t="str">
        <x:f>IF('Master'!K569="","",'Master'!K569)</x:f>
        <x:v>Yes</x:v>
      </x:c>
      <x:c r="K17" s="100" t="str">
        <x:f>IF('Master'!L569="","",'Master'!L569)</x:f>
        <x:v>Yes</x:v>
      </x:c>
      <x:c r="L17" s="100" t="str">
        <x:f>IF('Master'!M569="","",'Master'!M569)</x:f>
        <x:v>Yes</x:v>
      </x:c>
      <x:c r="M17" s="100" t="str">
        <x:f>IF('Master'!N569="","",'Master'!N569)</x:f>
        <x:v>Yes</x:v>
      </x:c>
      <x:c r="N17" s="100" t="str">
        <x:f>IF('Master'!O569="","",'Master'!O569)</x:f>
        <x:v>Yes</x:v>
      </x:c>
      <x:c r="O17" s="100" t="str">
        <x:f>IF('Master'!P569="","",'Master'!P569)</x:f>
        <x:v>Yes</x:v>
      </x:c>
      <x:c r="P17" s="100" t="str">
        <x:f>IF('Master'!Q569="","",'Master'!Q569)</x:f>
        <x:v>Yes</x:v>
      </x:c>
      <x:c r="Q17" s="100" t="str">
        <x:f>IF('Master'!R569="","",'Master'!R569)</x:f>
        <x:v>Yes</x:v>
      </x:c>
      <x:c r="R17" s="100" t="str">
        <x:f>IF('Master'!S569="","",'Master'!S569)</x:f>
        <x:v>Yes</x:v>
      </x:c>
      <x:c r="S17" s="100" t="str">
        <x:f>IF('Master'!T569="","",'Master'!T569)</x:f>
        <x:v>Yes</x:v>
      </x:c>
      <x:c r="T17" s="100" t="str">
        <x:f>IF('Master'!U569="","",'Master'!U569)</x:f>
        <x:v>Yes</x:v>
      </x:c>
      <x:c r="U17" s="100" t="str">
        <x:f>IF('Master'!V569="","",'Master'!V569)</x:f>
        <x:v>Yes</x:v>
      </x:c>
      <x:c r="V17" s="100" t="str">
        <x:f>IF('Master'!W569="","",'Master'!W569)</x:f>
        <x:v>Yes</x:v>
      </x:c>
      <x:c r="W17" s="100" t="str">
        <x:f>IF('Master'!X569="","",'Master'!X569)</x:f>
        <x:v>Yes</x:v>
      </x:c>
      <x:c r="X17" s="100" t="str">
        <x:f>IF('Master'!Y569="","",'Master'!Y569)</x:f>
        <x:v>Yes</x:v>
      </x:c>
      <x:c r="Y17" s="100" t="str">
        <x:f>IF('Master'!Z569="","",'Master'!Z569)</x:f>
        <x:v>Yes</x:v>
      </x:c>
      <x:c r="Z17" s="100" t="str">
        <x:f>IF('Master'!AA569="","",'Master'!AA569)</x:f>
        <x:v>Yes</x:v>
      </x:c>
      <x:c r="AA17" s="104" t="str">
        <x:f>IF('Master'!AB569="","",'Master'!AB569)</x:f>
        <x:v>Yes</x:v>
      </x:c>
      <x:c r="AB17" s="100" t="str">
        <x:f>IF('Master'!AC569="","",'Master'!AC569)</x:f>
        <x:v>Yes</x:v>
      </x:c>
      <x:c r="AC17" s="100" t="str">
        <x:f>IF('Master'!AD569="","",'Master'!AD569)</x:f>
        <x:v>Yes</x:v>
      </x:c>
      <x:c r="AD17" s="100" t="str">
        <x:f>IF('Master'!AE569="","",'Master'!AE569)</x:f>
        <x:v>Yes</x:v>
      </x:c>
      <x:c r="AE17" s="100" t="str">
        <x:f>IF('Master'!AF569="","",'Master'!AF569)</x:f>
        <x:v>Yes</x:v>
      </x:c>
      <x:c r="AF17" s="75" t="str">
        <x:f>IF('Master'!AG569="","",'Master'!AG569)</x:f>
        <x:v>Yes</x:v>
      </x:c>
    </x:row>
    <x:row r="18" ht="36" customHeight="1">
      <x:c r="A18" s="135" t="str">
        <x:v>Kick?</x:v>
      </x:c>
      <x:c r="B18" s="100" t="str">
        <x:f>IF('Master'!C570="","",'Master'!C570)</x:f>
        <x:v>Yes</x:v>
      </x:c>
      <x:c r="C18" s="100" t="str">
        <x:f>IF('Master'!D570="","",'Master'!D570)</x:f>
        <x:v>Yes</x:v>
      </x:c>
      <x:c r="D18" s="100" t="str">
        <x:f>IF('Master'!E570="","",'Master'!E570)</x:f>
        <x:v>Yes</x:v>
      </x:c>
      <x:c r="E18" s="100" t="str">
        <x:f>IF('Master'!F570="","",'Master'!F570)</x:f>
        <x:v>Yes</x:v>
      </x:c>
      <x:c r="F18" s="100" t="str">
        <x:f>IF('Master'!G570="","",'Master'!G570)</x:f>
        <x:v>Yes</x:v>
      </x:c>
      <x:c r="G18" s="100" t="str">
        <x:f>IF('Master'!H570="","",'Master'!H570)</x:f>
        <x:v>Yes</x:v>
      </x:c>
      <x:c r="H18" s="100" t="str">
        <x:f>IF('Master'!I570="","",'Master'!I570)</x:f>
        <x:v>Yes</x:v>
      </x:c>
      <x:c r="I18" s="100" t="str">
        <x:f>IF('Master'!J570="","",'Master'!J570)</x:f>
        <x:v>Yes</x:v>
      </x:c>
      <x:c r="J18" s="100" t="str">
        <x:f>IF('Master'!K570="","",'Master'!K570)</x:f>
        <x:v>Yes</x:v>
      </x:c>
      <x:c r="K18" s="100" t="str">
        <x:f>IF('Master'!L570="","",'Master'!L570)</x:f>
        <x:v>Yes</x:v>
      </x:c>
      <x:c r="L18" s="100" t="str">
        <x:f>IF('Master'!M570="","",'Master'!M570)</x:f>
        <x:v>Yes</x:v>
      </x:c>
      <x:c r="M18" s="100" t="str">
        <x:f>IF('Master'!N570="","",'Master'!N570)</x:f>
        <x:v>Yes</x:v>
      </x:c>
      <x:c r="N18" s="100" t="str">
        <x:f>IF('Master'!O570="","",'Master'!O570)</x:f>
        <x:v>Yes</x:v>
      </x:c>
      <x:c r="O18" s="100" t="str">
        <x:f>IF('Master'!P570="","",'Master'!P570)</x:f>
        <x:v>Yes</x:v>
      </x:c>
      <x:c r="P18" s="100" t="str">
        <x:f>IF('Master'!Q570="","",'Master'!Q570)</x:f>
        <x:v>Yes</x:v>
      </x:c>
      <x:c r="Q18" s="100" t="str">
        <x:f>IF('Master'!R570="","",'Master'!R570)</x:f>
        <x:v>Yes</x:v>
      </x:c>
      <x:c r="R18" s="100" t="str">
        <x:f>IF('Master'!S570="","",'Master'!S570)</x:f>
        <x:v>Yes</x:v>
      </x:c>
      <x:c r="S18" s="100" t="str">
        <x:f>IF('Master'!T570="","",'Master'!T570)</x:f>
        <x:v>Yes</x:v>
      </x:c>
      <x:c r="T18" s="100" t="str">
        <x:f>IF('Master'!U570="","",'Master'!U570)</x:f>
        <x:v>Yes</x:v>
      </x:c>
      <x:c r="U18" s="100" t="str">
        <x:f>IF('Master'!V570="","",'Master'!V570)</x:f>
        <x:v>Yes</x:v>
      </x:c>
      <x:c r="V18" s="100" t="str">
        <x:f>IF('Master'!W570="","",'Master'!W570)</x:f>
        <x:v>Yes</x:v>
      </x:c>
      <x:c r="W18" s="100" t="str">
        <x:f>IF('Master'!X570="","",'Master'!X570)</x:f>
        <x:v>Yes</x:v>
      </x:c>
      <x:c r="X18" s="100" t="str">
        <x:f>IF('Master'!Y570="","",'Master'!Y570)</x:f>
        <x:v>Yes</x:v>
      </x:c>
      <x:c r="Y18" s="100" t="str">
        <x:f>IF('Master'!Z570="","",'Master'!Z570)</x:f>
        <x:v>Yes</x:v>
      </x:c>
      <x:c r="Z18" s="100" t="str">
        <x:f>IF('Master'!AA570="","",'Master'!AA570)</x:f>
        <x:v>Yes</x:v>
      </x:c>
      <x:c r="AA18" s="104" t="str">
        <x:f>IF('Master'!AB570="","",'Master'!AB570)</x:f>
        <x:v>Yes</x:v>
      </x:c>
      <x:c r="AB18" s="100" t="str">
        <x:f>IF('Master'!AC570="","",'Master'!AC570)</x:f>
        <x:v>Yes</x:v>
      </x:c>
      <x:c r="AC18" s="100" t="str">
        <x:f>IF('Master'!AD570="","",'Master'!AD570)</x:f>
        <x:v>Yes</x:v>
      </x:c>
      <x:c r="AD18" s="100" t="str">
        <x:f>IF('Master'!AE570="","",'Master'!AE570)</x:f>
        <x:v>Yes</x:v>
      </x:c>
      <x:c r="AE18" s="100" t="str">
        <x:f>IF('Master'!AF570="","",'Master'!AF570)</x:f>
        <x:v>Yes</x:v>
      </x:c>
      <x:c r="AF18" s="75" t="str">
        <x:f>IF('Master'!AG570="","",'Master'!AG570)</x:f>
        <x:v>Yes</x:v>
      </x:c>
    </x:row>
    <x:row r="19" ht="36" customHeight="1">
      <x:c r="A19" s="135" t="str">
        <x:v>Timeout / Mute?</x:v>
      </x:c>
      <x:c r="B19" s="100" t="str">
        <x:f>IF('Master'!C571="","",'Master'!C571)</x:f>
        <x:v>Yes</x:v>
      </x:c>
      <x:c r="C19" s="100" t="str">
        <x:f>IF('Master'!D571="","",'Master'!D571)</x:f>
      </x:c>
      <x:c r="D19" s="100" t="str">
        <x:f>IF('Master'!E571="","",'Master'!E571)</x:f>
      </x:c>
      <x:c r="E19" s="100" t="str">
        <x:f>IF('Master'!F571="","",'Master'!F571)</x:f>
      </x:c>
      <x:c r="F19" s="100" t="str">
        <x:f>IF('Master'!G571="","",'Master'!G571)</x:f>
      </x:c>
      <x:c r="G19" s="100" t="str">
        <x:f>IF('Master'!H571="","",'Master'!H571)</x:f>
      </x:c>
      <x:c r="H19" s="100" t="str">
        <x:f>IF('Master'!I571="","",'Master'!I571)</x:f>
      </x:c>
      <x:c r="I19" s="100" t="str">
        <x:f>IF('Master'!J571="","",'Master'!J571)</x:f>
      </x:c>
      <x:c r="J19" s="100" t="str">
        <x:f>IF('Master'!K571="","",'Master'!K571)</x:f>
      </x:c>
      <x:c r="K19" s="100" t="str">
        <x:f>IF('Master'!L571="","",'Master'!L571)</x:f>
        <x:v>Yes</x:v>
      </x:c>
      <x:c r="L19" s="100" t="str">
        <x:f>IF('Master'!M571="","",'Master'!M571)</x:f>
      </x:c>
      <x:c r="M19" s="100" t="str">
        <x:f>IF('Master'!N571="","",'Master'!N571)</x:f>
      </x:c>
      <x:c r="N19" s="100" t="str">
        <x:f>IF('Master'!O571="","",'Master'!O571)</x:f>
      </x:c>
      <x:c r="O19" s="100" t="str">
        <x:f>IF('Master'!P571="","",'Master'!P571)</x:f>
        <x:v>Yes</x:v>
      </x:c>
      <x:c r="P19" s="100" t="str">
        <x:f>IF('Master'!Q571="","",'Master'!Q571)</x:f>
      </x:c>
      <x:c r="Q19" s="100" t="str">
        <x:f>IF('Master'!R571="","",'Master'!R571)</x:f>
        <x:v>Yes</x:v>
      </x:c>
      <x:c r="R19" s="100" t="str">
        <x:f>IF('Master'!S571="","",'Master'!S571)</x:f>
      </x:c>
      <x:c r="S19" s="100" t="str">
        <x:f>IF('Master'!T571="","",'Master'!T571)</x:f>
      </x:c>
      <x:c r="T19" s="100" t="str">
        <x:f>IF('Master'!U571="","",'Master'!U571)</x:f>
      </x:c>
      <x:c r="U19" s="100" t="str">
        <x:f>IF('Master'!V571="","",'Master'!V571)</x:f>
        <x:v>Yes</x:v>
      </x:c>
      <x:c r="V19" s="100" t="str">
        <x:f>IF('Master'!W571="","",'Master'!W571)</x:f>
        <x:v>Yes</x:v>
      </x:c>
      <x:c r="W19" s="100" t="str">
        <x:f>IF('Master'!X571="","",'Master'!X571)</x:f>
      </x:c>
      <x:c r="X19" s="100" t="str">
        <x:f>IF('Master'!Y571="","",'Master'!Y571)</x:f>
      </x:c>
      <x:c r="Y19" s="100" t="str">
        <x:f>IF('Master'!Z571="","",'Master'!Z571)</x:f>
      </x:c>
      <x:c r="Z19" s="100" t="str">
        <x:f>IF('Master'!AA571="","",'Master'!AA571)</x:f>
      </x:c>
      <x:c r="AA19" s="104" t="str">
        <x:f>IF('Master'!AB571="","",'Master'!AB571)</x:f>
        <x:v>Yes</x:v>
      </x:c>
      <x:c r="AB19" s="100" t="str">
        <x:f>IF('Master'!AC571="","",'Master'!AC571)</x:f>
      </x:c>
      <x:c r="AC19" s="100" t="str">
        <x:f>IF('Master'!AD571="","",'Master'!AD571)</x:f>
      </x:c>
      <x:c r="AD19" s="100" t="str">
        <x:f>IF('Master'!AE571="","",'Master'!AE571)</x:f>
      </x:c>
      <x:c r="AE19" s="100" t="str">
        <x:f>IF('Master'!AF571="","",'Master'!AF571)</x:f>
      </x:c>
      <x:c r="AF19" s="75" t="str">
        <x:f>IF('Master'!AG571="","",'Master'!AG571)</x:f>
      </x:c>
    </x:row>
  </x:sheetData>
  <x:mergeCells>
    <x:mergeCell ref="A1:AF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Directory'!A1","Moderation, Anti-Spam &amp; Safety — Granular"),"Moderation, Anti-Spam &amp; Safety — Granular")</x:f>
        <x:v>Moderation, Anti-Spam &amp; Safety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Automated Moderation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Native AutoMod?</x:v>
      </x:c>
      <x:c r="B4" s="100" t="str">
        <x:f>IF('Master'!C549="","",'Master'!C549)</x:f>
        <x:v>Yes — AutoMod</x:v>
      </x:c>
      <x:c r="C4" s="100" t="str">
        <x:f>IF('Master'!D549="","",'Master'!D549)</x:f>
      </x:c>
      <x:c r="D4" s="100" t="str">
        <x:f>IF('Master'!E549="","",'Master'!E549)</x:f>
        <x:v>Server/operator moderation</x:v>
      </x:c>
      <x:c r="E4" s="100" t="str">
        <x:f>IF('Master'!F549="","",'Master'!F549)</x:f>
      </x:c>
      <x:c r="F4" s="100" t="str">
        <x:f>IF('Master'!G549="","",'Master'!G549)</x:f>
        <x:v>Native moderation</x:v>
      </x:c>
      <x:c r="G4" s="100" t="str">
        <x:f>IF('Master'!H549="","",'Master'!H549)</x:f>
        <x:v>Native moderation</x:v>
      </x:c>
      <x:c r="H4" s="100" t="str">
        <x:f>IF('Master'!I549="","",'Master'!I549)</x:f>
      </x:c>
      <x:c r="I4" s="100" t="str">
        <x:f>IF('Master'!J549="","",'Master'!J549)</x:f>
      </x:c>
      <x:c r="J4" s="100" t="str">
        <x:f>IF('Master'!K549="","",'Master'!K549)</x:f>
      </x:c>
      <x:c r="K4" s="100" t="str">
        <x:f>IF('Master'!L549="","",'Master'!L549)</x:f>
        <x:v>Yes — developer reports native AutoMod</x:v>
      </x:c>
      <x:c r="L4" s="100" t="str">
        <x:f>IF('Master'!M549="","",'Master'!M549)</x:f>
        <x:v>Native moderation</x:v>
      </x:c>
      <x:c r="M4" s="100" t="str">
        <x:f>IF('Master'!N549="","",'Master'!N549)</x:f>
      </x:c>
      <x:c r="N4" s="100" t="str">
        <x:f>IF('Master'!O549="","",'Master'!O549)</x:f>
        <x:v>Protocol supports room permissions/power levels; tooling varies by client/server</x:v>
      </x:c>
      <x:c r="O4" s="100" t="str">
        <x:f>IF('Master'!P549="","",'Master'!P549)</x:f>
        <x:v>Moderation/admin/retention/compliance tools</x:v>
      </x:c>
      <x:c r="P4" s="100" t="str">
        <x:f>IF('Master'!Q549="","",'Master'!Q549)</x:f>
      </x:c>
      <x:c r="Q4" s="100" t="str">
        <x:f>IF('Master'!R549="","",'Master'!R549)</x:f>
        <x:v>ACLs/permissions rather than AutoMod</x:v>
      </x:c>
      <x:c r="R4" s="100" t="str">
        <x:f>IF('Master'!S549="","",'Master'!S549)</x:f>
      </x:c>
      <x:c r="S4" s="100" t="str">
        <x:f>IF('Master'!T549="","",'Master'!T549)</x:f>
      </x:c>
      <x:c r="T4" s="100" t="str">
        <x:f>IF('Master'!U549="","",'Master'!U549)</x:f>
        <x:v>Native moderation</x:v>
      </x:c>
      <x:c r="U4" s="100" t="str">
        <x:f>IF('Master'!V549="","",'Master'!V549)</x:f>
        <x:v>Yes</x:v>
      </x:c>
      <x:c r="V4" s="100" t="str">
        <x:f>IF('Master'!W549="","",'Master'!W549)</x:f>
        <x:v>Moderation/admin tools</x:v>
      </x:c>
      <x:c r="W4" s="100" t="str">
        <x:f>IF('Master'!X549="","",'Master'!X549)</x:f>
      </x:c>
      <x:c r="X4" s="100" t="str">
        <x:f>IF('Master'!Y549="","",'Master'!Y549)</x:f>
        <x:v>Yes — Moderation App + native controls</x:v>
      </x:c>
      <x:c r="Y4" s="100" t="str">
        <x:f>IF('Master'!Z549="","",'Master'!Z549)</x:f>
        <x:v>Discord-compatible moderation target</x:v>
      </x:c>
      <x:c r="Z4" s="100" t="str">
        <x:f>IF('Master'!AA549="","",'Master'!AA549)</x:f>
        <x:v>Partial/native moderation controls</x:v>
      </x:c>
      <x:c r="AA4" s="104" t="str">
        <x:f>IF('Master'!AB549="","",'Master'!AB549)</x:f>
        <x:v>Permissions/admin tools</x:v>
      </x:c>
      <x:c r="AB4" s="100" t="str">
        <x:f>IF('Master'!AC549="","",'Master'!AC549)</x:f>
        <x:v>Built-in automod</x:v>
      </x:c>
      <x:c r="AC4" s="100" t="str">
        <x:f>IF('Master'!AD549="","",'Master'!AD549)</x:f>
      </x:c>
      <x:c r="AD4" s="100" t="str">
        <x:f>IF('Master'!AE549="","",'Master'!AE549)</x:f>
      </x:c>
      <x:c r="AE4" s="100" t="str">
        <x:f>IF('Master'!AF549="","",'Master'!AF549)</x:f>
      </x:c>
      <x:c r="AF4" s="75" t="str">
        <x:f>IF('Master'!AG549="","",'Master'!AG549)</x:f>
        <x:v>Moderation/admin controls; no Discord-style AutoMod core</x:v>
      </x:c>
    </x:row>
    <x:row r="5" ht="36" customHeight="1">
      <x:c r="A5" s="135" t="str">
        <x:v>Custom Keyword Blocklist?</x:v>
      </x:c>
      <x:c r="B5" s="100" t="str">
        <x:f>IF('Master'!C550="","",'Master'!C550)</x:f>
        <x:v>Yes — custom keywords + Rust-flavor regex</x:v>
      </x:c>
      <x:c r="C5" s="100" t="str">
        <x:f>IF('Master'!D550="","",'Master'!D550)</x:f>
      </x:c>
      <x:c r="D5" s="100" t="str">
        <x:f>IF('Master'!E550="","",'Master'!E550)</x:f>
        <x:v>Advanced anti-spam advertised</x:v>
      </x:c>
      <x:c r="E5" s="100" t="str">
        <x:f>IF('Master'!F550="","",'Master'!F550)</x:f>
      </x:c>
      <x:c r="F5" s="100" t="str">
        <x:f>IF('Master'!G550="","",'Master'!G550)</x:f>
      </x:c>
      <x:c r="G5" s="100" t="str">
        <x:f>IF('Master'!H550="","",'Master'!H550)</x:f>
      </x:c>
      <x:c r="H5" s="100" t="str">
        <x:f>IF('Master'!I550="","",'Master'!I550)</x:f>
      </x:c>
      <x:c r="I5" s="100" t="str">
        <x:f>IF('Master'!J550="","",'Master'!J550)</x:f>
      </x:c>
      <x:c r="J5" s="100" t="str">
        <x:f>IF('Master'!K550="","",'Master'!K550)</x:f>
      </x:c>
      <x:c r="K5" s="100" t="str">
        <x:f>IF('Master'!L550="","",'Master'!L550)</x:f>
        <x:v>AutoMod exists, but exact keyword/regex rule types were not fully documented in reviewed public docs</x:v>
      </x:c>
      <x:c r="L5" s="100" t="str">
        <x:f>IF('Master'!M550="","",'Master'!M550)</x:f>
      </x:c>
      <x:c r="M5" s="100" t="str">
        <x:f>IF('Master'!N550="","",'Master'!N550)</x:f>
      </x:c>
      <x:c r="N5" s="100" t="str">
        <x:f>IF('Master'!O550="","",'Master'!O550)</x:f>
        <x:v>Client/server/bot-dependent</x:v>
      </x:c>
      <x:c r="O5" s="100" t="str">
        <x:f>IF('Master'!P550="","",'Master'!P550)</x:f>
      </x:c>
      <x:c r="P5" s="100" t="str">
        <x:f>IF('Master'!Q550="","",'Master'!Q550)</x:f>
      </x:c>
      <x:c r="Q5" s="100" t="str">
        <x:f>IF('Master'!R550="","",'Master'!R550)</x:f>
        <x:v>No text AutoMod focus</x:v>
      </x:c>
      <x:c r="R5" s="100" t="str">
        <x:f>IF('Master'!S550="","",'Master'!S550)</x:f>
      </x:c>
      <x:c r="S5" s="100" t="str">
        <x:f>IF('Master'!T550="","",'Master'!T550)</x:f>
      </x:c>
      <x:c r="T5" s="100" t="str">
        <x:f>IF('Master'!U550="","",'Master'!U550)</x:f>
      </x:c>
      <x:c r="U5" s="100" t="str">
        <x:f>IF('Master'!V550="","",'Master'!V550)</x:f>
        <x:v>Yes</x:v>
      </x:c>
      <x:c r="V5" s="100" t="str">
        <x:f>IF('Master'!W550="","",'Master'!W550)</x:f>
      </x:c>
      <x:c r="W5" s="100" t="str">
        <x:f>IF('Master'!X550="","",'Master'!X550)</x:f>
      </x:c>
      <x:c r="X5" s="100" t="str">
        <x:f>IF('Master'!Y550="","",'Master'!Y550)</x:f>
      </x:c>
      <x:c r="Y5" s="100" t="str">
        <x:f>IF('Master'!Z550="","",'Master'!Z550)</x:f>
      </x:c>
      <x:c r="Z5" s="100" t="str">
        <x:f>IF('Master'!AA550="","",'Master'!AA550)</x:f>
      </x:c>
      <x:c r="AA5" s="104" t="str">
        <x:f>IF('Master'!AB550="","",'Master'!AB550)</x:f>
      </x:c>
      <x:c r="AB5" s="100" t="str">
        <x:f>IF('Master'!AC550="","",'Master'!AC550)</x:f>
        <x:v>Blocklists/automod</x:v>
      </x:c>
      <x:c r="AC5" s="100" t="str">
        <x:f>IF('Master'!AD550="","",'Master'!AD550)</x:f>
      </x:c>
      <x:c r="AD5" s="100" t="str">
        <x:f>IF('Master'!AE550="","",'Master'!AE550)</x:f>
      </x:c>
      <x:c r="AE5" s="100" t="str">
        <x:f>IF('Master'!AF550="","",'Master'!AF550)</x:f>
      </x:c>
      <x:c r="AF5" s="75" t="str">
        <x:f>IF('Master'!AG550="","",'Master'!AG550)</x:f>
      </x:c>
    </x:row>
    <x:row r="6" ht="36" customHeight="1">
      <x:c r="A6" s="135" t="str">
        <x:v>Regex Blocklist?</x:v>
      </x:c>
      <x:c r="B6" s="100" t="str">
        <x:f>IF('Master'!C551="","",'Master'!C551)</x:f>
        <x:v>Yes</x:v>
      </x:c>
      <x:c r="C6" s="100" t="str">
        <x:f>IF('Master'!D551="","",'Master'!D551)</x:f>
      </x:c>
      <x:c r="D6" s="100" t="str">
        <x:f>IF('Master'!E551="","",'Master'!E551)</x:f>
      </x:c>
      <x:c r="E6" s="100" t="str">
        <x:f>IF('Master'!F551="","",'Master'!F551)</x:f>
      </x:c>
      <x:c r="F6" s="100" t="str">
        <x:f>IF('Master'!G551="","",'Master'!G551)</x:f>
      </x:c>
      <x:c r="G6" s="100" t="str">
        <x:f>IF('Master'!H551="","",'Master'!H551)</x:f>
      </x:c>
      <x:c r="H6" s="100" t="str">
        <x:f>IF('Master'!I551="","",'Master'!I551)</x:f>
      </x:c>
      <x:c r="I6" s="100" t="str">
        <x:f>IF('Master'!J551="","",'Master'!J551)</x:f>
      </x:c>
      <x:c r="J6" s="100" t="str">
        <x:f>IF('Master'!K551="","",'Master'!K551)</x:f>
      </x:c>
      <x:c r="K6" s="100" t="str">
        <x:f>IF('Master'!L551="","",'Master'!L551)</x:f>
        <x:v>AutoMod exists, but exact keyword/regex rule types were not fully documented in reviewed public docs</x:v>
      </x:c>
      <x:c r="L6" s="100" t="str">
        <x:f>IF('Master'!M551="","",'Master'!M551)</x:f>
      </x:c>
      <x:c r="M6" s="100" t="str">
        <x:f>IF('Master'!N551="","",'Master'!N551)</x:f>
      </x:c>
      <x:c r="N6" s="100" t="str">
        <x:f>IF('Master'!O551="","",'Master'!O551)</x:f>
      </x:c>
      <x:c r="O6" s="100" t="str">
        <x:f>IF('Master'!P551="","",'Master'!P551)</x:f>
        <x:v>Yes</x:v>
      </x:c>
      <x:c r="P6" s="100" t="str">
        <x:f>IF('Master'!Q551="","",'Master'!Q551)</x:f>
      </x:c>
      <x:c r="Q6" s="100" t="str">
        <x:f>IF('Master'!R551="","",'Master'!R551)</x:f>
        <x:v>No</x:v>
      </x:c>
      <x:c r="R6" s="100" t="str">
        <x:f>IF('Master'!S551="","",'Master'!S551)</x:f>
      </x:c>
      <x:c r="S6" s="100" t="str">
        <x:f>IF('Master'!T551="","",'Master'!T551)</x:f>
      </x:c>
      <x:c r="T6" s="100" t="str">
        <x:f>IF('Master'!U551="","",'Master'!U551)</x:f>
      </x:c>
      <x:c r="U6" s="100" t="str">
        <x:f>IF('Master'!V551="","",'Master'!V551)</x:f>
      </x:c>
      <x:c r="V6" s="100" t="str">
        <x:f>IF('Master'!W551="","",'Master'!W551)</x:f>
        <x:v>Yes</x:v>
      </x:c>
      <x:c r="W6" s="100" t="str">
        <x:f>IF('Master'!X551="","",'Master'!X551)</x:f>
      </x:c>
      <x:c r="X6" s="100" t="str">
        <x:f>IF('Master'!Y551="","",'Master'!Y551)</x:f>
        <x:v>Yes</x:v>
      </x:c>
      <x:c r="Y6" s="100" t="str">
        <x:f>IF('Master'!Z551="","",'Master'!Z551)</x:f>
      </x:c>
      <x:c r="Z6" s="100" t="str">
        <x:f>IF('Master'!AA551="","",'Master'!AA551)</x:f>
        <x:v>Yes</x:v>
      </x:c>
      <x:c r="AA6" s="104" t="str">
        <x:f>IF('Master'!AB551="","",'Master'!AB551)</x:f>
      </x:c>
      <x:c r="AB6" s="100" t="str">
        <x:f>IF('Master'!AC551="","",'Master'!AC551)</x:f>
      </x:c>
      <x:c r="AC6" s="100" t="str">
        <x:f>IF('Master'!AD551="","",'Master'!AD551)</x:f>
      </x:c>
      <x:c r="AD6" s="100" t="str">
        <x:f>IF('Master'!AE551="","",'Master'!AE551)</x:f>
      </x:c>
      <x:c r="AE6" s="100" t="str">
        <x:f>IF('Master'!AF551="","",'Master'!AF551)</x:f>
      </x:c>
      <x:c r="AF6" s="75" t="str">
        <x:f>IF('Master'!AG551="","",'Master'!AG551)</x:f>
      </x:c>
    </x:row>
    <x:row r="7" ht="23.100000381469727" customHeight="1">
      <x:c r="A7" s="135" t="str">
        <x:v>Link Filter?</x:v>
      </x:c>
      <x:c r="B7" s="102" t="str">
        <x:f>IF('Master'!C552="","",'Master'!C552)</x:f>
      </x:c>
      <x:c r="C7" s="102" t="str">
        <x:f>IF('Master'!D552="","",'Master'!D552)</x:f>
      </x:c>
      <x:c r="D7" s="102" t="str">
        <x:f>IF('Master'!E552="","",'Master'!E552)</x:f>
      </x:c>
      <x:c r="E7" s="102" t="str">
        <x:f>IF('Master'!F552="","",'Master'!F552)</x:f>
      </x:c>
      <x:c r="F7" s="102" t="str">
        <x:f>IF('Master'!G552="","",'Master'!G552)</x:f>
      </x:c>
      <x:c r="G7" s="102" t="str">
        <x:f>IF('Master'!H552="","",'Master'!H552)</x:f>
      </x:c>
      <x:c r="H7" s="102" t="str">
        <x:f>IF('Master'!I552="","",'Master'!I552)</x:f>
      </x:c>
      <x:c r="I7" s="102" t="str">
        <x:f>IF('Master'!J552="","",'Master'!J552)</x:f>
      </x:c>
      <x:c r="J7" s="102" t="str">
        <x:f>IF('Master'!K552="","",'Master'!K552)</x:f>
      </x:c>
      <x:c r="K7" s="102" t="str">
        <x:f>IF('Master'!L552="","",'Master'!L552)</x:f>
        <x:v>AutoMod exists, but exact keyword/regex rule types were not fully documented in reviewed public docs</x:v>
      </x:c>
      <x:c r="L7" s="102" t="str">
        <x:f>IF('Master'!M552="","",'Master'!M552)</x:f>
      </x:c>
      <x:c r="M7" s="102" t="str">
        <x:f>IF('Master'!N552="","",'Master'!N552)</x:f>
      </x:c>
      <x:c r="N7" s="102" t="str">
        <x:f>IF('Master'!O552="","",'Master'!O552)</x:f>
      </x:c>
      <x:c r="O7" s="102" t="str">
        <x:f>IF('Master'!P552="","",'Master'!P552)</x:f>
      </x:c>
      <x:c r="P7" s="102" t="str">
        <x:f>IF('Master'!Q552="","",'Master'!Q552)</x:f>
      </x:c>
      <x:c r="Q7" s="102" t="str">
        <x:f>IF('Master'!R552="","",'Master'!R552)</x:f>
      </x:c>
      <x:c r="R7" s="102" t="str">
        <x:f>IF('Master'!S552="","",'Master'!S552)</x:f>
      </x:c>
      <x:c r="S7" s="102" t="str">
        <x:f>IF('Master'!T552="","",'Master'!T552)</x:f>
      </x:c>
      <x:c r="T7" s="102" t="str">
        <x:f>IF('Master'!U552="","",'Master'!U552)</x:f>
      </x:c>
      <x:c r="U7" s="102" t="str">
        <x:f>IF('Master'!V552="","",'Master'!V552)</x:f>
      </x:c>
      <x:c r="V7" s="102" t="str">
        <x:f>IF('Master'!W552="","",'Master'!W552)</x:f>
      </x:c>
      <x:c r="W7" s="102" t="str">
        <x:f>IF('Master'!X552="","",'Master'!X552)</x:f>
      </x:c>
      <x:c r="X7" s="102" t="str">
        <x:f>IF('Master'!Y552="","",'Master'!Y552)</x:f>
      </x:c>
      <x:c r="Y7" s="102" t="str">
        <x:f>IF('Master'!Z552="","",'Master'!Z552)</x:f>
      </x:c>
      <x:c r="Z7" s="102" t="str">
        <x:f>IF('Master'!AA552="","",'Master'!AA552)</x:f>
      </x:c>
      <x:c r="AA7" s="103" t="str">
        <x:f>IF('Master'!AB552="","",'Master'!AB552)</x:f>
      </x:c>
      <x:c r="AB7" s="102" t="str">
        <x:f>IF('Master'!AC552="","",'Master'!AC552)</x:f>
      </x:c>
      <x:c r="AC7" s="102" t="str">
        <x:f>IF('Master'!AD552="","",'Master'!AD552)</x:f>
      </x:c>
      <x:c r="AD7" s="102" t="str">
        <x:f>IF('Master'!AE552="","",'Master'!AE552)</x:f>
      </x:c>
      <x:c r="AE7" s="102" t="str">
        <x:f>IF('Master'!AF552="","",'Master'!AF552)</x:f>
      </x:c>
      <x:c r="AF7" s="75" t="str">
        <x:f>IF('Master'!AG552="","",'Master'!AG552)</x:f>
      </x:c>
    </x:row>
    <x:row r="8" ht="36" customHeight="1">
      <x:c r="A8" s="135" t="str">
        <x:v>Mention Spam Protection?</x:v>
      </x:c>
      <x:c r="B8" s="100" t="str">
        <x:f>IF('Master'!C553="","",'Master'!C553)</x:f>
        <x:v>Yes / included in anti-spam</x:v>
      </x:c>
      <x:c r="C8" s="100" t="str">
        <x:f>IF('Master'!D553="","",'Master'!D553)</x:f>
      </x:c>
      <x:c r="D8" s="100" t="str">
        <x:f>IF('Master'!E553="","",'Master'!E553)</x:f>
        <x:v>Yes / included in anti-spam</x:v>
      </x:c>
      <x:c r="E8" s="100" t="str">
        <x:f>IF('Master'!F553="","",'Master'!F553)</x:f>
      </x:c>
      <x:c r="F8" s="100" t="str">
        <x:f>IF('Master'!G553="","",'Master'!G553)</x:f>
      </x:c>
      <x:c r="G8" s="100" t="str">
        <x:f>IF('Master'!H553="","",'Master'!H553)</x:f>
      </x:c>
      <x:c r="H8" s="100" t="str">
        <x:f>IF('Master'!I553="","",'Master'!I553)</x:f>
      </x:c>
      <x:c r="I8" s="100" t="str">
        <x:f>IF('Master'!J553="","",'Master'!J553)</x:f>
      </x:c>
      <x:c r="J8" s="100" t="str">
        <x:f>IF('Master'!K553="","",'Master'!K553)</x:f>
      </x:c>
      <x:c r="K8" s="100" t="str">
        <x:f>IF('Master'!L553="","",'Master'!L553)</x:f>
        <x:v>AutoMod exists, but exact keyword/regex rule types were not fully documented in reviewed public docs</x:v>
      </x:c>
      <x:c r="L8" s="100" t="str">
        <x:f>IF('Master'!M553="","",'Master'!M553)</x:f>
      </x:c>
      <x:c r="M8" s="100" t="str">
        <x:f>IF('Master'!N553="","",'Master'!N553)</x:f>
      </x:c>
      <x:c r="N8" s="100" t="str">
        <x:f>IF('Master'!O553="","",'Master'!O553)</x:f>
      </x:c>
      <x:c r="O8" s="100" t="str">
        <x:f>IF('Master'!P553="","",'Master'!P553)</x:f>
      </x:c>
      <x:c r="P8" s="100" t="str">
        <x:f>IF('Master'!Q553="","",'Master'!Q553)</x:f>
      </x:c>
      <x:c r="Q8" s="100" t="str">
        <x:f>IF('Master'!R553="","",'Master'!R553)</x:f>
      </x:c>
      <x:c r="R8" s="100" t="str">
        <x:f>IF('Master'!S553="","",'Master'!S553)</x:f>
      </x:c>
      <x:c r="S8" s="100" t="str">
        <x:f>IF('Master'!T553="","",'Master'!T553)</x:f>
      </x:c>
      <x:c r="T8" s="100" t="str">
        <x:f>IF('Master'!U553="","",'Master'!U553)</x:f>
      </x:c>
      <x:c r="U8" s="100" t="str">
        <x:f>IF('Master'!V553="","",'Master'!V553)</x:f>
        <x:v>Yes</x:v>
      </x:c>
      <x:c r="V8" s="100" t="str">
        <x:f>IF('Master'!W553="","",'Master'!W553)</x:f>
      </x:c>
      <x:c r="W8" s="100" t="str">
        <x:f>IF('Master'!X553="","",'Master'!X553)</x:f>
      </x:c>
      <x:c r="X8" s="100" t="str">
        <x:f>IF('Master'!Y553="","",'Master'!Y553)</x:f>
        <x:v>Yes / included in anti-spam</x:v>
      </x:c>
      <x:c r="Y8" s="100" t="str">
        <x:f>IF('Master'!Z553="","",'Master'!Z553)</x:f>
      </x:c>
      <x:c r="Z8" s="100" t="str">
        <x:f>IF('Master'!AA553="","",'Master'!AA553)</x:f>
      </x:c>
      <x:c r="AA8" s="104" t="str">
        <x:f>IF('Master'!AB553="","",'Master'!AB553)</x:f>
        <x:v>Yes / included in anti-spam</x:v>
      </x:c>
      <x:c r="AB8" s="100" t="str">
        <x:f>IF('Master'!AC553="","",'Master'!AC553)</x:f>
        <x:v>Yes / included in anti-spam</x:v>
      </x:c>
      <x:c r="AC8" s="100" t="str">
        <x:f>IF('Master'!AD553="","",'Master'!AD553)</x:f>
      </x:c>
      <x:c r="AD8" s="100" t="str">
        <x:f>IF('Master'!AE553="","",'Master'!AE553)</x:f>
      </x:c>
      <x:c r="AE8" s="100" t="str">
        <x:f>IF('Master'!AF553="","",'Master'!AF553)</x:f>
      </x:c>
      <x:c r="AF8" s="75" t="str">
        <x:f>IF('Master'!AG553="","",'Master'!AG553)</x:f>
      </x:c>
    </x:row>
    <x:row r="9" ht="36" customHeight="1">
      <x:c r="A9" s="135" t="str">
        <x:v>Message Spam Detection?</x:v>
      </x:c>
      <x:c r="B9" s="100" t="str">
        <x:f>IF('Master'!C554="","",'Master'!C554)</x:f>
        <x:v>Yes — AutoMod spam filter, platform/API rate limits, verification levels, and slowmode</x:v>
      </x:c>
      <x:c r="C9" s="100" t="str">
        <x:f>IF('Master'!D554="","",'Master'!D554)</x:f>
      </x:c>
      <x:c r="D9" s="100" t="str">
        <x:f>IF('Master'!E554="","",'Master'!E554)</x:f>
        <x:v>Advanced anti-spam/rate controls</x:v>
      </x:c>
      <x:c r="E9" s="100" t="str">
        <x:f>IF('Master'!F554="","",'Master'!F554)</x:f>
      </x:c>
      <x:c r="F9" s="100" t="str">
        <x:f>IF('Master'!G554="","",'Master'!G554)</x:f>
        <x:v>Yes / planned native</x:v>
      </x:c>
      <x:c r="G9" s="100" t="str">
        <x:f>IF('Master'!H554="","",'Master'!H554)</x:f>
        <x:v>Rate limits + moderation tools</x:v>
      </x:c>
      <x:c r="H9" s="100" t="str">
        <x:f>IF('Master'!I554="","",'Master'!I554)</x:f>
      </x:c>
      <x:c r="I9" s="100" t="str">
        <x:f>IF('Master'!J554="","",'Master'!J554)</x:f>
      </x:c>
      <x:c r="J9" s="100" t="str">
        <x:f>IF('Master'!K554="","",'Master'!K554)</x:f>
      </x:c>
      <x:c r="K9" s="100" t="str">
        <x:f>IF('Master'!L554="","",'Master'!L554)</x:f>
        <x:v>AutoMod exists, but exact keyword/regex rule types were not fully documented in reviewed public docs</x:v>
      </x:c>
      <x:c r="L9" s="100" t="str">
        <x:f>IF('Master'!M554="","",'Master'!M554)</x:f>
      </x:c>
      <x:c r="M9" s="100" t="str">
        <x:f>IF('Master'!N554="","",'Master'!N554)</x:f>
      </x:c>
      <x:c r="N9" s="100" t="str">
        <x:f>IF('Master'!O554="","",'Master'!O554)</x:f>
        <x:v>Homeserver and bot-dependent</x:v>
      </x:c>
      <x:c r="O9" s="100" t="str">
        <x:f>IF('Master'!P554="","",'Master'!P554)</x:f>
        <x:v>Rate limits + admin controls</x:v>
      </x:c>
      <x:c r="P9" s="100" t="str">
        <x:f>IF('Master'!Q554="","",'Master'!Q554)</x:f>
      </x:c>
      <x:c r="Q9" s="100" t="str">
        <x:f>IF('Master'!R554="","",'Master'!R554)</x:f>
        <x:v>Server ACLs/rate controls</x:v>
      </x:c>
      <x:c r="R9" s="100" t="str">
        <x:f>IF('Master'!S554="","",'Master'!S554)</x:f>
      </x:c>
      <x:c r="S9" s="100" t="str">
        <x:f>IF('Master'!T554="","",'Master'!T554)</x:f>
      </x:c>
      <x:c r="T9" s="100" t="str">
        <x:f>IF('Master'!U554="","",'Master'!U554)</x:f>
        <x:v>Rate controls</x:v>
      </x:c>
      <x:c r="U9" s="100" t="str">
        <x:f>IF('Master'!V554="","",'Master'!V554)</x:f>
        <x:v>Yes</x:v>
      </x:c>
      <x:c r="V9" s="100" t="str">
        <x:f>IF('Master'!W554="","",'Master'!W554)</x:f>
        <x:v>Rate limiting + moderation</x:v>
      </x:c>
      <x:c r="W9" s="100" t="str">
        <x:f>IF('Master'!X554="","",'Master'!X554)</x:f>
      </x:c>
      <x:c r="X9" s="100" t="str">
        <x:f>IF('Master'!Y554="","",'Master'!Y554)</x:f>
        <x:v>Yes — spam rules</x:v>
      </x:c>
      <x:c r="Y9" s="100" t="str">
        <x:f>IF('Master'!Z554="","",'Master'!Z554)</x:f>
        <x:v>Configurable rate limiting</x:v>
      </x:c>
      <x:c r="Z9" s="100" t="str">
        <x:f>IF('Master'!AA554="","",'Master'!AA554)</x:f>
        <x:v>Rate limiting + moderation controls</x:v>
      </x:c>
      <x:c r="AA9" s="104" t="str">
        <x:f>IF('Master'!AB554="","",'Master'!AB554)</x:f>
        <x:v>Anti-spam/flood controls</x:v>
      </x:c>
      <x:c r="AB9" s="100" t="str">
        <x:f>IF('Master'!AC554="","",'Master'!AC554)</x:f>
        <x:v>Spam/raid tools</x:v>
      </x:c>
      <x:c r="AC9" s="100" t="str">
        <x:f>IF('Master'!AD554="","",'Master'!AD554)</x:f>
      </x:c>
      <x:c r="AD9" s="100" t="str">
        <x:f>IF('Master'!AE554="","",'Master'!AE554)</x:f>
      </x:c>
      <x:c r="AE9" s="100" t="str">
        <x:f>IF('Master'!AF554="","",'Master'!AF554)</x:f>
      </x:c>
      <x:c r="AF9" s="75" t="str">
        <x:f>IF('Master'!AG554="","",'Master'!AG554)</x:f>
        <x:v>Rate limiting/admin controls</x:v>
      </x:c>
    </x:row>
    <x:row r="10" ht="36" customHeight="1">
      <x:c r="A10" s="135" t="str">
        <x:v>Rate Limits?</x:v>
      </x:c>
      <x:c r="B10" s="100" t="str">
        <x:f>IF('Master'!C555="","",'Master'!C555)</x:f>
        <x:v>Yes — AutoMod spam filter, platform/API rate limits, verification levels, and slowmode</x:v>
      </x:c>
      <x:c r="C10" s="100" t="str">
        <x:f>IF('Master'!D555="","",'Master'!D555)</x:f>
      </x:c>
      <x:c r="D10" s="100" t="str">
        <x:f>IF('Master'!E555="","",'Master'!E555)</x:f>
        <x:v>Advanced anti-spam/rate controls</x:v>
      </x:c>
      <x:c r="E10" s="100" t="str">
        <x:f>IF('Master'!F555="","",'Master'!F555)</x:f>
      </x:c>
      <x:c r="F10" s="100" t="str">
        <x:f>IF('Master'!G555="","",'Master'!G555)</x:f>
        <x:v>Yes / planned native</x:v>
      </x:c>
      <x:c r="G10" s="100" t="str">
        <x:f>IF('Master'!H555="","",'Master'!H555)</x:f>
        <x:v>Rate limits + moderation tools</x:v>
      </x:c>
      <x:c r="H10" s="100" t="str">
        <x:f>IF('Master'!I555="","",'Master'!I555)</x:f>
      </x:c>
      <x:c r="I10" s="100" t="str">
        <x:f>IF('Master'!J555="","",'Master'!J555)</x:f>
      </x:c>
      <x:c r="J10" s="100" t="str">
        <x:f>IF('Master'!K555="","",'Master'!K555)</x:f>
      </x:c>
      <x:c r="K10" s="100" t="str">
        <x:f>IF('Master'!L555="","",'Master'!L555)</x:f>
        <x:v>Yes — API/gateway mutation rate limits and bounded report limits are documented</x:v>
      </x:c>
      <x:c r="L10" s="100" t="str">
        <x:f>IF('Master'!M555="","",'Master'!M555)</x:f>
      </x:c>
      <x:c r="M10" s="100" t="str">
        <x:f>IF('Master'!N555="","",'Master'!N555)</x:f>
      </x:c>
      <x:c r="N10" s="100" t="str">
        <x:f>IF('Master'!O555="","",'Master'!O555)</x:f>
        <x:v>Homeserver and bot-dependent</x:v>
      </x:c>
      <x:c r="O10" s="100" t="str">
        <x:f>IF('Master'!P555="","",'Master'!P555)</x:f>
        <x:v>Rate limits + admin controls</x:v>
      </x:c>
      <x:c r="P10" s="100" t="str">
        <x:f>IF('Master'!Q555="","",'Master'!Q555)</x:f>
      </x:c>
      <x:c r="Q10" s="100" t="str">
        <x:f>IF('Master'!R555="","",'Master'!R555)</x:f>
        <x:v>Server ACLs/rate controls</x:v>
      </x:c>
      <x:c r="R10" s="100" t="str">
        <x:f>IF('Master'!S555="","",'Master'!S555)</x:f>
      </x:c>
      <x:c r="S10" s="100" t="str">
        <x:f>IF('Master'!T555="","",'Master'!T555)</x:f>
      </x:c>
      <x:c r="T10" s="100" t="str">
        <x:f>IF('Master'!U555="","",'Master'!U555)</x:f>
        <x:v>Rate controls</x:v>
      </x:c>
      <x:c r="U10" s="100" t="str">
        <x:f>IF('Master'!V555="","",'Master'!V555)</x:f>
        <x:v>Yes / slowmode</x:v>
      </x:c>
      <x:c r="V10" s="100" t="str">
        <x:f>IF('Master'!W555="","",'Master'!W555)</x:f>
        <x:v>Rate limiting + moderation</x:v>
      </x:c>
      <x:c r="W10" s="100" t="str">
        <x:f>IF('Master'!X555="","",'Master'!X555)</x:f>
      </x:c>
      <x:c r="X10" s="100" t="str">
        <x:f>IF('Master'!Y555="","",'Master'!Y555)</x:f>
        <x:v>Yes — spam rules</x:v>
      </x:c>
      <x:c r="Y10" s="100" t="str">
        <x:f>IF('Master'!Z555="","",'Master'!Z555)</x:f>
        <x:v>Configurable rate limiting</x:v>
      </x:c>
      <x:c r="Z10" s="100" t="str">
        <x:f>IF('Master'!AA555="","",'Master'!AA555)</x:f>
        <x:v>Rate limiting + moderation controls</x:v>
      </x:c>
      <x:c r="AA10" s="104" t="str">
        <x:f>IF('Master'!AB555="","",'Master'!AB555)</x:f>
        <x:v>Anti-spam/flood controls</x:v>
      </x:c>
      <x:c r="AB10" s="100" t="str">
        <x:f>IF('Master'!AC555="","",'Master'!AC555)</x:f>
        <x:v>Spam/raid tools</x:v>
      </x:c>
      <x:c r="AC10" s="100" t="str">
        <x:f>IF('Master'!AD555="","",'Master'!AD555)</x:f>
      </x:c>
      <x:c r="AD10" s="100" t="str">
        <x:f>IF('Master'!AE555="","",'Master'!AE555)</x:f>
      </x:c>
      <x:c r="AE10" s="100" t="str">
        <x:f>IF('Master'!AF555="","",'Master'!AF555)</x:f>
      </x:c>
      <x:c r="AF10" s="75" t="str">
        <x:f>IF('Master'!AG555="","",'Master'!AG555)</x:f>
        <x:v>Rate limiting/admin controls</x:v>
      </x:c>
    </x:row>
    <x:row r="11" ht="36" customHeight="1">
      <x:c r="A11" s="135" t="str">
        <x:v>Slowmode?</x:v>
      </x:c>
      <x:c r="B11" s="100" t="str">
        <x:f>IF('Master'!C556="","",'Master'!C556)</x:f>
        <x:v>Yes</x:v>
      </x:c>
      <x:c r="C11" s="100" t="str">
        <x:f>IF('Master'!D556="","",'Master'!D556)</x:f>
      </x:c>
      <x:c r="D11" s="100" t="str">
        <x:f>IF('Master'!E556="","",'Master'!E556)</x:f>
      </x:c>
      <x:c r="E11" s="100" t="str">
        <x:f>IF('Master'!F556="","",'Master'!F556)</x:f>
      </x:c>
      <x:c r="F11" s="100" t="str">
        <x:f>IF('Master'!G556="","",'Master'!G556)</x:f>
      </x:c>
      <x:c r="G11" s="100" t="str">
        <x:f>IF('Master'!H556="","",'Master'!H556)</x:f>
      </x:c>
      <x:c r="H11" s="100" t="str">
        <x:f>IF('Master'!I556="","",'Master'!I556)</x:f>
      </x:c>
      <x:c r="I11" s="100" t="str">
        <x:f>IF('Master'!J556="","",'Master'!J556)</x:f>
      </x:c>
      <x:c r="J11" s="100" t="str">
        <x:f>IF('Master'!K556="","",'Master'!K556)</x:f>
      </x:c>
      <x:c r="K11" s="100" t="str">
        <x:f>IF('Master'!L556="","",'Master'!L556)</x:f>
        <x:v>Not documented</x:v>
      </x:c>
      <x:c r="L11" s="100" t="str">
        <x:f>IF('Master'!M556="","",'Master'!M556)</x:f>
      </x:c>
      <x:c r="M11" s="100" t="str">
        <x:f>IF('Master'!N556="","",'Master'!N556)</x:f>
      </x:c>
      <x:c r="N11" s="100" t="str">
        <x:f>IF('Master'!O556="","",'Master'!O556)</x:f>
      </x:c>
      <x:c r="O11" s="100" t="str">
        <x:f>IF('Master'!P556="","",'Master'!P556)</x:f>
      </x:c>
      <x:c r="P11" s="100" t="str">
        <x:f>IF('Master'!Q556="","",'Master'!Q556)</x:f>
      </x:c>
      <x:c r="Q11" s="100" t="str">
        <x:f>IF('Master'!R556="","",'Master'!R556)</x:f>
      </x:c>
      <x:c r="R11" s="100" t="str">
        <x:f>IF('Master'!S556="","",'Master'!S556)</x:f>
      </x:c>
      <x:c r="S11" s="100" t="str">
        <x:f>IF('Master'!T556="","",'Master'!T556)</x:f>
      </x:c>
      <x:c r="T11" s="100" t="str">
        <x:f>IF('Master'!U556="","",'Master'!U556)</x:f>
      </x:c>
      <x:c r="U11" s="100" t="str">
        <x:f>IF('Master'!V556="","",'Master'!V556)</x:f>
        <x:v>Yes</x:v>
      </x:c>
      <x:c r="V11" s="100" t="str">
        <x:f>IF('Master'!W556="","",'Master'!W556)</x:f>
      </x:c>
      <x:c r="W11" s="100" t="str">
        <x:f>IF('Master'!X556="","",'Master'!X556)</x:f>
      </x:c>
      <x:c r="X11" s="100" t="str">
        <x:f>IF('Master'!Y556="","",'Master'!Y556)</x:f>
      </x:c>
      <x:c r="Y11" s="100" t="str">
        <x:f>IF('Master'!Z556="","",'Master'!Z556)</x:f>
      </x:c>
      <x:c r="Z11" s="100" t="str">
        <x:f>IF('Master'!AA556="","",'Master'!AA556)</x:f>
      </x:c>
      <x:c r="AA11" s="104" t="str">
        <x:f>IF('Master'!AB556="","",'Master'!AB556)</x:f>
      </x:c>
      <x:c r="AB11" s="100" t="str">
        <x:f>IF('Master'!AC556="","",'Master'!AC556)</x:f>
      </x:c>
      <x:c r="AC11" s="100" t="str">
        <x:f>IF('Master'!AD556="","",'Master'!AD556)</x:f>
      </x:c>
      <x:c r="AD11" s="100" t="str">
        <x:f>IF('Master'!AE556="","",'Master'!AE556)</x:f>
      </x:c>
      <x:c r="AE11" s="100" t="str">
        <x:f>IF('Master'!AF556="","",'Master'!AF556)</x:f>
      </x:c>
      <x:c r="AF11" s="75" t="str">
        <x:f>IF('Master'!AG556="","",'Master'!AG556)</x:f>
      </x:c>
    </x:row>
    <x:row r="12" ht="22" customHeight="1">
      <x:c r="A12" s="138" t="str">
        <x:v>Raid / Join Protection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Raid Detection?</x:v>
      </x:c>
      <x:c r="B13" s="100" t="str">
        <x:f>IF('Master'!C557="","",'Master'!C557)</x:f>
        <x:v>Yes — Raid Protection uses ML signals and can require CAPTCHA; verification/security controls also available</x:v>
      </x:c>
      <x:c r="C13" s="100" t="str">
        <x:f>IF('Master'!D557="","",'Master'!D557)</x:f>
      </x:c>
      <x:c r="D13" s="100" t="str">
        <x:f>IF('Master'!E557="","",'Master'!E557)</x:f>
        <x:v>Federated ban-sharing planned</x:v>
      </x:c>
      <x:c r="E13" s="100" t="str">
        <x:f>IF('Master'!F557="","",'Master'!F557)</x:f>
      </x:c>
      <x:c r="F13" s="100" t="str">
        <x:f>IF('Master'!G557="","",'Master'!G557)</x:f>
      </x:c>
      <x:c r="G13" s="100" t="str">
        <x:f>IF('Master'!H557="","",'Master'!H557)</x:f>
      </x:c>
      <x:c r="H13" s="100" t="str">
        <x:f>IF('Master'!I557="","",'Master'!I557)</x:f>
      </x:c>
      <x:c r="I13" s="100" t="str">
        <x:f>IF('Master'!J557="","",'Master'!J557)</x:f>
      </x:c>
      <x:c r="J13" s="100" t="str">
        <x:f>IF('Master'!K557="","",'Master'!K557)</x:f>
      </x:c>
      <x:c r="K13" s="100" t="str">
        <x:f>IF('Master'!L557="","",'Master'!L557)</x:f>
        <x:v>Not fully documented</x:v>
      </x:c>
      <x:c r="L13" s="100" t="str">
        <x:f>IF('Master'!M557="","",'Master'!M557)</x:f>
      </x:c>
      <x:c r="M13" s="100" t="str">
        <x:f>IF('Master'!N557="","",'Master'!N557)</x:f>
      </x:c>
      <x:c r="N13" s="100" t="str">
        <x:f>IF('Master'!O557="","",'Master'!O557)</x:f>
        <x:v>Homeserver/operator-dependent</x:v>
      </x:c>
      <x:c r="O13" s="100" t="str">
        <x:f>IF('Master'!P557="","",'Master'!P557)</x:f>
      </x:c>
      <x:c r="P13" s="100" t="str">
        <x:f>IF('Master'!Q557="","",'Master'!Q557)</x:f>
      </x:c>
      <x:c r="Q13" s="100" t="str">
        <x:f>IF('Master'!R557="","",'Master'!R557)</x:f>
        <x:v>N/A</x:v>
      </x:c>
      <x:c r="R13" s="100" t="str">
        <x:f>IF('Master'!S557="","",'Master'!S557)</x:f>
      </x:c>
      <x:c r="S13" s="100" t="str">
        <x:f>IF('Master'!T557="","",'Master'!T557)</x:f>
      </x:c>
      <x:c r="T13" s="100" t="str">
        <x:f>IF('Master'!U557="","",'Master'!U557)</x:f>
      </x:c>
      <x:c r="U13" s="100" t="str">
        <x:f>IF('Master'!V557="","",'Master'!V557)</x:f>
        <x:v>Yes</x:v>
      </x:c>
      <x:c r="V13" s="100" t="str">
        <x:f>IF('Master'!W557="","",'Master'!W557)</x:f>
      </x:c>
      <x:c r="W13" s="100" t="str">
        <x:f>IF('Master'!X557="","",'Master'!X557)</x:f>
      </x:c>
      <x:c r="X13" s="100" t="str">
        <x:f>IF('Master'!Y557="","",'Master'!Y557)</x:f>
      </x:c>
      <x:c r="Y13" s="100" t="str">
        <x:f>IF('Master'!Z557="","",'Master'!Z557)</x:f>
      </x:c>
      <x:c r="Z13" s="100" t="str">
        <x:f>IF('Master'!AA557="","",'Master'!AA557)</x:f>
      </x:c>
      <x:c r="AA13" s="104" t="str">
        <x:f>IF('Master'!AB557="","",'Master'!AB557)</x:f>
      </x:c>
      <x:c r="AB13" s="100" t="str">
        <x:f>IF('Master'!AC557="","",'Master'!AC557)</x:f>
        <x:v>Automod raid protection</x:v>
      </x:c>
      <x:c r="AC13" s="100" t="str">
        <x:f>IF('Master'!AD557="","",'Master'!AD557)</x:f>
      </x:c>
      <x:c r="AD13" s="100" t="str">
        <x:f>IF('Master'!AE557="","",'Master'!AE557)</x:f>
      </x:c>
      <x:c r="AE13" s="100" t="str">
        <x:f>IF('Master'!AF557="","",'Master'!AF557)</x:f>
      </x:c>
      <x:c r="AF13" s="75" t="str">
        <x:f>IF('Master'!AG557="","",'Master'!AG557)</x:f>
      </x:c>
    </x:row>
    <x:row r="14" ht="36" customHeight="1">
      <x:c r="A14" s="135" t="str">
        <x:v>Mass-Join Protection?</x:v>
      </x:c>
      <x:c r="B14" s="100" t="str">
        <x:f>IF('Master'!C558="","",'Master'!C558)</x:f>
        <x:v>Yes — Raid Protection uses ML signals and can require CAPTCHA; verification/security controls also available</x:v>
      </x:c>
      <x:c r="C14" s="100" t="str">
        <x:f>IF('Master'!D558="","",'Master'!D558)</x:f>
      </x:c>
      <x:c r="D14" s="100" t="str">
        <x:f>IF('Master'!E558="","",'Master'!E558)</x:f>
        <x:v>Federated ban-sharing planned</x:v>
      </x:c>
      <x:c r="E14" s="100" t="str">
        <x:f>IF('Master'!F558="","",'Master'!F558)</x:f>
      </x:c>
      <x:c r="F14" s="100" t="str">
        <x:f>IF('Master'!G558="","",'Master'!G558)</x:f>
      </x:c>
      <x:c r="G14" s="100" t="str">
        <x:f>IF('Master'!H558="","",'Master'!H558)</x:f>
      </x:c>
      <x:c r="H14" s="100" t="str">
        <x:f>IF('Master'!I558="","",'Master'!I558)</x:f>
      </x:c>
      <x:c r="I14" s="100" t="str">
        <x:f>IF('Master'!J558="","",'Master'!J558)</x:f>
      </x:c>
      <x:c r="J14" s="100" t="str">
        <x:f>IF('Master'!K558="","",'Master'!K558)</x:f>
      </x:c>
      <x:c r="K14" s="100" t="str">
        <x:f>IF('Master'!L558="","",'Master'!L558)</x:f>
        <x:v>Not fully documented</x:v>
      </x:c>
      <x:c r="L14" s="100" t="str">
        <x:f>IF('Master'!M558="","",'Master'!M558)</x:f>
      </x:c>
      <x:c r="M14" s="100" t="str">
        <x:f>IF('Master'!N558="","",'Master'!N558)</x:f>
      </x:c>
      <x:c r="N14" s="100" t="str">
        <x:f>IF('Master'!O558="","",'Master'!O558)</x:f>
        <x:v>Homeserver/operator-dependent</x:v>
      </x:c>
      <x:c r="O14" s="100" t="str">
        <x:f>IF('Master'!P558="","",'Master'!P558)</x:f>
      </x:c>
      <x:c r="P14" s="100" t="str">
        <x:f>IF('Master'!Q558="","",'Master'!Q558)</x:f>
      </x:c>
      <x:c r="Q14" s="100" t="str">
        <x:f>IF('Master'!R558="","",'Master'!R558)</x:f>
        <x:v>N/A</x:v>
      </x:c>
      <x:c r="R14" s="100" t="str">
        <x:f>IF('Master'!S558="","",'Master'!S558)</x:f>
      </x:c>
      <x:c r="S14" s="100" t="str">
        <x:f>IF('Master'!T558="","",'Master'!T558)</x:f>
      </x:c>
      <x:c r="T14" s="100" t="str">
        <x:f>IF('Master'!U558="","",'Master'!U558)</x:f>
      </x:c>
      <x:c r="U14" s="100" t="str">
        <x:f>IF('Master'!V558="","",'Master'!V558)</x:f>
        <x:v>Yes</x:v>
      </x:c>
      <x:c r="V14" s="100" t="str">
        <x:f>IF('Master'!W558="","",'Master'!W558)</x:f>
      </x:c>
      <x:c r="W14" s="100" t="str">
        <x:f>IF('Master'!X558="","",'Master'!X558)</x:f>
      </x:c>
      <x:c r="X14" s="100" t="str">
        <x:f>IF('Master'!Y558="","",'Master'!Y558)</x:f>
      </x:c>
      <x:c r="Y14" s="100" t="str">
        <x:f>IF('Master'!Z558="","",'Master'!Z558)</x:f>
      </x:c>
      <x:c r="Z14" s="100" t="str">
        <x:f>IF('Master'!AA558="","",'Master'!AA558)</x:f>
      </x:c>
      <x:c r="AA14" s="104" t="str">
        <x:f>IF('Master'!AB558="","",'Master'!AB558)</x:f>
      </x:c>
      <x:c r="AB14" s="100" t="str">
        <x:f>IF('Master'!AC558="","",'Master'!AC558)</x:f>
        <x:v>Automod raid protection</x:v>
      </x:c>
      <x:c r="AC14" s="100" t="str">
        <x:f>IF('Master'!AD558="","",'Master'!AD558)</x:f>
      </x:c>
      <x:c r="AD14" s="100" t="str">
        <x:f>IF('Master'!AE558="","",'Master'!AE558)</x:f>
      </x:c>
      <x:c r="AE14" s="100" t="str">
        <x:f>IF('Master'!AF558="","",'Master'!AF558)</x:f>
      </x:c>
      <x:c r="AF14" s="75" t="str">
        <x:f>IF('Master'!AG558="","",'Master'!AG558)</x:f>
      </x:c>
    </x:row>
    <x:row r="15" ht="36" customHeight="1">
      <x:c r="A15" s="135" t="str">
        <x:v>CAPTCHA / Challenge?</x:v>
      </x:c>
      <x:c r="B15" s="100" t="str">
        <x:f>IF('Master'!C559="","",'Master'!C559)</x:f>
        <x:v>Yes</x:v>
      </x:c>
      <x:c r="C15" s="100" t="str">
        <x:f>IF('Master'!D559="","",'Master'!D559)</x:f>
      </x:c>
      <x:c r="D15" s="100" t="str">
        <x:f>IF('Master'!E559="","",'Master'!E559)</x:f>
      </x:c>
      <x:c r="E15" s="100" t="str">
        <x:f>IF('Master'!F559="","",'Master'!F559)</x:f>
      </x:c>
      <x:c r="F15" s="100" t="str">
        <x:f>IF('Master'!G559="","",'Master'!G559)</x:f>
      </x:c>
      <x:c r="G15" s="100" t="str">
        <x:f>IF('Master'!H559="","",'Master'!H559)</x:f>
      </x:c>
      <x:c r="H15" s="100" t="str">
        <x:f>IF('Master'!I559="","",'Master'!I559)</x:f>
      </x:c>
      <x:c r="I15" s="100" t="str">
        <x:f>IF('Master'!J559="","",'Master'!J559)</x:f>
      </x:c>
      <x:c r="J15" s="100" t="str">
        <x:f>IF('Master'!K559="","",'Master'!K559)</x:f>
      </x:c>
      <x:c r="K15" s="100" t="str">
        <x:f>IF('Master'!L559="","",'Master'!L559)</x:f>
        <x:v>Optional Turnstile can be enabled for registration/failed sign-in challenges</x:v>
      </x:c>
      <x:c r="L15" s="100" t="str">
        <x:f>IF('Master'!M559="","",'Master'!M559)</x:f>
      </x:c>
      <x:c r="M15" s="100" t="str">
        <x:f>IF('Master'!N559="","",'Master'!N559)</x:f>
      </x:c>
      <x:c r="N15" s="100" t="str">
        <x:f>IF('Master'!O559="","",'Master'!O559)</x:f>
      </x:c>
      <x:c r="O15" s="100" t="str">
        <x:f>IF('Master'!P559="","",'Master'!P559)</x:f>
      </x:c>
      <x:c r="P15" s="100" t="str">
        <x:f>IF('Master'!Q559="","",'Master'!Q559)</x:f>
      </x:c>
      <x:c r="Q15" s="100" t="str">
        <x:f>IF('Master'!R559="","",'Master'!R559)</x:f>
      </x:c>
      <x:c r="R15" s="100" t="str">
        <x:f>IF('Master'!S559="","",'Master'!S559)</x:f>
      </x:c>
      <x:c r="S15" s="100" t="str">
        <x:f>IF('Master'!T559="","",'Master'!T559)</x:f>
      </x:c>
      <x:c r="T15" s="100" t="str">
        <x:f>IF('Master'!U559="","",'Master'!U559)</x:f>
      </x:c>
      <x:c r="U15" s="100" t="str">
        <x:f>IF('Master'!V559="","",'Master'!V559)</x:f>
      </x:c>
      <x:c r="V15" s="100" t="str">
        <x:f>IF('Master'!W559="","",'Master'!W559)</x:f>
      </x:c>
      <x:c r="W15" s="100" t="str">
        <x:f>IF('Master'!X559="","",'Master'!X559)</x:f>
      </x:c>
      <x:c r="X15" s="100" t="str">
        <x:f>IF('Master'!Y559="","",'Master'!Y559)</x:f>
      </x:c>
      <x:c r="Y15" s="100" t="str">
        <x:f>IF('Master'!Z559="","",'Master'!Z559)</x:f>
      </x:c>
      <x:c r="Z15" s="100" t="str">
        <x:f>IF('Master'!AA559="","",'Master'!AA559)</x:f>
      </x:c>
      <x:c r="AA15" s="104" t="str">
        <x:f>IF('Master'!AB559="","",'Master'!AB559)</x:f>
      </x:c>
      <x:c r="AB15" s="100" t="str">
        <x:f>IF('Master'!AC559="","",'Master'!AC559)</x:f>
      </x:c>
      <x:c r="AC15" s="100" t="str">
        <x:f>IF('Master'!AD559="","",'Master'!AD559)</x:f>
      </x:c>
      <x:c r="AD15" s="100" t="str">
        <x:f>IF('Master'!AE559="","",'Master'!AE559)</x:f>
      </x:c>
      <x:c r="AE15" s="100" t="str">
        <x:f>IF('Master'!AF559="","",'Master'!AF559)</x:f>
      </x:c>
      <x:c r="AF15" s="75" t="str">
        <x:f>IF('Master'!AG559="","",'Master'!AG559)</x:f>
      </x:c>
    </x:row>
    <x:row r="16" ht="36" customHeight="1">
      <x:c r="A16" s="135" t="str">
        <x:v>Verification Levels?</x:v>
      </x:c>
      <x:c r="B16" s="100" t="str">
        <x:f>IF('Master'!C560="","",'Master'!C560)</x:f>
        <x:v>Yes</x:v>
      </x:c>
      <x:c r="C16" s="100" t="str">
        <x:f>IF('Master'!D560="","",'Master'!D560)</x:f>
      </x:c>
      <x:c r="D16" s="100" t="str">
        <x:f>IF('Master'!E560="","",'Master'!E560)</x:f>
      </x:c>
      <x:c r="E16" s="100" t="str">
        <x:f>IF('Master'!F560="","",'Master'!F560)</x:f>
      </x:c>
      <x:c r="F16" s="100" t="str">
        <x:f>IF('Master'!G560="","",'Master'!G560)</x:f>
      </x:c>
      <x:c r="G16" s="100" t="str">
        <x:f>IF('Master'!H560="","",'Master'!H560)</x:f>
      </x:c>
      <x:c r="H16" s="100" t="str">
        <x:f>IF('Master'!I560="","",'Master'!I560)</x:f>
      </x:c>
      <x:c r="I16" s="100" t="str">
        <x:f>IF('Master'!J560="","",'Master'!J560)</x:f>
      </x:c>
      <x:c r="J16" s="100" t="str">
        <x:f>IF('Master'!K560="","",'Master'!K560)</x:f>
      </x:c>
      <x:c r="K16" s="100" t="str">
        <x:f>IF('Master'!L560="","",'Master'!L560)</x:f>
        <x:v>Not documented</x:v>
      </x:c>
      <x:c r="L16" s="100" t="str">
        <x:f>IF('Master'!M560="","",'Master'!M560)</x:f>
      </x:c>
      <x:c r="M16" s="100" t="str">
        <x:f>IF('Master'!N560="","",'Master'!N560)</x:f>
      </x:c>
      <x:c r="N16" s="100" t="str">
        <x:f>IF('Master'!O560="","",'Master'!O560)</x:f>
      </x:c>
      <x:c r="O16" s="100" t="str">
        <x:f>IF('Master'!P560="","",'Master'!P560)</x:f>
      </x:c>
      <x:c r="P16" s="100" t="str">
        <x:f>IF('Master'!Q560="","",'Master'!Q560)</x:f>
      </x:c>
      <x:c r="Q16" s="100" t="str">
        <x:f>IF('Master'!R560="","",'Master'!R560)</x:f>
      </x:c>
      <x:c r="R16" s="100" t="str">
        <x:f>IF('Master'!S560="","",'Master'!S560)</x:f>
      </x:c>
      <x:c r="S16" s="100" t="str">
        <x:f>IF('Master'!T560="","",'Master'!T560)</x:f>
      </x:c>
      <x:c r="T16" s="100" t="str">
        <x:f>IF('Master'!U560="","",'Master'!U560)</x:f>
      </x:c>
      <x:c r="U16" s="100" t="str">
        <x:f>IF('Master'!V560="","",'Master'!V560)</x:f>
      </x:c>
      <x:c r="V16" s="100" t="str">
        <x:f>IF('Master'!W560="","",'Master'!W560)</x:f>
      </x:c>
      <x:c r="W16" s="100" t="str">
        <x:f>IF('Master'!X560="","",'Master'!X560)</x:f>
      </x:c>
      <x:c r="X16" s="100" t="str">
        <x:f>IF('Master'!Y560="","",'Master'!Y560)</x:f>
      </x:c>
      <x:c r="Y16" s="100" t="str">
        <x:f>IF('Master'!Z560="","",'Master'!Z560)</x:f>
      </x:c>
      <x:c r="Z16" s="100" t="str">
        <x:f>IF('Master'!AA560="","",'Master'!AA560)</x:f>
      </x:c>
      <x:c r="AA16" s="104" t="str">
        <x:f>IF('Master'!AB560="","",'Master'!AB560)</x:f>
      </x:c>
      <x:c r="AB16" s="100" t="str">
        <x:f>IF('Master'!AC560="","",'Master'!AC560)</x:f>
      </x:c>
      <x:c r="AC16" s="100" t="str">
        <x:f>IF('Master'!AD560="","",'Master'!AD560)</x:f>
      </x:c>
      <x:c r="AD16" s="100" t="str">
        <x:f>IF('Master'!AE560="","",'Master'!AE560)</x:f>
      </x:c>
      <x:c r="AE16" s="100" t="str">
        <x:f>IF('Master'!AF560="","",'Master'!AF560)</x:f>
      </x:c>
      <x:c r="AF16" s="75" t="str">
        <x:f>IF('Master'!AG560="","",'Master'!AG560)</x:f>
      </x:c>
    </x:row>
    <x:row r="17" ht="36" customHeight="1">
      <x:c r="A17" s="135" t="str">
        <x:v>Rules Screening?</x:v>
      </x:c>
      <x:c r="B17" s="100" t="str">
        <x:f>IF('Master'!C561="","",'Master'!C561)</x:f>
        <x:v>Yes — Rules Screening + verification levels; Server Member Applications are available/rolling out</x:v>
      </x:c>
      <x:c r="C17" s="100" t="str">
        <x:f>IF('Master'!D561="","",'Master'!D561)</x:f>
      </x:c>
      <x:c r="D17" s="100" t="str">
        <x:f>IF('Master'!E561="","",'Master'!E561)</x:f>
        <x:v>Instance controls</x:v>
      </x:c>
      <x:c r="E17" s="100" t="str">
        <x:f>IF('Master'!F561="","",'Master'!F561)</x:f>
      </x:c>
      <x:c r="F17" s="100" t="str">
        <x:f>IF('Master'!G561="","",'Master'!G561)</x:f>
      </x:c>
      <x:c r="G17" s="100" t="str">
        <x:f>IF('Master'!H561="","",'Master'!H561)</x:f>
      </x:c>
      <x:c r="H17" s="100" t="str">
        <x:f>IF('Master'!I561="","",'Master'!I561)</x:f>
      </x:c>
      <x:c r="I17" s="100" t="str">
        <x:f>IF('Master'!J561="","",'Master'!J561)</x:f>
      </x:c>
      <x:c r="J17" s="100" t="str">
        <x:f>IF('Master'!K561="","",'Master'!K561)</x:f>
      </x:c>
      <x:c r="K17" s="100" t="str">
        <x:f>IF('Master'!L561="","",'Master'!L561)</x:f>
        <x:v>Not documented</x:v>
      </x:c>
      <x:c r="L17" s="100" t="str">
        <x:f>IF('Master'!M561="","",'Master'!M561)</x:f>
      </x:c>
      <x:c r="M17" s="100" t="str">
        <x:f>IF('Master'!N561="","",'Master'!N561)</x:f>
      </x:c>
      <x:c r="N17" s="100" t="str">
        <x:f>IF('Master'!O561="","",'Master'!O561)</x:f>
        <x:v>Client/server-dependent</x:v>
      </x:c>
      <x:c r="O17" s="100" t="str">
        <x:f>IF('Master'!P561="","",'Master'!P561)</x:f>
        <x:v>Invite/SSO/admin restrictions</x:v>
      </x:c>
      <x:c r="P17" s="100" t="str">
        <x:f>IF('Master'!Q561="","",'Master'!Q561)</x:f>
      </x:c>
      <x:c r="Q17" s="100" t="str">
        <x:f>IF('Master'!R561="","",'Master'!R561)</x:f>
        <x:v>Password/cert/ACL gates</x:v>
      </x:c>
      <x:c r="R17" s="100" t="str">
        <x:f>IF('Master'!S561="","",'Master'!S561)</x:f>
      </x:c>
      <x:c r="S17" s="100" t="str">
        <x:f>IF('Master'!T561="","",'Master'!T561)</x:f>
      </x:c>
      <x:c r="T17" s="100" t="str">
        <x:f>IF('Master'!U561="","",'Master'!U561)</x:f>
      </x:c>
      <x:c r="U17" s="100" t="str">
        <x:f>IF('Master'!V561="","",'Master'!V561)</x:f>
        <x:v>Yes</x:v>
      </x:c>
      <x:c r="V17" s="100" t="str">
        <x:f>IF('Master'!W561="","",'Master'!W561)</x:f>
        <x:v>Invite/SSO/approval options</x:v>
      </x:c>
      <x:c r="W17" s="100" t="str">
        <x:f>IF('Master'!X561="","",'Master'!X561)</x:f>
      </x:c>
      <x:c r="X17" s="100" t="str">
        <x:f>IF('Master'!Y561="","",'Master'!Y561)</x:f>
      </x:c>
      <x:c r="Y17" s="100" t="str">
        <x:f>IF('Master'!Z561="","",'Master'!Z561)</x:f>
      </x:c>
      <x:c r="Z17" s="100" t="str">
        <x:f>IF('Master'!AA561="","",'Master'!AA561)</x:f>
      </x:c>
      <x:c r="AA17" s="104" t="str">
        <x:f>IF('Master'!AB561="","",'Master'!AB561)</x:f>
        <x:v>Password/permissions</x:v>
      </x:c>
      <x:c r="AB17" s="100" t="str">
        <x:f>IF('Master'!AC561="","",'Master'!AC561)</x:f>
      </x:c>
      <x:c r="AC17" s="100" t="str">
        <x:f>IF('Master'!AD561="","",'Master'!AD561)</x:f>
      </x:c>
      <x:c r="AD17" s="100" t="str">
        <x:f>IF('Master'!AE561="","",'Master'!AE561)</x:f>
      </x:c>
      <x:c r="AE17" s="100" t="str">
        <x:f>IF('Master'!AF561="","",'Master'!AF561)</x:f>
      </x:c>
      <x:c r="AF17" s="75" t="str">
        <x:f>IF('Master'!AG561="","",'Master'!AG561)</x:f>
        <x:v>Invite/SSO/domain controls</x:v>
      </x:c>
    </x:row>
    <x:row r="18" ht="36" customHeight="1">
      <x:c r="A18" s="135" t="str">
        <x:v>Join Questions / Application?</x:v>
      </x:c>
      <x:c r="B18" s="100" t="str">
        <x:f>IF('Master'!C562="","",'Master'!C562)</x:f>
        <x:v>Yes — Rules Screening + verification levels; Server Member Applications are available/rolling out</x:v>
      </x:c>
      <x:c r="C18" s="100" t="str">
        <x:f>IF('Master'!D562="","",'Master'!D562)</x:f>
      </x:c>
      <x:c r="D18" s="100" t="str">
        <x:f>IF('Master'!E562="","",'Master'!E562)</x:f>
        <x:v>Instance controls</x:v>
      </x:c>
      <x:c r="E18" s="100" t="str">
        <x:f>IF('Master'!F562="","",'Master'!F562)</x:f>
      </x:c>
      <x:c r="F18" s="100" t="str">
        <x:f>IF('Master'!G562="","",'Master'!G562)</x:f>
      </x:c>
      <x:c r="G18" s="100" t="str">
        <x:f>IF('Master'!H562="","",'Master'!H562)</x:f>
      </x:c>
      <x:c r="H18" s="100" t="str">
        <x:f>IF('Master'!I562="","",'Master'!I562)</x:f>
      </x:c>
      <x:c r="I18" s="100" t="str">
        <x:f>IF('Master'!J562="","",'Master'!J562)</x:f>
      </x:c>
      <x:c r="J18" s="100" t="str">
        <x:f>IF('Master'!K562="","",'Master'!K562)</x:f>
      </x:c>
      <x:c r="K18" s="100" t="str">
        <x:f>IF('Master'!L562="","",'Master'!L562)</x:f>
        <x:v>Not documented</x:v>
      </x:c>
      <x:c r="L18" s="100" t="str">
        <x:f>IF('Master'!M562="","",'Master'!M562)</x:f>
      </x:c>
      <x:c r="M18" s="100" t="str">
        <x:f>IF('Master'!N562="","",'Master'!N562)</x:f>
      </x:c>
      <x:c r="N18" s="100" t="str">
        <x:f>IF('Master'!O562="","",'Master'!O562)</x:f>
        <x:v>Client/server-dependent</x:v>
      </x:c>
      <x:c r="O18" s="100" t="str">
        <x:f>IF('Master'!P562="","",'Master'!P562)</x:f>
        <x:v>Invite/SSO/admin restrictions</x:v>
      </x:c>
      <x:c r="P18" s="100" t="str">
        <x:f>IF('Master'!Q562="","",'Master'!Q562)</x:f>
      </x:c>
      <x:c r="Q18" s="100" t="str">
        <x:f>IF('Master'!R562="","",'Master'!R562)</x:f>
        <x:v>Password/cert/ACL gates</x:v>
      </x:c>
      <x:c r="R18" s="100" t="str">
        <x:f>IF('Master'!S562="","",'Master'!S562)</x:f>
      </x:c>
      <x:c r="S18" s="100" t="str">
        <x:f>IF('Master'!T562="","",'Master'!T562)</x:f>
      </x:c>
      <x:c r="T18" s="100" t="str">
        <x:f>IF('Master'!U562="","",'Master'!U562)</x:f>
      </x:c>
      <x:c r="U18" s="100" t="str">
        <x:f>IF('Master'!V562="","",'Master'!V562)</x:f>
        <x:v>Yes</x:v>
      </x:c>
      <x:c r="V18" s="100" t="str">
        <x:f>IF('Master'!W562="","",'Master'!W562)</x:f>
        <x:v>Invite/SSO/approval options</x:v>
      </x:c>
      <x:c r="W18" s="100" t="str">
        <x:f>IF('Master'!X562="","",'Master'!X562)</x:f>
      </x:c>
      <x:c r="X18" s="100" t="str">
        <x:f>IF('Master'!Y562="","",'Master'!Y562)</x:f>
      </x:c>
      <x:c r="Y18" s="100" t="str">
        <x:f>IF('Master'!Z562="","",'Master'!Z562)</x:f>
      </x:c>
      <x:c r="Z18" s="100" t="str">
        <x:f>IF('Master'!AA562="","",'Master'!AA562)</x:f>
      </x:c>
      <x:c r="AA18" s="104" t="str">
        <x:f>IF('Master'!AB562="","",'Master'!AB562)</x:f>
        <x:v>Password/permissions</x:v>
      </x:c>
      <x:c r="AB18" s="100" t="str">
        <x:f>IF('Master'!AC562="","",'Master'!AC562)</x:f>
      </x:c>
      <x:c r="AC18" s="100" t="str">
        <x:f>IF('Master'!AD562="","",'Master'!AD562)</x:f>
      </x:c>
      <x:c r="AD18" s="100" t="str">
        <x:f>IF('Master'!AE562="","",'Master'!AE562)</x:f>
      </x:c>
      <x:c r="AE18" s="100" t="str">
        <x:f>IF('Master'!AF562="","",'Master'!AF562)</x:f>
      </x:c>
      <x:c r="AF18" s="75" t="str">
        <x:f>IF('Master'!AG562="","",'Master'!AG562)</x:f>
        <x:v>Invite/SSO/domain controls</x:v>
      </x:c>
    </x:row>
    <x:row r="19" ht="22" customHeight="1">
      <x:c r="A19" s="138" t="str">
        <x:v>Moderator Workflow</x:v>
      </x:c>
      <x:c r="B19" s="138" t="str">
        <x:f>IF(""="","","")</x:f>
      </x:c>
      <x:c r="C19" s="138" t="str">
        <x:f>IF(""="","","")</x:f>
      </x:c>
      <x:c r="D19" s="138" t="str">
        <x:f>IF(""="","","")</x:f>
      </x:c>
      <x:c r="E19" s="138" t="str">
        <x:f>IF(""="","","")</x:f>
      </x:c>
      <x:c r="F19" s="138" t="str">
        <x:f>IF(""="","","")</x:f>
      </x:c>
      <x:c r="G19" s="138" t="str">
        <x:f>IF(""="","","")</x:f>
      </x:c>
      <x:c r="H19" s="138" t="str">
        <x:f>IF(""="","","")</x:f>
      </x:c>
      <x:c r="I19" s="138" t="str">
        <x:f>IF(""="","","")</x:f>
      </x:c>
      <x:c r="J19" s="138" t="str">
        <x:f>IF(""="","","")</x:f>
      </x:c>
      <x:c r="K19" s="138" t="str">
        <x:f>IF(""="","","")</x:f>
      </x:c>
      <x:c r="L19" s="138" t="str">
        <x:f>IF(""="","","")</x:f>
      </x:c>
      <x:c r="M19" s="138" t="str">
        <x:f>IF(""="","","")</x:f>
      </x:c>
      <x:c r="N19" s="138" t="str">
        <x:f>IF(""="","","")</x:f>
      </x:c>
      <x:c r="O19" s="138" t="str">
        <x:f>IF(""="","","")</x:f>
      </x:c>
      <x:c r="P19" s="138" t="str">
        <x:f>IF(""="","","")</x:f>
      </x:c>
      <x:c r="Q19" s="138" t="str">
        <x:f>IF(""="","","")</x:f>
      </x:c>
      <x:c r="R19" s="138" t="str">
        <x:f>IF(""="","","")</x:f>
      </x:c>
      <x:c r="S19" s="138" t="str">
        <x:f>IF(""="","","")</x:f>
      </x:c>
      <x:c r="T19" s="138" t="str">
        <x:f>IF(""="","","")</x:f>
      </x:c>
      <x:c r="U19" s="138" t="str">
        <x:f>IF(""="","","")</x:f>
      </x:c>
      <x:c r="V19" s="138" t="str">
        <x:f>IF(""="","","")</x:f>
      </x:c>
      <x:c r="W19" s="138" t="str">
        <x:f>IF(""="","","")</x:f>
      </x:c>
      <x:c r="X19" s="138" t="str">
        <x:f>IF(""="","","")</x:f>
      </x:c>
      <x:c r="Y19" s="138" t="str">
        <x:f>IF(""="","","")</x:f>
      </x:c>
      <x:c r="Z19" s="138" t="str">
        <x:f>IF(""="","","")</x:f>
      </x:c>
      <x:c r="AA19" s="138" t="str">
        <x:f>IF(""="","","")</x:f>
      </x:c>
      <x:c r="AB19" s="138" t="str">
        <x:f>IF(""="","","")</x:f>
      </x:c>
      <x:c r="AC19" s="138" t="str">
        <x:f>IF(""="","","")</x:f>
      </x:c>
      <x:c r="AD19" s="138" t="str">
        <x:f>IF(""="","","")</x:f>
      </x:c>
      <x:c r="AE19" s="138" t="str">
        <x:f>IF(""="","","")</x:f>
      </x:c>
      <x:c r="AF19" s="139" t="str">
        <x:f>IF(""="","","")</x:f>
      </x:c>
    </x:row>
    <x:row r="20" ht="36" customHeight="1">
      <x:c r="A20" s="135" t="str">
        <x:v>Mod Queue?</x:v>
      </x:c>
      <x:c r="B20" s="100" t="str">
        <x:f>IF('Master'!C563="","",'Master'!C563)</x:f>
      </x:c>
      <x:c r="C20" s="100" t="str">
        <x:f>IF('Master'!D563="","",'Master'!D563)</x:f>
      </x:c>
      <x:c r="D20" s="100" t="str">
        <x:f>IF('Master'!E563="","",'Master'!E563)</x:f>
        <x:v>Operator responsibility</x:v>
      </x:c>
      <x:c r="E20" s="100" t="str">
        <x:f>IF('Master'!F563="","",'Master'!F563)</x:f>
      </x:c>
      <x:c r="F20" s="100" t="str">
        <x:f>IF('Master'!G563="","",'Master'!G563)</x:f>
        <x:v>Native moderation controls</x:v>
      </x:c>
      <x:c r="G20" s="100" t="str">
        <x:f>IF('Master'!H563="","",'Master'!H563)</x:f>
      </x:c>
      <x:c r="H20" s="100" t="str">
        <x:f>IF('Master'!I563="","",'Master'!I563)</x:f>
      </x:c>
      <x:c r="I20" s="100" t="str">
        <x:f>IF('Master'!J563="","",'Master'!J563)</x:f>
      </x:c>
      <x:c r="J20" s="100" t="str">
        <x:f>IF('Master'!K563="","",'Master'!K563)</x:f>
      </x:c>
      <x:c r="K20" s="100" t="str">
        <x:f>IF('Master'!L563="","",'Master'!L563)</x:f>
        <x:v>Yes — instance Trust &amp; Safety report queue with triage/review/request-info/action/no-action/duplicate/reopen workflow</x:v>
      </x:c>
      <x:c r="L20" s="100" t="str">
        <x:f>IF('Master'!M563="","",'Master'!M563)</x:f>
      </x:c>
      <x:c r="M20" s="100" t="str">
        <x:f>IF('Master'!N563="","",'Master'!N563)</x:f>
      </x:c>
      <x:c r="N20" s="100" t="str">
        <x:f>IF('Master'!O563="","",'Master'!O563)</x:f>
        <x:v>Client/server-dependent</x:v>
      </x:c>
      <x:c r="O20" s="100" t="str">
        <x:f>IF('Master'!P563="","",'Master'!P563)</x:f>
        <x:v>Admin console</x:v>
      </x:c>
      <x:c r="P20" s="100" t="str">
        <x:f>IF('Master'!Q563="","",'Master'!Q563)</x:f>
      </x:c>
      <x:c r="Q20" s="100" t="str">
        <x:f>IF('Master'!R563="","",'Master'!R563)</x:f>
        <x:v>Admin tools</x:v>
      </x:c>
      <x:c r="R20" s="100" t="str">
        <x:f>IF('Master'!S563="","",'Master'!S563)</x:f>
      </x:c>
      <x:c r="S20" s="100" t="str">
        <x:f>IF('Master'!T563="","",'Master'!T563)</x:f>
      </x:c>
      <x:c r="T20" s="100" t="str">
        <x:f>IF('Master'!U563="","",'Master'!U563)</x:f>
        <x:v>Reports in-app</x:v>
      </x:c>
      <x:c r="U20" s="100" t="str">
        <x:f>IF('Master'!V563="","",'Master'!V563)</x:f>
        <x:v>Yes — Shard Command Center/mod feed</x:v>
      </x:c>
      <x:c r="V20" s="100" t="str">
        <x:f>IF('Master'!W563="","",'Master'!W563)</x:f>
        <x:v>Admin console</x:v>
      </x:c>
      <x:c r="W20" s="100" t="str">
        <x:f>IF('Master'!X563="","",'Master'!X563)</x:f>
      </x:c>
      <x:c r="X20" s="100" t="str">
        <x:f>IF('Master'!Y563="","",'Master'!Y563)</x:f>
        <x:v>Moderation App dashboards/analytics</x:v>
      </x:c>
      <x:c r="Y20" s="100" t="str">
        <x:f>IF('Master'!Z563="","",'Master'!Z563)</x:f>
      </x:c>
      <x:c r="Z20" s="100" t="str">
        <x:f>IF('Master'!AA563="","",'Master'!AA563)</x:f>
      </x:c>
      <x:c r="AA20" s="104" t="str">
        <x:f>IF('Master'!AB563="","",'Master'!AB563)</x:f>
        <x:v>Admin tools</x:v>
      </x:c>
      <x:c r="AB20" s="100" t="str">
        <x:f>IF('Master'!AC563="","",'Master'!AC563)</x:f>
        <x:v>Admin/mod tools</x:v>
      </x:c>
      <x:c r="AC20" s="100" t="str">
        <x:f>IF('Master'!AD563="","",'Master'!AD563)</x:f>
      </x:c>
      <x:c r="AD20" s="100" t="str">
        <x:f>IF('Master'!AE563="","",'Master'!AE563)</x:f>
      </x:c>
      <x:c r="AE20" s="100" t="str">
        <x:f>IF('Master'!AF563="","",'Master'!AF563)</x:f>
      </x:c>
      <x:c r="AF20" s="75" t="str">
        <x:f>IF('Master'!AG563="","",'Master'!AG563)</x:f>
        <x:v>Admin UI</x:v>
      </x:c>
    </x:row>
    <x:row r="21" ht="36" customHeight="1">
      <x:c r="A21" s="135" t="str">
        <x:v>User Report Queue?</x:v>
      </x:c>
      <x:c r="B21" s="100" t="str">
        <x:f>IF('Master'!C564="","",'Master'!C564)</x:f>
      </x:c>
      <x:c r="C21" s="100" t="str">
        <x:f>IF('Master'!D564="","",'Master'!D564)</x:f>
      </x:c>
      <x:c r="D21" s="100" t="str">
        <x:f>IF('Master'!E564="","",'Master'!E564)</x:f>
        <x:v>Operator responsibility</x:v>
      </x:c>
      <x:c r="E21" s="100" t="str">
        <x:f>IF('Master'!F564="","",'Master'!F564)</x:f>
      </x:c>
      <x:c r="F21" s="100" t="str">
        <x:f>IF('Master'!G564="","",'Master'!G564)</x:f>
        <x:v>Native moderation controls</x:v>
      </x:c>
      <x:c r="G21" s="100" t="str">
        <x:f>IF('Master'!H564="","",'Master'!H564)</x:f>
      </x:c>
      <x:c r="H21" s="100" t="str">
        <x:f>IF('Master'!I564="","",'Master'!I564)</x:f>
      </x:c>
      <x:c r="I21" s="100" t="str">
        <x:f>IF('Master'!J564="","",'Master'!J564)</x:f>
      </x:c>
      <x:c r="J21" s="100" t="str">
        <x:f>IF('Master'!K564="","",'Master'!K564)</x:f>
      </x:c>
      <x:c r="K21" s="100" t="str">
        <x:f>IF('Master'!L564="","",'Master'!L564)</x:f>
        <x:v>Yes — instance Trust &amp; Safety report queue with triage/review/request-info/action/no-action/duplicate/reopen workflow</x:v>
      </x:c>
      <x:c r="L21" s="100" t="str">
        <x:f>IF('Master'!M564="","",'Master'!M564)</x:f>
      </x:c>
      <x:c r="M21" s="100" t="str">
        <x:f>IF('Master'!N564="","",'Master'!N564)</x:f>
      </x:c>
      <x:c r="N21" s="100" t="str">
        <x:f>IF('Master'!O564="","",'Master'!O564)</x:f>
        <x:v>Client/server-dependent</x:v>
      </x:c>
      <x:c r="O21" s="100" t="str">
        <x:f>IF('Master'!P564="","",'Master'!P564)</x:f>
        <x:v>Admin console</x:v>
      </x:c>
      <x:c r="P21" s="100" t="str">
        <x:f>IF('Master'!Q564="","",'Master'!Q564)</x:f>
      </x:c>
      <x:c r="Q21" s="100" t="str">
        <x:f>IF('Master'!R564="","",'Master'!R564)</x:f>
        <x:v>Admin tools</x:v>
      </x:c>
      <x:c r="R21" s="100" t="str">
        <x:f>IF('Master'!S564="","",'Master'!S564)</x:f>
      </x:c>
      <x:c r="S21" s="100" t="str">
        <x:f>IF('Master'!T564="","",'Master'!T564)</x:f>
      </x:c>
      <x:c r="T21" s="100" t="str">
        <x:f>IF('Master'!U564="","",'Master'!U564)</x:f>
        <x:v>Reports in-app</x:v>
      </x:c>
      <x:c r="U21" s="100" t="str">
        <x:f>IF('Master'!V564="","",'Master'!V564)</x:f>
        <x:v>Yes — structured reports/status</x:v>
      </x:c>
      <x:c r="V21" s="100" t="str">
        <x:f>IF('Master'!W564="","",'Master'!W564)</x:f>
        <x:v>Admin console</x:v>
      </x:c>
      <x:c r="W21" s="100" t="str">
        <x:f>IF('Master'!X564="","",'Master'!X564)</x:f>
      </x:c>
      <x:c r="X21" s="100" t="str">
        <x:f>IF('Master'!Y564="","",'Master'!Y564)</x:f>
        <x:v>Moderation App dashboards/analytics</x:v>
      </x:c>
      <x:c r="Y21" s="100" t="str">
        <x:f>IF('Master'!Z564="","",'Master'!Z564)</x:f>
      </x:c>
      <x:c r="Z21" s="100" t="str">
        <x:f>IF('Master'!AA564="","",'Master'!AA564)</x:f>
      </x:c>
      <x:c r="AA21" s="104" t="str">
        <x:f>IF('Master'!AB564="","",'Master'!AB564)</x:f>
        <x:v>Admin tools</x:v>
      </x:c>
      <x:c r="AB21" s="100" t="str">
        <x:f>IF('Master'!AC564="","",'Master'!AC564)</x:f>
        <x:v>Admin/mod tools</x:v>
      </x:c>
      <x:c r="AC21" s="100" t="str">
        <x:f>IF('Master'!AD564="","",'Master'!AD564)</x:f>
      </x:c>
      <x:c r="AD21" s="100" t="str">
        <x:f>IF('Master'!AE564="","",'Master'!AE564)</x:f>
      </x:c>
      <x:c r="AE21" s="100" t="str">
        <x:f>IF('Master'!AF564="","",'Master'!AF564)</x:f>
      </x:c>
      <x:c r="AF21" s="75" t="str">
        <x:f>IF('Master'!AG564="","",'Master'!AG564)</x:f>
        <x:v>Admin UI</x:v>
      </x:c>
    </x:row>
    <x:row r="22" ht="36" customHeight="1">
      <x:c r="A22" s="135" t="str">
        <x:v>AutoMod Alert Channel?</x:v>
      </x:c>
      <x:c r="B22" s="100" t="str">
        <x:f>IF('Master'!C565="","",'Master'!C565)</x:f>
        <x:v>Yes</x:v>
      </x:c>
      <x:c r="C22" s="100" t="str">
        <x:f>IF('Master'!D565="","",'Master'!D565)</x:f>
      </x:c>
      <x:c r="D22" s="100" t="str">
        <x:f>IF('Master'!E565="","",'Master'!E565)</x:f>
      </x:c>
      <x:c r="E22" s="100" t="str">
        <x:f>IF('Master'!F565="","",'Master'!F565)</x:f>
      </x:c>
      <x:c r="F22" s="100" t="str">
        <x:f>IF('Master'!G565="","",'Master'!G565)</x:f>
      </x:c>
      <x:c r="G22" s="100" t="str">
        <x:f>IF('Master'!H565="","",'Master'!H565)</x:f>
      </x:c>
      <x:c r="H22" s="100" t="str">
        <x:f>IF('Master'!I565="","",'Master'!I565)</x:f>
      </x:c>
      <x:c r="I22" s="100" t="str">
        <x:f>IF('Master'!J565="","",'Master'!J565)</x:f>
      </x:c>
      <x:c r="J22" s="100" t="str">
        <x:f>IF('Master'!K565="","",'Master'!K565)</x:f>
      </x:c>
      <x:c r="K22" s="100" t="str">
        <x:f>IF('Master'!L565="","",'Master'!L565)</x:f>
        <x:v>Not documented</x:v>
      </x:c>
      <x:c r="L22" s="100" t="str">
        <x:f>IF('Master'!M565="","",'Master'!M565)</x:f>
      </x:c>
      <x:c r="M22" s="100" t="str">
        <x:f>IF('Master'!N565="","",'Master'!N565)</x:f>
      </x:c>
      <x:c r="N22" s="100" t="str">
        <x:f>IF('Master'!O565="","",'Master'!O565)</x:f>
      </x:c>
      <x:c r="O22" s="100" t="str">
        <x:f>IF('Master'!P565="","",'Master'!P565)</x:f>
      </x:c>
      <x:c r="P22" s="100" t="str">
        <x:f>IF('Master'!Q565="","",'Master'!Q565)</x:f>
      </x:c>
      <x:c r="Q22" s="100" t="str">
        <x:f>IF('Master'!R565="","",'Master'!R565)</x:f>
      </x:c>
      <x:c r="R22" s="100" t="str">
        <x:f>IF('Master'!S565="","",'Master'!S565)</x:f>
      </x:c>
      <x:c r="S22" s="100" t="str">
        <x:f>IF('Master'!T565="","",'Master'!T565)</x:f>
      </x:c>
      <x:c r="T22" s="100" t="str">
        <x:f>IF('Master'!U565="","",'Master'!U565)</x:f>
      </x:c>
      <x:c r="U22" s="100" t="str">
        <x:f>IF('Master'!V565="","",'Master'!V565)</x:f>
        <x:v>Command Center</x:v>
      </x:c>
      <x:c r="V22" s="100" t="str">
        <x:f>IF('Master'!W565="","",'Master'!W565)</x:f>
      </x:c>
      <x:c r="W22" s="100" t="str">
        <x:f>IF('Master'!X565="","",'Master'!X565)</x:f>
      </x:c>
      <x:c r="X22" s="100" t="str">
        <x:f>IF('Master'!Y565="","",'Master'!Y565)</x:f>
      </x:c>
      <x:c r="Y22" s="100" t="str">
        <x:f>IF('Master'!Z565="","",'Master'!Z565)</x:f>
      </x:c>
      <x:c r="Z22" s="100" t="str">
        <x:f>IF('Master'!AA565="","",'Master'!AA565)</x:f>
      </x:c>
      <x:c r="AA22" s="104" t="str">
        <x:f>IF('Master'!AB565="","",'Master'!AB565)</x:f>
      </x:c>
      <x:c r="AB22" s="100" t="str">
        <x:f>IF('Master'!AC565="","",'Master'!AC565)</x:f>
      </x:c>
      <x:c r="AC22" s="100" t="str">
        <x:f>IF('Master'!AD565="","",'Master'!AD565)</x:f>
      </x:c>
      <x:c r="AD22" s="100" t="str">
        <x:f>IF('Master'!AE565="","",'Master'!AE565)</x:f>
      </x:c>
      <x:c r="AE22" s="100" t="str">
        <x:f>IF('Master'!AF565="","",'Master'!AF565)</x:f>
      </x:c>
      <x:c r="AF22" s="75" t="str">
        <x:f>IF('Master'!AG565="","",'Master'!AG565)</x:f>
      </x:c>
    </x:row>
    <x:row r="23" ht="36" customHeight="1">
      <x:c r="A23" s="135" t="str">
        <x:v>Audit Log?</x:v>
      </x:c>
      <x:c r="B23" s="100" t="str">
        <x:f>IF('Master'!C566="","",'Master'!C566)</x:f>
        <x:v>Granular administrative actions with actor/target/changes/reason; available in client and API</x:v>
      </x:c>
      <x:c r="C23" s="100" t="str">
        <x:f>IF('Master'!D566="","",'Master'!D566)</x:f>
      </x:c>
      <x:c r="D23" s="100" t="str">
        <x:f>IF('Master'!E566="","",'Master'!E566)</x:f>
        <x:v>Operator tools</x:v>
      </x:c>
      <x:c r="E23" s="100" t="str">
        <x:f>IF('Master'!F566="","",'Master'!F566)</x:f>
      </x:c>
      <x:c r="F23" s="100" t="str">
        <x:f>IF('Master'!G566="","",'Master'!G566)</x:f>
      </x:c>
      <x:c r="G23" s="100" t="str">
        <x:f>IF('Master'!H566="","",'Master'!H566)</x:f>
      </x:c>
      <x:c r="H23" s="100" t="str">
        <x:f>IF('Master'!I566="","",'Master'!I566)</x:f>
      </x:c>
      <x:c r="I23" s="100" t="str">
        <x:f>IF('Master'!J566="","",'Master'!J566)</x:f>
      </x:c>
      <x:c r="J23" s="100" t="str">
        <x:f>IF('Master'!K566="","",'Master'!K566)</x:f>
      </x:c>
      <x:c r="K23" s="100" t="str">
        <x:f>IF('Master'!L566="","",'Master'!L566)</x:f>
        <x:v>Yes — administration audit includes actor, action, target, safe metadata and timestamp</x:v>
      </x:c>
      <x:c r="L23" s="100" t="str">
        <x:f>IF('Master'!M566="","",'Master'!M566)</x:f>
      </x:c>
      <x:c r="M23" s="100" t="str">
        <x:f>IF('Master'!N566="","",'Master'!N566)</x:f>
      </x:c>
      <x:c r="N23" s="100" t="str">
        <x:f>IF('Master'!O566="","",'Master'!O566)</x:f>
        <x:v>Homeserver-dependent</x:v>
      </x:c>
      <x:c r="O23" s="100" t="str">
        <x:f>IF('Master'!P566="","",'Master'!P566)</x:f>
        <x:v>Detailed audit/compliance tooling</x:v>
      </x:c>
      <x:c r="P23" s="100" t="str">
        <x:f>IF('Master'!Q566="","",'Master'!Q566)</x:f>
      </x:c>
      <x:c r="Q23" s="100" t="str">
        <x:f>IF('Master'!R566="","",'Master'!R566)</x:f>
        <x:v>ACL/log tools</x:v>
      </x:c>
      <x:c r="R23" s="100" t="str">
        <x:f>IF('Master'!S566="","",'Master'!S566)</x:f>
      </x:c>
      <x:c r="S23" s="100" t="str">
        <x:f>IF('Master'!T566="","",'Master'!T566)</x:f>
      </x:c>
      <x:c r="T23" s="100" t="str">
        <x:f>IF('Master'!U566="","",'Master'!U566)</x:f>
        <x:v>Yes</x:v>
      </x:c>
      <x:c r="U23" s="100" t="str">
        <x:f>IF('Master'!V566="","",'Master'!V566)</x:f>
        <x:v>Yes</x:v>
      </x:c>
      <x:c r="V23" s="100" t="str">
        <x:f>IF('Master'!W566="","",'Master'!W566)</x:f>
        <x:v>Detailed enterprise audit tools</x:v>
      </x:c>
      <x:c r="W23" s="100" t="str">
        <x:f>IF('Master'!X566="","",'Master'!X566)</x:f>
      </x:c>
      <x:c r="X23" s="100" t="str">
        <x:f>IF('Master'!Y566="","",'Master'!Y566)</x:f>
      </x:c>
      <x:c r="Y23" s="100" t="str">
        <x:f>IF('Master'!Z566="","",'Master'!Z566)</x:f>
      </x:c>
      <x:c r="Z23" s="100" t="str">
        <x:f>IF('Master'!AA566="","",'Master'!AA566)</x:f>
      </x:c>
      <x:c r="AA23" s="104" t="str">
        <x:f>IF('Master'!AB566="","",'Master'!AB566)</x:f>
        <x:v>Detailed permissions/logging</x:v>
      </x:c>
      <x:c r="AB23" s="100" t="str">
        <x:f>IF('Master'!AC566="","",'Master'!AC566)</x:f>
        <x:v>Moderation tooling</x:v>
      </x:c>
      <x:c r="AC23" s="100" t="str">
        <x:f>IF('Master'!AD566="","",'Master'!AD566)</x:f>
      </x:c>
      <x:c r="AD23" s="100" t="str">
        <x:f>IF('Master'!AE566="","",'Master'!AE566)</x:f>
      </x:c>
      <x:c r="AE23" s="100" t="str">
        <x:f>IF('Master'!AF566="","",'Master'!AF566)</x:f>
      </x:c>
      <x:c r="AF23" s="75" t="str">
        <x:f>IF('Master'!AG566="","",'Master'!AG566)</x:f>
        <x:v>Admin tooling</x:v>
      </x:c>
    </x:row>
    <x:row r="24" ht="36" customHeight="1">
      <x:c r="A24" s="135" t="str">
        <x:v>Audit Retention Days</x:v>
      </x:c>
      <x:c r="B24" s="100" t="str">
        <x:f>IF('Master'!C567="","",'Master'!C567)</x:f>
        <x:v>45 days</x:v>
      </x:c>
      <x:c r="C24" s="100" t="str">
        <x:f>IF('Master'!D567="","",'Master'!D567)</x:f>
      </x:c>
      <x:c r="D24" s="100" t="str">
        <x:f>IF('Master'!E567="","",'Master'!E567)</x:f>
        <x:v>Operator controlled</x:v>
      </x:c>
      <x:c r="E24" s="100" t="str">
        <x:f>IF('Master'!F567="","",'Master'!F567)</x:f>
      </x:c>
      <x:c r="F24" s="100" t="str">
        <x:f>IF('Master'!G567="","",'Master'!G567)</x:f>
      </x:c>
      <x:c r="G24" s="100" t="str">
        <x:f>IF('Master'!H567="","",'Master'!H567)</x:f>
      </x:c>
      <x:c r="H24" s="100" t="str">
        <x:f>IF('Master'!I567="","",'Master'!I567)</x:f>
      </x:c>
      <x:c r="I24" s="100" t="str">
        <x:f>IF('Master'!J567="","",'Master'!J567)</x:f>
      </x:c>
      <x:c r="J24" s="100" t="str">
        <x:f>IF('Master'!K567="","",'Master'!K567)</x:f>
      </x:c>
      <x:c r="K24" s="100" t="str">
        <x:f>IF('Master'!L567="","",'Master'!L567)</x:f>
        <x:v>Developer reports no audit-depth limit; public docs confirm audit records but do not publish a retention cap</x:v>
      </x:c>
      <x:c r="L24" s="100" t="str">
        <x:f>IF('Master'!M567="","",'Master'!M567)</x:f>
      </x:c>
      <x:c r="M24" s="100" t="str">
        <x:f>IF('Master'!N567="","",'Master'!N567)</x:f>
      </x:c>
      <x:c r="N24" s="100" t="str">
        <x:f>IF('Master'!O567="","",'Master'!O567)</x:f>
        <x:v>Homeserver-dependent</x:v>
      </x:c>
      <x:c r="O24" s="100" t="str">
        <x:f>IF('Master'!P567="","",'Master'!P567)</x:f>
        <x:v>Audit logs enterprise/deployment-dependent</x:v>
      </x:c>
      <x:c r="P24" s="100" t="str">
        <x:f>IF('Master'!Q567="","",'Master'!Q567)</x:f>
      </x:c>
      <x:c r="Q24" s="100" t="str">
        <x:f>IF('Master'!R567="","",'Master'!R567)</x:f>
        <x:v>Server logs operator-controlled</x:v>
      </x:c>
      <x:c r="R24" s="100" t="str">
        <x:f>IF('Master'!S567="","",'Master'!S567)</x:f>
      </x:c>
      <x:c r="S24" s="100" t="str">
        <x:f>IF('Master'!T567="","",'Master'!T567)</x:f>
      </x:c>
      <x:c r="T24" s="100" t="str">
        <x:f>IF('Master'!U567="","",'Master'!U567)</x:f>
        <x:v>Not publicly claimed</x:v>
      </x:c>
      <x:c r="U24" s="100" t="str">
        <x:f>IF('Master'!V567="","",'Master'!V567)</x:f>
      </x:c>
      <x:c r="V24" s="100" t="str">
        <x:f>IF('Master'!W567="","",'Master'!W567)</x:f>
        <x:v>Audit logs enterprise/admin</x:v>
      </x:c>
      <x:c r="W24" s="100" t="str">
        <x:f>IF('Master'!X567="","",'Master'!X567)</x:f>
      </x:c>
      <x:c r="X24" s="100" t="str">
        <x:f>IF('Master'!Y567="","",'Master'!Y567)</x:f>
      </x:c>
      <x:c r="Y24" s="100" t="str">
        <x:f>IF('Master'!Z567="","",'Master'!Z567)</x:f>
      </x:c>
      <x:c r="Z24" s="100" t="str">
        <x:f>IF('Master'!AA567="","",'Master'!AA567)</x:f>
      </x:c>
      <x:c r="AA24" s="104" t="str">
        <x:f>IF('Master'!AB567="","",'Master'!AB567)</x:f>
        <x:v>Server logs/operator-controlled</x:v>
      </x:c>
      <x:c r="AB24" s="100" t="str">
        <x:f>IF('Master'!AC567="","",'Master'!AC567)</x:f>
      </x:c>
      <x:c r="AC24" s="100" t="str">
        <x:f>IF('Master'!AD567="","",'Master'!AD567)</x:f>
      </x:c>
      <x:c r="AD24" s="100" t="str">
        <x:f>IF('Master'!AE567="","",'Master'!AE567)</x:f>
      </x:c>
      <x:c r="AE24" s="100" t="str">
        <x:f>IF('Master'!AF567="","",'Master'!AF567)</x:f>
      </x:c>
      <x:c r="AF24" s="75" t="str">
        <x:f>IF('Master'!AG567="","",'Master'!AG567)</x:f>
        <x:v>Audit/admin logs deployment-dependent</x:v>
      </x:c>
    </x:row>
    <x:row r="25" ht="36" customHeight="1">
      <x:c r="A25" s="135" t="str">
        <x:v>Audit Search / Filtering?</x:v>
      </x:c>
      <x:c r="B25" s="100" t="str">
        <x:f>IF('Master'!C568="","",'Master'!C568)</x:f>
        <x:v>Granular administrative actions with actor/target/changes/reason; available in client and API</x:v>
      </x:c>
      <x:c r="C25" s="100" t="str">
        <x:f>IF('Master'!D568="","",'Master'!D568)</x:f>
      </x:c>
      <x:c r="D25" s="100" t="str">
        <x:f>IF('Master'!E568="","",'Master'!E568)</x:f>
        <x:v>Operator tools</x:v>
      </x:c>
      <x:c r="E25" s="100" t="str">
        <x:f>IF('Master'!F568="","",'Master'!F568)</x:f>
      </x:c>
      <x:c r="F25" s="100" t="str">
        <x:f>IF('Master'!G568="","",'Master'!G568)</x:f>
      </x:c>
      <x:c r="G25" s="100" t="str">
        <x:f>IF('Master'!H568="","",'Master'!H568)</x:f>
      </x:c>
      <x:c r="H25" s="100" t="str">
        <x:f>IF('Master'!I568="","",'Master'!I568)</x:f>
      </x:c>
      <x:c r="I25" s="100" t="str">
        <x:f>IF('Master'!J568="","",'Master'!J568)</x:f>
      </x:c>
      <x:c r="J25" s="100" t="str">
        <x:f>IF('Master'!K568="","",'Master'!K568)</x:f>
      </x:c>
      <x:c r="K25" s="100" t="str">
        <x:f>IF('Master'!L568="","",'Master'!L568)</x:f>
        <x:v>Yes — administration audit includes actor, action, target, safe metadata and timestamp</x:v>
      </x:c>
      <x:c r="L25" s="100" t="str">
        <x:f>IF('Master'!M568="","",'Master'!M568)</x:f>
      </x:c>
      <x:c r="M25" s="100" t="str">
        <x:f>IF('Master'!N568="","",'Master'!N568)</x:f>
      </x:c>
      <x:c r="N25" s="100" t="str">
        <x:f>IF('Master'!O568="","",'Master'!O568)</x:f>
        <x:v>Homeserver-dependent</x:v>
      </x:c>
      <x:c r="O25" s="100" t="str">
        <x:f>IF('Master'!P568="","",'Master'!P568)</x:f>
        <x:v>Detailed audit/compliance tooling</x:v>
      </x:c>
      <x:c r="P25" s="100" t="str">
        <x:f>IF('Master'!Q568="","",'Master'!Q568)</x:f>
      </x:c>
      <x:c r="Q25" s="100" t="str">
        <x:f>IF('Master'!R568="","",'Master'!R568)</x:f>
        <x:v>ACL/log tools</x:v>
      </x:c>
      <x:c r="R25" s="100" t="str">
        <x:f>IF('Master'!S568="","",'Master'!S568)</x:f>
      </x:c>
      <x:c r="S25" s="100" t="str">
        <x:f>IF('Master'!T568="","",'Master'!T568)</x:f>
      </x:c>
      <x:c r="T25" s="100" t="str">
        <x:f>IF('Master'!U568="","",'Master'!U568)</x:f>
        <x:v>Not publicly claimed</x:v>
      </x:c>
      <x:c r="U25" s="100" t="str">
        <x:f>IF('Master'!V568="","",'Master'!V568)</x:f>
        <x:v>Yes</x:v>
      </x:c>
      <x:c r="V25" s="100" t="str">
        <x:f>IF('Master'!W568="","",'Master'!W568)</x:f>
        <x:v>Detailed enterprise audit tools</x:v>
      </x:c>
      <x:c r="W25" s="100" t="str">
        <x:f>IF('Master'!X568="","",'Master'!X568)</x:f>
      </x:c>
      <x:c r="X25" s="100" t="str">
        <x:f>IF('Master'!Y568="","",'Master'!Y568)</x:f>
      </x:c>
      <x:c r="Y25" s="100" t="str">
        <x:f>IF('Master'!Z568="","",'Master'!Z568)</x:f>
      </x:c>
      <x:c r="Z25" s="100" t="str">
        <x:f>IF('Master'!AA568="","",'Master'!AA568)</x:f>
      </x:c>
      <x:c r="AA25" s="104" t="str">
        <x:f>IF('Master'!AB568="","",'Master'!AB568)</x:f>
        <x:v>Detailed permissions/logging</x:v>
      </x:c>
      <x:c r="AB25" s="100" t="str">
        <x:f>IF('Master'!AC568="","",'Master'!AC568)</x:f>
        <x:v>Moderation tooling</x:v>
      </x:c>
      <x:c r="AC25" s="100" t="str">
        <x:f>IF('Master'!AD568="","",'Master'!AD568)</x:f>
      </x:c>
      <x:c r="AD25" s="100" t="str">
        <x:f>IF('Master'!AE568="","",'Master'!AE568)</x:f>
      </x:c>
      <x:c r="AE25" s="100" t="str">
        <x:f>IF('Master'!AF568="","",'Master'!AF568)</x:f>
      </x:c>
      <x:c r="AF25" s="75" t="str">
        <x:f>IF('Master'!AG568="","",'Master'!AG568)</x:f>
        <x:v>Admin tooling</x:v>
      </x:c>
    </x:row>
    <x:row r="26" ht="22" customHeight="1">
      <x:c r="A26" s="138" t="str">
        <x:v>Core Actions</x:v>
      </x:c>
      <x:c r="B26" s="138" t="str">
        <x:f>IF(""="","","")</x:f>
      </x:c>
      <x:c r="C26" s="138" t="str">
        <x:f>IF(""="","","")</x:f>
      </x:c>
      <x:c r="D26" s="138" t="str">
        <x:f>IF(""="","","")</x:f>
      </x:c>
      <x:c r="E26" s="138" t="str">
        <x:f>IF(""="","","")</x:f>
      </x:c>
      <x:c r="F26" s="138" t="str">
        <x:f>IF(""="","","")</x:f>
      </x:c>
      <x:c r="G26" s="138" t="str">
        <x:f>IF(""="","","")</x:f>
      </x:c>
      <x:c r="H26" s="138" t="str">
        <x:f>IF(""="","","")</x:f>
      </x:c>
      <x:c r="I26" s="138" t="str">
        <x:f>IF(""="","","")</x:f>
      </x:c>
      <x:c r="J26" s="138" t="str">
        <x:f>IF(""="","","")</x:f>
      </x:c>
      <x:c r="K26" s="138" t="str">
        <x:f>IF(""="","","")</x:f>
      </x:c>
      <x:c r="L26" s="138" t="str">
        <x:f>IF(""="","","")</x:f>
      </x:c>
      <x:c r="M26" s="138" t="str">
        <x:f>IF(""="","","")</x:f>
      </x:c>
      <x:c r="N26" s="138" t="str">
        <x:f>IF(""="","","")</x:f>
      </x:c>
      <x:c r="O26" s="138" t="str">
        <x:f>IF(""="","","")</x:f>
      </x:c>
      <x:c r="P26" s="138" t="str">
        <x:f>IF(""="","","")</x:f>
      </x:c>
      <x:c r="Q26" s="138" t="str">
        <x:f>IF(""="","","")</x:f>
      </x:c>
      <x:c r="R26" s="138" t="str">
        <x:f>IF(""="","","")</x:f>
      </x:c>
      <x:c r="S26" s="138" t="str">
        <x:f>IF(""="","","")</x:f>
      </x:c>
      <x:c r="T26" s="138" t="str">
        <x:f>IF(""="","","")</x:f>
      </x:c>
      <x:c r="U26" s="138" t="str">
        <x:f>IF(""="","","")</x:f>
      </x:c>
      <x:c r="V26" s="138" t="str">
        <x:f>IF(""="","","")</x:f>
      </x:c>
      <x:c r="W26" s="138" t="str">
        <x:f>IF(""="","","")</x:f>
      </x:c>
      <x:c r="X26" s="138" t="str">
        <x:f>IF(""="","","")</x:f>
      </x:c>
      <x:c r="Y26" s="138" t="str">
        <x:f>IF(""="","","")</x:f>
      </x:c>
      <x:c r="Z26" s="138" t="str">
        <x:f>IF(""="","","")</x:f>
      </x:c>
      <x:c r="AA26" s="138" t="str">
        <x:f>IF(""="","","")</x:f>
      </x:c>
      <x:c r="AB26" s="138" t="str">
        <x:f>IF(""="","","")</x:f>
      </x:c>
      <x:c r="AC26" s="138" t="str">
        <x:f>IF(""="","","")</x:f>
      </x:c>
      <x:c r="AD26" s="138" t="str">
        <x:f>IF(""="","","")</x:f>
      </x:c>
      <x:c r="AE26" s="138" t="str">
        <x:f>IF(""="","","")</x:f>
      </x:c>
      <x:c r="AF26" s="139" t="str">
        <x:f>IF(""="","","")</x:f>
      </x:c>
    </x:row>
    <x:row r="27" ht="36" customHeight="1">
      <x:c r="A27" s="135" t="str">
        <x:v>Ban?</x:v>
      </x:c>
      <x:c r="B27" s="100" t="str">
        <x:f>IF('Master'!C569="","",'Master'!C569)</x:f>
        <x:v>Yes</x:v>
      </x:c>
      <x:c r="C27" s="100" t="str">
        <x:f>IF('Master'!D569="","",'Master'!D569)</x:f>
        <x:v>Yes</x:v>
      </x:c>
      <x:c r="D27" s="100" t="str">
        <x:f>IF('Master'!E569="","",'Master'!E569)</x:f>
        <x:v>Yes</x:v>
      </x:c>
      <x:c r="E27" s="100" t="str">
        <x:f>IF('Master'!F569="","",'Master'!F569)</x:f>
        <x:v>Yes</x:v>
      </x:c>
      <x:c r="F27" s="100" t="str">
        <x:f>IF('Master'!G569="","",'Master'!G569)</x:f>
        <x:v>Yes</x:v>
      </x:c>
      <x:c r="G27" s="100" t="str">
        <x:f>IF('Master'!H569="","",'Master'!H569)</x:f>
        <x:v>Yes</x:v>
      </x:c>
      <x:c r="H27" s="100" t="str">
        <x:f>IF('Master'!I569="","",'Master'!I569)</x:f>
        <x:v>Yes</x:v>
      </x:c>
      <x:c r="I27" s="100" t="str">
        <x:f>IF('Master'!J569="","",'Master'!J569)</x:f>
        <x:v>Yes</x:v>
      </x:c>
      <x:c r="J27" s="100" t="str">
        <x:f>IF('Master'!K569="","",'Master'!K569)</x:f>
        <x:v>Yes</x:v>
      </x:c>
      <x:c r="K27" s="100" t="str">
        <x:f>IF('Master'!L569="","",'Master'!L569)</x:f>
        <x:v>Yes</x:v>
      </x:c>
      <x:c r="L27" s="100" t="str">
        <x:f>IF('Master'!M569="","",'Master'!M569)</x:f>
        <x:v>Yes</x:v>
      </x:c>
      <x:c r="M27" s="100" t="str">
        <x:f>IF('Master'!N569="","",'Master'!N569)</x:f>
        <x:v>Yes</x:v>
      </x:c>
      <x:c r="N27" s="100" t="str">
        <x:f>IF('Master'!O569="","",'Master'!O569)</x:f>
        <x:v>Yes</x:v>
      </x:c>
      <x:c r="O27" s="100" t="str">
        <x:f>IF('Master'!P569="","",'Master'!P569)</x:f>
        <x:v>Yes</x:v>
      </x:c>
      <x:c r="P27" s="100" t="str">
        <x:f>IF('Master'!Q569="","",'Master'!Q569)</x:f>
        <x:v>Yes</x:v>
      </x:c>
      <x:c r="Q27" s="100" t="str">
        <x:f>IF('Master'!R569="","",'Master'!R569)</x:f>
        <x:v>Yes</x:v>
      </x:c>
      <x:c r="R27" s="100" t="str">
        <x:f>IF('Master'!S569="","",'Master'!S569)</x:f>
        <x:v>Yes</x:v>
      </x:c>
      <x:c r="S27" s="100" t="str">
        <x:f>IF('Master'!T569="","",'Master'!T569)</x:f>
        <x:v>Yes</x:v>
      </x:c>
      <x:c r="T27" s="100" t="str">
        <x:f>IF('Master'!U569="","",'Master'!U569)</x:f>
        <x:v>Yes</x:v>
      </x:c>
      <x:c r="U27" s="100" t="str">
        <x:f>IF('Master'!V569="","",'Master'!V569)</x:f>
        <x:v>Yes</x:v>
      </x:c>
      <x:c r="V27" s="100" t="str">
        <x:f>IF('Master'!W569="","",'Master'!W569)</x:f>
        <x:v>Yes</x:v>
      </x:c>
      <x:c r="W27" s="100" t="str">
        <x:f>IF('Master'!X569="","",'Master'!X569)</x:f>
        <x:v>Yes</x:v>
      </x:c>
      <x:c r="X27" s="100" t="str">
        <x:f>IF('Master'!Y569="","",'Master'!Y569)</x:f>
        <x:v>Yes</x:v>
      </x:c>
      <x:c r="Y27" s="100" t="str">
        <x:f>IF('Master'!Z569="","",'Master'!Z569)</x:f>
        <x:v>Yes</x:v>
      </x:c>
      <x:c r="Z27" s="100" t="str">
        <x:f>IF('Master'!AA569="","",'Master'!AA569)</x:f>
        <x:v>Yes</x:v>
      </x:c>
      <x:c r="AA27" s="104" t="str">
        <x:f>IF('Master'!AB569="","",'Master'!AB569)</x:f>
        <x:v>Yes</x:v>
      </x:c>
      <x:c r="AB27" s="100" t="str">
        <x:f>IF('Master'!AC569="","",'Master'!AC569)</x:f>
        <x:v>Yes</x:v>
      </x:c>
      <x:c r="AC27" s="100" t="str">
        <x:f>IF('Master'!AD569="","",'Master'!AD569)</x:f>
        <x:v>Yes</x:v>
      </x:c>
      <x:c r="AD27" s="100" t="str">
        <x:f>IF('Master'!AE569="","",'Master'!AE569)</x:f>
        <x:v>Yes</x:v>
      </x:c>
      <x:c r="AE27" s="100" t="str">
        <x:f>IF('Master'!AF569="","",'Master'!AF569)</x:f>
        <x:v>Yes</x:v>
      </x:c>
      <x:c r="AF27" s="75" t="str">
        <x:f>IF('Master'!AG569="","",'Master'!AG569)</x:f>
        <x:v>Yes</x:v>
      </x:c>
    </x:row>
    <x:row r="28" ht="36" customHeight="1">
      <x:c r="A28" s="135" t="str">
        <x:v>Kick?</x:v>
      </x:c>
      <x:c r="B28" s="100" t="str">
        <x:f>IF('Master'!C570="","",'Master'!C570)</x:f>
        <x:v>Yes</x:v>
      </x:c>
      <x:c r="C28" s="100" t="str">
        <x:f>IF('Master'!D570="","",'Master'!D570)</x:f>
        <x:v>Yes</x:v>
      </x:c>
      <x:c r="D28" s="100" t="str">
        <x:f>IF('Master'!E570="","",'Master'!E570)</x:f>
        <x:v>Yes</x:v>
      </x:c>
      <x:c r="E28" s="100" t="str">
        <x:f>IF('Master'!F570="","",'Master'!F570)</x:f>
        <x:v>Yes</x:v>
      </x:c>
      <x:c r="F28" s="100" t="str">
        <x:f>IF('Master'!G570="","",'Master'!G570)</x:f>
        <x:v>Yes</x:v>
      </x:c>
      <x:c r="G28" s="100" t="str">
        <x:f>IF('Master'!H570="","",'Master'!H570)</x:f>
        <x:v>Yes</x:v>
      </x:c>
      <x:c r="H28" s="100" t="str">
        <x:f>IF('Master'!I570="","",'Master'!I570)</x:f>
        <x:v>Yes</x:v>
      </x:c>
      <x:c r="I28" s="100" t="str">
        <x:f>IF('Master'!J570="","",'Master'!J570)</x:f>
        <x:v>Yes</x:v>
      </x:c>
      <x:c r="J28" s="100" t="str">
        <x:f>IF('Master'!K570="","",'Master'!K570)</x:f>
        <x:v>Yes</x:v>
      </x:c>
      <x:c r="K28" s="100" t="str">
        <x:f>IF('Master'!L570="","",'Master'!L570)</x:f>
        <x:v>Yes</x:v>
      </x:c>
      <x:c r="L28" s="100" t="str">
        <x:f>IF('Master'!M570="","",'Master'!M570)</x:f>
        <x:v>Yes</x:v>
      </x:c>
      <x:c r="M28" s="100" t="str">
        <x:f>IF('Master'!N570="","",'Master'!N570)</x:f>
        <x:v>Yes</x:v>
      </x:c>
      <x:c r="N28" s="100" t="str">
        <x:f>IF('Master'!O570="","",'Master'!O570)</x:f>
        <x:v>Yes</x:v>
      </x:c>
      <x:c r="O28" s="100" t="str">
        <x:f>IF('Master'!P570="","",'Master'!P570)</x:f>
        <x:v>Yes</x:v>
      </x:c>
      <x:c r="P28" s="100" t="str">
        <x:f>IF('Master'!Q570="","",'Master'!Q570)</x:f>
        <x:v>Yes</x:v>
      </x:c>
      <x:c r="Q28" s="100" t="str">
        <x:f>IF('Master'!R570="","",'Master'!R570)</x:f>
        <x:v>Yes</x:v>
      </x:c>
      <x:c r="R28" s="100" t="str">
        <x:f>IF('Master'!S570="","",'Master'!S570)</x:f>
        <x:v>Yes</x:v>
      </x:c>
      <x:c r="S28" s="100" t="str">
        <x:f>IF('Master'!T570="","",'Master'!T570)</x:f>
        <x:v>Yes</x:v>
      </x:c>
      <x:c r="T28" s="100" t="str">
        <x:f>IF('Master'!U570="","",'Master'!U570)</x:f>
        <x:v>Yes</x:v>
      </x:c>
      <x:c r="U28" s="100" t="str">
        <x:f>IF('Master'!V570="","",'Master'!V570)</x:f>
        <x:v>Yes</x:v>
      </x:c>
      <x:c r="V28" s="100" t="str">
        <x:f>IF('Master'!W570="","",'Master'!W570)</x:f>
        <x:v>Yes</x:v>
      </x:c>
      <x:c r="W28" s="100" t="str">
        <x:f>IF('Master'!X570="","",'Master'!X570)</x:f>
        <x:v>Yes</x:v>
      </x:c>
      <x:c r="X28" s="100" t="str">
        <x:f>IF('Master'!Y570="","",'Master'!Y570)</x:f>
        <x:v>Yes</x:v>
      </x:c>
      <x:c r="Y28" s="100" t="str">
        <x:f>IF('Master'!Z570="","",'Master'!Z570)</x:f>
        <x:v>Yes</x:v>
      </x:c>
      <x:c r="Z28" s="100" t="str">
        <x:f>IF('Master'!AA570="","",'Master'!AA570)</x:f>
        <x:v>Yes</x:v>
      </x:c>
      <x:c r="AA28" s="104" t="str">
        <x:f>IF('Master'!AB570="","",'Master'!AB570)</x:f>
        <x:v>Yes</x:v>
      </x:c>
      <x:c r="AB28" s="100" t="str">
        <x:f>IF('Master'!AC570="","",'Master'!AC570)</x:f>
        <x:v>Yes</x:v>
      </x:c>
      <x:c r="AC28" s="100" t="str">
        <x:f>IF('Master'!AD570="","",'Master'!AD570)</x:f>
        <x:v>Yes</x:v>
      </x:c>
      <x:c r="AD28" s="100" t="str">
        <x:f>IF('Master'!AE570="","",'Master'!AE570)</x:f>
        <x:v>Yes</x:v>
      </x:c>
      <x:c r="AE28" s="100" t="str">
        <x:f>IF('Master'!AF570="","",'Master'!AF570)</x:f>
        <x:v>Yes</x:v>
      </x:c>
      <x:c r="AF28" s="75" t="str">
        <x:f>IF('Master'!AG570="","",'Master'!AG570)</x:f>
        <x:v>Yes</x:v>
      </x:c>
    </x:row>
    <x:row r="29" ht="36" customHeight="1">
      <x:c r="A29" s="135" t="str">
        <x:v>Timeout / Mute?</x:v>
      </x:c>
      <x:c r="B29" s="100" t="str">
        <x:f>IF('Master'!C571="","",'Master'!C571)</x:f>
        <x:v>Yes</x:v>
      </x:c>
      <x:c r="C29" s="100" t="str">
        <x:f>IF('Master'!D571="","",'Master'!D571)</x:f>
      </x:c>
      <x:c r="D29" s="100" t="str">
        <x:f>IF('Master'!E571="","",'Master'!E571)</x:f>
      </x:c>
      <x:c r="E29" s="100" t="str">
        <x:f>IF('Master'!F571="","",'Master'!F571)</x:f>
      </x:c>
      <x:c r="F29" s="100" t="str">
        <x:f>IF('Master'!G571="","",'Master'!G571)</x:f>
      </x:c>
      <x:c r="G29" s="100" t="str">
        <x:f>IF('Master'!H571="","",'Master'!H571)</x:f>
      </x:c>
      <x:c r="H29" s="100" t="str">
        <x:f>IF('Master'!I571="","",'Master'!I571)</x:f>
      </x:c>
      <x:c r="I29" s="100" t="str">
        <x:f>IF('Master'!J571="","",'Master'!J571)</x:f>
      </x:c>
      <x:c r="J29" s="100" t="str">
        <x:f>IF('Master'!K571="","",'Master'!K571)</x:f>
      </x:c>
      <x:c r="K29" s="100" t="str">
        <x:f>IF('Master'!L571="","",'Master'!L571)</x:f>
        <x:v>Yes</x:v>
      </x:c>
      <x:c r="L29" s="100" t="str">
        <x:f>IF('Master'!M571="","",'Master'!M571)</x:f>
      </x:c>
      <x:c r="M29" s="100" t="str">
        <x:f>IF('Master'!N571="","",'Master'!N571)</x:f>
      </x:c>
      <x:c r="N29" s="100" t="str">
        <x:f>IF('Master'!O571="","",'Master'!O571)</x:f>
      </x:c>
      <x:c r="O29" s="100" t="str">
        <x:f>IF('Master'!P571="","",'Master'!P571)</x:f>
        <x:v>Yes</x:v>
      </x:c>
      <x:c r="P29" s="100" t="str">
        <x:f>IF('Master'!Q571="","",'Master'!Q571)</x:f>
      </x:c>
      <x:c r="Q29" s="100" t="str">
        <x:f>IF('Master'!R571="","",'Master'!R571)</x:f>
        <x:v>Yes</x:v>
      </x:c>
      <x:c r="R29" s="100" t="str">
        <x:f>IF('Master'!S571="","",'Master'!S571)</x:f>
      </x:c>
      <x:c r="S29" s="100" t="str">
        <x:f>IF('Master'!T571="","",'Master'!T571)</x:f>
      </x:c>
      <x:c r="T29" s="100" t="str">
        <x:f>IF('Master'!U571="","",'Master'!U571)</x:f>
      </x:c>
      <x:c r="U29" s="100" t="str">
        <x:f>IF('Master'!V571="","",'Master'!V571)</x:f>
        <x:v>Yes</x:v>
      </x:c>
      <x:c r="V29" s="100" t="str">
        <x:f>IF('Master'!W571="","",'Master'!W571)</x:f>
        <x:v>Yes</x:v>
      </x:c>
      <x:c r="W29" s="100" t="str">
        <x:f>IF('Master'!X571="","",'Master'!X571)</x:f>
      </x:c>
      <x:c r="X29" s="100" t="str">
        <x:f>IF('Master'!Y571="","",'Master'!Y571)</x:f>
      </x:c>
      <x:c r="Y29" s="100" t="str">
        <x:f>IF('Master'!Z571="","",'Master'!Z571)</x:f>
      </x:c>
      <x:c r="Z29" s="100" t="str">
        <x:f>IF('Master'!AA571="","",'Master'!AA571)</x:f>
      </x:c>
      <x:c r="AA29" s="104" t="str">
        <x:f>IF('Master'!AB571="","",'Master'!AB571)</x:f>
        <x:v>Yes</x:v>
      </x:c>
      <x:c r="AB29" s="100" t="str">
        <x:f>IF('Master'!AC571="","",'Master'!AC571)</x:f>
      </x:c>
      <x:c r="AC29" s="100" t="str">
        <x:f>IF('Master'!AD571="","",'Master'!AD571)</x:f>
      </x:c>
      <x:c r="AD29" s="100" t="str">
        <x:f>IF('Master'!AE571="","",'Master'!AE571)</x:f>
      </x:c>
      <x:c r="AE29" s="100" t="str">
        <x:f>IF('Master'!AF571="","",'Master'!AF571)</x:f>
      </x:c>
      <x:c r="AF29" s="75" t="str">
        <x:f>IF('Master'!AG571="","",'Master'!AG571)</x:f>
      </x:c>
    </x:row>
    <x:row r="30" ht="36" customHeight="1">
      <x:c r="A30" s="135" t="str">
        <x:v>Role-Based Moderation?</x:v>
      </x:c>
      <x:c r="B30" s="100" t="str">
        <x:f>IF('Master'!C572="","",'Master'!C572)</x:f>
        <x:v>Yes</x:v>
      </x:c>
      <x:c r="C30" s="100" t="str">
        <x:f>IF('Master'!D572="","",'Master'!D572)</x:f>
        <x:v>Yes</x:v>
      </x:c>
      <x:c r="D30" s="100" t="str">
        <x:f>IF('Master'!E572="","",'Master'!E572)</x:f>
        <x:v>Yes</x:v>
      </x:c>
      <x:c r="E30" s="100" t="str">
        <x:f>IF('Master'!F572="","",'Master'!F572)</x:f>
        <x:v>Yes</x:v>
      </x:c>
      <x:c r="F30" s="100" t="str">
        <x:f>IF('Master'!G572="","",'Master'!G572)</x:f>
        <x:v>Yes</x:v>
      </x:c>
      <x:c r="G30" s="100" t="str">
        <x:f>IF('Master'!H572="","",'Master'!H572)</x:f>
        <x:v>Yes</x:v>
      </x:c>
      <x:c r="H30" s="100" t="str">
        <x:f>IF('Master'!I572="","",'Master'!I572)</x:f>
        <x:v>Yes</x:v>
      </x:c>
      <x:c r="I30" s="100" t="str">
        <x:f>IF('Master'!J572="","",'Master'!J572)</x:f>
        <x:v>Yes</x:v>
      </x:c>
      <x:c r="J30" s="100" t="str">
        <x:f>IF('Master'!K572="","",'Master'!K572)</x:f>
        <x:v>Yes</x:v>
      </x:c>
      <x:c r="K30" s="100" t="str">
        <x:f>IF('Master'!L572="","",'Master'!L572)</x:f>
        <x:v>Yes</x:v>
      </x:c>
      <x:c r="L30" s="100" t="str">
        <x:f>IF('Master'!M572="","",'Master'!M572)</x:f>
        <x:v>Yes</x:v>
      </x:c>
      <x:c r="M30" s="100" t="str">
        <x:f>IF('Master'!N572="","",'Master'!N572)</x:f>
        <x:v>Yes</x:v>
      </x:c>
      <x:c r="N30" s="100" t="str">
        <x:f>IF('Master'!O572="","",'Master'!O572)</x:f>
        <x:v>Yes</x:v>
      </x:c>
      <x:c r="O30" s="100" t="str">
        <x:f>IF('Master'!P572="","",'Master'!P572)</x:f>
        <x:v>Yes</x:v>
      </x:c>
      <x:c r="P30" s="100" t="str">
        <x:f>IF('Master'!Q572="","",'Master'!Q572)</x:f>
        <x:v>Yes</x:v>
      </x:c>
      <x:c r="Q30" s="100" t="str">
        <x:f>IF('Master'!R572="","",'Master'!R572)</x:f>
        <x:v>ACL-based</x:v>
      </x:c>
      <x:c r="R30" s="100" t="str">
        <x:f>IF('Master'!S572="","",'Master'!S572)</x:f>
        <x:v>Yes</x:v>
      </x:c>
      <x:c r="S30" s="100" t="str">
        <x:f>IF('Master'!T572="","",'Master'!T572)</x:f>
        <x:v>Yes</x:v>
      </x:c>
      <x:c r="T30" s="100" t="str">
        <x:f>IF('Master'!U572="","",'Master'!U572)</x:f>
        <x:v>Yes — role permissions with allow / inherit / deny per channel</x:v>
      </x:c>
      <x:c r="U30" s="100" t="str">
        <x:f>IF('Master'!V572="","",'Master'!V572)</x:f>
        <x:v>Yes</x:v>
      </x:c>
      <x:c r="V30" s="100" t="str">
        <x:f>IF('Master'!W572="","",'Master'!W572)</x:f>
        <x:v>Yes</x:v>
      </x:c>
      <x:c r="W30" s="100" t="str">
        <x:f>IF('Master'!X572="","",'Master'!X572)</x:f>
        <x:v>Yes</x:v>
      </x:c>
      <x:c r="X30" s="100" t="str">
        <x:f>IF('Master'!Y572="","",'Master'!Y572)</x:f>
        <x:v>Yes</x:v>
      </x:c>
      <x:c r="Y30" s="100" t="str">
        <x:f>IF('Master'!Z572="","",'Master'!Z572)</x:f>
        <x:v>Yes</x:v>
      </x:c>
      <x:c r="Z30" s="100" t="str">
        <x:f>IF('Master'!AA572="","",'Master'!AA572)</x:f>
        <x:v>Yes</x:v>
      </x:c>
      <x:c r="AA30" s="104" t="str">
        <x:f>IF('Master'!AB572="","",'Master'!AB572)</x:f>
        <x:v>Yes</x:v>
      </x:c>
      <x:c r="AB30" s="100" t="str">
        <x:f>IF('Master'!AC572="","",'Master'!AC572)</x:f>
        <x:v>Yes</x:v>
      </x:c>
      <x:c r="AC30" s="100" t="str">
        <x:f>IF('Master'!AD572="","",'Master'!AD572)</x:f>
        <x:v>Yes</x:v>
      </x:c>
      <x:c r="AD30" s="100" t="str">
        <x:f>IF('Master'!AE572="","",'Master'!AE572)</x:f>
        <x:v>Yes</x:v>
      </x:c>
      <x:c r="AE30" s="100" t="str">
        <x:f>IF('Master'!AF572="","",'Master'!AF572)</x:f>
        <x:v>Yes</x:v>
      </x:c>
      <x:c r="AF30" s="75" t="str">
        <x:f>IF('Master'!AG572="","",'Master'!AG572)</x:f>
        <x:v>Yes</x:v>
      </x:c>
    </x:row>
    <x:row r="31" ht="23.100000381469727" customHeight="1">
      <x:c r="A31" s="135" t="str">
        <x:v>Federated Ban Sharing?</x:v>
      </x:c>
      <x:c r="B31" s="102" t="str">
        <x:f>IF('Master'!C573="","",'Master'!C573)</x:f>
      </x:c>
      <x:c r="C31" s="102" t="str">
        <x:f>IF('Master'!D573="","",'Master'!D573)</x:f>
      </x:c>
      <x:c r="D31" s="102" t="str">
        <x:f>IF('Master'!E573="","",'Master'!E573)</x:f>
      </x:c>
      <x:c r="E31" s="102" t="str">
        <x:f>IF('Master'!F573="","",'Master'!F573)</x:f>
      </x:c>
      <x:c r="F31" s="102" t="str">
        <x:f>IF('Master'!G573="","",'Master'!G573)</x:f>
      </x:c>
      <x:c r="G31" s="102" t="str">
        <x:f>IF('Master'!H573="","",'Master'!H573)</x:f>
      </x:c>
      <x:c r="H31" s="102" t="str">
        <x:f>IF('Master'!I573="","",'Master'!I573)</x:f>
      </x:c>
      <x:c r="I31" s="102" t="str">
        <x:f>IF('Master'!J573="","",'Master'!J573)</x:f>
      </x:c>
      <x:c r="J31" s="102" t="str">
        <x:f>IF('Master'!K573="","",'Master'!K573)</x:f>
      </x:c>
      <x:c r="K31" s="102" t="str">
        <x:f>IF('Master'!L573="","",'Master'!L573)</x:f>
        <x:v>Instance-level domain silence/suspend rules exist; not a shared federated ban-list service</x:v>
      </x:c>
      <x:c r="L31" s="102" t="str">
        <x:f>IF('Master'!M573="","",'Master'!M573)</x:f>
      </x:c>
      <x:c r="M31" s="102" t="str">
        <x:f>IF('Master'!N573="","",'Master'!N573)</x:f>
      </x:c>
      <x:c r="N31" s="102" t="str">
        <x:f>IF('Master'!O573="","",'Master'!O573)</x:f>
      </x:c>
      <x:c r="O31" s="102" t="str">
        <x:f>IF('Master'!P573="","",'Master'!P573)</x:f>
      </x:c>
      <x:c r="P31" s="102" t="str">
        <x:f>IF('Master'!Q573="","",'Master'!Q573)</x:f>
      </x:c>
      <x:c r="Q31" s="102" t="str">
        <x:f>IF('Master'!R573="","",'Master'!R573)</x:f>
      </x:c>
      <x:c r="R31" s="102" t="str">
        <x:f>IF('Master'!S573="","",'Master'!S573)</x:f>
      </x:c>
      <x:c r="S31" s="102" t="str">
        <x:f>IF('Master'!T573="","",'Master'!T573)</x:f>
      </x:c>
      <x:c r="T31" s="102" t="str">
        <x:f>IF('Master'!U573="","",'Master'!U573)</x:f>
      </x:c>
      <x:c r="U31" s="102" t="str">
        <x:f>IF('Master'!V573="","",'Master'!V573)</x:f>
      </x:c>
      <x:c r="V31" s="102" t="str">
        <x:f>IF('Master'!W573="","",'Master'!W573)</x:f>
      </x:c>
      <x:c r="W31" s="102" t="str">
        <x:f>IF('Master'!X573="","",'Master'!X573)</x:f>
      </x:c>
      <x:c r="X31" s="102" t="str">
        <x:f>IF('Master'!Y573="","",'Master'!Y573)</x:f>
      </x:c>
      <x:c r="Y31" s="102" t="str">
        <x:f>IF('Master'!Z573="","",'Master'!Z573)</x:f>
      </x:c>
      <x:c r="Z31" s="102" t="str">
        <x:f>IF('Master'!AA573="","",'Master'!AA573)</x:f>
      </x:c>
      <x:c r="AA31" s="103" t="str">
        <x:f>IF('Master'!AB573="","",'Master'!AB573)</x:f>
      </x:c>
      <x:c r="AB31" s="102" t="str">
        <x:f>IF('Master'!AC573="","",'Master'!AC573)</x:f>
      </x:c>
      <x:c r="AC31" s="102" t="str">
        <x:f>IF('Master'!AD573="","",'Master'!AD573)</x:f>
      </x:c>
      <x:c r="AD31" s="102" t="str">
        <x:f>IF('Master'!AE573="","",'Master'!AE573)</x:f>
      </x:c>
      <x:c r="AE31" s="102" t="str">
        <x:f>IF('Master'!AF573="","",'Master'!AF573)</x:f>
      </x:c>
      <x:c r="AF31" s="75" t="str">
        <x:f>IF('Master'!AG573="","",'Master'!AG573)</x:f>
      </x:c>
    </x:row>
    <x:row r="32" ht="22" customHeight="1">
      <x:c r="A32" s="138" t="str">
        <x:v>Source &amp; Notes</x:v>
      </x:c>
      <x:c r="B32" s="138" t="str">
        <x:f>IF(""="","","")</x:f>
      </x:c>
      <x:c r="C32" s="138" t="str">
        <x:f>IF(""="","","")</x:f>
      </x:c>
      <x:c r="D32" s="138" t="str">
        <x:f>IF(""="","","")</x:f>
      </x:c>
      <x:c r="E32" s="138" t="str">
        <x:f>IF(""="","","")</x:f>
      </x:c>
      <x:c r="F32" s="138" t="str">
        <x:f>IF(""="","","")</x:f>
      </x:c>
      <x:c r="G32" s="138" t="str">
        <x:f>IF(""="","","")</x:f>
      </x:c>
      <x:c r="H32" s="138" t="str">
        <x:f>IF(""="","","")</x:f>
      </x:c>
      <x:c r="I32" s="138" t="str">
        <x:f>IF(""="","","")</x:f>
      </x:c>
      <x:c r="J32" s="138" t="str">
        <x:f>IF(""="","","")</x:f>
      </x:c>
      <x:c r="K32" s="138" t="str">
        <x:f>IF(""="","","")</x:f>
      </x:c>
      <x:c r="L32" s="138" t="str">
        <x:f>IF(""="","","")</x:f>
      </x:c>
      <x:c r="M32" s="138" t="str">
        <x:f>IF(""="","","")</x:f>
      </x:c>
      <x:c r="N32" s="138" t="str">
        <x:f>IF(""="","","")</x:f>
      </x:c>
      <x:c r="O32" s="138" t="str">
        <x:f>IF(""="","","")</x:f>
      </x:c>
      <x:c r="P32" s="138" t="str">
        <x:f>IF(""="","","")</x:f>
      </x:c>
      <x:c r="Q32" s="138" t="str">
        <x:f>IF(""="","","")</x:f>
      </x:c>
      <x:c r="R32" s="138" t="str">
        <x:f>IF(""="","","")</x:f>
      </x:c>
      <x:c r="S32" s="138" t="str">
        <x:f>IF(""="","","")</x:f>
      </x:c>
      <x:c r="T32" s="138" t="str">
        <x:f>IF(""="","","")</x:f>
      </x:c>
      <x:c r="U32" s="138" t="str">
        <x:f>IF(""="","","")</x:f>
      </x:c>
      <x:c r="V32" s="138" t="str">
        <x:f>IF(""="","","")</x:f>
      </x:c>
      <x:c r="W32" s="138" t="str">
        <x:f>IF(""="","","")</x:f>
      </x:c>
      <x:c r="X32" s="138" t="str">
        <x:f>IF(""="","","")</x:f>
      </x:c>
      <x:c r="Y32" s="138" t="str">
        <x:f>IF(""="","","")</x:f>
      </x:c>
      <x:c r="Z32" s="138" t="str">
        <x:f>IF(""="","","")</x:f>
      </x:c>
      <x:c r="AA32" s="138" t="str">
        <x:f>IF(""="","","")</x:f>
      </x:c>
      <x:c r="AB32" s="138" t="str">
        <x:f>IF(""="","","")</x:f>
      </x:c>
      <x:c r="AC32" s="138" t="str">
        <x:f>IF(""="","","")</x:f>
      </x:c>
      <x:c r="AD32" s="138" t="str">
        <x:f>IF(""="","","")</x:f>
      </x:c>
      <x:c r="AE32" s="138" t="str">
        <x:f>IF(""="","","")</x:f>
      </x:c>
      <x:c r="AF32" s="139" t="str">
        <x:f>IF(""="","","")</x:f>
      </x:c>
    </x:row>
    <x:row r="33" ht="36" customHeight="1">
      <x:c r="A33" s="135" t="str">
        <x:v>Moderation Notes</x:v>
      </x:c>
      <x:c r="B33" s="100" t="str">
        <x:f>IF('Master'!C574="","",'Master'!C574)</x:f>
      </x:c>
      <x:c r="C33" s="100" t="str">
        <x:f>IF('Master'!D574="","",'Master'!D574)</x:f>
      </x:c>
      <x:c r="D33" s="100" t="str">
        <x:f>IF('Master'!E574="","",'Master'!E574)</x:f>
        <x:v>Server/operator moderation; Federated ban-sharing planned; Operator responsibility</x:v>
      </x:c>
      <x:c r="E33" s="100" t="str">
        <x:f>IF('Master'!F574="","",'Master'!F574)</x:f>
      </x:c>
      <x:c r="F33" s="100" t="str">
        <x:f>IF('Master'!G574="","",'Master'!G574)</x:f>
      </x:c>
      <x:c r="G33" s="100" t="str">
        <x:f>IF('Master'!H574="","",'Master'!H574)</x:f>
      </x:c>
      <x:c r="H33" s="100" t="str">
        <x:f>IF('Master'!I574="","",'Master'!I574)</x:f>
      </x:c>
      <x:c r="I33" s="100" t="str">
        <x:f>IF('Master'!J574="","",'Master'!J574)</x:f>
      </x:c>
      <x:c r="J33" s="100" t="str">
        <x:f>IF('Master'!K574="","",'Master'!K574)</x:f>
      </x:c>
      <x:c r="K33" s="100" t="str">
        <x:f>IF('Master'!L574="","",'Master'!L574)</x:f>
        <x:v>https://github.com/CookieNom/KaedeChat/blob/main/docs/administration-and-developer-portals.md</x:v>
      </x:c>
      <x:c r="L33" s="100" t="str">
        <x:f>IF('Master'!M574="","",'Master'!M574)</x:f>
      </x:c>
      <x:c r="M33" s="100" t="str">
        <x:f>IF('Master'!N574="","",'Master'!N574)</x:f>
      </x:c>
      <x:c r="N33" s="100" t="str">
        <x:f>IF('Master'!O574="","",'Master'!O574)</x:f>
        <x:v>Protocol supports room permissions/power levels; tooling varies by client/server; Homeserver/operator-dependent; Client/server-dependent</x:v>
      </x:c>
      <x:c r="O33" s="100" t="str">
        <x:f>IF('Master'!P574="","",'Master'!P574)</x:f>
      </x:c>
      <x:c r="P33" s="100" t="str">
        <x:f>IF('Master'!Q574="","",'Master'!Q574)</x:f>
      </x:c>
      <x:c r="Q33" s="100" t="str">
        <x:f>IF('Master'!R574="","",'Master'!R574)</x:f>
        <x:v>ACLs/permissions rather than AutoMod; N/A; Admin tools</x:v>
      </x:c>
      <x:c r="R33" s="100" t="str">
        <x:f>IF('Master'!S574="","",'Master'!S574)</x:f>
      </x:c>
      <x:c r="S33" s="100" t="str">
        <x:f>IF('Master'!T574="","",'Master'!T574)</x:f>
      </x:c>
      <x:c r="T33" s="100" t="str">
        <x:f>IF('Master'!U574="","",'Master'!U574)</x:f>
      </x:c>
      <x:c r="U33" s="100" t="str">
        <x:f>IF('Master'!V574="","",'Master'!V574)</x:f>
        <x:v>Command Center</x:v>
      </x:c>
      <x:c r="V33" s="100" t="str">
        <x:f>IF('Master'!W574="","",'Master'!W574)</x:f>
      </x:c>
      <x:c r="W33" s="100" t="str">
        <x:f>IF('Master'!X574="","",'Master'!X574)</x:f>
      </x:c>
      <x:c r="X33" s="100" t="str">
        <x:f>IF('Master'!Y574="","",'Master'!Y574)</x:f>
      </x:c>
      <x:c r="Y33" s="100" t="str">
        <x:f>IF('Master'!Z574="","",'Master'!Z574)</x:f>
      </x:c>
      <x:c r="Z33" s="100" t="str">
        <x:f>IF('Master'!AA574="","",'Master'!AA574)</x:f>
      </x:c>
      <x:c r="AA33" s="104" t="str">
        <x:f>IF('Master'!AB574="","",'Master'!AB574)</x:f>
      </x:c>
      <x:c r="AB33" s="100" t="str">
        <x:f>IF('Master'!AC574="","",'Master'!AC574)</x:f>
        <x:v>Built-in automod; Automod raid protection; Admin/mod tools</x:v>
      </x:c>
      <x:c r="AC33" s="100" t="str">
        <x:f>IF('Master'!AD574="","",'Master'!AD574)</x:f>
      </x:c>
      <x:c r="AD33" s="100" t="str">
        <x:f>IF('Master'!AE574="","",'Master'!AE574)</x:f>
      </x:c>
      <x:c r="AE33" s="100" t="str">
        <x:f>IF('Master'!AF574="","",'Master'!AF574)</x:f>
      </x:c>
      <x:c r="AF33" s="75" t="str">
        <x:f>IF('Master'!AG574="","",'Master'!AG574)</x:f>
      </x:c>
    </x:row>
    <x:row r="34" ht="22" customHeight="1">
      <x:c r="A34" s="138" t="str">
        <x:v>Moderator Operations</x:v>
      </x:c>
      <x:c r="B34" s="138" t="str">
        <x:f>IF(""="","","")</x:f>
      </x:c>
      <x:c r="C34" s="138" t="str">
        <x:f>IF(""="","","")</x:f>
      </x:c>
      <x:c r="D34" s="138" t="str">
        <x:f>IF(""="","","")</x:f>
      </x:c>
      <x:c r="E34" s="138" t="str">
        <x:f>IF(""="","","")</x:f>
      </x:c>
      <x:c r="F34" s="138" t="str">
        <x:f>IF(""="","","")</x:f>
      </x:c>
      <x:c r="G34" s="138" t="str">
        <x:f>IF(""="","","")</x:f>
      </x:c>
      <x:c r="H34" s="138" t="str">
        <x:f>IF(""="","","")</x:f>
      </x:c>
      <x:c r="I34" s="138" t="str">
        <x:f>IF(""="","","")</x:f>
      </x:c>
      <x:c r="J34" s="138" t="str">
        <x:f>IF(""="","","")</x:f>
      </x:c>
      <x:c r="K34" s="138" t="str">
        <x:f>IF(""="","","")</x:f>
      </x:c>
      <x:c r="L34" s="138" t="str">
        <x:f>IF(""="","","")</x:f>
      </x:c>
      <x:c r="M34" s="138" t="str">
        <x:f>IF(""="","","")</x:f>
      </x:c>
      <x:c r="N34" s="138" t="str">
        <x:f>IF(""="","","")</x:f>
      </x:c>
      <x:c r="O34" s="138" t="str">
        <x:f>IF(""="","","")</x:f>
      </x:c>
      <x:c r="P34" s="138" t="str">
        <x:f>IF(""="","","")</x:f>
      </x:c>
      <x:c r="Q34" s="138" t="str">
        <x:f>IF(""="","","")</x:f>
      </x:c>
      <x:c r="R34" s="138" t="str">
        <x:f>IF(""="","","")</x:f>
      </x:c>
      <x:c r="S34" s="138" t="str">
        <x:f>IF(""="","","")</x:f>
      </x:c>
      <x:c r="T34" s="138" t="str">
        <x:f>IF(""="","","")</x:f>
      </x:c>
      <x:c r="U34" s="138" t="str">
        <x:f>IF(""="","","")</x:f>
      </x:c>
      <x:c r="V34" s="138" t="str">
        <x:f>IF(""="","","")</x:f>
      </x:c>
      <x:c r="W34" s="138" t="str">
        <x:f>IF(""="","","")</x:f>
      </x:c>
      <x:c r="X34" s="138" t="str">
        <x:f>IF(""="","","")</x:f>
      </x:c>
      <x:c r="Y34" s="138" t="str">
        <x:f>IF(""="","","")</x:f>
      </x:c>
      <x:c r="Z34" s="138" t="str">
        <x:f>IF(""="","","")</x:f>
      </x:c>
      <x:c r="AA34" s="138" t="str">
        <x:f>IF(""="","","")</x:f>
      </x:c>
      <x:c r="AB34" s="138" t="str">
        <x:f>IF(""="","","")</x:f>
      </x:c>
      <x:c r="AC34" s="138" t="str">
        <x:f>IF(""="","","")</x:f>
      </x:c>
      <x:c r="AD34" s="138" t="str">
        <x:f>IF(""="","","")</x:f>
      </x:c>
      <x:c r="AE34" s="138" t="str">
        <x:f>IF(""="","","")</x:f>
      </x:c>
      <x:c r="AF34" s="139" t="str">
        <x:f>IF(""="","","")</x:f>
      </x:c>
    </x:row>
    <x:row r="35" ht="36" customHeight="1">
      <x:c r="A35" s="135" t="str">
        <x:v>Bulk Moderation Actions?</x:v>
      </x:c>
      <x:c r="B35" s="100" t="str">
        <x:f>IF('Master'!C575="","",'Master'!C575)</x:f>
        <x:v>Limited/native + bots</x:v>
      </x:c>
      <x:c r="C35" s="100" t="str">
        <x:f>IF('Master'!D575="","",'Master'!D575)</x:f>
      </x:c>
      <x:c r="D35" s="100" t="str">
        <x:f>IF('Master'!E575="","",'Master'!E575)</x:f>
      </x:c>
      <x:c r="E35" s="100" t="str">
        <x:f>IF('Master'!F575="","",'Master'!F575)</x:f>
      </x:c>
      <x:c r="F35" s="100" t="str">
        <x:f>IF('Master'!G575="","",'Master'!G575)</x:f>
      </x:c>
      <x:c r="G35" s="100" t="str">
        <x:f>IF('Master'!H575="","",'Master'!H575)</x:f>
      </x:c>
      <x:c r="H35" s="100" t="str">
        <x:f>IF('Master'!I575="","",'Master'!I575)</x:f>
      </x:c>
      <x:c r="I35" s="100" t="str">
        <x:f>IF('Master'!J575="","",'Master'!J575)</x:f>
      </x:c>
      <x:c r="J35" s="100" t="str">
        <x:f>IF('Master'!K575="","",'Master'!K575)</x:f>
      </x:c>
      <x:c r="K35" s="100" t="str">
        <x:f>IF('Master'!L575="","",'Master'!L575)</x:f>
        <x:v>Not documented</x:v>
      </x:c>
      <x:c r="L35" s="100" t="str">
        <x:f>IF('Master'!M575="","",'Master'!M575)</x:f>
      </x:c>
      <x:c r="M35" s="100" t="str">
        <x:f>IF('Master'!N575="","",'Master'!N575)</x:f>
      </x:c>
      <x:c r="N35" s="100" t="str">
        <x:f>IF('Master'!O575="","",'Master'!O575)</x:f>
      </x:c>
      <x:c r="O35" s="100" t="str">
        <x:f>IF('Master'!P575="","",'Master'!P575)</x:f>
      </x:c>
      <x:c r="P35" s="100" t="str">
        <x:f>IF('Master'!Q575="","",'Master'!Q575)</x:f>
      </x:c>
      <x:c r="Q35" s="100" t="str">
        <x:f>IF('Master'!R575="","",'Master'!R575)</x:f>
      </x:c>
      <x:c r="R35" s="100" t="str">
        <x:f>IF('Master'!S575="","",'Master'!S575)</x:f>
      </x:c>
      <x:c r="S35" s="100" t="str">
        <x:f>IF('Master'!T575="","",'Master'!T575)</x:f>
      </x:c>
      <x:c r="T35" s="100" t="str">
        <x:f>IF('Master'!U575="","",'Master'!U575)</x:f>
      </x:c>
      <x:c r="U35" s="100" t="str">
        <x:f>IF('Master'!V575="","",'Master'!V575)</x:f>
        <x:v>Yes — searchable member table + bulk kick/ban/unban</x:v>
      </x:c>
      <x:c r="V35" s="100" t="str">
        <x:f>IF('Master'!W575="","",'Master'!W575)</x:f>
      </x:c>
      <x:c r="W35" s="100" t="str">
        <x:f>IF('Master'!X575="","",'Master'!X575)</x:f>
      </x:c>
      <x:c r="X35" s="100" t="str">
        <x:f>IF('Master'!Y575="","",'Master'!Y575)</x:f>
      </x:c>
      <x:c r="Y35" s="100" t="str">
        <x:f>IF('Master'!Z575="","",'Master'!Z575)</x:f>
      </x:c>
      <x:c r="Z35" s="100" t="str">
        <x:f>IF('Master'!AA575="","",'Master'!AA575)</x:f>
      </x:c>
      <x:c r="AA35" s="104" t="str">
        <x:f>IF('Master'!AB575="","",'Master'!AB575)</x:f>
      </x:c>
      <x:c r="AB35" s="100" t="str">
        <x:f>IF('Master'!AC575="","",'Master'!AC575)</x:f>
      </x:c>
      <x:c r="AC35" s="100" t="str">
        <x:f>IF('Master'!AD575="","",'Master'!AD575)</x:f>
      </x:c>
      <x:c r="AD35" s="100" t="str">
        <x:f>IF('Master'!AE575="","",'Master'!AE575)</x:f>
      </x:c>
      <x:c r="AE35" s="100" t="str">
        <x:f>IF('Master'!AF575="","",'Master'!AF575)</x:f>
      </x:c>
      <x:c r="AF35" s="75" t="str">
        <x:f>IF('Master'!AG575="","",'Master'!AG575)</x:f>
      </x:c>
    </x:row>
    <x:row r="36" ht="36" customHeight="1">
      <x:c r="A36" s="135" t="str">
        <x:v>Deleted-Message Log?</x:v>
      </x:c>
      <x:c r="B36" s="100" t="str">
        <x:f>IF('Master'!C576="","",'Master'!C576)</x:f>
        <x:v>Audit log action metadata; deleted content generally not preserved</x:v>
      </x:c>
      <x:c r="C36" s="100" t="str">
        <x:f>IF('Master'!D576="","",'Master'!D576)</x:f>
      </x:c>
      <x:c r="D36" s="100" t="str">
        <x:f>IF('Master'!E576="","",'Master'!E576)</x:f>
      </x:c>
      <x:c r="E36" s="100" t="str">
        <x:f>IF('Master'!F576="","",'Master'!F576)</x:f>
      </x:c>
      <x:c r="F36" s="100" t="str">
        <x:f>IF('Master'!G576="","",'Master'!G576)</x:f>
      </x:c>
      <x:c r="G36" s="100" t="str">
        <x:f>IF('Master'!H576="","",'Master'!H576)</x:f>
      </x:c>
      <x:c r="H36" s="100" t="str">
        <x:f>IF('Master'!I576="","",'Master'!I576)</x:f>
      </x:c>
      <x:c r="I36" s="100" t="str">
        <x:f>IF('Master'!J576="","",'Master'!J576)</x:f>
      </x:c>
      <x:c r="J36" s="100" t="str">
        <x:f>IF('Master'!K576="","",'Master'!K576)</x:f>
      </x:c>
      <x:c r="K36" s="100" t="str">
        <x:f>IF('Master'!L576="","",'Master'!L576)</x:f>
        <x:v>Reported-message snapshots survive later edit/deletion, but there is no general deleted-message log documented</x:v>
      </x:c>
      <x:c r="L36" s="100" t="str">
        <x:f>IF('Master'!M576="","",'Master'!M576)</x:f>
      </x:c>
      <x:c r="M36" s="100" t="str">
        <x:f>IF('Master'!N576="","",'Master'!N576)</x:f>
      </x:c>
      <x:c r="N36" s="100" t="str">
        <x:f>IF('Master'!O576="","",'Master'!O576)</x:f>
      </x:c>
      <x:c r="O36" s="100" t="str">
        <x:f>IF('Master'!P576="","",'Master'!P576)</x:f>
      </x:c>
      <x:c r="P36" s="100" t="str">
        <x:f>IF('Master'!Q576="","",'Master'!Q576)</x:f>
      </x:c>
      <x:c r="Q36" s="100" t="str">
        <x:f>IF('Master'!R576="","",'Master'!R576)</x:f>
      </x:c>
      <x:c r="R36" s="100" t="str">
        <x:f>IF('Master'!S576="","",'Master'!S576)</x:f>
      </x:c>
      <x:c r="S36" s="100" t="str">
        <x:f>IF('Master'!T576="","",'Master'!T576)</x:f>
      </x:c>
      <x:c r="T36" s="100" t="str">
        <x:f>IF('Master'!U576="","",'Master'!U576)</x:f>
      </x:c>
      <x:c r="U36" s="100" t="str">
        <x:f>IF('Master'!V576="","",'Master'!V576)</x:f>
        <x:v>Yes — 12h self-delete / 14d mod-removal log</x:v>
      </x:c>
      <x:c r="V36" s="100" t="str">
        <x:f>IF('Master'!W576="","",'Master'!W576)</x:f>
      </x:c>
      <x:c r="W36" s="100" t="str">
        <x:f>IF('Master'!X576="","",'Master'!X576)</x:f>
      </x:c>
      <x:c r="X36" s="100" t="str">
        <x:f>IF('Master'!Y576="","",'Master'!Y576)</x:f>
      </x:c>
      <x:c r="Y36" s="100" t="str">
        <x:f>IF('Master'!Z576="","",'Master'!Z576)</x:f>
      </x:c>
      <x:c r="Z36" s="100" t="str">
        <x:f>IF('Master'!AA576="","",'Master'!AA576)</x:f>
      </x:c>
      <x:c r="AA36" s="104" t="str">
        <x:f>IF('Master'!AB576="","",'Master'!AB576)</x:f>
      </x:c>
      <x:c r="AB36" s="100" t="str">
        <x:f>IF('Master'!AC576="","",'Master'!AC576)</x:f>
      </x:c>
      <x:c r="AC36" s="100" t="str">
        <x:f>IF('Master'!AD576="","",'Master'!AD576)</x:f>
      </x:c>
      <x:c r="AD36" s="100" t="str">
        <x:f>IF('Master'!AE576="","",'Master'!AE576)</x:f>
      </x:c>
      <x:c r="AE36" s="100" t="str">
        <x:f>IF('Master'!AF576="","",'Master'!AF576)</x:f>
      </x:c>
      <x:c r="AF36" s="75" t="str">
        <x:f>IF('Master'!AG576="","",'Master'!AG576)</x:f>
      </x:c>
    </x:row>
    <x:row r="37" ht="36" customHeight="1">
      <x:c r="A37" s="135" t="str">
        <x:v>Edit History Lookup?</x:v>
      </x:c>
      <x:c r="B37" s="100" t="str">
        <x:f>IF('Master'!C577="","",'Master'!C577)</x:f>
        <x:v>No general native mod edit-history view</x:v>
      </x:c>
      <x:c r="C37" s="100" t="str">
        <x:f>IF('Master'!D577="","",'Master'!D577)</x:f>
      </x:c>
      <x:c r="D37" s="100" t="str">
        <x:f>IF('Master'!E577="","",'Master'!E577)</x:f>
      </x:c>
      <x:c r="E37" s="100" t="str">
        <x:f>IF('Master'!F577="","",'Master'!F577)</x:f>
      </x:c>
      <x:c r="F37" s="100" t="str">
        <x:f>IF('Master'!G577="","",'Master'!G577)</x:f>
      </x:c>
      <x:c r="G37" s="100" t="str">
        <x:f>IF('Master'!H577="","",'Master'!H577)</x:f>
      </x:c>
      <x:c r="H37" s="100" t="str">
        <x:f>IF('Master'!I577="","",'Master'!I577)</x:f>
      </x:c>
      <x:c r="I37" s="100" t="str">
        <x:f>IF('Master'!J577="","",'Master'!J577)</x:f>
      </x:c>
      <x:c r="J37" s="100" t="str">
        <x:f>IF('Master'!K577="","",'Master'!K577)</x:f>
      </x:c>
      <x:c r="K37" s="100" t="str">
        <x:f>IF('Master'!L577="","",'Master'!L577)</x:f>
        <x:v>Not documented</x:v>
      </x:c>
      <x:c r="L37" s="100" t="str">
        <x:f>IF('Master'!M577="","",'Master'!M577)</x:f>
      </x:c>
      <x:c r="M37" s="100" t="str">
        <x:f>IF('Master'!N577="","",'Master'!N577)</x:f>
      </x:c>
      <x:c r="N37" s="100" t="str">
        <x:f>IF('Master'!O577="","",'Master'!O577)</x:f>
      </x:c>
      <x:c r="O37" s="100" t="str">
        <x:f>IF('Master'!P577="","",'Master'!P577)</x:f>
      </x:c>
      <x:c r="P37" s="100" t="str">
        <x:f>IF('Master'!Q577="","",'Master'!Q577)</x:f>
      </x:c>
      <x:c r="Q37" s="100" t="str">
        <x:f>IF('Master'!R577="","",'Master'!R577)</x:f>
      </x:c>
      <x:c r="R37" s="100" t="str">
        <x:f>IF('Master'!S577="","",'Master'!S577)</x:f>
      </x:c>
      <x:c r="S37" s="100" t="str">
        <x:f>IF('Master'!T577="","",'Master'!T577)</x:f>
      </x:c>
      <x:c r="T37" s="100" t="str">
        <x:f>IF('Master'!U577="","",'Master'!U577)</x:f>
      </x:c>
      <x:c r="U37" s="100" t="str">
        <x:f>IF('Master'!V577="","",'Master'!V577)</x:f>
        <x:v>Yes</x:v>
      </x:c>
      <x:c r="V37" s="100" t="str">
        <x:f>IF('Master'!W577="","",'Master'!W577)</x:f>
      </x:c>
      <x:c r="W37" s="100" t="str">
        <x:f>IF('Master'!X577="","",'Master'!X577)</x:f>
      </x:c>
      <x:c r="X37" s="100" t="str">
        <x:f>IF('Master'!Y577="","",'Master'!Y577)</x:f>
      </x:c>
      <x:c r="Y37" s="100" t="str">
        <x:f>IF('Master'!Z577="","",'Master'!Z577)</x:f>
      </x:c>
      <x:c r="Z37" s="100" t="str">
        <x:f>IF('Master'!AA577="","",'Master'!AA577)</x:f>
      </x:c>
      <x:c r="AA37" s="104" t="str">
        <x:f>IF('Master'!AB577="","",'Master'!AB577)</x:f>
      </x:c>
      <x:c r="AB37" s="100" t="str">
        <x:f>IF('Master'!AC577="","",'Master'!AC577)</x:f>
      </x:c>
      <x:c r="AC37" s="100" t="str">
        <x:f>IF('Master'!AD577="","",'Master'!AD577)</x:f>
      </x:c>
      <x:c r="AD37" s="100" t="str">
        <x:f>IF('Master'!AE577="","",'Master'!AE577)</x:f>
      </x:c>
      <x:c r="AE37" s="100" t="str">
        <x:f>IF('Master'!AF577="","",'Master'!AF577)</x:f>
      </x:c>
      <x:c r="AF37" s="75" t="str">
        <x:f>IF('Master'!AG577="","",'Master'!AG577)</x:f>
      </x:c>
    </x:row>
    <x:row r="38" ht="36" customHeight="1">
      <x:c r="A38" s="135" t="str">
        <x:v>Permission Audit Trail / Revert?</x:v>
      </x:c>
      <x:c r="B38" s="100" t="str">
        <x:f>IF('Master'!C578="","",'Master'!C578)</x:f>
        <x:v>Audit log records permission changes</x:v>
      </x:c>
      <x:c r="C38" s="100" t="str">
        <x:f>IF('Master'!D578="","",'Master'!D578)</x:f>
      </x:c>
      <x:c r="D38" s="100" t="str">
        <x:f>IF('Master'!E578="","",'Master'!E578)</x:f>
      </x:c>
      <x:c r="E38" s="100" t="str">
        <x:f>IF('Master'!F578="","",'Master'!F578)</x:f>
      </x:c>
      <x:c r="F38" s="100" t="str">
        <x:f>IF('Master'!G578="","",'Master'!G578)</x:f>
      </x:c>
      <x:c r="G38" s="100" t="str">
        <x:f>IF('Master'!H578="","",'Master'!H578)</x:f>
      </x:c>
      <x:c r="H38" s="100" t="str">
        <x:f>IF('Master'!I578="","",'Master'!I578)</x:f>
      </x:c>
      <x:c r="I38" s="100" t="str">
        <x:f>IF('Master'!J578="","",'Master'!J578)</x:f>
      </x:c>
      <x:c r="J38" s="100" t="str">
        <x:f>IF('Master'!K578="","",'Master'!K578)</x:f>
      </x:c>
      <x:c r="K38" s="100" t="str">
        <x:f>IF('Master'!L578="","",'Master'!L578)</x:f>
        <x:v>Audit trail exists; automatic permission revert is not documented</x:v>
      </x:c>
      <x:c r="L38" s="100" t="str">
        <x:f>IF('Master'!M578="","",'Master'!M578)</x:f>
      </x:c>
      <x:c r="M38" s="100" t="str">
        <x:f>IF('Master'!N578="","",'Master'!N578)</x:f>
      </x:c>
      <x:c r="N38" s="100" t="str">
        <x:f>IF('Master'!O578="","",'Master'!O578)</x:f>
      </x:c>
      <x:c r="O38" s="100" t="str">
        <x:f>IF('Master'!P578="","",'Master'!P578)</x:f>
      </x:c>
      <x:c r="P38" s="100" t="str">
        <x:f>IF('Master'!Q578="","",'Master'!Q578)</x:f>
      </x:c>
      <x:c r="Q38" s="100" t="str">
        <x:f>IF('Master'!R578="","",'Master'!R578)</x:f>
      </x:c>
      <x:c r="R38" s="100" t="str">
        <x:f>IF('Master'!S578="","",'Master'!S578)</x:f>
      </x:c>
      <x:c r="S38" s="100" t="str">
        <x:f>IF('Master'!T578="","",'Master'!T578)</x:f>
      </x:c>
      <x:c r="T38" s="100" t="str">
        <x:f>IF('Master'!U578="","",'Master'!U578)</x:f>
      </x:c>
      <x:c r="U38" s="100" t="str">
        <x:f>IF('Master'!V578="","",'Master'!V578)</x:f>
        <x:v>Yes — audit trail + one-click revert</x:v>
      </x:c>
      <x:c r="V38" s="100" t="str">
        <x:f>IF('Master'!W578="","",'Master'!W578)</x:f>
      </x:c>
      <x:c r="W38" s="100" t="str">
        <x:f>IF('Master'!X578="","",'Master'!X578)</x:f>
      </x:c>
      <x:c r="X38" s="100" t="str">
        <x:f>IF('Master'!Y578="","",'Master'!Y578)</x:f>
      </x:c>
      <x:c r="Y38" s="100" t="str">
        <x:f>IF('Master'!Z578="","",'Master'!Z578)</x:f>
      </x:c>
      <x:c r="Z38" s="100" t="str">
        <x:f>IF('Master'!AA578="","",'Master'!AA578)</x:f>
      </x:c>
      <x:c r="AA38" s="104" t="str">
        <x:f>IF('Master'!AB578="","",'Master'!AB578)</x:f>
      </x:c>
      <x:c r="AB38" s="100" t="str">
        <x:f>IF('Master'!AC578="","",'Master'!AC578)</x:f>
      </x:c>
      <x:c r="AC38" s="100" t="str">
        <x:f>IF('Master'!AD578="","",'Master'!AD578)</x:f>
      </x:c>
      <x:c r="AD38" s="100" t="str">
        <x:f>IF('Master'!AE578="","",'Master'!AE578)</x:f>
      </x:c>
      <x:c r="AE38" s="100" t="str">
        <x:f>IF('Master'!AF578="","",'Master'!AF578)</x:f>
      </x:c>
      <x:c r="AF38" s="75" t="str">
        <x:f>IF('Master'!AG578="","",'Master'!AG578)</x:f>
      </x:c>
    </x:row>
    <x:row r="39" ht="36" customHeight="1">
      <x:c r="A39" s="135" t="str">
        <x:v>Giveaway Abuse / Entry Controls?</x:v>
      </x:c>
      <x:c r="B39" s="100" t="str">
        <x:f>IF('Master'!C579="","",'Master'!C579)</x:f>
        <x:v>Apps/bots</x:v>
      </x:c>
      <x:c r="C39" s="100" t="str">
        <x:f>IF('Master'!D579="","",'Master'!D579)</x:f>
      </x:c>
      <x:c r="D39" s="100" t="str">
        <x:f>IF('Master'!E579="","",'Master'!E579)</x:f>
      </x:c>
      <x:c r="E39" s="100" t="str">
        <x:f>IF('Master'!F579="","",'Master'!F579)</x:f>
      </x:c>
      <x:c r="F39" s="100" t="str">
        <x:f>IF('Master'!G579="","",'Master'!G579)</x:f>
      </x:c>
      <x:c r="G39" s="100" t="str">
        <x:f>IF('Master'!H579="","",'Master'!H579)</x:f>
      </x:c>
      <x:c r="H39" s="100" t="str">
        <x:f>IF('Master'!I579="","",'Master'!I579)</x:f>
      </x:c>
      <x:c r="I39" s="100" t="str">
        <x:f>IF('Master'!J579="","",'Master'!J579)</x:f>
      </x:c>
      <x:c r="J39" s="100" t="str">
        <x:f>IF('Master'!K579="","",'Master'!K579)</x:f>
      </x:c>
      <x:c r="K39" s="100" t="str">
        <x:f>IF('Master'!L579="","",'Master'!L579)</x:f>
        <x:v>Not documented</x:v>
      </x:c>
      <x:c r="L39" s="100" t="str">
        <x:f>IF('Master'!M579="","",'Master'!M579)</x:f>
      </x:c>
      <x:c r="M39" s="100" t="str">
        <x:f>IF('Master'!N579="","",'Master'!N579)</x:f>
      </x:c>
      <x:c r="N39" s="100" t="str">
        <x:f>IF('Master'!O579="","",'Master'!O579)</x:f>
      </x:c>
      <x:c r="O39" s="100" t="str">
        <x:f>IF('Master'!P579="","",'Master'!P579)</x:f>
      </x:c>
      <x:c r="P39" s="100" t="str">
        <x:f>IF('Master'!Q579="","",'Master'!Q579)</x:f>
      </x:c>
      <x:c r="Q39" s="100" t="str">
        <x:f>IF('Master'!R579="","",'Master'!R579)</x:f>
      </x:c>
      <x:c r="R39" s="100" t="str">
        <x:f>IF('Master'!S579="","",'Master'!S579)</x:f>
      </x:c>
      <x:c r="S39" s="100" t="str">
        <x:f>IF('Master'!T579="","",'Master'!T579)</x:f>
      </x:c>
      <x:c r="T39" s="100" t="str">
        <x:f>IF('Master'!U579="","",'Master'!U579)</x:f>
      </x:c>
      <x:c r="U39" s="100" t="str">
        <x:f>IF('Master'!V579="","",'Master'!V579)</x:f>
        <x:v>Yes — entry rules + verifiable draw</x:v>
      </x:c>
      <x:c r="V39" s="100" t="str">
        <x:f>IF('Master'!W579="","",'Master'!W579)</x:f>
      </x:c>
      <x:c r="W39" s="100" t="str">
        <x:f>IF('Master'!X579="","",'Master'!X579)</x:f>
      </x:c>
      <x:c r="X39" s="100" t="str">
        <x:f>IF('Master'!Y579="","",'Master'!Y579)</x:f>
      </x:c>
      <x:c r="Y39" s="100" t="str">
        <x:f>IF('Master'!Z579="","",'Master'!Z579)</x:f>
      </x:c>
      <x:c r="Z39" s="100" t="str">
        <x:f>IF('Master'!AA579="","",'Master'!AA579)</x:f>
      </x:c>
      <x:c r="AA39" s="104" t="str">
        <x:f>IF('Master'!AB579="","",'Master'!AB579)</x:f>
      </x:c>
      <x:c r="AB39" s="100" t="str">
        <x:f>IF('Master'!AC579="","",'Master'!AC579)</x:f>
      </x:c>
      <x:c r="AC39" s="100" t="str">
        <x:f>IF('Master'!AD579="","",'Master'!AD579)</x:f>
      </x:c>
      <x:c r="AD39" s="100" t="str">
        <x:f>IF('Master'!AE579="","",'Master'!AE579)</x:f>
      </x:c>
      <x:c r="AE39" s="100" t="str">
        <x:f>IF('Master'!AF579="","",'Master'!AF579)</x:f>
      </x:c>
      <x:c r="AF39" s="75" t="str">
        <x:f>IF('Master'!AG579="","",'Master'!AG579)</x:f>
      </x:c>
    </x:row>
  </x:sheetData>
  <x:mergeCells>
    <x:mergeCell ref="A1:AF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Directory'!A1","Project Origin &amp; Longevity"),"Project Origin &amp; Longevity")</x:f>
        <x:v>Project Origin &amp; Longevity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Inception Date</x:v>
      </x:c>
      <x:c r="B3" s="100" t="str">
        <x:f>IF('Master'!C580="","",'Master'!C580)</x:f>
        <x:v>May 2015</x:v>
      </x:c>
      <x:c r="C3" s="100" t="str">
        <x:f>IF('Master'!D580="","",'Master'!D580)</x:f>
        <x:v>2026-era project</x:v>
      </x:c>
      <x:c r="D3" s="100" t="str">
        <x:f>IF('Master'!E580="","",'Master'!E580)</x:f>
        <x:v>2023</x:v>
      </x:c>
      <x:c r="E3" s="100" t="str">
        <x:f>IF('Master'!F580="","",'Master'!F580)</x:f>
        <x:v>2026</x:v>
      </x:c>
      <x:c r="F3" s="100" t="str">
        <x:f>IF('Master'!G580="","",'Master'!G580)</x:f>
        <x:v>November 2025</x:v>
      </x:c>
      <x:c r="G3" s="100" t="str">
        <x:f>IF('Master'!H580="","",'Master'!H580)</x:f>
        <x:v>2020</x:v>
      </x:c>
      <x:c r="H3" s="100" t="str">
        <x:f>IF('Master'!I580="","",'Master'!I580)</x:f>
        <x:v>2026 ground-up rebuild</x:v>
      </x:c>
      <x:c r="I3" s="100" t="str">
        <x:f>IF('Master'!J580="","",'Master'!J580)</x:f>
        <x:v>2026 fork era</x:v>
      </x:c>
      <x:c r="J3" s="100" t="str">
        <x:f>IF('Master'!K580="","",'Master'!K580)</x:f>
        <x:v>2026-era public project</x:v>
      </x:c>
      <x:c r="K3" s="100" t="str">
        <x:f>IF('Master'!L580="","",'Master'!L580)</x:f>
        <x:v>≈ late 2025 (developer report: private use for nearly a year as of Sep 2026)</x:v>
      </x:c>
      <x:c r="L3" s="100" t="str">
        <x:f>IF('Master'!M580="","",'Master'!M580)</x:f>
      </x:c>
      <x:c r="M3" s="100" t="str">
        <x:f>IF('Master'!N580="","",'Master'!N580)</x:f>
        <x:v>2026-era project</x:v>
      </x:c>
      <x:c r="N3" s="100" t="str">
        <x:f>IF('Master'!O580="","",'Master'!O580)</x:f>
        <x:v>2014</x:v>
      </x:c>
      <x:c r="O3" s="100" t="str">
        <x:f>IF('Master'!P580="","",'Master'!P580)</x:f>
        <x:v>2015</x:v>
      </x:c>
      <x:c r="P3" s="100" t="str">
        <x:f>IF('Master'!Q580="","",'Master'!Q580)</x:f>
      </x:c>
      <x:c r="Q3" s="100" t="str">
        <x:f>IF('Master'!R580="","",'Master'!R580)</x:f>
        <x:v>2005</x:v>
      </x:c>
      <x:c r="R3" s="100" t="str">
        <x:f>IF('Master'!S580="","",'Master'!S580)</x:f>
      </x:c>
      <x:c r="S3" s="100" t="str">
        <x:f>IF('Master'!T580="","",'Master'!T580)</x:f>
        <x:v>Summer 2024</x:v>
      </x:c>
      <x:c r="T3" s="100" t="str">
        <x:f>IF('Master'!U580="","",'Master'!U580)</x:f>
        <x:v>Young open beta; exact first-commit date is available in the GitHub history</x:v>
      </x:c>
      <x:c r="U3" s="100" t="str">
        <x:f>IF('Master'!V580="","",'Master'!V580)</x:f>
        <x:v>2026</x:v>
      </x:c>
      <x:c r="V3" s="100" t="str">
        <x:f>IF('Master'!W580="","",'Master'!W580)</x:f>
        <x:v>2015</x:v>
      </x:c>
      <x:c r="W3" s="100" t="str">
        <x:f>IF('Master'!X580="","",'Master'!X580)</x:f>
      </x:c>
      <x:c r="X3" s="100" t="str">
        <x:f>IF('Master'!Y580="","",'Master'!Y580)</x:f>
      </x:c>
      <x:c r="Y3" s="100" t="str">
        <x:f>IF('Master'!Z580="","",'Master'!Z580)</x:f>
        <x:v>2021 (as Fosscord/Spacebar project era)</x:v>
      </x:c>
      <x:c r="Z3" s="100" t="str">
        <x:f>IF('Master'!AA580="","",'Master'!AA580)</x:f>
        <x:v>2021 (as Revolt; rebranded Stoat in 2025)</x:v>
      </x:c>
      <x:c r="AA3" s="104" t="str">
        <x:f>IF('Master'!AB580="","",'Master'!AB580)</x:f>
        <x:v>1999 project origin</x:v>
      </x:c>
      <x:c r="AB3" s="100" t="str">
        <x:f>IF('Master'!AC580="","",'Master'!AC580)</x:f>
      </x:c>
      <x:c r="AC3" s="100" t="str">
        <x:f>IF('Master'!AD580="","",'Master'!AD580)</x:f>
        <x:v>Early 2026</x:v>
      </x:c>
      <x:c r="AD3" s="100" t="str">
        <x:f>IF('Master'!AE580="","",'Master'!AE580)</x:f>
        <x:v>~2025</x:v>
      </x:c>
      <x:c r="AE3" s="100" t="str">
        <x:f>IF('Master'!AF580="","",'Master'!AF580)</x:f>
        <x:v>2026-era project</x:v>
      </x:c>
      <x:c r="AF3" s="75" t="str">
        <x:f>IF('Master'!AG580="","",'Master'!AG580)</x:f>
        <x:v>2012</x:v>
      </x:c>
    </x:row>
    <x:row r="4" ht="36" customHeight="1">
      <x:c r="A4" s="135" t="str">
        <x:v>Public Release Date</x:v>
      </x:c>
      <x:c r="B4" s="100" t="str">
        <x:f>IF('Master'!C581="","",'Master'!C581)</x:f>
        <x:v>2015-05-13</x:v>
      </x:c>
      <x:c r="C4" s="100" t="str">
        <x:f>IF('Master'!D581="","",'Master'!D581)</x:f>
        <x:v>Public beta/dev 2026</x:v>
      </x:c>
      <x:c r="D4" s="100" t="str">
        <x:f>IF('Master'!E581="","",'Master'!E581)</x:f>
        <x:v>Public project by 2024</x:v>
      </x:c>
      <x:c r="E4" s="100" t="str">
        <x:f>IF('Master'!F581="","",'Master'!F581)</x:f>
        <x:v>Public 2026</x:v>
      </x:c>
      <x:c r="F4" s="100" t="str">
        <x:f>IF('Master'!G581="","",'Master'!G581)</x:f>
        <x:v>Alpha access in 2026; public v1 release not yet</x:v>
      </x:c>
      <x:c r="G4" s="100" t="str">
        <x:f>IF('Master'!H581="","",'Master'!H581)</x:f>
        <x:v>2026-01-02 public release</x:v>
      </x:c>
      <x:c r="H4" s="100" t="str">
        <x:f>IF('Master'!I581="","",'Master'!I581)</x:f>
        <x:v>2026 open beta</x:v>
      </x:c>
      <x:c r="I4" s="100" t="str">
        <x:f>IF('Master'!J581="","",'Master'!J581)</x:f>
        <x:v>Early public 2026</x:v>
      </x:c>
      <x:c r="J4" s="100" t="str">
        <x:f>IF('Master'!K581="","",'Master'!K581)</x:f>
        <x:v>Public alpha/beta 2026</x:v>
      </x:c>
      <x:c r="K4" s="100" t="str">
        <x:f>IF('Master'!L581="","",'Master'!L581)</x:f>
        <x:v>No formal public launch</x:v>
      </x:c>
      <x:c r="L4" s="100" t="str">
        <x:f>IF('Master'!M581="","",'Master'!M581)</x:f>
        <x:v>Alpha/public 2026</x:v>
      </x:c>
      <x:c r="M4" s="100" t="str">
        <x:f>IF('Master'!N581="","",'Master'!N581)</x:f>
        <x:v>Open beta 2026</x:v>
      </x:c>
      <x:c r="N4" s="100" t="str">
        <x:f>IF('Master'!O581="","",'Master'!O581)</x:f>
        <x:v>2014-09-03 (first public alpha)</x:v>
      </x:c>
      <x:c r="O4" s="100" t="str">
        <x:f>IF('Master'!P581="","",'Master'!P581)</x:f>
        <x:v>2015</x:v>
      </x:c>
      <x:c r="P4" s="100" t="str">
        <x:f>IF('Master'!Q581="","",'Master'!Q581)</x:f>
      </x:c>
      <x:c r="Q4" s="100" t="str">
        <x:f>IF('Master'!R581="","",'Master'!R581)</x:f>
      </x:c>
      <x:c r="R4" s="100" t="str">
        <x:f>IF('Master'!S581="","",'Master'!S581)</x:f>
      </x:c>
      <x:c r="S4" s="100" t="str">
        <x:f>IF('Master'!T581="","",'Master'!T581)</x:f>
        <x:v>Public beta in 2026</x:v>
      </x:c>
      <x:c r="T4" s="100" t="str">
        <x:f>IF('Master'!U581="","",'Master'!U581)</x:f>
        <x:v>Open beta; exact public-beta launch date not stated</x:v>
      </x:c>
      <x:c r="U4" s="100" t="str">
        <x:f>IF('Master'!V581="","",'Master'!V581)</x:f>
        <x:v>Public Beta 2026</x:v>
      </x:c>
      <x:c r="V4" s="100" t="str">
        <x:f>IF('Master'!W581="","",'Master'!W581)</x:f>
        <x:v>2015</x:v>
      </x:c>
      <x:c r="W4" s="100" t="str">
        <x:f>IF('Master'!X581="","",'Master'!X581)</x:f>
        <x:v>Early public project</x:v>
      </x:c>
      <x:c r="X4" s="100" t="str">
        <x:f>IF('Master'!Y581="","",'Master'!Y581)</x:f>
      </x:c>
      <x:c r="Y4" s="100" t="str">
        <x:f>IF('Master'!Z581="","",'Master'!Z581)</x:f>
      </x:c>
      <x:c r="Z4" s="100" t="str">
        <x:f>IF('Master'!AA581="","",'Master'!AA581)</x:f>
      </x:c>
      <x:c r="AA4" s="104" t="str">
        <x:f>IF('Master'!AB581="","",'Master'!AB581)</x:f>
        <x:v>2001 first public release</x:v>
      </x:c>
      <x:c r="AB4" s="100" t="str">
        <x:f>IF('Master'!AC581="","",'Master'!AC581)</x:f>
        <x:v>Alpha/public before 2026</x:v>
      </x:c>
      <x:c r="AC4" s="100" t="str">
        <x:f>IF('Master'!AD581="","",'Master'!AD581)</x:f>
        <x:v>Alpha/beta 2026</x:v>
      </x:c>
      <x:c r="AD4" s="100" t="str">
        <x:f>IF('Master'!AE581="","",'Master'!AE581)</x:f>
        <x:v>Public beta 2026</x:v>
      </x:c>
      <x:c r="AE4" s="100" t="str">
        <x:f>IF('Master'!AF581="","",'Master'!AF581)</x:f>
        <x:v>Public beta/service 2026</x:v>
      </x:c>
      <x:c r="AF4" s="75" t="str">
        <x:f>IF('Master'!AG581="","",'Master'!AG581)</x:f>
        <x:v>2012 hosted; open-sourced 2015</x:v>
      </x:c>
    </x:row>
    <x:row r="5" ht="36" customHeight="1">
      <x:c r="A5" s="135" t="str">
        <x:v>Project Age (Years / Months)</x:v>
      </x:c>
      <x:c r="B5" s="100" t="str">
        <x:f>IF('Master'!C582="","",'Master'!C582)</x:f>
        <x:v>11 years 4 months (as of 2026-09-15)</x:v>
      </x:c>
      <x:c r="C5" s="100" t="str">
        <x:f>IF('Master'!D582="","",'Master'!D582)</x:f>
        <x:v>&lt;1 year</x:v>
      </x:c>
      <x:c r="D5" s="100" t="str">
        <x:f>IF('Master'!E582="","",'Master'!E582)</x:f>
        <x:v>~3 years</x:v>
      </x:c>
      <x:c r="E5" s="100" t="str">
        <x:f>IF('Master'!F582="","",'Master'!F582)</x:f>
        <x:v>&lt;1 year</x:v>
      </x:c>
      <x:c r="F5" s="100" t="str">
        <x:f>IF('Master'!G582="","",'Master'!G582)</x:f>
        <x:v>10 months</x:v>
      </x:c>
      <x:c r="G5" s="100" t="str">
        <x:f>IF('Master'!H582="","",'Master'!H582)</x:f>
        <x:v>~6 years</x:v>
      </x:c>
      <x:c r="H5" s="100" t="str">
        <x:f>IF('Master'!I582="","",'Master'!I582)</x:f>
        <x:v>&lt;1 year</x:v>
      </x:c>
      <x:c r="I5" s="100" t="str">
        <x:f>IF('Master'!J582="","",'Master'!J582)</x:f>
        <x:v>&lt;1 year</x:v>
      </x:c>
      <x:c r="J5" s="100" t="str">
        <x:f>IF('Master'!K582="","",'Master'!K582)</x:f>
        <x:v>&lt;1 year</x:v>
      </x:c>
      <x:c r="K5" s="100" t="str">
        <x:f>IF('Master'!L582="","",'Master'!L582)</x:f>
      </x:c>
      <x:c r="L5" s="100" t="str">
        <x:f>IF('Master'!M582="","",'Master'!M582)</x:f>
      </x:c>
      <x:c r="M5" s="100" t="str">
        <x:f>IF('Master'!N582="","",'Master'!N582)</x:f>
        <x:v>&lt;1 year</x:v>
      </x:c>
      <x:c r="N5" s="100" t="str">
        <x:f>IF('Master'!O582="","",'Master'!O582)</x:f>
        <x:v>~12 years</x:v>
      </x:c>
      <x:c r="O5" s="100" t="str">
        <x:f>IF('Master'!P582="","",'Master'!P582)</x:f>
        <x:v>~11 years</x:v>
      </x:c>
      <x:c r="P5" s="100" t="str">
        <x:f>IF('Master'!Q582="","",'Master'!Q582)</x:f>
      </x:c>
      <x:c r="Q5" s="100" t="str">
        <x:f>IF('Master'!R582="","",'Master'!R582)</x:f>
        <x:v>~21 years</x:v>
      </x:c>
      <x:c r="R5" s="100" t="str">
        <x:f>IF('Master'!S582="","",'Master'!S582)</x:f>
      </x:c>
      <x:c r="S5" s="100" t="str">
        <x:f>IF('Master'!T582="","",'Master'!T582)</x:f>
        <x:v>~2 years</x:v>
      </x:c>
      <x:c r="T5" s="100" t="str">
        <x:f>IF('Master'!U582="","",'Master'!U582)</x:f>
        <x:v>Young beta; exact age not stated in response</x:v>
      </x:c>
      <x:c r="U5" s="100" t="str">
        <x:f>IF('Master'!V582="","",'Master'!V582)</x:f>
        <x:v>5 years</x:v>
      </x:c>
      <x:c r="V5" s="100" t="str">
        <x:f>IF('Master'!W582="","",'Master'!W582)</x:f>
        <x:v>~11 years</x:v>
      </x:c>
      <x:c r="W5" s="100" t="str">
        <x:f>IF('Master'!X582="","",'Master'!X582)</x:f>
      </x:c>
      <x:c r="X5" s="100" t="str">
        <x:f>IF('Master'!Y582="","",'Master'!Y582)</x:f>
      </x:c>
      <x:c r="Y5" s="100" t="str">
        <x:f>IF('Master'!Z582="","",'Master'!Z582)</x:f>
        <x:v>~5 years</x:v>
      </x:c>
      <x:c r="Z5" s="100" t="str">
        <x:f>IF('Master'!AA582="","",'Master'!AA582)</x:f>
        <x:v>~5 years</x:v>
      </x:c>
      <x:c r="AA5" s="104" t="str">
        <x:f>IF('Master'!AB582="","",'Master'!AB582)</x:f>
        <x:v>~27 years project / ~25 years public</x:v>
      </x:c>
      <x:c r="AB5" s="100" t="str">
        <x:f>IF('Master'!AC582="","",'Master'!AC582)</x:f>
      </x:c>
      <x:c r="AC5" s="100" t="str">
        <x:f>IF('Master'!AD582="","",'Master'!AD582)</x:f>
        <x:v>&lt;1 year</x:v>
      </x:c>
      <x:c r="AD5" s="100" t="str">
        <x:f>IF('Master'!AE582="","",'Master'!AE582)</x:f>
        <x:v>~1 year</x:v>
      </x:c>
      <x:c r="AE5" s="100" t="str">
        <x:f>IF('Master'!AF582="","",'Master'!AF582)</x:f>
        <x:v>&lt;1 year</x:v>
      </x:c>
      <x:c r="AF5" s="75" t="str">
        <x:f>IF('Master'!AG582="","",'Master'!AG582)</x:f>
        <x:v>~14 years</x:v>
      </x:c>
    </x:row>
    <x:row r="6" ht="36" customHeight="1">
      <x:c r="A6" s="135" t="str">
        <x:v>Current State (α / β / final)</x:v>
      </x:c>
      <x:c r="B6" s="100" t="str">
        <x:f>IF('Master'!C583="","",'Master'!C583)</x:f>
        <x:v>Stable</x:v>
      </x:c>
      <x:c r="C6" s="100" t="str">
        <x:f>IF('Master'!D583="","",'Master'!D583)</x:f>
        <x:v>Beta / active development</x:v>
      </x:c>
      <x:c r="D6" s="100" t="str">
        <x:f>IF('Master'!E583="","",'Master'!E583)</x:f>
        <x:v>Beta / active development</x:v>
      </x:c>
      <x:c r="E6" s="100" t="str">
        <x:f>IF('Master'!F583="","",'Master'!F583)</x:f>
        <x:v>Beta / public</x:v>
      </x:c>
      <x:c r="F6" s="100" t="str">
        <x:f>IF('Master'!G583="","",'Master'!G583)</x:f>
        <x:v>Alpha</x:v>
      </x:c>
      <x:c r="G6" s="100" t="str">
        <x:f>IF('Master'!H583="","",'Master'!H583)</x:f>
        <x:v>Public Beta</x:v>
      </x:c>
      <x:c r="H6" s="100" t="str">
        <x:f>IF('Master'!I583="","",'Master'!I583)</x:f>
        <x:v>Open Beta</x:v>
      </x:c>
      <x:c r="I6" s="100" t="str">
        <x:f>IF('Master'!J583="","",'Master'!J583)</x:f>
        <x:v>Active development; core text/voice/DMs/roles/moderation live</x:v>
      </x:c>
      <x:c r="J6" s="100" t="str">
        <x:f>IF('Master'!K583="","",'Master'!K583)</x:f>
        <x:v>Alpha / Beta</x:v>
      </x:c>
      <x:c r="K6" s="100" t="str">
        <x:f>IF('Master'!L583="","",'Master'!L583)</x:f>
        <x:v>Pre-launch / active development</x:v>
      </x:c>
      <x:c r="L6" s="100" t="str">
        <x:f>IF('Master'!M583="","",'Master'!M583)</x:f>
        <x:v>Alpha</x:v>
      </x:c>
      <x:c r="M6" s="100" t="str">
        <x:f>IF('Master'!N583="","",'Master'!N583)</x:f>
        <x:v>Open Beta</x:v>
      </x:c>
      <x:c r="N6" s="100" t="str">
        <x:f>IF('Master'!O583="","",'Master'!O583)</x:f>
        <x:v>Stable open standard (spec v1.x)</x:v>
      </x:c>
      <x:c r="O6" s="100" t="str">
        <x:f>IF('Master'!P583="","",'Master'!P583)</x:f>
        <x:v>Stable</x:v>
      </x:c>
      <x:c r="P6" s="100" t="str">
        <x:f>IF('Master'!Q583="","",'Master'!Q583)</x:f>
        <x:v>Stable/public</x:v>
      </x:c>
      <x:c r="Q6" s="100" t="str">
        <x:f>IF('Master'!R583="","",'Master'!R583)</x:f>
        <x:v>Stable</x:v>
      </x:c>
      <x:c r="R6" s="100" t="str">
        <x:f>IF('Master'!S583="","",'Master'!S583)</x:f>
        <x:v>Stable/public</x:v>
      </x:c>
      <x:c r="S6" s="100" t="str">
        <x:f>IF('Master'!T583="","",'Master'!T583)</x:f>
        <x:v>Public Beta</x:v>
      </x:c>
      <x:c r="T6" s="100" t="str">
        <x:f>IF('Master'!U583="","",'Master'!U583)</x:f>
        <x:v>Open beta</x:v>
      </x:c>
      <x:c r="U6" s="100" t="str">
        <x:f>IF('Master'!V583="","",'Master'!V583)</x:f>
        <x:v>Stable/public</x:v>
      </x:c>
      <x:c r="V6" s="100" t="str">
        <x:f>IF('Master'!W583="","",'Master'!W583)</x:f>
        <x:v>Stable</x:v>
      </x:c>
      <x:c r="W6" s="100" t="str">
        <x:f>IF('Master'!X583="","",'Master'!X583)</x:f>
        <x:v>Alpha / experimental</x:v>
      </x:c>
      <x:c r="X6" s="100" t="str">
        <x:f>IF('Master'!Y583="","",'Master'!Y583)</x:f>
        <x:v>Beta</x:v>
      </x:c>
      <x:c r="Y6" s="100" t="str">
        <x:f>IF('Master'!Z583="","",'Master'!Z583)</x:f>
        <x:v>Alpha / WIP</x:v>
      </x:c>
      <x:c r="Z6" s="100" t="str">
        <x:f>IF('Master'!AA583="","",'Master'!AA583)</x:f>
        <x:v>Beta / pre-1.0</x:v>
      </x:c>
      <x:c r="AA6" s="104" t="str">
        <x:f>IF('Master'!AB583="","",'Master'!AB583)</x:f>
        <x:v>TS6 Beta; TS3 stable</x:v>
      </x:c>
      <x:c r="AB6" s="100" t="str">
        <x:f>IF('Master'!AC583="","",'Master'!AC583)</x:f>
        <x:v>Alpha</x:v>
      </x:c>
      <x:c r="AC6" s="100" t="str">
        <x:f>IF('Master'!AD583="","",'Master'!AD583)</x:f>
        <x:v>Alpha / Beta</x:v>
      </x:c>
      <x:c r="AD6" s="100" t="str">
        <x:f>IF('Master'!AE583="","",'Master'!AE583)</x:f>
        <x:v>Public Beta</x:v>
      </x:c>
      <x:c r="AE6" s="100" t="str">
        <x:f>IF('Master'!AF583="","",'Master'!AF583)</x:f>
        <x:v>Beta</x:v>
      </x:c>
      <x:c r="AF6" s="75" t="str">
        <x:f>IF('Master'!AG583="","",'Master'!AG583)</x:f>
        <x:v>Stable</x:v>
      </x:c>
    </x:row>
    <x:row r="7" ht="36" customHeight="1">
      <x:c r="A7" s="135" t="str">
        <x:v>Development State</x:v>
      </x:c>
      <x:c r="B7" s="100" t="str">
        <x:f>IF('Master'!C594="","",'Master'!C594)</x:f>
        <x:v>Active development</x:v>
      </x:c>
      <x:c r="C7" s="100" t="str">
        <x:f>IF('Master'!D594="","",'Master'!D594)</x:f>
        <x:v>Active</x:v>
      </x:c>
      <x:c r="D7" s="100" t="str">
        <x:f>IF('Master'!E594="","",'Master'!E594)</x:f>
        <x:v>Active</x:v>
      </x:c>
      <x:c r="E7" s="100" t="str">
        <x:f>IF('Master'!F594="","",'Master'!F594)</x:f>
        <x:v>Active</x:v>
      </x:c>
      <x:c r="F7" s="100" t="str">
        <x:f>IF('Master'!G594="","",'Master'!G594)</x:f>
        <x:v>Active alpha</x:v>
      </x:c>
      <x:c r="G7" s="100" t="str">
        <x:f>IF('Master'!H594="","",'Master'!H594)</x:f>
        <x:v>Active</x:v>
      </x:c>
      <x:c r="H7" s="100" t="str">
        <x:f>IF('Master'!I594="","",'Master'!I594)</x:f>
        <x:v>Active</x:v>
      </x:c>
      <x:c r="I7" s="100" t="str">
        <x:f>IF('Master'!J594="","",'Master'!J594)</x:f>
        <x:v>Active</x:v>
      </x:c>
      <x:c r="J7" s="100" t="str">
        <x:f>IF('Master'!K594="","",'Master'!K594)</x:f>
        <x:v>Active</x:v>
      </x:c>
      <x:c r="K7" s="100" t="str">
        <x:f>IF('Master'!L594="","",'Master'!L594)</x:f>
        <x:v>Actively developed; pre-launch</x:v>
      </x:c>
      <x:c r="L7" s="100" t="str">
        <x:f>IF('Master'!M594="","",'Master'!M594)</x:f>
        <x:v>Active</x:v>
      </x:c>
      <x:c r="M7" s="100" t="str">
        <x:f>IF('Master'!N594="","",'Master'!N594)</x:f>
        <x:v>Active</x:v>
      </x:c>
      <x:c r="N7" s="100" t="str">
        <x:f>IF('Master'!O594="","",'Master'!O594)</x:f>
        <x:v>Active standard + ecosystem</x:v>
      </x:c>
      <x:c r="O7" s="100" t="str">
        <x:f>IF('Master'!P594="","",'Master'!P594)</x:f>
        <x:v>Active</x:v>
      </x:c>
      <x:c r="P7" s="100" t="str">
        <x:f>IF('Master'!Q594="","",'Master'!Q594)</x:f>
        <x:v>Active</x:v>
      </x:c>
      <x:c r="Q7" s="100" t="str">
        <x:f>IF('Master'!R594="","",'Master'!R594)</x:f>
        <x:v>Active</x:v>
      </x:c>
      <x:c r="R7" s="100" t="str">
        <x:f>IF('Master'!S594="","",'Master'!S594)</x:f>
        <x:v>Active</x:v>
      </x:c>
      <x:c r="S7" s="100" t="str">
        <x:f>IF('Master'!T594="","",'Master'!T594)</x:f>
        <x:v>Active</x:v>
      </x:c>
      <x:c r="T7" s="100" t="str">
        <x:f>IF('Master'!U594="","",'Master'!U594)</x:f>
        <x:v>Active</x:v>
      </x:c>
      <x:c r="U7" s="100" t="str">
        <x:f>IF('Master'!V594="","",'Master'!V594)</x:f>
        <x:v>Active</x:v>
      </x:c>
      <x:c r="V7" s="100" t="str">
        <x:f>IF('Master'!W594="","",'Master'!W594)</x:f>
        <x:v>Active</x:v>
      </x:c>
      <x:c r="W7" s="100" t="str">
        <x:f>IF('Master'!X594="","",'Master'!X594)</x:f>
        <x:v>Active</x:v>
      </x:c>
      <x:c r="X7" s="100" t="str">
        <x:f>IF('Master'!Y594="","",'Master'!Y594)</x:f>
        <x:v>Active</x:v>
      </x:c>
      <x:c r="Y7" s="100" t="str">
        <x:f>IF('Master'!Z594="","",'Master'!Z594)</x:f>
        <x:v>Active</x:v>
      </x:c>
      <x:c r="Z7" s="100" t="str">
        <x:f>IF('Master'!AA594="","",'Master'!AA594)</x:f>
        <x:v>Active</x:v>
      </x:c>
      <x:c r="AA7" s="104" t="str">
        <x:f>IF('Master'!AB594="","",'Master'!AB594)</x:f>
        <x:v>Active</x:v>
      </x:c>
      <x:c r="AB7" s="100" t="str">
        <x:f>IF('Master'!AC594="","",'Master'!AC594)</x:f>
        <x:v>Active</x:v>
      </x:c>
      <x:c r="AC7" s="100" t="str">
        <x:f>IF('Master'!AD594="","",'Master'!AD594)</x:f>
        <x:v>Active experimental</x:v>
      </x:c>
      <x:c r="AD7" s="100" t="str">
        <x:f>IF('Master'!AE594="","",'Master'!AE594)</x:f>
        <x:v>Active</x:v>
      </x:c>
      <x:c r="AE7" s="100" t="str">
        <x:f>IF('Master'!AF594="","",'Master'!AF594)</x:f>
        <x:v>Active</x:v>
      </x:c>
      <x:c r="AF7" s="75" t="str">
        <x:f>IF('Master'!AG594="","",'Master'!AG594)</x:f>
        <x:v>Active</x:v>
      </x:c>
    </x:row>
    <x:row r="8" ht="36" customHeight="1">
      <x:c r="A8" s="135" t="str">
        <x:v>Developer Team Size</x:v>
      </x:c>
      <x:c r="B8" s="100" t="str">
        <x:f>IF('Master'!C596="","",'Master'!C596)</x:f>
      </x:c>
      <x:c r="C8" s="100" t="str">
        <x:f>IF('Master'!D596="","",'Master'!D596)</x:f>
        <x:v>Small open-source team</x:v>
      </x:c>
      <x:c r="D8" s="100" t="str">
        <x:f>IF('Master'!E596="","",'Master'!E596)</x:f>
        <x:v>Solo/very small contributor group</x:v>
      </x:c>
      <x:c r="E8" s="100" t="str">
        <x:f>IF('Master'!F596="","",'Master'!F596)</x:f>
        <x:v>Tiny Canadian team</x:v>
      </x:c>
      <x:c r="F8" s="100" t="str">
        <x:f>IF('Master'!G596="","",'Master'!G596)</x:f>
        <x:v>Solo founder-led / very small team</x:v>
      </x:c>
      <x:c r="G8" s="100" t="str">
        <x:f>IF('Master'!H596="","",'Master'!H596)</x:f>
      </x:c>
      <x:c r="H8" s="100" t="str">
        <x:f>IF('Master'!I596="","",'Master'!I596)</x:f>
        <x:v>Founder-led / small team</x:v>
      </x:c>
      <x:c r="I8" s="100" t="str">
        <x:f>IF('Master'!J596="","",'Master'!J596)</x:f>
        <x:v>Small volunteer team</x:v>
      </x:c>
      <x:c r="J8" s="100" t="str">
        <x:f>IF('Master'!K596="","",'Master'!K596)</x:f>
        <x:v>Solo developer</x:v>
      </x:c>
      <x:c r="K8" s="100" t="str">
        <x:f>IF('Master'!L596="","",'Master'!L596)</x:f>
        <x:v>1 primary developer; security-researcher friend provides private review/bug reports (developer report)</x:v>
      </x:c>
      <x:c r="L8" s="100" t="str">
        <x:f>IF('Master'!M596="","",'Master'!M596)</x:f>
        <x:v>Small team</x:v>
      </x:c>
      <x:c r="M8" s="100" t="str">
        <x:f>IF('Master'!N596="","",'Master'!N596)</x:f>
        <x:v>Small team</x:v>
      </x:c>
      <x:c r="N8" s="100" t="str">
        <x:f>IF('Master'!O596="","",'Master'!O596)</x:f>
        <x:v>Matrix.org Foundation + many independent implementers</x:v>
      </x:c>
      <x:c r="O8" s="100" t="str">
        <x:f>IF('Master'!P596="","",'Master'!P596)</x:f>
        <x:v>Mattermost, Inc. + open-source community</x:v>
      </x:c>
      <x:c r="P8" s="100" t="str">
        <x:f>IF('Master'!Q596="","",'Master'!Q596)</x:f>
        <x:v>Company/open-source team</x:v>
      </x:c>
      <x:c r="Q8" s="100" t="str">
        <x:f>IF('Master'!R596="","",'Master'!R596)</x:f>
        <x:v>Community open-source project</x:v>
      </x:c>
      <x:c r="R8" s="100" t="str">
        <x:f>IF('Master'!S596="","",'Master'!S596)</x:f>
        <x:v>Small hobby/community project</x:v>
      </x:c>
      <x:c r="S8" s="100" t="str">
        <x:f>IF('Master'!T596="","",'Master'!T596)</x:f>
        <x:v>Small startup team</x:v>
      </x:c>
      <x:c r="T8" s="100" t="str">
        <x:f>IF('Master'!U596="","",'Master'!U596)</x:f>
        <x:v>2 — built by two brothers (official repository README)</x:v>
      </x:c>
      <x:c r="U8" s="100" t="str">
        <x:f>IF('Master'!V596="","",'Master'!V596)</x:f>
        <x:v>Small company/team</x:v>
      </x:c>
      <x:c r="V8" s="100" t="str">
        <x:f>IF('Master'!W596="","",'Master'!W596)</x:f>
        <x:v>Rocket.Chat company + open-source community</x:v>
      </x:c>
      <x:c r="W8" s="100" t="str">
        <x:f>IF('Master'!X596="","",'Master'!X596)</x:f>
        <x:v>Small open-source team</x:v>
      </x:c>
      <x:c r="X8" s="100" t="str">
        <x:f>IF('Master'!Y596="","",'Master'!Y596)</x:f>
      </x:c>
      <x:c r="Y8" s="100" t="str">
        <x:f>IF('Master'!Z596="","",'Master'!Z596)</x:f>
      </x:c>
      <x:c r="Z8" s="100" t="str">
        <x:f>IF('Master'!AA596="","",'Master'!AA596)</x:f>
      </x:c>
      <x:c r="AA8" s="104" t="str">
        <x:f>IF('Master'!AB596="","",'Master'!AB596)</x:f>
        <x:v>Commercial company</x:v>
      </x:c>
      <x:c r="AB8" s="100" t="str">
        <x:f>IF('Master'!AC596="","",'Master'!AC596)</x:f>
        <x:v>Volunteer/open-source team</x:v>
      </x:c>
      <x:c r="AC8" s="100" t="str">
        <x:f>IF('Master'!AD596="","",'Master'!AD596)</x:f>
        <x:v>Small team / founder-led</x:v>
      </x:c>
      <x:c r="AD8" s="100" t="str">
        <x:f>IF('Master'!AE596="","",'Master'!AE596)</x:f>
        <x:v>Solo developer</x:v>
      </x:c>
      <x:c r="AE8" s="100" t="str">
        <x:f>IF('Master'!AF596="","",'Master'!AF596)</x:f>
        <x:v>Small team/founder-led</x:v>
      </x:c>
      <x:c r="AF8" s="75" t="str">
        <x:f>IF('Master'!AG596="","",'Master'!AG596)</x:f>
        <x:v>Independent company + open-source community</x:v>
      </x:c>
    </x:row>
    <x:row r="9" ht="36" customHeight="1">
      <x:c r="A9" s="135" t="str">
        <x:v>Codebase Continuity (Original / Fork / Revived)</x:v>
      </x:c>
      <x:c r="B9" s="100" t="str">
        <x:f>IF('Master'!C584="","",'Master'!C584)</x:f>
        <x:v>Original</x:v>
      </x:c>
      <x:c r="C9" s="100" t="str">
        <x:f>IF('Master'!D584="","",'Master'!D584)</x:f>
        <x:v>Original</x:v>
      </x:c>
      <x:c r="D9" s="100" t="str">
        <x:f>IF('Master'!E584="","",'Master'!E584)</x:f>
        <x:v>Original</x:v>
      </x:c>
      <x:c r="E9" s="100" t="str">
        <x:f>IF('Master'!F584="","",'Master'!F584)</x:f>
        <x:v>Original</x:v>
      </x:c>
      <x:c r="F9" s="100" t="str">
        <x:f>IF('Master'!G584="","",'Master'!G584)</x:f>
        <x:v>Original</x:v>
      </x:c>
      <x:c r="G9" s="100" t="str">
        <x:f>IF('Master'!H584="","",'Master'!H584)</x:f>
        <x:v>Original</x:v>
      </x:c>
      <x:c r="H9" s="100" t="str">
        <x:f>IF('Master'!I584="","",'Master'!I584)</x:f>
        <x:v>Original ground-up rebuild</x:v>
      </x:c>
      <x:c r="I9" s="100" t="str">
        <x:f>IF('Master'!J584="","",'Master'!J584)</x:f>
        <x:v>Fork/rework of Spacebar-compatible stack</x:v>
      </x:c>
      <x:c r="J9" s="100" t="str">
        <x:f>IF('Master'!K584="","",'Master'!K584)</x:f>
        <x:v>Original</x:v>
      </x:c>
      <x:c r="K9" s="100" t="str">
        <x:f>IF('Master'!L584="","",'Master'!L584)</x:f>
        <x:v>Original project</x:v>
      </x:c>
      <x:c r="L9" s="100" t="str">
        <x:f>IF('Master'!M584="","",'Master'!M584)</x:f>
        <x:v>Original</x:v>
      </x:c>
      <x:c r="M9" s="100" t="str">
        <x:f>IF('Master'!N584="","",'Master'!N584)</x:f>
        <x:v>Original</x:v>
      </x:c>
      <x:c r="N9" s="100" t="str">
        <x:f>IF('Master'!O584="","",'Master'!O584)</x:f>
        <x:v>Original open protocol</x:v>
      </x:c>
      <x:c r="O9" s="100" t="str">
        <x:f>IF('Master'!P584="","",'Master'!P584)</x:f>
        <x:v>Original</x:v>
      </x:c>
      <x:c r="P9" s="100" t="str">
        <x:f>IF('Master'!Q584="","",'Master'!Q584)</x:f>
        <x:v>Original</x:v>
      </x:c>
      <x:c r="Q9" s="100" t="str">
        <x:f>IF('Master'!R584="","",'Master'!R584)</x:f>
        <x:v>Original</x:v>
      </x:c>
      <x:c r="R9" s="100" t="str">
        <x:f>IF('Master'!S584="","",'Master'!S584)</x:f>
        <x:v>Original</x:v>
      </x:c>
      <x:c r="S9" s="100" t="str">
        <x:f>IF('Master'!T584="","",'Master'!T584)</x:f>
        <x:v>Original</x:v>
      </x:c>
      <x:c r="T9" s="100" t="str">
        <x:f>IF('Master'!U584="","",'Master'!U584)</x:f>
        <x:v>Original</x:v>
      </x:c>
      <x:c r="U9" s="100" t="str">
        <x:f>IF('Master'!V584="","",'Master'!V584)</x:f>
        <x:v>Original</x:v>
      </x:c>
      <x:c r="V9" s="100" t="str">
        <x:f>IF('Master'!W584="","",'Master'!W584)</x:f>
        <x:v>Original</x:v>
      </x:c>
      <x:c r="W9" s="100" t="str">
        <x:f>IF('Master'!X584="","",'Master'!X584)</x:f>
        <x:v>Original</x:v>
      </x:c>
      <x:c r="X9" s="100" t="str">
        <x:f>IF('Master'!Y584="","",'Master'!Y584)</x:f>
        <x:v>Original</x:v>
      </x:c>
      <x:c r="Y9" s="100" t="str">
        <x:f>IF('Master'!Z584="","",'Master'!Z584)</x:f>
        <x:v>Reimplementation; Fosscord → Spacebar</x:v>
      </x:c>
      <x:c r="Z9" s="100" t="str">
        <x:f>IF('Master'!AA584="","",'Master'!AA584)</x:f>
        <x:v>Original; Revolt → Stoat rebrand</x:v>
      </x:c>
      <x:c r="AA9" s="104" t="str">
        <x:f>IF('Master'!AB584="","",'Master'!AB584)</x:f>
        <x:v>Original</x:v>
      </x:c>
      <x:c r="AB9" s="100" t="str">
        <x:f>IF('Master'!AC584="","",'Master'!AC584)</x:f>
        <x:v>Original</x:v>
      </x:c>
      <x:c r="AC9" s="100" t="str">
        <x:f>IF('Master'!AD584="","",'Master'!AD584)</x:f>
        <x:v>Original</x:v>
      </x:c>
      <x:c r="AD9" s="100" t="str">
        <x:f>IF('Master'!AE584="","",'Master'!AE584)</x:f>
        <x:v>Original</x:v>
      </x:c>
      <x:c r="AE9" s="100" t="str">
        <x:f>IF('Master'!AF584="","",'Master'!AF584)</x:f>
        <x:v>Original</x:v>
      </x:c>
      <x:c r="AF9" s="75" t="str">
        <x:f>IF('Master'!AG584="","",'Master'!AG584)</x:f>
        <x:v>Original</x:v>
      </x:c>
    </x:row>
    <x:row r="10" ht="22" customHeight="1">
      <x:c r="A10" s="138" t="str">
        <x:v>Additional Project Health</x:v>
      </x:c>
      <x:c r="B10" s="138" t="str">
        <x:f>IF(""="","","")</x:f>
      </x:c>
      <x:c r="C10" s="138" t="str">
        <x:f>IF(""="","","")</x:f>
      </x:c>
      <x:c r="D10" s="138" t="str">
        <x:f>IF(""="","","")</x:f>
      </x:c>
      <x:c r="E10" s="138" t="str">
        <x:f>IF(""="","","")</x:f>
      </x:c>
      <x:c r="F10" s="138" t="str">
        <x:f>IF(""="","","")</x:f>
      </x:c>
      <x:c r="G10" s="138" t="str">
        <x:f>IF(""="","","")</x:f>
      </x:c>
      <x:c r="H10" s="138" t="str">
        <x:f>IF(""="","","")</x:f>
      </x:c>
      <x:c r="I10" s="138" t="str">
        <x:f>IF(""="","","")</x:f>
      </x:c>
      <x:c r="J10" s="138" t="str">
        <x:f>IF(""="","","")</x:f>
      </x:c>
      <x:c r="K10" s="138" t="str">
        <x:f>IF(""="","","")</x:f>
      </x:c>
      <x:c r="L10" s="138" t="str">
        <x:f>IF(""="","","")</x:f>
      </x:c>
      <x:c r="M10" s="138" t="str">
        <x:f>IF(""="","","")</x:f>
      </x:c>
      <x:c r="N10" s="138" t="str">
        <x:f>IF(""="","","")</x:f>
      </x:c>
      <x:c r="O10" s="138" t="str">
        <x:f>IF(""="","","")</x:f>
      </x:c>
      <x:c r="P10" s="138" t="str">
        <x:f>IF(""="","","")</x:f>
      </x:c>
      <x:c r="Q10" s="138" t="str">
        <x:f>IF(""="","","")</x:f>
      </x:c>
      <x:c r="R10" s="138" t="str">
        <x:f>IF(""="","","")</x:f>
      </x:c>
      <x:c r="S10" s="138" t="str">
        <x:f>IF(""="","","")</x:f>
      </x:c>
      <x:c r="T10" s="138" t="str">
        <x:f>IF(""="","","")</x:f>
      </x:c>
      <x:c r="U10" s="138" t="str">
        <x:f>IF(""="","","")</x:f>
      </x:c>
      <x:c r="V10" s="138" t="str">
        <x:f>IF(""="","","")</x:f>
      </x:c>
      <x:c r="W10" s="138" t="str">
        <x:f>IF(""="","","")</x:f>
      </x:c>
      <x:c r="X10" s="138" t="str">
        <x:f>IF(""="","","")</x:f>
      </x:c>
      <x:c r="Y10" s="138" t="str">
        <x:f>IF(""="","","")</x:f>
      </x:c>
      <x:c r="Z10" s="138" t="str">
        <x:f>IF(""="","","")</x:f>
      </x:c>
      <x:c r="AA10" s="138" t="str">
        <x:f>IF(""="","","")</x:f>
      </x:c>
      <x:c r="AB10" s="138" t="str">
        <x:f>IF(""="","","")</x:f>
      </x:c>
      <x:c r="AC10" s="138" t="str">
        <x:f>IF(""="","","")</x:f>
      </x:c>
      <x:c r="AD10" s="138" t="str">
        <x:f>IF(""="","","")</x:f>
      </x:c>
      <x:c r="AE10" s="138" t="str">
        <x:f>IF(""="","","")</x:f>
      </x:c>
      <x:c r="AF10" s="139" t="str">
        <x:f>IF(""="","","")</x:f>
      </x:c>
    </x:row>
    <x:row r="11" ht="36" customHeight="1">
      <x:c r="A11" s="135" t="str">
        <x:v>Former Name / Predecessor</x:v>
      </x:c>
      <x:c r="B11" s="100" t="str">
        <x:f>IF('Master'!C598="","",'Master'!C598)</x:f>
        <x:v>N/A / none known</x:v>
      </x:c>
      <x:c r="C11" s="100" t="str">
        <x:f>IF('Master'!D598="","",'Master'!D598)</x:f>
        <x:v>N/A / none known</x:v>
      </x:c>
      <x:c r="D11" s="100" t="str">
        <x:f>IF('Master'!E598="","",'Master'!E598)</x:f>
        <x:v>N/A / none known</x:v>
      </x:c>
      <x:c r="E11" s="100" t="str">
        <x:f>IF('Master'!F598="","",'Master'!F598)</x:f>
        <x:v>N/A / none known</x:v>
      </x:c>
      <x:c r="F11" s="100" t="str">
        <x:f>IF('Master'!G598="","",'Master'!G598)</x:f>
        <x:v>N/A / none known</x:v>
      </x:c>
      <x:c r="G11" s="100" t="str">
        <x:f>IF('Master'!H598="","",'Master'!H598)</x:f>
        <x:v>N/A / none known</x:v>
      </x:c>
      <x:c r="H11" s="100" t="str">
        <x:f>IF('Master'!I598="","",'Master'!I598)</x:f>
        <x:v>N/A / none known</x:v>
      </x:c>
      <x:c r="I11" s="100" t="str">
        <x:f>IF('Master'!J598="","",'Master'!J598)</x:f>
        <x:v>Harmony platform; Fermi client</x:v>
      </x:c>
      <x:c r="J11" s="100" t="str">
        <x:f>IF('Master'!K598="","",'Master'!K598)</x:f>
        <x:v>N/A / none known</x:v>
      </x:c>
      <x:c r="K11" s="100" t="str">
        <x:f>IF('Master'!L598="","",'Master'!L598)</x:f>
      </x:c>
      <x:c r="L11" s="100" t="str">
        <x:f>IF('Master'!M598="","",'Master'!M598)</x:f>
        <x:v>N/A / none known</x:v>
      </x:c>
      <x:c r="M11" s="100" t="str">
        <x:f>IF('Master'!N598="","",'Master'!N598)</x:f>
        <x:v>N/A / none known</x:v>
      </x:c>
      <x:c r="N11" s="100" t="str">
        <x:f>IF('Master'!O598="","",'Master'!O598)</x:f>
        <x:v>N/A / none known</x:v>
      </x:c>
      <x:c r="O11" s="100" t="str">
        <x:f>IF('Master'!P598="","",'Master'!P598)</x:f>
        <x:v>N/A / none known</x:v>
      </x:c>
      <x:c r="P11" s="100" t="str">
        <x:f>IF('Master'!Q598="","",'Master'!Q598)</x:f>
        <x:v>N/A / none known</x:v>
      </x:c>
      <x:c r="Q11" s="100" t="str">
        <x:f>IF('Master'!R598="","",'Master'!R598)</x:f>
        <x:v>N/A / none known</x:v>
      </x:c>
      <x:c r="R11" s="100" t="str">
        <x:f>IF('Master'!S598="","",'Master'!S598)</x:f>
        <x:v>N/A / none known</x:v>
      </x:c>
      <x:c r="S11" s="100" t="str">
        <x:f>IF('Master'!T598="","",'Master'!T598)</x:f>
        <x:v>N/A / none known</x:v>
      </x:c>
      <x:c r="T11" s="100" t="str">
        <x:f>IF('Master'!U598="","",'Master'!U598)</x:f>
        <x:v>N/A / none known</x:v>
      </x:c>
      <x:c r="U11" s="100" t="str">
        <x:f>IF('Master'!V598="","",'Master'!V598)</x:f>
        <x:v>N/A / none known</x:v>
      </x:c>
      <x:c r="V11" s="100" t="str">
        <x:f>IF('Master'!W598="","",'Master'!W598)</x:f>
        <x:v>N/A / none known</x:v>
      </x:c>
      <x:c r="W11" s="100" t="str">
        <x:f>IF('Master'!X598="","",'Master'!X598)</x:f>
        <x:v>N/A / none known</x:v>
      </x:c>
      <x:c r="X11" s="100" t="str">
        <x:f>IF('Master'!Y598="","",'Master'!Y598)</x:f>
        <x:v>N/A / none known</x:v>
      </x:c>
      <x:c r="Y11" s="100" t="str">
        <x:f>IF('Master'!Z598="","",'Master'!Z598)</x:f>
        <x:v>Fosscord</x:v>
      </x:c>
      <x:c r="Z11" s="100" t="str">
        <x:f>IF('Master'!AA598="","",'Master'!AA598)</x:f>
        <x:v>Revolt</x:v>
      </x:c>
      <x:c r="AA11" s="104" t="str">
        <x:f>IF('Master'!AB598="","",'Master'!AB598)</x:f>
        <x:v>N/A / none known</x:v>
      </x:c>
      <x:c r="AB11" s="100" t="str">
        <x:f>IF('Master'!AC598="","",'Master'!AC598)</x:f>
        <x:v>N/A / none known</x:v>
      </x:c>
      <x:c r="AC11" s="100" t="str">
        <x:f>IF('Master'!AD598="","",'Master'!AD598)</x:f>
        <x:v>N/A / none known</x:v>
      </x:c>
      <x:c r="AD11" s="100" t="str">
        <x:f>IF('Master'!AE598="","",'Master'!AE598)</x:f>
        <x:v>N/A / none known</x:v>
      </x:c>
      <x:c r="AE11" s="100" t="str">
        <x:f>IF('Master'!AF598="","",'Master'!AF598)</x:f>
        <x:v>N/A / none known</x:v>
      </x:c>
      <x:c r="AF11" s="75" t="str">
        <x:f>IF('Master'!AG598="","",'Master'!AG598)</x:f>
        <x:v>N/A / none known</x:v>
      </x:c>
    </x:row>
    <x:row r="12" ht="23.100000381469727" customHeight="1">
      <x:c r="A12" s="135" t="str">
        <x:v>Governance Model</x:v>
      </x:c>
      <x:c r="B12" s="102" t="str">
        <x:f>IF('Master'!C599="","",'Master'!C599)</x:f>
      </x:c>
      <x:c r="C12" s="102" t="str">
        <x:f>IF('Master'!D599="","",'Master'!D599)</x:f>
      </x:c>
      <x:c r="D12" s="102" t="str">
        <x:f>IF('Master'!E599="","",'Master'!E599)</x:f>
      </x:c>
      <x:c r="E12" s="102" t="str">
        <x:f>IF('Master'!F599="","",'Master'!F599)</x:f>
      </x:c>
      <x:c r="F12" s="102" t="str">
        <x:f>IF('Master'!G599="","",'Master'!G599)</x:f>
      </x:c>
      <x:c r="G12" s="102" t="str">
        <x:f>IF('Master'!H599="","",'Master'!H599)</x:f>
      </x:c>
      <x:c r="H12" s="102" t="str">
        <x:f>IF('Master'!I599="","",'Master'!I599)</x:f>
      </x:c>
      <x:c r="I12" s="102" t="str">
        <x:f>IF('Master'!J599="","",'Master'!J599)</x:f>
      </x:c>
      <x:c r="J12" s="102" t="str">
        <x:f>IF('Master'!K599="","",'Master'!K599)</x:f>
      </x:c>
      <x:c r="K12" s="102" t="str">
        <x:f>IF('Master'!L599="","",'Master'!L599)</x:f>
        <x:v>Solo-maintainer project; MIT-licensed public repository</x:v>
      </x:c>
      <x:c r="L12" s="102" t="str">
        <x:f>IF('Master'!M599="","",'Master'!M599)</x:f>
      </x:c>
      <x:c r="M12" s="102" t="str">
        <x:f>IF('Master'!N599="","",'Master'!N599)</x:f>
      </x:c>
      <x:c r="N12" s="102" t="str">
        <x:f>IF('Master'!O599="","",'Master'!O599)</x:f>
      </x:c>
      <x:c r="O12" s="102" t="str">
        <x:f>IF('Master'!P599="","",'Master'!P599)</x:f>
      </x:c>
      <x:c r="P12" s="102" t="str">
        <x:f>IF('Master'!Q599="","",'Master'!Q599)</x:f>
      </x:c>
      <x:c r="Q12" s="102" t="str">
        <x:f>IF('Master'!R599="","",'Master'!R599)</x:f>
      </x:c>
      <x:c r="R12" s="102" t="str">
        <x:f>IF('Master'!S599="","",'Master'!S599)</x:f>
      </x:c>
      <x:c r="S12" s="102" t="str">
        <x:f>IF('Master'!T599="","",'Master'!T599)</x:f>
      </x:c>
      <x:c r="T12" s="102" t="str">
        <x:f>IF('Master'!U599="","",'Master'!U599)</x:f>
        <x:v>Independent project; AGPL development in the open</x:v>
      </x:c>
      <x:c r="U12" s="102" t="str">
        <x:f>IF('Master'!V599="","",'Master'!V599)</x:f>
      </x:c>
      <x:c r="V12" s="102" t="str">
        <x:f>IF('Master'!W599="","",'Master'!W599)</x:f>
      </x:c>
      <x:c r="W12" s="102" t="str">
        <x:f>IF('Master'!X599="","",'Master'!X599)</x:f>
      </x:c>
      <x:c r="X12" s="102" t="str">
        <x:f>IF('Master'!Y599="","",'Master'!Y599)</x:f>
      </x:c>
      <x:c r="Y12" s="102" t="str">
        <x:f>IF('Master'!Z599="","",'Master'!Z599)</x:f>
      </x:c>
      <x:c r="Z12" s="102" t="str">
        <x:f>IF('Master'!AA599="","",'Master'!AA599)</x:f>
      </x:c>
      <x:c r="AA12" s="103" t="str">
        <x:f>IF('Master'!AB599="","",'Master'!AB599)</x:f>
      </x:c>
      <x:c r="AB12" s="102" t="str">
        <x:f>IF('Master'!AC599="","",'Master'!AC599)</x:f>
      </x:c>
      <x:c r="AC12" s="102" t="str">
        <x:f>IF('Master'!AD599="","",'Master'!AD599)</x:f>
      </x:c>
      <x:c r="AD12" s="102" t="str">
        <x:f>IF('Master'!AE599="","",'Master'!AE599)</x:f>
      </x:c>
      <x:c r="AE12" s="102" t="str">
        <x:f>IF('Master'!AF599="","",'Master'!AF599)</x:f>
      </x:c>
      <x:c r="AF12" s="75" t="str">
        <x:f>IF('Master'!AG599="","",'Master'!AG599)</x:f>
      </x:c>
    </x:row>
    <x:row r="13" ht="23.100000381469727" customHeight="1">
      <x:c r="A13" s="135" t="str">
        <x:v>Last Major Release Date</x:v>
      </x:c>
      <x:c r="B13" s="102" t="str">
        <x:f>IF('Master'!C617="","",'Master'!C617)</x:f>
      </x:c>
      <x:c r="C13" s="102" t="str">
        <x:f>IF('Master'!D617="","",'Master'!D617)</x:f>
      </x:c>
      <x:c r="D13" s="102" t="str">
        <x:f>IF('Master'!E617="","",'Master'!E617)</x:f>
      </x:c>
      <x:c r="E13" s="102" t="str">
        <x:f>IF('Master'!F617="","",'Master'!F617)</x:f>
      </x:c>
      <x:c r="F13" s="102" t="str">
        <x:f>IF('Master'!G617="","",'Master'!G617)</x:f>
      </x:c>
      <x:c r="G13" s="102" t="str">
        <x:f>IF('Master'!H617="","",'Master'!H617)</x:f>
      </x:c>
      <x:c r="H13" s="102" t="str">
        <x:f>IF('Master'!I617="","",'Master'!I617)</x:f>
      </x:c>
      <x:c r="I13" s="102" t="str">
        <x:f>IF('Master'!J617="","",'Master'!J617)</x:f>
      </x:c>
      <x:c r="J13" s="102" t="str">
        <x:f>IF('Master'!K617="","",'Master'!K617)</x:f>
      </x:c>
      <x:c r="K13" s="102" t="str">
        <x:f>IF('Master'!L617="","",'Master'!L617)</x:f>
        <x:v>No formal public launch</x:v>
      </x:c>
      <x:c r="L13" s="102" t="str">
        <x:f>IF('Master'!M617="","",'Master'!M617)</x:f>
      </x:c>
      <x:c r="M13" s="102" t="str">
        <x:f>IF('Master'!N617="","",'Master'!N617)</x:f>
      </x:c>
      <x:c r="N13" s="102" t="str">
        <x:f>IF('Master'!O617="","",'Master'!O617)</x:f>
      </x:c>
      <x:c r="O13" s="102" t="str">
        <x:f>IF('Master'!P617="","",'Master'!P617)</x:f>
      </x:c>
      <x:c r="P13" s="102" t="str">
        <x:f>IF('Master'!Q617="","",'Master'!Q617)</x:f>
      </x:c>
      <x:c r="Q13" s="102" t="str">
        <x:f>IF('Master'!R617="","",'Master'!R617)</x:f>
      </x:c>
      <x:c r="R13" s="102" t="str">
        <x:f>IF('Master'!S617="","",'Master'!S617)</x:f>
      </x:c>
      <x:c r="S13" s="102" t="str">
        <x:f>IF('Master'!T617="","",'Master'!T617)</x:f>
      </x:c>
      <x:c r="T13" s="102" t="str">
        <x:f>IF('Master'!U617="","",'Master'!U617)</x:f>
      </x:c>
      <x:c r="U13" s="102" t="str">
        <x:f>IF('Master'!V617="","",'Master'!V617)</x:f>
      </x:c>
      <x:c r="V13" s="102" t="str">
        <x:f>IF('Master'!W617="","",'Master'!W617)</x:f>
      </x:c>
      <x:c r="W13" s="102" t="str">
        <x:f>IF('Master'!X617="","",'Master'!X617)</x:f>
      </x:c>
      <x:c r="X13" s="102" t="str">
        <x:f>IF('Master'!Y617="","",'Master'!Y617)</x:f>
      </x:c>
      <x:c r="Y13" s="102" t="str">
        <x:f>IF('Master'!Z617="","",'Master'!Z617)</x:f>
      </x:c>
      <x:c r="Z13" s="102" t="str">
        <x:f>IF('Master'!AA617="","",'Master'!AA617)</x:f>
      </x:c>
      <x:c r="AA13" s="103" t="str">
        <x:f>IF('Master'!AB617="","",'Master'!AB617)</x:f>
      </x:c>
      <x:c r="AB13" s="102" t="str">
        <x:f>IF('Master'!AC617="","",'Master'!AC617)</x:f>
      </x:c>
      <x:c r="AC13" s="102" t="str">
        <x:f>IF('Master'!AD617="","",'Master'!AD617)</x:f>
      </x:c>
      <x:c r="AD13" s="102" t="str">
        <x:f>IF('Master'!AE617="","",'Master'!AE617)</x:f>
      </x:c>
      <x:c r="AE13" s="102" t="str">
        <x:f>IF('Master'!AF617="","",'Master'!AF617)</x:f>
      </x:c>
      <x:c r="AF13" s="75" t="str">
        <x:f>IF('Master'!AG617="","",'Master'!AG617)</x:f>
      </x:c>
    </x:row>
    <x:row r="14" ht="36" customHeight="1">
      <x:c r="A14" s="135" t="str">
        <x:v>Public Roadmap?</x:v>
      </x:c>
      <x:c r="B14" s="100" t="str">
        <x:f>IF('Master'!C602="","",'Master'!C602)</x:f>
        <x:v>Limited — no comprehensive public product roadmap; blogs/changelogs announce plans and releases</x:v>
      </x:c>
      <x:c r="C14" s="100" t="str">
        <x:f>IF('Master'!D602="","",'Master'!D602)</x:f>
        <x:v>Public repos</x:v>
      </x:c>
      <x:c r="D14" s="100" t="str">
        <x:f>IF('Master'!E602="","",'Master'!E602)</x:f>
        <x:v>Public docs/GitHub</x:v>
      </x:c>
      <x:c r="E14" s="100" t="str">
        <x:f>IF('Master'!F602="","",'Master'!F602)</x:f>
        <x:v>Public site</x:v>
      </x:c>
      <x:c r="F14" s="100" t="str">
        <x:f>IF('Master'!G602="","",'Master'!G602)</x:f>
        <x:v>Public roadmap/story posts</x:v>
      </x:c>
      <x:c r="G14" s="100" t="str">
        <x:f>IF('Master'!H602="","",'Master'!H602)</x:f>
        <x:v>Public 2026 roadmap</x:v>
      </x:c>
      <x:c r="H14" s="100" t="str">
        <x:f>IF('Master'!I602="","",'Master'!I602)</x:f>
        <x:v>Public site/press</x:v>
      </x:c>
      <x:c r="I14" s="100" t="str">
        <x:f>IF('Master'!J602="","",'Master'!J602)</x:f>
        <x:v>Public roadmap</x:v>
      </x:c>
      <x:c r="J14" s="100" t="str">
        <x:f>IF('Master'!K602="","",'Master'!K602)</x:f>
        <x:v>Public roadmap/issues</x:v>
      </x:c>
      <x:c r="K14" s="100" t="str">
        <x:f>IF('Master'!L602="","",'Master'!L602)</x:f>
        <x:v>Yes — active roadmap in the official Kaede community (developer report)</x:v>
      </x:c>
      <x:c r="L14" s="100" t="str">
        <x:f>IF('Master'!M602="","",'Master'!M602)</x:f>
        <x:v>Public site</x:v>
      </x:c>
      <x:c r="M14" s="100" t="str">
        <x:f>IF('Master'!N602="","",'Master'!N602)</x:f>
        <x:v>Public feature tracker</x:v>
      </x:c>
      <x:c r="N14" s="100" t="str">
        <x:f>IF('Master'!O602="","",'Master'!O602)</x:f>
        <x:v>Public spec roadmap/MSC process</x:v>
      </x:c>
      <x:c r="O14" s="100" t="str">
        <x:f>IF('Master'!P602="","",'Master'!P602)</x:f>
        <x:v>Public product roadmap/release docs</x:v>
      </x:c>
      <x:c r="P14" s="100" t="str">
        <x:f>IF('Master'!Q602="","",'Master'!Q602)</x:f>
        <x:v>Public docs/blog</x:v>
      </x:c>
      <x:c r="Q14" s="100" t="str">
        <x:f>IF('Master'!R602="","",'Master'!R602)</x:f>
        <x:v>Public GitHub milestones/issues</x:v>
      </x:c>
      <x:c r="R14" s="100" t="str">
        <x:f>IF('Master'!S602="","",'Master'!S602)</x:f>
        <x:v>Public GitHub</x:v>
      </x:c>
      <x:c r="S14" s="100" t="str">
        <x:f>IF('Master'!T602="","",'Master'!T602)</x:f>
        <x:v>Public updates</x:v>
      </x:c>
      <x:c r="T14" s="100" t="str">
        <x:f>IF('Master'!U602="","",'Master'!U602)</x:f>
        <x:v>Public site/GitHub</x:v>
      </x:c>
      <x:c r="U14" s="100" t="str">
        <x:f>IF('Master'!V602="","",'Master'!V602)</x:f>
        <x:v>Public site/updates</x:v>
      </x:c>
      <x:c r="V14" s="100" t="str">
        <x:f>IF('Master'!W602="","",'Master'!W602)</x:f>
        <x:v>Public roadmap/release docs</x:v>
      </x:c>
      <x:c r="W14" s="100" t="str">
        <x:f>IF('Master'!X602="","",'Master'!X602)</x:f>
        <x:v>Public GitHub</x:v>
      </x:c>
      <x:c r="X14" s="100" t="str">
        <x:f>IF('Master'!Y602="","",'Master'!Y602)</x:f>
      </x:c>
      <x:c r="Y14" s="100" t="str">
        <x:f>IF('Master'!Z602="","",'Master'!Z602)</x:f>
        <x:v>Public GitHub roadmap/issues</x:v>
      </x:c>
      <x:c r="Z14" s="100" t="str">
        <x:f>IF('Master'!AA602="","",'Master'!AA602)</x:f>
        <x:v>Public GitHub issues/projects + update posts</x:v>
      </x:c>
      <x:c r="AA14" s="104" t="str">
        <x:f>IF('Master'!AB602="","",'Master'!AB602)</x:f>
        <x:v>Product roadmap/announcements</x:v>
      </x:c>
      <x:c r="AB14" s="100" t="str">
        <x:f>IF('Master'!AC602="","",'Master'!AC602)</x:f>
        <x:v>Public roadmap/issues</x:v>
      </x:c>
      <x:c r="AC14" s="100" t="str">
        <x:f>IF('Master'!AD602="","",'Master'!AD602)</x:f>
        <x:v>Public subreddit/GitHub</x:v>
      </x:c>
      <x:c r="AD14" s="100" t="str">
        <x:f>IF('Master'!AE602="","",'Master'!AE602)</x:f>
        <x:v>Public site</x:v>
      </x:c>
      <x:c r="AE14" s="100" t="str">
        <x:f>IF('Master'!AF602="","",'Master'!AF602)</x:f>
        <x:v>Public roadmap</x:v>
      </x:c>
      <x:c r="AF14" s="75" t="str">
        <x:f>IF('Master'!AG602="","",'Master'!AG602)</x:f>
        <x:v>Public roadmap/issues</x:v>
      </x:c>
    </x:row>
    <x:row r="15" ht="36" customHeight="1">
      <x:c r="A15" s="135" t="str">
        <x:v>Security Advisories?</x:v>
      </x:c>
      <x:c r="B15" s="100" t="str">
        <x:f>IF('Master'!C618="","",'Master'!C618)</x:f>
        <x:v>Yes</x:v>
      </x:c>
      <x:c r="C15" s="100" t="str">
        <x:f>IF('Master'!D618="","",'Master'!D618)</x:f>
      </x:c>
      <x:c r="D15" s="100" t="str">
        <x:f>IF('Master'!E618="","",'Master'!E618)</x:f>
      </x:c>
      <x:c r="E15" s="100" t="str">
        <x:f>IF('Master'!F618="","",'Master'!F618)</x:f>
      </x:c>
      <x:c r="F15" s="100" t="str">
        <x:f>IF('Master'!G618="","",'Master'!G618)</x:f>
      </x:c>
      <x:c r="G15" s="100" t="str">
        <x:f>IF('Master'!H618="","",'Master'!H618)</x:f>
      </x:c>
      <x:c r="H15" s="100" t="str">
        <x:f>IF('Master'!I618="","",'Master'!I618)</x:f>
      </x:c>
      <x:c r="I15" s="100" t="str">
        <x:f>IF('Master'!J618="","",'Master'!J618)</x:f>
      </x:c>
      <x:c r="J15" s="100" t="str">
        <x:f>IF('Master'!K618="","",'Master'!K618)</x:f>
      </x:c>
      <x:c r="K15" s="100" t="str">
        <x:f>IF('Master'!L618="","",'Master'!L618)</x:f>
        <x:v>No public security advisories located</x:v>
      </x:c>
      <x:c r="L15" s="100" t="str">
        <x:f>IF('Master'!M618="","",'Master'!M618)</x:f>
      </x:c>
      <x:c r="M15" s="100" t="str">
        <x:f>IF('Master'!N618="","",'Master'!N618)</x:f>
      </x:c>
      <x:c r="N15" s="100" t="str">
        <x:f>IF('Master'!O618="","",'Master'!O618)</x:f>
        <x:v>Yes</x:v>
      </x:c>
      <x:c r="O15" s="100" t="str">
        <x:f>IF('Master'!P618="","",'Master'!P618)</x:f>
        <x:v>Yes</x:v>
      </x:c>
      <x:c r="P15" s="100" t="str">
        <x:f>IF('Master'!Q618="","",'Master'!Q618)</x:f>
      </x:c>
      <x:c r="Q15" s="100" t="str">
        <x:f>IF('Master'!R618="","",'Master'!R618)</x:f>
        <x:v>Yes</x:v>
      </x:c>
      <x:c r="R15" s="100" t="str">
        <x:f>IF('Master'!S618="","",'Master'!S618)</x:f>
      </x:c>
      <x:c r="S15" s="100" t="str">
        <x:f>IF('Master'!T618="","",'Master'!T618)</x:f>
      </x:c>
      <x:c r="T15" s="100" t="str">
        <x:f>IF('Master'!U618="","",'Master'!U618)</x:f>
        <x:v>No public breach/CVE story; security contact is published</x:v>
      </x:c>
      <x:c r="U15" s="100" t="str">
        <x:f>IF('Master'!V618="","",'Master'!V618)</x:f>
        <x:v>No Known</x:v>
      </x:c>
      <x:c r="V15" s="100" t="str">
        <x:f>IF('Master'!W618="","",'Master'!W618)</x:f>
        <x:v>Yes</x:v>
      </x:c>
      <x:c r="W15" s="100" t="str">
        <x:f>IF('Master'!X618="","",'Master'!X618)</x:f>
      </x:c>
      <x:c r="X15" s="100" t="str">
        <x:f>IF('Master'!Y618="","",'Master'!Y618)</x:f>
      </x:c>
      <x:c r="Y15" s="100" t="str">
        <x:f>IF('Master'!Z618="","",'Master'!Z618)</x:f>
      </x:c>
      <x:c r="Z15" s="100" t="str">
        <x:f>IF('Master'!AA618="","",'Master'!AA618)</x:f>
      </x:c>
      <x:c r="AA15" s="104" t="str">
        <x:f>IF('Master'!AB618="","",'Master'!AB618)</x:f>
      </x:c>
      <x:c r="AB15" s="100" t="str">
        <x:f>IF('Master'!AC618="","",'Master'!AC618)</x:f>
      </x:c>
      <x:c r="AC15" s="100" t="str">
        <x:f>IF('Master'!AD618="","",'Master'!AD618)</x:f>
      </x:c>
      <x:c r="AD15" s="100" t="str">
        <x:f>IF('Master'!AE618="","",'Master'!AE618)</x:f>
      </x:c>
      <x:c r="AE15" s="100" t="str">
        <x:f>IF('Master'!AF618="","",'Master'!AF618)</x:f>
      </x:c>
      <x:c r="AF15" s="75" t="str">
        <x:f>IF('Master'!AG618="","",'Master'!AG618)</x:f>
      </x:c>
    </x:row>
  </x:sheetData>
  <x:mergeCells>
    <x:mergeCell ref="A1:AF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Directory'!A1","Project History, Team &amp; Maintenance — Granular"),"Project History, Team &amp; Maintenance — Granular")</x:f>
        <x:v>Project History, Team &amp; Maintenance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Timeline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Inception Year</x:v>
      </x:c>
      <x:c r="B4" s="100" t="str">
        <x:f>IF('Master'!C585="","",'Master'!C585)</x:f>
        <x:v>2015</x:v>
      </x:c>
      <x:c r="C4" s="100" t="str">
        <x:f>IF('Master'!D585="","",'Master'!D585)</x:f>
        <x:v>2026</x:v>
      </x:c>
      <x:c r="D4" s="100" t="str">
        <x:f>IF('Master'!E585="","",'Master'!E585)</x:f>
        <x:v>2023</x:v>
      </x:c>
      <x:c r="E4" s="100" t="str">
        <x:f>IF('Master'!F585="","",'Master'!F585)</x:f>
        <x:v>2026</x:v>
      </x:c>
      <x:c r="F4" s="100" t="str">
        <x:f>IF('Master'!G585="","",'Master'!G585)</x:f>
        <x:v>2025</x:v>
      </x:c>
      <x:c r="G4" s="100" t="str">
        <x:f>IF('Master'!H585="","",'Master'!H585)</x:f>
        <x:v>2020</x:v>
      </x:c>
      <x:c r="H4" s="100" t="str">
        <x:f>IF('Master'!I585="","",'Master'!I585)</x:f>
        <x:v>2026</x:v>
      </x:c>
      <x:c r="I4" s="100" t="str">
        <x:f>IF('Master'!J585="","",'Master'!J585)</x:f>
        <x:v>2026</x:v>
      </x:c>
      <x:c r="J4" s="100" t="str">
        <x:f>IF('Master'!K585="","",'Master'!K585)</x:f>
        <x:v>2026</x:v>
      </x:c>
      <x:c r="K4" s="100" t="str">
        <x:f>IF('Master'!L585="","",'Master'!L585)</x:f>
        <x:v>≈ late 2025 (developer report: private use for nearly a year as of Sep 2026)</x:v>
      </x:c>
      <x:c r="L4" s="100" t="str">
        <x:f>IF('Master'!M585="","",'Master'!M585)</x:f>
        <x:v>2025</x:v>
      </x:c>
      <x:c r="M4" s="100" t="str">
        <x:f>IF('Master'!N585="","",'Master'!N585)</x:f>
        <x:v>2026</x:v>
      </x:c>
      <x:c r="N4" s="100" t="str">
        <x:f>IF('Master'!O585="","",'Master'!O585)</x:f>
        <x:v>2014</x:v>
      </x:c>
      <x:c r="O4" s="100" t="str">
        <x:f>IF('Master'!P585="","",'Master'!P585)</x:f>
        <x:v>2015</x:v>
      </x:c>
      <x:c r="P4" s="100" t="str">
        <x:f>IF('Master'!Q585="","",'Master'!Q585)</x:f>
      </x:c>
      <x:c r="Q4" s="100" t="str">
        <x:f>IF('Master'!R585="","",'Master'!R585)</x:f>
        <x:v>2005</x:v>
      </x:c>
      <x:c r="R4" s="100" t="str">
        <x:f>IF('Master'!S585="","",'Master'!S585)</x:f>
      </x:c>
      <x:c r="S4" s="100" t="str">
        <x:f>IF('Master'!T585="","",'Master'!T585)</x:f>
        <x:v>2024</x:v>
      </x:c>
      <x:c r="T4" s="100" t="str">
        <x:f>IF('Master'!U585="","",'Master'!U585)</x:f>
        <x:v>Exact year/date not stated in the developer response; see GitHub first commit</x:v>
      </x:c>
      <x:c r="U4" s="100" t="str">
        <x:f>IF('Master'!V585="","",'Master'!V585)</x:f>
        <x:v>2026</x:v>
      </x:c>
      <x:c r="V4" s="100" t="str">
        <x:f>IF('Master'!W585="","",'Master'!W585)</x:f>
        <x:v>2015</x:v>
      </x:c>
      <x:c r="W4" s="100" t="str">
        <x:f>IF('Master'!X585="","",'Master'!X585)</x:f>
        <x:v>2024</x:v>
      </x:c>
      <x:c r="X4" s="100" t="str">
        <x:f>IF('Master'!Y585="","",'Master'!Y585)</x:f>
        <x:v>2025</x:v>
      </x:c>
      <x:c r="Y4" s="100" t="str">
        <x:f>IF('Master'!Z585="","",'Master'!Z585)</x:f>
        <x:v>2021</x:v>
      </x:c>
      <x:c r="Z4" s="100" t="str">
        <x:f>IF('Master'!AA585="","",'Master'!AA585)</x:f>
        <x:v>2021</x:v>
      </x:c>
      <x:c r="AA4" s="104" t="str">
        <x:f>IF('Master'!AB585="","",'Master'!AB585)</x:f>
        <x:v>1999</x:v>
      </x:c>
      <x:c r="AB4" s="100" t="str">
        <x:f>IF('Master'!AC585="","",'Master'!AC585)</x:f>
        <x:v>2026</x:v>
      </x:c>
      <x:c r="AC4" s="100" t="str">
        <x:f>IF('Master'!AD585="","",'Master'!AD585)</x:f>
        <x:v>2026</x:v>
      </x:c>
      <x:c r="AD4" s="100" t="str">
        <x:f>IF('Master'!AE585="","",'Master'!AE585)</x:f>
        <x:v>2025</x:v>
      </x:c>
      <x:c r="AE4" s="100" t="str">
        <x:f>IF('Master'!AF585="","",'Master'!AF585)</x:f>
        <x:v>2026</x:v>
      </x:c>
      <x:c r="AF4" s="75" t="str">
        <x:f>IF('Master'!AG585="","",'Master'!AG585)</x:f>
        <x:v>2012</x:v>
      </x:c>
    </x:row>
    <x:row r="5" ht="36" customHeight="1">
      <x:c r="A5" s="135" t="str">
        <x:v>Inception Month</x:v>
      </x:c>
      <x:c r="B5" s="100" t="str">
        <x:f>IF('Master'!C586="","",'Master'!C586)</x:f>
        <x:v>May</x:v>
      </x:c>
      <x:c r="C5" s="100" t="str">
        <x:f>IF('Master'!D586="","",'Master'!D586)</x:f>
      </x:c>
      <x:c r="D5" s="100" t="str">
        <x:f>IF('Master'!E586="","",'Master'!E586)</x:f>
      </x:c>
      <x:c r="E5" s="100" t="str">
        <x:f>IF('Master'!F586="","",'Master'!F586)</x:f>
      </x:c>
      <x:c r="F5" s="100" t="str">
        <x:f>IF('Master'!G586="","",'Master'!G586)</x:f>
        <x:v>November</x:v>
      </x:c>
      <x:c r="G5" s="100" t="str">
        <x:f>IF('Master'!H586="","",'Master'!H586)</x:f>
      </x:c>
      <x:c r="H5" s="100" t="str">
        <x:f>IF('Master'!I586="","",'Master'!I586)</x:f>
      </x:c>
      <x:c r="I5" s="100" t="str">
        <x:f>IF('Master'!J586="","",'Master'!J586)</x:f>
      </x:c>
      <x:c r="J5" s="100" t="str">
        <x:f>IF('Master'!K586="","",'Master'!K586)</x:f>
      </x:c>
      <x:c r="K5" s="100" t="str">
        <x:f>IF('Master'!L586="","",'Master'!L586)</x:f>
      </x:c>
      <x:c r="L5" s="100" t="str">
        <x:f>IF('Master'!M586="","",'Master'!M586)</x:f>
      </x:c>
      <x:c r="M5" s="100" t="str">
        <x:f>IF('Master'!N586="","",'Master'!N586)</x:f>
      </x:c>
      <x:c r="N5" s="100" t="str">
        <x:f>IF('Master'!O586="","",'Master'!O586)</x:f>
      </x:c>
      <x:c r="O5" s="100" t="str">
        <x:f>IF('Master'!P586="","",'Master'!P586)</x:f>
      </x:c>
      <x:c r="P5" s="100" t="str">
        <x:f>IF('Master'!Q586="","",'Master'!Q586)</x:f>
      </x:c>
      <x:c r="Q5" s="100" t="str">
        <x:f>IF('Master'!R586="","",'Master'!R586)</x:f>
      </x:c>
      <x:c r="R5" s="100" t="str">
        <x:f>IF('Master'!S586="","",'Master'!S586)</x:f>
      </x:c>
      <x:c r="S5" s="100" t="str">
        <x:f>IF('Master'!T586="","",'Master'!T586)</x:f>
      </x:c>
      <x:c r="T5" s="100" t="str">
        <x:f>IF('Master'!U586="","",'Master'!U586)</x:f>
      </x:c>
      <x:c r="U5" s="100" t="str">
        <x:f>IF('Master'!V586="","",'Master'!V586)</x:f>
      </x:c>
      <x:c r="V5" s="100" t="str">
        <x:f>IF('Master'!W586="","",'Master'!W586)</x:f>
      </x:c>
      <x:c r="W5" s="100" t="str">
        <x:f>IF('Master'!X586="","",'Master'!X586)</x:f>
      </x:c>
      <x:c r="X5" s="100" t="str">
        <x:f>IF('Master'!Y586="","",'Master'!Y586)</x:f>
      </x:c>
      <x:c r="Y5" s="100" t="str">
        <x:f>IF('Master'!Z586="","",'Master'!Z586)</x:f>
      </x:c>
      <x:c r="Z5" s="100" t="str">
        <x:f>IF('Master'!AA586="","",'Master'!AA586)</x:f>
      </x:c>
      <x:c r="AA5" s="104" t="str">
        <x:f>IF('Master'!AB586="","",'Master'!AB586)</x:f>
      </x:c>
      <x:c r="AB5" s="100" t="str">
        <x:f>IF('Master'!AC586="","",'Master'!AC586)</x:f>
      </x:c>
      <x:c r="AC5" s="100" t="str">
        <x:f>IF('Master'!AD586="","",'Master'!AD586)</x:f>
      </x:c>
      <x:c r="AD5" s="100" t="str">
        <x:f>IF('Master'!AE586="","",'Master'!AE586)</x:f>
      </x:c>
      <x:c r="AE5" s="100" t="str">
        <x:f>IF('Master'!AF586="","",'Master'!AF586)</x:f>
      </x:c>
      <x:c r="AF5" s="75" t="str">
        <x:f>IF('Master'!AG586="","",'Master'!AG586)</x:f>
      </x:c>
    </x:row>
    <x:row r="6" ht="36" customHeight="1">
      <x:c r="A6" s="135" t="str">
        <x:v>Exact Inception Date Known?</x:v>
      </x:c>
      <x:c r="B6" s="100" t="str">
        <x:f>IF('Master'!C587="","",'Master'!C587)</x:f>
        <x:v>Yes</x:v>
      </x:c>
      <x:c r="C6" s="100" t="str">
        <x:f>IF('Master'!D587="","",'Master'!D587)</x:f>
      </x:c>
      <x:c r="D6" s="100" t="str">
        <x:f>IF('Master'!E587="","",'Master'!E587)</x:f>
      </x:c>
      <x:c r="E6" s="100" t="str">
        <x:f>IF('Master'!F587="","",'Master'!F587)</x:f>
      </x:c>
      <x:c r="F6" s="100" t="str">
        <x:f>IF('Master'!G587="","",'Master'!G587)</x:f>
      </x:c>
      <x:c r="G6" s="100" t="str">
        <x:f>IF('Master'!H587="","",'Master'!H587)</x:f>
        <x:v>Yes</x:v>
      </x:c>
      <x:c r="H6" s="100" t="str">
        <x:f>IF('Master'!I587="","",'Master'!I587)</x:f>
      </x:c>
      <x:c r="I6" s="100" t="str">
        <x:f>IF('Master'!J587="","",'Master'!J587)</x:f>
      </x:c>
      <x:c r="J6" s="100" t="str">
        <x:f>IF('Master'!K587="","",'Master'!K587)</x:f>
      </x:c>
      <x:c r="K6" s="100" t="str">
        <x:f>IF('Master'!L587="","",'Master'!L587)</x:f>
      </x:c>
      <x:c r="L6" s="100" t="str">
        <x:f>IF('Master'!M587="","",'Master'!M587)</x:f>
      </x:c>
      <x:c r="M6" s="100" t="str">
        <x:f>IF('Master'!N587="","",'Master'!N587)</x:f>
      </x:c>
      <x:c r="N6" s="100" t="str">
        <x:f>IF('Master'!O587="","",'Master'!O587)</x:f>
        <x:v>Yes</x:v>
      </x:c>
      <x:c r="O6" s="100" t="str">
        <x:f>IF('Master'!P587="","",'Master'!P587)</x:f>
      </x:c>
      <x:c r="P6" s="100" t="str">
        <x:f>IF('Master'!Q587="","",'Master'!Q587)</x:f>
      </x:c>
      <x:c r="Q6" s="100" t="str">
        <x:f>IF('Master'!R587="","",'Master'!R587)</x:f>
      </x:c>
      <x:c r="R6" s="100" t="str">
        <x:f>IF('Master'!S587="","",'Master'!S587)</x:f>
      </x:c>
      <x:c r="S6" s="100" t="str">
        <x:f>IF('Master'!T587="","",'Master'!T587)</x:f>
      </x:c>
      <x:c r="T6" s="100" t="str">
        <x:f>IF('Master'!U587="","",'Master'!U587)</x:f>
        <x:v>Available from GitHub first-commit history; not supplied in response</x:v>
      </x:c>
      <x:c r="U6" s="100" t="str">
        <x:f>IF('Master'!V587="","",'Master'!V587)</x:f>
      </x:c>
      <x:c r="V6" s="100" t="str">
        <x:f>IF('Master'!W587="","",'Master'!W587)</x:f>
      </x:c>
      <x:c r="W6" s="100" t="str">
        <x:f>IF('Master'!X587="","",'Master'!X587)</x:f>
      </x:c>
      <x:c r="X6" s="100" t="str">
        <x:f>IF('Master'!Y587="","",'Master'!Y587)</x:f>
      </x:c>
      <x:c r="Y6" s="100" t="str">
        <x:f>IF('Master'!Z587="","",'Master'!Z587)</x:f>
      </x:c>
      <x:c r="Z6" s="100" t="str">
        <x:f>IF('Master'!AA587="","",'Master'!AA587)</x:f>
      </x:c>
      <x:c r="AA6" s="104" t="str">
        <x:f>IF('Master'!AB587="","",'Master'!AB587)</x:f>
      </x:c>
      <x:c r="AB6" s="100" t="str">
        <x:f>IF('Master'!AC587="","",'Master'!AC587)</x:f>
      </x:c>
      <x:c r="AC6" s="100" t="str">
        <x:f>IF('Master'!AD587="","",'Master'!AD587)</x:f>
      </x:c>
      <x:c r="AD6" s="100" t="str">
        <x:f>IF('Master'!AE587="","",'Master'!AE587)</x:f>
      </x:c>
      <x:c r="AE6" s="100" t="str">
        <x:f>IF('Master'!AF587="","",'Master'!AF587)</x:f>
      </x:c>
      <x:c r="AF6" s="75" t="str">
        <x:f>IF('Master'!AG587="","",'Master'!AG587)</x:f>
      </x:c>
    </x:row>
    <x:row r="7" ht="36" customHeight="1">
      <x:c r="A7" s="135" t="str">
        <x:v>Public Alpha Date</x:v>
      </x:c>
      <x:c r="B7" s="100" t="str">
        <x:f>IF('Master'!C588="","",'Master'!C588)</x:f>
      </x:c>
      <x:c r="C7" s="100" t="str">
        <x:f>IF('Master'!D588="","",'Master'!D588)</x:f>
      </x:c>
      <x:c r="D7" s="100" t="str">
        <x:f>IF('Master'!E588="","",'Master'!E588)</x:f>
      </x:c>
      <x:c r="E7" s="100" t="str">
        <x:f>IF('Master'!F588="","",'Master'!F588)</x:f>
      </x:c>
      <x:c r="F7" s="100" t="str">
        <x:f>IF('Master'!G588="","",'Master'!G588)</x:f>
        <x:v>Alpha access in 2026; public v1 release not yet</x:v>
      </x:c>
      <x:c r="G7" s="100" t="str">
        <x:f>IF('Master'!H588="","",'Master'!H588)</x:f>
      </x:c>
      <x:c r="H7" s="100" t="str">
        <x:f>IF('Master'!I588="","",'Master'!I588)</x:f>
      </x:c>
      <x:c r="I7" s="100" t="str">
        <x:f>IF('Master'!J588="","",'Master'!J588)</x:f>
        <x:v>Early public 2026</x:v>
      </x:c>
      <x:c r="J7" s="100" t="str">
        <x:f>IF('Master'!K588="","",'Master'!K588)</x:f>
        <x:v>Public alpha/beta 2026</x:v>
      </x:c>
      <x:c r="K7" s="100" t="str">
        <x:f>IF('Master'!L588="","",'Master'!L588)</x:f>
        <x:v>No formal public launch</x:v>
      </x:c>
      <x:c r="L7" s="100" t="str">
        <x:f>IF('Master'!M588="","",'Master'!M588)</x:f>
        <x:v>Alpha/public 2026</x:v>
      </x:c>
      <x:c r="M7" s="100" t="str">
        <x:f>IF('Master'!N588="","",'Master'!N588)</x:f>
      </x:c>
      <x:c r="N7" s="100" t="str">
        <x:f>IF('Master'!O588="","",'Master'!O588)</x:f>
      </x:c>
      <x:c r="O7" s="100" t="str">
        <x:f>IF('Master'!P588="","",'Master'!P588)</x:f>
      </x:c>
      <x:c r="P7" s="100" t="str">
        <x:f>IF('Master'!Q588="","",'Master'!Q588)</x:f>
      </x:c>
      <x:c r="Q7" s="100" t="str">
        <x:f>IF('Master'!R588="","",'Master'!R588)</x:f>
      </x:c>
      <x:c r="R7" s="100" t="str">
        <x:f>IF('Master'!S588="","",'Master'!S588)</x:f>
      </x:c>
      <x:c r="S7" s="100" t="str">
        <x:f>IF('Master'!T588="","",'Master'!T588)</x:f>
      </x:c>
      <x:c r="T7" s="100" t="str">
        <x:f>IF('Master'!U588="","",'Master'!U588)</x:f>
      </x:c>
      <x:c r="U7" s="100" t="str">
        <x:f>IF('Master'!V588="","",'Master'!V588)</x:f>
      </x:c>
      <x:c r="V7" s="100" t="str">
        <x:f>IF('Master'!W588="","",'Master'!W588)</x:f>
      </x:c>
      <x:c r="W7" s="100" t="str">
        <x:f>IF('Master'!X588="","",'Master'!X588)</x:f>
        <x:v>Early public project</x:v>
      </x:c>
      <x:c r="X7" s="100" t="str">
        <x:f>IF('Master'!Y588="","",'Master'!Y588)</x:f>
      </x:c>
      <x:c r="Y7" s="100" t="str">
        <x:f>IF('Master'!Z588="","",'Master'!Z588)</x:f>
      </x:c>
      <x:c r="Z7" s="100" t="str">
        <x:f>IF('Master'!AA588="","",'Master'!AA588)</x:f>
      </x:c>
      <x:c r="AA7" s="104" t="str">
        <x:f>IF('Master'!AB588="","",'Master'!AB588)</x:f>
      </x:c>
      <x:c r="AB7" s="100" t="str">
        <x:f>IF('Master'!AC588="","",'Master'!AC588)</x:f>
        <x:v>Alpha/public before 2026</x:v>
      </x:c>
      <x:c r="AC7" s="100" t="str">
        <x:f>IF('Master'!AD588="","",'Master'!AD588)</x:f>
        <x:v>Alpha/beta 2026</x:v>
      </x:c>
      <x:c r="AD7" s="100" t="str">
        <x:f>IF('Master'!AE588="","",'Master'!AE588)</x:f>
      </x:c>
      <x:c r="AE7" s="100" t="str">
        <x:f>IF('Master'!AF588="","",'Master'!AF588)</x:f>
      </x:c>
      <x:c r="AF7" s="75" t="str">
        <x:f>IF('Master'!AG588="","",'Master'!AG588)</x:f>
      </x:c>
    </x:row>
    <x:row r="8" ht="36" customHeight="1">
      <x:c r="A8" s="135" t="str">
        <x:v>Public Beta Date</x:v>
      </x:c>
      <x:c r="B8" s="100" t="str">
        <x:f>IF('Master'!C589="","",'Master'!C589)</x:f>
      </x:c>
      <x:c r="C8" s="100" t="str">
        <x:f>IF('Master'!D589="","",'Master'!D589)</x:f>
        <x:v>Public beta/dev 2026</x:v>
      </x:c>
      <x:c r="D8" s="100" t="str">
        <x:f>IF('Master'!E589="","",'Master'!E589)</x:f>
        <x:v>Public project by 2024</x:v>
      </x:c>
      <x:c r="E8" s="100" t="str">
        <x:f>IF('Master'!F589="","",'Master'!F589)</x:f>
        <x:v>Public 2026</x:v>
      </x:c>
      <x:c r="F8" s="100" t="str">
        <x:f>IF('Master'!G589="","",'Master'!G589)</x:f>
      </x:c>
      <x:c r="G8" s="100" t="str">
        <x:f>IF('Master'!H589="","",'Master'!H589)</x:f>
        <x:v>2026-01-02 public release</x:v>
      </x:c>
      <x:c r="H8" s="100" t="str">
        <x:f>IF('Master'!I589="","",'Master'!I589)</x:f>
        <x:v>2026 open beta</x:v>
      </x:c>
      <x:c r="I8" s="100" t="str">
        <x:f>IF('Master'!J589="","",'Master'!J589)</x:f>
      </x:c>
      <x:c r="J8" s="100" t="str">
        <x:f>IF('Master'!K589="","",'Master'!K589)</x:f>
        <x:v>Public alpha/beta 2026</x:v>
      </x:c>
      <x:c r="K8" s="100" t="str">
        <x:f>IF('Master'!L589="","",'Master'!L589)</x:f>
        <x:v>No formal public launch</x:v>
      </x:c>
      <x:c r="L8" s="100" t="str">
        <x:f>IF('Master'!M589="","",'Master'!M589)</x:f>
      </x:c>
      <x:c r="M8" s="100" t="str">
        <x:f>IF('Master'!N589="","",'Master'!N589)</x:f>
        <x:v>Open beta 2026</x:v>
      </x:c>
      <x:c r="N8" s="100" t="str">
        <x:f>IF('Master'!O589="","",'Master'!O589)</x:f>
      </x:c>
      <x:c r="O8" s="100" t="str">
        <x:f>IF('Master'!P589="","",'Master'!P589)</x:f>
      </x:c>
      <x:c r="P8" s="100" t="str">
        <x:f>IF('Master'!Q589="","",'Master'!Q589)</x:f>
      </x:c>
      <x:c r="Q8" s="100" t="str">
        <x:f>IF('Master'!R589="","",'Master'!R589)</x:f>
      </x:c>
      <x:c r="R8" s="100" t="str">
        <x:f>IF('Master'!S589="","",'Master'!S589)</x:f>
      </x:c>
      <x:c r="S8" s="100" t="str">
        <x:f>IF('Master'!T589="","",'Master'!T589)</x:f>
        <x:v>Public beta in 2026</x:v>
      </x:c>
      <x:c r="T8" s="100" t="str">
        <x:f>IF('Master'!U589="","",'Master'!U589)</x:f>
        <x:v>Open beta; exact launch date not stated</x:v>
      </x:c>
      <x:c r="U8" s="100" t="str">
        <x:f>IF('Master'!V589="","",'Master'!V589)</x:f>
        <x:v>Public 2026</x:v>
      </x:c>
      <x:c r="V8" s="100" t="str">
        <x:f>IF('Master'!W589="","",'Master'!W589)</x:f>
      </x:c>
      <x:c r="W8" s="100" t="str">
        <x:f>IF('Master'!X589="","",'Master'!X589)</x:f>
      </x:c>
      <x:c r="X8" s="100" t="str">
        <x:f>IF('Master'!Y589="","",'Master'!Y589)</x:f>
      </x:c>
      <x:c r="Y8" s="100" t="str">
        <x:f>IF('Master'!Z589="","",'Master'!Z589)</x:f>
      </x:c>
      <x:c r="Z8" s="100" t="str">
        <x:f>IF('Master'!AA589="","",'Master'!AA589)</x:f>
      </x:c>
      <x:c r="AA8" s="104" t="str">
        <x:f>IF('Master'!AB589="","",'Master'!AB589)</x:f>
        <x:v>2001 first public release</x:v>
      </x:c>
      <x:c r="AB8" s="100" t="str">
        <x:f>IF('Master'!AC589="","",'Master'!AC589)</x:f>
      </x:c>
      <x:c r="AC8" s="100" t="str">
        <x:f>IF('Master'!AD589="","",'Master'!AD589)</x:f>
        <x:v>Alpha/beta 2026</x:v>
      </x:c>
      <x:c r="AD8" s="100" t="str">
        <x:f>IF('Master'!AE589="","",'Master'!AE589)</x:f>
        <x:v>Public beta 2026</x:v>
      </x:c>
      <x:c r="AE8" s="100" t="str">
        <x:f>IF('Master'!AF589="","",'Master'!AF589)</x:f>
        <x:v>Public beta/service 2026</x:v>
      </x:c>
      <x:c r="AF8" s="75" t="str">
        <x:f>IF('Master'!AG589="","",'Master'!AG589)</x:f>
      </x:c>
    </x:row>
    <x:row r="9" ht="36" customHeight="1">
      <x:c r="A9" s="135" t="str">
        <x:v>Stable / 1.0 Date</x:v>
      </x:c>
      <x:c r="B9" s="100" t="str">
        <x:f>IF('Master'!C590="","",'Master'!C590)</x:f>
        <x:v>2015-05-13</x:v>
      </x:c>
      <x:c r="C9" s="100" t="str">
        <x:f>IF('Master'!D590="","",'Master'!D590)</x:f>
      </x:c>
      <x:c r="D9" s="100" t="str">
        <x:f>IF('Master'!E590="","",'Master'!E590)</x:f>
      </x:c>
      <x:c r="E9" s="100" t="str">
        <x:f>IF('Master'!F590="","",'Master'!F590)</x:f>
      </x:c>
      <x:c r="F9" s="100" t="str">
        <x:f>IF('Master'!G590="","",'Master'!G590)</x:f>
      </x:c>
      <x:c r="G9" s="100" t="str">
        <x:f>IF('Master'!H590="","",'Master'!H590)</x:f>
      </x:c>
      <x:c r="H9" s="100" t="str">
        <x:f>IF('Master'!I590="","",'Master'!I590)</x:f>
      </x:c>
      <x:c r="I9" s="100" t="str">
        <x:f>IF('Master'!J590="","",'Master'!J590)</x:f>
      </x:c>
      <x:c r="J9" s="100" t="str">
        <x:f>IF('Master'!K590="","",'Master'!K590)</x:f>
      </x:c>
      <x:c r="K9" s="100" t="str">
        <x:f>IF('Master'!L590="","",'Master'!L590)</x:f>
        <x:v>No formal public launch</x:v>
      </x:c>
      <x:c r="L9" s="100" t="str">
        <x:f>IF('Master'!M590="","",'Master'!M590)</x:f>
      </x:c>
      <x:c r="M9" s="100" t="str">
        <x:f>IF('Master'!N590="","",'Master'!N590)</x:f>
      </x:c>
      <x:c r="N9" s="100" t="str">
        <x:f>IF('Master'!O590="","",'Master'!O590)</x:f>
        <x:v>2014-09-03 (first public alpha)</x:v>
      </x:c>
      <x:c r="O9" s="100" t="str">
        <x:f>IF('Master'!P590="","",'Master'!P590)</x:f>
        <x:v>2015</x:v>
      </x:c>
      <x:c r="P9" s="100" t="str">
        <x:f>IF('Master'!Q590="","",'Master'!Q590)</x:f>
      </x:c>
      <x:c r="Q9" s="100" t="str">
        <x:f>IF('Master'!R590="","",'Master'!R590)</x:f>
      </x:c>
      <x:c r="R9" s="100" t="str">
        <x:f>IF('Master'!S590="","",'Master'!S590)</x:f>
      </x:c>
      <x:c r="S9" s="100" t="str">
        <x:f>IF('Master'!T590="","",'Master'!T590)</x:f>
      </x:c>
      <x:c r="T9" s="100" t="str">
        <x:f>IF('Master'!U590="","",'Master'!U590)</x:f>
      </x:c>
      <x:c r="U9" s="100" t="str">
        <x:f>IF('Master'!V590="","",'Master'!V590)</x:f>
      </x:c>
      <x:c r="V9" s="100" t="str">
        <x:f>IF('Master'!W590="","",'Master'!W590)</x:f>
        <x:v>2015</x:v>
      </x:c>
      <x:c r="W9" s="100" t="str">
        <x:f>IF('Master'!X590="","",'Master'!X590)</x:f>
      </x:c>
      <x:c r="X9" s="100" t="str">
        <x:f>IF('Master'!Y590="","",'Master'!Y590)</x:f>
      </x:c>
      <x:c r="Y9" s="100" t="str">
        <x:f>IF('Master'!Z590="","",'Master'!Z590)</x:f>
      </x:c>
      <x:c r="Z9" s="100" t="str">
        <x:f>IF('Master'!AA590="","",'Master'!AA590)</x:f>
      </x:c>
      <x:c r="AA9" s="104" t="str">
        <x:f>IF('Master'!AB590="","",'Master'!AB590)</x:f>
        <x:v>2001 first public release</x:v>
      </x:c>
      <x:c r="AB9" s="100" t="str">
        <x:f>IF('Master'!AC590="","",'Master'!AC590)</x:f>
      </x:c>
      <x:c r="AC9" s="100" t="str">
        <x:f>IF('Master'!AD590="","",'Master'!AD590)</x:f>
      </x:c>
      <x:c r="AD9" s="100" t="str">
        <x:f>IF('Master'!AE590="","",'Master'!AE590)</x:f>
      </x:c>
      <x:c r="AE9" s="100" t="str">
        <x:f>IF('Master'!AF590="","",'Master'!AF590)</x:f>
      </x:c>
      <x:c r="AF9" s="75" t="str">
        <x:f>IF('Master'!AG590="","",'Master'!AG590)</x:f>
        <x:v>2012 hosted; open-sourced 2015</x:v>
      </x:c>
    </x:row>
    <x:row r="10" ht="23.100000381469727" customHeight="1">
      <x:c r="A10" s="135" t="str">
        <x:v>Current State</x:v>
      </x:c>
      <x:c r="B10" s="102" t="str">
        <x:f>IF('Master'!C591="","",'Master'!C591)</x:f>
      </x:c>
      <x:c r="C10" s="102" t="str">
        <x:f>IF('Master'!D591="","",'Master'!D591)</x:f>
      </x:c>
      <x:c r="D10" s="102" t="str">
        <x:f>IF('Master'!E591="","",'Master'!E591)</x:f>
      </x:c>
      <x:c r="E10" s="102" t="str">
        <x:f>IF('Master'!F591="","",'Master'!F591)</x:f>
      </x:c>
      <x:c r="F10" s="102" t="str">
        <x:f>IF('Master'!G591="","",'Master'!G591)</x:f>
      </x:c>
      <x:c r="G10" s="102" t="str">
        <x:f>IF('Master'!H591="","",'Master'!H591)</x:f>
      </x:c>
      <x:c r="H10" s="102" t="str">
        <x:f>IF('Master'!I591="","",'Master'!I591)</x:f>
      </x:c>
      <x:c r="I10" s="102" t="str">
        <x:f>IF('Master'!J591="","",'Master'!J591)</x:f>
      </x:c>
      <x:c r="J10" s="102" t="str">
        <x:f>IF('Master'!K591="","",'Master'!K591)</x:f>
      </x:c>
      <x:c r="K10" s="102" t="str">
        <x:f>IF('Master'!L591="","",'Master'!L591)</x:f>
        <x:v>Pre-launch / active development</x:v>
      </x:c>
      <x:c r="L10" s="102" t="str">
        <x:f>IF('Master'!M591="","",'Master'!M591)</x:f>
      </x:c>
      <x:c r="M10" s="102" t="str">
        <x:f>IF('Master'!N591="","",'Master'!N591)</x:f>
      </x:c>
      <x:c r="N10" s="102" t="str">
        <x:f>IF('Master'!O591="","",'Master'!O591)</x:f>
      </x:c>
      <x:c r="O10" s="102" t="str">
        <x:f>IF('Master'!P591="","",'Master'!P591)</x:f>
      </x:c>
      <x:c r="P10" s="102" t="str">
        <x:f>IF('Master'!Q591="","",'Master'!Q591)</x:f>
      </x:c>
      <x:c r="Q10" s="102" t="str">
        <x:f>IF('Master'!R591="","",'Master'!R591)</x:f>
      </x:c>
      <x:c r="R10" s="102" t="str">
        <x:f>IF('Master'!S591="","",'Master'!S591)</x:f>
      </x:c>
      <x:c r="S10" s="102" t="str">
        <x:f>IF('Master'!T591="","",'Master'!T591)</x:f>
      </x:c>
      <x:c r="T10" s="102" t="str">
        <x:f>IF('Master'!U591="","",'Master'!U591)</x:f>
      </x:c>
      <x:c r="U10" s="102" t="str">
        <x:f>IF('Master'!V591="","",'Master'!V591)</x:f>
      </x:c>
      <x:c r="V10" s="102" t="str">
        <x:f>IF('Master'!W591="","",'Master'!W591)</x:f>
      </x:c>
      <x:c r="W10" s="102" t="str">
        <x:f>IF('Master'!X591="","",'Master'!X591)</x:f>
      </x:c>
      <x:c r="X10" s="102" t="str">
        <x:f>IF('Master'!Y591="","",'Master'!Y591)</x:f>
      </x:c>
      <x:c r="Y10" s="102" t="str">
        <x:f>IF('Master'!Z591="","",'Master'!Z591)</x:f>
      </x:c>
      <x:c r="Z10" s="102" t="str">
        <x:f>IF('Master'!AA591="","",'Master'!AA591)</x:f>
      </x:c>
      <x:c r="AA10" s="103" t="str">
        <x:f>IF('Master'!AB591="","",'Master'!AB591)</x:f>
      </x:c>
      <x:c r="AB10" s="102" t="str">
        <x:f>IF('Master'!AC591="","",'Master'!AC591)</x:f>
      </x:c>
      <x:c r="AC10" s="102" t="str">
        <x:f>IF('Master'!AD591="","",'Master'!AD591)</x:f>
      </x:c>
      <x:c r="AD10" s="102" t="str">
        <x:f>IF('Master'!AE591="","",'Master'!AE591)</x:f>
      </x:c>
      <x:c r="AE10" s="102" t="str">
        <x:f>IF('Master'!AF591="","",'Master'!AF591)</x:f>
      </x:c>
      <x:c r="AF10" s="75" t="str">
        <x:f>IF('Master'!AG591="","",'Master'!AG591)</x:f>
      </x:c>
    </x:row>
    <x:row r="11" ht="36" customHeight="1">
      <x:c r="A11" s="135" t="str">
        <x:v>Current Lifecycle Stage</x:v>
      </x:c>
      <x:c r="B11" s="100" t="str">
        <x:f>IF('Master'!C592="","",'Master'!C592)</x:f>
        <x:v>Stable</x:v>
      </x:c>
      <x:c r="C11" s="100" t="str">
        <x:f>IF('Master'!D592="","",'Master'!D592)</x:f>
        <x:v>Beta / active development</x:v>
      </x:c>
      <x:c r="D11" s="100" t="str">
        <x:f>IF('Master'!E592="","",'Master'!E592)</x:f>
        <x:v>Beta / active development</x:v>
      </x:c>
      <x:c r="E11" s="100" t="str">
        <x:f>IF('Master'!F592="","",'Master'!F592)</x:f>
        <x:v>Beta / public</x:v>
      </x:c>
      <x:c r="F11" s="100" t="str">
        <x:f>IF('Master'!G592="","",'Master'!G592)</x:f>
        <x:v>Alpha</x:v>
      </x:c>
      <x:c r="G11" s="100" t="str">
        <x:f>IF('Master'!H592="","",'Master'!H592)</x:f>
        <x:v>Public Beta</x:v>
      </x:c>
      <x:c r="H11" s="100" t="str">
        <x:f>IF('Master'!I592="","",'Master'!I592)</x:f>
        <x:v>Open Beta</x:v>
      </x:c>
      <x:c r="I11" s="100" t="str">
        <x:f>IF('Master'!J592="","",'Master'!J592)</x:f>
        <x:v>Early Alpha</x:v>
      </x:c>
      <x:c r="J11" s="100" t="str">
        <x:f>IF('Master'!K592="","",'Master'!K592)</x:f>
        <x:v>Alpha / Beta</x:v>
      </x:c>
      <x:c r="K11" s="100" t="str">
        <x:f>IF('Master'!L592="","",'Master'!L592)</x:f>
        <x:v>Pre-launch / active development</x:v>
      </x:c>
      <x:c r="L11" s="100" t="str">
        <x:f>IF('Master'!M592="","",'Master'!M592)</x:f>
        <x:v>Alpha</x:v>
      </x:c>
      <x:c r="M11" s="100" t="str">
        <x:f>IF('Master'!N592="","",'Master'!N592)</x:f>
        <x:v>Open Beta</x:v>
      </x:c>
      <x:c r="N11" s="100" t="str">
        <x:f>IF('Master'!O592="","",'Master'!O592)</x:f>
        <x:v>Stable open standard (spec v1.x)</x:v>
      </x:c>
      <x:c r="O11" s="100" t="str">
        <x:f>IF('Master'!P592="","",'Master'!P592)</x:f>
        <x:v>Stable</x:v>
      </x:c>
      <x:c r="P11" s="100" t="str">
        <x:f>IF('Master'!Q592="","",'Master'!Q592)</x:f>
        <x:v>Stable/public</x:v>
      </x:c>
      <x:c r="Q11" s="100" t="str">
        <x:f>IF('Master'!R592="","",'Master'!R592)</x:f>
        <x:v>Stable</x:v>
      </x:c>
      <x:c r="R11" s="100" t="str">
        <x:f>IF('Master'!S592="","",'Master'!S592)</x:f>
        <x:v>Stable/public</x:v>
      </x:c>
      <x:c r="S11" s="100" t="str">
        <x:f>IF('Master'!T592="","",'Master'!T592)</x:f>
        <x:v>Public Beta</x:v>
      </x:c>
      <x:c r="T11" s="100" t="str">
        <x:f>IF('Master'!U592="","",'Master'!U592)</x:f>
        <x:v>Open beta</x:v>
      </x:c>
      <x:c r="U11" s="100" t="str">
        <x:f>IF('Master'!V592="","",'Master'!V592)</x:f>
        <x:v>Stable/public</x:v>
      </x:c>
      <x:c r="V11" s="100" t="str">
        <x:f>IF('Master'!W592="","",'Master'!W592)</x:f>
        <x:v>Stable</x:v>
      </x:c>
      <x:c r="W11" s="100" t="str">
        <x:f>IF('Master'!X592="","",'Master'!X592)</x:f>
        <x:v>Alpha / experimental</x:v>
      </x:c>
      <x:c r="X11" s="100" t="str">
        <x:f>IF('Master'!Y592="","",'Master'!Y592)</x:f>
        <x:v>Beta</x:v>
      </x:c>
      <x:c r="Y11" s="100" t="str">
        <x:f>IF('Master'!Z592="","",'Master'!Z592)</x:f>
        <x:v>Alpha / WIP</x:v>
      </x:c>
      <x:c r="Z11" s="100" t="str">
        <x:f>IF('Master'!AA592="","",'Master'!AA592)</x:f>
        <x:v>Beta / pre-1.0</x:v>
      </x:c>
      <x:c r="AA11" s="104" t="str">
        <x:f>IF('Master'!AB592="","",'Master'!AB592)</x:f>
        <x:v>TS6 Beta; TS3 stable</x:v>
      </x:c>
      <x:c r="AB11" s="100" t="str">
        <x:f>IF('Master'!AC592="","",'Master'!AC592)</x:f>
        <x:v>Alpha</x:v>
      </x:c>
      <x:c r="AC11" s="100" t="str">
        <x:f>IF('Master'!AD592="","",'Master'!AD592)</x:f>
        <x:v>Alpha / Beta</x:v>
      </x:c>
      <x:c r="AD11" s="100" t="str">
        <x:f>IF('Master'!AE592="","",'Master'!AE592)</x:f>
        <x:v>Public Beta</x:v>
      </x:c>
      <x:c r="AE11" s="100" t="str">
        <x:f>IF('Master'!AF592="","",'Master'!AF592)</x:f>
        <x:v>Beta</x:v>
      </x:c>
      <x:c r="AF11" s="75" t="str">
        <x:f>IF('Master'!AG592="","",'Master'!AG592)</x:f>
        <x:v>Stable</x:v>
      </x:c>
    </x:row>
    <x:row r="12" ht="36" customHeight="1">
      <x:c r="A12" s="135" t="str">
        <x:v>Actively Developed?</x:v>
      </x:c>
      <x:c r="B12" s="100" t="str">
        <x:f>IF('Master'!C593="","",'Master'!C593)</x:f>
        <x:v>Yes</x:v>
      </x:c>
      <x:c r="C12" s="100" t="str">
        <x:f>IF('Master'!D593="","",'Master'!D593)</x:f>
        <x:v>Yes</x:v>
      </x:c>
      <x:c r="D12" s="100" t="str">
        <x:f>IF('Master'!E593="","",'Master'!E593)</x:f>
        <x:v>Yes</x:v>
      </x:c>
      <x:c r="E12" s="100" t="str">
        <x:f>IF('Master'!F593="","",'Master'!F593)</x:f>
        <x:v>Yes</x:v>
      </x:c>
      <x:c r="F12" s="100" t="str">
        <x:f>IF('Master'!G593="","",'Master'!G593)</x:f>
        <x:v>Yes</x:v>
      </x:c>
      <x:c r="G12" s="100" t="str">
        <x:f>IF('Master'!H593="","",'Master'!H593)</x:f>
        <x:v>Yes</x:v>
      </x:c>
      <x:c r="H12" s="100" t="str">
        <x:f>IF('Master'!I593="","",'Master'!I593)</x:f>
        <x:v>Yes</x:v>
      </x:c>
      <x:c r="I12" s="100" t="str">
        <x:f>IF('Master'!J593="","",'Master'!J593)</x:f>
        <x:v>Yes</x:v>
      </x:c>
      <x:c r="J12" s="100" t="str">
        <x:f>IF('Master'!K593="","",'Master'!K593)</x:f>
        <x:v>Yes</x:v>
      </x:c>
      <x:c r="K12" s="100" t="str">
        <x:f>IF('Master'!L593="","",'Master'!L593)</x:f>
      </x:c>
      <x:c r="L12" s="100" t="str">
        <x:f>IF('Master'!M593="","",'Master'!M593)</x:f>
        <x:v>Yes</x:v>
      </x:c>
      <x:c r="M12" s="100" t="str">
        <x:f>IF('Master'!N593="","",'Master'!N593)</x:f>
        <x:v>Yes</x:v>
      </x:c>
      <x:c r="N12" s="100" t="str">
        <x:f>IF('Master'!O593="","",'Master'!O593)</x:f>
        <x:v>Yes</x:v>
      </x:c>
      <x:c r="O12" s="100" t="str">
        <x:f>IF('Master'!P593="","",'Master'!P593)</x:f>
        <x:v>Yes</x:v>
      </x:c>
      <x:c r="P12" s="100" t="str">
        <x:f>IF('Master'!Q593="","",'Master'!Q593)</x:f>
        <x:v>Yes</x:v>
      </x:c>
      <x:c r="Q12" s="100" t="str">
        <x:f>IF('Master'!R593="","",'Master'!R593)</x:f>
        <x:v>Yes</x:v>
      </x:c>
      <x:c r="R12" s="100" t="str">
        <x:f>IF('Master'!S593="","",'Master'!S593)</x:f>
        <x:v>Yes</x:v>
      </x:c>
      <x:c r="S12" s="100" t="str">
        <x:f>IF('Master'!T593="","",'Master'!T593)</x:f>
        <x:v>Yes</x:v>
      </x:c>
      <x:c r="T12" s="100" t="str">
        <x:f>IF('Master'!U593="","",'Master'!U593)</x:f>
        <x:v>Yes</x:v>
      </x:c>
      <x:c r="U12" s="100" t="str">
        <x:f>IF('Master'!V593="","",'Master'!V593)</x:f>
        <x:v>Yes</x:v>
      </x:c>
      <x:c r="V12" s="100" t="str">
        <x:f>IF('Master'!W593="","",'Master'!W593)</x:f>
        <x:v>Yes</x:v>
      </x:c>
      <x:c r="W12" s="100" t="str">
        <x:f>IF('Master'!X593="","",'Master'!X593)</x:f>
        <x:v>Yes</x:v>
      </x:c>
      <x:c r="X12" s="100" t="str">
        <x:f>IF('Master'!Y593="","",'Master'!Y593)</x:f>
        <x:v>Yes</x:v>
      </x:c>
      <x:c r="Y12" s="100" t="str">
        <x:f>IF('Master'!Z593="","",'Master'!Z593)</x:f>
        <x:v>Yes</x:v>
      </x:c>
      <x:c r="Z12" s="100" t="str">
        <x:f>IF('Master'!AA593="","",'Master'!AA593)</x:f>
        <x:v>Yes</x:v>
      </x:c>
      <x:c r="AA12" s="104" t="str">
        <x:f>IF('Master'!AB593="","",'Master'!AB593)</x:f>
        <x:v>Yes</x:v>
      </x:c>
      <x:c r="AB12" s="100" t="str">
        <x:f>IF('Master'!AC593="","",'Master'!AC593)</x:f>
        <x:v>Yes</x:v>
      </x:c>
      <x:c r="AC12" s="100" t="str">
        <x:f>IF('Master'!AD593="","",'Master'!AD593)</x:f>
        <x:v>Yes</x:v>
      </x:c>
      <x:c r="AD12" s="100" t="str">
        <x:f>IF('Master'!AE593="","",'Master'!AE593)</x:f>
        <x:v>Yes</x:v>
      </x:c>
      <x:c r="AE12" s="100" t="str">
        <x:f>IF('Master'!AF593="","",'Master'!AF593)</x:f>
        <x:v>Yes</x:v>
      </x:c>
      <x:c r="AF12" s="75" t="str">
        <x:f>IF('Master'!AG593="","",'Master'!AG593)</x:f>
        <x:v>Yes</x:v>
      </x:c>
    </x:row>
    <x:row r="13" ht="36" customHeight="1">
      <x:c r="A13" s="135" t="str">
        <x:v>Development State</x:v>
      </x:c>
      <x:c r="B13" s="100" t="str">
        <x:f>IF('Master'!C594="","",'Master'!C594)</x:f>
        <x:v>Active development</x:v>
      </x:c>
      <x:c r="C13" s="100" t="str">
        <x:f>IF('Master'!D594="","",'Master'!D594)</x:f>
        <x:v>Active</x:v>
      </x:c>
      <x:c r="D13" s="100" t="str">
        <x:f>IF('Master'!E594="","",'Master'!E594)</x:f>
        <x:v>Active</x:v>
      </x:c>
      <x:c r="E13" s="100" t="str">
        <x:f>IF('Master'!F594="","",'Master'!F594)</x:f>
        <x:v>Active</x:v>
      </x:c>
      <x:c r="F13" s="100" t="str">
        <x:f>IF('Master'!G594="","",'Master'!G594)</x:f>
        <x:v>Active alpha</x:v>
      </x:c>
      <x:c r="G13" s="100" t="str">
        <x:f>IF('Master'!H594="","",'Master'!H594)</x:f>
        <x:v>Active</x:v>
      </x:c>
      <x:c r="H13" s="100" t="str">
        <x:f>IF('Master'!I594="","",'Master'!I594)</x:f>
        <x:v>Active</x:v>
      </x:c>
      <x:c r="I13" s="100" t="str">
        <x:f>IF('Master'!J594="","",'Master'!J594)</x:f>
        <x:v>Active</x:v>
      </x:c>
      <x:c r="J13" s="100" t="str">
        <x:f>IF('Master'!K594="","",'Master'!K594)</x:f>
        <x:v>Active</x:v>
      </x:c>
      <x:c r="K13" s="100" t="str">
        <x:f>IF('Master'!L594="","",'Master'!L594)</x:f>
        <x:v>Actively developed; pre-launch</x:v>
      </x:c>
      <x:c r="L13" s="100" t="str">
        <x:f>IF('Master'!M594="","",'Master'!M594)</x:f>
        <x:v>Active</x:v>
      </x:c>
      <x:c r="M13" s="100" t="str">
        <x:f>IF('Master'!N594="","",'Master'!N594)</x:f>
        <x:v>Active</x:v>
      </x:c>
      <x:c r="N13" s="100" t="str">
        <x:f>IF('Master'!O594="","",'Master'!O594)</x:f>
        <x:v>Active standard + ecosystem</x:v>
      </x:c>
      <x:c r="O13" s="100" t="str">
        <x:f>IF('Master'!P594="","",'Master'!P594)</x:f>
        <x:v>Active</x:v>
      </x:c>
      <x:c r="P13" s="100" t="str">
        <x:f>IF('Master'!Q594="","",'Master'!Q594)</x:f>
        <x:v>Active</x:v>
      </x:c>
      <x:c r="Q13" s="100" t="str">
        <x:f>IF('Master'!R594="","",'Master'!R594)</x:f>
        <x:v>Active</x:v>
      </x:c>
      <x:c r="R13" s="100" t="str">
        <x:f>IF('Master'!S594="","",'Master'!S594)</x:f>
        <x:v>Active</x:v>
      </x:c>
      <x:c r="S13" s="100" t="str">
        <x:f>IF('Master'!T594="","",'Master'!T594)</x:f>
        <x:v>Active</x:v>
      </x:c>
      <x:c r="T13" s="100" t="str">
        <x:f>IF('Master'!U594="","",'Master'!U594)</x:f>
        <x:v>Active</x:v>
      </x:c>
      <x:c r="U13" s="100" t="str">
        <x:f>IF('Master'!V594="","",'Master'!V594)</x:f>
        <x:v>Active</x:v>
      </x:c>
      <x:c r="V13" s="100" t="str">
        <x:f>IF('Master'!W594="","",'Master'!W594)</x:f>
        <x:v>Active</x:v>
      </x:c>
      <x:c r="W13" s="100" t="str">
        <x:f>IF('Master'!X594="","",'Master'!X594)</x:f>
        <x:v>Active</x:v>
      </x:c>
      <x:c r="X13" s="100" t="str">
        <x:f>IF('Master'!Y594="","",'Master'!Y594)</x:f>
        <x:v>Active</x:v>
      </x:c>
      <x:c r="Y13" s="100" t="str">
        <x:f>IF('Master'!Z594="","",'Master'!Z594)</x:f>
        <x:v>Active</x:v>
      </x:c>
      <x:c r="Z13" s="100" t="str">
        <x:f>IF('Master'!AA594="","",'Master'!AA594)</x:f>
        <x:v>Active</x:v>
      </x:c>
      <x:c r="AA13" s="104" t="str">
        <x:f>IF('Master'!AB594="","",'Master'!AB594)</x:f>
        <x:v>Active</x:v>
      </x:c>
      <x:c r="AB13" s="100" t="str">
        <x:f>IF('Master'!AC594="","",'Master'!AC594)</x:f>
        <x:v>Active</x:v>
      </x:c>
      <x:c r="AC13" s="100" t="str">
        <x:f>IF('Master'!AD594="","",'Master'!AD594)</x:f>
        <x:v>Active experimental</x:v>
      </x:c>
      <x:c r="AD13" s="100" t="str">
        <x:f>IF('Master'!AE594="","",'Master'!AE594)</x:f>
        <x:v>Active</x:v>
      </x:c>
      <x:c r="AE13" s="100" t="str">
        <x:f>IF('Master'!AF594="","",'Master'!AF594)</x:f>
        <x:v>Active</x:v>
      </x:c>
      <x:c r="AF13" s="75" t="str">
        <x:f>IF('Master'!AG594="","",'Master'!AG594)</x:f>
        <x:v>Active</x:v>
      </x:c>
    </x:row>
    <x:row r="14" ht="23.100000381469727" customHeight="1">
      <x:c r="A14" s="135" t="str">
        <x:v>Last Major Release Date</x:v>
      </x:c>
      <x:c r="B14" s="102" t="str">
        <x:f>IF('Master'!C617="","",'Master'!C617)</x:f>
      </x:c>
      <x:c r="C14" s="102" t="str">
        <x:f>IF('Master'!D617="","",'Master'!D617)</x:f>
      </x:c>
      <x:c r="D14" s="102" t="str">
        <x:f>IF('Master'!E617="","",'Master'!E617)</x:f>
      </x:c>
      <x:c r="E14" s="102" t="str">
        <x:f>IF('Master'!F617="","",'Master'!F617)</x:f>
      </x:c>
      <x:c r="F14" s="102" t="str">
        <x:f>IF('Master'!G617="","",'Master'!G617)</x:f>
      </x:c>
      <x:c r="G14" s="102" t="str">
        <x:f>IF('Master'!H617="","",'Master'!H617)</x:f>
      </x:c>
      <x:c r="H14" s="102" t="str">
        <x:f>IF('Master'!I617="","",'Master'!I617)</x:f>
      </x:c>
      <x:c r="I14" s="102" t="str">
        <x:f>IF('Master'!J617="","",'Master'!J617)</x:f>
      </x:c>
      <x:c r="J14" s="102" t="str">
        <x:f>IF('Master'!K617="","",'Master'!K617)</x:f>
      </x:c>
      <x:c r="K14" s="102" t="str">
        <x:f>IF('Master'!L617="","",'Master'!L617)</x:f>
        <x:v>No formal public launch</x:v>
      </x:c>
      <x:c r="L14" s="102" t="str">
        <x:f>IF('Master'!M617="","",'Master'!M617)</x:f>
      </x:c>
      <x:c r="M14" s="102" t="str">
        <x:f>IF('Master'!N617="","",'Master'!N617)</x:f>
      </x:c>
      <x:c r="N14" s="102" t="str">
        <x:f>IF('Master'!O617="","",'Master'!O617)</x:f>
      </x:c>
      <x:c r="O14" s="102" t="str">
        <x:f>IF('Master'!P617="","",'Master'!P617)</x:f>
      </x:c>
      <x:c r="P14" s="102" t="str">
        <x:f>IF('Master'!Q617="","",'Master'!Q617)</x:f>
      </x:c>
      <x:c r="Q14" s="102" t="str">
        <x:f>IF('Master'!R617="","",'Master'!R617)</x:f>
      </x:c>
      <x:c r="R14" s="102" t="str">
        <x:f>IF('Master'!S617="","",'Master'!S617)</x:f>
      </x:c>
      <x:c r="S14" s="102" t="str">
        <x:f>IF('Master'!T617="","",'Master'!T617)</x:f>
      </x:c>
      <x:c r="T14" s="102" t="str">
        <x:f>IF('Master'!U617="","",'Master'!U617)</x:f>
      </x:c>
      <x:c r="U14" s="102" t="str">
        <x:f>IF('Master'!V617="","",'Master'!V617)</x:f>
      </x:c>
      <x:c r="V14" s="102" t="str">
        <x:f>IF('Master'!W617="","",'Master'!W617)</x:f>
      </x:c>
      <x:c r="W14" s="102" t="str">
        <x:f>IF('Master'!X617="","",'Master'!X617)</x:f>
      </x:c>
      <x:c r="X14" s="102" t="str">
        <x:f>IF('Master'!Y617="","",'Master'!Y617)</x:f>
      </x:c>
      <x:c r="Y14" s="102" t="str">
        <x:f>IF('Master'!Z617="","",'Master'!Z617)</x:f>
      </x:c>
      <x:c r="Z14" s="102" t="str">
        <x:f>IF('Master'!AA617="","",'Master'!AA617)</x:f>
      </x:c>
      <x:c r="AA14" s="103" t="str">
        <x:f>IF('Master'!AB617="","",'Master'!AB617)</x:f>
      </x:c>
      <x:c r="AB14" s="102" t="str">
        <x:f>IF('Master'!AC617="","",'Master'!AC617)</x:f>
      </x:c>
      <x:c r="AC14" s="102" t="str">
        <x:f>IF('Master'!AD617="","",'Master'!AD617)</x:f>
      </x:c>
      <x:c r="AD14" s="102" t="str">
        <x:f>IF('Master'!AE617="","",'Master'!AE617)</x:f>
      </x:c>
      <x:c r="AE14" s="102" t="str">
        <x:f>IF('Master'!AF617="","",'Master'!AF617)</x:f>
      </x:c>
      <x:c r="AF14" s="75" t="str">
        <x:f>IF('Master'!AG617="","",'Master'!AG617)</x:f>
      </x:c>
    </x:row>
    <x:row r="15" ht="22" customHeight="1">
      <x:c r="A15" s="138" t="str">
        <x:v>Organization</x:v>
      </x:c>
      <x:c r="B15" s="138" t="str">
        <x:f>IF(""="","","")</x:f>
      </x:c>
      <x:c r="C15" s="138" t="str">
        <x:f>IF(""="","","")</x:f>
      </x:c>
      <x:c r="D15" s="138" t="str">
        <x:f>IF(""="","","")</x:f>
      </x:c>
      <x:c r="E15" s="138" t="str">
        <x:f>IF(""="","","")</x:f>
      </x:c>
      <x:c r="F15" s="138" t="str">
        <x:f>IF(""="","","")</x:f>
      </x:c>
      <x:c r="G15" s="138" t="str">
        <x:f>IF(""="","","")</x:f>
      </x:c>
      <x:c r="H15" s="138" t="str">
        <x:f>IF(""="","","")</x:f>
      </x:c>
      <x:c r="I15" s="138" t="str">
        <x:f>IF(""="","","")</x:f>
      </x:c>
      <x:c r="J15" s="138" t="str">
        <x:f>IF(""="","","")</x:f>
      </x:c>
      <x:c r="K15" s="138" t="str">
        <x:f>IF(""="","","")</x:f>
      </x:c>
      <x:c r="L15" s="138" t="str">
        <x:f>IF(""="","","")</x:f>
      </x:c>
      <x:c r="M15" s="138" t="str">
        <x:f>IF(""="","","")</x:f>
      </x:c>
      <x:c r="N15" s="138" t="str">
        <x:f>IF(""="","","")</x:f>
      </x:c>
      <x:c r="O15" s="138" t="str">
        <x:f>IF(""="","","")</x:f>
      </x:c>
      <x:c r="P15" s="138" t="str">
        <x:f>IF(""="","","")</x:f>
      </x:c>
      <x:c r="Q15" s="138" t="str">
        <x:f>IF(""="","","")</x:f>
      </x:c>
      <x:c r="R15" s="138" t="str">
        <x:f>IF(""="","","")</x:f>
      </x:c>
      <x:c r="S15" s="138" t="str">
        <x:f>IF(""="","","")</x:f>
      </x:c>
      <x:c r="T15" s="138" t="str">
        <x:f>IF(""="","","")</x:f>
      </x:c>
      <x:c r="U15" s="138" t="str">
        <x:f>IF(""="","","")</x:f>
      </x:c>
      <x:c r="V15" s="138" t="str">
        <x:f>IF(""="","","")</x:f>
      </x:c>
      <x:c r="W15" s="138" t="str">
        <x:f>IF(""="","","")</x:f>
      </x:c>
      <x:c r="X15" s="138" t="str">
        <x:f>IF(""="","","")</x:f>
      </x:c>
      <x:c r="Y15" s="138" t="str">
        <x:f>IF(""="","","")</x:f>
      </x:c>
      <x:c r="Z15" s="138" t="str">
        <x:f>IF(""="","","")</x:f>
      </x:c>
      <x:c r="AA15" s="138" t="str">
        <x:f>IF(""="","","")</x:f>
      </x:c>
      <x:c r="AB15" s="138" t="str">
        <x:f>IF(""="","","")</x:f>
      </x:c>
      <x:c r="AC15" s="138" t="str">
        <x:f>IF(""="","","")</x:f>
      </x:c>
      <x:c r="AD15" s="138" t="str">
        <x:f>IF(""="","","")</x:f>
      </x:c>
      <x:c r="AE15" s="138" t="str">
        <x:f>IF(""="","","")</x:f>
      </x:c>
      <x:c r="AF15" s="139" t="str">
        <x:f>IF(""="","","")</x:f>
      </x:c>
    </x:row>
    <x:row r="16" ht="36" customHeight="1">
      <x:c r="A16" s="135" t="str">
        <x:v>Maintainer Structure</x:v>
      </x:c>
      <x:c r="B16" s="100" t="str">
        <x:f>IF('Master'!C595="","",'Master'!C595)</x:f>
        <x:v>Corp (Discord Inc.)</x:v>
      </x:c>
      <x:c r="C16" s="100" t="str">
        <x:f>IF('Master'!D595="","",'Master'!D595)</x:f>
        <x:v>Open-source team</x:v>
      </x:c>
      <x:c r="D16" s="100" t="str">
        <x:f>IF('Master'!E595="","",'Master'!E595)</x:f>
        <x:v>Solo-led + contributors</x:v>
      </x:c>
      <x:c r="E16" s="100" t="str">
        <x:f>IF('Master'!F595="","",'Master'!F595)</x:f>
        <x:v>Tiny Canadian team</x:v>
      </x:c>
      <x:c r="F16" s="100" t="str">
        <x:f>IF('Master'!G595="","",'Master'!G595)</x:f>
        <x:v>Solo founder / tiny team</x:v>
      </x:c>
      <x:c r="G16" s="100" t="str">
        <x:f>IF('Master'!H595="","",'Master'!H595)</x:f>
        <x:v>Small company/open-source team</x:v>
      </x:c>
      <x:c r="H16" s="100" t="str">
        <x:f>IF('Master'!I595="","",'Master'!I595)</x:f>
        <x:v>Founder-led company</x:v>
      </x:c>
      <x:c r="I16" s="100" t="str">
        <x:f>IF('Master'!J595="","",'Master'!J595)</x:f>
        <x:v>Volunteer project</x:v>
      </x:c>
      <x:c r="J16" s="100" t="str">
        <x:f>IF('Master'!K595="","",'Master'!K595)</x:f>
        <x:v>Solo dev</x:v>
      </x:c>
      <x:c r="K16" s="100" t="str">
        <x:f>IF('Master'!L595="","",'Master'!L595)</x:f>
        <x:v>1 primary developer; security-researcher friend provides private review/bug reports (developer report)</x:v>
      </x:c>
      <x:c r="L16" s="100" t="str">
        <x:f>IF('Master'!M595="","",'Master'!M595)</x:f>
        <x:v>Small team</x:v>
      </x:c>
      <x:c r="M16" s="100" t="str">
        <x:f>IF('Master'!N595="","",'Master'!N595)</x:f>
        <x:v>Small team</x:v>
      </x:c>
      <x:c r="N16" s="100" t="str">
        <x:f>IF('Master'!O595="","",'Master'!O595)</x:f>
        <x:v>Nonprofit foundation + ecosystem companies/projects</x:v>
      </x:c>
      <x:c r="O16" s="100" t="str">
        <x:f>IF('Master'!P595="","",'Master'!P595)</x:f>
        <x:v>Corp + open-source community</x:v>
      </x:c>
      <x:c r="P16" s="100" t="str">
        <x:f>IF('Master'!Q595="","",'Master'!Q595)</x:f>
        <x:v>Company/open-source team</x:v>
      </x:c>
      <x:c r="Q16" s="100" t="str">
        <x:f>IF('Master'!R595="","",'Master'!R595)</x:f>
        <x:v>Community project</x:v>
      </x:c>
      <x:c r="R16" s="100" t="str">
        <x:f>IF('Master'!S595="","",'Master'!S595)</x:f>
        <x:v>Solo/small community</x:v>
      </x:c>
      <x:c r="S16" s="100" t="str">
        <x:f>IF('Master'!T595="","",'Master'!T595)</x:f>
        <x:v>Small startup team</x:v>
      </x:c>
      <x:c r="T16" s="100" t="str">
        <x:f>IF('Master'!U595="","",'Master'!U595)</x:f>
        <x:v>Independently run</x:v>
      </x:c>
      <x:c r="U16" s="100" t="str">
        <x:f>IF('Master'!V595="","",'Master'!V595)</x:f>
        <x:v>Small private company</x:v>
      </x:c>
      <x:c r="V16" s="100" t="str">
        <x:f>IF('Master'!W595="","",'Master'!W595)</x:f>
        <x:v>Corp + community</x:v>
      </x:c>
      <x:c r="W16" s="100" t="str">
        <x:f>IF('Master'!X595="","",'Master'!X595)</x:f>
        <x:v>Open-source community</x:v>
      </x:c>
      <x:c r="X16" s="100" t="str">
        <x:f>IF('Master'!Y595="","",'Master'!Y595)</x:f>
        <x:v>Corp</x:v>
      </x:c>
      <x:c r="Y16" s="100" t="str">
        <x:f>IF('Master'!Z595="","",'Master'!Z595)</x:f>
        <x:v>Volunteer project</x:v>
      </x:c>
      <x:c r="Z16" s="100" t="str">
        <x:f>IF('Master'!AA595="","",'Master'!AA595)</x:f>
        <x:v>Small open-source collective</x:v>
      </x:c>
      <x:c r="AA16" s="104" t="str">
        <x:f>IF('Master'!AB595="","",'Master'!AB595)</x:f>
        <x:v>Corp</x:v>
      </x:c>
      <x:c r="AB16" s="100" t="str">
        <x:f>IF('Master'!AC595="","",'Master'!AC595)</x:f>
        <x:v>Volunteer/open-source team</x:v>
      </x:c>
      <x:c r="AC16" s="100" t="str">
        <x:f>IF('Master'!AD595="","",'Master'!AD595)</x:f>
        <x:v>Small founder-led team</x:v>
      </x:c>
      <x:c r="AD16" s="100" t="str">
        <x:f>IF('Master'!AE595="","",'Master'!AE595)</x:f>
        <x:v>Solo developer</x:v>
      </x:c>
      <x:c r="AE16" s="100" t="str">
        <x:f>IF('Master'!AF595="","",'Master'!AF595)</x:f>
        <x:v>Small team</x:v>
      </x:c>
      <x:c r="AF16" s="75" t="str">
        <x:f>IF('Master'!AG595="","",'Master'!AG595)</x:f>
        <x:v>Independent company + community</x:v>
      </x:c>
    </x:row>
    <x:row r="17" ht="36" customHeight="1">
      <x:c r="A17" s="135" t="str">
        <x:v>Developer Team Size</x:v>
      </x:c>
      <x:c r="B17" s="100" t="str">
        <x:f>IF('Master'!C596="","",'Master'!C596)</x:f>
      </x:c>
      <x:c r="C17" s="100" t="str">
        <x:f>IF('Master'!D596="","",'Master'!D596)</x:f>
        <x:v>Small open-source team</x:v>
      </x:c>
      <x:c r="D17" s="100" t="str">
        <x:f>IF('Master'!E596="","",'Master'!E596)</x:f>
        <x:v>Solo/very small contributor group</x:v>
      </x:c>
      <x:c r="E17" s="100" t="str">
        <x:f>IF('Master'!F596="","",'Master'!F596)</x:f>
        <x:v>Tiny Canadian team</x:v>
      </x:c>
      <x:c r="F17" s="100" t="str">
        <x:f>IF('Master'!G596="","",'Master'!G596)</x:f>
        <x:v>Solo founder-led / very small team</x:v>
      </x:c>
      <x:c r="G17" s="100" t="str">
        <x:f>IF('Master'!H596="","",'Master'!H596)</x:f>
      </x:c>
      <x:c r="H17" s="100" t="str">
        <x:f>IF('Master'!I596="","",'Master'!I596)</x:f>
        <x:v>Founder-led / small team</x:v>
      </x:c>
      <x:c r="I17" s="100" t="str">
        <x:f>IF('Master'!J596="","",'Master'!J596)</x:f>
        <x:v>Small volunteer team</x:v>
      </x:c>
      <x:c r="J17" s="100" t="str">
        <x:f>IF('Master'!K596="","",'Master'!K596)</x:f>
        <x:v>Solo developer</x:v>
      </x:c>
      <x:c r="K17" s="100" t="str">
        <x:f>IF('Master'!L596="","",'Master'!L596)</x:f>
        <x:v>1 primary developer; security-researcher friend provides private review/bug reports (developer report)</x:v>
      </x:c>
      <x:c r="L17" s="100" t="str">
        <x:f>IF('Master'!M596="","",'Master'!M596)</x:f>
        <x:v>Small team</x:v>
      </x:c>
      <x:c r="M17" s="100" t="str">
        <x:f>IF('Master'!N596="","",'Master'!N596)</x:f>
        <x:v>Small team</x:v>
      </x:c>
      <x:c r="N17" s="100" t="str">
        <x:f>IF('Master'!O596="","",'Master'!O596)</x:f>
        <x:v>Matrix.org Foundation + many independent implementers</x:v>
      </x:c>
      <x:c r="O17" s="100" t="str">
        <x:f>IF('Master'!P596="","",'Master'!P596)</x:f>
        <x:v>Mattermost, Inc. + open-source community</x:v>
      </x:c>
      <x:c r="P17" s="100" t="str">
        <x:f>IF('Master'!Q596="","",'Master'!Q596)</x:f>
        <x:v>Company/open-source team</x:v>
      </x:c>
      <x:c r="Q17" s="100" t="str">
        <x:f>IF('Master'!R596="","",'Master'!R596)</x:f>
        <x:v>Community open-source project</x:v>
      </x:c>
      <x:c r="R17" s="100" t="str">
        <x:f>IF('Master'!S596="","",'Master'!S596)</x:f>
        <x:v>Small hobby/community project</x:v>
      </x:c>
      <x:c r="S17" s="100" t="str">
        <x:f>IF('Master'!T596="","",'Master'!T596)</x:f>
        <x:v>Small startup team</x:v>
      </x:c>
      <x:c r="T17" s="100" t="str">
        <x:f>IF('Master'!U596="","",'Master'!U596)</x:f>
        <x:v>2 — built by two brothers (official repository README)</x:v>
      </x:c>
      <x:c r="U17" s="100" t="str">
        <x:f>IF('Master'!V596="","",'Master'!V596)</x:f>
        <x:v>Small company/team</x:v>
      </x:c>
      <x:c r="V17" s="100" t="str">
        <x:f>IF('Master'!W596="","",'Master'!W596)</x:f>
        <x:v>Rocket.Chat company + open-source community</x:v>
      </x:c>
      <x:c r="W17" s="100" t="str">
        <x:f>IF('Master'!X596="","",'Master'!X596)</x:f>
        <x:v>Small open-source team</x:v>
      </x:c>
      <x:c r="X17" s="100" t="str">
        <x:f>IF('Master'!Y596="","",'Master'!Y596)</x:f>
      </x:c>
      <x:c r="Y17" s="100" t="str">
        <x:f>IF('Master'!Z596="","",'Master'!Z596)</x:f>
      </x:c>
      <x:c r="Z17" s="100" t="str">
        <x:f>IF('Master'!AA596="","",'Master'!AA596)</x:f>
      </x:c>
      <x:c r="AA17" s="104" t="str">
        <x:f>IF('Master'!AB596="","",'Master'!AB596)</x:f>
        <x:v>Commercial company</x:v>
      </x:c>
      <x:c r="AB17" s="100" t="str">
        <x:f>IF('Master'!AC596="","",'Master'!AC596)</x:f>
        <x:v>Volunteer/open-source team</x:v>
      </x:c>
      <x:c r="AC17" s="100" t="str">
        <x:f>IF('Master'!AD596="","",'Master'!AD596)</x:f>
        <x:v>Small team / founder-led</x:v>
      </x:c>
      <x:c r="AD17" s="100" t="str">
        <x:f>IF('Master'!AE596="","",'Master'!AE596)</x:f>
        <x:v>Solo developer</x:v>
      </x:c>
      <x:c r="AE17" s="100" t="str">
        <x:f>IF('Master'!AF596="","",'Master'!AF596)</x:f>
        <x:v>Small team/founder-led</x:v>
      </x:c>
      <x:c r="AF17" s="75" t="str">
        <x:f>IF('Master'!AG596="","",'Master'!AG596)</x:f>
        <x:v>Independent company + open-source community</x:v>
      </x:c>
    </x:row>
    <x:row r="18" ht="22" customHeight="1">
      <x:c r="A18" s="138" t="str">
        <x:v>Company Employee Count</x:v>
      </x:c>
      <x:c r="B18" s="138" t="str">
        <x:f>IF(""="","","")</x:f>
      </x:c>
      <x:c r="C18" s="138" t="str">
        <x:f>IF(""="","","")</x:f>
      </x:c>
      <x:c r="D18" s="138" t="str">
        <x:f>IF(""="","","")</x:f>
      </x:c>
      <x:c r="E18" s="138" t="str">
        <x:f>IF(""="","","")</x:f>
      </x:c>
      <x:c r="F18" s="138" t="str">
        <x:f>IF(""="","","")</x:f>
      </x:c>
      <x:c r="G18" s="138" t="str">
        <x:f>IF(""="","","")</x:f>
      </x:c>
      <x:c r="H18" s="138" t="str">
        <x:f>IF(""="","","")</x:f>
      </x:c>
      <x:c r="I18" s="138" t="str">
        <x:f>IF(""="","","")</x:f>
      </x:c>
      <x:c r="J18" s="138" t="str">
        <x:f>IF(""="","","")</x:f>
      </x:c>
      <x:c r="K18" s="138" t="str">
        <x:f>IF(""="","","")</x:f>
      </x:c>
      <x:c r="L18" s="138" t="str">
        <x:f>IF(""="","","")</x:f>
      </x:c>
      <x:c r="M18" s="138" t="str">
        <x:f>IF(""="","","")</x:f>
      </x:c>
      <x:c r="N18" s="138" t="str">
        <x:f>IF(""="","","")</x:f>
      </x:c>
      <x:c r="O18" s="138" t="str">
        <x:f>IF(""="","","")</x:f>
      </x:c>
      <x:c r="P18" s="138" t="str">
        <x:f>IF(""="","","")</x:f>
      </x:c>
      <x:c r="Q18" s="138" t="str">
        <x:f>IF(""="","","")</x:f>
      </x:c>
      <x:c r="R18" s="138" t="str">
        <x:f>IF(""="","","")</x:f>
      </x:c>
      <x:c r="S18" s="138" t="str">
        <x:f>IF(""="","","")</x:f>
      </x:c>
      <x:c r="T18" s="138" t="str">
        <x:f>IF(""="","","")</x:f>
      </x:c>
      <x:c r="U18" s="138" t="str">
        <x:f>IF(""="","","")</x:f>
      </x:c>
      <x:c r="V18" s="138" t="str">
        <x:f>IF(""="","","")</x:f>
      </x:c>
      <x:c r="W18" s="138" t="str">
        <x:f>IF(""="","","")</x:f>
      </x:c>
      <x:c r="X18" s="138" t="str">
        <x:f>IF(""="","","")</x:f>
      </x:c>
      <x:c r="Y18" s="138" t="str">
        <x:f>IF(""="","","")</x:f>
      </x:c>
      <x:c r="Z18" s="138" t="str">
        <x:f>IF(""="","","")</x:f>
      </x:c>
      <x:c r="AA18" s="138" t="str">
        <x:f>IF(""="","","")</x:f>
      </x:c>
      <x:c r="AB18" s="138" t="str">
        <x:f>IF(""="","","")</x:f>
      </x:c>
      <x:c r="AC18" s="138" t="str">
        <x:f>IF(""="","","")</x:f>
      </x:c>
      <x:c r="AD18" s="138" t="str">
        <x:f>IF(""="","","")</x:f>
      </x:c>
      <x:c r="AE18" s="138" t="str">
        <x:f>IF(""="","","")</x:f>
      </x:c>
      <x:c r="AF18" s="139" t="str">
        <x:f>IF(""="","","")</x:f>
      </x:c>
    </x:row>
    <x:row r="19" ht="36" customHeight="1">
      <x:c r="A19" s="135" t="str">
        <x:v>Original / Fork / Reimplementation</x:v>
      </x:c>
      <x:c r="B19" s="100" t="str">
        <x:f>IF('Master'!C597="","",'Master'!C597)</x:f>
        <x:v>Original</x:v>
      </x:c>
      <x:c r="C19" s="100" t="str">
        <x:f>IF('Master'!D597="","",'Master'!D597)</x:f>
        <x:v>Original</x:v>
      </x:c>
      <x:c r="D19" s="100" t="str">
        <x:f>IF('Master'!E597="","",'Master'!E597)</x:f>
        <x:v>Original</x:v>
      </x:c>
      <x:c r="E19" s="100" t="str">
        <x:f>IF('Master'!F597="","",'Master'!F597)</x:f>
        <x:v>Original</x:v>
      </x:c>
      <x:c r="F19" s="100" t="str">
        <x:f>IF('Master'!G597="","",'Master'!G597)</x:f>
        <x:v>Original</x:v>
      </x:c>
      <x:c r="G19" s="100" t="str">
        <x:f>IF('Master'!H597="","",'Master'!H597)</x:f>
        <x:v>Original</x:v>
      </x:c>
      <x:c r="H19" s="100" t="str">
        <x:f>IF('Master'!I597="","",'Master'!I597)</x:f>
        <x:v>Original ground-up rebuild</x:v>
      </x:c>
      <x:c r="I19" s="100" t="str">
        <x:f>IF('Master'!J597="","",'Master'!J597)</x:f>
        <x:v>Fork/rework of Spacebar-compatible stack</x:v>
      </x:c>
      <x:c r="J19" s="100" t="str">
        <x:f>IF('Master'!K597="","",'Master'!K597)</x:f>
        <x:v>Original</x:v>
      </x:c>
      <x:c r="K19" s="100" t="str">
        <x:f>IF('Master'!L597="","",'Master'!L597)</x:f>
        <x:v>Original project</x:v>
      </x:c>
      <x:c r="L19" s="100" t="str">
        <x:f>IF('Master'!M597="","",'Master'!M597)</x:f>
        <x:v>Original</x:v>
      </x:c>
      <x:c r="M19" s="100" t="str">
        <x:f>IF('Master'!N597="","",'Master'!N597)</x:f>
        <x:v>Original</x:v>
      </x:c>
      <x:c r="N19" s="100" t="str">
        <x:f>IF('Master'!O597="","",'Master'!O597)</x:f>
        <x:v>Original open protocol</x:v>
      </x:c>
      <x:c r="O19" s="100" t="str">
        <x:f>IF('Master'!P597="","",'Master'!P597)</x:f>
        <x:v>Original</x:v>
      </x:c>
      <x:c r="P19" s="100" t="str">
        <x:f>IF('Master'!Q597="","",'Master'!Q597)</x:f>
        <x:v>Original</x:v>
      </x:c>
      <x:c r="Q19" s="100" t="str">
        <x:f>IF('Master'!R597="","",'Master'!R597)</x:f>
        <x:v>Original</x:v>
      </x:c>
      <x:c r="R19" s="100" t="str">
        <x:f>IF('Master'!S597="","",'Master'!S597)</x:f>
        <x:v>Original</x:v>
      </x:c>
      <x:c r="S19" s="100" t="str">
        <x:f>IF('Master'!T597="","",'Master'!T597)</x:f>
        <x:v>Original</x:v>
      </x:c>
      <x:c r="T19" s="100" t="str">
        <x:f>IF('Master'!U597="","",'Master'!U597)</x:f>
        <x:v>Original</x:v>
      </x:c>
      <x:c r="U19" s="100" t="str">
        <x:f>IF('Master'!V597="","",'Master'!V597)</x:f>
        <x:v>Original</x:v>
      </x:c>
      <x:c r="V19" s="100" t="str">
        <x:f>IF('Master'!W597="","",'Master'!W597)</x:f>
        <x:v>Original</x:v>
      </x:c>
      <x:c r="W19" s="100" t="str">
        <x:f>IF('Master'!X597="","",'Master'!X597)</x:f>
        <x:v>Original</x:v>
      </x:c>
      <x:c r="X19" s="100" t="str">
        <x:f>IF('Master'!Y597="","",'Master'!Y597)</x:f>
        <x:v>Original</x:v>
      </x:c>
      <x:c r="Y19" s="100" t="str">
        <x:f>IF('Master'!Z597="","",'Master'!Z597)</x:f>
        <x:v>Reimplementation; Fosscord → Spacebar</x:v>
      </x:c>
      <x:c r="Z19" s="100" t="str">
        <x:f>IF('Master'!AA597="","",'Master'!AA597)</x:f>
        <x:v>Original; Revolt → Stoat rebrand</x:v>
      </x:c>
      <x:c r="AA19" s="104" t="str">
        <x:f>IF('Master'!AB597="","",'Master'!AB597)</x:f>
        <x:v>Original</x:v>
      </x:c>
      <x:c r="AB19" s="100" t="str">
        <x:f>IF('Master'!AC597="","",'Master'!AC597)</x:f>
        <x:v>Original</x:v>
      </x:c>
      <x:c r="AC19" s="100" t="str">
        <x:f>IF('Master'!AD597="","",'Master'!AD597)</x:f>
        <x:v>Original</x:v>
      </x:c>
      <x:c r="AD19" s="100" t="str">
        <x:f>IF('Master'!AE597="","",'Master'!AE597)</x:f>
        <x:v>Original</x:v>
      </x:c>
      <x:c r="AE19" s="100" t="str">
        <x:f>IF('Master'!AF597="","",'Master'!AF597)</x:f>
        <x:v>Original</x:v>
      </x:c>
      <x:c r="AF19" s="75" t="str">
        <x:f>IF('Master'!AG597="","",'Master'!AG597)</x:f>
        <x:v>Original</x:v>
      </x:c>
    </x:row>
    <x:row r="20" ht="36" customHeight="1">
      <x:c r="A20" s="135" t="str">
        <x:v>Former Name / Predecessor</x:v>
      </x:c>
      <x:c r="B20" s="100" t="str">
        <x:f>IF('Master'!C598="","",'Master'!C598)</x:f>
        <x:v>N/A / none known</x:v>
      </x:c>
      <x:c r="C20" s="100" t="str">
        <x:f>IF('Master'!D598="","",'Master'!D598)</x:f>
        <x:v>N/A / none known</x:v>
      </x:c>
      <x:c r="D20" s="100" t="str">
        <x:f>IF('Master'!E598="","",'Master'!E598)</x:f>
        <x:v>N/A / none known</x:v>
      </x:c>
      <x:c r="E20" s="100" t="str">
        <x:f>IF('Master'!F598="","",'Master'!F598)</x:f>
        <x:v>N/A / none known</x:v>
      </x:c>
      <x:c r="F20" s="100" t="str">
        <x:f>IF('Master'!G598="","",'Master'!G598)</x:f>
        <x:v>N/A / none known</x:v>
      </x:c>
      <x:c r="G20" s="100" t="str">
        <x:f>IF('Master'!H598="","",'Master'!H598)</x:f>
        <x:v>N/A / none known</x:v>
      </x:c>
      <x:c r="H20" s="100" t="str">
        <x:f>IF('Master'!I598="","",'Master'!I598)</x:f>
        <x:v>N/A / none known</x:v>
      </x:c>
      <x:c r="I20" s="100" t="str">
        <x:f>IF('Master'!J598="","",'Master'!J598)</x:f>
        <x:v>Harmony platform; Fermi client</x:v>
      </x:c>
      <x:c r="J20" s="100" t="str">
        <x:f>IF('Master'!K598="","",'Master'!K598)</x:f>
        <x:v>N/A / none known</x:v>
      </x:c>
      <x:c r="K20" s="100" t="str">
        <x:f>IF('Master'!L598="","",'Master'!L598)</x:f>
      </x:c>
      <x:c r="L20" s="100" t="str">
        <x:f>IF('Master'!M598="","",'Master'!M598)</x:f>
        <x:v>N/A / none known</x:v>
      </x:c>
      <x:c r="M20" s="100" t="str">
        <x:f>IF('Master'!N598="","",'Master'!N598)</x:f>
        <x:v>N/A / none known</x:v>
      </x:c>
      <x:c r="N20" s="100" t="str">
        <x:f>IF('Master'!O598="","",'Master'!O598)</x:f>
        <x:v>N/A / none known</x:v>
      </x:c>
      <x:c r="O20" s="100" t="str">
        <x:f>IF('Master'!P598="","",'Master'!P598)</x:f>
        <x:v>N/A / none known</x:v>
      </x:c>
      <x:c r="P20" s="100" t="str">
        <x:f>IF('Master'!Q598="","",'Master'!Q598)</x:f>
        <x:v>N/A / none known</x:v>
      </x:c>
      <x:c r="Q20" s="100" t="str">
        <x:f>IF('Master'!R598="","",'Master'!R598)</x:f>
        <x:v>N/A / none known</x:v>
      </x:c>
      <x:c r="R20" s="100" t="str">
        <x:f>IF('Master'!S598="","",'Master'!S598)</x:f>
        <x:v>N/A / none known</x:v>
      </x:c>
      <x:c r="S20" s="100" t="str">
        <x:f>IF('Master'!T598="","",'Master'!T598)</x:f>
        <x:v>N/A / none known</x:v>
      </x:c>
      <x:c r="T20" s="100" t="str">
        <x:f>IF('Master'!U598="","",'Master'!U598)</x:f>
        <x:v>N/A / none known</x:v>
      </x:c>
      <x:c r="U20" s="100" t="str">
        <x:f>IF('Master'!V598="","",'Master'!V598)</x:f>
        <x:v>N/A / none known</x:v>
      </x:c>
      <x:c r="V20" s="100" t="str">
        <x:f>IF('Master'!W598="","",'Master'!W598)</x:f>
        <x:v>N/A / none known</x:v>
      </x:c>
      <x:c r="W20" s="100" t="str">
        <x:f>IF('Master'!X598="","",'Master'!X598)</x:f>
        <x:v>N/A / none known</x:v>
      </x:c>
      <x:c r="X20" s="100" t="str">
        <x:f>IF('Master'!Y598="","",'Master'!Y598)</x:f>
        <x:v>N/A / none known</x:v>
      </x:c>
      <x:c r="Y20" s="100" t="str">
        <x:f>IF('Master'!Z598="","",'Master'!Z598)</x:f>
        <x:v>Fosscord</x:v>
      </x:c>
      <x:c r="Z20" s="100" t="str">
        <x:f>IF('Master'!AA598="","",'Master'!AA598)</x:f>
        <x:v>Revolt</x:v>
      </x:c>
      <x:c r="AA20" s="104" t="str">
        <x:f>IF('Master'!AB598="","",'Master'!AB598)</x:f>
        <x:v>N/A / none known</x:v>
      </x:c>
      <x:c r="AB20" s="100" t="str">
        <x:f>IF('Master'!AC598="","",'Master'!AC598)</x:f>
        <x:v>N/A / none known</x:v>
      </x:c>
      <x:c r="AC20" s="100" t="str">
        <x:f>IF('Master'!AD598="","",'Master'!AD598)</x:f>
        <x:v>N/A / none known</x:v>
      </x:c>
      <x:c r="AD20" s="100" t="str">
        <x:f>IF('Master'!AE598="","",'Master'!AE598)</x:f>
        <x:v>N/A / none known</x:v>
      </x:c>
      <x:c r="AE20" s="100" t="str">
        <x:f>IF('Master'!AF598="","",'Master'!AF598)</x:f>
        <x:v>N/A / none known</x:v>
      </x:c>
      <x:c r="AF20" s="75" t="str">
        <x:f>IF('Master'!AG598="","",'Master'!AG598)</x:f>
        <x:v>N/A / none known</x:v>
      </x:c>
    </x:row>
    <x:row r="21" ht="23.100000381469727" customHeight="1">
      <x:c r="A21" s="135" t="str">
        <x:v>Governance Model</x:v>
      </x:c>
      <x:c r="B21" s="102" t="str">
        <x:f>IF('Master'!C599="","",'Master'!C599)</x:f>
      </x:c>
      <x:c r="C21" s="102" t="str">
        <x:f>IF('Master'!D599="","",'Master'!D599)</x:f>
      </x:c>
      <x:c r="D21" s="102" t="str">
        <x:f>IF('Master'!E599="","",'Master'!E599)</x:f>
      </x:c>
      <x:c r="E21" s="102" t="str">
        <x:f>IF('Master'!F599="","",'Master'!F599)</x:f>
      </x:c>
      <x:c r="F21" s="102" t="str">
        <x:f>IF('Master'!G599="","",'Master'!G599)</x:f>
      </x:c>
      <x:c r="G21" s="102" t="str">
        <x:f>IF('Master'!H599="","",'Master'!H599)</x:f>
      </x:c>
      <x:c r="H21" s="102" t="str">
        <x:f>IF('Master'!I599="","",'Master'!I599)</x:f>
      </x:c>
      <x:c r="I21" s="102" t="str">
        <x:f>IF('Master'!J599="","",'Master'!J599)</x:f>
      </x:c>
      <x:c r="J21" s="102" t="str">
        <x:f>IF('Master'!K599="","",'Master'!K599)</x:f>
      </x:c>
      <x:c r="K21" s="102" t="str">
        <x:f>IF('Master'!L599="","",'Master'!L599)</x:f>
        <x:v>Solo-maintainer project; MIT-licensed public repository</x:v>
      </x:c>
      <x:c r="L21" s="102" t="str">
        <x:f>IF('Master'!M599="","",'Master'!M599)</x:f>
      </x:c>
      <x:c r="M21" s="102" t="str">
        <x:f>IF('Master'!N599="","",'Master'!N599)</x:f>
      </x:c>
      <x:c r="N21" s="102" t="str">
        <x:f>IF('Master'!O599="","",'Master'!O599)</x:f>
      </x:c>
      <x:c r="O21" s="102" t="str">
        <x:f>IF('Master'!P599="","",'Master'!P599)</x:f>
      </x:c>
      <x:c r="P21" s="102" t="str">
        <x:f>IF('Master'!Q599="","",'Master'!Q599)</x:f>
      </x:c>
      <x:c r="Q21" s="102" t="str">
        <x:f>IF('Master'!R599="","",'Master'!R599)</x:f>
      </x:c>
      <x:c r="R21" s="102" t="str">
        <x:f>IF('Master'!S599="","",'Master'!S599)</x:f>
      </x:c>
      <x:c r="S21" s="102" t="str">
        <x:f>IF('Master'!T599="","",'Master'!T599)</x:f>
      </x:c>
      <x:c r="T21" s="102" t="str">
        <x:f>IF('Master'!U599="","",'Master'!U599)</x:f>
        <x:v>Independent project; AGPL development in the open</x:v>
      </x:c>
      <x:c r="U21" s="102" t="str">
        <x:f>IF('Master'!V599="","",'Master'!V599)</x:f>
      </x:c>
      <x:c r="V21" s="102" t="str">
        <x:f>IF('Master'!W599="","",'Master'!W599)</x:f>
      </x:c>
      <x:c r="W21" s="102" t="str">
        <x:f>IF('Master'!X599="","",'Master'!X599)</x:f>
      </x:c>
      <x:c r="X21" s="102" t="str">
        <x:f>IF('Master'!Y599="","",'Master'!Y599)</x:f>
      </x:c>
      <x:c r="Y21" s="102" t="str">
        <x:f>IF('Master'!Z599="","",'Master'!Z599)</x:f>
      </x:c>
      <x:c r="Z21" s="102" t="str">
        <x:f>IF('Master'!AA599="","",'Master'!AA599)</x:f>
      </x:c>
      <x:c r="AA21" s="103" t="str">
        <x:f>IF('Master'!AB599="","",'Master'!AB599)</x:f>
      </x:c>
      <x:c r="AB21" s="102" t="str">
        <x:f>IF('Master'!AC599="","",'Master'!AC599)</x:f>
      </x:c>
      <x:c r="AC21" s="102" t="str">
        <x:f>IF('Master'!AD599="","",'Master'!AD599)</x:f>
      </x:c>
      <x:c r="AD21" s="102" t="str">
        <x:f>IF('Master'!AE599="","",'Master'!AE599)</x:f>
      </x:c>
      <x:c r="AE21" s="102" t="str">
        <x:f>IF('Master'!AF599="","",'Master'!AF599)</x:f>
      </x:c>
      <x:c r="AF21" s="75" t="str">
        <x:f>IF('Master'!AG599="","",'Master'!AG599)</x:f>
      </x:c>
    </x:row>
    <x:row r="22" ht="22" customHeight="1">
      <x:c r="A22" s="138" t="str">
        <x:v>Maintenance Signals</x:v>
      </x:c>
      <x:c r="B22" s="138" t="str">
        <x:f>IF(""="","","")</x:f>
      </x:c>
      <x:c r="C22" s="138" t="str">
        <x:f>IF(""="","","")</x:f>
      </x:c>
      <x:c r="D22" s="138" t="str">
        <x:f>IF(""="","","")</x:f>
      </x:c>
      <x:c r="E22" s="138" t="str">
        <x:f>IF(""="","","")</x:f>
      </x:c>
      <x:c r="F22" s="138" t="str">
        <x:f>IF(""="","","")</x:f>
      </x:c>
      <x:c r="G22" s="138" t="str">
        <x:f>IF(""="","","")</x:f>
      </x:c>
      <x:c r="H22" s="138" t="str">
        <x:f>IF(""="","","")</x:f>
      </x:c>
      <x:c r="I22" s="138" t="str">
        <x:f>IF(""="","","")</x:f>
      </x:c>
      <x:c r="J22" s="138" t="str">
        <x:f>IF(""="","","")</x:f>
      </x:c>
      <x:c r="K22" s="138" t="str">
        <x:f>IF(""="","","")</x:f>
      </x:c>
      <x:c r="L22" s="138" t="str">
        <x:f>IF(""="","","")</x:f>
      </x:c>
      <x:c r="M22" s="138" t="str">
        <x:f>IF(""="","","")</x:f>
      </x:c>
      <x:c r="N22" s="138" t="str">
        <x:f>IF(""="","","")</x:f>
      </x:c>
      <x:c r="O22" s="138" t="str">
        <x:f>IF(""="","","")</x:f>
      </x:c>
      <x:c r="P22" s="138" t="str">
        <x:f>IF(""="","","")</x:f>
      </x:c>
      <x:c r="Q22" s="138" t="str">
        <x:f>IF(""="","","")</x:f>
      </x:c>
      <x:c r="R22" s="138" t="str">
        <x:f>IF(""="","","")</x:f>
      </x:c>
      <x:c r="S22" s="138" t="str">
        <x:f>IF(""="","","")</x:f>
      </x:c>
      <x:c r="T22" s="138" t="str">
        <x:f>IF(""="","","")</x:f>
      </x:c>
      <x:c r="U22" s="138" t="str">
        <x:f>IF(""="","","")</x:f>
      </x:c>
      <x:c r="V22" s="138" t="str">
        <x:f>IF(""="","","")</x:f>
      </x:c>
      <x:c r="W22" s="138" t="str">
        <x:f>IF(""="","","")</x:f>
      </x:c>
      <x:c r="X22" s="138" t="str">
        <x:f>IF(""="","","")</x:f>
      </x:c>
      <x:c r="Y22" s="138" t="str">
        <x:f>IF(""="","","")</x:f>
      </x:c>
      <x:c r="Z22" s="138" t="str">
        <x:f>IF(""="","","")</x:f>
      </x:c>
      <x:c r="AA22" s="138" t="str">
        <x:f>IF(""="","","")</x:f>
      </x:c>
      <x:c r="AB22" s="138" t="str">
        <x:f>IF(""="","","")</x:f>
      </x:c>
      <x:c r="AC22" s="138" t="str">
        <x:f>IF(""="","","")</x:f>
      </x:c>
      <x:c r="AD22" s="138" t="str">
        <x:f>IF(""="","","")</x:f>
      </x:c>
      <x:c r="AE22" s="138" t="str">
        <x:f>IF(""="","","")</x:f>
      </x:c>
      <x:c r="AF22" s="139" t="str">
        <x:f>IF(""="","","")</x:f>
      </x:c>
    </x:row>
    <x:row r="23" ht="36" customHeight="1">
      <x:c r="A23" s="135" t="str">
        <x:v>Release Cadence</x:v>
      </x:c>
      <x:c r="B23" s="100" t="str">
        <x:f>IF('Master'!C600="","",'Master'!C600)</x:f>
        <x:v>Stable + PTB/Beta + Canary</x:v>
      </x:c>
      <x:c r="C23" s="100" t="str">
        <x:f>IF('Master'!D600="","",'Master'!D600)</x:f>
        <x:v>Beta rolling</x:v>
      </x:c>
      <x:c r="D23" s="100" t="str">
        <x:f>IF('Master'!E600="","",'Master'!E600)</x:f>
        <x:v>Frequent beta releases</x:v>
      </x:c>
      <x:c r="E23" s="100" t="str">
        <x:f>IF('Master'!F600="","",'Master'!F600)</x:f>
        <x:v>Frequent product updates</x:v>
      </x:c>
      <x:c r="F23" s="100" t="str">
        <x:f>IF('Master'!G600="","",'Master'!G600)</x:f>
        <x:v>Alpha continuous deployment</x:v>
      </x:c>
      <x:c r="G23" s="100" t="str">
        <x:f>IF('Master'!H600="","",'Master'!H600)</x:f>
        <x:v>Stable/canary + beta mobile</x:v>
      </x:c>
      <x:c r="H23" s="100" t="str">
        <x:f>IF('Master'!I600="","",'Master'!I600)</x:f>
        <x:v>Open beta rolling releases</x:v>
      </x:c>
      <x:c r="I23" s="100" t="str">
        <x:f>IF('Master'!J600="","",'Master'!J600)</x:f>
        <x:v>Early rolling</x:v>
      </x:c>
      <x:c r="J23" s="100" t="str">
        <x:f>IF('Master'!K600="","",'Master'!K600)</x:f>
        <x:v>Rapid alpha/beta releases</x:v>
      </x:c>
      <x:c r="K23" s="100" t="str">
        <x:f>IF('Master'!L600="","",'Master'!L600)</x:f>
        <x:v>A few releases per week during current active-development phase; expected to slow (developer report)</x:v>
      </x:c>
      <x:c r="L23" s="100" t="str">
        <x:f>IF('Master'!M600="","",'Master'!M600)</x:f>
        <x:v>Alpha rolling</x:v>
      </x:c>
      <x:c r="M23" s="100" t="str">
        <x:f>IF('Master'!N600="","",'Master'!N600)</x:f>
        <x:v>Open-beta rolling</x:v>
      </x:c>
      <x:c r="N23" s="100" t="str">
        <x:f>IF('Master'!O600="","",'Master'!O600)</x:f>
        <x:v>Matrix spec releases + independent client/server release cadences</x:v>
      </x:c>
      <x:c r="O23" s="100" t="str">
        <x:f>IF('Master'!P600="","",'Master'!P600)</x:f>
        <x:v>Monthly releases + ESR</x:v>
      </x:c>
      <x:c r="P23" s="100" t="str">
        <x:f>IF('Master'!Q600="","",'Master'!Q600)</x:f>
        <x:v>Active releases</x:v>
      </x:c>
      <x:c r="Q23" s="100" t="str">
        <x:f>IF('Master'!R600="","",'Master'!R600)</x:f>
        <x:v>Stable releases</x:v>
      </x:c>
      <x:c r="R23" s="100" t="str">
        <x:f>IF('Master'!S600="","",'Master'!S600)</x:f>
        <x:v>Frequent GitHub releases</x:v>
      </x:c>
      <x:c r="S23" s="100" t="str">
        <x:f>IF('Master'!T600="","",'Master'!T600)</x:f>
        <x:v>Frequent beta updates</x:v>
      </x:c>
      <x:c r="T23" s="100" t="str">
        <x:f>IF('Master'!U600="","",'Master'!U600)</x:f>
        <x:v>Active releases; see https://pqp.gg/blog</x:v>
      </x:c>
      <x:c r="U23" s="100" t="str">
        <x:f>IF('Master'!V600="","",'Master'!V600)</x:f>
        <x:v>Active 2026 releases</x:v>
      </x:c>
      <x:c r="V23" s="100" t="str">
        <x:f>IF('Master'!W600="","",'Master'!W600)</x:f>
        <x:v>Frequent stable/enterprise releases</x:v>
      </x:c>
      <x:c r="W23" s="100" t="str">
        <x:f>IF('Master'!X600="","",'Master'!X600)</x:f>
        <x:v>Experimental rolling</x:v>
      </x:c>
      <x:c r="X23" s="100" t="str">
        <x:f>IF('Master'!Y600="","",'Master'!Y600)</x:f>
        <x:v>Frequent product updates</x:v>
      </x:c>
      <x:c r="Y23" s="100" t="str">
        <x:f>IF('Master'!Z600="","",'Master'!Z600)</x:f>
        <x:v>Rolling alpha/dev</x:v>
      </x:c>
      <x:c r="Z23" s="100" t="str">
        <x:f>IF('Master'!AA600="","",'Master'!AA600)</x:f>
        <x:v>Rolling web/backend releases</x:v>
      </x:c>
      <x:c r="AA23" s="104" t="str">
        <x:f>IF('Master'!AB600="","",'Master'!AB600)</x:f>
        <x:v>TS6 Beta + TS3 stable maintenance</x:v>
      </x:c>
      <x:c r="AB23" s="100" t="str">
        <x:f>IF('Master'!AC600="","",'Master'!AC600)</x:f>
        <x:v>Alpha rolling</x:v>
      </x:c>
      <x:c r="AC23" s="100" t="str">
        <x:f>IF('Master'!AD600="","",'Master'!AD600)</x:f>
        <x:v>Alpha rolling</x:v>
      </x:c>
      <x:c r="AD23" s="100" t="str">
        <x:f>IF('Master'!AE600="","",'Master'!AE600)</x:f>
        <x:v>Ships frequently/public beta</x:v>
      </x:c>
      <x:c r="AE23" s="100" t="str">
        <x:f>IF('Master'!AF600="","",'Master'!AF600)</x:f>
        <x:v>Active beta</x:v>
      </x:c>
      <x:c r="AF23" s="75" t="str">
        <x:f>IF('Master'!AG600="","",'Master'!AG600)</x:f>
        <x:v>Frequent stable releases</x:v>
      </x:c>
    </x:row>
    <x:row r="24" ht="36" customHeight="1">
      <x:c r="A24" s="135" t="str">
        <x:v>Public Commit Activity</x:v>
      </x:c>
      <x:c r="B24" s="100" t="str">
        <x:f>IF('Master'!C601="","",'Master'!C601)</x:f>
        <x:v>N/A for core proprietary code; selected open-source components/SDKs have public activity</x:v>
      </x:c>
      <x:c r="C24" s="100" t="str">
        <x:f>IF('Master'!D601="","",'Master'!D601)</x:f>
        <x:v>Active GitHub</x:v>
      </x:c>
      <x:c r="D24" s="100" t="str">
        <x:f>IF('Master'!E601="","",'Master'!E601)</x:f>
        <x:v>High public GitHub activity</x:v>
      </x:c>
      <x:c r="E24" s="100" t="str">
        <x:f>IF('Master'!F601="","",'Master'!F601)</x:f>
        <x:v>Closed/private code</x:v>
      </x:c>
      <x:c r="F24" s="100" t="str">
        <x:f>IF('Master'!G601="","",'Master'!G601)</x:f>
        <x:v>Private codebase; public commit velocity unavailable</x:v>
      </x:c>
      <x:c r="G24" s="100" t="str">
        <x:f>IF('Master'!H601="","",'Master'!H601)</x:f>
        <x:v>High public GitHub activity</x:v>
      </x:c>
      <x:c r="H24" s="100" t="str">
        <x:f>IF('Master'!I601="","",'Master'!I601)</x:f>
        <x:v>Active 2026 development</x:v>
      </x:c>
      <x:c r="I24" s="100" t="str">
        <x:f>IF('Master'!J601="","",'Master'!J601)</x:f>
        <x:v>Active Codeberg/GitHub</x:v>
      </x:c>
      <x:c r="J24" s="100" t="str">
        <x:f>IF('Master'!K601="","",'Master'!K601)</x:f>
        <x:v>High solo commit velocity</x:v>
      </x:c>
      <x:c r="K24" s="100" t="str">
        <x:f>IF('Master'!L601="","",'Master'!L601)</x:f>
        <x:v>High — public repository shows 247 commits at verification; developer reports 6–10 hours/day of current work</x:v>
      </x:c>
      <x:c r="L24" s="100" t="str">
        <x:f>IF('Master'!M601="","",'Master'!M601)</x:f>
        <x:v>Active</x:v>
      </x:c>
      <x:c r="M24" s="100" t="str">
        <x:f>IF('Master'!N601="","",'Master'!N601)</x:f>
        <x:v>Active</x:v>
      </x:c>
      <x:c r="N24" s="100" t="str">
        <x:f>IF('Master'!O601="","",'Master'!O601)</x:f>
        <x:v>High across spec and ecosystem repos</x:v>
      </x:c>
      <x:c r="O24" s="100" t="str">
        <x:f>IF('Master'!P601="","",'Master'!P601)</x:f>
        <x:v>High public GitHub activity</x:v>
      </x:c>
      <x:c r="P24" s="100" t="str">
        <x:f>IF('Master'!Q601="","",'Master'!Q601)</x:f>
        <x:v>Active GitHub</x:v>
      </x:c>
      <x:c r="Q24" s="100" t="str">
        <x:f>IF('Master'!R601="","",'Master'!R601)</x:f>
        <x:v>Active public GitHub</x:v>
      </x:c>
      <x:c r="R24" s="100" t="str">
        <x:f>IF('Master'!S601="","",'Master'!S601)</x:f>
        <x:v>Active GitHub</x:v>
      </x:c>
      <x:c r="S24" s="100" t="str">
        <x:f>IF('Master'!T601="","",'Master'!T601)</x:f>
        <x:v>Active development</x:v>
      </x:c>
      <x:c r="T24" s="100" t="str">
        <x:f>IF('Master'!U601="","",'Master'!U601)</x:f>
        <x:v>Active public GitHub repository</x:v>
      </x:c>
      <x:c r="U24" s="100" t="str">
        <x:f>IF('Master'!V601="","",'Master'!V601)</x:f>
        <x:v>Closed source</x:v>
      </x:c>
      <x:c r="V24" s="100" t="str">
        <x:f>IF('Master'!W601="","",'Master'!W601)</x:f>
        <x:v>High public GitHub activity</x:v>
      </x:c>
      <x:c r="W24" s="100" t="str">
        <x:f>IF('Master'!X601="","",'Master'!X601)</x:f>
        <x:v>Active GitHub</x:v>
      </x:c>
      <x:c r="X24" s="100" t="str">
        <x:f>IF('Master'!Y601="","",'Master'!Y601)</x:f>
        <x:v>Closed source — commit velocity not public</x:v>
      </x:c>
      <x:c r="Y24" s="100" t="str">
        <x:f>IF('Master'!Z601="","",'Master'!Z601)</x:f>
        <x:v>Active GitHub development</x:v>
      </x:c>
      <x:c r="Z24" s="100" t="str">
        <x:f>IF('Master'!AA601="","",'Master'!AA601)</x:f>
        <x:v>High — active GitHub development in 2026</x:v>
      </x:c>
      <x:c r="AA24" s="104" t="str">
        <x:f>IF('Master'!AB601="","",'Master'!AB601)</x:f>
        <x:v>Closed source; public commit velocity N/A</x:v>
      </x:c>
      <x:c r="AB24" s="100" t="str">
        <x:f>IF('Master'!AC601="","",'Master'!AC601)</x:f>
        <x:v>Active GitHub</x:v>
      </x:c>
      <x:c r="AC24" s="100" t="str">
        <x:f>IF('Master'!AD601="","",'Master'!AD601)</x:f>
        <x:v>Active GitHub backend</x:v>
      </x:c>
      <x:c r="AD24" s="100" t="str">
        <x:f>IF('Master'!AE601="","",'Master'!AE601)</x:f>
        <x:v>Source-available active repo</x:v>
      </x:c>
      <x:c r="AE24" s="100" t="str">
        <x:f>IF('Master'!AF601="","",'Master'!AF601)</x:f>
        <x:v>Active</x:v>
      </x:c>
      <x:c r="AF24" s="75" t="str">
        <x:f>IF('Master'!AG601="","",'Master'!AG601)</x:f>
        <x:v>High public GitHub activity</x:v>
      </x:c>
    </x:row>
    <x:row r="25" ht="36" customHeight="1">
      <x:c r="A25" s="135" t="str">
        <x:v>Public Roadmap?</x:v>
      </x:c>
      <x:c r="B25" s="100" t="str">
        <x:f>IF('Master'!C602="","",'Master'!C602)</x:f>
        <x:v>Limited — no comprehensive public product roadmap; blogs/changelogs announce plans and releases</x:v>
      </x:c>
      <x:c r="C25" s="100" t="str">
        <x:f>IF('Master'!D602="","",'Master'!D602)</x:f>
        <x:v>Public repos</x:v>
      </x:c>
      <x:c r="D25" s="100" t="str">
        <x:f>IF('Master'!E602="","",'Master'!E602)</x:f>
        <x:v>Public docs/GitHub</x:v>
      </x:c>
      <x:c r="E25" s="100" t="str">
        <x:f>IF('Master'!F602="","",'Master'!F602)</x:f>
        <x:v>Public site</x:v>
      </x:c>
      <x:c r="F25" s="100" t="str">
        <x:f>IF('Master'!G602="","",'Master'!G602)</x:f>
        <x:v>Public roadmap/story posts</x:v>
      </x:c>
      <x:c r="G25" s="100" t="str">
        <x:f>IF('Master'!H602="","",'Master'!H602)</x:f>
        <x:v>Public 2026 roadmap</x:v>
      </x:c>
      <x:c r="H25" s="100" t="str">
        <x:f>IF('Master'!I602="","",'Master'!I602)</x:f>
        <x:v>Public site/press</x:v>
      </x:c>
      <x:c r="I25" s="100" t="str">
        <x:f>IF('Master'!J602="","",'Master'!J602)</x:f>
        <x:v>Public roadmap</x:v>
      </x:c>
      <x:c r="J25" s="100" t="str">
        <x:f>IF('Master'!K602="","",'Master'!K602)</x:f>
        <x:v>Public roadmap/issues</x:v>
      </x:c>
      <x:c r="K25" s="100" t="str">
        <x:f>IF('Master'!L602="","",'Master'!L602)</x:f>
        <x:v>Yes — active roadmap in the official Kaede community (developer report)</x:v>
      </x:c>
      <x:c r="L25" s="100" t="str">
        <x:f>IF('Master'!M602="","",'Master'!M602)</x:f>
        <x:v>Public site</x:v>
      </x:c>
      <x:c r="M25" s="100" t="str">
        <x:f>IF('Master'!N602="","",'Master'!N602)</x:f>
        <x:v>Public feature tracker</x:v>
      </x:c>
      <x:c r="N25" s="100" t="str">
        <x:f>IF('Master'!O602="","",'Master'!O602)</x:f>
        <x:v>Public spec roadmap/MSC process</x:v>
      </x:c>
      <x:c r="O25" s="100" t="str">
        <x:f>IF('Master'!P602="","",'Master'!P602)</x:f>
        <x:v>Public product roadmap/release docs</x:v>
      </x:c>
      <x:c r="P25" s="100" t="str">
        <x:f>IF('Master'!Q602="","",'Master'!Q602)</x:f>
        <x:v>Public docs/blog</x:v>
      </x:c>
      <x:c r="Q25" s="100" t="str">
        <x:f>IF('Master'!R602="","",'Master'!R602)</x:f>
        <x:v>Public GitHub milestones/issues</x:v>
      </x:c>
      <x:c r="R25" s="100" t="str">
        <x:f>IF('Master'!S602="","",'Master'!S602)</x:f>
        <x:v>Public GitHub</x:v>
      </x:c>
      <x:c r="S25" s="100" t="str">
        <x:f>IF('Master'!T602="","",'Master'!T602)</x:f>
        <x:v>Public updates</x:v>
      </x:c>
      <x:c r="T25" s="100" t="str">
        <x:f>IF('Master'!U602="","",'Master'!U602)</x:f>
        <x:v>Public site/GitHub</x:v>
      </x:c>
      <x:c r="U25" s="100" t="str">
        <x:f>IF('Master'!V602="","",'Master'!V602)</x:f>
        <x:v>Public site/updates</x:v>
      </x:c>
      <x:c r="V25" s="100" t="str">
        <x:f>IF('Master'!W602="","",'Master'!W602)</x:f>
        <x:v>Public roadmap/release docs</x:v>
      </x:c>
      <x:c r="W25" s="100" t="str">
        <x:f>IF('Master'!X602="","",'Master'!X602)</x:f>
        <x:v>Public GitHub</x:v>
      </x:c>
      <x:c r="X25" s="100" t="str">
        <x:f>IF('Master'!Y602="","",'Master'!Y602)</x:f>
      </x:c>
      <x:c r="Y25" s="100" t="str">
        <x:f>IF('Master'!Z602="","",'Master'!Z602)</x:f>
        <x:v>Public GitHub roadmap/issues</x:v>
      </x:c>
      <x:c r="Z25" s="100" t="str">
        <x:f>IF('Master'!AA602="","",'Master'!AA602)</x:f>
        <x:v>Public GitHub issues/projects + update posts</x:v>
      </x:c>
      <x:c r="AA25" s="104" t="str">
        <x:f>IF('Master'!AB602="","",'Master'!AB602)</x:f>
        <x:v>Product roadmap/announcements</x:v>
      </x:c>
      <x:c r="AB25" s="100" t="str">
        <x:f>IF('Master'!AC602="","",'Master'!AC602)</x:f>
        <x:v>Public roadmap/issues</x:v>
      </x:c>
      <x:c r="AC25" s="100" t="str">
        <x:f>IF('Master'!AD602="","",'Master'!AD602)</x:f>
        <x:v>Public subreddit/GitHub</x:v>
      </x:c>
      <x:c r="AD25" s="100" t="str">
        <x:f>IF('Master'!AE602="","",'Master'!AE602)</x:f>
        <x:v>Public site</x:v>
      </x:c>
      <x:c r="AE25" s="100" t="str">
        <x:f>IF('Master'!AF602="","",'Master'!AF602)</x:f>
        <x:v>Public roadmap</x:v>
      </x:c>
      <x:c r="AF25" s="75" t="str">
        <x:f>IF('Master'!AG602="","",'Master'!AG602)</x:f>
        <x:v>Public roadmap/issues</x:v>
      </x:c>
    </x:row>
    <x:row r="26" ht="36" customHeight="1">
      <x:c r="A26" s="135" t="str">
        <x:v>Public Issue Tracker?</x:v>
      </x:c>
      <x:c r="B26" s="100" t="str">
        <x:f>IF('Master'!C603="","",'Master'!C603)</x:f>
        <x:v>N/A for core product — no public core GitHub issue tracker; support/feedback channels are used</x:v>
      </x:c>
      <x:c r="C26" s="100" t="str">
        <x:f>IF('Master'!D603="","",'Master'!D603)</x:f>
        <x:v>Public issues</x:v>
      </x:c>
      <x:c r="D26" s="100" t="str">
        <x:f>IF('Master'!E603="","",'Master'!E603)</x:f>
        <x:v>Public issues</x:v>
      </x:c>
      <x:c r="E26" s="100" t="str">
        <x:f>IF('Master'!F603="","",'Master'!F603)</x:f>
        <x:v>Feedback/support</x:v>
      </x:c>
      <x:c r="F26" s="100" t="str">
        <x:f>IF('Master'!G603="","",'Master'!G603)</x:f>
      </x:c>
      <x:c r="G26" s="100" t="str">
        <x:f>IF('Master'!H603="","",'Master'!H603)</x:f>
        <x:v>Public GitHub issues</x:v>
      </x:c>
      <x:c r="H26" s="100" t="str">
        <x:f>IF('Master'!I603="","",'Master'!I603)</x:f>
        <x:v>Support/community feedback</x:v>
      </x:c>
      <x:c r="I26" s="100" t="str">
        <x:f>IF('Master'!J603="","",'Master'!J603)</x:f>
        <x:v>Public issues</x:v>
      </x:c>
      <x:c r="J26" s="100" t="str">
        <x:f>IF('Master'!K603="","",'Master'!K603)</x:f>
        <x:v>GitHub</x:v>
      </x:c>
      <x:c r="K26" s="100" t="str">
        <x:f>IF('Master'!L603="","",'Master'!L603)</x:f>
        <x:v>Yes — GitHub Issues</x:v>
      </x:c>
      <x:c r="L26" s="100" t="str">
        <x:f>IF('Master'!M603="","",'Master'!M603)</x:f>
        <x:v>Support/community</x:v>
      </x:c>
      <x:c r="M26" s="100" t="str">
        <x:f>IF('Master'!N603="","",'Master'!N603)</x:f>
        <x:v>Community feedback</x:v>
      </x:c>
      <x:c r="N26" s="100" t="str">
        <x:f>IF('Master'!O603="","",'Master'!O603)</x:f>
        <x:v>Public GitHub issue/MSC processes</x:v>
      </x:c>
      <x:c r="O26" s="100" t="str">
        <x:f>IF('Master'!P603="","",'Master'!P603)</x:f>
        <x:v>Public GitHub issues/support</x:v>
      </x:c>
      <x:c r="P26" s="100" t="str">
        <x:f>IF('Master'!Q603="","",'Master'!Q603)</x:f>
        <x:v>GitHub issues</x:v>
      </x:c>
      <x:c r="Q26" s="100" t="str">
        <x:f>IF('Master'!R603="","",'Master'!R603)</x:f>
        <x:v>Public issues</x:v>
      </x:c>
      <x:c r="R26" s="100" t="str">
        <x:f>IF('Master'!S603="","",'Master'!S603)</x:f>
        <x:v>Public issues</x:v>
      </x:c>
      <x:c r="S26" s="100" t="str">
        <x:f>IF('Master'!T603="","",'Master'!T603)</x:f>
        <x:v>Community support</x:v>
      </x:c>
      <x:c r="T26" s="100" t="str">
        <x:f>IF('Master'!U603="","",'Master'!U603)</x:f>
        <x:v>GitHub/support</x:v>
      </x:c>
      <x:c r="U26" s="100" t="str">
        <x:f>IF('Master'!V603="","",'Master'!V603)</x:f>
        <x:v>Support</x:v>
      </x:c>
      <x:c r="V26" s="100" t="str">
        <x:f>IF('Master'!W603="","",'Master'!W603)</x:f>
        <x:v>Public GitHub issues</x:v>
      </x:c>
      <x:c r="W26" s="100" t="str">
        <x:f>IF('Master'!X603="","",'Master'!X603)</x:f>
        <x:v>Public issues</x:v>
      </x:c>
      <x:c r="X26" s="100" t="str">
        <x:f>IF('Master'!Y603="","",'Master'!Y603)</x:f>
        <x:v>Private issue process/support</x:v>
      </x:c>
      <x:c r="Y26" s="100" t="str">
        <x:f>IF('Master'!Z603="","",'Master'!Z603)</x:f>
        <x:v>Public GitHub issues</x:v>
      </x:c>
      <x:c r="Z26" s="100" t="str">
        <x:f>IF('Master'!AA603="","",'Master'!AA603)</x:f>
        <x:v>Public issue trackers</x:v>
      </x:c>
      <x:c r="AA26" s="104" t="str">
        <x:f>IF('Master'!AB603="","",'Master'!AB603)</x:f>
        <x:v>Support/feedback</x:v>
      </x:c>
      <x:c r="AB26" s="100" t="str">
        <x:f>IF('Master'!AC603="","",'Master'!AC603)</x:f>
        <x:v>GitHub issues</x:v>
      </x:c>
      <x:c r="AC26" s="100" t="str">
        <x:f>IF('Master'!AD603="","",'Master'!AD603)</x:f>
        <x:v>GitHub issues</x:v>
      </x:c>
      <x:c r="AD26" s="100" t="str">
        <x:f>IF('Master'!AE603="","",'Master'!AE603)</x:f>
        <x:v>Support</x:v>
      </x:c>
      <x:c r="AE26" s="100" t="str">
        <x:f>IF('Master'!AF603="","",'Master'!AF603)</x:f>
        <x:v>Support</x:v>
      </x:c>
      <x:c r="AF26" s="75" t="str">
        <x:f>IF('Master'!AG603="","",'Master'!AG603)</x:f>
        <x:v>Public GitHub issues</x:v>
      </x:c>
    </x:row>
    <x:row r="27" ht="36" customHeight="1">
      <x:c r="A27" s="135" t="str">
        <x:v>Public Changelog?</x:v>
      </x:c>
      <x:c r="B27" s="100" t="str">
        <x:f>IF('Master'!C604="","",'Master'!C604)</x:f>
        <x:v>Yes — public changelogs, patch notes, support updates, and developer changelog</x:v>
      </x:c>
      <x:c r="C27" s="100" t="str">
        <x:f>IF('Master'!D604="","",'Master'!D604)</x:f>
        <x:v>Git history</x:v>
      </x:c>
      <x:c r="D27" s="100" t="str">
        <x:f>IF('Master'!E604="","",'Master'!E604)</x:f>
        <x:v>Many GitHub releases</x:v>
      </x:c>
      <x:c r="E27" s="100" t="str">
        <x:f>IF('Master'!F604="","",'Master'!F604)</x:f>
        <x:v>App release notes</x:v>
      </x:c>
      <x:c r="F27" s="100" t="str">
        <x:f>IF('Master'!G604="","",'Master'!G604)</x:f>
      </x:c>
      <x:c r="G27" s="100" t="str">
        <x:f>IF('Master'!H604="","",'Master'!H604)</x:f>
        <x:v>Public blog/changelog</x:v>
      </x:c>
      <x:c r="H27" s="100" t="str">
        <x:f>IF('Master'!I604="","",'Master'!I604)</x:f>
        <x:v>Public updates/press</x:v>
      </x:c>
      <x:c r="I27" s="100" t="str">
        <x:f>IF('Master'!J604="","",'Master'!J604)</x:f>
        <x:v>Public commits</x:v>
      </x:c>
      <x:c r="J27" s="100" t="str">
        <x:f>IF('Master'!K604="","",'Master'!K604)</x:f>
        <x:v>GitHub releases</x:v>
      </x:c>
      <x:c r="K27" s="100" t="str">
        <x:f>IF('Master'!L604="","",'Master'!L604)</x:f>
        <x:v>No conventional public changelog/release-note stream located; repository history is active</x:v>
      </x:c>
      <x:c r="L27" s="100" t="str">
        <x:f>IF('Master'!M604="","",'Master'!M604)</x:f>
        <x:v>Public updates</x:v>
      </x:c>
      <x:c r="M27" s="100" t="str">
        <x:f>IF('Master'!N604="","",'Master'!N604)</x:f>
        <x:v>Public site updates</x:v>
      </x:c>
      <x:c r="N27" s="100" t="str">
        <x:f>IF('Master'!O604="","",'Master'!O604)</x:f>
        <x:v>Public specification changelogs and project release notes</x:v>
      </x:c>
      <x:c r="O27" s="100" t="str">
        <x:f>IF('Master'!P604="","",'Master'!P604)</x:f>
        <x:v>Public release notes</x:v>
      </x:c>
      <x:c r="P27" s="100" t="str">
        <x:f>IF('Master'!Q604="","",'Master'!Q604)</x:f>
        <x:v>Public docs/blog</x:v>
      </x:c>
      <x:c r="Q27" s="100" t="str">
        <x:f>IF('Master'!R604="","",'Master'!R604)</x:f>
        <x:v>Public releases/changelog</x:v>
      </x:c>
      <x:c r="R27" s="100" t="str">
        <x:f>IF('Master'!S604="","",'Master'!S604)</x:f>
        <x:v>GitHub releases</x:v>
      </x:c>
      <x:c r="S27" s="100" t="str">
        <x:f>IF('Master'!T604="","",'Master'!T604)</x:f>
        <x:v>Public changelog/blog</x:v>
      </x:c>
      <x:c r="T27" s="100" t="str">
        <x:f>IF('Master'!U604="","",'Master'!U604)</x:f>
        <x:v>Yes — https://pqp.gg/blog</x:v>
      </x:c>
      <x:c r="U27" s="100" t="str">
        <x:f>IF('Master'!V604="","",'Master'!V604)</x:f>
        <x:v>Public site updates</x:v>
      </x:c>
      <x:c r="V27" s="100" t="str">
        <x:f>IF('Master'!W604="","",'Master'!W604)</x:f>
        <x:v>Public release notes</x:v>
      </x:c>
      <x:c r="W27" s="100" t="str">
        <x:f>IF('Master'!X604="","",'Master'!X604)</x:f>
        <x:v>GitHub commits</x:v>
      </x:c>
      <x:c r="X27" s="100" t="str">
        <x:f>IF('Master'!Y604="","",'Master'!Y604)</x:f>
        <x:v>Public changelog/help docs</x:v>
      </x:c>
      <x:c r="Y27" s="100" t="str">
        <x:f>IF('Master'!Z604="","",'Master'!Z604)</x:f>
        <x:v>GitHub releases/commits</x:v>
      </x:c>
      <x:c r="Z27" s="100" t="str">
        <x:f>IF('Master'!AA604="","",'Master'!AA604)</x:f>
        <x:v>Yes — GitHub changelogs/releases and Stoat updates</x:v>
      </x:c>
      <x:c r="AA27" s="104" t="str">
        <x:f>IF('Master'!AB604="","",'Master'!AB604)</x:f>
        <x:v>Public news/release notes</x:v>
      </x:c>
      <x:c r="AB27" s="100" t="str">
        <x:f>IF('Master'!AC604="","",'Master'!AC604)</x:f>
        <x:v>GitHub releases</x:v>
      </x:c>
      <x:c r="AC27" s="100" t="str">
        <x:f>IF('Master'!AD604="","",'Master'!AD604)</x:f>
        <x:v>Public updates</x:v>
      </x:c>
      <x:c r="AD27" s="100" t="str">
        <x:f>IF('Master'!AE604="","",'Master'!AE604)</x:f>
        <x:v>Public site/repo</x:v>
      </x:c>
      <x:c r="AE27" s="100" t="str">
        <x:f>IF('Master'!AF604="","",'Master'!AF604)</x:f>
        <x:v>Public roadmap/updates</x:v>
      </x:c>
      <x:c r="AF27" s="75" t="str">
        <x:f>IF('Master'!AG604="","",'Master'!AG604)</x:f>
        <x:v>Public release notes</x:v>
      </x:c>
    </x:row>
    <x:row r="28" ht="36" customHeight="1">
      <x:c r="A28" s="135" t="str">
        <x:v>Security Advisories?</x:v>
      </x:c>
      <x:c r="B28" s="100" t="str">
        <x:f>IF('Master'!C618="","",'Master'!C618)</x:f>
        <x:v>Yes</x:v>
      </x:c>
      <x:c r="C28" s="100" t="str">
        <x:f>IF('Master'!D618="","",'Master'!D618)</x:f>
      </x:c>
      <x:c r="D28" s="100" t="str">
        <x:f>IF('Master'!E618="","",'Master'!E618)</x:f>
      </x:c>
      <x:c r="E28" s="100" t="str">
        <x:f>IF('Master'!F618="","",'Master'!F618)</x:f>
      </x:c>
      <x:c r="F28" s="100" t="str">
        <x:f>IF('Master'!G618="","",'Master'!G618)</x:f>
      </x:c>
      <x:c r="G28" s="100" t="str">
        <x:f>IF('Master'!H618="","",'Master'!H618)</x:f>
      </x:c>
      <x:c r="H28" s="100" t="str">
        <x:f>IF('Master'!I618="","",'Master'!I618)</x:f>
      </x:c>
      <x:c r="I28" s="100" t="str">
        <x:f>IF('Master'!J618="","",'Master'!J618)</x:f>
      </x:c>
      <x:c r="J28" s="100" t="str">
        <x:f>IF('Master'!K618="","",'Master'!K618)</x:f>
      </x:c>
      <x:c r="K28" s="100" t="str">
        <x:f>IF('Master'!L618="","",'Master'!L618)</x:f>
        <x:v>No public security advisories located</x:v>
      </x:c>
      <x:c r="L28" s="100" t="str">
        <x:f>IF('Master'!M618="","",'Master'!M618)</x:f>
      </x:c>
      <x:c r="M28" s="100" t="str">
        <x:f>IF('Master'!N618="","",'Master'!N618)</x:f>
      </x:c>
      <x:c r="N28" s="100" t="str">
        <x:f>IF('Master'!O618="","",'Master'!O618)</x:f>
        <x:v>Yes</x:v>
      </x:c>
      <x:c r="O28" s="100" t="str">
        <x:f>IF('Master'!P618="","",'Master'!P618)</x:f>
        <x:v>Yes</x:v>
      </x:c>
      <x:c r="P28" s="100" t="str">
        <x:f>IF('Master'!Q618="","",'Master'!Q618)</x:f>
      </x:c>
      <x:c r="Q28" s="100" t="str">
        <x:f>IF('Master'!R618="","",'Master'!R618)</x:f>
        <x:v>Yes</x:v>
      </x:c>
      <x:c r="R28" s="100" t="str">
        <x:f>IF('Master'!S618="","",'Master'!S618)</x:f>
      </x:c>
      <x:c r="S28" s="100" t="str">
        <x:f>IF('Master'!T618="","",'Master'!T618)</x:f>
      </x:c>
      <x:c r="T28" s="100" t="str">
        <x:f>IF('Master'!U618="","",'Master'!U618)</x:f>
        <x:v>No public breach/CVE story; security contact is published</x:v>
      </x:c>
      <x:c r="U28" s="100" t="str">
        <x:f>IF('Master'!V618="","",'Master'!V618)</x:f>
        <x:v>No Known</x:v>
      </x:c>
      <x:c r="V28" s="100" t="str">
        <x:f>IF('Master'!W618="","",'Master'!W618)</x:f>
        <x:v>Yes</x:v>
      </x:c>
      <x:c r="W28" s="100" t="str">
        <x:f>IF('Master'!X618="","",'Master'!X618)</x:f>
      </x:c>
      <x:c r="X28" s="100" t="str">
        <x:f>IF('Master'!Y618="","",'Master'!Y618)</x:f>
      </x:c>
      <x:c r="Y28" s="100" t="str">
        <x:f>IF('Master'!Z618="","",'Master'!Z618)</x:f>
      </x:c>
      <x:c r="Z28" s="100" t="str">
        <x:f>IF('Master'!AA618="","",'Master'!AA618)</x:f>
      </x:c>
      <x:c r="AA28" s="104" t="str">
        <x:f>IF('Master'!AB618="","",'Master'!AB618)</x:f>
      </x:c>
      <x:c r="AB28" s="100" t="str">
        <x:f>IF('Master'!AC618="","",'Master'!AC618)</x:f>
      </x:c>
      <x:c r="AC28" s="100" t="str">
        <x:f>IF('Master'!AD618="","",'Master'!AD618)</x:f>
      </x:c>
      <x:c r="AD28" s="100" t="str">
        <x:f>IF('Master'!AE618="","",'Master'!AE618)</x:f>
      </x:c>
      <x:c r="AE28" s="100" t="str">
        <x:f>IF('Master'!AF618="","",'Master'!AF618)</x:f>
      </x:c>
      <x:c r="AF28" s="75" t="str">
        <x:f>IF('Master'!AG618="","",'Master'!AG618)</x:f>
      </x:c>
    </x:row>
    <x:row r="29" ht="22" customHeight="1">
      <x:c r="A29" s="138" t="str">
        <x:v>Source &amp; Notes</x:v>
      </x:c>
      <x:c r="B29" s="138" t="str">
        <x:f>IF(""="","","")</x:f>
      </x:c>
      <x:c r="C29" s="138" t="str">
        <x:f>IF(""="","","")</x:f>
      </x:c>
      <x:c r="D29" s="138" t="str">
        <x:f>IF(""="","","")</x:f>
      </x:c>
      <x:c r="E29" s="138" t="str">
        <x:f>IF(""="","","")</x:f>
      </x:c>
      <x:c r="F29" s="138" t="str">
        <x:f>IF(""="","","")</x:f>
      </x:c>
      <x:c r="G29" s="138" t="str">
        <x:f>IF(""="","","")</x:f>
      </x:c>
      <x:c r="H29" s="138" t="str">
        <x:f>IF(""="","","")</x:f>
      </x:c>
      <x:c r="I29" s="138" t="str">
        <x:f>IF(""="","","")</x:f>
      </x:c>
      <x:c r="J29" s="138" t="str">
        <x:f>IF(""="","","")</x:f>
      </x:c>
      <x:c r="K29" s="138" t="str">
        <x:f>IF(""="","","")</x:f>
      </x:c>
      <x:c r="L29" s="138" t="str">
        <x:f>IF(""="","","")</x:f>
      </x:c>
      <x:c r="M29" s="138" t="str">
        <x:f>IF(""="","","")</x:f>
      </x:c>
      <x:c r="N29" s="138" t="str">
        <x:f>IF(""="","","")</x:f>
      </x:c>
      <x:c r="O29" s="138" t="str">
        <x:f>IF(""="","","")</x:f>
      </x:c>
      <x:c r="P29" s="138" t="str">
        <x:f>IF(""="","","")</x:f>
      </x:c>
      <x:c r="Q29" s="138" t="str">
        <x:f>IF(""="","","")</x:f>
      </x:c>
      <x:c r="R29" s="138" t="str">
        <x:f>IF(""="","","")</x:f>
      </x:c>
      <x:c r="S29" s="138" t="str">
        <x:f>IF(""="","","")</x:f>
      </x:c>
      <x:c r="T29" s="138" t="str">
        <x:f>IF(""="","","")</x:f>
      </x:c>
      <x:c r="U29" s="138" t="str">
        <x:f>IF(""="","","")</x:f>
      </x:c>
      <x:c r="V29" s="138" t="str">
        <x:f>IF(""="","","")</x:f>
      </x:c>
      <x:c r="W29" s="138" t="str">
        <x:f>IF(""="","","")</x:f>
      </x:c>
      <x:c r="X29" s="138" t="str">
        <x:f>IF(""="","","")</x:f>
      </x:c>
      <x:c r="Y29" s="138" t="str">
        <x:f>IF(""="","","")</x:f>
      </x:c>
      <x:c r="Z29" s="138" t="str">
        <x:f>IF(""="","","")</x:f>
      </x:c>
      <x:c r="AA29" s="138" t="str">
        <x:f>IF(""="","","")</x:f>
      </x:c>
      <x:c r="AB29" s="138" t="str">
        <x:f>IF(""="","","")</x:f>
      </x:c>
      <x:c r="AC29" s="138" t="str">
        <x:f>IF(""="","","")</x:f>
      </x:c>
      <x:c r="AD29" s="138" t="str">
        <x:f>IF(""="","","")</x:f>
      </x:c>
      <x:c r="AE29" s="138" t="str">
        <x:f>IF(""="","","")</x:f>
      </x:c>
      <x:c r="AF29" s="139" t="str">
        <x:f>IF(""="","","")</x:f>
      </x:c>
    </x:row>
    <x:row r="30" ht="36" customHeight="1">
      <x:c r="A30" s="135" t="str">
        <x:v>Project / Maintenance Notes</x:v>
      </x:c>
      <x:c r="B30" s="100" t="str">
        <x:f>IF('Master'!C605="","",'Master'!C605)</x:f>
        <x:v>11 years 4 months (as of 2026-09-15); Stable + PTB/Beta + Canary</x:v>
      </x:c>
      <x:c r="C30" s="100" t="str">
        <x:f>IF('Master'!D605="","",'Master'!D605)</x:f>
        <x:v>&lt;1 year; Beta rolling</x:v>
      </x:c>
      <x:c r="D30" s="100" t="str">
        <x:f>IF('Master'!E605="","",'Master'!E605)</x:f>
        <x:v>~3 years; Frequent beta releases</x:v>
      </x:c>
      <x:c r="E30" s="100" t="str">
        <x:f>IF('Master'!F605="","",'Master'!F605)</x:f>
        <x:v>&lt;1 year; Frequent product updates</x:v>
      </x:c>
      <x:c r="F30" s="100" t="str">
        <x:f>IF('Master'!G605="","",'Master'!G605)</x:f>
        <x:v>10 months; Alpha continuous deployment</x:v>
      </x:c>
      <x:c r="G30" s="100" t="str">
        <x:f>IF('Master'!H605="","",'Master'!H605)</x:f>
        <x:v>~6 years; Stable/canary + beta mobile</x:v>
      </x:c>
      <x:c r="H30" s="100" t="str">
        <x:f>IF('Master'!I605="","",'Master'!I605)</x:f>
        <x:v>&lt;1 year; Open beta rolling releases</x:v>
      </x:c>
      <x:c r="I30" s="100" t="str">
        <x:f>IF('Master'!J605="","",'Master'!J605)</x:f>
        <x:v>&lt;1 year; Early rolling</x:v>
      </x:c>
      <x:c r="J30" s="100" t="str">
        <x:f>IF('Master'!K605="","",'Master'!K605)</x:f>
        <x:v>&lt;1 year; Rapid alpha/beta releases</x:v>
      </x:c>
      <x:c r="K30" s="100" t="str">
        <x:f>IF('Master'!L605="","",'Master'!L605)</x:f>
        <x:v>https://github.com/CookieNom/KaedeChat</x:v>
      </x:c>
      <x:c r="L30" s="100" t="str">
        <x:f>IF('Master'!M605="","",'Master'!M605)</x:f>
      </x:c>
      <x:c r="M30" s="100" t="str">
        <x:f>IF('Master'!N605="","",'Master'!N605)</x:f>
        <x:v>&lt;1 year; Open-beta rolling</x:v>
      </x:c>
      <x:c r="N30" s="100" t="str">
        <x:f>IF('Master'!O605="","",'Master'!O605)</x:f>
        <x:v>~12 years; Matrix spec releases + independent client/server release cadences</x:v>
      </x:c>
      <x:c r="O30" s="100" t="str">
        <x:f>IF('Master'!P605="","",'Master'!P605)</x:f>
        <x:v>~11 years; Monthly releases + ESR</x:v>
      </x:c>
      <x:c r="P30" s="100" t="str">
        <x:f>IF('Master'!Q605="","",'Master'!Q605)</x:f>
      </x:c>
      <x:c r="Q30" s="100" t="str">
        <x:f>IF('Master'!R605="","",'Master'!R605)</x:f>
        <x:v>~21 years; Stable releases</x:v>
      </x:c>
      <x:c r="R30" s="100" t="str">
        <x:f>IF('Master'!S605="","",'Master'!S605)</x:f>
      </x:c>
      <x:c r="S30" s="100" t="str">
        <x:f>IF('Master'!T605="","",'Master'!T605)</x:f>
        <x:v>~2 years; Frequent beta updates</x:v>
      </x:c>
      <x:c r="T30" s="100" t="str">
        <x:f>IF('Master'!U605="","",'Master'!U605)</x:f>
        <x:v>Young open beta; independently run; release notes published at pqp.gg/blog.</x:v>
      </x:c>
      <x:c r="U30" s="100" t="str">
        <x:f>IF('Master'!V605="","",'Master'!V605)</x:f>
        <x:v>5 years; Active 2026 releases</x:v>
      </x:c>
      <x:c r="V30" s="100" t="str">
        <x:f>IF('Master'!W605="","",'Master'!W605)</x:f>
        <x:v>~11 years; Frequent stable/enterprise releases</x:v>
      </x:c>
      <x:c r="W30" s="100" t="str">
        <x:f>IF('Master'!X605="","",'Master'!X605)</x:f>
      </x:c>
      <x:c r="X30" s="100" t="str">
        <x:f>IF('Master'!Y605="","",'Master'!Y605)</x:f>
      </x:c>
      <x:c r="Y30" s="100" t="str">
        <x:f>IF('Master'!Z605="","",'Master'!Z605)</x:f>
        <x:v>~5 years; Rolling alpha/dev</x:v>
      </x:c>
      <x:c r="Z30" s="100" t="str">
        <x:f>IF('Master'!AA605="","",'Master'!AA605)</x:f>
        <x:v>~5 years; Rolling web/backend releases</x:v>
      </x:c>
      <x:c r="AA30" s="104" t="str">
        <x:f>IF('Master'!AB605="","",'Master'!AB605)</x:f>
        <x:v>~27 years project / ~25 years public; TS6 Beta + TS3 stable maintenance</x:v>
      </x:c>
      <x:c r="AB30" s="100" t="str">
        <x:f>IF('Master'!AC605="","",'Master'!AC605)</x:f>
      </x:c>
      <x:c r="AC30" s="100" t="str">
        <x:f>IF('Master'!AD605="","",'Master'!AD605)</x:f>
        <x:v>&lt;1 year; Alpha rolling</x:v>
      </x:c>
      <x:c r="AD30" s="100" t="str">
        <x:f>IF('Master'!AE605="","",'Master'!AE605)</x:f>
        <x:v>~1 year; Ships frequently/public beta</x:v>
      </x:c>
      <x:c r="AE30" s="100" t="str">
        <x:f>IF('Master'!AF605="","",'Master'!AF605)</x:f>
        <x:v>&lt;1 year; Active beta</x:v>
      </x:c>
      <x:c r="AF30" s="75" t="str">
        <x:f>IF('Master'!AG605="","",'Master'!AG605)</x:f>
        <x:v>~14 years; Frequent stable releases</x:v>
      </x:c>
    </x:row>
    <x:row r="31" ht="22" customHeight="1">
      <x:c r="A31" s="138" t="str">
        <x:v>Engineering Health</x:v>
      </x:c>
      <x:c r="B31" s="138" t="str">
        <x:f>IF(""="","","")</x:f>
      </x:c>
      <x:c r="C31" s="138" t="str">
        <x:f>IF(""="","","")</x:f>
      </x:c>
      <x:c r="D31" s="138" t="str">
        <x:f>IF(""="","","")</x:f>
      </x:c>
      <x:c r="E31" s="138" t="str">
        <x:f>IF(""="","","")</x:f>
      </x:c>
      <x:c r="F31" s="138" t="str">
        <x:f>IF(""="","","")</x:f>
      </x:c>
      <x:c r="G31" s="138" t="str">
        <x:f>IF(""="","","")</x:f>
      </x:c>
      <x:c r="H31" s="138" t="str">
        <x:f>IF(""="","","")</x:f>
      </x:c>
      <x:c r="I31" s="138" t="str">
        <x:f>IF(""="","","")</x:f>
      </x:c>
      <x:c r="J31" s="138" t="str">
        <x:f>IF(""="","","")</x:f>
      </x:c>
      <x:c r="K31" s="138" t="str">
        <x:f>IF(""="","","")</x:f>
      </x:c>
      <x:c r="L31" s="138" t="str">
        <x:f>IF(""="","","")</x:f>
      </x:c>
      <x:c r="M31" s="138" t="str">
        <x:f>IF(""="","","")</x:f>
      </x:c>
      <x:c r="N31" s="138" t="str">
        <x:f>IF(""="","","")</x:f>
      </x:c>
      <x:c r="O31" s="138" t="str">
        <x:f>IF(""="","","")</x:f>
      </x:c>
      <x:c r="P31" s="138" t="str">
        <x:f>IF(""="","","")</x:f>
      </x:c>
      <x:c r="Q31" s="138" t="str">
        <x:f>IF(""="","","")</x:f>
      </x:c>
      <x:c r="R31" s="138" t="str">
        <x:f>IF(""="","","")</x:f>
      </x:c>
      <x:c r="S31" s="138" t="str">
        <x:f>IF(""="","","")</x:f>
      </x:c>
      <x:c r="T31" s="138" t="str">
        <x:f>IF(""="","","")</x:f>
      </x:c>
      <x:c r="U31" s="138" t="str">
        <x:f>IF(""="","","")</x:f>
      </x:c>
      <x:c r="V31" s="138" t="str">
        <x:f>IF(""="","","")</x:f>
      </x:c>
      <x:c r="W31" s="138" t="str">
        <x:f>IF(""="","","")</x:f>
      </x:c>
      <x:c r="X31" s="138" t="str">
        <x:f>IF(""="","","")</x:f>
      </x:c>
      <x:c r="Y31" s="138" t="str">
        <x:f>IF(""="","","")</x:f>
      </x:c>
      <x:c r="Z31" s="138" t="str">
        <x:f>IF(""="","","")</x:f>
      </x:c>
      <x:c r="AA31" s="138" t="str">
        <x:f>IF(""="","","")</x:f>
      </x:c>
      <x:c r="AB31" s="138" t="str">
        <x:f>IF(""="","","")</x:f>
      </x:c>
      <x:c r="AC31" s="138" t="str">
        <x:f>IF(""="","","")</x:f>
      </x:c>
      <x:c r="AD31" s="138" t="str">
        <x:f>IF(""="","","")</x:f>
      </x:c>
      <x:c r="AE31" s="138" t="str">
        <x:f>IF(""="","","")</x:f>
      </x:c>
      <x:c r="AF31" s="139" t="str">
        <x:f>IF(""="","","")</x:f>
      </x:c>
    </x:row>
    <x:row r="32" ht="36" customHeight="1">
      <x:c r="A32" s="135" t="str">
        <x:v>Automated CI / Build Status Public?</x:v>
      </x:c>
      <x:c r="B32" s="100" t="str">
        <x:f>IF('Master'!C606="","",'Master'!C606)</x:f>
        <x:v>Closed source</x:v>
      </x:c>
      <x:c r="C32" s="100" t="str">
        <x:f>IF('Master'!D606="","",'Master'!D606)</x:f>
      </x:c>
      <x:c r="D32" s="100" t="str">
        <x:f>IF('Master'!E606="","",'Master'!E606)</x:f>
      </x:c>
      <x:c r="E32" s="100" t="str">
        <x:f>IF('Master'!F606="","",'Master'!F606)</x:f>
      </x:c>
      <x:c r="F32" s="100" t="str">
        <x:f>IF('Master'!G606="","",'Master'!G606)</x:f>
      </x:c>
      <x:c r="G32" s="100" t="str">
        <x:f>IF('Master'!H606="","",'Master'!H606)</x:f>
      </x:c>
      <x:c r="H32" s="100" t="str">
        <x:f>IF('Master'!I606="","",'Master'!I606)</x:f>
      </x:c>
      <x:c r="I32" s="100" t="str">
        <x:f>IF('Master'!J606="","",'Master'!J606)</x:f>
      </x:c>
      <x:c r="J32" s="100" t="str">
        <x:f>IF('Master'!K606="","",'Master'!K606)</x:f>
      </x:c>
      <x:c r="K32" s="100" t="str">
        <x:f>IF('Master'!L606="","",'Master'!L606)</x:f>
        <x:v>Yes — GitHub Actions/workflows plus Make-based check/test/audit/release checks</x:v>
      </x:c>
      <x:c r="L32" s="100" t="str">
        <x:f>IF('Master'!M606="","",'Master'!M606)</x:f>
      </x:c>
      <x:c r="M32" s="100" t="str">
        <x:f>IF('Master'!N606="","",'Master'!N606)</x:f>
      </x:c>
      <x:c r="N32" s="100" t="str">
        <x:f>IF('Master'!O606="","",'Master'!O606)</x:f>
        <x:v>Public repos/CI</x:v>
      </x:c>
      <x:c r="O32" s="100" t="str">
        <x:f>IF('Master'!P606="","",'Master'!P606)</x:f>
      </x:c>
      <x:c r="P32" s="100" t="str">
        <x:f>IF('Master'!Q606="","",'Master'!Q606)</x:f>
      </x:c>
      <x:c r="Q32" s="100" t="str">
        <x:f>IF('Master'!R606="","",'Master'!R606)</x:f>
      </x:c>
      <x:c r="R32" s="100" t="str">
        <x:f>IF('Master'!S606="","",'Master'!S606)</x:f>
      </x:c>
      <x:c r="S32" s="100" t="str">
        <x:f>IF('Master'!T606="","",'Master'!T606)</x:f>
      </x:c>
      <x:c r="T32" s="100" t="str">
        <x:f>IF('Master'!U606="","",'Master'!U606)</x:f>
      </x:c>
      <x:c r="U32" s="100" t="str">
        <x:f>IF('Master'!V606="","",'Master'!V606)</x:f>
      </x:c>
      <x:c r="V32" s="100" t="str">
        <x:f>IF('Master'!W606="","",'Master'!W606)</x:f>
      </x:c>
      <x:c r="W32" s="100" t="str">
        <x:f>IF('Master'!X606="","",'Master'!X606)</x:f>
      </x:c>
      <x:c r="X32" s="100" t="str">
        <x:f>IF('Master'!Y606="","",'Master'!Y606)</x:f>
      </x:c>
      <x:c r="Y32" s="100" t="str">
        <x:f>IF('Master'!Z606="","",'Master'!Z606)</x:f>
      </x:c>
      <x:c r="Z32" s="100" t="str">
        <x:f>IF('Master'!AA606="","",'Master'!AA606)</x:f>
      </x:c>
      <x:c r="AA32" s="104" t="str">
        <x:f>IF('Master'!AB606="","",'Master'!AB606)</x:f>
      </x:c>
      <x:c r="AB32" s="100" t="str">
        <x:f>IF('Master'!AC606="","",'Master'!AC606)</x:f>
      </x:c>
      <x:c r="AC32" s="100" t="str">
        <x:f>IF('Master'!AD606="","",'Master'!AD606)</x:f>
      </x:c>
      <x:c r="AD32" s="100" t="str">
        <x:f>IF('Master'!AE606="","",'Master'!AE606)</x:f>
      </x:c>
      <x:c r="AE32" s="100" t="str">
        <x:f>IF('Master'!AF606="","",'Master'!AF606)</x:f>
      </x:c>
      <x:c r="AF32" s="75" t="str">
        <x:f>IF('Master'!AG606="","",'Master'!AG606)</x:f>
      </x:c>
    </x:row>
    <x:row r="33" ht="23.100000381469727" customHeight="1">
      <x:c r="A33" s="135" t="str">
        <x:v>Automated Dependency Updates?</x:v>
      </x:c>
      <x:c r="B33" s="102" t="str">
        <x:f>IF('Master'!C607="","",'Master'!C607)</x:f>
      </x:c>
      <x:c r="C33" s="102" t="str">
        <x:f>IF('Master'!D607="","",'Master'!D607)</x:f>
      </x:c>
      <x:c r="D33" s="102" t="str">
        <x:f>IF('Master'!E607="","",'Master'!E607)</x:f>
      </x:c>
      <x:c r="E33" s="102" t="str">
        <x:f>IF('Master'!F607="","",'Master'!F607)</x:f>
      </x:c>
      <x:c r="F33" s="102" t="str">
        <x:f>IF('Master'!G607="","",'Master'!G607)</x:f>
      </x:c>
      <x:c r="G33" s="102" t="str">
        <x:f>IF('Master'!H607="","",'Master'!H607)</x:f>
      </x:c>
      <x:c r="H33" s="102" t="str">
        <x:f>IF('Master'!I607="","",'Master'!I607)</x:f>
      </x:c>
      <x:c r="I33" s="102" t="str">
        <x:f>IF('Master'!J607="","",'Master'!J607)</x:f>
      </x:c>
      <x:c r="J33" s="102" t="str">
        <x:f>IF('Master'!K607="","",'Master'!K607)</x:f>
      </x:c>
      <x:c r="K33" s="102" t="str">
        <x:f>IF('Master'!L607="","",'Master'!L607)</x:f>
        <x:v>Not publicly documented</x:v>
      </x:c>
      <x:c r="L33" s="102" t="str">
        <x:f>IF('Master'!M607="","",'Master'!M607)</x:f>
      </x:c>
      <x:c r="M33" s="102" t="str">
        <x:f>IF('Master'!N607="","",'Master'!N607)</x:f>
      </x:c>
      <x:c r="N33" s="102" t="str">
        <x:f>IF('Master'!O607="","",'Master'!O607)</x:f>
      </x:c>
      <x:c r="O33" s="102" t="str">
        <x:f>IF('Master'!P607="","",'Master'!P607)</x:f>
      </x:c>
      <x:c r="P33" s="102" t="str">
        <x:f>IF('Master'!Q607="","",'Master'!Q607)</x:f>
      </x:c>
      <x:c r="Q33" s="102" t="str">
        <x:f>IF('Master'!R607="","",'Master'!R607)</x:f>
      </x:c>
      <x:c r="R33" s="102" t="str">
        <x:f>IF('Master'!S607="","",'Master'!S607)</x:f>
      </x:c>
      <x:c r="S33" s="102" t="str">
        <x:f>IF('Master'!T607="","",'Master'!T607)</x:f>
      </x:c>
      <x:c r="T33" s="102" t="str">
        <x:f>IF('Master'!U607="","",'Master'!U607)</x:f>
      </x:c>
      <x:c r="U33" s="102" t="str">
        <x:f>IF('Master'!V607="","",'Master'!V607)</x:f>
      </x:c>
      <x:c r="V33" s="102" t="str">
        <x:f>IF('Master'!W607="","",'Master'!W607)</x:f>
      </x:c>
      <x:c r="W33" s="102" t="str">
        <x:f>IF('Master'!X607="","",'Master'!X607)</x:f>
      </x:c>
      <x:c r="X33" s="102" t="str">
        <x:f>IF('Master'!Y607="","",'Master'!Y607)</x:f>
      </x:c>
      <x:c r="Y33" s="102" t="str">
        <x:f>IF('Master'!Z607="","",'Master'!Z607)</x:f>
      </x:c>
      <x:c r="Z33" s="102" t="str">
        <x:f>IF('Master'!AA607="","",'Master'!AA607)</x:f>
      </x:c>
      <x:c r="AA33" s="103" t="str">
        <x:f>IF('Master'!AB607="","",'Master'!AB607)</x:f>
      </x:c>
      <x:c r="AB33" s="102" t="str">
        <x:f>IF('Master'!AC607="","",'Master'!AC607)</x:f>
      </x:c>
      <x:c r="AC33" s="102" t="str">
        <x:f>IF('Master'!AD607="","",'Master'!AD607)</x:f>
      </x:c>
      <x:c r="AD33" s="102" t="str">
        <x:f>IF('Master'!AE607="","",'Master'!AE607)</x:f>
      </x:c>
      <x:c r="AE33" s="102" t="str">
        <x:f>IF('Master'!AF607="","",'Master'!AF607)</x:f>
      </x:c>
      <x:c r="AF33" s="75" t="str">
        <x:f>IF('Master'!AG607="","",'Master'!AG607)</x:f>
      </x:c>
    </x:row>
    <x:row r="34" ht="23.100000381469727" customHeight="1">
      <x:c r="A34" s="135" t="str">
        <x:v>Release Artifact Signing / Provenance?</x:v>
      </x:c>
      <x:c r="B34" s="102" t="str">
        <x:f>IF('Master'!C608="","",'Master'!C608)</x:f>
      </x:c>
      <x:c r="C34" s="102" t="str">
        <x:f>IF('Master'!D608="","",'Master'!D608)</x:f>
      </x:c>
      <x:c r="D34" s="102" t="str">
        <x:f>IF('Master'!E608="","",'Master'!E608)</x:f>
      </x:c>
      <x:c r="E34" s="102" t="str">
        <x:f>IF('Master'!F608="","",'Master'!F608)</x:f>
      </x:c>
      <x:c r="F34" s="102" t="str">
        <x:f>IF('Master'!G608="","",'Master'!G608)</x:f>
      </x:c>
      <x:c r="G34" s="102" t="str">
        <x:f>IF('Master'!H608="","",'Master'!H608)</x:f>
      </x:c>
      <x:c r="H34" s="102" t="str">
        <x:f>IF('Master'!I608="","",'Master'!I608)</x:f>
      </x:c>
      <x:c r="I34" s="102" t="str">
        <x:f>IF('Master'!J608="","",'Master'!J608)</x:f>
      </x:c>
      <x:c r="J34" s="102" t="str">
        <x:f>IF('Master'!K608="","",'Master'!K608)</x:f>
      </x:c>
      <x:c r="K34" s="102" t="str">
        <x:f>IF('Master'!L608="","",'Master'!L608)</x:f>
        <x:v>Not publicly documented</x:v>
      </x:c>
      <x:c r="L34" s="102" t="str">
        <x:f>IF('Master'!M608="","",'Master'!M608)</x:f>
      </x:c>
      <x:c r="M34" s="102" t="str">
        <x:f>IF('Master'!N608="","",'Master'!N608)</x:f>
      </x:c>
      <x:c r="N34" s="102" t="str">
        <x:f>IF('Master'!O608="","",'Master'!O608)</x:f>
      </x:c>
      <x:c r="O34" s="102" t="str">
        <x:f>IF('Master'!P608="","",'Master'!P608)</x:f>
      </x:c>
      <x:c r="P34" s="102" t="str">
        <x:f>IF('Master'!Q608="","",'Master'!Q608)</x:f>
      </x:c>
      <x:c r="Q34" s="102" t="str">
        <x:f>IF('Master'!R608="","",'Master'!R608)</x:f>
      </x:c>
      <x:c r="R34" s="102" t="str">
        <x:f>IF('Master'!S608="","",'Master'!S608)</x:f>
      </x:c>
      <x:c r="S34" s="102" t="str">
        <x:f>IF('Master'!T608="","",'Master'!T608)</x:f>
      </x:c>
      <x:c r="T34" s="102" t="str">
        <x:f>IF('Master'!U608="","",'Master'!U608)</x:f>
      </x:c>
      <x:c r="U34" s="102" t="str">
        <x:f>IF('Master'!V608="","",'Master'!V608)</x:f>
      </x:c>
      <x:c r="V34" s="102" t="str">
        <x:f>IF('Master'!W608="","",'Master'!W608)</x:f>
      </x:c>
      <x:c r="W34" s="102" t="str">
        <x:f>IF('Master'!X608="","",'Master'!X608)</x:f>
      </x:c>
      <x:c r="X34" s="102" t="str">
        <x:f>IF('Master'!Y608="","",'Master'!Y608)</x:f>
      </x:c>
      <x:c r="Y34" s="102" t="str">
        <x:f>IF('Master'!Z608="","",'Master'!Z608)</x:f>
      </x:c>
      <x:c r="Z34" s="102" t="str">
        <x:f>IF('Master'!AA608="","",'Master'!AA608)</x:f>
      </x:c>
      <x:c r="AA34" s="103" t="str">
        <x:f>IF('Master'!AB608="","",'Master'!AB608)</x:f>
      </x:c>
      <x:c r="AB34" s="102" t="str">
        <x:f>IF('Master'!AC608="","",'Master'!AC608)</x:f>
      </x:c>
      <x:c r="AC34" s="102" t="str">
        <x:f>IF('Master'!AD608="","",'Master'!AD608)</x:f>
      </x:c>
      <x:c r="AD34" s="102" t="str">
        <x:f>IF('Master'!AE608="","",'Master'!AE608)</x:f>
      </x:c>
      <x:c r="AE34" s="102" t="str">
        <x:f>IF('Master'!AF608="","",'Master'!AF608)</x:f>
      </x:c>
      <x:c r="AF34" s="75" t="str">
        <x:f>IF('Master'!AG608="","",'Master'!AG608)</x:f>
      </x:c>
    </x:row>
    <x:row r="35" ht="36" customHeight="1">
      <x:c r="A35" s="135" t="str">
        <x:v>Public Contributor Count / Bus Factor Signal</x:v>
      </x:c>
      <x:c r="B35" s="100" t="str">
        <x:f>IF('Master'!C609="","",'Master'!C609)</x:f>
        <x:v>Company development</x:v>
      </x:c>
      <x:c r="C35" s="100" t="str">
        <x:f>IF('Master'!D609="","",'Master'!D609)</x:f>
      </x:c>
      <x:c r="D35" s="100" t="str">
        <x:f>IF('Master'!E609="","",'Master'!E609)</x:f>
      </x:c>
      <x:c r="E35" s="100" t="str">
        <x:f>IF('Master'!F609="","",'Master'!F609)</x:f>
      </x:c>
      <x:c r="F35" s="100" t="str">
        <x:f>IF('Master'!G609="","",'Master'!G609)</x:f>
      </x:c>
      <x:c r="G35" s="100" t="str">
        <x:f>IF('Master'!H609="","",'Master'!H609)</x:f>
      </x:c>
      <x:c r="H35" s="100" t="str">
        <x:f>IF('Master'!I609="","",'Master'!I609)</x:f>
      </x:c>
      <x:c r="I35" s="100" t="str">
        <x:f>IF('Master'!J609="","",'Master'!J609)</x:f>
      </x:c>
      <x:c r="J35" s="100" t="str">
        <x:f>IF('Master'!K609="","",'Master'!K609)</x:f>
      </x:c>
      <x:c r="K35" s="100" t="str">
        <x:f>IF('Master'!L609="","",'Master'!L609)</x:f>
        <x:v>Solo-maintainer bus factor; private security researcher assists with bug finding</x:v>
      </x:c>
      <x:c r="L35" s="100" t="str">
        <x:f>IF('Master'!M609="","",'Master'!M609)</x:f>
      </x:c>
      <x:c r="M35" s="100" t="str">
        <x:f>IF('Master'!N609="","",'Master'!N609)</x:f>
      </x:c>
      <x:c r="N35" s="100" t="str">
        <x:f>IF('Master'!O609="","",'Master'!O609)</x:f>
      </x:c>
      <x:c r="O35" s="100" t="str">
        <x:f>IF('Master'!P609="","",'Master'!P609)</x:f>
      </x:c>
      <x:c r="P35" s="100" t="str">
        <x:f>IF('Master'!Q609="","",'Master'!Q609)</x:f>
      </x:c>
      <x:c r="Q35" s="100" t="str">
        <x:f>IF('Master'!R609="","",'Master'!R609)</x:f>
      </x:c>
      <x:c r="R35" s="100" t="str">
        <x:f>IF('Master'!S609="","",'Master'!S609)</x:f>
      </x:c>
      <x:c r="S35" s="100" t="str">
        <x:f>IF('Master'!T609="","",'Master'!T609)</x:f>
      </x:c>
      <x:c r="T35" s="100" t="str">
        <x:f>IF('Master'!U609="","",'Master'!U609)</x:f>
      </x:c>
      <x:c r="U35" s="100" t="str">
        <x:f>IF('Master'!V609="","",'Master'!V609)</x:f>
        <x:v>Company Development</x:v>
      </x:c>
      <x:c r="V35" s="100" t="str">
        <x:f>IF('Master'!W609="","",'Master'!W609)</x:f>
      </x:c>
      <x:c r="W35" s="100" t="str">
        <x:f>IF('Master'!X609="","",'Master'!X609)</x:f>
      </x:c>
      <x:c r="X35" s="100" t="str">
        <x:f>IF('Master'!Y609="","",'Master'!Y609)</x:f>
      </x:c>
      <x:c r="Y35" s="100" t="str">
        <x:f>IF('Master'!Z609="","",'Master'!Z609)</x:f>
      </x:c>
      <x:c r="Z35" s="100" t="str">
        <x:f>IF('Master'!AA609="","",'Master'!AA609)</x:f>
        <x:v>Open-source contributors</x:v>
      </x:c>
      <x:c r="AA35" s="104" t="str">
        <x:f>IF('Master'!AB609="","",'Master'!AB609)</x:f>
      </x:c>
      <x:c r="AB35" s="100" t="str">
        <x:f>IF('Master'!AC609="","",'Master'!AC609)</x:f>
      </x:c>
      <x:c r="AC35" s="100" t="str">
        <x:f>IF('Master'!AD609="","",'Master'!AD609)</x:f>
      </x:c>
      <x:c r="AD35" s="100" t="str">
        <x:f>IF('Master'!AE609="","",'Master'!AE609)</x:f>
      </x:c>
      <x:c r="AE35" s="100" t="str">
        <x:f>IF('Master'!AF609="","",'Master'!AF609)</x:f>
      </x:c>
      <x:c r="AF35" s="75" t="str">
        <x:f>IF('Master'!AG609="","",'Master'!AG609)</x:f>
      </x:c>
    </x:row>
    <x:row r="36" ht="36" customHeight="1">
      <x:c r="A36" s="135" t="str">
        <x:v>Version Support / EOL Policy</x:v>
      </x:c>
      <x:c r="B36" s="100" t="str">
        <x:f>IF('Master'!C610="","",'Master'!C610)</x:f>
        <x:v>SaaS continuous</x:v>
      </x:c>
      <x:c r="C36" s="100" t="str">
        <x:f>IF('Master'!D610="","",'Master'!D610)</x:f>
      </x:c>
      <x:c r="D36" s="100" t="str">
        <x:f>IF('Master'!E610="","",'Master'!E610)</x:f>
      </x:c>
      <x:c r="E36" s="100" t="str">
        <x:f>IF('Master'!F610="","",'Master'!F610)</x:f>
      </x:c>
      <x:c r="F36" s="100" t="str">
        <x:f>IF('Master'!G610="","",'Master'!G610)</x:f>
      </x:c>
      <x:c r="G36" s="100" t="str">
        <x:f>IF('Master'!H610="","",'Master'!H610)</x:f>
      </x:c>
      <x:c r="H36" s="100" t="str">
        <x:f>IF('Master'!I610="","",'Master'!I610)</x:f>
      </x:c>
      <x:c r="I36" s="100" t="str">
        <x:f>IF('Master'!J610="","",'Master'!J610)</x:f>
      </x:c>
      <x:c r="J36" s="100" t="str">
        <x:f>IF('Master'!K610="","",'Master'!K610)</x:f>
      </x:c>
      <x:c r="K36" s="100" t="str">
        <x:f>IF('Master'!L610="","",'Master'!L610)</x:f>
        <x:v>No published version-support/EOL policy</x:v>
      </x:c>
      <x:c r="L36" s="100" t="str">
        <x:f>IF('Master'!M610="","",'Master'!M610)</x:f>
      </x:c>
      <x:c r="M36" s="100" t="str">
        <x:f>IF('Master'!N610="","",'Master'!N610)</x:f>
      </x:c>
      <x:c r="N36" s="100" t="str">
        <x:f>IF('Master'!O610="","",'Master'!O610)</x:f>
      </x:c>
      <x:c r="O36" s="100" t="str">
        <x:f>IF('Master'!P610="","",'Master'!P610)</x:f>
        <x:v>Yes — ESR/support lifecycle</x:v>
      </x:c>
      <x:c r="P36" s="100" t="str">
        <x:f>IF('Master'!Q610="","",'Master'!Q610)</x:f>
      </x:c>
      <x:c r="Q36" s="100" t="str">
        <x:f>IF('Master'!R610="","",'Master'!R610)</x:f>
      </x:c>
      <x:c r="R36" s="100" t="str">
        <x:f>IF('Master'!S610="","",'Master'!S610)</x:f>
      </x:c>
      <x:c r="S36" s="100" t="str">
        <x:f>IF('Master'!T610="","",'Master'!T610)</x:f>
      </x:c>
      <x:c r="T36" s="100" t="str">
        <x:f>IF('Master'!U610="","",'Master'!U610)</x:f>
      </x:c>
      <x:c r="U36" s="100" t="str">
        <x:f>IF('Master'!V610="","",'Master'!V610)</x:f>
        <x:v>SaaS Continuious</x:v>
      </x:c>
      <x:c r="V36" s="100" t="str">
        <x:f>IF('Master'!W610="","",'Master'!W610)</x:f>
        <x:v>Yes — documented support window</x:v>
      </x:c>
      <x:c r="W36" s="100" t="str">
        <x:f>IF('Master'!X610="","",'Master'!X610)</x:f>
      </x:c>
      <x:c r="X36" s="100" t="str">
        <x:f>IF('Master'!Y610="","",'Master'!Y610)</x:f>
      </x:c>
      <x:c r="Y36" s="100" t="str">
        <x:f>IF('Master'!Z610="","",'Master'!Z610)</x:f>
      </x:c>
      <x:c r="Z36" s="100" t="str">
        <x:f>IF('Master'!AA610="","",'Master'!AA610)</x:f>
      </x:c>
      <x:c r="AA36" s="104" t="str">
        <x:f>IF('Master'!AB610="","",'Master'!AB610)</x:f>
      </x:c>
      <x:c r="AB36" s="100" t="str">
        <x:f>IF('Master'!AC610="","",'Master'!AC610)</x:f>
      </x:c>
      <x:c r="AC36" s="100" t="str">
        <x:f>IF('Master'!AD610="","",'Master'!AD610)</x:f>
      </x:c>
      <x:c r="AD36" s="100" t="str">
        <x:f>IF('Master'!AE610="","",'Master'!AE610)</x:f>
      </x:c>
      <x:c r="AE36" s="100" t="str">
        <x:f>IF('Master'!AF610="","",'Master'!AF610)</x:f>
      </x:c>
      <x:c r="AF36" s="75" t="str">
        <x:f>IF('Master'!AG610="","",'Master'!AG610)</x:f>
      </x:c>
    </x:row>
  </x:sheetData>
  <x:mergeCells>
    <x:mergeCell ref="A1:AF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Directory'!A1","Maintenance &amp; Updates — release cadence, project health, and support lifecycle"),"Maintenance &amp; Updates — release cadence, project health, and support lifecycle")</x:f>
        <x:v>Maintenance &amp; Updates — release cadence, project health, and support lifecycle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Release Cadence (Nightly / Canary / Stable)</x:v>
      </x:c>
      <x:c r="B3" s="100" t="str">
        <x:f>IF('Master'!C611="","",'Master'!C611)</x:f>
        <x:v>Stable + PTB/Beta + Canary</x:v>
      </x:c>
      <x:c r="C3" s="100" t="str">
        <x:f>IF('Master'!D611="","",'Master'!D611)</x:f>
        <x:v>Beta rolling</x:v>
      </x:c>
      <x:c r="D3" s="100" t="str">
        <x:f>IF('Master'!E611="","",'Master'!E611)</x:f>
        <x:v>Frequent beta releases</x:v>
      </x:c>
      <x:c r="E3" s="100" t="str">
        <x:f>IF('Master'!F611="","",'Master'!F611)</x:f>
        <x:v>Frequent product updates</x:v>
      </x:c>
      <x:c r="F3" s="100" t="str">
        <x:f>IF('Master'!G611="","",'Master'!G611)</x:f>
        <x:v>Alpha continuous deployment</x:v>
      </x:c>
      <x:c r="G3" s="100" t="str">
        <x:f>IF('Master'!H611="","",'Master'!H611)</x:f>
        <x:v>Stable/canary + beta mobile</x:v>
      </x:c>
      <x:c r="H3" s="100" t="str">
        <x:f>IF('Master'!I611="","",'Master'!I611)</x:f>
        <x:v>Open beta rolling releases</x:v>
      </x:c>
      <x:c r="I3" s="100" t="str">
        <x:f>IF('Master'!J611="","",'Master'!J611)</x:f>
        <x:v>Early rolling</x:v>
      </x:c>
      <x:c r="J3" s="100" t="str">
        <x:f>IF('Master'!K611="","",'Master'!K611)</x:f>
        <x:v>Rapid alpha/beta releases</x:v>
      </x:c>
      <x:c r="K3" s="100" t="str">
        <x:f>IF('Master'!L611="","",'Master'!L611)</x:f>
        <x:v>A few releases per week during current active-development phase; expected to slow (developer report)</x:v>
      </x:c>
      <x:c r="L3" s="100" t="str">
        <x:f>IF('Master'!M611="","",'Master'!M611)</x:f>
        <x:v>Alpha rolling</x:v>
      </x:c>
      <x:c r="M3" s="100" t="str">
        <x:f>IF('Master'!N611="","",'Master'!N611)</x:f>
        <x:v>Open-beta rolling</x:v>
      </x:c>
      <x:c r="N3" s="100" t="str">
        <x:f>IF('Master'!O611="","",'Master'!O611)</x:f>
        <x:v>Matrix spec releases + independent client/server release cadences</x:v>
      </x:c>
      <x:c r="O3" s="100" t="str">
        <x:f>IF('Master'!P611="","",'Master'!P611)</x:f>
        <x:v>Monthly releases + ESR</x:v>
      </x:c>
      <x:c r="P3" s="100" t="str">
        <x:f>IF('Master'!Q611="","",'Master'!Q611)</x:f>
        <x:v>Active releases</x:v>
      </x:c>
      <x:c r="Q3" s="100" t="str">
        <x:f>IF('Master'!R611="","",'Master'!R611)</x:f>
        <x:v>Stable releases</x:v>
      </x:c>
      <x:c r="R3" s="100" t="str">
        <x:f>IF('Master'!S611="","",'Master'!S611)</x:f>
        <x:v>Frequent GitHub releases</x:v>
      </x:c>
      <x:c r="S3" s="100" t="str">
        <x:f>IF('Master'!T611="","",'Master'!T611)</x:f>
        <x:v>Frequent beta updates</x:v>
      </x:c>
      <x:c r="T3" s="100" t="str">
        <x:f>IF('Master'!U611="","",'Master'!U611)</x:f>
        <x:v>Active beta releases; see https://pqp.gg/blog</x:v>
      </x:c>
      <x:c r="U3" s="100" t="str">
        <x:f>IF('Master'!V611="","",'Master'!V611)</x:f>
        <x:v>Active 2026 releases</x:v>
      </x:c>
      <x:c r="V3" s="100" t="str">
        <x:f>IF('Master'!W611="","",'Master'!W611)</x:f>
        <x:v>Frequent stable/enterprise releases</x:v>
      </x:c>
      <x:c r="W3" s="100" t="str">
        <x:f>IF('Master'!X611="","",'Master'!X611)</x:f>
        <x:v>Experimental rolling</x:v>
      </x:c>
      <x:c r="X3" s="100" t="str">
        <x:f>IF('Master'!Y611="","",'Master'!Y611)</x:f>
        <x:v>Frequent product updates</x:v>
      </x:c>
      <x:c r="Y3" s="100" t="str">
        <x:f>IF('Master'!Z611="","",'Master'!Z611)</x:f>
        <x:v>Rolling alpha/dev</x:v>
      </x:c>
      <x:c r="Z3" s="100" t="str">
        <x:f>IF('Master'!AA611="","",'Master'!AA611)</x:f>
        <x:v>Rolling web/backend releases</x:v>
      </x:c>
      <x:c r="AA3" s="104" t="str">
        <x:f>IF('Master'!AB611="","",'Master'!AB611)</x:f>
        <x:v>TS6 Beta + TS3 stable maintenance</x:v>
      </x:c>
      <x:c r="AB3" s="100" t="str">
        <x:f>IF('Master'!AC611="","",'Master'!AC611)</x:f>
        <x:v>Alpha rolling</x:v>
      </x:c>
      <x:c r="AC3" s="100" t="str">
        <x:f>IF('Master'!AD611="","",'Master'!AD611)</x:f>
        <x:v>Alpha rolling</x:v>
      </x:c>
      <x:c r="AD3" s="100" t="str">
        <x:f>IF('Master'!AE611="","",'Master'!AE611)</x:f>
        <x:v>Ships frequently/public beta</x:v>
      </x:c>
      <x:c r="AE3" s="100" t="str">
        <x:f>IF('Master'!AF611="","",'Master'!AF611)</x:f>
        <x:v>Active beta</x:v>
      </x:c>
      <x:c r="AF3" s="75" t="str">
        <x:f>IF('Master'!AG611="","",'Master'!AG611)</x:f>
        <x:v>Frequent stable releases</x:v>
      </x:c>
    </x:row>
    <x:row r="4" ht="36" customHeight="1">
      <x:c r="A4" s="135" t="str">
        <x:v>Commit Velocity / GitHub Activity</x:v>
      </x:c>
      <x:c r="B4" s="100" t="str">
        <x:f>IF('Master'!C612="","",'Master'!C612)</x:f>
        <x:v>N/A for core proprietary code; selected open-source components/SDKs have public activity</x:v>
      </x:c>
      <x:c r="C4" s="100" t="str">
        <x:f>IF('Master'!D612="","",'Master'!D612)</x:f>
        <x:v>Active GitHub</x:v>
      </x:c>
      <x:c r="D4" s="100" t="str">
        <x:f>IF('Master'!E612="","",'Master'!E612)</x:f>
        <x:v>High public GitHub activity</x:v>
      </x:c>
      <x:c r="E4" s="100" t="str">
        <x:f>IF('Master'!F612="","",'Master'!F612)</x:f>
        <x:v>Closed/private code</x:v>
      </x:c>
      <x:c r="F4" s="100" t="str">
        <x:f>IF('Master'!G612="","",'Master'!G612)</x:f>
        <x:v>Private codebase; public commit velocity unavailable</x:v>
      </x:c>
      <x:c r="G4" s="100" t="str">
        <x:f>IF('Master'!H612="","",'Master'!H612)</x:f>
        <x:v>High public GitHub activity</x:v>
      </x:c>
      <x:c r="H4" s="100" t="str">
        <x:f>IF('Master'!I612="","",'Master'!I612)</x:f>
        <x:v>Active 2026 development</x:v>
      </x:c>
      <x:c r="I4" s="100" t="str">
        <x:f>IF('Master'!J612="","",'Master'!J612)</x:f>
        <x:v>Active Codeberg/GitHub</x:v>
      </x:c>
      <x:c r="J4" s="100" t="str">
        <x:f>IF('Master'!K612="","",'Master'!K612)</x:f>
        <x:v>High solo commit velocity</x:v>
      </x:c>
      <x:c r="K4" s="100" t="str">
        <x:f>IF('Master'!L612="","",'Master'!L612)</x:f>
        <x:v>High — public repository shows 247 commits at verification; developer reports 6–10 hours/day of current work</x:v>
      </x:c>
      <x:c r="L4" s="100" t="str">
        <x:f>IF('Master'!M612="","",'Master'!M612)</x:f>
        <x:v>Active</x:v>
      </x:c>
      <x:c r="M4" s="100" t="str">
        <x:f>IF('Master'!N612="","",'Master'!N612)</x:f>
        <x:v>Active</x:v>
      </x:c>
      <x:c r="N4" s="100" t="str">
        <x:f>IF('Master'!O612="","",'Master'!O612)</x:f>
        <x:v>High across spec and ecosystem repos</x:v>
      </x:c>
      <x:c r="O4" s="100" t="str">
        <x:f>IF('Master'!P612="","",'Master'!P612)</x:f>
        <x:v>High public GitHub activity</x:v>
      </x:c>
      <x:c r="P4" s="100" t="str">
        <x:f>IF('Master'!Q612="","",'Master'!Q612)</x:f>
        <x:v>Active GitHub</x:v>
      </x:c>
      <x:c r="Q4" s="100" t="str">
        <x:f>IF('Master'!R612="","",'Master'!R612)</x:f>
        <x:v>Active public GitHub</x:v>
      </x:c>
      <x:c r="R4" s="100" t="str">
        <x:f>IF('Master'!S612="","",'Master'!S612)</x:f>
        <x:v>Active GitHub</x:v>
      </x:c>
      <x:c r="S4" s="100" t="str">
        <x:f>IF('Master'!T612="","",'Master'!T612)</x:f>
        <x:v>Active development</x:v>
      </x:c>
      <x:c r="T4" s="100" t="str">
        <x:f>IF('Master'!U612="","",'Master'!U612)</x:f>
        <x:v>Active public GitHub repository</x:v>
      </x:c>
      <x:c r="U4" s="100" t="str">
        <x:f>IF('Master'!V612="","",'Master'!V612)</x:f>
        <x:v>Closed source</x:v>
      </x:c>
      <x:c r="V4" s="100" t="str">
        <x:f>IF('Master'!W612="","",'Master'!W612)</x:f>
        <x:v>High public GitHub activity</x:v>
      </x:c>
      <x:c r="W4" s="100" t="str">
        <x:f>IF('Master'!X612="","",'Master'!X612)</x:f>
        <x:v>Active GitHub</x:v>
      </x:c>
      <x:c r="X4" s="100" t="str">
        <x:f>IF('Master'!Y612="","",'Master'!Y612)</x:f>
        <x:v>Closed source — commit velocity not public</x:v>
      </x:c>
      <x:c r="Y4" s="100" t="str">
        <x:f>IF('Master'!Z612="","",'Master'!Z612)</x:f>
        <x:v>Active GitHub development</x:v>
      </x:c>
      <x:c r="Z4" s="100" t="str">
        <x:f>IF('Master'!AA612="","",'Master'!AA612)</x:f>
        <x:v>High — active GitHub development in 2026</x:v>
      </x:c>
      <x:c r="AA4" s="104" t="str">
        <x:f>IF('Master'!AB612="","",'Master'!AB612)</x:f>
        <x:v>Closed source; public commit velocity N/A</x:v>
      </x:c>
      <x:c r="AB4" s="100" t="str">
        <x:f>IF('Master'!AC612="","",'Master'!AC612)</x:f>
        <x:v>Active GitHub</x:v>
      </x:c>
      <x:c r="AC4" s="100" t="str">
        <x:f>IF('Master'!AD612="","",'Master'!AD612)</x:f>
        <x:v>Active GitHub backend</x:v>
      </x:c>
      <x:c r="AD4" s="100" t="str">
        <x:f>IF('Master'!AE612="","",'Master'!AE612)</x:f>
        <x:v>Source-available active repo</x:v>
      </x:c>
      <x:c r="AE4" s="100" t="str">
        <x:f>IF('Master'!AF612="","",'Master'!AF612)</x:f>
        <x:v>Active</x:v>
      </x:c>
      <x:c r="AF4" s="75" t="str">
        <x:f>IF('Master'!AG612="","",'Master'!AG612)</x:f>
        <x:v>High public GitHub activity</x:v>
      </x:c>
    </x:row>
    <x:row r="5" ht="36" customHeight="1">
      <x:c r="A5" s="135" t="str">
        <x:v>Maintainer Structure (Solo Dev / Small Collective / Foundation / Corp)</x:v>
      </x:c>
      <x:c r="B5" s="100" t="str">
        <x:f>IF('Master'!C613="","",'Master'!C613)</x:f>
        <x:v>Corp (Discord Inc.)</x:v>
      </x:c>
      <x:c r="C5" s="100" t="str">
        <x:f>IF('Master'!D613="","",'Master'!D613)</x:f>
        <x:v>Open-source team</x:v>
      </x:c>
      <x:c r="D5" s="100" t="str">
        <x:f>IF('Master'!E613="","",'Master'!E613)</x:f>
        <x:v>Solo-led + contributors</x:v>
      </x:c>
      <x:c r="E5" s="100" t="str">
        <x:f>IF('Master'!F613="","",'Master'!F613)</x:f>
        <x:v>Tiny Canadian team</x:v>
      </x:c>
      <x:c r="F5" s="100" t="str">
        <x:f>IF('Master'!G613="","",'Master'!G613)</x:f>
        <x:v>Solo founder / tiny team</x:v>
      </x:c>
      <x:c r="G5" s="100" t="str">
        <x:f>IF('Master'!H613="","",'Master'!H613)</x:f>
        <x:v>Small company/open-source team</x:v>
      </x:c>
      <x:c r="H5" s="100" t="str">
        <x:f>IF('Master'!I613="","",'Master'!I613)</x:f>
        <x:v>Founder-led company</x:v>
      </x:c>
      <x:c r="I5" s="100" t="str">
        <x:f>IF('Master'!J613="","",'Master'!J613)</x:f>
        <x:v>Volunteer project</x:v>
      </x:c>
      <x:c r="J5" s="100" t="str">
        <x:f>IF('Master'!K613="","",'Master'!K613)</x:f>
        <x:v>Solo dev</x:v>
      </x:c>
      <x:c r="K5" s="100" t="str">
        <x:f>IF('Master'!L613="","",'Master'!L613)</x:f>
        <x:v>1 primary developer; security-researcher friend provides private review/bug reports (developer report)</x:v>
      </x:c>
      <x:c r="L5" s="100" t="str">
        <x:f>IF('Master'!M613="","",'Master'!M613)</x:f>
        <x:v>Small team</x:v>
      </x:c>
      <x:c r="M5" s="100" t="str">
        <x:f>IF('Master'!N613="","",'Master'!N613)</x:f>
        <x:v>Small team</x:v>
      </x:c>
      <x:c r="N5" s="100" t="str">
        <x:f>IF('Master'!O613="","",'Master'!O613)</x:f>
        <x:v>Nonprofit foundation + ecosystem companies/projects</x:v>
      </x:c>
      <x:c r="O5" s="100" t="str">
        <x:f>IF('Master'!P613="","",'Master'!P613)</x:f>
        <x:v>Corp + open-source community</x:v>
      </x:c>
      <x:c r="P5" s="100" t="str">
        <x:f>IF('Master'!Q613="","",'Master'!Q613)</x:f>
        <x:v>Company/open-source team</x:v>
      </x:c>
      <x:c r="Q5" s="100" t="str">
        <x:f>IF('Master'!R613="","",'Master'!R613)</x:f>
        <x:v>Community project</x:v>
      </x:c>
      <x:c r="R5" s="100" t="str">
        <x:f>IF('Master'!S613="","",'Master'!S613)</x:f>
        <x:v>Solo/small community</x:v>
      </x:c>
      <x:c r="S5" s="100" t="str">
        <x:f>IF('Master'!T613="","",'Master'!T613)</x:f>
        <x:v>Small startup team</x:v>
      </x:c>
      <x:c r="T5" s="100" t="str">
        <x:f>IF('Master'!U613="","",'Master'!U613)</x:f>
        <x:v>Independently run; exact team size not stated</x:v>
      </x:c>
      <x:c r="U5" s="100" t="str">
        <x:f>IF('Master'!V613="","",'Master'!V613)</x:f>
        <x:v>Small private company</x:v>
      </x:c>
      <x:c r="V5" s="100" t="str">
        <x:f>IF('Master'!W613="","",'Master'!W613)</x:f>
        <x:v>Corp + community</x:v>
      </x:c>
      <x:c r="W5" s="100" t="str">
        <x:f>IF('Master'!X613="","",'Master'!X613)</x:f>
        <x:v>Open-source community</x:v>
      </x:c>
      <x:c r="X5" s="100" t="str">
        <x:f>IF('Master'!Y613="","",'Master'!Y613)</x:f>
        <x:v>Corp</x:v>
      </x:c>
      <x:c r="Y5" s="100" t="str">
        <x:f>IF('Master'!Z613="","",'Master'!Z613)</x:f>
        <x:v>Volunteer project</x:v>
      </x:c>
      <x:c r="Z5" s="100" t="str">
        <x:f>IF('Master'!AA613="","",'Master'!AA613)</x:f>
        <x:v>Small open-source collective</x:v>
      </x:c>
      <x:c r="AA5" s="104" t="str">
        <x:f>IF('Master'!AB613="","",'Master'!AB613)</x:f>
        <x:v>Corp</x:v>
      </x:c>
      <x:c r="AB5" s="100" t="str">
        <x:f>IF('Master'!AC613="","",'Master'!AC613)</x:f>
        <x:v>Volunteer/open-source team</x:v>
      </x:c>
      <x:c r="AC5" s="100" t="str">
        <x:f>IF('Master'!AD613="","",'Master'!AD613)</x:f>
        <x:v>Small founder-led team</x:v>
      </x:c>
      <x:c r="AD5" s="100" t="str">
        <x:f>IF('Master'!AE613="","",'Master'!AE613)</x:f>
        <x:v>Solo developer</x:v>
      </x:c>
      <x:c r="AE5" s="100" t="str">
        <x:f>IF('Master'!AF613="","",'Master'!AF613)</x:f>
        <x:v>Small team</x:v>
      </x:c>
      <x:c r="AF5" s="75" t="str">
        <x:f>IF('Master'!AG613="","",'Master'!AG613)</x:f>
        <x:v>Independent company + community</x:v>
      </x:c>
    </x:row>
    <x:row r="6" ht="36" customHeight="1">
      <x:c r="A6" s="135" t="str">
        <x:v>Public Roadmap Availability</x:v>
      </x:c>
      <x:c r="B6" s="100" t="str">
        <x:f>IF('Master'!C614="","",'Master'!C614)</x:f>
        <x:v>Limited — no comprehensive public product roadmap; blogs/changelogs announce plans and releases</x:v>
      </x:c>
      <x:c r="C6" s="100" t="str">
        <x:f>IF('Master'!D614="","",'Master'!D614)</x:f>
        <x:v>Public repos</x:v>
      </x:c>
      <x:c r="D6" s="100" t="str">
        <x:f>IF('Master'!E614="","",'Master'!E614)</x:f>
        <x:v>Public docs/GitHub</x:v>
      </x:c>
      <x:c r="E6" s="100" t="str">
        <x:f>IF('Master'!F614="","",'Master'!F614)</x:f>
        <x:v>Public site</x:v>
      </x:c>
      <x:c r="F6" s="100" t="str">
        <x:f>IF('Master'!G614="","",'Master'!G614)</x:f>
        <x:v>Public roadmap/story posts</x:v>
      </x:c>
      <x:c r="G6" s="100" t="str">
        <x:f>IF('Master'!H614="","",'Master'!H614)</x:f>
        <x:v>Public 2026 roadmap</x:v>
      </x:c>
      <x:c r="H6" s="100" t="str">
        <x:f>IF('Master'!I614="","",'Master'!I614)</x:f>
        <x:v>Public site/press</x:v>
      </x:c>
      <x:c r="I6" s="100" t="str">
        <x:f>IF('Master'!J614="","",'Master'!J614)</x:f>
        <x:v>Public roadmap</x:v>
      </x:c>
      <x:c r="J6" s="100" t="str">
        <x:f>IF('Master'!K614="","",'Master'!K614)</x:f>
        <x:v>Public roadmap/issues</x:v>
      </x:c>
      <x:c r="K6" s="100" t="str">
        <x:f>IF('Master'!L614="","",'Master'!L614)</x:f>
        <x:v>Yes — active roadmap in the official Kaede community (developer report)</x:v>
      </x:c>
      <x:c r="L6" s="100" t="str">
        <x:f>IF('Master'!M614="","",'Master'!M614)</x:f>
        <x:v>Public site</x:v>
      </x:c>
      <x:c r="M6" s="100" t="str">
        <x:f>IF('Master'!N614="","",'Master'!N614)</x:f>
        <x:v>Public feature tracker</x:v>
      </x:c>
      <x:c r="N6" s="100" t="str">
        <x:f>IF('Master'!O614="","",'Master'!O614)</x:f>
        <x:v>Public spec roadmap/MSC process</x:v>
      </x:c>
      <x:c r="O6" s="100" t="str">
        <x:f>IF('Master'!P614="","",'Master'!P614)</x:f>
        <x:v>Public product roadmap/release docs</x:v>
      </x:c>
      <x:c r="P6" s="100" t="str">
        <x:f>IF('Master'!Q614="","",'Master'!Q614)</x:f>
        <x:v>Public docs/blog</x:v>
      </x:c>
      <x:c r="Q6" s="100" t="str">
        <x:f>IF('Master'!R614="","",'Master'!R614)</x:f>
        <x:v>Public GitHub milestones/issues</x:v>
      </x:c>
      <x:c r="R6" s="100" t="str">
        <x:f>IF('Master'!S614="","",'Master'!S614)</x:f>
        <x:v>Public GitHub</x:v>
      </x:c>
      <x:c r="S6" s="100" t="str">
        <x:f>IF('Master'!T614="","",'Master'!T614)</x:f>
        <x:v>Public updates</x:v>
      </x:c>
      <x:c r="T6" s="100" t="str">
        <x:f>IF('Master'!U614="","",'Master'!U614)</x:f>
        <x:v>Public site/GitHub</x:v>
      </x:c>
      <x:c r="U6" s="100" t="str">
        <x:f>IF('Master'!V614="","",'Master'!V614)</x:f>
        <x:v>Public site/updates</x:v>
      </x:c>
      <x:c r="V6" s="100" t="str">
        <x:f>IF('Master'!W614="","",'Master'!W614)</x:f>
        <x:v>Public roadmap/release docs</x:v>
      </x:c>
      <x:c r="W6" s="100" t="str">
        <x:f>IF('Master'!X614="","",'Master'!X614)</x:f>
        <x:v>Public GitHub</x:v>
      </x:c>
      <x:c r="X6" s="100" t="str">
        <x:f>IF('Master'!Y614="","",'Master'!Y614)</x:f>
      </x:c>
      <x:c r="Y6" s="100" t="str">
        <x:f>IF('Master'!Z614="","",'Master'!Z614)</x:f>
        <x:v>Public GitHub roadmap/issues</x:v>
      </x:c>
      <x:c r="Z6" s="100" t="str">
        <x:f>IF('Master'!AA614="","",'Master'!AA614)</x:f>
        <x:v>Public GitHub issues/projects + update posts</x:v>
      </x:c>
      <x:c r="AA6" s="104" t="str">
        <x:f>IF('Master'!AB614="","",'Master'!AB614)</x:f>
        <x:v>Product roadmap/announcements</x:v>
      </x:c>
      <x:c r="AB6" s="100" t="str">
        <x:f>IF('Master'!AC614="","",'Master'!AC614)</x:f>
        <x:v>Public roadmap/issues</x:v>
      </x:c>
      <x:c r="AC6" s="100" t="str">
        <x:f>IF('Master'!AD614="","",'Master'!AD614)</x:f>
        <x:v>Public subreddit/GitHub</x:v>
      </x:c>
      <x:c r="AD6" s="100" t="str">
        <x:f>IF('Master'!AE614="","",'Master'!AE614)</x:f>
        <x:v>Public site</x:v>
      </x:c>
      <x:c r="AE6" s="100" t="str">
        <x:f>IF('Master'!AF614="","",'Master'!AF614)</x:f>
        <x:v>Public roadmap</x:v>
      </x:c>
      <x:c r="AF6" s="75" t="str">
        <x:f>IF('Master'!AG614="","",'Master'!AG614)</x:f>
        <x:v>Public roadmap/issues</x:v>
      </x:c>
    </x:row>
    <x:row r="7" ht="36" customHeight="1">
      <x:c r="A7" s="135" t="str">
        <x:v>Issue Tracker Responsiveness</x:v>
      </x:c>
      <x:c r="B7" s="100" t="str">
        <x:f>IF('Master'!C615="","",'Master'!C615)</x:f>
        <x:v>N/A for core product — no public core GitHub issue tracker; support/feedback channels are used</x:v>
      </x:c>
      <x:c r="C7" s="100" t="str">
        <x:f>IF('Master'!D615="","",'Master'!D615)</x:f>
        <x:v>Public issues</x:v>
      </x:c>
      <x:c r="D7" s="100" t="str">
        <x:f>IF('Master'!E615="","",'Master'!E615)</x:f>
        <x:v>Public issues</x:v>
      </x:c>
      <x:c r="E7" s="100" t="str">
        <x:f>IF('Master'!F615="","",'Master'!F615)</x:f>
        <x:v>Feedback/support</x:v>
      </x:c>
      <x:c r="F7" s="100" t="str">
        <x:f>IF('Master'!G615="","",'Master'!G615)</x:f>
      </x:c>
      <x:c r="G7" s="100" t="str">
        <x:f>IF('Master'!H615="","",'Master'!H615)</x:f>
        <x:v>Public GitHub issues</x:v>
      </x:c>
      <x:c r="H7" s="100" t="str">
        <x:f>IF('Master'!I615="","",'Master'!I615)</x:f>
        <x:v>Support/community feedback</x:v>
      </x:c>
      <x:c r="I7" s="100" t="str">
        <x:f>IF('Master'!J615="","",'Master'!J615)</x:f>
        <x:v>Public issues</x:v>
      </x:c>
      <x:c r="J7" s="100" t="str">
        <x:f>IF('Master'!K615="","",'Master'!K615)</x:f>
        <x:v>GitHub</x:v>
      </x:c>
      <x:c r="K7" s="100" t="str">
        <x:f>IF('Master'!L615="","",'Master'!L615)</x:f>
      </x:c>
      <x:c r="L7" s="100" t="str">
        <x:f>IF('Master'!M615="","",'Master'!M615)</x:f>
        <x:v>Support/community</x:v>
      </x:c>
      <x:c r="M7" s="100" t="str">
        <x:f>IF('Master'!N615="","",'Master'!N615)</x:f>
        <x:v>Community feedback</x:v>
      </x:c>
      <x:c r="N7" s="100" t="str">
        <x:f>IF('Master'!O615="","",'Master'!O615)</x:f>
        <x:v>Public GitHub issue/MSC processes</x:v>
      </x:c>
      <x:c r="O7" s="100" t="str">
        <x:f>IF('Master'!P615="","",'Master'!P615)</x:f>
        <x:v>Public GitHub issues/support</x:v>
      </x:c>
      <x:c r="P7" s="100" t="str">
        <x:f>IF('Master'!Q615="","",'Master'!Q615)</x:f>
        <x:v>GitHub issues</x:v>
      </x:c>
      <x:c r="Q7" s="100" t="str">
        <x:f>IF('Master'!R615="","",'Master'!R615)</x:f>
        <x:v>Public issues</x:v>
      </x:c>
      <x:c r="R7" s="100" t="str">
        <x:f>IF('Master'!S615="","",'Master'!S615)</x:f>
        <x:v>Public issues</x:v>
      </x:c>
      <x:c r="S7" s="100" t="str">
        <x:f>IF('Master'!T615="","",'Master'!T615)</x:f>
        <x:v>Community support</x:v>
      </x:c>
      <x:c r="T7" s="100" t="str">
        <x:f>IF('Master'!U615="","",'Master'!U615)</x:f>
        <x:v>GitHub/support</x:v>
      </x:c>
      <x:c r="U7" s="100" t="str">
        <x:f>IF('Master'!V615="","",'Master'!V615)</x:f>
        <x:v>Support</x:v>
      </x:c>
      <x:c r="V7" s="100" t="str">
        <x:f>IF('Master'!W615="","",'Master'!W615)</x:f>
        <x:v>Public GitHub issues</x:v>
      </x:c>
      <x:c r="W7" s="100" t="str">
        <x:f>IF('Master'!X615="","",'Master'!X615)</x:f>
        <x:v>Public issues</x:v>
      </x:c>
      <x:c r="X7" s="100" t="str">
        <x:f>IF('Master'!Y615="","",'Master'!Y615)</x:f>
        <x:v>Private issue process/support</x:v>
      </x:c>
      <x:c r="Y7" s="100" t="str">
        <x:f>IF('Master'!Z615="","",'Master'!Z615)</x:f>
        <x:v>Public GitHub issues</x:v>
      </x:c>
      <x:c r="Z7" s="100" t="str">
        <x:f>IF('Master'!AA615="","",'Master'!AA615)</x:f>
        <x:v>Public issue trackers</x:v>
      </x:c>
      <x:c r="AA7" s="104" t="str">
        <x:f>IF('Master'!AB615="","",'Master'!AB615)</x:f>
        <x:v>Support/feedback</x:v>
      </x:c>
      <x:c r="AB7" s="100" t="str">
        <x:f>IF('Master'!AC615="","",'Master'!AC615)</x:f>
        <x:v>GitHub issues</x:v>
      </x:c>
      <x:c r="AC7" s="100" t="str">
        <x:f>IF('Master'!AD615="","",'Master'!AD615)</x:f>
        <x:v>GitHub issues</x:v>
      </x:c>
      <x:c r="AD7" s="100" t="str">
        <x:f>IF('Master'!AE615="","",'Master'!AE615)</x:f>
        <x:v>Support</x:v>
      </x:c>
      <x:c r="AE7" s="100" t="str">
        <x:f>IF('Master'!AF615="","",'Master'!AF615)</x:f>
        <x:v>Support</x:v>
      </x:c>
      <x:c r="AF7" s="75" t="str">
        <x:f>IF('Master'!AG615="","",'Master'!AG615)</x:f>
        <x:v>Public GitHub issues</x:v>
      </x:c>
    </x:row>
    <x:row r="8" ht="36" customHeight="1">
      <x:c r="A8" s="135" t="str">
        <x:v>Public Changelog &amp; Release Notes</x:v>
      </x:c>
      <x:c r="B8" s="100" t="str">
        <x:f>IF('Master'!C616="","",'Master'!C616)</x:f>
        <x:v>Yes — public changelogs, patch notes, support updates, and developer changelog</x:v>
      </x:c>
      <x:c r="C8" s="100" t="str">
        <x:f>IF('Master'!D616="","",'Master'!D616)</x:f>
        <x:v>Git history</x:v>
      </x:c>
      <x:c r="D8" s="100" t="str">
        <x:f>IF('Master'!E616="","",'Master'!E616)</x:f>
        <x:v>Many GitHub releases</x:v>
      </x:c>
      <x:c r="E8" s="100" t="str">
        <x:f>IF('Master'!F616="","",'Master'!F616)</x:f>
        <x:v>App release notes</x:v>
      </x:c>
      <x:c r="F8" s="100" t="str">
        <x:f>IF('Master'!G616="","",'Master'!G616)</x:f>
      </x:c>
      <x:c r="G8" s="100" t="str">
        <x:f>IF('Master'!H616="","",'Master'!H616)</x:f>
        <x:v>Public blog/changelog</x:v>
      </x:c>
      <x:c r="H8" s="100" t="str">
        <x:f>IF('Master'!I616="","",'Master'!I616)</x:f>
        <x:v>Public updates/press</x:v>
      </x:c>
      <x:c r="I8" s="100" t="str">
        <x:f>IF('Master'!J616="","",'Master'!J616)</x:f>
        <x:v>Public commits</x:v>
      </x:c>
      <x:c r="J8" s="100" t="str">
        <x:f>IF('Master'!K616="","",'Master'!K616)</x:f>
        <x:v>GitHub releases</x:v>
      </x:c>
      <x:c r="K8" s="100" t="str">
        <x:f>IF('Master'!L616="","",'Master'!L616)</x:f>
        <x:v>No conventional public changelog/release-note stream located; repository history is active</x:v>
      </x:c>
      <x:c r="L8" s="100" t="str">
        <x:f>IF('Master'!M616="","",'Master'!M616)</x:f>
        <x:v>Public updates</x:v>
      </x:c>
      <x:c r="M8" s="100" t="str">
        <x:f>IF('Master'!N616="","",'Master'!N616)</x:f>
        <x:v>Public site updates</x:v>
      </x:c>
      <x:c r="N8" s="100" t="str">
        <x:f>IF('Master'!O616="","",'Master'!O616)</x:f>
        <x:v>Public specification changelogs and project release notes</x:v>
      </x:c>
      <x:c r="O8" s="100" t="str">
        <x:f>IF('Master'!P616="","",'Master'!P616)</x:f>
        <x:v>Public release notes</x:v>
      </x:c>
      <x:c r="P8" s="100" t="str">
        <x:f>IF('Master'!Q616="","",'Master'!Q616)</x:f>
        <x:v>Public docs/blog</x:v>
      </x:c>
      <x:c r="Q8" s="100" t="str">
        <x:f>IF('Master'!R616="","",'Master'!R616)</x:f>
        <x:v>Public releases/changelog</x:v>
      </x:c>
      <x:c r="R8" s="100" t="str">
        <x:f>IF('Master'!S616="","",'Master'!S616)</x:f>
        <x:v>GitHub releases</x:v>
      </x:c>
      <x:c r="S8" s="100" t="str">
        <x:f>IF('Master'!T616="","",'Master'!T616)</x:f>
        <x:v>Public changelog/blog</x:v>
      </x:c>
      <x:c r="T8" s="100" t="str">
        <x:f>IF('Master'!U616="","",'Master'!U616)</x:f>
        <x:v>Yes — https://pqp.gg/blog</x:v>
      </x:c>
      <x:c r="U8" s="100" t="str">
        <x:f>IF('Master'!V616="","",'Master'!V616)</x:f>
        <x:v>Public site updates</x:v>
      </x:c>
      <x:c r="V8" s="100" t="str">
        <x:f>IF('Master'!W616="","",'Master'!W616)</x:f>
        <x:v>Public release notes</x:v>
      </x:c>
      <x:c r="W8" s="100" t="str">
        <x:f>IF('Master'!X616="","",'Master'!X616)</x:f>
        <x:v>GitHub commits</x:v>
      </x:c>
      <x:c r="X8" s="100" t="str">
        <x:f>IF('Master'!Y616="","",'Master'!Y616)</x:f>
        <x:v>Public changelog/help docs</x:v>
      </x:c>
      <x:c r="Y8" s="100" t="str">
        <x:f>IF('Master'!Z616="","",'Master'!Z616)</x:f>
        <x:v>GitHub releases/commits</x:v>
      </x:c>
      <x:c r="Z8" s="100" t="str">
        <x:f>IF('Master'!AA616="","",'Master'!AA616)</x:f>
        <x:v>Yes — GitHub changelogs/releases and Stoat updates</x:v>
      </x:c>
      <x:c r="AA8" s="104" t="str">
        <x:f>IF('Master'!AB616="","",'Master'!AB616)</x:f>
        <x:v>Public news/release notes</x:v>
      </x:c>
      <x:c r="AB8" s="100" t="str">
        <x:f>IF('Master'!AC616="","",'Master'!AC616)</x:f>
        <x:v>GitHub releases</x:v>
      </x:c>
      <x:c r="AC8" s="100" t="str">
        <x:f>IF('Master'!AD616="","",'Master'!AD616)</x:f>
        <x:v>Public updates</x:v>
      </x:c>
      <x:c r="AD8" s="100" t="str">
        <x:f>IF('Master'!AE616="","",'Master'!AE616)</x:f>
        <x:v>Public site/repo</x:v>
      </x:c>
      <x:c r="AE8" s="100" t="str">
        <x:f>IF('Master'!AF616="","",'Master'!AF616)</x:f>
        <x:v>Public roadmap/updates</x:v>
      </x:c>
      <x:c r="AF8" s="75" t="str">
        <x:f>IF('Master'!AG616="","",'Master'!AG616)</x:f>
        <x:v>Public release notes</x:v>
      </x:c>
    </x:row>
    <x:row r="9" ht="22" customHeight="1">
      <x:c r="A9" s="138" t="str">
        <x:v>Release Engineering</x:v>
      </x:c>
      <x:c r="B9" s="138" t="str">
        <x:f>IF(""="","","")</x:f>
      </x:c>
      <x:c r="C9" s="138" t="str">
        <x:f>IF(""="","","")</x:f>
      </x:c>
      <x:c r="D9" s="138" t="str">
        <x:f>IF(""="","","")</x:f>
      </x:c>
      <x:c r="E9" s="138" t="str">
        <x:f>IF(""="","","")</x:f>
      </x:c>
      <x:c r="F9" s="138" t="str">
        <x:f>IF(""="","","")</x:f>
      </x:c>
      <x:c r="G9" s="138" t="str">
        <x:f>IF(""="","","")</x:f>
      </x:c>
      <x:c r="H9" s="138" t="str">
        <x:f>IF(""="","","")</x:f>
      </x:c>
      <x:c r="I9" s="138" t="str">
        <x:f>IF(""="","","")</x:f>
      </x:c>
      <x:c r="J9" s="138" t="str">
        <x:f>IF(""="","","")</x:f>
      </x:c>
      <x:c r="K9" s="138" t="str">
        <x:f>IF(""="","","")</x:f>
      </x:c>
      <x:c r="L9" s="138" t="str">
        <x:f>IF(""="","","")</x:f>
      </x:c>
      <x:c r="M9" s="138" t="str">
        <x:f>IF(""="","","")</x:f>
      </x:c>
      <x:c r="N9" s="138" t="str">
        <x:f>IF(""="","","")</x:f>
      </x:c>
      <x:c r="O9" s="138" t="str">
        <x:f>IF(""="","","")</x:f>
      </x:c>
      <x:c r="P9" s="138" t="str">
        <x:f>IF(""="","","")</x:f>
      </x:c>
      <x:c r="Q9" s="138" t="str">
        <x:f>IF(""="","","")</x:f>
      </x:c>
      <x:c r="R9" s="138" t="str">
        <x:f>IF(""="","","")</x:f>
      </x:c>
      <x:c r="S9" s="138" t="str">
        <x:f>IF(""="","","")</x:f>
      </x:c>
      <x:c r="T9" s="138" t="str">
        <x:f>IF(""="","","")</x:f>
      </x:c>
      <x:c r="U9" s="138" t="str">
        <x:f>IF(""="","","")</x:f>
      </x:c>
      <x:c r="V9" s="138" t="str">
        <x:f>IF(""="","","")</x:f>
      </x:c>
      <x:c r="W9" s="138" t="str">
        <x:f>IF(""="","","")</x:f>
      </x:c>
      <x:c r="X9" s="138" t="str">
        <x:f>IF(""="","","")</x:f>
      </x:c>
      <x:c r="Y9" s="138" t="str">
        <x:f>IF(""="","","")</x:f>
      </x:c>
      <x:c r="Z9" s="138" t="str">
        <x:f>IF(""="","","")</x:f>
      </x:c>
      <x:c r="AA9" s="138" t="str">
        <x:f>IF(""="","","")</x:f>
      </x:c>
      <x:c r="AB9" s="138" t="str">
        <x:f>IF(""="","","")</x:f>
      </x:c>
      <x:c r="AC9" s="138" t="str">
        <x:f>IF(""="","","")</x:f>
      </x:c>
      <x:c r="AD9" s="138" t="str">
        <x:f>IF(""="","","")</x:f>
      </x:c>
      <x:c r="AE9" s="138" t="str">
        <x:f>IF(""="","","")</x:f>
      </x:c>
      <x:c r="AF9" s="139" t="str">
        <x:f>IF(""="","","")</x:f>
      </x:c>
    </x:row>
    <x:row r="10" ht="23.100000381469727" customHeight="1">
      <x:c r="A10" s="135" t="str">
        <x:v>Last Major Release Date</x:v>
      </x:c>
      <x:c r="B10" s="102" t="str">
        <x:f>IF('Master'!C617="","",'Master'!C617)</x:f>
      </x:c>
      <x:c r="C10" s="102" t="str">
        <x:f>IF('Master'!D617="","",'Master'!D617)</x:f>
      </x:c>
      <x:c r="D10" s="102" t="str">
        <x:f>IF('Master'!E617="","",'Master'!E617)</x:f>
      </x:c>
      <x:c r="E10" s="102" t="str">
        <x:f>IF('Master'!F617="","",'Master'!F617)</x:f>
      </x:c>
      <x:c r="F10" s="102" t="str">
        <x:f>IF('Master'!G617="","",'Master'!G617)</x:f>
      </x:c>
      <x:c r="G10" s="102" t="str">
        <x:f>IF('Master'!H617="","",'Master'!H617)</x:f>
      </x:c>
      <x:c r="H10" s="102" t="str">
        <x:f>IF('Master'!I617="","",'Master'!I617)</x:f>
      </x:c>
      <x:c r="I10" s="102" t="str">
        <x:f>IF('Master'!J617="","",'Master'!J617)</x:f>
      </x:c>
      <x:c r="J10" s="102" t="str">
        <x:f>IF('Master'!K617="","",'Master'!K617)</x:f>
      </x:c>
      <x:c r="K10" s="102" t="str">
        <x:f>IF('Master'!L617="","",'Master'!L617)</x:f>
        <x:v>No formal public launch</x:v>
      </x:c>
      <x:c r="L10" s="102" t="str">
        <x:f>IF('Master'!M617="","",'Master'!M617)</x:f>
      </x:c>
      <x:c r="M10" s="102" t="str">
        <x:f>IF('Master'!N617="","",'Master'!N617)</x:f>
      </x:c>
      <x:c r="N10" s="102" t="str">
        <x:f>IF('Master'!O617="","",'Master'!O617)</x:f>
      </x:c>
      <x:c r="O10" s="102" t="str">
        <x:f>IF('Master'!P617="","",'Master'!P617)</x:f>
      </x:c>
      <x:c r="P10" s="102" t="str">
        <x:f>IF('Master'!Q617="","",'Master'!Q617)</x:f>
      </x:c>
      <x:c r="Q10" s="102" t="str">
        <x:f>IF('Master'!R617="","",'Master'!R617)</x:f>
      </x:c>
      <x:c r="R10" s="102" t="str">
        <x:f>IF('Master'!S617="","",'Master'!S617)</x:f>
      </x:c>
      <x:c r="S10" s="102" t="str">
        <x:f>IF('Master'!T617="","",'Master'!T617)</x:f>
      </x:c>
      <x:c r="T10" s="102" t="str">
        <x:f>IF('Master'!U617="","",'Master'!U617)</x:f>
      </x:c>
      <x:c r="U10" s="102" t="str">
        <x:f>IF('Master'!V617="","",'Master'!V617)</x:f>
      </x:c>
      <x:c r="V10" s="102" t="str">
        <x:f>IF('Master'!W617="","",'Master'!W617)</x:f>
      </x:c>
      <x:c r="W10" s="102" t="str">
        <x:f>IF('Master'!X617="","",'Master'!X617)</x:f>
      </x:c>
      <x:c r="X10" s="102" t="str">
        <x:f>IF('Master'!Y617="","",'Master'!Y617)</x:f>
      </x:c>
      <x:c r="Y10" s="102" t="str">
        <x:f>IF('Master'!Z617="","",'Master'!Z617)</x:f>
      </x:c>
      <x:c r="Z10" s="102" t="str">
        <x:f>IF('Master'!AA617="","",'Master'!AA617)</x:f>
      </x:c>
      <x:c r="AA10" s="103" t="str">
        <x:f>IF('Master'!AB617="","",'Master'!AB617)</x:f>
      </x:c>
      <x:c r="AB10" s="102" t="str">
        <x:f>IF('Master'!AC617="","",'Master'!AC617)</x:f>
      </x:c>
      <x:c r="AC10" s="102" t="str">
        <x:f>IF('Master'!AD617="","",'Master'!AD617)</x:f>
      </x:c>
      <x:c r="AD10" s="102" t="str">
        <x:f>IF('Master'!AE617="","",'Master'!AE617)</x:f>
      </x:c>
      <x:c r="AE10" s="102" t="str">
        <x:f>IF('Master'!AF617="","",'Master'!AF617)</x:f>
      </x:c>
      <x:c r="AF10" s="75" t="str">
        <x:f>IF('Master'!AG617="","",'Master'!AG617)</x:f>
      </x:c>
    </x:row>
    <x:row r="11" ht="36" customHeight="1">
      <x:c r="A11" s="135" t="str">
        <x:v>Security Advisories?</x:v>
      </x:c>
      <x:c r="B11" s="100" t="str">
        <x:f>IF('Master'!C618="","",'Master'!C618)</x:f>
        <x:v>Yes</x:v>
      </x:c>
      <x:c r="C11" s="100" t="str">
        <x:f>IF('Master'!D618="","",'Master'!D618)</x:f>
      </x:c>
      <x:c r="D11" s="100" t="str">
        <x:f>IF('Master'!E618="","",'Master'!E618)</x:f>
      </x:c>
      <x:c r="E11" s="100" t="str">
        <x:f>IF('Master'!F618="","",'Master'!F618)</x:f>
      </x:c>
      <x:c r="F11" s="100" t="str">
        <x:f>IF('Master'!G618="","",'Master'!G618)</x:f>
      </x:c>
      <x:c r="G11" s="100" t="str">
        <x:f>IF('Master'!H618="","",'Master'!H618)</x:f>
      </x:c>
      <x:c r="H11" s="100" t="str">
        <x:f>IF('Master'!I618="","",'Master'!I618)</x:f>
      </x:c>
      <x:c r="I11" s="100" t="str">
        <x:f>IF('Master'!J618="","",'Master'!J618)</x:f>
      </x:c>
      <x:c r="J11" s="100" t="str">
        <x:f>IF('Master'!K618="","",'Master'!K618)</x:f>
      </x:c>
      <x:c r="K11" s="100" t="str">
        <x:f>IF('Master'!L618="","",'Master'!L618)</x:f>
        <x:v>No public security advisories located</x:v>
      </x:c>
      <x:c r="L11" s="100" t="str">
        <x:f>IF('Master'!M618="","",'Master'!M618)</x:f>
      </x:c>
      <x:c r="M11" s="100" t="str">
        <x:f>IF('Master'!N618="","",'Master'!N618)</x:f>
      </x:c>
      <x:c r="N11" s="100" t="str">
        <x:f>IF('Master'!O618="","",'Master'!O618)</x:f>
        <x:v>Yes</x:v>
      </x:c>
      <x:c r="O11" s="100" t="str">
        <x:f>IF('Master'!P618="","",'Master'!P618)</x:f>
        <x:v>Yes</x:v>
      </x:c>
      <x:c r="P11" s="100" t="str">
        <x:f>IF('Master'!Q618="","",'Master'!Q618)</x:f>
      </x:c>
      <x:c r="Q11" s="100" t="str">
        <x:f>IF('Master'!R618="","",'Master'!R618)</x:f>
        <x:v>Yes</x:v>
      </x:c>
      <x:c r="R11" s="100" t="str">
        <x:f>IF('Master'!S618="","",'Master'!S618)</x:f>
      </x:c>
      <x:c r="S11" s="100" t="str">
        <x:f>IF('Master'!T618="","",'Master'!T618)</x:f>
      </x:c>
      <x:c r="T11" s="100" t="str">
        <x:f>IF('Master'!U618="","",'Master'!U618)</x:f>
        <x:v>No public breach/CVE story; security contact is published</x:v>
      </x:c>
      <x:c r="U11" s="100" t="str">
        <x:f>IF('Master'!V618="","",'Master'!V618)</x:f>
        <x:v>No Known</x:v>
      </x:c>
      <x:c r="V11" s="100" t="str">
        <x:f>IF('Master'!W618="","",'Master'!W618)</x:f>
        <x:v>Yes</x:v>
      </x:c>
      <x:c r="W11" s="100" t="str">
        <x:f>IF('Master'!X618="","",'Master'!X618)</x:f>
      </x:c>
      <x:c r="X11" s="100" t="str">
        <x:f>IF('Master'!Y618="","",'Master'!Y618)</x:f>
      </x:c>
      <x:c r="Y11" s="100" t="str">
        <x:f>IF('Master'!Z618="","",'Master'!Z618)</x:f>
      </x:c>
      <x:c r="Z11" s="100" t="str">
        <x:f>IF('Master'!AA618="","",'Master'!AA618)</x:f>
      </x:c>
      <x:c r="AA11" s="104" t="str">
        <x:f>IF('Master'!AB618="","",'Master'!AB618)</x:f>
      </x:c>
      <x:c r="AB11" s="100" t="str">
        <x:f>IF('Master'!AC618="","",'Master'!AC618)</x:f>
      </x:c>
      <x:c r="AC11" s="100" t="str">
        <x:f>IF('Master'!AD618="","",'Master'!AD618)</x:f>
      </x:c>
      <x:c r="AD11" s="100" t="str">
        <x:f>IF('Master'!AE618="","",'Master'!AE618)</x:f>
      </x:c>
      <x:c r="AE11" s="100" t="str">
        <x:f>IF('Master'!AF618="","",'Master'!AF618)</x:f>
      </x:c>
      <x:c r="AF11" s="75" t="str">
        <x:f>IF('Master'!AG618="","",'Master'!AG618)</x:f>
      </x:c>
    </x:row>
    <x:row r="12" ht="36" customHeight="1">
      <x:c r="A12" s="135" t="str">
        <x:v>Published Support / EOL Window</x:v>
      </x:c>
      <x:c r="B12" s="100" t="str">
        <x:f>IF('Master'!C619="","",'Master'!C619)</x:f>
        <x:v>Service continuously updated / no version EOL</x:v>
      </x:c>
      <x:c r="C12" s="100" t="str">
        <x:f>IF('Master'!D619="","",'Master'!D619)</x:f>
      </x:c>
      <x:c r="D12" s="100" t="str">
        <x:f>IF('Master'!E619="","",'Master'!E619)</x:f>
      </x:c>
      <x:c r="E12" s="100" t="str">
        <x:f>IF('Master'!F619="","",'Master'!F619)</x:f>
      </x:c>
      <x:c r="F12" s="100" t="str">
        <x:f>IF('Master'!G619="","",'Master'!G619)</x:f>
      </x:c>
      <x:c r="G12" s="100" t="str">
        <x:f>IF('Master'!H619="","",'Master'!H619)</x:f>
      </x:c>
      <x:c r="H12" s="100" t="str">
        <x:f>IF('Master'!I619="","",'Master'!I619)</x:f>
      </x:c>
      <x:c r="I12" s="100" t="str">
        <x:f>IF('Master'!J619="","",'Master'!J619)</x:f>
      </x:c>
      <x:c r="J12" s="100" t="str">
        <x:f>IF('Master'!K619="","",'Master'!K619)</x:f>
      </x:c>
      <x:c r="K12" s="100" t="str">
        <x:f>IF('Master'!L619="","",'Master'!L619)</x:f>
        <x:v>No published version-support/EOL policy</x:v>
      </x:c>
      <x:c r="L12" s="100" t="str">
        <x:f>IF('Master'!M619="","",'Master'!M619)</x:f>
      </x:c>
      <x:c r="M12" s="100" t="str">
        <x:f>IF('Master'!N619="","",'Master'!N619)</x:f>
      </x:c>
      <x:c r="N12" s="100" t="str">
        <x:f>IF('Master'!O619="","",'Master'!O619)</x:f>
      </x:c>
      <x:c r="O12" s="100" t="str">
        <x:f>IF('Master'!P619="","",'Master'!P619)</x:f>
      </x:c>
      <x:c r="P12" s="100" t="str">
        <x:f>IF('Master'!Q619="","",'Master'!Q619)</x:f>
      </x:c>
      <x:c r="Q12" s="100" t="str">
        <x:f>IF('Master'!R619="","",'Master'!R619)</x:f>
      </x:c>
      <x:c r="R12" s="100" t="str">
        <x:f>IF('Master'!S619="","",'Master'!S619)</x:f>
      </x:c>
      <x:c r="S12" s="100" t="str">
        <x:f>IF('Master'!T619="","",'Master'!T619)</x:f>
      </x:c>
      <x:c r="T12" s="100" t="str">
        <x:f>IF('Master'!U619="","",'Master'!U619)</x:f>
      </x:c>
      <x:c r="U12" s="100" t="str">
        <x:f>IF('Master'!V619="","",'Master'!V619)</x:f>
      </x:c>
      <x:c r="V12" s="100" t="str">
        <x:f>IF('Master'!W619="","",'Master'!W619)</x:f>
        <x:v>Yes — version support window documented</x:v>
      </x:c>
      <x:c r="W12" s="100" t="str">
        <x:f>IF('Master'!X619="","",'Master'!X619)</x:f>
      </x:c>
      <x:c r="X12" s="100" t="str">
        <x:f>IF('Master'!Y619="","",'Master'!Y619)</x:f>
      </x:c>
      <x:c r="Y12" s="100" t="str">
        <x:f>IF('Master'!Z619="","",'Master'!Z619)</x:f>
      </x:c>
      <x:c r="Z12" s="100" t="str">
        <x:f>IF('Master'!AA619="","",'Master'!AA619)</x:f>
      </x:c>
      <x:c r="AA12" s="104" t="str">
        <x:f>IF('Master'!AB619="","",'Master'!AB619)</x:f>
      </x:c>
      <x:c r="AB12" s="100" t="str">
        <x:f>IF('Master'!AC619="","",'Master'!AC619)</x:f>
      </x:c>
      <x:c r="AC12" s="100" t="str">
        <x:f>IF('Master'!AD619="","",'Master'!AD619)</x:f>
      </x:c>
      <x:c r="AD12" s="100" t="str">
        <x:f>IF('Master'!AE619="","",'Master'!AE619)</x:f>
      </x:c>
      <x:c r="AE12" s="100" t="str">
        <x:f>IF('Master'!AF619="","",'Master'!AF619)</x:f>
      </x:c>
      <x:c r="AF12" s="75" t="str">
        <x:f>IF('Master'!AG619="","",'Master'!AG619)</x:f>
      </x:c>
    </x:row>
    <x:row r="13" ht="23.100000381469727" customHeight="1">
      <x:c r="A13" s="135" t="str">
        <x:v>Automated Dependency Update Policy</x:v>
      </x:c>
      <x:c r="B13" s="102" t="str">
        <x:f>IF('Master'!C620="","",'Master'!C620)</x:f>
      </x:c>
      <x:c r="C13" s="102" t="str">
        <x:f>IF('Master'!D620="","",'Master'!D620)</x:f>
      </x:c>
      <x:c r="D13" s="102" t="str">
        <x:f>IF('Master'!E620="","",'Master'!E620)</x:f>
      </x:c>
      <x:c r="E13" s="102" t="str">
        <x:f>IF('Master'!F620="","",'Master'!F620)</x:f>
      </x:c>
      <x:c r="F13" s="102" t="str">
        <x:f>IF('Master'!G620="","",'Master'!G620)</x:f>
      </x:c>
      <x:c r="G13" s="102" t="str">
        <x:f>IF('Master'!H620="","",'Master'!H620)</x:f>
      </x:c>
      <x:c r="H13" s="102" t="str">
        <x:f>IF('Master'!I620="","",'Master'!I620)</x:f>
      </x:c>
      <x:c r="I13" s="102" t="str">
        <x:f>IF('Master'!J620="","",'Master'!J620)</x:f>
      </x:c>
      <x:c r="J13" s="102" t="str">
        <x:f>IF('Master'!K620="","",'Master'!K620)</x:f>
      </x:c>
      <x:c r="K13" s="102" t="str">
        <x:f>IF('Master'!L620="","",'Master'!L620)</x:f>
        <x:v>Not publicly documented</x:v>
      </x:c>
      <x:c r="L13" s="102" t="str">
        <x:f>IF('Master'!M620="","",'Master'!M620)</x:f>
      </x:c>
      <x:c r="M13" s="102" t="str">
        <x:f>IF('Master'!N620="","",'Master'!N620)</x:f>
      </x:c>
      <x:c r="N13" s="102" t="str">
        <x:f>IF('Master'!O620="","",'Master'!O620)</x:f>
      </x:c>
      <x:c r="O13" s="102" t="str">
        <x:f>IF('Master'!P620="","",'Master'!P620)</x:f>
      </x:c>
      <x:c r="P13" s="102" t="str">
        <x:f>IF('Master'!Q620="","",'Master'!Q620)</x:f>
      </x:c>
      <x:c r="Q13" s="102" t="str">
        <x:f>IF('Master'!R620="","",'Master'!R620)</x:f>
      </x:c>
      <x:c r="R13" s="102" t="str">
        <x:f>IF('Master'!S620="","",'Master'!S620)</x:f>
      </x:c>
      <x:c r="S13" s="102" t="str">
        <x:f>IF('Master'!T620="","",'Master'!T620)</x:f>
      </x:c>
      <x:c r="T13" s="102" t="str">
        <x:f>IF('Master'!U620="","",'Master'!U620)</x:f>
      </x:c>
      <x:c r="U13" s="102" t="str">
        <x:f>IF('Master'!V620="","",'Master'!V620)</x:f>
      </x:c>
      <x:c r="V13" s="102" t="str">
        <x:f>IF('Master'!W620="","",'Master'!W620)</x:f>
      </x:c>
      <x:c r="W13" s="102" t="str">
        <x:f>IF('Master'!X620="","",'Master'!X620)</x:f>
      </x:c>
      <x:c r="X13" s="102" t="str">
        <x:f>IF('Master'!Y620="","",'Master'!Y620)</x:f>
      </x:c>
      <x:c r="Y13" s="102" t="str">
        <x:f>IF('Master'!Z620="","",'Master'!Z620)</x:f>
      </x:c>
      <x:c r="Z13" s="102" t="str">
        <x:f>IF('Master'!AA620="","",'Master'!AA620)</x:f>
      </x:c>
      <x:c r="AA13" s="103" t="str">
        <x:f>IF('Master'!AB620="","",'Master'!AB620)</x:f>
      </x:c>
      <x:c r="AB13" s="102" t="str">
        <x:f>IF('Master'!AC620="","",'Master'!AC620)</x:f>
      </x:c>
      <x:c r="AC13" s="102" t="str">
        <x:f>IF('Master'!AD620="","",'Master'!AD620)</x:f>
      </x:c>
      <x:c r="AD13" s="102" t="str">
        <x:f>IF('Master'!AE620="","",'Master'!AE620)</x:f>
      </x:c>
      <x:c r="AE13" s="102" t="str">
        <x:f>IF('Master'!AF620="","",'Master'!AF620)</x:f>
      </x:c>
      <x:c r="AF13" s="75" t="str">
        <x:f>IF('Master'!AG620="","",'Master'!AG620)</x:f>
      </x:c>
    </x:row>
    <x:row r="14" ht="23.100000381469727" customHeight="1">
      <x:c r="A14" s="135" t="str">
        <x:v>Release Signing / Provenance</x:v>
      </x:c>
      <x:c r="B14" s="102" t="str">
        <x:f>IF('Master'!C621="","",'Master'!C621)</x:f>
      </x:c>
      <x:c r="C14" s="102" t="str">
        <x:f>IF('Master'!D621="","",'Master'!D621)</x:f>
      </x:c>
      <x:c r="D14" s="102" t="str">
        <x:f>IF('Master'!E621="","",'Master'!E621)</x:f>
      </x:c>
      <x:c r="E14" s="102" t="str">
        <x:f>IF('Master'!F621="","",'Master'!F621)</x:f>
      </x:c>
      <x:c r="F14" s="102" t="str">
        <x:f>IF('Master'!G621="","",'Master'!G621)</x:f>
      </x:c>
      <x:c r="G14" s="102" t="str">
        <x:f>IF('Master'!H621="","",'Master'!H621)</x:f>
      </x:c>
      <x:c r="H14" s="102" t="str">
        <x:f>IF('Master'!I621="","",'Master'!I621)</x:f>
      </x:c>
      <x:c r="I14" s="102" t="str">
        <x:f>IF('Master'!J621="","",'Master'!J621)</x:f>
      </x:c>
      <x:c r="J14" s="102" t="str">
        <x:f>IF('Master'!K621="","",'Master'!K621)</x:f>
      </x:c>
      <x:c r="K14" s="102" t="str">
        <x:f>IF('Master'!L621="","",'Master'!L621)</x:f>
        <x:v>Not publicly documented</x:v>
      </x:c>
      <x:c r="L14" s="102" t="str">
        <x:f>IF('Master'!M621="","",'Master'!M621)</x:f>
      </x:c>
      <x:c r="M14" s="102" t="str">
        <x:f>IF('Master'!N621="","",'Master'!N621)</x:f>
      </x:c>
      <x:c r="N14" s="102" t="str">
        <x:f>IF('Master'!O621="","",'Master'!O621)</x:f>
      </x:c>
      <x:c r="O14" s="102" t="str">
        <x:f>IF('Master'!P621="","",'Master'!P621)</x:f>
      </x:c>
      <x:c r="P14" s="102" t="str">
        <x:f>IF('Master'!Q621="","",'Master'!Q621)</x:f>
      </x:c>
      <x:c r="Q14" s="102" t="str">
        <x:f>IF('Master'!R621="","",'Master'!R621)</x:f>
      </x:c>
      <x:c r="R14" s="102" t="str">
        <x:f>IF('Master'!S621="","",'Master'!S621)</x:f>
      </x:c>
      <x:c r="S14" s="102" t="str">
        <x:f>IF('Master'!T621="","",'Master'!T621)</x:f>
      </x:c>
      <x:c r="T14" s="102" t="str">
        <x:f>IF('Master'!U621="","",'Master'!U621)</x:f>
      </x:c>
      <x:c r="U14" s="102" t="str">
        <x:f>IF('Master'!V621="","",'Master'!V621)</x:f>
      </x:c>
      <x:c r="V14" s="102" t="str">
        <x:f>IF('Master'!W621="","",'Master'!W621)</x:f>
      </x:c>
      <x:c r="W14" s="102" t="str">
        <x:f>IF('Master'!X621="","",'Master'!X621)</x:f>
      </x:c>
      <x:c r="X14" s="102" t="str">
        <x:f>IF('Master'!Y621="","",'Master'!Y621)</x:f>
      </x:c>
      <x:c r="Y14" s="102" t="str">
        <x:f>IF('Master'!Z621="","",'Master'!Z621)</x:f>
      </x:c>
      <x:c r="Z14" s="102" t="str">
        <x:f>IF('Master'!AA621="","",'Master'!AA621)</x:f>
      </x:c>
      <x:c r="AA14" s="103" t="str">
        <x:f>IF('Master'!AB621="","",'Master'!AB621)</x:f>
      </x:c>
      <x:c r="AB14" s="102" t="str">
        <x:f>IF('Master'!AC621="","",'Master'!AC621)</x:f>
      </x:c>
      <x:c r="AC14" s="102" t="str">
        <x:f>IF('Master'!AD621="","",'Master'!AD621)</x:f>
      </x:c>
      <x:c r="AD14" s="102" t="str">
        <x:f>IF('Master'!AE621="","",'Master'!AE621)</x:f>
      </x:c>
      <x:c r="AE14" s="102" t="str">
        <x:f>IF('Master'!AF621="","",'Master'!AF621)</x:f>
      </x:c>
      <x:c r="AF14" s="75" t="str">
        <x:f>IF('Master'!AG621="","",'Master'!AG621)</x:f>
      </x:c>
    </x:row>
  </x:sheetData>
  <x:mergeCells>
    <x:mergeCell ref="A1:AF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Directory'!A1","Developer Extensibility"),"Developer Extensibility")</x:f>
        <x:v>Developer Extensibility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Bot / Gateway API Type (REST / WebSockets / Gateway)</x:v>
      </x:c>
      <x:c r="B3" s="100" t="str">
        <x:f>IF('Master'!C622="","",'Master'!C622)</x:f>
        <x:v>REST/HTTP API + Gateway WebSocket</x:v>
      </x:c>
      <x:c r="C3" s="100" t="str">
        <x:f>IF('Master'!D622="","",'Master'!D622)</x:f>
        <x:v>Nostr/Concord protocols</x:v>
      </x:c>
      <x:c r="D3" s="100" t="str">
        <x:f>IF('Master'!E622="","",'Master'!E622)</x:f>
        <x:v>Custom server/WebSocket APIs</x:v>
      </x:c>
      <x:c r="E3" s="100" t="str">
        <x:f>IF('Master'!F622="","",'Master'!F622)</x:f>
      </x:c>
      <x:c r="F3" s="100" t="str">
        <x:f>IF('Master'!G622="","",'Master'!G622)</x:f>
        <x:v>Bot API planned after public release</x:v>
      </x:c>
      <x:c r="G3" s="100" t="str">
        <x:f>IF('Master'!H622="","",'Master'!H622)</x:f>
        <x:v>REST + Gateway/WebSocket, deliberately Discord-like</x:v>
      </x:c>
      <x:c r="H3" s="100" t="str">
        <x:f>IF('Master'!I622="","",'Master'!I622)</x:f>
      </x:c>
      <x:c r="I3" s="100" t="str">
        <x:f>IF('Master'!J622="","",'Master'!J622)</x:f>
        <x:v>Discord-compatible API</x:v>
      </x:c>
      <x:c r="J3" s="100" t="str">
        <x:f>IF('Master'!K622="","",'Master'!K622)</x:f>
        <x:v>Custom protocol; no HTTP API emphasis</x:v>
      </x:c>
      <x:c r="K3" s="100" t="str">
        <x:f>IF('Master'!L622="","",'Master'!L622)</x:f>
        <x:v>Scoped REST + direct Gateway/WebSocket API; federated bot workers connect directly to target authorities</x:v>
      </x:c>
      <x:c r="L3" s="100" t="str">
        <x:f>IF('Master'!M622="","",'Master'!M622)</x:f>
      </x:c>
      <x:c r="M3" s="100" t="str">
        <x:f>IF('Master'!N622="","",'Master'!N622)</x:f>
        <x:v>Discord-compatible API</x:v>
      </x:c>
      <x:c r="N3" s="100" t="str">
        <x:f>IF('Master'!O622="","",'Master'!O622)</x:f>
        <x:v>Open Client-Server, Server-Server, Application Service APIs; WebSocket-like sync transports depending spec version</x:v>
      </x:c>
      <x:c r="O3" s="100" t="str">
        <x:f>IF('Master'!P622="","",'Master'!P622)</x:f>
        <x:v>REST + WebSocket API</x:v>
      </x:c>
      <x:c r="P3" s="100" t="str">
        <x:f>IF('Master'!Q622="","",'Master'!Q622)</x:f>
        <x:v>API-first design</x:v>
      </x:c>
      <x:c r="Q3" s="100" t="str">
        <x:f>IF('Master'!R622="","",'Master'!R622)</x:f>
        <x:v>Server RPC/API (Ice) + protocol libraries</x:v>
      </x:c>
      <x:c r="R3" s="100" t="str">
        <x:f>IF('Master'!S622="","",'Master'!S622)</x:f>
      </x:c>
      <x:c r="S3" s="100" t="str">
        <x:f>IF('Master'!T622="","",'Master'!T622)</x:f>
      </x:c>
      <x:c r="T3" s="100" t="str">
        <x:f>IF('Master'!U622="","",'Master'!U622)</x:f>
        <x:v>No public bot-token / third-party API; session-only application API by design</x:v>
      </x:c>
      <x:c r="U3" s="100" t="str">
        <x:f>IF('Master'!V622="","",'Master'!V622)</x:f>
      </x:c>
      <x:c r="V3" s="100" t="str">
        <x:f>IF('Master'!W622="","",'Master'!W622)</x:f>
        <x:v>REST + realtime/WebSocket/DDP + Apps engine</x:v>
      </x:c>
      <x:c r="W3" s="100" t="str">
        <x:f>IF('Master'!X622="","",'Master'!X622)</x:f>
        <x:v>ATProto + Roomy SDK</x:v>
      </x:c>
      <x:c r="X3" s="100" t="str">
        <x:f>IF('Master'!Y622="","",'Master'!Y622)</x:f>
        <x:v>Root Community API + hosted app/bot runtime</x:v>
      </x:c>
      <x:c r="Y3" s="100" t="str">
        <x:f>IF('Master'!Z622="","",'Master'!Z622)</x:f>
        <x:v>Discord-compatible REST + Gateway</x:v>
      </x:c>
      <x:c r="Z3" s="100" t="str">
        <x:f>IF('Master'!AA622="","",'Master'!AA622)</x:f>
        <x:v>REST + WebSocket event API</x:v>
      </x:c>
      <x:c r="AA3" s="104" t="str">
        <x:f>IF('Master'!AB622="","",'Master'!AB622)</x:f>
      </x:c>
      <x:c r="AB3" s="100" t="str">
        <x:f>IF('Master'!AC622="","",'Master'!AC622)</x:f>
        <x:v>Official API used by client</x:v>
      </x:c>
      <x:c r="AC3" s="100" t="str">
        <x:f>IF('Master'!AD622="","",'Master'!AD622)</x:f>
        <x:v>Custom API/federation</x:v>
      </x:c>
      <x:c r="AD3" s="100" t="str">
        <x:f>IF('Master'!AE622="","",'Master'!AE622)</x:f>
      </x:c>
      <x:c r="AE3" s="100" t="str">
        <x:f>IF('Master'!AF622="","",'Master'!AF622)</x:f>
      </x:c>
      <x:c r="AF3" s="75" t="str">
        <x:f>IF('Master'!AG622="","",'Master'!AG622)</x:f>
        <x:v>REST + realtime event queues</x:v>
      </x:c>
    </x:row>
    <x:row r="4" ht="36" customHeight="1">
      <x:c r="A4" s="135" t="str">
        <x:v>Inbound Webhooks</x:v>
      </x:c>
      <x:c r="B4" s="100" t="str">
        <x:f>IF('Master'!C623="","",'Master'!C623)</x:f>
        <x:v>Yes</x:v>
      </x:c>
      <x:c r="C4" s="100" t="str">
        <x:f>IF('Master'!D623="","",'Master'!D623)</x:f>
        <x:v>Nostr relays/integrations</x:v>
      </x:c>
      <x:c r="D4" s="100" t="str">
        <x:f>IF('Master'!E623="","",'Master'!E623)</x:f>
        <x:v>Plugins</x:v>
      </x:c>
      <x:c r="E4" s="100" t="str">
        <x:f>IF('Master'!F623="","",'Master'!F623)</x:f>
      </x:c>
      <x:c r="F4" s="100" t="str">
        <x:f>IF('Master'!G623="","",'Master'!G623)</x:f>
        <x:v>No current public webhook API verified</x:v>
      </x:c>
      <x:c r="G4" s="100" t="str">
        <x:f>IF('Master'!H623="","",'Master'!H623)</x:f>
      </x:c>
      <x:c r="H4" s="100" t="str">
        <x:f>IF('Master'!I623="","",'Master'!I623)</x:f>
      </x:c>
      <x:c r="I4" s="100" t="str">
        <x:f>IF('Master'!J623="","",'Master'!J623)</x:f>
        <x:v>Discord-compatible target</x:v>
      </x:c>
      <x:c r="J4" s="100" t="str">
        <x:f>IF('Master'!K623="","",'Master'!K623)</x:f>
        <x:v>No</x:v>
      </x:c>
      <x:c r="K4" s="100" t="str">
        <x:f>IF('Master'!L623="","",'Master'!L623)</x:f>
        <x:v>Yes</x:v>
      </x:c>
      <x:c r="L4" s="100" t="str">
        <x:f>IF('Master'!M623="","",'Master'!M623)</x:f>
      </x:c>
      <x:c r="M4" s="100" t="str">
        <x:f>IF('Master'!N623="","",'Master'!N623)</x:f>
        <x:v>Webhooks supported</x:v>
      </x:c>
      <x:c r="N4" s="100" t="str">
        <x:f>IF('Master'!O623="","",'Master'!O623)</x:f>
        <x:v>Application services/webhooks via integrations</x:v>
      </x:c>
      <x:c r="O4" s="100" t="str">
        <x:f>IF('Master'!P623="","",'Master'!P623)</x:f>
        <x:v>Yes</x:v>
      </x:c>
      <x:c r="P4" s="100" t="str">
        <x:f>IF('Master'!Q623="","",'Master'!Q623)</x:f>
        <x:v>Integrations</x:v>
      </x:c>
      <x:c r="Q4" s="100" t="str">
        <x:f>IF('Master'!R623="","",'Master'!R623)</x:f>
        <x:v>No Discord-style incoming webhooks</x:v>
      </x:c>
      <x:c r="R4" s="100" t="str">
        <x:f>IF('Master'!S623="","",'Master'!S623)</x:f>
      </x:c>
      <x:c r="S4" s="100" t="str">
        <x:f>IF('Master'!T623="","",'Master'!T623)</x:f>
      </x:c>
      <x:c r="T4" s="100" t="str">
        <x:f>IF('Master'!U623="","",'Master'!U623)</x:f>
        <x:v>Yes — Discord-compatible incoming webhooks</x:v>
      </x:c>
      <x:c r="U4" s="100" t="str">
        <x:f>IF('Master'!V623="","",'Master'!V623)</x:f>
        <x:v>Yes — Discord, GitHub and Slack-compatible incoming webhooks</x:v>
      </x:c>
      <x:c r="V4" s="100" t="str">
        <x:f>IF('Master'!W623="","",'Master'!W623)</x:f>
        <x:v>Yes</x:v>
      </x:c>
      <x:c r="W4" s="100" t="str">
        <x:f>IF('Master'!X623="","",'Master'!X623)</x:f>
        <x:v>Bridge/integrations</x:v>
      </x:c>
      <x:c r="X4" s="100" t="str">
        <x:f>IF('Master'!Y623="","",'Master'!Y623)</x:f>
      </x:c>
      <x:c r="Y4" s="100" t="str">
        <x:f>IF('Master'!Z623="","",'Master'!Z623)</x:f>
        <x:v>Discord-compatible webhooks target</x:v>
      </x:c>
      <x:c r="Z4" s="100" t="str">
        <x:f>IF('Master'!AA623="","",'Master'!AA623)</x:f>
      </x:c>
      <x:c r="AA4" s="104" t="str">
        <x:f>IF('Master'!AB623="","",'Master'!AB623)</x:f>
      </x:c>
      <x:c r="AB4" s="100" t="str">
        <x:f>IF('Master'!AC623="","",'Master'!AC623)</x:f>
        <x:v>Incoming webhooks</x:v>
      </x:c>
      <x:c r="AC4" s="100" t="str">
        <x:f>IF('Master'!AD623="","",'Master'!AD623)</x:f>
      </x:c>
      <x:c r="AD4" s="100" t="str">
        <x:f>IF('Master'!AE623="","",'Master'!AE623)</x:f>
      </x:c>
      <x:c r="AE4" s="100" t="str">
        <x:f>IF('Master'!AF623="","",'Master'!AF623)</x:f>
      </x:c>
      <x:c r="AF4" s="75" t="str">
        <x:f>IF('Master'!AG623="","",'Master'!AG623)</x:f>
        <x:v>Yes — incoming webhooks/integrations</x:v>
      </x:c>
    </x:row>
    <x:row r="5" ht="36" customHeight="1">
      <x:c r="A5" s="135" t="str">
        <x:v>Outbound Webhooks</x:v>
      </x:c>
      <x:c r="B5" s="100" t="str">
        <x:f>IF('Master'!C624="","",'Master'!C624)</x:f>
        <x:v>Yes — webhook events and interaction endpoints</x:v>
      </x:c>
      <x:c r="C5" s="100" t="str">
        <x:f>IF('Master'!D624="","",'Master'!D624)</x:f>
        <x:v>Nostr events</x:v>
      </x:c>
      <x:c r="D5" s="100" t="str">
        <x:f>IF('Master'!E624="","",'Master'!E624)</x:f>
        <x:v>Events/plugins</x:v>
      </x:c>
      <x:c r="E5" s="100" t="str">
        <x:f>IF('Master'!F624="","",'Master'!F624)</x:f>
      </x:c>
      <x:c r="F5" s="100" t="str">
        <x:f>IF('Master'!G624="","",'Master'!G624)</x:f>
        <x:v>No current public event webhook API verified</x:v>
      </x:c>
      <x:c r="G5" s="100" t="str">
        <x:f>IF('Master'!H624="","",'Master'!H624)</x:f>
        <x:v>Gateway events/webhooks</x:v>
      </x:c>
      <x:c r="H5" s="100" t="str">
        <x:f>IF('Master'!I624="","",'Master'!I624)</x:f>
      </x:c>
      <x:c r="I5" s="100" t="str">
        <x:f>IF('Master'!J624="","",'Master'!J624)</x:f>
        <x:v>Gateway/events</x:v>
      </x:c>
      <x:c r="J5" s="100" t="str">
        <x:f>IF('Master'!K624="","",'Master'!K624)</x:f>
        <x:v>No</x:v>
      </x:c>
      <x:c r="K5" s="100" t="str">
        <x:f>IF('Master'!L624="","",'Master'!L624)</x:f>
        <x:v>Gateway event stream is primary realtime event mechanism; no generic outbound webhook subscription system was verified</x:v>
      </x:c>
      <x:c r="L5" s="100" t="str">
        <x:f>IF('Master'!M624="","",'Master'!M624)</x:f>
      </x:c>
      <x:c r="M5" s="100" t="str">
        <x:f>IF('Master'!N624="","",'Master'!N624)</x:f>
        <x:v>Events/interactions</x:v>
      </x:c>
      <x:c r="N5" s="100" t="str">
        <x:f>IF('Master'!O624="","",'Master'!O624)</x:f>
        <x:v>Application Service transactions/events</x:v>
      </x:c>
      <x:c r="O5" s="100" t="str">
        <x:f>IF('Master'!P624="","",'Master'!P624)</x:f>
        <x:v>Yes</x:v>
      </x:c>
      <x:c r="P5" s="100" t="str">
        <x:f>IF('Master'!Q624="","",'Master'!Q624)</x:f>
        <x:v>Integrations</x:v>
      </x:c>
      <x:c r="Q5" s="100" t="str">
        <x:f>IF('Master'!R624="","",'Master'!R624)</x:f>
        <x:v>No Discord-style outbound webhooks</x:v>
      </x:c>
      <x:c r="R5" s="100" t="str">
        <x:f>IF('Master'!S624="","",'Master'!S624)</x:f>
      </x:c>
      <x:c r="S5" s="100" t="str">
        <x:f>IF('Master'!T624="","",'Master'!T624)</x:f>
      </x:c>
      <x:c r="T5" s="100" t="str">
        <x:f>IF('Master'!U624="","",'Master'!U624)</x:f>
        <x:v>Not publicly claimed</x:v>
      </x:c>
      <x:c r="U5" s="100" t="str">
        <x:f>IF('Master'!V624="","",'Master'!V624)</x:f>
      </x:c>
      <x:c r="V5" s="100" t="str">
        <x:f>IF('Master'!W624="","",'Master'!W624)</x:f>
        <x:v>Yes</x:v>
      </x:c>
      <x:c r="W5" s="100" t="str">
        <x:f>IF('Master'!X624="","",'Master'!X624)</x:f>
        <x:v>ATProto events</x:v>
      </x:c>
      <x:c r="X5" s="100" t="str">
        <x:f>IF('Master'!Y624="","",'Master'!Y624)</x:f>
        <x:v>Event subscriptions in hosted runtime</x:v>
      </x:c>
      <x:c r="Y5" s="100" t="str">
        <x:f>IF('Master'!Z624="","",'Master'!Z624)</x:f>
        <x:v>Gateway events</x:v>
      </x:c>
      <x:c r="Z5" s="100" t="str">
        <x:f>IF('Master'!AA624="","",'Master'!AA624)</x:f>
      </x:c>
      <x:c r="AA5" s="104" t="str">
        <x:f>IF('Master'!AB624="","",'Master'!AB624)</x:f>
      </x:c>
      <x:c r="AB5" s="100" t="str">
        <x:f>IF('Master'!AC624="","",'Master'!AC624)</x:f>
        <x:v>API/events</x:v>
      </x:c>
      <x:c r="AC5" s="100" t="str">
        <x:f>IF('Master'!AD624="","",'Master'!AD624)</x:f>
        <x:v>Federation events/webhooks planned</x:v>
      </x:c>
      <x:c r="AD5" s="100" t="str">
        <x:f>IF('Master'!AE624="","",'Master'!AE624)</x:f>
      </x:c>
      <x:c r="AE5" s="100" t="str">
        <x:f>IF('Master'!AF624="","",'Master'!AF624)</x:f>
      </x:c>
      <x:c r="AF5" s="75" t="str">
        <x:f>IF('Master'!AG624="","",'Master'!AG624)</x:f>
        <x:v>Yes — bots/webhooks/event queues</x:v>
      </x:c>
    </x:row>
    <x:row r="6" ht="36" customHeight="1">
      <x:c r="A6" s="135" t="str">
        <x:v>Official SDKs &amp; Libraries (JS / Python / Rust / Go)</x:v>
      </x:c>
      <x:c r="B6" s="100" t="str">
        <x:f>IF('Master'!C625="","",'Master'!C625)</x:f>
        <x:v>JS/TS: official Embedded App SDK; no official general bot SDKs for Python/Rust/Go; Social SDK targets C++/Unity/Unreal</x:v>
      </x:c>
      <x:c r="C6" s="100" t="str">
        <x:f>IF('Master'!D625="","",'Master'!D625)</x:f>
        <x:v>Nostr libraries</x:v>
      </x:c>
      <x:c r="D6" s="100" t="str">
        <x:f>IF('Master'!E625="","",'Master'!E625)</x:f>
        <x:v>Custom/open-source ecosystem</x:v>
      </x:c>
      <x:c r="E6" s="100" t="str">
        <x:f>IF('Master'!F625="","",'Master'!F625)</x:f>
      </x:c>
      <x:c r="F6" s="100" t="str">
        <x:f>IF('Master'!G625="","",'Master'!G625)</x:f>
        <x:v>No public SDKs yet</x:v>
      </x:c>
      <x:c r="G6" s="100" t="str">
        <x:f>IF('Master'!H625="","",'Master'!H625)</x:f>
      </x:c>
      <x:c r="H6" s="100" t="str">
        <x:f>IF('Master'!I625="","",'Master'!I625)</x:f>
      </x:c>
      <x:c r="I6" s="100" t="str">
        <x:f>IF('Master'!J625="","",'Master'!J625)</x:f>
        <x:v>Discord bot libraries largely reusable</x:v>
      </x:c>
      <x:c r="J6" s="100" t="str">
        <x:f>IF('Master'!K625="","",'Master'!K625)</x:f>
        <x:v>Open source</x:v>
      </x:c>
      <x:c r="K6" s="100" t="str">
        <x:f>IF('Master'!L625="","",'Master'!L625)</x:f>
        <x:v>Official Python SDK: kaede-bot</x:v>
      </x:c>
      <x:c r="L6" s="100" t="str">
        <x:f>IF('Master'!M625="","",'Master'!M625)</x:f>
      </x:c>
      <x:c r="M6" s="100" t="str">
        <x:f>IF('Master'!N625="","",'Master'!N625)</x:f>
        <x:v>discord.py/discord.js compatibility</x:v>
      </x:c>
      <x:c r="N6" s="100" t="str">
        <x:f>IF('Master'!O625="","",'Master'!O625)</x:f>
        <x:v>Many SDKs incl JS/TS, Rust, Python, Go/community</x:v>
      </x:c>
      <x:c r="O6" s="100" t="str">
        <x:f>IF('Master'!P625="","",'Master'!P625)</x:f>
        <x:v>Client/server APIs; Go/JS ecosystem</x:v>
      </x:c>
      <x:c r="P6" s="100" t="str">
        <x:f>IF('Master'!Q625="","",'Master'!Q625)</x:f>
        <x:v>SDK/integration ecosystem</x:v>
      </x:c>
      <x:c r="Q6" s="100" t="str">
        <x:f>IF('Master'!R625="","",'Master'!R625)</x:f>
        <x:v>Community libraries</x:v>
      </x:c>
      <x:c r="R6" s="100" t="str">
        <x:f>IF('Master'!S625="","",'Master'!S625)</x:f>
        <x:v>Official Nerimity.js</x:v>
      </x:c>
      <x:c r="S6" s="100" t="str">
        <x:f>IF('Master'!T625="","",'Master'!T625)</x:f>
      </x:c>
      <x:c r="T6" s="100" t="str">
        <x:f>IF('Master'!U625="","",'Master'!U625)</x:f>
        <x:v>None publicly offered for third-party bot development</x:v>
      </x:c>
      <x:c r="U6" s="100" t="str">
        <x:f>IF('Master'!V625="","",'Master'!V625)</x:f>
      </x:c>
      <x:c r="V6" s="100" t="str">
        <x:f>IF('Master'!W625="","",'Master'!W625)</x:f>
        <x:v>SDKs/APIs + Apps framework</x:v>
      </x:c>
      <x:c r="W6" s="100" t="str">
        <x:f>IF('Master'!X625="","",'Master'!X625)</x:f>
        <x:v>Roomy SDK</x:v>
      </x:c>
      <x:c r="X6" s="100" t="str">
        <x:f>IF('Master'!Y625="","",'Master'!Y625)</x:f>
        <x:v>Official TypeScript SDK / Node runtime</x:v>
      </x:c>
      <x:c r="Y6" s="100" t="str">
        <x:f>IF('Master'!Z625="","",'Master'!Z625)</x:f>
        <x:v>Discord ecosystem compatibility; Spacebar docs</x:v>
      </x:c>
      <x:c r="Z6" s="100" t="str">
        <x:f>IF('Master'!AA625="","",'Master'!AA625)</x:f>
        <x:v>Official TypeScript client SDK; community libraries</x:v>
      </x:c>
      <x:c r="AA6" s="104" t="str">
        <x:f>IF('Master'!AB625="","",'Master'!AB625)</x:f>
      </x:c>
      <x:c r="AB6" s="100" t="str">
        <x:f>IF('Master'!AC625="","",'Master'!AC625)</x:f>
        <x:v>Official .NET SDK</x:v>
      </x:c>
      <x:c r="AC6" s="100" t="str">
        <x:f>IF('Master'!AD625="","",'Master'!AD625)</x:f>
      </x:c>
      <x:c r="AD6" s="100" t="str">
        <x:f>IF('Master'!AE625="","",'Master'!AE625)</x:f>
      </x:c>
      <x:c r="AE6" s="100" t="str">
        <x:f>IF('Master'!AF625="","",'Master'!AF625)</x:f>
      </x:c>
      <x:c r="AF6" s="75" t="str">
        <x:f>IF('Master'!AG625="","",'Master'!AG625)</x:f>
        <x:v>Official/community libraries incl Python; broad API</x:v>
      </x:c>
    </x:row>
    <x:row r="7" ht="36" customHeight="1">
      <x:c r="A7" s="135" t="str">
        <x:v>Custom Slash / Interaction Commands</x:v>
      </x:c>
      <x:c r="B7" s="100" t="str">
        <x:f>IF('Master'!C626="","",'Master'!C626)</x:f>
        <x:v>Yes — slash commands, components, modals, interactions</x:v>
      </x:c>
      <x:c r="C7" s="100" t="str">
        <x:f>IF('Master'!D626="","",'Master'!D626)</x:f>
        <x:v>Protocol-driven</x:v>
      </x:c>
      <x:c r="D7" s="100" t="str">
        <x:f>IF('Master'!E626="","",'Master'!E626)</x:f>
        <x:v>Plugin system</x:v>
      </x:c>
      <x:c r="E7" s="100" t="str">
        <x:f>IF('Master'!F626="","",'Master'!F626)</x:f>
      </x:c>
      <x:c r="F7" s="100" t="str">
        <x:f>IF('Master'!G626="","",'Master'!G626)</x:f>
        <x:v>Native slash commands exist; developer interaction API planned</x:v>
      </x:c>
      <x:c r="G7" s="100" t="str">
        <x:f>IF('Master'!H626="","",'Master'!H626)</x:f>
      </x:c>
      <x:c r="H7" s="100" t="str">
        <x:f>IF('Master'!I626="","",'Master'!I626)</x:f>
      </x:c>
      <x:c r="I7" s="100" t="str">
        <x:f>IF('Master'!J626="","",'Master'!J626)</x:f>
        <x:v>Interactions target</x:v>
      </x:c>
      <x:c r="J7" s="100" t="str">
        <x:f>IF('Master'!K626="","",'Master'!K626)</x:f>
        <x:v>No bot ecosystem yet</x:v>
      </x:c>
      <x:c r="K7" s="100" t="str">
        <x:f>IF('Master'!L626="","",'Master'!L626)</x:f>
        <x:v>Yes — commands, buttons, selects, checkboxes, text inputs, modals, polls, files and forwarding are documented</x:v>
      </x:c>
      <x:c r="L7" s="100" t="str">
        <x:f>IF('Master'!M626="","",'Master'!M626)</x:f>
      </x:c>
      <x:c r="M7" s="100" t="str">
        <x:f>IF('Master'!N626="","",'Master'!N626)</x:f>
        <x:v>Slash commands/buttons/modals</x:v>
      </x:c>
      <x:c r="N7" s="100" t="str">
        <x:f>IF('Master'!O626="","",'Master'!O626)</x:f>
        <x:v>Client extensions/bots; interaction UX client-dependent</x:v>
      </x:c>
      <x:c r="O7" s="100" t="str">
        <x:f>IF('Master'!P626="","",'Master'!P626)</x:f>
        <x:v>Slash commands + interactive messages</x:v>
      </x:c>
      <x:c r="P7" s="100" t="str">
        <x:f>IF('Master'!Q626="","",'Master'!Q626)</x:f>
        <x:v>Bots</x:v>
      </x:c>
      <x:c r="Q7" s="100" t="str">
        <x:f>IF('Master'!R626="","",'Master'!R626)</x:f>
        <x:v>N/A</x:v>
      </x:c>
      <x:c r="R7" s="100" t="str">
        <x:f>IF('Master'!S626="","",'Master'!S626)</x:f>
        <x:v>Bots/API</x:v>
      </x:c>
      <x:c r="S7" s="100" t="str">
        <x:f>IF('Master'!T626="","",'Master'!T626)</x:f>
      </x:c>
      <x:c r="T7" s="100" t="str">
        <x:f>IF('Master'!U626="","",'Master'!U626)</x:f>
      </x:c>
      <x:c r="U7" s="100" t="str">
        <x:f>IF('Master'!V626="","",'Master'!V626)</x:f>
      </x:c>
      <x:c r="V7" s="100" t="str">
        <x:f>IF('Master'!W626="","",'Master'!W626)</x:f>
        <x:v>Slash commands/apps</x:v>
      </x:c>
      <x:c r="W7" s="100" t="str">
        <x:f>IF('Master'!X626="","",'Master'!X626)</x:f>
      </x:c>
      <x:c r="X7" s="100" t="str">
        <x:f>IF('Master'!Y626="","",'Master'!Y626)</x:f>
        <x:v>Bots/commands + full GUI Apps</x:v>
      </x:c>
      <x:c r="Y7" s="100" t="str">
        <x:f>IF('Master'!Z626="","",'Master'!Z626)</x:f>
        <x:v>Discord interaction compatibility target</x:v>
      </x:c>
      <x:c r="Z7" s="100" t="str">
        <x:f>IF('Master'!AA626="","",'Master'!AA626)</x:f>
      </x:c>
      <x:c r="AA7" s="104" t="str">
        <x:f>IF('Master'!AB626="","",'Master'!AB626)</x:f>
      </x:c>
      <x:c r="AB7" s="100" t="str">
        <x:f>IF('Master'!AC626="","",'Master'!AC626)</x:f>
        <x:v>Bots/OAuth apps</x:v>
      </x:c>
      <x:c r="AC7" s="100" t="str">
        <x:f>IF('Master'!AD626="","",'Master'!AD626)</x:f>
      </x:c>
      <x:c r="AD7" s="100" t="str">
        <x:f>IF('Master'!AE626="","",'Master'!AE626)</x:f>
        <x:v>Native modules rather than bot-first</x:v>
      </x:c>
      <x:c r="AE7" s="100" t="str">
        <x:f>IF('Master'!AF626="","",'Master'!AF626)</x:f>
      </x:c>
      <x:c r="AF7" s="75" t="str">
        <x:f>IF('Master'!AG626="","",'Master'!AG626)</x:f>
        <x:v>Slash-command-style integrations/bots</x:v>
      </x:c>
    </x:row>
    <x:row r="8" ht="36" customHeight="1">
      <x:c r="A8" s="135" t="str">
        <x:v>Client Plugin / Modding Architecture</x:v>
      </x:c>
      <x:c r="B8" s="100" t="str">
        <x:f>IF('Master'!C627="","",'Master'!C627)</x:f>
        <x:v>No official client plugin/modding architecture</x:v>
      </x:c>
      <x:c r="C8" s="100" t="str">
        <x:f>IF('Master'!D627="","",'Master'!D627)</x:f>
        <x:v>Independent clients possible</x:v>
      </x:c>
      <x:c r="D8" s="100" t="str">
        <x:f>IF('Master'!E627="","",'Master'!E627)</x:f>
        <x:v>Plugin system</x:v>
      </x:c>
      <x:c r="E8" s="100" t="str">
        <x:f>IF('Master'!F627="","",'Master'!F627)</x:f>
      </x:c>
      <x:c r="F8" s="100" t="str">
        <x:f>IF('Master'!G627="","",'Master'!G627)</x:f>
        <x:v>No</x:v>
      </x:c>
      <x:c r="G8" s="100" t="str">
        <x:f>IF('Master'!H627="","",'Master'!H627)</x:f>
        <x:v>No official client-plugin architecture verified</x:v>
      </x:c>
      <x:c r="H8" s="100" t="str">
        <x:f>IF('Master'!I627="","",'Master'!I627)</x:f>
        <x:v>No client plugins verified</x:v>
      </x:c>
      <x:c r="I8" s="100" t="str">
        <x:f>IF('Master'!J627="","",'Master'!J627)</x:f>
        <x:v>Independent clients encouraged</x:v>
      </x:c>
      <x:c r="J8" s="100" t="str">
        <x:f>IF('Master'!K627="","",'Master'!K627)</x:f>
        <x:v>No plugin ecosystem</x:v>
      </x:c>
      <x:c r="K8" s="100" t="str">
        <x:f>IF('Master'!L627="","",'Master'!L627)</x:f>
        <x:v>No general client plugin architecture documented; custom CSS/theme support is developer-reported</x:v>
      </x:c>
      <x:c r="L8" s="100" t="str">
        <x:f>IF('Master'!M627="","",'Master'!M627)</x:f>
      </x:c>
      <x:c r="M8" s="100" t="str">
        <x:f>IF('Master'!N627="","",'Master'!N627)</x:f>
        <x:v>No client plugins verified</x:v>
      </x:c>
      <x:c r="N8" s="100" t="str">
        <x:f>IF('Master'!O627="","",'Master'!O627)</x:f>
        <x:v>Multiple independent clients rather than plugins to one official client</x:v>
      </x:c>
      <x:c r="O8" s="100" t="str">
        <x:f>IF('Master'!P627="","",'Master'!P627)</x:f>
        <x:v>Plugin architecture (server/webapp)</x:v>
      </x:c>
      <x:c r="P8" s="100" t="str">
        <x:f>IF('Master'!Q627="","",'Master'!Q627)</x:f>
      </x:c>
      <x:c r="Q8" s="100" t="str">
        <x:f>IF('Master'!R627="","",'Master'!R627)</x:f>
        <x:v>Plugins supported</x:v>
      </x:c>
      <x:c r="R8" s="100" t="str">
        <x:f>IF('Master'!S627="","",'Master'!S627)</x:f>
        <x:v>Themes/RPC</x:v>
      </x:c>
      <x:c r="S8" s="100" t="str">
        <x:f>IF('Master'!T627="","",'Master'!T627)</x:f>
      </x:c>
      <x:c r="T8" s="100" t="str">
        <x:f>IF('Master'!U627="","",'Master'!U627)</x:f>
        <x:v>No official plugin architecture claimed</x:v>
      </x:c>
      <x:c r="U8" s="100" t="str">
        <x:f>IF('Master'!V627="","",'Master'!V627)</x:f>
      </x:c>
      <x:c r="V8" s="100" t="str">
        <x:f>IF('Master'!W627="","",'Master'!W627)</x:f>
        <x:v>Apps/plugin framework</x:v>
      </x:c>
      <x:c r="W8" s="100" t="str">
        <x:f>IF('Master'!X627="","",'Master'!X627)</x:f>
        <x:v>Open protocol client ecosystem</x:v>
      </x:c>
      <x:c r="X8" s="100" t="str">
        <x:f>IF('Master'!Y627="","",'Master'!Y627)</x:f>
        <x:v>No client modding</x:v>
      </x:c>
      <x:c r="Y8" s="100" t="str">
        <x:f>IF('Master'!Z627="","",'Master'!Z627)</x:f>
        <x:v>Spacebar-aware client theming/plugin goals</x:v>
      </x:c>
      <x:c r="Z8" s="100" t="str">
        <x:f>IF('Master'!AA627="","",'Master'!AA627)</x:f>
        <x:v>Community clients/themes; no stable official plugin architecture verified</x:v>
      </x:c>
      <x:c r="AA8" s="104" t="str">
        <x:f>IF('Master'!AB627="","",'Master'!AB627)</x:f>
        <x:v>Plugins/addons ecosystem</x:v>
      </x:c>
      <x:c r="AB8" s="100" t="str">
        <x:f>IF('Master'!AC627="","",'Master'!AC627)</x:f>
        <x:v>Themes rather than client mods</x:v>
      </x:c>
      <x:c r="AC8" s="100" t="str">
        <x:f>IF('Master'!AD627="","",'Master'!AD627)</x:f>
        <x:v>No</x:v>
      </x:c>
      <x:c r="AD8" s="100" t="str">
        <x:f>IF('Master'!AE627="","",'Master'!AE627)</x:f>
        <x:v>No</x:v>
      </x:c>
      <x:c r="AE8" s="100" t="str">
        <x:f>IF('Master'!AF627="","",'Master'!AF627)</x:f>
      </x:c>
      <x:c r="AF8" s="75" t="str">
        <x:f>IF('Master'!AG627="","",'Master'!AG627)</x:f>
        <x:v>No client plugin architecture</x:v>
      </x:c>
    </x:row>
    <x:row r="9" ht="36" customHeight="1">
      <x:c r="A9" s="135" t="str">
        <x:v>API Rate Limits &amp; Developer Portal</x:v>
      </x:c>
      <x:c r="B9" s="100" t="str">
        <x:f>IF('Master'!C628="","",'Master'!C628)</x:f>
        <x:v>Yes — Developer Portal + per-route/global REST limits; Gateway 120 events/60s/connection</x:v>
      </x:c>
      <x:c r="C9" s="100" t="str">
        <x:f>IF('Master'!D628="","",'Master'!D628)</x:f>
        <x:v>Open source</x:v>
      </x:c>
      <x:c r="D9" s="100" t="str">
        <x:f>IF('Master'!E628="","",'Master'!E628)</x:f>
        <x:v>Operator configured</x:v>
      </x:c>
      <x:c r="E9" s="100" t="str">
        <x:f>IF('Master'!F628="","",'Master'!F628)</x:f>
      </x:c>
      <x:c r="F9" s="100" t="str">
        <x:f>IF('Master'!G628="","",'Master'!G628)</x:f>
        <x:v>No public developer portal/API limits yet</x:v>
      </x:c>
      <x:c r="G9" s="100" t="str">
        <x:f>IF('Master'!H628="","",'Master'!H628)</x:f>
      </x:c>
      <x:c r="H9" s="100" t="str">
        <x:f>IF('Master'!I628="","",'Master'!I628)</x:f>
      </x:c>
      <x:c r="I9" s="100" t="str">
        <x:f>IF('Master'!J628="","",'Master'!J628)</x:f>
        <x:v>Public source/API</x:v>
      </x:c>
      <x:c r="J9" s="100" t="str">
        <x:f>IF('Master'!K628="","",'Master'!K628)</x:f>
        <x:v>Source/whitepaper</x:v>
      </x:c>
      <x:c r="K9" s="100" t="str">
        <x:f>IF('Master'!L628="","",'Master'!L628)</x:f>
        <x:v>Rate limiting is implemented and Retry-After is handled; exact per-endpoint quotas are not exhaustively summarized in the reviewed docs</x:v>
      </x:c>
      <x:c r="L9" s="100" t="str">
        <x:f>IF('Master'!M628="","",'Master'!M628)</x:f>
      </x:c>
      <x:c r="M9" s="100" t="str">
        <x:f>IF('Master'!N628="","",'Master'!N628)</x:f>
      </x:c>
      <x:c r="N9" s="100" t="str">
        <x:f>IF('Master'!O628="","",'Master'!O628)</x:f>
        <x:v>Public spec/API; rate limits homeserver-dependent</x:v>
      </x:c>
      <x:c r="O9" s="100" t="str">
        <x:f>IF('Master'!P628="","",'Master'!P628)</x:f>
        <x:v>Documented APIs/rate limits</x:v>
      </x:c>
      <x:c r="P9" s="100" t="str">
        <x:f>IF('Master'!Q628="","",'Master'!Q628)</x:f>
        <x:v>Public API/docs</x:v>
      </x:c>
      <x:c r="Q9" s="100" t="str">
        <x:f>IF('Master'!R628="","",'Master'!R628)</x:f>
        <x:v>Public protocol/docs; limits server-controlled</x:v>
      </x:c>
      <x:c r="R9" s="100" t="str">
        <x:f>IF('Master'!S628="","",'Master'!S628)</x:f>
        <x:v>Public API docs</x:v>
      </x:c>
      <x:c r="S9" s="100" t="str">
        <x:f>IF('Master'!T628="","",'Master'!T628)</x:f>
      </x:c>
      <x:c r="T9" s="100" t="str">
        <x:f>IF('Master'!U628="","",'Master'!U628)</x:f>
        <x:v>No public third-party API/developer portal</x:v>
      </x:c>
      <x:c r="U9" s="100" t="str">
        <x:f>IF('Master'!V628="","",'Master'!V628)</x:f>
      </x:c>
      <x:c r="V9" s="100" t="str">
        <x:f>IF('Master'!W628="","",'Master'!W628)</x:f>
        <x:v>Public API docs/rate limits</x:v>
      </x:c>
      <x:c r="W9" s="100" t="str">
        <x:f>IF('Master'!X628="","",'Master'!X628)</x:f>
        <x:v>Public code</x:v>
      </x:c>
      <x:c r="X9" s="100" t="str">
        <x:f>IF('Master'!Y628="","",'Master'!Y628)</x:f>
      </x:c>
      <x:c r="Y9" s="100" t="str">
        <x:f>IF('Master'!Z628="","",'Master'!Z628)</x:f>
        <x:v>Documented API; operator-configurable</x:v>
      </x:c>
      <x:c r="Z9" s="100" t="str">
        <x:f>IF('Master'!AA628="","",'Master'!AA628)</x:f>
      </x:c>
      <x:c r="AA9" s="104" t="str">
        <x:f>IF('Master'!AB628="","",'Master'!AB628)</x:f>
      </x:c>
      <x:c r="AB9" s="100" t="str">
        <x:f>IF('Master'!AC628="","",'Master'!AC628)</x:f>
        <x:v>Public API</x:v>
      </x:c>
      <x:c r="AC9" s="100" t="str">
        <x:f>IF('Master'!AD628="","",'Master'!AD628)</x:f>
      </x:c>
      <x:c r="AD9" s="100" t="str">
        <x:f>IF('Master'!AE628="","",'Master'!AE628)</x:f>
      </x:c>
      <x:c r="AE9" s="100" t="str">
        <x:f>IF('Master'!AF628="","",'Master'!AF628)</x:f>
      </x:c>
      <x:c r="AF9" s="75" t="str">
        <x:f>IF('Master'!AG628="","",'Master'!AG628)</x:f>
        <x:v>Public API docs/rate behavior</x:v>
      </x:c>
    </x:row>
    <x:row r="10" ht="22" customHeight="1">
      <x:c r="A10" s="138" t="str">
        <x:v>Apps &amp; Distribution</x:v>
      </x:c>
      <x:c r="B10" s="138" t="str">
        <x:f>IF(""="","","")</x:f>
      </x:c>
      <x:c r="C10" s="138" t="str">
        <x:f>IF(""="","","")</x:f>
      </x:c>
      <x:c r="D10" s="138" t="str">
        <x:f>IF(""="","","")</x:f>
      </x:c>
      <x:c r="E10" s="138" t="str">
        <x:f>IF(""="","","")</x:f>
      </x:c>
      <x:c r="F10" s="138" t="str">
        <x:f>IF(""="","","")</x:f>
      </x:c>
      <x:c r="G10" s="138" t="str">
        <x:f>IF(""="","","")</x:f>
      </x:c>
      <x:c r="H10" s="138" t="str">
        <x:f>IF(""="","","")</x:f>
      </x:c>
      <x:c r="I10" s="138" t="str">
        <x:f>IF(""="","","")</x:f>
      </x:c>
      <x:c r="J10" s="138" t="str">
        <x:f>IF(""="","","")</x:f>
      </x:c>
      <x:c r="K10" s="138" t="str">
        <x:f>IF(""="","","")</x:f>
      </x:c>
      <x:c r="L10" s="138" t="str">
        <x:f>IF(""="","","")</x:f>
      </x:c>
      <x:c r="M10" s="138" t="str">
        <x:f>IF(""="","","")</x:f>
      </x:c>
      <x:c r="N10" s="138" t="str">
        <x:f>IF(""="","","")</x:f>
      </x:c>
      <x:c r="O10" s="138" t="str">
        <x:f>IF(""="","","")</x:f>
      </x:c>
      <x:c r="P10" s="138" t="str">
        <x:f>IF(""="","","")</x:f>
      </x:c>
      <x:c r="Q10" s="138" t="str">
        <x:f>IF(""="","","")</x:f>
      </x:c>
      <x:c r="R10" s="138" t="str">
        <x:f>IF(""="","","")</x:f>
      </x:c>
      <x:c r="S10" s="138" t="str">
        <x:f>IF(""="","","")</x:f>
      </x:c>
      <x:c r="T10" s="138" t="str">
        <x:f>IF(""="","","")</x:f>
      </x:c>
      <x:c r="U10" s="138" t="str">
        <x:f>IF(""="","","")</x:f>
      </x:c>
      <x:c r="V10" s="138" t="str">
        <x:f>IF(""="","","")</x:f>
      </x:c>
      <x:c r="W10" s="138" t="str">
        <x:f>IF(""="","","")</x:f>
      </x:c>
      <x:c r="X10" s="138" t="str">
        <x:f>IF(""="","","")</x:f>
      </x:c>
      <x:c r="Y10" s="138" t="str">
        <x:f>IF(""="","","")</x:f>
      </x:c>
      <x:c r="Z10" s="138" t="str">
        <x:f>IF(""="","","")</x:f>
      </x:c>
      <x:c r="AA10" s="138" t="str">
        <x:f>IF(""="","","")</x:f>
      </x:c>
      <x:c r="AB10" s="138" t="str">
        <x:f>IF(""="","","")</x:f>
      </x:c>
      <x:c r="AC10" s="138" t="str">
        <x:f>IF(""="","","")</x:f>
      </x:c>
      <x:c r="AD10" s="138" t="str">
        <x:f>IF(""="","","")</x:f>
      </x:c>
      <x:c r="AE10" s="138" t="str">
        <x:f>IF(""="","","")</x:f>
      </x:c>
      <x:c r="AF10" s="139" t="str">
        <x:f>IF(""="","","")</x:f>
      </x:c>
    </x:row>
    <x:row r="11" ht="36" customHeight="1">
      <x:c r="A11" s="135" t="str">
        <x:v>Bot Accounts?</x:v>
      </x:c>
      <x:c r="B11" s="100" t="str">
        <x:f>IF('Master'!C637="","",'Master'!C637)</x:f>
        <x:v>Yes</x:v>
      </x:c>
      <x:c r="C11" s="100" t="str">
        <x:f>IF('Master'!D637="","",'Master'!D637)</x:f>
      </x:c>
      <x:c r="D11" s="100" t="str">
        <x:f>IF('Master'!E637="","",'Master'!E637)</x:f>
      </x:c>
      <x:c r="E11" s="100" t="str">
        <x:f>IF('Master'!F637="","",'Master'!F637)</x:f>
      </x:c>
      <x:c r="F11" s="100" t="str">
        <x:f>IF('Master'!G637="","",'Master'!G637)</x:f>
        <x:v>Yes</x:v>
      </x:c>
      <x:c r="G11" s="100" t="str">
        <x:f>IF('Master'!H637="","",'Master'!H637)</x:f>
        <x:v>Yes</x:v>
      </x:c>
      <x:c r="H11" s="100" t="str">
        <x:f>IF('Master'!I637="","",'Master'!I637)</x:f>
      </x:c>
      <x:c r="I11" s="100" t="str">
        <x:f>IF('Master'!J637="","",'Master'!J637)</x:f>
        <x:v>Yes</x:v>
      </x:c>
      <x:c r="J11" s="100" t="str">
        <x:f>IF('Master'!K637="","",'Master'!K637)</x:f>
        <x:v>Yes</x:v>
      </x:c>
      <x:c r="K11" s="100" t="str">
        <x:f>IF('Master'!L637="","",'Master'!L637)</x:f>
        <x:v>Yes — bot applications are federated accounts with scoped installs</x:v>
      </x:c>
      <x:c r="L11" s="100" t="str">
        <x:f>IF('Master'!M637="","",'Master'!M637)</x:f>
      </x:c>
      <x:c r="M11" s="100" t="str">
        <x:f>IF('Master'!N637="","",'Master'!N637)</x:f>
        <x:v>Yes</x:v>
      </x:c>
      <x:c r="N11" s="100" t="str">
        <x:f>IF('Master'!O637="","",'Master'!O637)</x:f>
        <x:v>Yes</x:v>
      </x:c>
      <x:c r="O11" s="100" t="str">
        <x:f>IF('Master'!P637="","",'Master'!P637)</x:f>
        <x:v>Yes</x:v>
      </x:c>
      <x:c r="P11" s="100" t="str">
        <x:f>IF('Master'!Q637="","",'Master'!Q637)</x:f>
        <x:v>Yes</x:v>
      </x:c>
      <x:c r="Q11" s="100" t="str">
        <x:f>IF('Master'!R637="","",'Master'!R637)</x:f>
      </x:c>
      <x:c r="R11" s="100" t="str">
        <x:f>IF('Master'!S637="","",'Master'!S637)</x:f>
        <x:v>Yes</x:v>
      </x:c>
      <x:c r="S11" s="100" t="str">
        <x:f>IF('Master'!T637="","",'Master'!T637)</x:f>
      </x:c>
      <x:c r="T11" s="100" t="str">
        <x:f>IF('Master'!U637="","",'Master'!U637)</x:f>
        <x:v>No public bot API yet</x:v>
      </x:c>
      <x:c r="U11" s="100" t="str">
        <x:f>IF('Master'!V637="","",'Master'!V637)</x:f>
        <x:v>No</x:v>
      </x:c>
      <x:c r="V11" s="100" t="str">
        <x:f>IF('Master'!W637="","",'Master'!W637)</x:f>
        <x:v>Yes</x:v>
      </x:c>
      <x:c r="W11" s="100" t="str">
        <x:f>IF('Master'!X637="","",'Master'!X637)</x:f>
      </x:c>
      <x:c r="X11" s="100" t="str">
        <x:f>IF('Master'!Y637="","",'Master'!Y637)</x:f>
        <x:v>Yes</x:v>
      </x:c>
      <x:c r="Y11" s="100" t="str">
        <x:f>IF('Master'!Z637="","",'Master'!Z637)</x:f>
        <x:v>Yes</x:v>
      </x:c>
      <x:c r="Z11" s="100" t="str">
        <x:f>IF('Master'!AA637="","",'Master'!AA637)</x:f>
        <x:v>Yes</x:v>
      </x:c>
      <x:c r="AA11" s="104" t="str">
        <x:f>IF('Master'!AB637="","",'Master'!AB637)</x:f>
      </x:c>
      <x:c r="AB11" s="100" t="str">
        <x:f>IF('Master'!AC637="","",'Master'!AC637)</x:f>
        <x:v>Yes</x:v>
      </x:c>
      <x:c r="AC11" s="100" t="str">
        <x:f>IF('Master'!AD637="","",'Master'!AD637)</x:f>
      </x:c>
      <x:c r="AD11" s="100" t="str">
        <x:f>IF('Master'!AE637="","",'Master'!AE637)</x:f>
        <x:v>Yes</x:v>
      </x:c>
      <x:c r="AE11" s="100" t="str">
        <x:f>IF('Master'!AF637="","",'Master'!AF637)</x:f>
      </x:c>
      <x:c r="AF11" s="75" t="str">
        <x:f>IF('Master'!AG637="","",'Master'!AG637)</x:f>
        <x:v>Yes</x:v>
      </x:c>
    </x:row>
    <x:row r="12" ht="36" customHeight="1">
      <x:c r="A12" s="135" t="str">
        <x:v>OAuth2?</x:v>
      </x:c>
      <x:c r="B12" s="100" t="str">
        <x:f>IF('Master'!C649="","",'Master'!C649)</x:f>
        <x:v>Yes</x:v>
      </x:c>
      <x:c r="C12" s="100" t="str">
        <x:f>IF('Master'!D649="","",'Master'!D649)</x:f>
      </x:c>
      <x:c r="D12" s="100" t="str">
        <x:f>IF('Master'!E649="","",'Master'!E649)</x:f>
      </x:c>
      <x:c r="E12" s="100" t="str">
        <x:f>IF('Master'!F649="","",'Master'!F649)</x:f>
      </x:c>
      <x:c r="F12" s="100" t="str">
        <x:f>IF('Master'!G649="","",'Master'!G649)</x:f>
      </x:c>
      <x:c r="G12" s="100" t="str">
        <x:f>IF('Master'!H649="","",'Master'!H649)</x:f>
      </x:c>
      <x:c r="H12" s="100" t="str">
        <x:f>IF('Master'!I649="","",'Master'!I649)</x:f>
      </x:c>
      <x:c r="I12" s="100" t="str">
        <x:f>IF('Master'!J649="","",'Master'!J649)</x:f>
      </x:c>
      <x:c r="J12" s="100" t="str">
        <x:f>IF('Master'!K649="","",'Master'!K649)</x:f>
      </x:c>
      <x:c r="K12" s="100" t="str">
        <x:f>IF('Master'!L649="","",'Master'!L649)</x:f>
        <x:v>No OAuth2 login flow documented; apps use Kaede-specific install templates/scoped credentials</x:v>
      </x:c>
      <x:c r="L12" s="100" t="str">
        <x:f>IF('Master'!M649="","",'Master'!M649)</x:f>
      </x:c>
      <x:c r="M12" s="100" t="str">
        <x:f>IF('Master'!N649="","",'Master'!N649)</x:f>
      </x:c>
      <x:c r="N12" s="100" t="str">
        <x:f>IF('Master'!O649="","",'Master'!O649)</x:f>
      </x:c>
      <x:c r="O12" s="100" t="str">
        <x:f>IF('Master'!P649="","",'Master'!P649)</x:f>
        <x:v>Yes</x:v>
      </x:c>
      <x:c r="P12" s="100" t="str">
        <x:f>IF('Master'!Q649="","",'Master'!Q649)</x:f>
      </x:c>
      <x:c r="Q12" s="100" t="str">
        <x:f>IF('Master'!R649="","",'Master'!R649)</x:f>
      </x:c>
      <x:c r="R12" s="100" t="str">
        <x:f>IF('Master'!S649="","",'Master'!S649)</x:f>
      </x:c>
      <x:c r="S12" s="100" t="str">
        <x:f>IF('Master'!T649="","",'Master'!T649)</x:f>
      </x:c>
      <x:c r="T12" s="100" t="str">
        <x:f>IF('Master'!U649="","",'Master'!U649)</x:f>
      </x:c>
      <x:c r="U12" s="100" t="str">
        <x:f>IF('Master'!V649="","",'Master'!V649)</x:f>
      </x:c>
      <x:c r="V12" s="100" t="str">
        <x:f>IF('Master'!W649="","",'Master'!W649)</x:f>
        <x:v>Yes</x:v>
      </x:c>
      <x:c r="W12" s="100" t="str">
        <x:f>IF('Master'!X649="","",'Master'!X649)</x:f>
      </x:c>
      <x:c r="X12" s="100" t="str">
        <x:f>IF('Master'!Y649="","",'Master'!Y649)</x:f>
      </x:c>
      <x:c r="Y12" s="100" t="str">
        <x:f>IF('Master'!Z649="","",'Master'!Z649)</x:f>
      </x:c>
      <x:c r="Z12" s="100" t="str">
        <x:f>IF('Master'!AA649="","",'Master'!AA649)</x:f>
      </x:c>
      <x:c r="AA12" s="104" t="str">
        <x:f>IF('Master'!AB649="","",'Master'!AB649)</x:f>
      </x:c>
      <x:c r="AB12" s="100" t="str">
        <x:f>IF('Master'!AC649="","",'Master'!AC649)</x:f>
        <x:v>Yes</x:v>
      </x:c>
      <x:c r="AC12" s="100" t="str">
        <x:f>IF('Master'!AD649="","",'Master'!AD649)</x:f>
      </x:c>
      <x:c r="AD12" s="100" t="str">
        <x:f>IF('Master'!AE649="","",'Master'!AE649)</x:f>
      </x:c>
      <x:c r="AE12" s="100" t="str">
        <x:f>IF('Master'!AF649="","",'Master'!AF649)</x:f>
      </x:c>
      <x:c r="AF12" s="75" t="str">
        <x:f>IF('Master'!AG649="","",'Master'!AG649)</x:f>
      </x:c>
    </x:row>
    <x:row r="13" ht="36" customHeight="1">
      <x:c r="A13" s="135" t="str">
        <x:v>Developer Portal?</x:v>
      </x:c>
      <x:c r="B13" s="100" t="str">
        <x:f>IF('Master'!C650="","",'Master'!C650)</x:f>
        <x:v>Yes — Developer Portal + per-route/global REST limits; Gateway 120 events/60s/connection</x:v>
      </x:c>
      <x:c r="C13" s="100" t="str">
        <x:f>IF('Master'!D650="","",'Master'!D650)</x:f>
        <x:v>Open source</x:v>
      </x:c>
      <x:c r="D13" s="100" t="str">
        <x:f>IF('Master'!E650="","",'Master'!E650)</x:f>
        <x:v>Operator configured</x:v>
      </x:c>
      <x:c r="E13" s="100" t="str">
        <x:f>IF('Master'!F650="","",'Master'!F650)</x:f>
      </x:c>
      <x:c r="F13" s="100" t="str">
        <x:f>IF('Master'!G650="","",'Master'!G650)</x:f>
        <x:v>No public developer portal/API limits yet</x:v>
      </x:c>
      <x:c r="G13" s="100" t="str">
        <x:f>IF('Master'!H650="","",'Master'!H650)</x:f>
      </x:c>
      <x:c r="H13" s="100" t="str">
        <x:f>IF('Master'!I650="","",'Master'!I650)</x:f>
      </x:c>
      <x:c r="I13" s="100" t="str">
        <x:f>IF('Master'!J650="","",'Master'!J650)</x:f>
        <x:v>Public source/API</x:v>
      </x:c>
      <x:c r="J13" s="100" t="str">
        <x:f>IF('Master'!K650="","",'Master'!K650)</x:f>
        <x:v>Source/whitepaper</x:v>
      </x:c>
      <x:c r="K13" s="100" t="str">
        <x:f>IF('Master'!L650="","",'Master'!L650)</x:f>
        <x:v>Yes</x:v>
      </x:c>
      <x:c r="L13" s="100" t="str">
        <x:f>IF('Master'!M650="","",'Master'!M650)</x:f>
      </x:c>
      <x:c r="M13" s="100" t="str">
        <x:f>IF('Master'!N650="","",'Master'!N650)</x:f>
      </x:c>
      <x:c r="N13" s="100" t="str">
        <x:f>IF('Master'!O650="","",'Master'!O650)</x:f>
        <x:v>Public spec/API; rate limits homeserver-dependent</x:v>
      </x:c>
      <x:c r="O13" s="100" t="str">
        <x:f>IF('Master'!P650="","",'Master'!P650)</x:f>
        <x:v>Documented APIs/rate limits</x:v>
      </x:c>
      <x:c r="P13" s="100" t="str">
        <x:f>IF('Master'!Q650="","",'Master'!Q650)</x:f>
        <x:v>Public API/docs</x:v>
      </x:c>
      <x:c r="Q13" s="100" t="str">
        <x:f>IF('Master'!R650="","",'Master'!R650)</x:f>
        <x:v>Public protocol/docs; limits server-controlled</x:v>
      </x:c>
      <x:c r="R13" s="100" t="str">
        <x:f>IF('Master'!S650="","",'Master'!S650)</x:f>
        <x:v>Public API docs</x:v>
      </x:c>
      <x:c r="S13" s="100" t="str">
        <x:f>IF('Master'!T650="","",'Master'!T650)</x:f>
      </x:c>
      <x:c r="T13" s="100" t="str">
        <x:f>IF('Master'!U650="","",'Master'!U650)</x:f>
        <x:v>No public developer portal</x:v>
      </x:c>
      <x:c r="U13" s="100" t="str">
        <x:f>IF('Master'!V650="","",'Master'!V650)</x:f>
        <x:v>No</x:v>
      </x:c>
      <x:c r="V13" s="100" t="str">
        <x:f>IF('Master'!W650="","",'Master'!W650)</x:f>
        <x:v>Public API docs/rate limits</x:v>
      </x:c>
      <x:c r="W13" s="100" t="str">
        <x:f>IF('Master'!X650="","",'Master'!X650)</x:f>
        <x:v>Public code</x:v>
      </x:c>
      <x:c r="X13" s="100" t="str">
        <x:f>IF('Master'!Y650="","",'Master'!Y650)</x:f>
      </x:c>
      <x:c r="Y13" s="100" t="str">
        <x:f>IF('Master'!Z650="","",'Master'!Z650)</x:f>
        <x:v>Documented API; operator-configurable</x:v>
      </x:c>
      <x:c r="Z13" s="100" t="str">
        <x:f>IF('Master'!AA650="","",'Master'!AA650)</x:f>
      </x:c>
      <x:c r="AA13" s="104" t="str">
        <x:f>IF('Master'!AB650="","",'Master'!AB650)</x:f>
      </x:c>
      <x:c r="AB13" s="100" t="str">
        <x:f>IF('Master'!AC650="","",'Master'!AC650)</x:f>
        <x:v>Public API</x:v>
      </x:c>
      <x:c r="AC13" s="100" t="str">
        <x:f>IF('Master'!AD650="","",'Master'!AD650)</x:f>
      </x:c>
      <x:c r="AD13" s="100" t="str">
        <x:f>IF('Master'!AE650="","",'Master'!AE650)</x:f>
      </x:c>
      <x:c r="AE13" s="100" t="str">
        <x:f>IF('Master'!AF650="","",'Master'!AF650)</x:f>
      </x:c>
      <x:c r="AF13" s="75" t="str">
        <x:f>IF('Master'!AG650="","",'Master'!AG650)</x:f>
        <x:v>Public API docs/rate behavior</x:v>
      </x:c>
    </x:row>
    <x:row r="14" ht="36" customHeight="1">
      <x:c r="A14" s="135" t="str">
        <x:v>Embedded Apps?</x:v>
      </x:c>
      <x:c r="B14" s="100" t="str">
        <x:f>IF('Master'!C646="","",'Master'!C646)</x:f>
        <x:v>Yes</x:v>
      </x:c>
      <x:c r="C14" s="100" t="str">
        <x:f>IF('Master'!D646="","",'Master'!D646)</x:f>
      </x:c>
      <x:c r="D14" s="100" t="str">
        <x:f>IF('Master'!E646="","",'Master'!E646)</x:f>
      </x:c>
      <x:c r="E14" s="100" t="str">
        <x:f>IF('Master'!F646="","",'Master'!F646)</x:f>
      </x:c>
      <x:c r="F14" s="100" t="str">
        <x:f>IF('Master'!G646="","",'Master'!G646)</x:f>
      </x:c>
      <x:c r="G14" s="100" t="str">
        <x:f>IF('Master'!H646="","",'Master'!H646)</x:f>
      </x:c>
      <x:c r="H14" s="100" t="str">
        <x:f>IF('Master'!I646="","",'Master'!I646)</x:f>
      </x:c>
      <x:c r="I14" s="100" t="str">
        <x:f>IF('Master'!J646="","",'Master'!J646)</x:f>
      </x:c>
      <x:c r="J14" s="100" t="str">
        <x:f>IF('Master'!K646="","",'Master'!K646)</x:f>
      </x:c>
      <x:c r="K14" s="100" t="str">
        <x:f>IF('Master'!L646="","",'Master'!L646)</x:f>
        <x:v>No embedded iframe/web-app runtime</x:v>
      </x:c>
      <x:c r="L14" s="100" t="str">
        <x:f>IF('Master'!M646="","",'Master'!M646)</x:f>
      </x:c>
      <x:c r="M14" s="100" t="str">
        <x:f>IF('Master'!N646="","",'Master'!N646)</x:f>
      </x:c>
      <x:c r="N14" s="100" t="str">
        <x:f>IF('Master'!O646="","",'Master'!O646)</x:f>
      </x:c>
      <x:c r="O14" s="100" t="str">
        <x:f>IF('Master'!P646="","",'Master'!P646)</x:f>
        <x:v>Yes</x:v>
      </x:c>
      <x:c r="P14" s="100" t="str">
        <x:f>IF('Master'!Q646="","",'Master'!Q646)</x:f>
        <x:v>Yes</x:v>
      </x:c>
      <x:c r="Q14" s="100" t="str">
        <x:f>IF('Master'!R646="","",'Master'!R646)</x:f>
      </x:c>
      <x:c r="R14" s="100" t="str">
        <x:f>IF('Master'!S646="","",'Master'!S646)</x:f>
      </x:c>
      <x:c r="S14" s="100" t="str">
        <x:f>IF('Master'!T646="","",'Master'!T646)</x:f>
      </x:c>
      <x:c r="T14" s="100" t="str">
        <x:f>IF('Master'!U646="","",'Master'!U646)</x:f>
      </x:c>
      <x:c r="U14" s="100" t="str">
        <x:f>IF('Master'!V646="","",'Master'!V646)</x:f>
        <x:v>Yes — Portals / embedded workspaces</x:v>
      </x:c>
      <x:c r="V14" s="100" t="str">
        <x:f>IF('Master'!W646="","",'Master'!W646)</x:f>
        <x:v>Yes</x:v>
      </x:c>
      <x:c r="W14" s="100" t="str">
        <x:f>IF('Master'!X646="","",'Master'!X646)</x:f>
      </x:c>
      <x:c r="X14" s="100" t="str">
        <x:f>IF('Master'!Y646="","",'Master'!Y646)</x:f>
        <x:v>Yes</x:v>
      </x:c>
      <x:c r="Y14" s="100" t="str">
        <x:f>IF('Master'!Z646="","",'Master'!Z646)</x:f>
      </x:c>
      <x:c r="Z14" s="100" t="str">
        <x:f>IF('Master'!AA646="","",'Master'!AA646)</x:f>
      </x:c>
      <x:c r="AA14" s="104" t="str">
        <x:f>IF('Master'!AB646="","",'Master'!AB646)</x:f>
      </x:c>
      <x:c r="AB14" s="100" t="str">
        <x:f>IF('Master'!AC646="","",'Master'!AC646)</x:f>
      </x:c>
      <x:c r="AC14" s="100" t="str">
        <x:f>IF('Master'!AD646="","",'Master'!AD646)</x:f>
      </x:c>
      <x:c r="AD14" s="100" t="str">
        <x:f>IF('Master'!AE646="","",'Master'!AE646)</x:f>
      </x:c>
      <x:c r="AE14" s="100" t="str">
        <x:f>IF('Master'!AF646="","",'Master'!AF646)</x:f>
      </x:c>
      <x:c r="AF14" s="75" t="str">
        <x:f>IF('Master'!AG646="","",'Master'!AG646)</x:f>
      </x:c>
    </x:row>
    <x:row r="15" ht="36" customHeight="1">
      <x:c r="A15" s="135" t="str">
        <x:v>App Marketplace / Directory</x:v>
      </x:c>
      <x:c r="B15" s="100" t="str">
        <x:f>IF('Master'!C629="","",'Master'!C629)</x:f>
        <x:v>Yes — App Directory / platform apps</x:v>
      </x:c>
      <x:c r="C15" s="100" t="str">
        <x:f>IF('Master'!D629="","",'Master'!D629)</x:f>
      </x:c>
      <x:c r="D15" s="100" t="str">
        <x:f>IF('Master'!E629="","",'Master'!E629)</x:f>
      </x:c>
      <x:c r="E15" s="100" t="str">
        <x:f>IF('Master'!F629="","",'Master'!F629)</x:f>
      </x:c>
      <x:c r="F15" s="100" t="str">
        <x:f>IF('Master'!G629="","",'Master'!G629)</x:f>
      </x:c>
      <x:c r="G15" s="100" t="str">
        <x:f>IF('Master'!H629="","",'Master'!H629)</x:f>
      </x:c>
      <x:c r="H15" s="100" t="str">
        <x:f>IF('Master'!I629="","",'Master'!I629)</x:f>
      </x:c>
      <x:c r="I15" s="100" t="str">
        <x:f>IF('Master'!J629="","",'Master'!J629)</x:f>
      </x:c>
      <x:c r="J15" s="100" t="str">
        <x:f>IF('Master'!K629="","",'Master'!K629)</x:f>
      </x:c>
      <x:c r="K15" s="100" t="str">
        <x:f>IF('Master'!L629="","",'Master'!L629)</x:f>
        <x:v>Yes — federated public App Directory for reviewed applications/bots</x:v>
      </x:c>
      <x:c r="L15" s="100" t="str">
        <x:f>IF('Master'!M629="","",'Master'!M629)</x:f>
      </x:c>
      <x:c r="M15" s="100" t="str">
        <x:f>IF('Master'!N629="","",'Master'!N629)</x:f>
      </x:c>
      <x:c r="N15" s="100" t="str">
        <x:f>IF('Master'!O629="","",'Master'!O629)</x:f>
      </x:c>
      <x:c r="O15" s="100" t="str">
        <x:f>IF('Master'!P629="","",'Master'!P629)</x:f>
        <x:v>Plugin marketplace/ecosystem</x:v>
      </x:c>
      <x:c r="P15" s="100" t="str">
        <x:f>IF('Master'!Q629="","",'Master'!Q629)</x:f>
      </x:c>
      <x:c r="Q15" s="100" t="str">
        <x:f>IF('Master'!R629="","",'Master'!R629)</x:f>
      </x:c>
      <x:c r="R15" s="100" t="str">
        <x:f>IF('Master'!S629="","",'Master'!S629)</x:f>
      </x:c>
      <x:c r="S15" s="100" t="str">
        <x:f>IF('Master'!T629="","",'Master'!T629)</x:f>
      </x:c>
      <x:c r="T15" s="100" t="str">
        <x:f>IF('Master'!U629="","",'Master'!U629)</x:f>
      </x:c>
      <x:c r="U15" s="100" t="str">
        <x:f>IF('Master'!V629="","",'Master'!V629)</x:f>
        <x:v>No</x:v>
      </x:c>
      <x:c r="V15" s="100" t="str">
        <x:f>IF('Master'!W629="","",'Master'!W629)</x:f>
        <x:v>Yes — Marketplace</x:v>
      </x:c>
      <x:c r="W15" s="100" t="str">
        <x:f>IF('Master'!X629="","",'Master'!X629)</x:f>
      </x:c>
      <x:c r="X15" s="100" t="str">
        <x:f>IF('Master'!Y629="","",'Master'!Y629)</x:f>
      </x:c>
      <x:c r="Y15" s="100" t="str">
        <x:f>IF('Master'!Z629="","",'Master'!Z629)</x:f>
      </x:c>
      <x:c r="Z15" s="100" t="str">
        <x:f>IF('Master'!AA629="","",'Master'!AA629)</x:f>
      </x:c>
      <x:c r="AA15" s="104" t="str">
        <x:f>IF('Master'!AB629="","",'Master'!AB629)</x:f>
      </x:c>
      <x:c r="AB15" s="100" t="str">
        <x:f>IF('Master'!AC629="","",'Master'!AC629)</x:f>
      </x:c>
      <x:c r="AC15" s="100" t="str">
        <x:f>IF('Master'!AD629="","",'Master'!AD629)</x:f>
      </x:c>
      <x:c r="AD15" s="100" t="str">
        <x:f>IF('Master'!AE629="","",'Master'!AE629)</x:f>
      </x:c>
      <x:c r="AE15" s="100" t="str">
        <x:f>IF('Master'!AF629="","",'Master'!AF629)</x:f>
      </x:c>
      <x:c r="AF15" s="75" t="str">
        <x:f>IF('Master'!AG629="","",'Master'!AG629)</x:f>
        <x:v>Integration directory</x:v>
      </x:c>
    </x:row>
    <x:row r="16" ht="36" customHeight="1">
      <x:c r="A16" s="135" t="str">
        <x:v>User-Installed Apps</x:v>
      </x:c>
      <x:c r="B16" s="100" t="str">
        <x:f>IF('Master'!C630="","",'Master'!C630)</x:f>
        <x:v>Yes — user-installable apps supported</x:v>
      </x:c>
      <x:c r="C16" s="100" t="str">
        <x:f>IF('Master'!D630="","",'Master'!D630)</x:f>
      </x:c>
      <x:c r="D16" s="100" t="str">
        <x:f>IF('Master'!E630="","",'Master'!E630)</x:f>
      </x:c>
      <x:c r="E16" s="100" t="str">
        <x:f>IF('Master'!F630="","",'Master'!F630)</x:f>
      </x:c>
      <x:c r="F16" s="100" t="str">
        <x:f>IF('Master'!G630="","",'Master'!G630)</x:f>
      </x:c>
      <x:c r="G16" s="100" t="str">
        <x:f>IF('Master'!H630="","",'Master'!H630)</x:f>
      </x:c>
      <x:c r="H16" s="100" t="str">
        <x:f>IF('Master'!I630="","",'Master'!I630)</x:f>
      </x:c>
      <x:c r="I16" s="100" t="str">
        <x:f>IF('Master'!J630="","",'Master'!J630)</x:f>
      </x:c>
      <x:c r="J16" s="100" t="str">
        <x:f>IF('Master'!K630="","",'Master'!K630)</x:f>
      </x:c>
      <x:c r="K16" s="100" t="str">
        <x:f>IF('Master'!L630="","",'Master'!L630)</x:f>
        <x:v>Yes — guild and user installation contexts are supported</x:v>
      </x:c>
      <x:c r="L16" s="100" t="str">
        <x:f>IF('Master'!M630="","",'Master'!M630)</x:f>
      </x:c>
      <x:c r="M16" s="100" t="str">
        <x:f>IF('Master'!N630="","",'Master'!N630)</x:f>
      </x:c>
      <x:c r="N16" s="100" t="str">
        <x:f>IF('Master'!O630="","",'Master'!O630)</x:f>
      </x:c>
      <x:c r="O16" s="100" t="str">
        <x:f>IF('Master'!P630="","",'Master'!P630)</x:f>
      </x:c>
      <x:c r="P16" s="100" t="str">
        <x:f>IF('Master'!Q630="","",'Master'!Q630)</x:f>
      </x:c>
      <x:c r="Q16" s="100" t="str">
        <x:f>IF('Master'!R630="","",'Master'!R630)</x:f>
      </x:c>
      <x:c r="R16" s="100" t="str">
        <x:f>IF('Master'!S630="","",'Master'!S630)</x:f>
      </x:c>
      <x:c r="S16" s="100" t="str">
        <x:f>IF('Master'!T630="","",'Master'!T630)</x:f>
      </x:c>
      <x:c r="T16" s="100" t="str">
        <x:f>IF('Master'!U630="","",'Master'!U630)</x:f>
      </x:c>
      <x:c r="U16" s="100" t="str">
        <x:f>IF('Master'!V630="","",'Master'!V630)</x:f>
        <x:v>No</x:v>
      </x:c>
      <x:c r="V16" s="100" t="str">
        <x:f>IF('Master'!W630="","",'Master'!W630)</x:f>
        <x:v>Workspace-admin app install</x:v>
      </x:c>
      <x:c r="W16" s="100" t="str">
        <x:f>IF('Master'!X630="","",'Master'!X630)</x:f>
      </x:c>
      <x:c r="X16" s="100" t="str">
        <x:f>IF('Master'!Y630="","",'Master'!Y630)</x:f>
      </x:c>
      <x:c r="Y16" s="100" t="str">
        <x:f>IF('Master'!Z630="","",'Master'!Z630)</x:f>
      </x:c>
      <x:c r="Z16" s="100" t="str">
        <x:f>IF('Master'!AA630="","",'Master'!AA630)</x:f>
      </x:c>
      <x:c r="AA16" s="104" t="str">
        <x:f>IF('Master'!AB630="","",'Master'!AB630)</x:f>
      </x:c>
      <x:c r="AB16" s="100" t="str">
        <x:f>IF('Master'!AC630="","",'Master'!AC630)</x:f>
      </x:c>
      <x:c r="AC16" s="100" t="str">
        <x:f>IF('Master'!AD630="","",'Master'!AD630)</x:f>
      </x:c>
      <x:c r="AD16" s="100" t="str">
        <x:f>IF('Master'!AE630="","",'Master'!AE630)</x:f>
      </x:c>
      <x:c r="AE16" s="100" t="str">
        <x:f>IF('Master'!AF630="","",'Master'!AF630)</x:f>
      </x:c>
      <x:c r="AF16" s="75" t="str">
        <x:f>IF('Master'!AG630="","",'Master'!AG630)</x:f>
      </x:c>
    </x:row>
  </x:sheetData>
  <x:mergeCells>
    <x:mergeCell ref="A1:AF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Directory'!A1","Developer APIs, Bots &amp; Extensibility — Granular"),"Developer APIs, Bots &amp; Extensibility — Granular")</x:f>
        <x:v>Developer APIs, Bots &amp; Extensibility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3.100000381469727" customHeight="1">
      <x:c r="A3" s="135" t="str">
        <x:v>API Surfaces</x:v>
      </x:c>
      <x:c r="B3" s="102" t="str">
        <x:f>IF('Master'!C631="","",'Master'!C631)</x:f>
      </x:c>
      <x:c r="C3" s="102" t="str">
        <x:f>IF('Master'!D631="","",'Master'!D631)</x:f>
      </x:c>
      <x:c r="D3" s="102" t="str">
        <x:f>IF('Master'!E631="","",'Master'!E631)</x:f>
      </x:c>
      <x:c r="E3" s="102" t="str">
        <x:f>IF('Master'!F631="","",'Master'!F631)</x:f>
      </x:c>
      <x:c r="F3" s="102" t="str">
        <x:f>IF('Master'!G631="","",'Master'!G631)</x:f>
      </x:c>
      <x:c r="G3" s="102" t="str">
        <x:f>IF('Master'!H631="","",'Master'!H631)</x:f>
      </x:c>
      <x:c r="H3" s="102" t="str">
        <x:f>IF('Master'!I631="","",'Master'!I631)</x:f>
      </x:c>
      <x:c r="I3" s="102" t="str">
        <x:f>IF('Master'!J631="","",'Master'!J631)</x:f>
      </x:c>
      <x:c r="J3" s="102" t="str">
        <x:f>IF('Master'!K631="","",'Master'!K631)</x:f>
      </x:c>
      <x:c r="K3" s="102" t="str">
        <x:f>IF('Master'!L631="","",'Master'!L631)</x:f>
        <x:v>Scoped REST + direct Gateway/WebSocket API; federated bot workers connect directly to target authorities</x:v>
      </x:c>
      <x:c r="L3" s="102" t="str">
        <x:f>IF('Master'!M631="","",'Master'!M631)</x:f>
      </x:c>
      <x:c r="M3" s="102" t="str">
        <x:f>IF('Master'!N631="","",'Master'!N631)</x:f>
      </x:c>
      <x:c r="N3" s="102" t="str">
        <x:f>IF('Master'!O631="","",'Master'!O631)</x:f>
      </x:c>
      <x:c r="O3" s="102" t="str">
        <x:f>IF('Master'!P631="","",'Master'!P631)</x:f>
      </x:c>
      <x:c r="P3" s="102" t="str">
        <x:f>IF('Master'!Q631="","",'Master'!Q631)</x:f>
      </x:c>
      <x:c r="Q3" s="102" t="str">
        <x:f>IF('Master'!R631="","",'Master'!R631)</x:f>
      </x:c>
      <x:c r="R3" s="102" t="str">
        <x:f>IF('Master'!S631="","",'Master'!S631)</x:f>
      </x:c>
      <x:c r="S3" s="102" t="str">
        <x:f>IF('Master'!T631="","",'Master'!T631)</x:f>
      </x:c>
      <x:c r="T3" s="102" t="str">
        <x:f>IF('Master'!U631="","",'Master'!U631)</x:f>
        <x:v>Session-only application API; incoming Discord-compatible webhooks; no public bot-token/third-party API</x:v>
      </x:c>
      <x:c r="U3" s="102" t="str">
        <x:f>IF('Master'!V631="","",'Master'!V631)</x:f>
      </x:c>
      <x:c r="V3" s="102" t="str">
        <x:f>IF('Master'!W631="","",'Master'!W631)</x:f>
      </x:c>
      <x:c r="W3" s="102" t="str">
        <x:f>IF('Master'!X631="","",'Master'!X631)</x:f>
      </x:c>
      <x:c r="X3" s="102" t="str">
        <x:f>IF('Master'!Y631="","",'Master'!Y631)</x:f>
      </x:c>
      <x:c r="Y3" s="102" t="str">
        <x:f>IF('Master'!Z631="","",'Master'!Z631)</x:f>
      </x:c>
      <x:c r="Z3" s="102" t="str">
        <x:f>IF('Master'!AA631="","",'Master'!AA631)</x:f>
      </x:c>
      <x:c r="AA3" s="103" t="str">
        <x:f>IF('Master'!AB631="","",'Master'!AB631)</x:f>
      </x:c>
      <x:c r="AB3" s="102" t="str">
        <x:f>IF('Master'!AC631="","",'Master'!AC631)</x:f>
      </x:c>
      <x:c r="AC3" s="102" t="str">
        <x:f>IF('Master'!AD631="","",'Master'!AD631)</x:f>
      </x:c>
      <x:c r="AD3" s="102" t="str">
        <x:f>IF('Master'!AE631="","",'Master'!AE631)</x:f>
      </x:c>
      <x:c r="AE3" s="102" t="str">
        <x:f>IF('Master'!AF631="","",'Master'!AF631)</x:f>
      </x:c>
      <x:c r="AF3" s="75" t="str">
        <x:f>IF('Master'!AG631="","",'Master'!AG631)</x:f>
      </x:c>
    </x:row>
    <x:row r="4" ht="36" customHeight="1">
      <x:c r="A4" s="135" t="str">
        <x:v>Public REST API?</x:v>
      </x:c>
      <x:c r="B4" s="100" t="str">
        <x:f>IF('Master'!C632="","",'Master'!C632)</x:f>
        <x:v>Yes</x:v>
      </x:c>
      <x:c r="C4" s="100" t="str">
        <x:f>IF('Master'!D632="","",'Master'!D632)</x:f>
        <x:v>No</x:v>
      </x:c>
      <x:c r="D4" s="100" t="str">
        <x:f>IF('Master'!E632="","",'Master'!E632)</x:f>
      </x:c>
      <x:c r="E4" s="100" t="str">
        <x:f>IF('Master'!F632="","",'Master'!F632)</x:f>
      </x:c>
      <x:c r="F4" s="100" t="str">
        <x:f>IF('Master'!G632="","",'Master'!G632)</x:f>
      </x:c>
      <x:c r="G4" s="100" t="str">
        <x:f>IF('Master'!H632="","",'Master'!H632)</x:f>
        <x:v>Yes</x:v>
      </x:c>
      <x:c r="H4" s="100" t="str">
        <x:f>IF('Master'!I632="","",'Master'!I632)</x:f>
      </x:c>
      <x:c r="I4" s="100" t="str">
        <x:f>IF('Master'!J632="","",'Master'!J632)</x:f>
      </x:c>
      <x:c r="J4" s="100" t="str">
        <x:f>IF('Master'!K632="","",'Master'!K632)</x:f>
        <x:v>Yes</x:v>
      </x:c>
      <x:c r="K4" s="100" t="str">
        <x:f>IF('Master'!L632="","",'Master'!L632)</x:f>
        <x:v>Yes</x:v>
      </x:c>
      <x:c r="L4" s="100" t="str">
        <x:f>IF('Master'!M632="","",'Master'!M632)</x:f>
      </x:c>
      <x:c r="M4" s="100" t="str">
        <x:f>IF('Master'!N632="","",'Master'!N632)</x:f>
      </x:c>
      <x:c r="N4" s="100" t="str">
        <x:f>IF('Master'!O632="","",'Master'!O632)</x:f>
      </x:c>
      <x:c r="O4" s="100" t="str">
        <x:f>IF('Master'!P632="","",'Master'!P632)</x:f>
        <x:v>Yes</x:v>
      </x:c>
      <x:c r="P4" s="100" t="str">
        <x:f>IF('Master'!Q632="","",'Master'!Q632)</x:f>
      </x:c>
      <x:c r="Q4" s="100" t="str">
        <x:f>IF('Master'!R632="","",'Master'!R632)</x:f>
      </x:c>
      <x:c r="R4" s="100" t="str">
        <x:f>IF('Master'!S632="","",'Master'!S632)</x:f>
        <x:v>Yes</x:v>
      </x:c>
      <x:c r="S4" s="100" t="str">
        <x:f>IF('Master'!T632="","",'Master'!T632)</x:f>
      </x:c>
      <x:c r="T4" s="100" t="str">
        <x:f>IF('Master'!U632="","",'Master'!U632)</x:f>
        <x:v>No public third-party REST API</x:v>
      </x:c>
      <x:c r="U4" s="100" t="str">
        <x:f>IF('Master'!V632="","",'Master'!V632)</x:f>
      </x:c>
      <x:c r="V4" s="100" t="str">
        <x:f>IF('Master'!W632="","",'Master'!W632)</x:f>
        <x:v>Yes</x:v>
      </x:c>
      <x:c r="W4" s="100" t="str">
        <x:f>IF('Master'!X632="","",'Master'!X632)</x:f>
      </x:c>
      <x:c r="X4" s="100" t="str">
        <x:f>IF('Master'!Y632="","",'Master'!Y632)</x:f>
      </x:c>
      <x:c r="Y4" s="100" t="str">
        <x:f>IF('Master'!Z632="","",'Master'!Z632)</x:f>
        <x:v>Yes</x:v>
      </x:c>
      <x:c r="Z4" s="100" t="str">
        <x:f>IF('Master'!AA632="","",'Master'!AA632)</x:f>
        <x:v>Yes</x:v>
      </x:c>
      <x:c r="AA4" s="104" t="str">
        <x:f>IF('Master'!AB632="","",'Master'!AB632)</x:f>
      </x:c>
      <x:c r="AB4" s="100" t="str">
        <x:f>IF('Master'!AC632="","",'Master'!AC632)</x:f>
      </x:c>
      <x:c r="AC4" s="100" t="str">
        <x:f>IF('Master'!AD632="","",'Master'!AD632)</x:f>
      </x:c>
      <x:c r="AD4" s="100" t="str">
        <x:f>IF('Master'!AE632="","",'Master'!AE632)</x:f>
      </x:c>
      <x:c r="AE4" s="100" t="str">
        <x:f>IF('Master'!AF632="","",'Master'!AF632)</x:f>
      </x:c>
      <x:c r="AF4" s="75" t="str">
        <x:f>IF('Master'!AG632="","",'Master'!AG632)</x:f>
        <x:v>Yes</x:v>
      </x:c>
    </x:row>
    <x:row r="5" ht="36" customHeight="1">
      <x:c r="A5" s="135" t="str">
        <x:v>Gateway / WebSocket API?</x:v>
      </x:c>
      <x:c r="B5" s="100" t="str">
        <x:f>IF('Master'!C633="","",'Master'!C633)</x:f>
        <x:v>Yes</x:v>
      </x:c>
      <x:c r="C5" s="100" t="str">
        <x:f>IF('Master'!D633="","",'Master'!D633)</x:f>
      </x:c>
      <x:c r="D5" s="100" t="str">
        <x:f>IF('Master'!E633="","",'Master'!E633)</x:f>
        <x:v>Yes</x:v>
      </x:c>
      <x:c r="E5" s="100" t="str">
        <x:f>IF('Master'!F633="","",'Master'!F633)</x:f>
      </x:c>
      <x:c r="F5" s="100" t="str">
        <x:f>IF('Master'!G633="","",'Master'!G633)</x:f>
      </x:c>
      <x:c r="G5" s="100" t="str">
        <x:f>IF('Master'!H633="","",'Master'!H633)</x:f>
        <x:v>Yes</x:v>
      </x:c>
      <x:c r="H5" s="100" t="str">
        <x:f>IF('Master'!I633="","",'Master'!I633)</x:f>
      </x:c>
      <x:c r="I5" s="100" t="str">
        <x:f>IF('Master'!J633="","",'Master'!J633)</x:f>
      </x:c>
      <x:c r="J5" s="100" t="str">
        <x:f>IF('Master'!K633="","",'Master'!K633)</x:f>
      </x:c>
      <x:c r="K5" s="100" t="str">
        <x:f>IF('Master'!L633="","",'Master'!L633)</x:f>
        <x:v>Yes</x:v>
      </x:c>
      <x:c r="L5" s="100" t="str">
        <x:f>IF('Master'!M633="","",'Master'!M633)</x:f>
      </x:c>
      <x:c r="M5" s="100" t="str">
        <x:f>IF('Master'!N633="","",'Master'!N633)</x:f>
      </x:c>
      <x:c r="N5" s="100" t="str">
        <x:f>IF('Master'!O633="","",'Master'!O633)</x:f>
        <x:v>Yes</x:v>
      </x:c>
      <x:c r="O5" s="100" t="str">
        <x:f>IF('Master'!P633="","",'Master'!P633)</x:f>
        <x:v>Yes</x:v>
      </x:c>
      <x:c r="P5" s="100" t="str">
        <x:f>IF('Master'!Q633="","",'Master'!Q633)</x:f>
      </x:c>
      <x:c r="Q5" s="100" t="str">
        <x:f>IF('Master'!R633="","",'Master'!R633)</x:f>
      </x:c>
      <x:c r="R5" s="100" t="str">
        <x:f>IF('Master'!S633="","",'Master'!S633)</x:f>
      </x:c>
      <x:c r="S5" s="100" t="str">
        <x:f>IF('Master'!T633="","",'Master'!T633)</x:f>
      </x:c>
      <x:c r="T5" s="100" t="str">
        <x:f>IF('Master'!U633="","",'Master'!U633)</x:f>
        <x:v>No public third-party gateway/bot API</x:v>
      </x:c>
      <x:c r="U5" s="100" t="str">
        <x:f>IF('Master'!V633="","",'Master'!V633)</x:f>
      </x:c>
      <x:c r="V5" s="100" t="str">
        <x:f>IF('Master'!W633="","",'Master'!W633)</x:f>
        <x:v>Yes</x:v>
      </x:c>
      <x:c r="W5" s="100" t="str">
        <x:f>IF('Master'!X633="","",'Master'!X633)</x:f>
      </x:c>
      <x:c r="X5" s="100" t="str">
        <x:f>IF('Master'!Y633="","",'Master'!Y633)</x:f>
      </x:c>
      <x:c r="Y5" s="100" t="str">
        <x:f>IF('Master'!Z633="","",'Master'!Z633)</x:f>
        <x:v>Yes</x:v>
      </x:c>
      <x:c r="Z5" s="100" t="str">
        <x:f>IF('Master'!AA633="","",'Master'!AA633)</x:f>
        <x:v>Yes</x:v>
      </x:c>
      <x:c r="AA5" s="104" t="str">
        <x:f>IF('Master'!AB633="","",'Master'!AB633)</x:f>
      </x:c>
      <x:c r="AB5" s="100" t="str">
        <x:f>IF('Master'!AC633="","",'Master'!AC633)</x:f>
      </x:c>
      <x:c r="AC5" s="100" t="str">
        <x:f>IF('Master'!AD633="","",'Master'!AD633)</x:f>
      </x:c>
      <x:c r="AD5" s="100" t="str">
        <x:f>IF('Master'!AE633="","",'Master'!AE633)</x:f>
      </x:c>
      <x:c r="AE5" s="100" t="str">
        <x:f>IF('Master'!AF633="","",'Master'!AF633)</x:f>
      </x:c>
      <x:c r="AF5" s="75" t="str">
        <x:f>IF('Master'!AG633="","",'Master'!AG633)</x:f>
      </x:c>
    </x:row>
    <x:row r="6" ht="36" customHeight="1">
      <x:c r="A6" s="135" t="str">
        <x:v>Realtime Event API?</x:v>
      </x:c>
      <x:c r="B6" s="100" t="str">
        <x:f>IF('Master'!C634="","",'Master'!C634)</x:f>
        <x:v>Yes</x:v>
      </x:c>
      <x:c r="C6" s="100" t="str">
        <x:f>IF('Master'!D634="","",'Master'!D634)</x:f>
      </x:c>
      <x:c r="D6" s="100" t="str">
        <x:f>IF('Master'!E634="","",'Master'!E634)</x:f>
        <x:v>Yes</x:v>
      </x:c>
      <x:c r="E6" s="100" t="str">
        <x:f>IF('Master'!F634="","",'Master'!F634)</x:f>
      </x:c>
      <x:c r="F6" s="100" t="str">
        <x:f>IF('Master'!G634="","",'Master'!G634)</x:f>
      </x:c>
      <x:c r="G6" s="100" t="str">
        <x:f>IF('Master'!H634="","",'Master'!H634)</x:f>
        <x:v>Yes</x:v>
      </x:c>
      <x:c r="H6" s="100" t="str">
        <x:f>IF('Master'!I634="","",'Master'!I634)</x:f>
      </x:c>
      <x:c r="I6" s="100" t="str">
        <x:f>IF('Master'!J634="","",'Master'!J634)</x:f>
      </x:c>
      <x:c r="J6" s="100" t="str">
        <x:f>IF('Master'!K634="","",'Master'!K634)</x:f>
      </x:c>
      <x:c r="K6" s="100" t="str">
        <x:f>IF('Master'!L634="","",'Master'!L634)</x:f>
        <x:v>Yes</x:v>
      </x:c>
      <x:c r="L6" s="100" t="str">
        <x:f>IF('Master'!M634="","",'Master'!M634)</x:f>
      </x:c>
      <x:c r="M6" s="100" t="str">
        <x:f>IF('Master'!N634="","",'Master'!N634)</x:f>
      </x:c>
      <x:c r="N6" s="100" t="str">
        <x:f>IF('Master'!O634="","",'Master'!O634)</x:f>
        <x:v>Yes</x:v>
      </x:c>
      <x:c r="O6" s="100" t="str">
        <x:f>IF('Master'!P634="","",'Master'!P634)</x:f>
        <x:v>Yes</x:v>
      </x:c>
      <x:c r="P6" s="100" t="str">
        <x:f>IF('Master'!Q634="","",'Master'!Q634)</x:f>
      </x:c>
      <x:c r="Q6" s="100" t="str">
        <x:f>IF('Master'!R634="","",'Master'!R634)</x:f>
      </x:c>
      <x:c r="R6" s="100" t="str">
        <x:f>IF('Master'!S634="","",'Master'!S634)</x:f>
        <x:v>Yes</x:v>
      </x:c>
      <x:c r="S6" s="100" t="str">
        <x:f>IF('Master'!T634="","",'Master'!T634)</x:f>
      </x:c>
      <x:c r="T6" s="100" t="str">
        <x:f>IF('Master'!U634="","",'Master'!U634)</x:f>
        <x:v>No public third-party realtime API</x:v>
      </x:c>
      <x:c r="U6" s="100" t="str">
        <x:f>IF('Master'!V634="","",'Master'!V634)</x:f>
      </x:c>
      <x:c r="V6" s="100" t="str">
        <x:f>IF('Master'!W634="","",'Master'!W634)</x:f>
        <x:v>Yes</x:v>
      </x:c>
      <x:c r="W6" s="100" t="str">
        <x:f>IF('Master'!X634="","",'Master'!X634)</x:f>
      </x:c>
      <x:c r="X6" s="100" t="str">
        <x:f>IF('Master'!Y634="","",'Master'!Y634)</x:f>
      </x:c>
      <x:c r="Y6" s="100" t="str">
        <x:f>IF('Master'!Z634="","",'Master'!Z634)</x:f>
        <x:v>Yes</x:v>
      </x:c>
      <x:c r="Z6" s="100" t="str">
        <x:f>IF('Master'!AA634="","",'Master'!AA634)</x:f>
        <x:v>Yes</x:v>
      </x:c>
      <x:c r="AA6" s="104" t="str">
        <x:f>IF('Master'!AB634="","",'Master'!AB634)</x:f>
      </x:c>
      <x:c r="AB6" s="100" t="str">
        <x:f>IF('Master'!AC634="","",'Master'!AC634)</x:f>
      </x:c>
      <x:c r="AC6" s="100" t="str">
        <x:f>IF('Master'!AD634="","",'Master'!AD634)</x:f>
      </x:c>
      <x:c r="AD6" s="100" t="str">
        <x:f>IF('Master'!AE634="","",'Master'!AE634)</x:f>
      </x:c>
      <x:c r="AE6" s="100" t="str">
        <x:f>IF('Master'!AF634="","",'Master'!AF634)</x:f>
      </x:c>
      <x:c r="AF6" s="75" t="str">
        <x:f>IF('Master'!AG634="","",'Master'!AG634)</x:f>
        <x:v>Yes</x:v>
      </x:c>
    </x:row>
    <x:row r="7" ht="36" customHeight="1">
      <x:c r="A7" s="135" t="str">
        <x:v>Inbound Webhooks?</x:v>
      </x:c>
      <x:c r="B7" s="100" t="str">
        <x:f>IF('Master'!C635="","",'Master'!C635)</x:f>
        <x:v>Yes</x:v>
      </x:c>
      <x:c r="C7" s="100" t="str">
        <x:f>IF('Master'!D635="","",'Master'!D635)</x:f>
        <x:v>Nostr relays/integrations</x:v>
      </x:c>
      <x:c r="D7" s="100" t="str">
        <x:f>IF('Master'!E635="","",'Master'!E635)</x:f>
        <x:v>Plugins</x:v>
      </x:c>
      <x:c r="E7" s="100" t="str">
        <x:f>IF('Master'!F635="","",'Master'!F635)</x:f>
      </x:c>
      <x:c r="F7" s="100" t="str">
        <x:f>IF('Master'!G635="","",'Master'!G635)</x:f>
        <x:v>No current public webhook API verified</x:v>
      </x:c>
      <x:c r="G7" s="100" t="str">
        <x:f>IF('Master'!H635="","",'Master'!H635)</x:f>
      </x:c>
      <x:c r="H7" s="100" t="str">
        <x:f>IF('Master'!I635="","",'Master'!I635)</x:f>
      </x:c>
      <x:c r="I7" s="100" t="str">
        <x:f>IF('Master'!J635="","",'Master'!J635)</x:f>
        <x:v>Discord-compatible target</x:v>
      </x:c>
      <x:c r="J7" s="100" t="str">
        <x:f>IF('Master'!K635="","",'Master'!K635)</x:f>
        <x:v>No</x:v>
      </x:c>
      <x:c r="K7" s="100" t="str">
        <x:f>IF('Master'!L635="","",'Master'!L635)</x:f>
        <x:v>Yes</x:v>
      </x:c>
      <x:c r="L7" s="100" t="str">
        <x:f>IF('Master'!M635="","",'Master'!M635)</x:f>
      </x:c>
      <x:c r="M7" s="100" t="str">
        <x:f>IF('Master'!N635="","",'Master'!N635)</x:f>
        <x:v>Webhooks supported</x:v>
      </x:c>
      <x:c r="N7" s="100" t="str">
        <x:f>IF('Master'!O635="","",'Master'!O635)</x:f>
        <x:v>Application services/webhooks via integrations</x:v>
      </x:c>
      <x:c r="O7" s="100" t="str">
        <x:f>IF('Master'!P635="","",'Master'!P635)</x:f>
        <x:v>Yes</x:v>
      </x:c>
      <x:c r="P7" s="100" t="str">
        <x:f>IF('Master'!Q635="","",'Master'!Q635)</x:f>
        <x:v>Integrations</x:v>
      </x:c>
      <x:c r="Q7" s="100" t="str">
        <x:f>IF('Master'!R635="","",'Master'!R635)</x:f>
        <x:v>No Discord-style incoming webhooks</x:v>
      </x:c>
      <x:c r="R7" s="100" t="str">
        <x:f>IF('Master'!S635="","",'Master'!S635)</x:f>
      </x:c>
      <x:c r="S7" s="100" t="str">
        <x:f>IF('Master'!T635="","",'Master'!T635)</x:f>
      </x:c>
      <x:c r="T7" s="100" t="str">
        <x:f>IF('Master'!U635="","",'Master'!U635)</x:f>
        <x:v>Yes — Discord-compatible incoming webhooks</x:v>
      </x:c>
      <x:c r="U7" s="100" t="str">
        <x:f>IF('Master'!V635="","",'Master'!V635)</x:f>
        <x:v>Yes — Discord/GitHub/Slack-compatible</x:v>
      </x:c>
      <x:c r="V7" s="100" t="str">
        <x:f>IF('Master'!W635="","",'Master'!W635)</x:f>
        <x:v>Yes</x:v>
      </x:c>
      <x:c r="W7" s="100" t="str">
        <x:f>IF('Master'!X635="","",'Master'!X635)</x:f>
        <x:v>Bridge/integrations</x:v>
      </x:c>
      <x:c r="X7" s="100" t="str">
        <x:f>IF('Master'!Y635="","",'Master'!Y635)</x:f>
      </x:c>
      <x:c r="Y7" s="100" t="str">
        <x:f>IF('Master'!Z635="","",'Master'!Z635)</x:f>
        <x:v>Discord-compatible webhooks target</x:v>
      </x:c>
      <x:c r="Z7" s="100" t="str">
        <x:f>IF('Master'!AA635="","",'Master'!AA635)</x:f>
      </x:c>
      <x:c r="AA7" s="104" t="str">
        <x:f>IF('Master'!AB635="","",'Master'!AB635)</x:f>
      </x:c>
      <x:c r="AB7" s="100" t="str">
        <x:f>IF('Master'!AC635="","",'Master'!AC635)</x:f>
        <x:v>Incoming webhooks</x:v>
      </x:c>
      <x:c r="AC7" s="100" t="str">
        <x:f>IF('Master'!AD635="","",'Master'!AD635)</x:f>
      </x:c>
      <x:c r="AD7" s="100" t="str">
        <x:f>IF('Master'!AE635="","",'Master'!AE635)</x:f>
      </x:c>
      <x:c r="AE7" s="100" t="str">
        <x:f>IF('Master'!AF635="","",'Master'!AF635)</x:f>
      </x:c>
      <x:c r="AF7" s="75" t="str">
        <x:f>IF('Master'!AG635="","",'Master'!AG635)</x:f>
        <x:v>Yes — incoming webhooks/integrations</x:v>
      </x:c>
    </x:row>
    <x:row r="8" ht="36" customHeight="1">
      <x:c r="A8" s="135" t="str">
        <x:v>Outbound / Event Webhooks?</x:v>
      </x:c>
      <x:c r="B8" s="100" t="str">
        <x:f>IF('Master'!C636="","",'Master'!C636)</x:f>
        <x:v>Yes — webhook events and interaction endpoints</x:v>
      </x:c>
      <x:c r="C8" s="100" t="str">
        <x:f>IF('Master'!D636="","",'Master'!D636)</x:f>
        <x:v>Nostr events</x:v>
      </x:c>
      <x:c r="D8" s="100" t="str">
        <x:f>IF('Master'!E636="","",'Master'!E636)</x:f>
        <x:v>Events/plugins</x:v>
      </x:c>
      <x:c r="E8" s="100" t="str">
        <x:f>IF('Master'!F636="","",'Master'!F636)</x:f>
      </x:c>
      <x:c r="F8" s="100" t="str">
        <x:f>IF('Master'!G636="","",'Master'!G636)</x:f>
        <x:v>No current public event webhook API verified</x:v>
      </x:c>
      <x:c r="G8" s="100" t="str">
        <x:f>IF('Master'!H636="","",'Master'!H636)</x:f>
        <x:v>Gateway events/webhooks</x:v>
      </x:c>
      <x:c r="H8" s="100" t="str">
        <x:f>IF('Master'!I636="","",'Master'!I636)</x:f>
      </x:c>
      <x:c r="I8" s="100" t="str">
        <x:f>IF('Master'!J636="","",'Master'!J636)</x:f>
        <x:v>Gateway/events</x:v>
      </x:c>
      <x:c r="J8" s="100" t="str">
        <x:f>IF('Master'!K636="","",'Master'!K636)</x:f>
        <x:v>No</x:v>
      </x:c>
      <x:c r="K8" s="100" t="str">
        <x:f>IF('Master'!L636="","",'Master'!L636)</x:f>
        <x:v>Gateway event stream is primary realtime event mechanism; no generic outbound webhook subscription system was verified</x:v>
      </x:c>
      <x:c r="L8" s="100" t="str">
        <x:f>IF('Master'!M636="","",'Master'!M636)</x:f>
      </x:c>
      <x:c r="M8" s="100" t="str">
        <x:f>IF('Master'!N636="","",'Master'!N636)</x:f>
        <x:v>Events/interactions</x:v>
      </x:c>
      <x:c r="N8" s="100" t="str">
        <x:f>IF('Master'!O636="","",'Master'!O636)</x:f>
        <x:v>Application Service transactions/events</x:v>
      </x:c>
      <x:c r="O8" s="100" t="str">
        <x:f>IF('Master'!P636="","",'Master'!P636)</x:f>
        <x:v>Yes</x:v>
      </x:c>
      <x:c r="P8" s="100" t="str">
        <x:f>IF('Master'!Q636="","",'Master'!Q636)</x:f>
        <x:v>Integrations</x:v>
      </x:c>
      <x:c r="Q8" s="100" t="str">
        <x:f>IF('Master'!R636="","",'Master'!R636)</x:f>
        <x:v>No Discord-style outbound webhooks</x:v>
      </x:c>
      <x:c r="R8" s="100" t="str">
        <x:f>IF('Master'!S636="","",'Master'!S636)</x:f>
      </x:c>
      <x:c r="S8" s="100" t="str">
        <x:f>IF('Master'!T636="","",'Master'!T636)</x:f>
      </x:c>
      <x:c r="T8" s="100" t="str">
        <x:f>IF('Master'!U636="","",'Master'!U636)</x:f>
        <x:v>Not publicly claimed</x:v>
      </x:c>
      <x:c r="U8" s="100" t="str">
        <x:f>IF('Master'!V636="","",'Master'!V636)</x:f>
      </x:c>
      <x:c r="V8" s="100" t="str">
        <x:f>IF('Master'!W636="","",'Master'!W636)</x:f>
        <x:v>Yes</x:v>
      </x:c>
      <x:c r="W8" s="100" t="str">
        <x:f>IF('Master'!X636="","",'Master'!X636)</x:f>
        <x:v>ATProto events</x:v>
      </x:c>
      <x:c r="X8" s="100" t="str">
        <x:f>IF('Master'!Y636="","",'Master'!Y636)</x:f>
        <x:v>Event subscriptions in hosted runtime</x:v>
      </x:c>
      <x:c r="Y8" s="100" t="str">
        <x:f>IF('Master'!Z636="","",'Master'!Z636)</x:f>
        <x:v>Gateway events</x:v>
      </x:c>
      <x:c r="Z8" s="100" t="str">
        <x:f>IF('Master'!AA636="","",'Master'!AA636)</x:f>
      </x:c>
      <x:c r="AA8" s="104" t="str">
        <x:f>IF('Master'!AB636="","",'Master'!AB636)</x:f>
      </x:c>
      <x:c r="AB8" s="100" t="str">
        <x:f>IF('Master'!AC636="","",'Master'!AC636)</x:f>
        <x:v>API/events</x:v>
      </x:c>
      <x:c r="AC8" s="100" t="str">
        <x:f>IF('Master'!AD636="","",'Master'!AD636)</x:f>
        <x:v>Federation events/webhooks planned</x:v>
      </x:c>
      <x:c r="AD8" s="100" t="str">
        <x:f>IF('Master'!AE636="","",'Master'!AE636)</x:f>
      </x:c>
      <x:c r="AE8" s="100" t="str">
        <x:f>IF('Master'!AF636="","",'Master'!AF636)</x:f>
      </x:c>
      <x:c r="AF8" s="75" t="str">
        <x:f>IF('Master'!AG636="","",'Master'!AG636)</x:f>
        <x:v>Yes — bots/webhooks/event queues</x:v>
      </x:c>
    </x:row>
    <x:row r="9" ht="36" customHeight="1">
      <x:c r="A9" s="135" t="str">
        <x:v>Bot Accounts?</x:v>
      </x:c>
      <x:c r="B9" s="100" t="str">
        <x:f>IF('Master'!C637="","",'Master'!C637)</x:f>
        <x:v>Yes</x:v>
      </x:c>
      <x:c r="C9" s="100" t="str">
        <x:f>IF('Master'!D637="","",'Master'!D637)</x:f>
      </x:c>
      <x:c r="D9" s="100" t="str">
        <x:f>IF('Master'!E637="","",'Master'!E637)</x:f>
      </x:c>
      <x:c r="E9" s="100" t="str">
        <x:f>IF('Master'!F637="","",'Master'!F637)</x:f>
      </x:c>
      <x:c r="F9" s="100" t="str">
        <x:f>IF('Master'!G637="","",'Master'!G637)</x:f>
        <x:v>Yes</x:v>
      </x:c>
      <x:c r="G9" s="100" t="str">
        <x:f>IF('Master'!H637="","",'Master'!H637)</x:f>
        <x:v>Yes</x:v>
      </x:c>
      <x:c r="H9" s="100" t="str">
        <x:f>IF('Master'!I637="","",'Master'!I637)</x:f>
      </x:c>
      <x:c r="I9" s="100" t="str">
        <x:f>IF('Master'!J637="","",'Master'!J637)</x:f>
        <x:v>Yes</x:v>
      </x:c>
      <x:c r="J9" s="100" t="str">
        <x:f>IF('Master'!K637="","",'Master'!K637)</x:f>
        <x:v>Yes</x:v>
      </x:c>
      <x:c r="K9" s="100" t="str">
        <x:f>IF('Master'!L637="","",'Master'!L637)</x:f>
        <x:v>Yes — bot applications are federated accounts with scoped installs</x:v>
      </x:c>
      <x:c r="L9" s="100" t="str">
        <x:f>IF('Master'!M637="","",'Master'!M637)</x:f>
      </x:c>
      <x:c r="M9" s="100" t="str">
        <x:f>IF('Master'!N637="","",'Master'!N637)</x:f>
        <x:v>Yes</x:v>
      </x:c>
      <x:c r="N9" s="100" t="str">
        <x:f>IF('Master'!O637="","",'Master'!O637)</x:f>
        <x:v>Yes</x:v>
      </x:c>
      <x:c r="O9" s="100" t="str">
        <x:f>IF('Master'!P637="","",'Master'!P637)</x:f>
        <x:v>Yes</x:v>
      </x:c>
      <x:c r="P9" s="100" t="str">
        <x:f>IF('Master'!Q637="","",'Master'!Q637)</x:f>
        <x:v>Yes</x:v>
      </x:c>
      <x:c r="Q9" s="100" t="str">
        <x:f>IF('Master'!R637="","",'Master'!R637)</x:f>
      </x:c>
      <x:c r="R9" s="100" t="str">
        <x:f>IF('Master'!S637="","",'Master'!S637)</x:f>
        <x:v>Yes</x:v>
      </x:c>
      <x:c r="S9" s="100" t="str">
        <x:f>IF('Master'!T637="","",'Master'!T637)</x:f>
      </x:c>
      <x:c r="T9" s="100" t="str">
        <x:f>IF('Master'!U637="","",'Master'!U637)</x:f>
        <x:v>No public bot API yet</x:v>
      </x:c>
      <x:c r="U9" s="100" t="str">
        <x:f>IF('Master'!V637="","",'Master'!V637)</x:f>
        <x:v>No</x:v>
      </x:c>
      <x:c r="V9" s="100" t="str">
        <x:f>IF('Master'!W637="","",'Master'!W637)</x:f>
        <x:v>Yes</x:v>
      </x:c>
      <x:c r="W9" s="100" t="str">
        <x:f>IF('Master'!X637="","",'Master'!X637)</x:f>
      </x:c>
      <x:c r="X9" s="100" t="str">
        <x:f>IF('Master'!Y637="","",'Master'!Y637)</x:f>
        <x:v>Yes</x:v>
      </x:c>
      <x:c r="Y9" s="100" t="str">
        <x:f>IF('Master'!Z637="","",'Master'!Z637)</x:f>
        <x:v>Yes</x:v>
      </x:c>
      <x:c r="Z9" s="100" t="str">
        <x:f>IF('Master'!AA637="","",'Master'!AA637)</x:f>
        <x:v>Yes</x:v>
      </x:c>
      <x:c r="AA9" s="104" t="str">
        <x:f>IF('Master'!AB637="","",'Master'!AB637)</x:f>
      </x:c>
      <x:c r="AB9" s="100" t="str">
        <x:f>IF('Master'!AC637="","",'Master'!AC637)</x:f>
        <x:v>Yes</x:v>
      </x:c>
      <x:c r="AC9" s="100" t="str">
        <x:f>IF('Master'!AD637="","",'Master'!AD637)</x:f>
      </x:c>
      <x:c r="AD9" s="100" t="str">
        <x:f>IF('Master'!AE637="","",'Master'!AE637)</x:f>
        <x:v>Yes</x:v>
      </x:c>
      <x:c r="AE9" s="100" t="str">
        <x:f>IF('Master'!AF637="","",'Master'!AF637)</x:f>
      </x:c>
      <x:c r="AF9" s="75" t="str">
        <x:f>IF('Master'!AG637="","",'Master'!AG637)</x:f>
        <x:v>Yes</x:v>
      </x:c>
    </x:row>
    <x:row r="10" ht="22" customHeight="1">
      <x:c r="A10" s="138" t="str">
        <x:v>SDKs</x:v>
      </x:c>
      <x:c r="B10" s="138" t="str">
        <x:f>IF(""="","","")</x:f>
      </x:c>
      <x:c r="C10" s="138" t="str">
        <x:f>IF(""="","","")</x:f>
      </x:c>
      <x:c r="D10" s="138" t="str">
        <x:f>IF(""="","","")</x:f>
      </x:c>
      <x:c r="E10" s="138" t="str">
        <x:f>IF(""="","","")</x:f>
      </x:c>
      <x:c r="F10" s="138" t="str">
        <x:f>IF(""="","","")</x:f>
      </x:c>
      <x:c r="G10" s="138" t="str">
        <x:f>IF(""="","","")</x:f>
      </x:c>
      <x:c r="H10" s="138" t="str">
        <x:f>IF(""="","","")</x:f>
      </x:c>
      <x:c r="I10" s="138" t="str">
        <x:f>IF(""="","","")</x:f>
      </x:c>
      <x:c r="J10" s="138" t="str">
        <x:f>IF(""="","","")</x:f>
      </x:c>
      <x:c r="K10" s="138" t="str">
        <x:f>IF(""="","","")</x:f>
      </x:c>
      <x:c r="L10" s="138" t="str">
        <x:f>IF(""="","","")</x:f>
      </x:c>
      <x:c r="M10" s="138" t="str">
        <x:f>IF(""="","","")</x:f>
      </x:c>
      <x:c r="N10" s="138" t="str">
        <x:f>IF(""="","","")</x:f>
      </x:c>
      <x:c r="O10" s="138" t="str">
        <x:f>IF(""="","","")</x:f>
      </x:c>
      <x:c r="P10" s="138" t="str">
        <x:f>IF(""="","","")</x:f>
      </x:c>
      <x:c r="Q10" s="138" t="str">
        <x:f>IF(""="","","")</x:f>
      </x:c>
      <x:c r="R10" s="138" t="str">
        <x:f>IF(""="","","")</x:f>
      </x:c>
      <x:c r="S10" s="138" t="str">
        <x:f>IF(""="","","")</x:f>
      </x:c>
      <x:c r="T10" s="138" t="str">
        <x:f>IF(""="","","")</x:f>
      </x:c>
      <x:c r="U10" s="138" t="str">
        <x:f>IF(""="","","")</x:f>
      </x:c>
      <x:c r="V10" s="138" t="str">
        <x:f>IF(""="","","")</x:f>
      </x:c>
      <x:c r="W10" s="138" t="str">
        <x:f>IF(""="","","")</x:f>
      </x:c>
      <x:c r="X10" s="138" t="str">
        <x:f>IF(""="","","")</x:f>
      </x:c>
      <x:c r="Y10" s="138" t="str">
        <x:f>IF(""="","","")</x:f>
      </x:c>
      <x:c r="Z10" s="138" t="str">
        <x:f>IF(""="","","")</x:f>
      </x:c>
      <x:c r="AA10" s="138" t="str">
        <x:f>IF(""="","","")</x:f>
      </x:c>
      <x:c r="AB10" s="138" t="str">
        <x:f>IF(""="","","")</x:f>
      </x:c>
      <x:c r="AC10" s="138" t="str">
        <x:f>IF(""="","","")</x:f>
      </x:c>
      <x:c r="AD10" s="138" t="str">
        <x:f>IF(""="","","")</x:f>
      </x:c>
      <x:c r="AE10" s="138" t="str">
        <x:f>IF(""="","","")</x:f>
      </x:c>
      <x:c r="AF10" s="139" t="str">
        <x:f>IF(""="","","")</x:f>
      </x:c>
    </x:row>
    <x:row r="11" ht="36" customHeight="1">
      <x:c r="A11" s="135" t="str">
        <x:v>Official JS / TS SDK?</x:v>
      </x:c>
      <x:c r="B11" s="100" t="str">
        <x:f>IF('Master'!C638="","",'Master'!C638)</x:f>
        <x:v>Yes</x:v>
      </x:c>
      <x:c r="C11" s="100" t="str">
        <x:f>IF('Master'!D638="","",'Master'!D638)</x:f>
      </x:c>
      <x:c r="D11" s="100" t="str">
        <x:f>IF('Master'!E638="","",'Master'!E638)</x:f>
      </x:c>
      <x:c r="E11" s="100" t="str">
        <x:f>IF('Master'!F638="","",'Master'!F638)</x:f>
      </x:c>
      <x:c r="F11" s="100" t="str">
        <x:f>IF('Master'!G638="","",'Master'!G638)</x:f>
      </x:c>
      <x:c r="G11" s="100" t="str">
        <x:f>IF('Master'!H638="","",'Master'!H638)</x:f>
      </x:c>
      <x:c r="H11" s="100" t="str">
        <x:f>IF('Master'!I638="","",'Master'!I638)</x:f>
      </x:c>
      <x:c r="I11" s="100" t="str">
        <x:f>IF('Master'!J638="","",'Master'!J638)</x:f>
      </x:c>
      <x:c r="J11" s="100" t="str">
        <x:f>IF('Master'!K638="","",'Master'!K638)</x:f>
      </x:c>
      <x:c r="K11" s="100" t="str">
        <x:f>IF('Master'!L638="","",'Master'!L638)</x:f>
        <x:v>No official JS/TS bot SDK documented</x:v>
      </x:c>
      <x:c r="L11" s="100" t="str">
        <x:f>IF('Master'!M638="","",'Master'!M638)</x:f>
      </x:c>
      <x:c r="M11" s="100" t="str">
        <x:f>IF('Master'!N638="","",'Master'!N638)</x:f>
        <x:v>Yes</x:v>
      </x:c>
      <x:c r="N11" s="100" t="str">
        <x:f>IF('Master'!O638="","",'Master'!O638)</x:f>
        <x:v>Yes</x:v>
      </x:c>
      <x:c r="O11" s="100" t="str">
        <x:f>IF('Master'!P638="","",'Master'!P638)</x:f>
        <x:v>Yes</x:v>
      </x:c>
      <x:c r="P11" s="100" t="str">
        <x:f>IF('Master'!Q638="","",'Master'!Q638)</x:f>
      </x:c>
      <x:c r="Q11" s="100" t="str">
        <x:f>IF('Master'!R638="","",'Master'!R638)</x:f>
      </x:c>
      <x:c r="R11" s="100" t="str">
        <x:f>IF('Master'!S638="","",'Master'!S638)</x:f>
        <x:v>Yes</x:v>
      </x:c>
      <x:c r="S11" s="100" t="str">
        <x:f>IF('Master'!T638="","",'Master'!T638)</x:f>
      </x:c>
      <x:c r="T11" s="100" t="str">
        <x:f>IF('Master'!U638="","",'Master'!U638)</x:f>
        <x:v>No public SDK</x:v>
      </x:c>
      <x:c r="U11" s="100" t="str">
        <x:f>IF('Master'!V638="","",'Master'!V638)</x:f>
        <x:v>No</x:v>
      </x:c>
      <x:c r="V11" s="100" t="str">
        <x:f>IF('Master'!W638="","",'Master'!W638)</x:f>
      </x:c>
      <x:c r="W11" s="100" t="str">
        <x:f>IF('Master'!X638="","",'Master'!X638)</x:f>
      </x:c>
      <x:c r="X11" s="100" t="str">
        <x:f>IF('Master'!Y638="","",'Master'!Y638)</x:f>
        <x:v>Yes</x:v>
      </x:c>
      <x:c r="Y11" s="100" t="str">
        <x:f>IF('Master'!Z638="","",'Master'!Z638)</x:f>
      </x:c>
      <x:c r="Z11" s="100" t="str">
        <x:f>IF('Master'!AA638="","",'Master'!AA638)</x:f>
        <x:v>Yes</x:v>
      </x:c>
      <x:c r="AA11" s="104" t="str">
        <x:f>IF('Master'!AB638="","",'Master'!AB638)</x:f>
      </x:c>
      <x:c r="AB11" s="100" t="str">
        <x:f>IF('Master'!AC638="","",'Master'!AC638)</x:f>
      </x:c>
      <x:c r="AC11" s="100" t="str">
        <x:f>IF('Master'!AD638="","",'Master'!AD638)</x:f>
      </x:c>
      <x:c r="AD11" s="100" t="str">
        <x:f>IF('Master'!AE638="","",'Master'!AE638)</x:f>
      </x:c>
      <x:c r="AE11" s="100" t="str">
        <x:f>IF('Master'!AF638="","",'Master'!AF638)</x:f>
      </x:c>
      <x:c r="AF11" s="75" t="str">
        <x:f>IF('Master'!AG638="","",'Master'!AG638)</x:f>
      </x:c>
    </x:row>
    <x:row r="12" ht="36" customHeight="1">
      <x:c r="A12" s="135" t="str">
        <x:v>Official Python SDK?</x:v>
      </x:c>
      <x:c r="B12" s="100" t="str">
        <x:f>IF('Master'!C639="","",'Master'!C639)</x:f>
      </x:c>
      <x:c r="C12" s="100" t="str">
        <x:f>IF('Master'!D639="","",'Master'!D639)</x:f>
      </x:c>
      <x:c r="D12" s="100" t="str">
        <x:f>IF('Master'!E639="","",'Master'!E639)</x:f>
      </x:c>
      <x:c r="E12" s="100" t="str">
        <x:f>IF('Master'!F639="","",'Master'!F639)</x:f>
      </x:c>
      <x:c r="F12" s="100" t="str">
        <x:f>IF('Master'!G639="","",'Master'!G639)</x:f>
      </x:c>
      <x:c r="G12" s="100" t="str">
        <x:f>IF('Master'!H639="","",'Master'!H639)</x:f>
      </x:c>
      <x:c r="H12" s="100" t="str">
        <x:f>IF('Master'!I639="","",'Master'!I639)</x:f>
      </x:c>
      <x:c r="I12" s="100" t="str">
        <x:f>IF('Master'!J639="","",'Master'!J639)</x:f>
      </x:c>
      <x:c r="J12" s="100" t="str">
        <x:f>IF('Master'!K639="","",'Master'!K639)</x:f>
      </x:c>
      <x:c r="K12" s="100" t="str">
        <x:f>IF('Master'!L639="","",'Master'!L639)</x:f>
        <x:v>Yes — official kaede-bot package</x:v>
      </x:c>
      <x:c r="L12" s="100" t="str">
        <x:f>IF('Master'!M639="","",'Master'!M639)</x:f>
      </x:c>
      <x:c r="M12" s="100" t="str">
        <x:f>IF('Master'!N639="","",'Master'!N639)</x:f>
      </x:c>
      <x:c r="N12" s="100" t="str">
        <x:f>IF('Master'!O639="","",'Master'!O639)</x:f>
        <x:v>Yes</x:v>
      </x:c>
      <x:c r="O12" s="100" t="str">
        <x:f>IF('Master'!P639="","",'Master'!P639)</x:f>
      </x:c>
      <x:c r="P12" s="100" t="str">
        <x:f>IF('Master'!Q639="","",'Master'!Q639)</x:f>
      </x:c>
      <x:c r="Q12" s="100" t="str">
        <x:f>IF('Master'!R639="","",'Master'!R639)</x:f>
      </x:c>
      <x:c r="R12" s="100" t="str">
        <x:f>IF('Master'!S639="","",'Master'!S639)</x:f>
      </x:c>
      <x:c r="S12" s="100" t="str">
        <x:f>IF('Master'!T639="","",'Master'!T639)</x:f>
      </x:c>
      <x:c r="T12" s="100" t="str">
        <x:f>IF('Master'!U639="","",'Master'!U639)</x:f>
        <x:v>No public SDK</x:v>
      </x:c>
      <x:c r="U12" s="100" t="str">
        <x:f>IF('Master'!V639="","",'Master'!V639)</x:f>
        <x:v>No</x:v>
      </x:c>
      <x:c r="V12" s="100" t="str">
        <x:f>IF('Master'!W639="","",'Master'!W639)</x:f>
      </x:c>
      <x:c r="W12" s="100" t="str">
        <x:f>IF('Master'!X639="","",'Master'!X639)</x:f>
      </x:c>
      <x:c r="X12" s="100" t="str">
        <x:f>IF('Master'!Y639="","",'Master'!Y639)</x:f>
      </x:c>
      <x:c r="Y12" s="100" t="str">
        <x:f>IF('Master'!Z639="","",'Master'!Z639)</x:f>
      </x:c>
      <x:c r="Z12" s="100" t="str">
        <x:f>IF('Master'!AA639="","",'Master'!AA639)</x:f>
      </x:c>
      <x:c r="AA12" s="104" t="str">
        <x:f>IF('Master'!AB639="","",'Master'!AB639)</x:f>
      </x:c>
      <x:c r="AB12" s="100" t="str">
        <x:f>IF('Master'!AC639="","",'Master'!AC639)</x:f>
      </x:c>
      <x:c r="AC12" s="100" t="str">
        <x:f>IF('Master'!AD639="","",'Master'!AD639)</x:f>
      </x:c>
      <x:c r="AD12" s="100" t="str">
        <x:f>IF('Master'!AE639="","",'Master'!AE639)</x:f>
      </x:c>
      <x:c r="AE12" s="100" t="str">
        <x:f>IF('Master'!AF639="","",'Master'!AF639)</x:f>
      </x:c>
      <x:c r="AF12" s="75" t="str">
        <x:f>IF('Master'!AG639="","",'Master'!AG639)</x:f>
        <x:v>Yes</x:v>
      </x:c>
    </x:row>
    <x:row r="13" ht="36" customHeight="1">
      <x:c r="A13" s="135" t="str">
        <x:v>Official Rust SDK?</x:v>
      </x:c>
      <x:c r="B13" s="100" t="str">
        <x:f>IF('Master'!C640="","",'Master'!C640)</x:f>
      </x:c>
      <x:c r="C13" s="100" t="str">
        <x:f>IF('Master'!D640="","",'Master'!D640)</x:f>
      </x:c>
      <x:c r="D13" s="100" t="str">
        <x:f>IF('Master'!E640="","",'Master'!E640)</x:f>
      </x:c>
      <x:c r="E13" s="100" t="str">
        <x:f>IF('Master'!F640="","",'Master'!F640)</x:f>
      </x:c>
      <x:c r="F13" s="100" t="str">
        <x:f>IF('Master'!G640="","",'Master'!G640)</x:f>
      </x:c>
      <x:c r="G13" s="100" t="str">
        <x:f>IF('Master'!H640="","",'Master'!H640)</x:f>
      </x:c>
      <x:c r="H13" s="100" t="str">
        <x:f>IF('Master'!I640="","",'Master'!I640)</x:f>
      </x:c>
      <x:c r="I13" s="100" t="str">
        <x:f>IF('Master'!J640="","",'Master'!J640)</x:f>
      </x:c>
      <x:c r="J13" s="100" t="str">
        <x:f>IF('Master'!K640="","",'Master'!K640)</x:f>
      </x:c>
      <x:c r="K13" s="100" t="str">
        <x:f>IF('Master'!L640="","",'Master'!L640)</x:f>
        <x:v>No official Rust bot SDK documented</x:v>
      </x:c>
      <x:c r="L13" s="100" t="str">
        <x:f>IF('Master'!M640="","",'Master'!M640)</x:f>
      </x:c>
      <x:c r="M13" s="100" t="str">
        <x:f>IF('Master'!N640="","",'Master'!N640)</x:f>
      </x:c>
      <x:c r="N13" s="100" t="str">
        <x:f>IF('Master'!O640="","",'Master'!O640)</x:f>
        <x:v>Yes</x:v>
      </x:c>
      <x:c r="O13" s="100" t="str">
        <x:f>IF('Master'!P640="","",'Master'!P640)</x:f>
      </x:c>
      <x:c r="P13" s="100" t="str">
        <x:f>IF('Master'!Q640="","",'Master'!Q640)</x:f>
      </x:c>
      <x:c r="Q13" s="100" t="str">
        <x:f>IF('Master'!R640="","",'Master'!R640)</x:f>
      </x:c>
      <x:c r="R13" s="100" t="str">
        <x:f>IF('Master'!S640="","",'Master'!S640)</x:f>
      </x:c>
      <x:c r="S13" s="100" t="str">
        <x:f>IF('Master'!T640="","",'Master'!T640)</x:f>
      </x:c>
      <x:c r="T13" s="100" t="str">
        <x:f>IF('Master'!U640="","",'Master'!U640)</x:f>
        <x:v>No public SDK</x:v>
      </x:c>
      <x:c r="U13" s="100" t="str">
        <x:f>IF('Master'!V640="","",'Master'!V640)</x:f>
        <x:v>No</x:v>
      </x:c>
      <x:c r="V13" s="100" t="str">
        <x:f>IF('Master'!W640="","",'Master'!W640)</x:f>
      </x:c>
      <x:c r="W13" s="100" t="str">
        <x:f>IF('Master'!X640="","",'Master'!X640)</x:f>
      </x:c>
      <x:c r="X13" s="100" t="str">
        <x:f>IF('Master'!Y640="","",'Master'!Y640)</x:f>
      </x:c>
      <x:c r="Y13" s="100" t="str">
        <x:f>IF('Master'!Z640="","",'Master'!Z640)</x:f>
      </x:c>
      <x:c r="Z13" s="100" t="str">
        <x:f>IF('Master'!AA640="","",'Master'!AA640)</x:f>
      </x:c>
      <x:c r="AA13" s="104" t="str">
        <x:f>IF('Master'!AB640="","",'Master'!AB640)</x:f>
      </x:c>
      <x:c r="AB13" s="100" t="str">
        <x:f>IF('Master'!AC640="","",'Master'!AC640)</x:f>
      </x:c>
      <x:c r="AC13" s="100" t="str">
        <x:f>IF('Master'!AD640="","",'Master'!AD640)</x:f>
      </x:c>
      <x:c r="AD13" s="100" t="str">
        <x:f>IF('Master'!AE640="","",'Master'!AE640)</x:f>
      </x:c>
      <x:c r="AE13" s="100" t="str">
        <x:f>IF('Master'!AF640="","",'Master'!AF640)</x:f>
      </x:c>
      <x:c r="AF13" s="75" t="str">
        <x:f>IF('Master'!AG640="","",'Master'!AG640)</x:f>
      </x:c>
    </x:row>
    <x:row r="14" ht="36" customHeight="1">
      <x:c r="A14" s="135" t="str">
        <x:v>Official Go SDK?</x:v>
      </x:c>
      <x:c r="B14" s="100" t="str">
        <x:f>IF('Master'!C641="","",'Master'!C641)</x:f>
      </x:c>
      <x:c r="C14" s="100" t="str">
        <x:f>IF('Master'!D641="","",'Master'!D641)</x:f>
      </x:c>
      <x:c r="D14" s="100" t="str">
        <x:f>IF('Master'!E641="","",'Master'!E641)</x:f>
      </x:c>
      <x:c r="E14" s="100" t="str">
        <x:f>IF('Master'!F641="","",'Master'!F641)</x:f>
      </x:c>
      <x:c r="F14" s="100" t="str">
        <x:f>IF('Master'!G641="","",'Master'!G641)</x:f>
      </x:c>
      <x:c r="G14" s="100" t="str">
        <x:f>IF('Master'!H641="","",'Master'!H641)</x:f>
      </x:c>
      <x:c r="H14" s="100" t="str">
        <x:f>IF('Master'!I641="","",'Master'!I641)</x:f>
      </x:c>
      <x:c r="I14" s="100" t="str">
        <x:f>IF('Master'!J641="","",'Master'!J641)</x:f>
      </x:c>
      <x:c r="J14" s="100" t="str">
        <x:f>IF('Master'!K641="","",'Master'!K641)</x:f>
      </x:c>
      <x:c r="K14" s="100" t="str">
        <x:f>IF('Master'!L641="","",'Master'!L641)</x:f>
        <x:v>No official Go bot SDK documented</x:v>
      </x:c>
      <x:c r="L14" s="100" t="str">
        <x:f>IF('Master'!M641="","",'Master'!M641)</x:f>
      </x:c>
      <x:c r="M14" s="100" t="str">
        <x:f>IF('Master'!N641="","",'Master'!N641)</x:f>
      </x:c>
      <x:c r="N14" s="100" t="str">
        <x:f>IF('Master'!O641="","",'Master'!O641)</x:f>
        <x:v>Yes</x:v>
      </x:c>
      <x:c r="O14" s="100" t="str">
        <x:f>IF('Master'!P641="","",'Master'!P641)</x:f>
        <x:v>Yes</x:v>
      </x:c>
      <x:c r="P14" s="100" t="str">
        <x:f>IF('Master'!Q641="","",'Master'!Q641)</x:f>
      </x:c>
      <x:c r="Q14" s="100" t="str">
        <x:f>IF('Master'!R641="","",'Master'!R641)</x:f>
      </x:c>
      <x:c r="R14" s="100" t="str">
        <x:f>IF('Master'!S641="","",'Master'!S641)</x:f>
      </x:c>
      <x:c r="S14" s="100" t="str">
        <x:f>IF('Master'!T641="","",'Master'!T641)</x:f>
      </x:c>
      <x:c r="T14" s="100" t="str">
        <x:f>IF('Master'!U641="","",'Master'!U641)</x:f>
        <x:v>No public SDK</x:v>
      </x:c>
      <x:c r="U14" s="100" t="str">
        <x:f>IF('Master'!V641="","",'Master'!V641)</x:f>
        <x:v>No</x:v>
      </x:c>
      <x:c r="V14" s="100" t="str">
        <x:f>IF('Master'!W641="","",'Master'!W641)</x:f>
      </x:c>
      <x:c r="W14" s="100" t="str">
        <x:f>IF('Master'!X641="","",'Master'!X641)</x:f>
      </x:c>
      <x:c r="X14" s="100" t="str">
        <x:f>IF('Master'!Y641="","",'Master'!Y641)</x:f>
      </x:c>
      <x:c r="Y14" s="100" t="str">
        <x:f>IF('Master'!Z641="","",'Master'!Z641)</x:f>
      </x:c>
      <x:c r="Z14" s="100" t="str">
        <x:f>IF('Master'!AA641="","",'Master'!AA641)</x:f>
      </x:c>
      <x:c r="AA14" s="104" t="str">
        <x:f>IF('Master'!AB641="","",'Master'!AB641)</x:f>
      </x:c>
      <x:c r="AB14" s="100" t="str">
        <x:f>IF('Master'!AC641="","",'Master'!AC641)</x:f>
      </x:c>
      <x:c r="AC14" s="100" t="str">
        <x:f>IF('Master'!AD641="","",'Master'!AD641)</x:f>
      </x:c>
      <x:c r="AD14" s="100" t="str">
        <x:f>IF('Master'!AE641="","",'Master'!AE641)</x:f>
      </x:c>
      <x:c r="AE14" s="100" t="str">
        <x:f>IF('Master'!AF641="","",'Master'!AF641)</x:f>
      </x:c>
      <x:c r="AF14" s="75" t="str">
        <x:f>IF('Master'!AG641="","",'Master'!AG641)</x:f>
      </x:c>
    </x:row>
    <x:row r="15" ht="36" customHeight="1">
      <x:c r="A15" s="135" t="str">
        <x:v>Community SDK Ecosystem?</x:v>
      </x:c>
      <x:c r="B15" s="100" t="str">
        <x:f>IF('Master'!C642="","",'Master'!C642)</x:f>
        <x:v>JS/TS: official Embedded App SDK; no official general bot SDKs for Python/Rust/Go; Social SDK targets C++/Unity/Unreal</x:v>
      </x:c>
      <x:c r="C15" s="100" t="str">
        <x:f>IF('Master'!D642="","",'Master'!D642)</x:f>
        <x:v>Nostr libraries</x:v>
      </x:c>
      <x:c r="D15" s="100" t="str">
        <x:f>IF('Master'!E642="","",'Master'!E642)</x:f>
        <x:v>Custom/open-source ecosystem</x:v>
      </x:c>
      <x:c r="E15" s="100" t="str">
        <x:f>IF('Master'!F642="","",'Master'!F642)</x:f>
      </x:c>
      <x:c r="F15" s="100" t="str">
        <x:f>IF('Master'!G642="","",'Master'!G642)</x:f>
        <x:v>No public SDKs yet</x:v>
      </x:c>
      <x:c r="G15" s="100" t="str">
        <x:f>IF('Master'!H642="","",'Master'!H642)</x:f>
      </x:c>
      <x:c r="H15" s="100" t="str">
        <x:f>IF('Master'!I642="","",'Master'!I642)</x:f>
      </x:c>
      <x:c r="I15" s="100" t="str">
        <x:f>IF('Master'!J642="","",'Master'!J642)</x:f>
        <x:v>Discord bot libraries largely reusable</x:v>
      </x:c>
      <x:c r="J15" s="100" t="str">
        <x:f>IF('Master'!K642="","",'Master'!K642)</x:f>
        <x:v>Open source</x:v>
      </x:c>
      <x:c r="K15" s="100" t="str">
        <x:f>IF('Master'!L642="","",'Master'!L642)</x:f>
        <x:v>Early ecosystem; official Python SDK is the primary SDK</x:v>
      </x:c>
      <x:c r="L15" s="100" t="str">
        <x:f>IF('Master'!M642="","",'Master'!M642)</x:f>
      </x:c>
      <x:c r="M15" s="100" t="str">
        <x:f>IF('Master'!N642="","",'Master'!N642)</x:f>
        <x:v>discord.py/discord.js compatibility</x:v>
      </x:c>
      <x:c r="N15" s="100" t="str">
        <x:f>IF('Master'!O642="","",'Master'!O642)</x:f>
        <x:v>Many SDKs incl JS/TS, Rust, Python, Go/community</x:v>
      </x:c>
      <x:c r="O15" s="100" t="str">
        <x:f>IF('Master'!P642="","",'Master'!P642)</x:f>
        <x:v>Client/server APIs; Go/JS ecosystem</x:v>
      </x:c>
      <x:c r="P15" s="100" t="str">
        <x:f>IF('Master'!Q642="","",'Master'!Q642)</x:f>
        <x:v>SDK/integration ecosystem</x:v>
      </x:c>
      <x:c r="Q15" s="100" t="str">
        <x:f>IF('Master'!R642="","",'Master'!R642)</x:f>
        <x:v>Community libraries</x:v>
      </x:c>
      <x:c r="R15" s="100" t="str">
        <x:f>IF('Master'!S642="","",'Master'!S642)</x:f>
        <x:v>Official Nerimity.js</x:v>
      </x:c>
      <x:c r="S15" s="100" t="str">
        <x:f>IF('Master'!T642="","",'Master'!T642)</x:f>
      </x:c>
      <x:c r="T15" s="100" t="str">
        <x:f>IF('Master'!U642="","",'Master'!U642)</x:f>
      </x:c>
      <x:c r="U15" s="100" t="str">
        <x:f>IF('Master'!V642="","",'Master'!V642)</x:f>
        <x:v>No</x:v>
      </x:c>
      <x:c r="V15" s="100" t="str">
        <x:f>IF('Master'!W642="","",'Master'!W642)</x:f>
        <x:v>SDKs/APIs + Apps framework</x:v>
      </x:c>
      <x:c r="W15" s="100" t="str">
        <x:f>IF('Master'!X642="","",'Master'!X642)</x:f>
        <x:v>Roomy SDK</x:v>
      </x:c>
      <x:c r="X15" s="100" t="str">
        <x:f>IF('Master'!Y642="","",'Master'!Y642)</x:f>
        <x:v>Official TypeScript SDK / Node runtime</x:v>
      </x:c>
      <x:c r="Y15" s="100" t="str">
        <x:f>IF('Master'!Z642="","",'Master'!Z642)</x:f>
        <x:v>Discord ecosystem compatibility; Spacebar docs</x:v>
      </x:c>
      <x:c r="Z15" s="100" t="str">
        <x:f>IF('Master'!AA642="","",'Master'!AA642)</x:f>
        <x:v>Official TypeScript client SDK; community libraries</x:v>
      </x:c>
      <x:c r="AA15" s="104" t="str">
        <x:f>IF('Master'!AB642="","",'Master'!AB642)</x:f>
      </x:c>
      <x:c r="AB15" s="100" t="str">
        <x:f>IF('Master'!AC642="","",'Master'!AC642)</x:f>
        <x:v>Official .NET SDK</x:v>
      </x:c>
      <x:c r="AC15" s="100" t="str">
        <x:f>IF('Master'!AD642="","",'Master'!AD642)</x:f>
      </x:c>
      <x:c r="AD15" s="100" t="str">
        <x:f>IF('Master'!AE642="","",'Master'!AE642)</x:f>
      </x:c>
      <x:c r="AE15" s="100" t="str">
        <x:f>IF('Master'!AF642="","",'Master'!AF642)</x:f>
      </x:c>
      <x:c r="AF15" s="75" t="str">
        <x:f>IF('Master'!AG642="","",'Master'!AG642)</x:f>
        <x:v>Official/community libraries incl Python; broad API</x:v>
      </x:c>
    </x:row>
    <x:row r="16" ht="22" customHeight="1">
      <x:c r="A16" s="138" t="str">
        <x:v>Interactions</x:v>
      </x:c>
      <x:c r="B16" s="138" t="str">
        <x:f>IF(""="","","")</x:f>
      </x:c>
      <x:c r="C16" s="138" t="str">
        <x:f>IF(""="","","")</x:f>
      </x:c>
      <x:c r="D16" s="138" t="str">
        <x:f>IF(""="","","")</x:f>
      </x:c>
      <x:c r="E16" s="138" t="str">
        <x:f>IF(""="","","")</x:f>
      </x:c>
      <x:c r="F16" s="138" t="str">
        <x:f>IF(""="","","")</x:f>
      </x:c>
      <x:c r="G16" s="138" t="str">
        <x:f>IF(""="","","")</x:f>
      </x:c>
      <x:c r="H16" s="138" t="str">
        <x:f>IF(""="","","")</x:f>
      </x:c>
      <x:c r="I16" s="138" t="str">
        <x:f>IF(""="","","")</x:f>
      </x:c>
      <x:c r="J16" s="138" t="str">
        <x:f>IF(""="","","")</x:f>
      </x:c>
      <x:c r="K16" s="138" t="str">
        <x:f>IF(""="","","")</x:f>
      </x:c>
      <x:c r="L16" s="138" t="str">
        <x:f>IF(""="","","")</x:f>
      </x:c>
      <x:c r="M16" s="138" t="str">
        <x:f>IF(""="","","")</x:f>
      </x:c>
      <x:c r="N16" s="138" t="str">
        <x:f>IF(""="","","")</x:f>
      </x:c>
      <x:c r="O16" s="138" t="str">
        <x:f>IF(""="","","")</x:f>
      </x:c>
      <x:c r="P16" s="138" t="str">
        <x:f>IF(""="","","")</x:f>
      </x:c>
      <x:c r="Q16" s="138" t="str">
        <x:f>IF(""="","","")</x:f>
      </x:c>
      <x:c r="R16" s="138" t="str">
        <x:f>IF(""="","","")</x:f>
      </x:c>
      <x:c r="S16" s="138" t="str">
        <x:f>IF(""="","","")</x:f>
      </x:c>
      <x:c r="T16" s="138" t="str">
        <x:f>IF(""="","","")</x:f>
      </x:c>
      <x:c r="U16" s="138" t="str">
        <x:f>IF(""="","","")</x:f>
      </x:c>
      <x:c r="V16" s="138" t="str">
        <x:f>IF(""="","","")</x:f>
      </x:c>
      <x:c r="W16" s="138" t="str">
        <x:f>IF(""="","","")</x:f>
      </x:c>
      <x:c r="X16" s="138" t="str">
        <x:f>IF(""="","","")</x:f>
      </x:c>
      <x:c r="Y16" s="138" t="str">
        <x:f>IF(""="","","")</x:f>
      </x:c>
      <x:c r="Z16" s="138" t="str">
        <x:f>IF(""="","","")</x:f>
      </x:c>
      <x:c r="AA16" s="138" t="str">
        <x:f>IF(""="","","")</x:f>
      </x:c>
      <x:c r="AB16" s="138" t="str">
        <x:f>IF(""="","","")</x:f>
      </x:c>
      <x:c r="AC16" s="138" t="str">
        <x:f>IF(""="","","")</x:f>
      </x:c>
      <x:c r="AD16" s="138" t="str">
        <x:f>IF(""="","","")</x:f>
      </x:c>
      <x:c r="AE16" s="138" t="str">
        <x:f>IF(""="","","")</x:f>
      </x:c>
      <x:c r="AF16" s="139" t="str">
        <x:f>IF(""="","","")</x:f>
      </x:c>
    </x:row>
    <x:row r="17" ht="36" customHeight="1">
      <x:c r="A17" s="135" t="str">
        <x:v>Slash Commands?</x:v>
      </x:c>
      <x:c r="B17" s="100" t="str">
        <x:f>IF('Master'!C643="","",'Master'!C643)</x:f>
        <x:v>Yes — slash commands, components, modals, interactions</x:v>
      </x:c>
      <x:c r="C17" s="100" t="str">
        <x:f>IF('Master'!D643="","",'Master'!D643)</x:f>
        <x:v>Protocol-driven</x:v>
      </x:c>
      <x:c r="D17" s="100" t="str">
        <x:f>IF('Master'!E643="","",'Master'!E643)</x:f>
        <x:v>Plugin system</x:v>
      </x:c>
      <x:c r="E17" s="100" t="str">
        <x:f>IF('Master'!F643="","",'Master'!F643)</x:f>
      </x:c>
      <x:c r="F17" s="100" t="str">
        <x:f>IF('Master'!G643="","",'Master'!G643)</x:f>
        <x:v>Native slash commands exist; developer interaction API planned</x:v>
      </x:c>
      <x:c r="G17" s="100" t="str">
        <x:f>IF('Master'!H643="","",'Master'!H643)</x:f>
      </x:c>
      <x:c r="H17" s="100" t="str">
        <x:f>IF('Master'!I643="","",'Master'!I643)</x:f>
      </x:c>
      <x:c r="I17" s="100" t="str">
        <x:f>IF('Master'!J643="","",'Master'!J643)</x:f>
        <x:v>Interactions target</x:v>
      </x:c>
      <x:c r="J17" s="100" t="str">
        <x:f>IF('Master'!K643="","",'Master'!K643)</x:f>
        <x:v>No bot ecosystem yet</x:v>
      </x:c>
      <x:c r="K17" s="100" t="str">
        <x:f>IF('Master'!L643="","",'Master'!L643)</x:f>
        <x:v>Yes</x:v>
      </x:c>
      <x:c r="L17" s="100" t="str">
        <x:f>IF('Master'!M643="","",'Master'!M643)</x:f>
      </x:c>
      <x:c r="M17" s="100" t="str">
        <x:f>IF('Master'!N643="","",'Master'!N643)</x:f>
        <x:v>Slash commands/buttons/modals</x:v>
      </x:c>
      <x:c r="N17" s="100" t="str">
        <x:f>IF('Master'!O643="","",'Master'!O643)</x:f>
        <x:v>Client extensions/bots; interaction UX client-dependent</x:v>
      </x:c>
      <x:c r="O17" s="100" t="str">
        <x:f>IF('Master'!P643="","",'Master'!P643)</x:f>
        <x:v>Slash commands + interactive messages</x:v>
      </x:c>
      <x:c r="P17" s="100" t="str">
        <x:f>IF('Master'!Q643="","",'Master'!Q643)</x:f>
        <x:v>Bots</x:v>
      </x:c>
      <x:c r="Q17" s="100" t="str">
        <x:f>IF('Master'!R643="","",'Master'!R643)</x:f>
        <x:v>N/A</x:v>
      </x:c>
      <x:c r="R17" s="100" t="str">
        <x:f>IF('Master'!S643="","",'Master'!S643)</x:f>
        <x:v>Bots/API</x:v>
      </x:c>
      <x:c r="S17" s="100" t="str">
        <x:f>IF('Master'!T643="","",'Master'!T643)</x:f>
      </x:c>
      <x:c r="T17" s="100" t="str">
        <x:f>IF('Master'!U643="","",'Master'!U643)</x:f>
        <x:v>No public third-party interactions API; built-in /roll, /flip and /draw exist</x:v>
      </x:c>
      <x:c r="U17" s="100" t="str">
        <x:f>IF('Master'!V643="","",'Master'!V643)</x:f>
        <x:v>minimal</x:v>
      </x:c>
      <x:c r="V17" s="100" t="str">
        <x:f>IF('Master'!W643="","",'Master'!W643)</x:f>
        <x:v>Slash commands/apps</x:v>
      </x:c>
      <x:c r="W17" s="100" t="str">
        <x:f>IF('Master'!X643="","",'Master'!X643)</x:f>
      </x:c>
      <x:c r="X17" s="100" t="str">
        <x:f>IF('Master'!Y643="","",'Master'!Y643)</x:f>
        <x:v>Bots/commands + full GUI Apps</x:v>
      </x:c>
      <x:c r="Y17" s="100" t="str">
        <x:f>IF('Master'!Z643="","",'Master'!Z643)</x:f>
        <x:v>Discord interaction compatibility target</x:v>
      </x:c>
      <x:c r="Z17" s="100" t="str">
        <x:f>IF('Master'!AA643="","",'Master'!AA643)</x:f>
      </x:c>
      <x:c r="AA17" s="104" t="str">
        <x:f>IF('Master'!AB643="","",'Master'!AB643)</x:f>
      </x:c>
      <x:c r="AB17" s="100" t="str">
        <x:f>IF('Master'!AC643="","",'Master'!AC643)</x:f>
        <x:v>Bots/OAuth apps</x:v>
      </x:c>
      <x:c r="AC17" s="100" t="str">
        <x:f>IF('Master'!AD643="","",'Master'!AD643)</x:f>
      </x:c>
      <x:c r="AD17" s="100" t="str">
        <x:f>IF('Master'!AE643="","",'Master'!AE643)</x:f>
        <x:v>Native modules rather than bot-first</x:v>
      </x:c>
      <x:c r="AE17" s="100" t="str">
        <x:f>IF('Master'!AF643="","",'Master'!AF643)</x:f>
      </x:c>
      <x:c r="AF17" s="75" t="str">
        <x:f>IF('Master'!AG643="","",'Master'!AG643)</x:f>
        <x:v>Slash-command-style integrations/bots</x:v>
      </x:c>
    </x:row>
    <x:row r="18" ht="36" customHeight="1">
      <x:c r="A18" s="135" t="str">
        <x:v>Buttons / Components?</x:v>
      </x:c>
      <x:c r="B18" s="100" t="str">
        <x:f>IF('Master'!C644="","",'Master'!C644)</x:f>
        <x:v>Yes — slash commands, components, modals, interactions</x:v>
      </x:c>
      <x:c r="C18" s="100" t="str">
        <x:f>IF('Master'!D644="","",'Master'!D644)</x:f>
        <x:v>Protocol-driven</x:v>
      </x:c>
      <x:c r="D18" s="100" t="str">
        <x:f>IF('Master'!E644="","",'Master'!E644)</x:f>
        <x:v>Plugin system</x:v>
      </x:c>
      <x:c r="E18" s="100" t="str">
        <x:f>IF('Master'!F644="","",'Master'!F644)</x:f>
      </x:c>
      <x:c r="F18" s="100" t="str">
        <x:f>IF('Master'!G644="","",'Master'!G644)</x:f>
        <x:v>Native slash commands exist; developer interaction API planned</x:v>
      </x:c>
      <x:c r="G18" s="100" t="str">
        <x:f>IF('Master'!H644="","",'Master'!H644)</x:f>
      </x:c>
      <x:c r="H18" s="100" t="str">
        <x:f>IF('Master'!I644="","",'Master'!I644)</x:f>
      </x:c>
      <x:c r="I18" s="100" t="str">
        <x:f>IF('Master'!J644="","",'Master'!J644)</x:f>
        <x:v>Interactions target</x:v>
      </x:c>
      <x:c r="J18" s="100" t="str">
        <x:f>IF('Master'!K644="","",'Master'!K644)</x:f>
        <x:v>No bot ecosystem yet</x:v>
      </x:c>
      <x:c r="K18" s="100" t="str">
        <x:f>IF('Master'!L644="","",'Master'!L644)</x:f>
        <x:v>Yes</x:v>
      </x:c>
      <x:c r="L18" s="100" t="str">
        <x:f>IF('Master'!M644="","",'Master'!M644)</x:f>
      </x:c>
      <x:c r="M18" s="100" t="str">
        <x:f>IF('Master'!N644="","",'Master'!N644)</x:f>
        <x:v>Slash commands/buttons/modals</x:v>
      </x:c>
      <x:c r="N18" s="100" t="str">
        <x:f>IF('Master'!O644="","",'Master'!O644)</x:f>
        <x:v>Client extensions/bots; interaction UX client-dependent</x:v>
      </x:c>
      <x:c r="O18" s="100" t="str">
        <x:f>IF('Master'!P644="","",'Master'!P644)</x:f>
        <x:v>Slash commands + interactive messages</x:v>
      </x:c>
      <x:c r="P18" s="100" t="str">
        <x:f>IF('Master'!Q644="","",'Master'!Q644)</x:f>
        <x:v>Bots</x:v>
      </x:c>
      <x:c r="Q18" s="100" t="str">
        <x:f>IF('Master'!R644="","",'Master'!R644)</x:f>
        <x:v>N/A</x:v>
      </x:c>
      <x:c r="R18" s="100" t="str">
        <x:f>IF('Master'!S644="","",'Master'!S644)</x:f>
        <x:v>Bots/API</x:v>
      </x:c>
      <x:c r="S18" s="100" t="str">
        <x:f>IF('Master'!T644="","",'Master'!T644)</x:f>
      </x:c>
      <x:c r="T18" s="100" t="str">
        <x:f>IF('Master'!U644="","",'Master'!U644)</x:f>
      </x:c>
      <x:c r="U18" s="100" t="str">
        <x:f>IF('Master'!V644="","",'Master'!V644)</x:f>
        <x:v>Yes</x:v>
      </x:c>
      <x:c r="V18" s="100" t="str">
        <x:f>IF('Master'!W644="","",'Master'!W644)</x:f>
        <x:v>Slash commands/apps</x:v>
      </x:c>
      <x:c r="W18" s="100" t="str">
        <x:f>IF('Master'!X644="","",'Master'!X644)</x:f>
      </x:c>
      <x:c r="X18" s="100" t="str">
        <x:f>IF('Master'!Y644="","",'Master'!Y644)</x:f>
        <x:v>Bots/commands + full GUI Apps</x:v>
      </x:c>
      <x:c r="Y18" s="100" t="str">
        <x:f>IF('Master'!Z644="","",'Master'!Z644)</x:f>
        <x:v>Discord interaction compatibility target</x:v>
      </x:c>
      <x:c r="Z18" s="100" t="str">
        <x:f>IF('Master'!AA644="","",'Master'!AA644)</x:f>
      </x:c>
      <x:c r="AA18" s="104" t="str">
        <x:f>IF('Master'!AB644="","",'Master'!AB644)</x:f>
      </x:c>
      <x:c r="AB18" s="100" t="str">
        <x:f>IF('Master'!AC644="","",'Master'!AC644)</x:f>
        <x:v>Bots/OAuth apps</x:v>
      </x:c>
      <x:c r="AC18" s="100" t="str">
        <x:f>IF('Master'!AD644="","",'Master'!AD644)</x:f>
      </x:c>
      <x:c r="AD18" s="100" t="str">
        <x:f>IF('Master'!AE644="","",'Master'!AE644)</x:f>
        <x:v>Native modules rather than bot-first</x:v>
      </x:c>
      <x:c r="AE18" s="100" t="str">
        <x:f>IF('Master'!AF644="","",'Master'!AF644)</x:f>
      </x:c>
      <x:c r="AF18" s="75" t="str">
        <x:f>IF('Master'!AG644="","",'Master'!AG644)</x:f>
        <x:v>Slash-command-style integrations/bots</x:v>
      </x:c>
    </x:row>
    <x:row r="19" ht="36" customHeight="1">
      <x:c r="A19" s="135" t="str">
        <x:v>Modals / Forms?</x:v>
      </x:c>
      <x:c r="B19" s="100" t="str">
        <x:f>IF('Master'!C645="","",'Master'!C645)</x:f>
        <x:v>Yes — slash commands, components, modals, interactions</x:v>
      </x:c>
      <x:c r="C19" s="100" t="str">
        <x:f>IF('Master'!D645="","",'Master'!D645)</x:f>
        <x:v>Protocol-driven</x:v>
      </x:c>
      <x:c r="D19" s="100" t="str">
        <x:f>IF('Master'!E645="","",'Master'!E645)</x:f>
        <x:v>Plugin system</x:v>
      </x:c>
      <x:c r="E19" s="100" t="str">
        <x:f>IF('Master'!F645="","",'Master'!F645)</x:f>
      </x:c>
      <x:c r="F19" s="100" t="str">
        <x:f>IF('Master'!G645="","",'Master'!G645)</x:f>
        <x:v>Native slash commands exist; developer interaction API planned</x:v>
      </x:c>
      <x:c r="G19" s="100" t="str">
        <x:f>IF('Master'!H645="","",'Master'!H645)</x:f>
      </x:c>
      <x:c r="H19" s="100" t="str">
        <x:f>IF('Master'!I645="","",'Master'!I645)</x:f>
      </x:c>
      <x:c r="I19" s="100" t="str">
        <x:f>IF('Master'!J645="","",'Master'!J645)</x:f>
        <x:v>Interactions target</x:v>
      </x:c>
      <x:c r="J19" s="100" t="str">
        <x:f>IF('Master'!K645="","",'Master'!K645)</x:f>
        <x:v>No bot ecosystem yet</x:v>
      </x:c>
      <x:c r="K19" s="100" t="str">
        <x:f>IF('Master'!L645="","",'Master'!L645)</x:f>
        <x:v>Yes</x:v>
      </x:c>
      <x:c r="L19" s="100" t="str">
        <x:f>IF('Master'!M645="","",'Master'!M645)</x:f>
      </x:c>
      <x:c r="M19" s="100" t="str">
        <x:f>IF('Master'!N645="","",'Master'!N645)</x:f>
        <x:v>Slash commands/buttons/modals</x:v>
      </x:c>
      <x:c r="N19" s="100" t="str">
        <x:f>IF('Master'!O645="","",'Master'!O645)</x:f>
        <x:v>Client extensions/bots; interaction UX client-dependent</x:v>
      </x:c>
      <x:c r="O19" s="100" t="str">
        <x:f>IF('Master'!P645="","",'Master'!P645)</x:f>
        <x:v>Slash commands + interactive messages</x:v>
      </x:c>
      <x:c r="P19" s="100" t="str">
        <x:f>IF('Master'!Q645="","",'Master'!Q645)</x:f>
        <x:v>Bots</x:v>
      </x:c>
      <x:c r="Q19" s="100" t="str">
        <x:f>IF('Master'!R645="","",'Master'!R645)</x:f>
        <x:v>N/A</x:v>
      </x:c>
      <x:c r="R19" s="100" t="str">
        <x:f>IF('Master'!S645="","",'Master'!S645)</x:f>
        <x:v>Bots/API</x:v>
      </x:c>
      <x:c r="S19" s="100" t="str">
        <x:f>IF('Master'!T645="","",'Master'!T645)</x:f>
      </x:c>
      <x:c r="T19" s="100" t="str">
        <x:f>IF('Master'!U645="","",'Master'!U645)</x:f>
      </x:c>
      <x:c r="U19" s="100" t="str">
        <x:f>IF('Master'!V645="","",'Master'!V645)</x:f>
        <x:v>Yes</x:v>
      </x:c>
      <x:c r="V19" s="100" t="str">
        <x:f>IF('Master'!W645="","",'Master'!W645)</x:f>
        <x:v>Slash commands/apps</x:v>
      </x:c>
      <x:c r="W19" s="100" t="str">
        <x:f>IF('Master'!X645="","",'Master'!X645)</x:f>
      </x:c>
      <x:c r="X19" s="100" t="str">
        <x:f>IF('Master'!Y645="","",'Master'!Y645)</x:f>
        <x:v>Bots/commands + full GUI Apps</x:v>
      </x:c>
      <x:c r="Y19" s="100" t="str">
        <x:f>IF('Master'!Z645="","",'Master'!Z645)</x:f>
        <x:v>Discord interaction compatibility target</x:v>
      </x:c>
      <x:c r="Z19" s="100" t="str">
        <x:f>IF('Master'!AA645="","",'Master'!AA645)</x:f>
      </x:c>
      <x:c r="AA19" s="104" t="str">
        <x:f>IF('Master'!AB645="","",'Master'!AB645)</x:f>
      </x:c>
      <x:c r="AB19" s="100" t="str">
        <x:f>IF('Master'!AC645="","",'Master'!AC645)</x:f>
        <x:v>Bots/OAuth apps</x:v>
      </x:c>
      <x:c r="AC19" s="100" t="str">
        <x:f>IF('Master'!AD645="","",'Master'!AD645)</x:f>
      </x:c>
      <x:c r="AD19" s="100" t="str">
        <x:f>IF('Master'!AE645="","",'Master'!AE645)</x:f>
        <x:v>Native modules rather than bot-first</x:v>
      </x:c>
      <x:c r="AE19" s="100" t="str">
        <x:f>IF('Master'!AF645="","",'Master'!AF645)</x:f>
      </x:c>
      <x:c r="AF19" s="75" t="str">
        <x:f>IF('Master'!AG645="","",'Master'!AG645)</x:f>
        <x:v>Slash-command-style integrations/bots</x:v>
      </x:c>
    </x:row>
    <x:row r="20" ht="36" customHeight="1">
      <x:c r="A20" s="135" t="str">
        <x:v>Embedded Apps?</x:v>
      </x:c>
      <x:c r="B20" s="100" t="str">
        <x:f>IF('Master'!C646="","",'Master'!C646)</x:f>
        <x:v>Yes</x:v>
      </x:c>
      <x:c r="C20" s="100" t="str">
        <x:f>IF('Master'!D646="","",'Master'!D646)</x:f>
      </x:c>
      <x:c r="D20" s="100" t="str">
        <x:f>IF('Master'!E646="","",'Master'!E646)</x:f>
      </x:c>
      <x:c r="E20" s="100" t="str">
        <x:f>IF('Master'!F646="","",'Master'!F646)</x:f>
      </x:c>
      <x:c r="F20" s="100" t="str">
        <x:f>IF('Master'!G646="","",'Master'!G646)</x:f>
      </x:c>
      <x:c r="G20" s="100" t="str">
        <x:f>IF('Master'!H646="","",'Master'!H646)</x:f>
      </x:c>
      <x:c r="H20" s="100" t="str">
        <x:f>IF('Master'!I646="","",'Master'!I646)</x:f>
      </x:c>
      <x:c r="I20" s="100" t="str">
        <x:f>IF('Master'!J646="","",'Master'!J646)</x:f>
      </x:c>
      <x:c r="J20" s="100" t="str">
        <x:f>IF('Master'!K646="","",'Master'!K646)</x:f>
      </x:c>
      <x:c r="K20" s="100" t="str">
        <x:f>IF('Master'!L646="","",'Master'!L646)</x:f>
        <x:v>No embedded iframe/web-app runtime</x:v>
      </x:c>
      <x:c r="L20" s="100" t="str">
        <x:f>IF('Master'!M646="","",'Master'!M646)</x:f>
      </x:c>
      <x:c r="M20" s="100" t="str">
        <x:f>IF('Master'!N646="","",'Master'!N646)</x:f>
      </x:c>
      <x:c r="N20" s="100" t="str">
        <x:f>IF('Master'!O646="","",'Master'!O646)</x:f>
      </x:c>
      <x:c r="O20" s="100" t="str">
        <x:f>IF('Master'!P646="","",'Master'!P646)</x:f>
        <x:v>Yes</x:v>
      </x:c>
      <x:c r="P20" s="100" t="str">
        <x:f>IF('Master'!Q646="","",'Master'!Q646)</x:f>
        <x:v>Yes</x:v>
      </x:c>
      <x:c r="Q20" s="100" t="str">
        <x:f>IF('Master'!R646="","",'Master'!R646)</x:f>
      </x:c>
      <x:c r="R20" s="100" t="str">
        <x:f>IF('Master'!S646="","",'Master'!S646)</x:f>
      </x:c>
      <x:c r="S20" s="100" t="str">
        <x:f>IF('Master'!T646="","",'Master'!T646)</x:f>
      </x:c>
      <x:c r="T20" s="100" t="str">
        <x:f>IF('Master'!U646="","",'Master'!U646)</x:f>
      </x:c>
      <x:c r="U20" s="100" t="str">
        <x:f>IF('Master'!V646="","",'Master'!V646)</x:f>
        <x:v>Yes — Portals / embedded workspaces</x:v>
      </x:c>
      <x:c r="V20" s="100" t="str">
        <x:f>IF('Master'!W646="","",'Master'!W646)</x:f>
        <x:v>Yes</x:v>
      </x:c>
      <x:c r="W20" s="100" t="str">
        <x:f>IF('Master'!X646="","",'Master'!X646)</x:f>
      </x:c>
      <x:c r="X20" s="100" t="str">
        <x:f>IF('Master'!Y646="","",'Master'!Y646)</x:f>
        <x:v>Yes</x:v>
      </x:c>
      <x:c r="Y20" s="100" t="str">
        <x:f>IF('Master'!Z646="","",'Master'!Z646)</x:f>
      </x:c>
      <x:c r="Z20" s="100" t="str">
        <x:f>IF('Master'!AA646="","",'Master'!AA646)</x:f>
      </x:c>
      <x:c r="AA20" s="104" t="str">
        <x:f>IF('Master'!AB646="","",'Master'!AB646)</x:f>
      </x:c>
      <x:c r="AB20" s="100" t="str">
        <x:f>IF('Master'!AC646="","",'Master'!AC646)</x:f>
      </x:c>
      <x:c r="AC20" s="100" t="str">
        <x:f>IF('Master'!AD646="","",'Master'!AD646)</x:f>
      </x:c>
      <x:c r="AD20" s="100" t="str">
        <x:f>IF('Master'!AE646="","",'Master'!AE646)</x:f>
      </x:c>
      <x:c r="AE20" s="100" t="str">
        <x:f>IF('Master'!AF646="","",'Master'!AF646)</x:f>
      </x:c>
      <x:c r="AF20" s="75" t="str">
        <x:f>IF('Master'!AG646="","",'Master'!AG646)</x:f>
      </x:c>
    </x:row>
    <x:row r="21" ht="22" customHeight="1">
      <x:c r="A21" s="138" t="str">
        <x:v>Extensibility</x:v>
      </x:c>
      <x:c r="B21" s="138" t="str">
        <x:f>IF(""="","","")</x:f>
      </x:c>
      <x:c r="C21" s="138" t="str">
        <x:f>IF(""="","","")</x:f>
      </x:c>
      <x:c r="D21" s="138" t="str">
        <x:f>IF(""="","","")</x:f>
      </x:c>
      <x:c r="E21" s="138" t="str">
        <x:f>IF(""="","","")</x:f>
      </x:c>
      <x:c r="F21" s="138" t="str">
        <x:f>IF(""="","","")</x:f>
      </x:c>
      <x:c r="G21" s="138" t="str">
        <x:f>IF(""="","","")</x:f>
      </x:c>
      <x:c r="H21" s="138" t="str">
        <x:f>IF(""="","","")</x:f>
      </x:c>
      <x:c r="I21" s="138" t="str">
        <x:f>IF(""="","","")</x:f>
      </x:c>
      <x:c r="J21" s="138" t="str">
        <x:f>IF(""="","","")</x:f>
      </x:c>
      <x:c r="K21" s="138" t="str">
        <x:f>IF(""="","","")</x:f>
      </x:c>
      <x:c r="L21" s="138" t="str">
        <x:f>IF(""="","","")</x:f>
      </x:c>
      <x:c r="M21" s="138" t="str">
        <x:f>IF(""="","","")</x:f>
      </x:c>
      <x:c r="N21" s="138" t="str">
        <x:f>IF(""="","","")</x:f>
      </x:c>
      <x:c r="O21" s="138" t="str">
        <x:f>IF(""="","","")</x:f>
      </x:c>
      <x:c r="P21" s="138" t="str">
        <x:f>IF(""="","","")</x:f>
      </x:c>
      <x:c r="Q21" s="138" t="str">
        <x:f>IF(""="","","")</x:f>
      </x:c>
      <x:c r="R21" s="138" t="str">
        <x:f>IF(""="","","")</x:f>
      </x:c>
      <x:c r="S21" s="138" t="str">
        <x:f>IF(""="","","")</x:f>
      </x:c>
      <x:c r="T21" s="138" t="str">
        <x:f>IF(""="","","")</x:f>
      </x:c>
      <x:c r="U21" s="138" t="str">
        <x:f>IF(""="","","")</x:f>
      </x:c>
      <x:c r="V21" s="138" t="str">
        <x:f>IF(""="","","")</x:f>
      </x:c>
      <x:c r="W21" s="138" t="str">
        <x:f>IF(""="","","")</x:f>
      </x:c>
      <x:c r="X21" s="138" t="str">
        <x:f>IF(""="","","")</x:f>
      </x:c>
      <x:c r="Y21" s="138" t="str">
        <x:f>IF(""="","","")</x:f>
      </x:c>
      <x:c r="Z21" s="138" t="str">
        <x:f>IF(""="","","")</x:f>
      </x:c>
      <x:c r="AA21" s="138" t="str">
        <x:f>IF(""="","","")</x:f>
      </x:c>
      <x:c r="AB21" s="138" t="str">
        <x:f>IF(""="","","")</x:f>
      </x:c>
      <x:c r="AC21" s="138" t="str">
        <x:f>IF(""="","","")</x:f>
      </x:c>
      <x:c r="AD21" s="138" t="str">
        <x:f>IF(""="","","")</x:f>
      </x:c>
      <x:c r="AE21" s="138" t="str">
        <x:f>IF(""="","","")</x:f>
      </x:c>
      <x:c r="AF21" s="139" t="str">
        <x:f>IF(""="","","")</x:f>
      </x:c>
    </x:row>
    <x:row r="22" ht="36" customHeight="1">
      <x:c r="A22" s="135" t="str">
        <x:v>Server Plugins?</x:v>
      </x:c>
      <x:c r="B22" s="100" t="str">
        <x:f>IF('Master'!C647="","",'Master'!C647)</x:f>
      </x:c>
      <x:c r="C22" s="100" t="str">
        <x:f>IF('Master'!D647="","",'Master'!D647)</x:f>
      </x:c>
      <x:c r="D22" s="100" t="str">
        <x:f>IF('Master'!E647="","",'Master'!E647)</x:f>
        <x:v>Yes</x:v>
      </x:c>
      <x:c r="E22" s="100" t="str">
        <x:f>IF('Master'!F647="","",'Master'!F647)</x:f>
      </x:c>
      <x:c r="F22" s="100" t="str">
        <x:f>IF('Master'!G647="","",'Master'!G647)</x:f>
      </x:c>
      <x:c r="G22" s="100" t="str">
        <x:f>IF('Master'!H647="","",'Master'!H647)</x:f>
      </x:c>
      <x:c r="H22" s="100" t="str">
        <x:f>IF('Master'!I647="","",'Master'!I647)</x:f>
      </x:c>
      <x:c r="I22" s="100" t="str">
        <x:f>IF('Master'!J647="","",'Master'!J647)</x:f>
      </x:c>
      <x:c r="J22" s="100" t="str">
        <x:f>IF('Master'!K647="","",'Master'!K647)</x:f>
      </x:c>
      <x:c r="K22" s="100" t="str">
        <x:f>IF('Master'!L647="","",'Master'!L647)</x:f>
        <x:v>No server-plugin system documented</x:v>
      </x:c>
      <x:c r="L22" s="100" t="str">
        <x:f>IF('Master'!M647="","",'Master'!M647)</x:f>
      </x:c>
      <x:c r="M22" s="100" t="str">
        <x:f>IF('Master'!N647="","",'Master'!N647)</x:f>
      </x:c>
      <x:c r="N22" s="100" t="str">
        <x:f>IF('Master'!O647="","",'Master'!O647)</x:f>
      </x:c>
      <x:c r="O22" s="100" t="str">
        <x:f>IF('Master'!P647="","",'Master'!P647)</x:f>
        <x:v>Yes</x:v>
      </x:c>
      <x:c r="P22" s="100" t="str">
        <x:f>IF('Master'!Q647="","",'Master'!Q647)</x:f>
      </x:c>
      <x:c r="Q22" s="100" t="str">
        <x:f>IF('Master'!R647="","",'Master'!R647)</x:f>
        <x:v>Yes</x:v>
      </x:c>
      <x:c r="R22" s="100" t="str">
        <x:f>IF('Master'!S647="","",'Master'!S647)</x:f>
      </x:c>
      <x:c r="S22" s="100" t="str">
        <x:f>IF('Master'!T647="","",'Master'!T647)</x:f>
      </x:c>
      <x:c r="T22" s="100" t="str">
        <x:f>IF('Master'!U647="","",'Master'!U647)</x:f>
      </x:c>
      <x:c r="U22" s="100" t="str">
        <x:f>IF('Master'!V647="","",'Master'!V647)</x:f>
      </x:c>
      <x:c r="V22" s="100" t="str">
        <x:f>IF('Master'!W647="","",'Master'!W647)</x:f>
        <x:v>Yes</x:v>
      </x:c>
      <x:c r="W22" s="100" t="str">
        <x:f>IF('Master'!X647="","",'Master'!X647)</x:f>
      </x:c>
      <x:c r="X22" s="100" t="str">
        <x:f>IF('Master'!Y647="","",'Master'!Y647)</x:f>
      </x:c>
      <x:c r="Y22" s="100" t="str">
        <x:f>IF('Master'!Z647="","",'Master'!Z647)</x:f>
      </x:c>
      <x:c r="Z22" s="100" t="str">
        <x:f>IF('Master'!AA647="","",'Master'!AA647)</x:f>
      </x:c>
      <x:c r="AA22" s="104" t="str">
        <x:f>IF('Master'!AB647="","",'Master'!AB647)</x:f>
        <x:v>Yes</x:v>
      </x:c>
      <x:c r="AB22" s="100" t="str">
        <x:f>IF('Master'!AC647="","",'Master'!AC647)</x:f>
      </x:c>
      <x:c r="AC22" s="100" t="str">
        <x:f>IF('Master'!AD647="","",'Master'!AD647)</x:f>
      </x:c>
      <x:c r="AD22" s="100" t="str">
        <x:f>IF('Master'!AE647="","",'Master'!AE647)</x:f>
      </x:c>
      <x:c r="AE22" s="100" t="str">
        <x:f>IF('Master'!AF647="","",'Master'!AF647)</x:f>
      </x:c>
      <x:c r="AF22" s="75" t="str">
        <x:f>IF('Master'!AG647="","",'Master'!AG647)</x:f>
      </x:c>
    </x:row>
    <x:row r="23" ht="36" customHeight="1">
      <x:c r="A23" s="135" t="str">
        <x:v>Client Plugins?</x:v>
      </x:c>
      <x:c r="B23" s="100" t="str">
        <x:f>IF('Master'!C648="","",'Master'!C648)</x:f>
        <x:v>No official client plugin/modding architecture</x:v>
      </x:c>
      <x:c r="C23" s="100" t="str">
        <x:f>IF('Master'!D648="","",'Master'!D648)</x:f>
        <x:v>Independent clients possible</x:v>
      </x:c>
      <x:c r="D23" s="100" t="str">
        <x:f>IF('Master'!E648="","",'Master'!E648)</x:f>
        <x:v>Plugin system</x:v>
      </x:c>
      <x:c r="E23" s="100" t="str">
        <x:f>IF('Master'!F648="","",'Master'!F648)</x:f>
      </x:c>
      <x:c r="F23" s="100" t="str">
        <x:f>IF('Master'!G648="","",'Master'!G648)</x:f>
        <x:v>No</x:v>
      </x:c>
      <x:c r="G23" s="100" t="str">
        <x:f>IF('Master'!H648="","",'Master'!H648)</x:f>
        <x:v>No official client-plugin architecture verified</x:v>
      </x:c>
      <x:c r="H23" s="100" t="str">
        <x:f>IF('Master'!I648="","",'Master'!I648)</x:f>
        <x:v>No client plugins verified</x:v>
      </x:c>
      <x:c r="I23" s="100" t="str">
        <x:f>IF('Master'!J648="","",'Master'!J648)</x:f>
        <x:v>Independent clients encouraged</x:v>
      </x:c>
      <x:c r="J23" s="100" t="str">
        <x:f>IF('Master'!K648="","",'Master'!K648)</x:f>
        <x:v>No plugin ecosystem</x:v>
      </x:c>
      <x:c r="K23" s="100" t="str">
        <x:f>IF('Master'!L648="","",'Master'!L648)</x:f>
        <x:v>No general client plugin architecture documented; custom CSS/theme support is developer-reported</x:v>
      </x:c>
      <x:c r="L23" s="100" t="str">
        <x:f>IF('Master'!M648="","",'Master'!M648)</x:f>
      </x:c>
      <x:c r="M23" s="100" t="str">
        <x:f>IF('Master'!N648="","",'Master'!N648)</x:f>
        <x:v>No client plugins verified</x:v>
      </x:c>
      <x:c r="N23" s="100" t="str">
        <x:f>IF('Master'!O648="","",'Master'!O648)</x:f>
        <x:v>Multiple independent clients rather than plugins to one official client</x:v>
      </x:c>
      <x:c r="O23" s="100" t="str">
        <x:f>IF('Master'!P648="","",'Master'!P648)</x:f>
        <x:v>Plugin architecture (server/webapp)</x:v>
      </x:c>
      <x:c r="P23" s="100" t="str">
        <x:f>IF('Master'!Q648="","",'Master'!Q648)</x:f>
      </x:c>
      <x:c r="Q23" s="100" t="str">
        <x:f>IF('Master'!R648="","",'Master'!R648)</x:f>
        <x:v>Plugins supported</x:v>
      </x:c>
      <x:c r="R23" s="100" t="str">
        <x:f>IF('Master'!S648="","",'Master'!S648)</x:f>
        <x:v>Themes/RPC</x:v>
      </x:c>
      <x:c r="S23" s="100" t="str">
        <x:f>IF('Master'!T648="","",'Master'!T648)</x:f>
      </x:c>
      <x:c r="T23" s="100" t="str">
        <x:f>IF('Master'!U648="","",'Master'!U648)</x:f>
        <x:v>No official plugin architecture claimed</x:v>
      </x:c>
      <x:c r="U23" s="100" t="str">
        <x:f>IF('Master'!V648="","",'Master'!V648)</x:f>
      </x:c>
      <x:c r="V23" s="100" t="str">
        <x:f>IF('Master'!W648="","",'Master'!W648)</x:f>
        <x:v>Apps/plugin framework</x:v>
      </x:c>
      <x:c r="W23" s="100" t="str">
        <x:f>IF('Master'!X648="","",'Master'!X648)</x:f>
        <x:v>Open protocol client ecosystem</x:v>
      </x:c>
      <x:c r="X23" s="100" t="str">
        <x:f>IF('Master'!Y648="","",'Master'!Y648)</x:f>
        <x:v>No client modding</x:v>
      </x:c>
      <x:c r="Y23" s="100" t="str">
        <x:f>IF('Master'!Z648="","",'Master'!Z648)</x:f>
        <x:v>Spacebar-aware client theming/plugin goals</x:v>
      </x:c>
      <x:c r="Z23" s="100" t="str">
        <x:f>IF('Master'!AA648="","",'Master'!AA648)</x:f>
        <x:v>Community clients/themes; no stable official plugin architecture verified</x:v>
      </x:c>
      <x:c r="AA23" s="104" t="str">
        <x:f>IF('Master'!AB648="","",'Master'!AB648)</x:f>
        <x:v>Plugins/addons ecosystem</x:v>
      </x:c>
      <x:c r="AB23" s="100" t="str">
        <x:f>IF('Master'!AC648="","",'Master'!AC648)</x:f>
        <x:v>Themes rather than client mods</x:v>
      </x:c>
      <x:c r="AC23" s="100" t="str">
        <x:f>IF('Master'!AD648="","",'Master'!AD648)</x:f>
        <x:v>No</x:v>
      </x:c>
      <x:c r="AD23" s="100" t="str">
        <x:f>IF('Master'!AE648="","",'Master'!AE648)</x:f>
        <x:v>No</x:v>
      </x:c>
      <x:c r="AE23" s="100" t="str">
        <x:f>IF('Master'!AF648="","",'Master'!AF648)</x:f>
      </x:c>
      <x:c r="AF23" s="75" t="str">
        <x:f>IF('Master'!AG648="","",'Master'!AG648)</x:f>
        <x:v>No client plugin architecture</x:v>
      </x:c>
    </x:row>
    <x:row r="24" ht="36" customHeight="1">
      <x:c r="A24" s="135" t="str">
        <x:v>OAuth2?</x:v>
      </x:c>
      <x:c r="B24" s="100" t="str">
        <x:f>IF('Master'!C649="","",'Master'!C649)</x:f>
        <x:v>Yes</x:v>
      </x:c>
      <x:c r="C24" s="100" t="str">
        <x:f>IF('Master'!D649="","",'Master'!D649)</x:f>
      </x:c>
      <x:c r="D24" s="100" t="str">
        <x:f>IF('Master'!E649="","",'Master'!E649)</x:f>
      </x:c>
      <x:c r="E24" s="100" t="str">
        <x:f>IF('Master'!F649="","",'Master'!F649)</x:f>
      </x:c>
      <x:c r="F24" s="100" t="str">
        <x:f>IF('Master'!G649="","",'Master'!G649)</x:f>
      </x:c>
      <x:c r="G24" s="100" t="str">
        <x:f>IF('Master'!H649="","",'Master'!H649)</x:f>
      </x:c>
      <x:c r="H24" s="100" t="str">
        <x:f>IF('Master'!I649="","",'Master'!I649)</x:f>
      </x:c>
      <x:c r="I24" s="100" t="str">
        <x:f>IF('Master'!J649="","",'Master'!J649)</x:f>
      </x:c>
      <x:c r="J24" s="100" t="str">
        <x:f>IF('Master'!K649="","",'Master'!K649)</x:f>
      </x:c>
      <x:c r="K24" s="100" t="str">
        <x:f>IF('Master'!L649="","",'Master'!L649)</x:f>
        <x:v>No OAuth2 login flow documented; apps use Kaede-specific install templates/scoped credentials</x:v>
      </x:c>
      <x:c r="L24" s="100" t="str">
        <x:f>IF('Master'!M649="","",'Master'!M649)</x:f>
      </x:c>
      <x:c r="M24" s="100" t="str">
        <x:f>IF('Master'!N649="","",'Master'!N649)</x:f>
      </x:c>
      <x:c r="N24" s="100" t="str">
        <x:f>IF('Master'!O649="","",'Master'!O649)</x:f>
      </x:c>
      <x:c r="O24" s="100" t="str">
        <x:f>IF('Master'!P649="","",'Master'!P649)</x:f>
        <x:v>Yes</x:v>
      </x:c>
      <x:c r="P24" s="100" t="str">
        <x:f>IF('Master'!Q649="","",'Master'!Q649)</x:f>
      </x:c>
      <x:c r="Q24" s="100" t="str">
        <x:f>IF('Master'!R649="","",'Master'!R649)</x:f>
      </x:c>
      <x:c r="R24" s="100" t="str">
        <x:f>IF('Master'!S649="","",'Master'!S649)</x:f>
      </x:c>
      <x:c r="S24" s="100" t="str">
        <x:f>IF('Master'!T649="","",'Master'!T649)</x:f>
      </x:c>
      <x:c r="T24" s="100" t="str">
        <x:f>IF('Master'!U649="","",'Master'!U649)</x:f>
      </x:c>
      <x:c r="U24" s="100" t="str">
        <x:f>IF('Master'!V649="","",'Master'!V649)</x:f>
      </x:c>
      <x:c r="V24" s="100" t="str">
        <x:f>IF('Master'!W649="","",'Master'!W649)</x:f>
        <x:v>Yes</x:v>
      </x:c>
      <x:c r="W24" s="100" t="str">
        <x:f>IF('Master'!X649="","",'Master'!X649)</x:f>
      </x:c>
      <x:c r="X24" s="100" t="str">
        <x:f>IF('Master'!Y649="","",'Master'!Y649)</x:f>
      </x:c>
      <x:c r="Y24" s="100" t="str">
        <x:f>IF('Master'!Z649="","",'Master'!Z649)</x:f>
      </x:c>
      <x:c r="Z24" s="100" t="str">
        <x:f>IF('Master'!AA649="","",'Master'!AA649)</x:f>
      </x:c>
      <x:c r="AA24" s="104" t="str">
        <x:f>IF('Master'!AB649="","",'Master'!AB649)</x:f>
      </x:c>
      <x:c r="AB24" s="100" t="str">
        <x:f>IF('Master'!AC649="","",'Master'!AC649)</x:f>
        <x:v>Yes</x:v>
      </x:c>
      <x:c r="AC24" s="100" t="str">
        <x:f>IF('Master'!AD649="","",'Master'!AD649)</x:f>
      </x:c>
      <x:c r="AD24" s="100" t="str">
        <x:f>IF('Master'!AE649="","",'Master'!AE649)</x:f>
      </x:c>
      <x:c r="AE24" s="100" t="str">
        <x:f>IF('Master'!AF649="","",'Master'!AF649)</x:f>
      </x:c>
      <x:c r="AF24" s="75" t="str">
        <x:f>IF('Master'!AG649="","",'Master'!AG649)</x:f>
      </x:c>
    </x:row>
    <x:row r="25" ht="36" customHeight="1">
      <x:c r="A25" s="135" t="str">
        <x:v>Developer Portal?</x:v>
      </x:c>
      <x:c r="B25" s="100" t="str">
        <x:f>IF('Master'!C650="","",'Master'!C650)</x:f>
        <x:v>Yes — Developer Portal + per-route/global REST limits; Gateway 120 events/60s/connection</x:v>
      </x:c>
      <x:c r="C25" s="100" t="str">
        <x:f>IF('Master'!D650="","",'Master'!D650)</x:f>
        <x:v>Open source</x:v>
      </x:c>
      <x:c r="D25" s="100" t="str">
        <x:f>IF('Master'!E650="","",'Master'!E650)</x:f>
        <x:v>Operator configured</x:v>
      </x:c>
      <x:c r="E25" s="100" t="str">
        <x:f>IF('Master'!F650="","",'Master'!F650)</x:f>
      </x:c>
      <x:c r="F25" s="100" t="str">
        <x:f>IF('Master'!G650="","",'Master'!G650)</x:f>
        <x:v>No public developer portal/API limits yet</x:v>
      </x:c>
      <x:c r="G25" s="100" t="str">
        <x:f>IF('Master'!H650="","",'Master'!H650)</x:f>
      </x:c>
      <x:c r="H25" s="100" t="str">
        <x:f>IF('Master'!I650="","",'Master'!I650)</x:f>
      </x:c>
      <x:c r="I25" s="100" t="str">
        <x:f>IF('Master'!J650="","",'Master'!J650)</x:f>
        <x:v>Public source/API</x:v>
      </x:c>
      <x:c r="J25" s="100" t="str">
        <x:f>IF('Master'!K650="","",'Master'!K650)</x:f>
        <x:v>Source/whitepaper</x:v>
      </x:c>
      <x:c r="K25" s="100" t="str">
        <x:f>IF('Master'!L650="","",'Master'!L650)</x:f>
        <x:v>Yes</x:v>
      </x:c>
      <x:c r="L25" s="100" t="str">
        <x:f>IF('Master'!M650="","",'Master'!M650)</x:f>
      </x:c>
      <x:c r="M25" s="100" t="str">
        <x:f>IF('Master'!N650="","",'Master'!N650)</x:f>
      </x:c>
      <x:c r="N25" s="100" t="str">
        <x:f>IF('Master'!O650="","",'Master'!O650)</x:f>
        <x:v>Public spec/API; rate limits homeserver-dependent</x:v>
      </x:c>
      <x:c r="O25" s="100" t="str">
        <x:f>IF('Master'!P650="","",'Master'!P650)</x:f>
        <x:v>Documented APIs/rate limits</x:v>
      </x:c>
      <x:c r="P25" s="100" t="str">
        <x:f>IF('Master'!Q650="","",'Master'!Q650)</x:f>
        <x:v>Public API/docs</x:v>
      </x:c>
      <x:c r="Q25" s="100" t="str">
        <x:f>IF('Master'!R650="","",'Master'!R650)</x:f>
        <x:v>Public protocol/docs; limits server-controlled</x:v>
      </x:c>
      <x:c r="R25" s="100" t="str">
        <x:f>IF('Master'!S650="","",'Master'!S650)</x:f>
        <x:v>Public API docs</x:v>
      </x:c>
      <x:c r="S25" s="100" t="str">
        <x:f>IF('Master'!T650="","",'Master'!T650)</x:f>
      </x:c>
      <x:c r="T25" s="100" t="str">
        <x:f>IF('Master'!U650="","",'Master'!U650)</x:f>
        <x:v>No public developer portal</x:v>
      </x:c>
      <x:c r="U25" s="100" t="str">
        <x:f>IF('Master'!V650="","",'Master'!V650)</x:f>
        <x:v>No</x:v>
      </x:c>
      <x:c r="V25" s="100" t="str">
        <x:f>IF('Master'!W650="","",'Master'!W650)</x:f>
        <x:v>Public API docs/rate limits</x:v>
      </x:c>
      <x:c r="W25" s="100" t="str">
        <x:f>IF('Master'!X650="","",'Master'!X650)</x:f>
        <x:v>Public code</x:v>
      </x:c>
      <x:c r="X25" s="100" t="str">
        <x:f>IF('Master'!Y650="","",'Master'!Y650)</x:f>
      </x:c>
      <x:c r="Y25" s="100" t="str">
        <x:f>IF('Master'!Z650="","",'Master'!Z650)</x:f>
        <x:v>Documented API; operator-configurable</x:v>
      </x:c>
      <x:c r="Z25" s="100" t="str">
        <x:f>IF('Master'!AA650="","",'Master'!AA650)</x:f>
      </x:c>
      <x:c r="AA25" s="104" t="str">
        <x:f>IF('Master'!AB650="","",'Master'!AB650)</x:f>
      </x:c>
      <x:c r="AB25" s="100" t="str">
        <x:f>IF('Master'!AC650="","",'Master'!AC650)</x:f>
        <x:v>Public API</x:v>
      </x:c>
      <x:c r="AC25" s="100" t="str">
        <x:f>IF('Master'!AD650="","",'Master'!AD650)</x:f>
      </x:c>
      <x:c r="AD25" s="100" t="str">
        <x:f>IF('Master'!AE650="","",'Master'!AE650)</x:f>
      </x:c>
      <x:c r="AE25" s="100" t="str">
        <x:f>IF('Master'!AF650="","",'Master'!AF650)</x:f>
      </x:c>
      <x:c r="AF25" s="75" t="str">
        <x:f>IF('Master'!AG650="","",'Master'!AG650)</x:f>
        <x:v>Public API docs/rate behavior</x:v>
      </x:c>
    </x:row>
    <x:row r="26" ht="36" customHeight="1">
      <x:c r="A26" s="135" t="str">
        <x:v>API Rate Limits Published?</x:v>
      </x:c>
      <x:c r="B26" s="100" t="str">
        <x:f>IF('Master'!C651="","",'Master'!C651)</x:f>
        <x:v>Yes — Developer Portal + per-route/global REST limits; Gateway 120 events/60s/connection</x:v>
      </x:c>
      <x:c r="C26" s="100" t="str">
        <x:f>IF('Master'!D651="","",'Master'!D651)</x:f>
        <x:v>Open source</x:v>
      </x:c>
      <x:c r="D26" s="100" t="str">
        <x:f>IF('Master'!E651="","",'Master'!E651)</x:f>
        <x:v>Operator configured</x:v>
      </x:c>
      <x:c r="E26" s="100" t="str">
        <x:f>IF('Master'!F651="","",'Master'!F651)</x:f>
      </x:c>
      <x:c r="F26" s="100" t="str">
        <x:f>IF('Master'!G651="","",'Master'!G651)</x:f>
        <x:v>No public developer portal/API limits yet</x:v>
      </x:c>
      <x:c r="G26" s="100" t="str">
        <x:f>IF('Master'!H651="","",'Master'!H651)</x:f>
      </x:c>
      <x:c r="H26" s="100" t="str">
        <x:f>IF('Master'!I651="","",'Master'!I651)</x:f>
      </x:c>
      <x:c r="I26" s="100" t="str">
        <x:f>IF('Master'!J651="","",'Master'!J651)</x:f>
        <x:v>Public source/API</x:v>
      </x:c>
      <x:c r="J26" s="100" t="str">
        <x:f>IF('Master'!K651="","",'Master'!K651)</x:f>
        <x:v>Source/whitepaper</x:v>
      </x:c>
      <x:c r="K26" s="100" t="str">
        <x:f>IF('Master'!L651="","",'Master'!L651)</x:f>
        <x:v>Rate limiting is implemented and Retry-After is handled; exact per-endpoint quotas are not exhaustively summarized in the reviewed docs</x:v>
      </x:c>
      <x:c r="L26" s="100" t="str">
        <x:f>IF('Master'!M651="","",'Master'!M651)</x:f>
      </x:c>
      <x:c r="M26" s="100" t="str">
        <x:f>IF('Master'!N651="","",'Master'!N651)</x:f>
      </x:c>
      <x:c r="N26" s="100" t="str">
        <x:f>IF('Master'!O651="","",'Master'!O651)</x:f>
        <x:v>Public spec/API; rate limits homeserver-dependent</x:v>
      </x:c>
      <x:c r="O26" s="100" t="str">
        <x:f>IF('Master'!P651="","",'Master'!P651)</x:f>
        <x:v>Documented APIs/rate limits</x:v>
      </x:c>
      <x:c r="P26" s="100" t="str">
        <x:f>IF('Master'!Q651="","",'Master'!Q651)</x:f>
        <x:v>Public API/docs</x:v>
      </x:c>
      <x:c r="Q26" s="100" t="str">
        <x:f>IF('Master'!R651="","",'Master'!R651)</x:f>
        <x:v>Public protocol/docs; limits server-controlled</x:v>
      </x:c>
      <x:c r="R26" s="100" t="str">
        <x:f>IF('Master'!S651="","",'Master'!S651)</x:f>
        <x:v>Public API docs</x:v>
      </x:c>
      <x:c r="S26" s="100" t="str">
        <x:f>IF('Master'!T651="","",'Master'!T651)</x:f>
      </x:c>
      <x:c r="T26" s="100" t="str">
        <x:f>IF('Master'!U651="","",'Master'!U651)</x:f>
        <x:v>Not for third-party developers; no public bot API</x:v>
      </x:c>
      <x:c r="U26" s="100" t="str">
        <x:f>IF('Master'!V651="","",'Master'!V651)</x:f>
      </x:c>
      <x:c r="V26" s="100" t="str">
        <x:f>IF('Master'!W651="","",'Master'!W651)</x:f>
        <x:v>Public API docs/rate limits</x:v>
      </x:c>
      <x:c r="W26" s="100" t="str">
        <x:f>IF('Master'!X651="","",'Master'!X651)</x:f>
        <x:v>Public code</x:v>
      </x:c>
      <x:c r="X26" s="100" t="str">
        <x:f>IF('Master'!Y651="","",'Master'!Y651)</x:f>
      </x:c>
      <x:c r="Y26" s="100" t="str">
        <x:f>IF('Master'!Z651="","",'Master'!Z651)</x:f>
        <x:v>Documented API; operator-configurable</x:v>
      </x:c>
      <x:c r="Z26" s="100" t="str">
        <x:f>IF('Master'!AA651="","",'Master'!AA651)</x:f>
      </x:c>
      <x:c r="AA26" s="104" t="str">
        <x:f>IF('Master'!AB651="","",'Master'!AB651)</x:f>
      </x:c>
      <x:c r="AB26" s="100" t="str">
        <x:f>IF('Master'!AC651="","",'Master'!AC651)</x:f>
        <x:v>Public API</x:v>
      </x:c>
      <x:c r="AC26" s="100" t="str">
        <x:f>IF('Master'!AD651="","",'Master'!AD651)</x:f>
      </x:c>
      <x:c r="AD26" s="100" t="str">
        <x:f>IF('Master'!AE651="","",'Master'!AE651)</x:f>
      </x:c>
      <x:c r="AE26" s="100" t="str">
        <x:f>IF('Master'!AF651="","",'Master'!AF651)</x:f>
      </x:c>
      <x:c r="AF26" s="75" t="str">
        <x:f>IF('Master'!AG651="","",'Master'!AG651)</x:f>
        <x:v>Public API docs/rate behavior</x:v>
      </x:c>
    </x:row>
    <x:row r="27" ht="36" customHeight="1">
      <x:c r="A27" s="135" t="str">
        <x:v>Bot Hosting Included?</x:v>
      </x:c>
      <x:c r="B27" s="100" t="str">
        <x:f>IF('Master'!C652="","",'Master'!C652)</x:f>
      </x:c>
      <x:c r="C27" s="100" t="str">
        <x:f>IF('Master'!D652="","",'Master'!D652)</x:f>
      </x:c>
      <x:c r="D27" s="100" t="str">
        <x:f>IF('Master'!E652="","",'Master'!E652)</x:f>
      </x:c>
      <x:c r="E27" s="100" t="str">
        <x:f>IF('Master'!F652="","",'Master'!F652)</x:f>
      </x:c>
      <x:c r="F27" s="100" t="str">
        <x:f>IF('Master'!G652="","",'Master'!G652)</x:f>
      </x:c>
      <x:c r="G27" s="100" t="str">
        <x:f>IF('Master'!H652="","",'Master'!H652)</x:f>
      </x:c>
      <x:c r="H27" s="100" t="str">
        <x:f>IF('Master'!I652="","",'Master'!I652)</x:f>
      </x:c>
      <x:c r="I27" s="100" t="str">
        <x:f>IF('Master'!J652="","",'Master'!J652)</x:f>
      </x:c>
      <x:c r="J27" s="100" t="str">
        <x:f>IF('Master'!K652="","",'Master'!K652)</x:f>
      </x:c>
      <x:c r="K27" s="100" t="str">
        <x:f>IF('Master'!L652="","",'Master'!L652)</x:f>
        <x:v>No bundled bot hosting; developers run their own Python workers</x:v>
      </x:c>
      <x:c r="L27" s="100" t="str">
        <x:f>IF('Master'!M652="","",'Master'!M652)</x:f>
      </x:c>
      <x:c r="M27" s="100" t="str">
        <x:f>IF('Master'!N652="","",'Master'!N652)</x:f>
      </x:c>
      <x:c r="N27" s="100" t="str">
        <x:f>IF('Master'!O652="","",'Master'!O652)</x:f>
      </x:c>
      <x:c r="O27" s="100" t="str">
        <x:f>IF('Master'!P652="","",'Master'!P652)</x:f>
      </x:c>
      <x:c r="P27" s="100" t="str">
        <x:f>IF('Master'!Q652="","",'Master'!Q652)</x:f>
      </x:c>
      <x:c r="Q27" s="100" t="str">
        <x:f>IF('Master'!R652="","",'Master'!R652)</x:f>
      </x:c>
      <x:c r="R27" s="100" t="str">
        <x:f>IF('Master'!S652="","",'Master'!S652)</x:f>
      </x:c>
      <x:c r="S27" s="100" t="str">
        <x:f>IF('Master'!T652="","",'Master'!T652)</x:f>
      </x:c>
      <x:c r="T27" s="100" t="str">
        <x:f>IF('Master'!U652="","",'Master'!U652)</x:f>
      </x:c>
      <x:c r="U27" s="100" t="str">
        <x:f>IF('Master'!V652="","",'Master'!V652)</x:f>
      </x:c>
      <x:c r="V27" s="100" t="str">
        <x:f>IF('Master'!W652="","",'Master'!W652)</x:f>
      </x:c>
      <x:c r="W27" s="100" t="str">
        <x:f>IF('Master'!X652="","",'Master'!X652)</x:f>
      </x:c>
      <x:c r="X27" s="100" t="str">
        <x:f>IF('Master'!Y652="","",'Master'!Y652)</x:f>
        <x:v>Yes — hosted app runtime</x:v>
      </x:c>
      <x:c r="Y27" s="100" t="str">
        <x:f>IF('Master'!Z652="","",'Master'!Z652)</x:f>
      </x:c>
      <x:c r="Z27" s="100" t="str">
        <x:f>IF('Master'!AA652="","",'Master'!AA652)</x:f>
      </x:c>
      <x:c r="AA27" s="104" t="str">
        <x:f>IF('Master'!AB652="","",'Master'!AB652)</x:f>
      </x:c>
      <x:c r="AB27" s="100" t="str">
        <x:f>IF('Master'!AC652="","",'Master'!AC652)</x:f>
      </x:c>
      <x:c r="AC27" s="100" t="str">
        <x:f>IF('Master'!AD652="","",'Master'!AD652)</x:f>
      </x:c>
      <x:c r="AD27" s="100" t="str">
        <x:f>IF('Master'!AE652="","",'Master'!AE652)</x:f>
      </x:c>
      <x:c r="AE27" s="100" t="str">
        <x:f>IF('Master'!AF652="","",'Master'!AF652)</x:f>
      </x:c>
      <x:c r="AF27" s="75" t="str">
        <x:f>IF('Master'!AG652="","",'Master'!AG652)</x:f>
      </x:c>
    </x:row>
    <x:row r="28" ht="36" customHeight="1">
      <x:c r="A28" s="135" t="str">
        <x:v>Paid Developer Features?</x:v>
      </x:c>
      <x:c r="B28" s="100" t="str">
        <x:f>IF('Master'!C653="","",'Master'!C653)</x:f>
        <x:v>Developer monetization planned/supported</x:v>
      </x:c>
      <x:c r="C28" s="100" t="str">
        <x:f>IF('Master'!D653="","",'Master'!D653)</x:f>
      </x:c>
      <x:c r="D28" s="100" t="str">
        <x:f>IF('Master'!E653="","",'Master'!E653)</x:f>
      </x:c>
      <x:c r="E28" s="100" t="str">
        <x:f>IF('Master'!F653="","",'Master'!F653)</x:f>
      </x:c>
      <x:c r="F28" s="100" t="str">
        <x:f>IF('Master'!G653="","",'Master'!G653)</x:f>
      </x:c>
      <x:c r="G28" s="100" t="str">
        <x:f>IF('Master'!H653="","",'Master'!H653)</x:f>
      </x:c>
      <x:c r="H28" s="100" t="str">
        <x:f>IF('Master'!I653="","",'Master'!I653)</x:f>
      </x:c>
      <x:c r="I28" s="100" t="str">
        <x:f>IF('Master'!J653="","",'Master'!J653)</x:f>
      </x:c>
      <x:c r="J28" s="100" t="str">
        <x:f>IF('Master'!K653="","",'Master'!K653)</x:f>
      </x:c>
      <x:c r="K28" s="100" t="str">
        <x:f>IF('Master'!L653="","",'Master'!L653)</x:f>
        <x:v>No paid developer features documented</x:v>
      </x:c>
      <x:c r="L28" s="100" t="str">
        <x:f>IF('Master'!M653="","",'Master'!M653)</x:f>
      </x:c>
      <x:c r="M28" s="100" t="str">
        <x:f>IF('Master'!N653="","",'Master'!N653)</x:f>
      </x:c>
      <x:c r="N28" s="100" t="str">
        <x:f>IF('Master'!O653="","",'Master'!O653)</x:f>
      </x:c>
      <x:c r="O28" s="100" t="str">
        <x:f>IF('Master'!P653="","",'Master'!P653)</x:f>
      </x:c>
      <x:c r="P28" s="100" t="str">
        <x:f>IF('Master'!Q653="","",'Master'!Q653)</x:f>
      </x:c>
      <x:c r="Q28" s="100" t="str">
        <x:f>IF('Master'!R653="","",'Master'!R653)</x:f>
      </x:c>
      <x:c r="R28" s="100" t="str">
        <x:f>IF('Master'!S653="","",'Master'!S653)</x:f>
      </x:c>
      <x:c r="S28" s="100" t="str">
        <x:f>IF('Master'!T653="","",'Master'!T653)</x:f>
      </x:c>
      <x:c r="T28" s="100" t="str">
        <x:f>IF('Master'!U653="","",'Master'!U653)</x:f>
      </x:c>
      <x:c r="U28" s="100" t="str">
        <x:f>IF('Master'!V653="","",'Master'!V653)</x:f>
      </x:c>
      <x:c r="V28" s="100" t="str">
        <x:f>IF('Master'!W653="","",'Master'!W653)</x:f>
      </x:c>
      <x:c r="W28" s="100" t="str">
        <x:f>IF('Master'!X653="","",'Master'!X653)</x:f>
      </x:c>
      <x:c r="X28" s="100" t="str">
        <x:f>IF('Master'!Y653="","",'Master'!Y653)</x:f>
        <x:v>Developer monetization planned/supported</x:v>
      </x:c>
      <x:c r="Y28" s="100" t="str">
        <x:f>IF('Master'!Z653="","",'Master'!Z653)</x:f>
      </x:c>
      <x:c r="Z28" s="100" t="str">
        <x:f>IF('Master'!AA653="","",'Master'!AA653)</x:f>
      </x:c>
      <x:c r="AA28" s="104" t="str">
        <x:f>IF('Master'!AB653="","",'Master'!AB653)</x:f>
      </x:c>
      <x:c r="AB28" s="100" t="str">
        <x:f>IF('Master'!AC653="","",'Master'!AC653)</x:f>
      </x:c>
      <x:c r="AC28" s="100" t="str">
        <x:f>IF('Master'!AD653="","",'Master'!AD653)</x:f>
      </x:c>
      <x:c r="AD28" s="100" t="str">
        <x:f>IF('Master'!AE653="","",'Master'!AE653)</x:f>
      </x:c>
      <x:c r="AE28" s="100" t="str">
        <x:f>IF('Master'!AF653="","",'Master'!AF653)</x:f>
      </x:c>
      <x:c r="AF28" s="75" t="str">
        <x:f>IF('Master'!AG653="","",'Master'!AG653)</x:f>
      </x:c>
    </x:row>
    <x:row r="29" ht="22" customHeight="1">
      <x:c r="A29" s="138" t="str">
        <x:v>Source &amp; Notes</x:v>
      </x:c>
      <x:c r="B29" s="138" t="str">
        <x:f>IF(""="","","")</x:f>
      </x:c>
      <x:c r="C29" s="138" t="str">
        <x:f>IF(""="","","")</x:f>
      </x:c>
      <x:c r="D29" s="138" t="str">
        <x:f>IF(""="","","")</x:f>
      </x:c>
      <x:c r="E29" s="138" t="str">
        <x:f>IF(""="","","")</x:f>
      </x:c>
      <x:c r="F29" s="138" t="str">
        <x:f>IF(""="","","")</x:f>
      </x:c>
      <x:c r="G29" s="138" t="str">
        <x:f>IF(""="","","")</x:f>
      </x:c>
      <x:c r="H29" s="138" t="str">
        <x:f>IF(""="","","")</x:f>
      </x:c>
      <x:c r="I29" s="138" t="str">
        <x:f>IF(""="","","")</x:f>
      </x:c>
      <x:c r="J29" s="138" t="str">
        <x:f>IF(""="","","")</x:f>
      </x:c>
      <x:c r="K29" s="138" t="str">
        <x:f>IF(""="","","")</x:f>
      </x:c>
      <x:c r="L29" s="138" t="str">
        <x:f>IF(""="","","")</x:f>
      </x:c>
      <x:c r="M29" s="138" t="str">
        <x:f>IF(""="","","")</x:f>
      </x:c>
      <x:c r="N29" s="138" t="str">
        <x:f>IF(""="","","")</x:f>
      </x:c>
      <x:c r="O29" s="138" t="str">
        <x:f>IF(""="","","")</x:f>
      </x:c>
      <x:c r="P29" s="138" t="str">
        <x:f>IF(""="","","")</x:f>
      </x:c>
      <x:c r="Q29" s="138" t="str">
        <x:f>IF(""="","","")</x:f>
      </x:c>
      <x:c r="R29" s="138" t="str">
        <x:f>IF(""="","","")</x:f>
      </x:c>
      <x:c r="S29" s="138" t="str">
        <x:f>IF(""="","","")</x:f>
      </x:c>
      <x:c r="T29" s="138" t="str">
        <x:f>IF(""="","","")</x:f>
      </x:c>
      <x:c r="U29" s="138" t="str">
        <x:f>IF(""="","","")</x:f>
      </x:c>
      <x:c r="V29" s="138" t="str">
        <x:f>IF(""="","","")</x:f>
      </x:c>
      <x:c r="W29" s="138" t="str">
        <x:f>IF(""="","","")</x:f>
      </x:c>
      <x:c r="X29" s="138" t="str">
        <x:f>IF(""="","","")</x:f>
      </x:c>
      <x:c r="Y29" s="138" t="str">
        <x:f>IF(""="","","")</x:f>
      </x:c>
      <x:c r="Z29" s="138" t="str">
        <x:f>IF(""="","","")</x:f>
      </x:c>
      <x:c r="AA29" s="138" t="str">
        <x:f>IF(""="","","")</x:f>
      </x:c>
      <x:c r="AB29" s="138" t="str">
        <x:f>IF(""="","","")</x:f>
      </x:c>
      <x:c r="AC29" s="138" t="str">
        <x:f>IF(""="","","")</x:f>
      </x:c>
      <x:c r="AD29" s="138" t="str">
        <x:f>IF(""="","","")</x:f>
      </x:c>
      <x:c r="AE29" s="138" t="str">
        <x:f>IF(""="","","")</x:f>
      </x:c>
      <x:c r="AF29" s="139" t="str">
        <x:f>IF(""="","","")</x:f>
      </x:c>
    </x:row>
    <x:row r="30" ht="36" customHeight="1">
      <x:c r="A30" s="135" t="str">
        <x:v>Developer Notes</x:v>
      </x:c>
      <x:c r="B30" s="100" t="str">
        <x:f>IF('Master'!C654="","",'Master'!C654)</x:f>
        <x:v>REST/HTTP API + Gateway WebSocket; JS/TS: official Embedded App SDK; no official general bot SDKs for Python/Rust/Go; Social SDK targets C++/Unity/Unreal; Yes — slash commands, components, modals, interactions</x:v>
      </x:c>
      <x:c r="C30" s="100" t="str">
        <x:f>IF('Master'!D654="","",'Master'!D654)</x:f>
        <x:v>Nostr/Concord protocols; Nostr libraries; Protocol-driven</x:v>
      </x:c>
      <x:c r="D30" s="100" t="str">
        <x:f>IF('Master'!E654="","",'Master'!E654)</x:f>
        <x:v>Custom server/WebSocket APIs; Custom/open-source ecosystem; Plugin system</x:v>
      </x:c>
      <x:c r="E30" s="100" t="str">
        <x:f>IF('Master'!F654="","",'Master'!F654)</x:f>
      </x:c>
      <x:c r="F30" s="100" t="str">
        <x:f>IF('Master'!G654="","",'Master'!G654)</x:f>
        <x:v>Bot API planned after public release; No public SDKs yet; Native slash commands exist; developer interaction API planned</x:v>
      </x:c>
      <x:c r="G30" s="100" t="str">
        <x:f>IF('Master'!H654="","",'Master'!H654)</x:f>
      </x:c>
      <x:c r="H30" s="100" t="str">
        <x:f>IF('Master'!I654="","",'Master'!I654)</x:f>
      </x:c>
      <x:c r="I30" s="100" t="str">
        <x:f>IF('Master'!J654="","",'Master'!J654)</x:f>
        <x:v>Discord-compatible API; Discord bot libraries largely reusable; Interactions target</x:v>
      </x:c>
      <x:c r="J30" s="100" t="str">
        <x:f>IF('Master'!K654="","",'Master'!K654)</x:f>
        <x:v>Custom protocol; no HTTP API emphasis; Open source; No bot ecosystem yet</x:v>
      </x:c>
      <x:c r="K30" s="100" t="str">
        <x:f>IF('Master'!L654="","",'Master'!L654)</x:f>
        <x:v>https://github.com/CookieNom/KaedeChat/blob/main/docs/bot-api-quickstart.md</x:v>
      </x:c>
      <x:c r="L30" s="100" t="str">
        <x:f>IF('Master'!M654="","",'Master'!M654)</x:f>
      </x:c>
      <x:c r="M30" s="100" t="str">
        <x:f>IF('Master'!N654="","",'Master'!N654)</x:f>
        <x:v>Discord-compatible API; discord.py/discord.js compatibility; Slash commands/buttons/modals</x:v>
      </x:c>
      <x:c r="N30" s="100" t="str">
        <x:f>IF('Master'!O654="","",'Master'!O654)</x:f>
        <x:v>Open Client-Server, Server-Server, Application Service APIs; WebSocket-like sync transports depending spec version; Many SDKs incl JS/TS, Rust, Python, Go/community; Client extensions/bots; interaction UX client-dependent</x:v>
      </x:c>
      <x:c r="O30" s="100" t="str">
        <x:f>IF('Master'!P654="","",'Master'!P654)</x:f>
        <x:v>REST + WebSocket API; Client/server APIs; Go/JS ecosystem; Slash commands + interactive messages</x:v>
      </x:c>
      <x:c r="P30" s="100" t="str">
        <x:f>IF('Master'!Q654="","",'Master'!Q654)</x:f>
        <x:v>API-first design; SDK/integration ecosystem; Bots</x:v>
      </x:c>
      <x:c r="Q30" s="100" t="str">
        <x:f>IF('Master'!R654="","",'Master'!R654)</x:f>
        <x:v>Server RPC/API (Ice) + protocol libraries; Community libraries; N/A</x:v>
      </x:c>
      <x:c r="R30" s="100" t="str">
        <x:f>IF('Master'!S654="","",'Master'!S654)</x:f>
      </x:c>
      <x:c r="S30" s="100" t="str">
        <x:f>IF('Master'!T654="","",'Master'!T654)</x:f>
      </x:c>
      <x:c r="T30" s="100" t="str">
        <x:f>IF('Master'!U654="","",'Master'!U654)</x:f>
        <x:v>Public bot-token/third-party API is intentionally not shipped yet; incoming Discord-compatible webhooks are supported.</x:v>
      </x:c>
      <x:c r="U30" s="100" t="str">
        <x:f>IF('Master'!V654="","",'Master'!V654)</x:f>
      </x:c>
      <x:c r="V30" s="100" t="str">
        <x:f>IF('Master'!W654="","",'Master'!W654)</x:f>
        <x:v>REST + realtime/WebSocket/DDP + Apps engine; SDKs/APIs + Apps framework; Slash commands/apps</x:v>
      </x:c>
      <x:c r="W30" s="100" t="str">
        <x:f>IF('Master'!X654="","",'Master'!X654)</x:f>
      </x:c>
      <x:c r="X30" s="100" t="str">
        <x:f>IF('Master'!Y654="","",'Master'!Y654)</x:f>
        <x:v>Root Community API + hosted app/bot runtime; Official TypeScript SDK / Node runtime; Bots/commands + full GUI Apps</x:v>
      </x:c>
      <x:c r="Y30" s="100" t="str">
        <x:f>IF('Master'!Z654="","",'Master'!Z654)</x:f>
        <x:v>Discord-compatible REST + Gateway; Discord ecosystem compatibility; Spacebar docs; Discord interaction compatibility target</x:v>
      </x:c>
      <x:c r="Z30" s="100" t="str">
        <x:f>IF('Master'!AA654="","",'Master'!AA654)</x:f>
      </x:c>
      <x:c r="AA30" s="104" t="str">
        <x:f>IF('Master'!AB654="","",'Master'!AB654)</x:f>
      </x:c>
      <x:c r="AB30" s="100" t="str">
        <x:f>IF('Master'!AC654="","",'Master'!AC654)</x:f>
        <x:v>Official API used by client; Official .NET SDK; Bots/OAuth apps</x:v>
      </x:c>
      <x:c r="AC30" s="100" t="str">
        <x:f>IF('Master'!AD654="","",'Master'!AD654)</x:f>
      </x:c>
      <x:c r="AD30" s="100" t="str">
        <x:f>IF('Master'!AE654="","",'Master'!AE654)</x:f>
      </x:c>
      <x:c r="AE30" s="100" t="str">
        <x:f>IF('Master'!AF654="","",'Master'!AF654)</x:f>
      </x:c>
      <x:c r="AF30" s="75" t="str">
        <x:f>IF('Master'!AG654="","",'Master'!AG654)</x:f>
        <x:v>REST + realtime event queues; Official/community libraries incl Python; broad API; Slash-command-style integrations/bots</x:v>
      </x:c>
    </x:row>
    <x:row r="31" ht="22" customHeight="1">
      <x:c r="A31" s="138" t="str">
        <x:v>Embedded App Platform</x:v>
      </x:c>
      <x:c r="B31" s="138" t="str">
        <x:f>IF(""="","","")</x:f>
      </x:c>
      <x:c r="C31" s="138" t="str">
        <x:f>IF(""="","","")</x:f>
      </x:c>
      <x:c r="D31" s="138" t="str">
        <x:f>IF(""="","","")</x:f>
      </x:c>
      <x:c r="E31" s="138" t="str">
        <x:f>IF(""="","","")</x:f>
      </x:c>
      <x:c r="F31" s="138" t="str">
        <x:f>IF(""="","","")</x:f>
      </x:c>
      <x:c r="G31" s="138" t="str">
        <x:f>IF(""="","","")</x:f>
      </x:c>
      <x:c r="H31" s="138" t="str">
        <x:f>IF(""="","","")</x:f>
      </x:c>
      <x:c r="I31" s="138" t="str">
        <x:f>IF(""="","","")</x:f>
      </x:c>
      <x:c r="J31" s="138" t="str">
        <x:f>IF(""="","","")</x:f>
      </x:c>
      <x:c r="K31" s="138" t="str">
        <x:f>IF(""="","","")</x:f>
      </x:c>
      <x:c r="L31" s="138" t="str">
        <x:f>IF(""="","","")</x:f>
      </x:c>
      <x:c r="M31" s="138" t="str">
        <x:f>IF(""="","","")</x:f>
      </x:c>
      <x:c r="N31" s="138" t="str">
        <x:f>IF(""="","","")</x:f>
      </x:c>
      <x:c r="O31" s="138" t="str">
        <x:f>IF(""="","","")</x:f>
      </x:c>
      <x:c r="P31" s="138" t="str">
        <x:f>IF(""="","","")</x:f>
      </x:c>
      <x:c r="Q31" s="138" t="str">
        <x:f>IF(""="","","")</x:f>
      </x:c>
      <x:c r="R31" s="138" t="str">
        <x:f>IF(""="","","")</x:f>
      </x:c>
      <x:c r="S31" s="138" t="str">
        <x:f>IF(""="","","")</x:f>
      </x:c>
      <x:c r="T31" s="138" t="str">
        <x:f>IF(""="","","")</x:f>
      </x:c>
      <x:c r="U31" s="138" t="str">
        <x:f>IF(""="","","")</x:f>
      </x:c>
      <x:c r="V31" s="138" t="str">
        <x:f>IF(""="","","")</x:f>
      </x:c>
      <x:c r="W31" s="138" t="str">
        <x:f>IF(""="","","")</x:f>
      </x:c>
      <x:c r="X31" s="138" t="str">
        <x:f>IF(""="","","")</x:f>
      </x:c>
      <x:c r="Y31" s="138" t="str">
        <x:f>IF(""="","","")</x:f>
      </x:c>
      <x:c r="Z31" s="138" t="str">
        <x:f>IF(""="","","")</x:f>
      </x:c>
      <x:c r="AA31" s="138" t="str">
        <x:f>IF(""="","","")</x:f>
      </x:c>
      <x:c r="AB31" s="138" t="str">
        <x:f>IF(""="","","")</x:f>
      </x:c>
      <x:c r="AC31" s="138" t="str">
        <x:f>IF(""="","","")</x:f>
      </x:c>
      <x:c r="AD31" s="138" t="str">
        <x:f>IF(""="","","")</x:f>
      </x:c>
      <x:c r="AE31" s="138" t="str">
        <x:f>IF(""="","","")</x:f>
      </x:c>
      <x:c r="AF31" s="139" t="str">
        <x:f>IF(""="","","")</x:f>
      </x:c>
    </x:row>
    <x:row r="32" ht="36" customHeight="1">
      <x:c r="A32" s="135" t="str">
        <x:v>App Marketplace / Directory?</x:v>
      </x:c>
      <x:c r="B32" s="100" t="str">
        <x:f>IF('Master'!C655="","",'Master'!C655)</x:f>
        <x:v>Yes — App Directory</x:v>
      </x:c>
      <x:c r="C32" s="100" t="str">
        <x:f>IF('Master'!D655="","",'Master'!D655)</x:f>
      </x:c>
      <x:c r="D32" s="100" t="str">
        <x:f>IF('Master'!E655="","",'Master'!E655)</x:f>
      </x:c>
      <x:c r="E32" s="100" t="str">
        <x:f>IF('Master'!F655="","",'Master'!F655)</x:f>
      </x:c>
      <x:c r="F32" s="100" t="str">
        <x:f>IF('Master'!G655="","",'Master'!G655)</x:f>
      </x:c>
      <x:c r="G32" s="100" t="str">
        <x:f>IF('Master'!H655="","",'Master'!H655)</x:f>
      </x:c>
      <x:c r="H32" s="100" t="str">
        <x:f>IF('Master'!I655="","",'Master'!I655)</x:f>
      </x:c>
      <x:c r="I32" s="100" t="str">
        <x:f>IF('Master'!J655="","",'Master'!J655)</x:f>
      </x:c>
      <x:c r="J32" s="100" t="str">
        <x:f>IF('Master'!K655="","",'Master'!K655)</x:f>
      </x:c>
      <x:c r="K32" s="100" t="str">
        <x:f>IF('Master'!L655="","",'Master'!L655)</x:f>
        <x:v>Yes — federated public App Directory for reviewed applications/bots</x:v>
      </x:c>
      <x:c r="L32" s="100" t="str">
        <x:f>IF('Master'!M655="","",'Master'!M655)</x:f>
      </x:c>
      <x:c r="M32" s="100" t="str">
        <x:f>IF('Master'!N655="","",'Master'!N655)</x:f>
      </x:c>
      <x:c r="N32" s="100" t="str">
        <x:f>IF('Master'!O655="","",'Master'!O655)</x:f>
      </x:c>
      <x:c r="O32" s="100" t="str">
        <x:f>IF('Master'!P655="","",'Master'!P655)</x:f>
        <x:v>Plugin marketplace/ecosystem</x:v>
      </x:c>
      <x:c r="P32" s="100" t="str">
        <x:f>IF('Master'!Q655="","",'Master'!Q655)</x:f>
      </x:c>
      <x:c r="Q32" s="100" t="str">
        <x:f>IF('Master'!R655="","",'Master'!R655)</x:f>
      </x:c>
      <x:c r="R32" s="100" t="str">
        <x:f>IF('Master'!S655="","",'Master'!S655)</x:f>
      </x:c>
      <x:c r="S32" s="100" t="str">
        <x:f>IF('Master'!T655="","",'Master'!T655)</x:f>
      </x:c>
      <x:c r="T32" s="100" t="str">
        <x:f>IF('Master'!U655="","",'Master'!U655)</x:f>
      </x:c>
      <x:c r="U32" s="100" t="str">
        <x:f>IF('Master'!V655="","",'Master'!V655)</x:f>
      </x:c>
      <x:c r="V32" s="100" t="str">
        <x:f>IF('Master'!W655="","",'Master'!W655)</x:f>
        <x:v>Yes — Marketplace</x:v>
      </x:c>
      <x:c r="W32" s="100" t="str">
        <x:f>IF('Master'!X655="","",'Master'!X655)</x:f>
      </x:c>
      <x:c r="X32" s="100" t="str">
        <x:f>IF('Master'!Y655="","",'Master'!Y655)</x:f>
      </x:c>
      <x:c r="Y32" s="100" t="str">
        <x:f>IF('Master'!Z655="","",'Master'!Z655)</x:f>
      </x:c>
      <x:c r="Z32" s="100" t="str">
        <x:f>IF('Master'!AA655="","",'Master'!AA655)</x:f>
      </x:c>
      <x:c r="AA32" s="104" t="str">
        <x:f>IF('Master'!AB655="","",'Master'!AB655)</x:f>
      </x:c>
      <x:c r="AB32" s="100" t="str">
        <x:f>IF('Master'!AC655="","",'Master'!AC655)</x:f>
      </x:c>
      <x:c r="AC32" s="100" t="str">
        <x:f>IF('Master'!AD655="","",'Master'!AD655)</x:f>
      </x:c>
      <x:c r="AD32" s="100" t="str">
        <x:f>IF('Master'!AE655="","",'Master'!AE655)</x:f>
      </x:c>
      <x:c r="AE32" s="100" t="str">
        <x:f>IF('Master'!AF655="","",'Master'!AF655)</x:f>
      </x:c>
      <x:c r="AF32" s="75" t="str">
        <x:f>IF('Master'!AG655="","",'Master'!AG655)</x:f>
        <x:v>Integration directory</x:v>
      </x:c>
    </x:row>
    <x:row r="33" ht="36" customHeight="1">
      <x:c r="A33" s="135" t="str">
        <x:v>Embedded Web App / Iframe Runtime?</x:v>
      </x:c>
      <x:c r="B33" s="100" t="str">
        <x:f>IF('Master'!C656="","",'Master'!C656)</x:f>
        <x:v>Yes — Activities run as iframe web apps</x:v>
      </x:c>
      <x:c r="C33" s="100" t="str">
        <x:f>IF('Master'!D656="","",'Master'!D656)</x:f>
      </x:c>
      <x:c r="D33" s="100" t="str">
        <x:f>IF('Master'!E656="","",'Master'!E656)</x:f>
      </x:c>
      <x:c r="E33" s="100" t="str">
        <x:f>IF('Master'!F656="","",'Master'!F656)</x:f>
      </x:c>
      <x:c r="F33" s="100" t="str">
        <x:f>IF('Master'!G656="","",'Master'!G656)</x:f>
      </x:c>
      <x:c r="G33" s="100" t="str">
        <x:f>IF('Master'!H656="","",'Master'!H656)</x:f>
      </x:c>
      <x:c r="H33" s="100" t="str">
        <x:f>IF('Master'!I656="","",'Master'!I656)</x:f>
      </x:c>
      <x:c r="I33" s="100" t="str">
        <x:f>IF('Master'!J656="","",'Master'!J656)</x:f>
      </x:c>
      <x:c r="J33" s="100" t="str">
        <x:f>IF('Master'!K656="","",'Master'!K656)</x:f>
      </x:c>
      <x:c r="K33" s="100" t="str">
        <x:f>IF('Master'!L656="","",'Master'!L656)</x:f>
        <x:v>No embedded web-app/iframe runtime</x:v>
      </x:c>
      <x:c r="L33" s="100" t="str">
        <x:f>IF('Master'!M656="","",'Master'!M656)</x:f>
      </x:c>
      <x:c r="M33" s="100" t="str">
        <x:f>IF('Master'!N656="","",'Master'!N656)</x:f>
      </x:c>
      <x:c r="N33" s="100" t="str">
        <x:f>IF('Master'!O656="","",'Master'!O656)</x:f>
        <x:v>Client-dependent widgets</x:v>
      </x:c>
      <x:c r="O33" s="100" t="str">
        <x:f>IF('Master'!P656="","",'Master'!P656)</x:f>
        <x:v>Plugins can add webapp components</x:v>
      </x:c>
      <x:c r="P33" s="100" t="str">
        <x:f>IF('Master'!Q656="","",'Master'!Q656)</x:f>
      </x:c>
      <x:c r="Q33" s="100" t="str">
        <x:f>IF('Master'!R656="","",'Master'!R656)</x:f>
      </x:c>
      <x:c r="R33" s="100" t="str">
        <x:f>IF('Master'!S656="","",'Master'!S656)</x:f>
      </x:c>
      <x:c r="S33" s="100" t="str">
        <x:f>IF('Master'!T656="","",'Master'!T656)</x:f>
      </x:c>
      <x:c r="T33" s="100" t="str">
        <x:f>IF('Master'!U656="","",'Master'!U656)</x:f>
      </x:c>
      <x:c r="U33" s="100" t="str">
        <x:f>IF('Master'!V656="","",'Master'!V656)</x:f>
        <x:v>Yes — Portals embedded alongside chat</x:v>
      </x:c>
      <x:c r="V33" s="100" t="str">
        <x:f>IF('Master'!W656="","",'Master'!W656)</x:f>
        <x:v>Apps are workspace extensions; iframe model not primary</x:v>
      </x:c>
      <x:c r="W33" s="100" t="str">
        <x:f>IF('Master'!X656="","",'Master'!X656)</x:f>
      </x:c>
      <x:c r="X33" s="100" t="str">
        <x:f>IF('Master'!Y656="","",'Master'!Y656)</x:f>
      </x:c>
      <x:c r="Y33" s="100" t="str">
        <x:f>IF('Master'!Z656="","",'Master'!Z656)</x:f>
      </x:c>
      <x:c r="Z33" s="100" t="str">
        <x:f>IF('Master'!AA656="","",'Master'!AA656)</x:f>
      </x:c>
      <x:c r="AA33" s="104" t="str">
        <x:f>IF('Master'!AB656="","",'Master'!AB656)</x:f>
      </x:c>
      <x:c r="AB33" s="100" t="str">
        <x:f>IF('Master'!AC656="","",'Master'!AC656)</x:f>
      </x:c>
      <x:c r="AC33" s="100" t="str">
        <x:f>IF('Master'!AD656="","",'Master'!AD656)</x:f>
      </x:c>
      <x:c r="AD33" s="100" t="str">
        <x:f>IF('Master'!AE656="","",'Master'!AE656)</x:f>
      </x:c>
      <x:c r="AE33" s="100" t="str">
        <x:f>IF('Master'!AF656="","",'Master'!AF656)</x:f>
      </x:c>
      <x:c r="AF33" s="75" t="str">
        <x:f>IF('Master'!AG656="","",'Master'!AG656)</x:f>
      </x:c>
    </x:row>
    <x:row r="34" ht="36" customHeight="1">
      <x:c r="A34" s="135" t="str">
        <x:v>Shared Synchronized App Sessions?</x:v>
      </x:c>
      <x:c r="B34" s="100" t="str">
        <x:f>IF('Master'!C657="","",'Master'!C657)</x:f>
        <x:v>Yes — Activities</x:v>
      </x:c>
      <x:c r="C34" s="100" t="str">
        <x:f>IF('Master'!D657="","",'Master'!D657)</x:f>
      </x:c>
      <x:c r="D34" s="100" t="str">
        <x:f>IF('Master'!E657="","",'Master'!E657)</x:f>
      </x:c>
      <x:c r="E34" s="100" t="str">
        <x:f>IF('Master'!F657="","",'Master'!F657)</x:f>
      </x:c>
      <x:c r="F34" s="100" t="str">
        <x:f>IF('Master'!G657="","",'Master'!G657)</x:f>
      </x:c>
      <x:c r="G34" s="100" t="str">
        <x:f>IF('Master'!H657="","",'Master'!H657)</x:f>
      </x:c>
      <x:c r="H34" s="100" t="str">
        <x:f>IF('Master'!I657="","",'Master'!I657)</x:f>
      </x:c>
      <x:c r="I34" s="100" t="str">
        <x:f>IF('Master'!J657="","",'Master'!J657)</x:f>
      </x:c>
      <x:c r="J34" s="100" t="str">
        <x:f>IF('Master'!K657="","",'Master'!K657)</x:f>
      </x:c>
      <x:c r="K34" s="100" t="str">
        <x:f>IF('Master'!L657="","",'Master'!L657)</x:f>
        <x:v>No shared embedded-app session model</x:v>
      </x:c>
      <x:c r="L34" s="100" t="str">
        <x:f>IF('Master'!M657="","",'Master'!M657)</x:f>
      </x:c>
      <x:c r="M34" s="100" t="str">
        <x:f>IF('Master'!N657="","",'Master'!N657)</x:f>
      </x:c>
      <x:c r="N34" s="100" t="str">
        <x:f>IF('Master'!O657="","",'Master'!O657)</x:f>
        <x:v>Widget-dependent</x:v>
      </x:c>
      <x:c r="O34" s="100" t="str">
        <x:f>IF('Master'!P657="","",'Master'!P657)</x:f>
      </x:c>
      <x:c r="P34" s="100" t="str">
        <x:f>IF('Master'!Q657="","",'Master'!Q657)</x:f>
      </x:c>
      <x:c r="Q34" s="100" t="str">
        <x:f>IF('Master'!R657="","",'Master'!R657)</x:f>
      </x:c>
      <x:c r="R34" s="100" t="str">
        <x:f>IF('Master'!S657="","",'Master'!S657)</x:f>
      </x:c>
      <x:c r="S34" s="100" t="str">
        <x:f>IF('Master'!T657="","",'Master'!T657)</x:f>
      </x:c>
      <x:c r="T34" s="100" t="str">
        <x:f>IF('Master'!U657="","",'Master'!U657)</x:f>
      </x:c>
      <x:c r="U34" s="100" t="str">
        <x:f>IF('Master'!V657="","",'Master'!V657)</x:f>
        <x:v>Yes — Watch Party; Tabletop/Arcade experimental</x:v>
      </x:c>
      <x:c r="V34" s="100" t="str">
        <x:f>IF('Master'!W657="","",'Master'!W657)</x:f>
      </x:c>
      <x:c r="W34" s="100" t="str">
        <x:f>IF('Master'!X657="","",'Master'!X657)</x:f>
      </x:c>
      <x:c r="X34" s="100" t="str">
        <x:f>IF('Master'!Y657="","",'Master'!Y657)</x:f>
      </x:c>
      <x:c r="Y34" s="100" t="str">
        <x:f>IF('Master'!Z657="","",'Master'!Z657)</x:f>
      </x:c>
      <x:c r="Z34" s="100" t="str">
        <x:f>IF('Master'!AA657="","",'Master'!AA657)</x:f>
      </x:c>
      <x:c r="AA34" s="104" t="str">
        <x:f>IF('Master'!AB657="","",'Master'!AB657)</x:f>
      </x:c>
      <x:c r="AB34" s="100" t="str">
        <x:f>IF('Master'!AC657="","",'Master'!AC657)</x:f>
      </x:c>
      <x:c r="AC34" s="100" t="str">
        <x:f>IF('Master'!AD657="","",'Master'!AD657)</x:f>
      </x:c>
      <x:c r="AD34" s="100" t="str">
        <x:f>IF('Master'!AE657="","",'Master'!AE657)</x:f>
      </x:c>
      <x:c r="AE34" s="100" t="str">
        <x:f>IF('Master'!AF657="","",'Master'!AF657)</x:f>
      </x:c>
      <x:c r="AF34" s="75" t="str">
        <x:f>IF('Master'!AG657="","",'Master'!AG657)</x:f>
      </x:c>
    </x:row>
    <x:row r="35" ht="36" customHeight="1">
      <x:c r="A35" s="135" t="str">
        <x:v>App Permission / Scope Model?</x:v>
      </x:c>
      <x:c r="B35" s="100" t="str">
        <x:f>IF('Master'!C658="","",'Master'!C658)</x:f>
        <x:v>Yes — OAuth2/scopes + SDK scopes</x:v>
      </x:c>
      <x:c r="C35" s="100" t="str">
        <x:f>IF('Master'!D658="","",'Master'!D658)</x:f>
      </x:c>
      <x:c r="D35" s="100" t="str">
        <x:f>IF('Master'!E658="","",'Master'!E658)</x:f>
      </x:c>
      <x:c r="E35" s="100" t="str">
        <x:f>IF('Master'!F658="","",'Master'!F658)</x:f>
      </x:c>
      <x:c r="F35" s="100" t="str">
        <x:f>IF('Master'!G658="","",'Master'!G658)</x:f>
      </x:c>
      <x:c r="G35" s="100" t="str">
        <x:f>IF('Master'!H658="","",'Master'!H658)</x:f>
      </x:c>
      <x:c r="H35" s="100" t="str">
        <x:f>IF('Master'!I658="","",'Master'!I658)</x:f>
      </x:c>
      <x:c r="I35" s="100" t="str">
        <x:f>IF('Master'!J658="","",'Master'!J658)</x:f>
      </x:c>
      <x:c r="J35" s="100" t="str">
        <x:f>IF('Master'!K658="","",'Master'!K658)</x:f>
      </x:c>
      <x:c r="K35" s="100" t="str">
        <x:f>IF('Master'!L658="","",'Master'!L658)</x:f>
        <x:v>Yes — scopes, intents, permissions, worker keys, E2EE modes and target-domain rules</x:v>
      </x:c>
      <x:c r="L35" s="100" t="str">
        <x:f>IF('Master'!M658="","",'Master'!M658)</x:f>
      </x:c>
      <x:c r="M35" s="100" t="str">
        <x:f>IF('Master'!N658="","",'Master'!N658)</x:f>
      </x:c>
      <x:c r="N35" s="100" t="str">
        <x:f>IF('Master'!O658="","",'Master'!O658)</x:f>
      </x:c>
      <x:c r="O35" s="100" t="str">
        <x:f>IF('Master'!P658="","",'Master'!P658)</x:f>
        <x:v>Plugin permissions/admin install</x:v>
      </x:c>
      <x:c r="P35" s="100" t="str">
        <x:f>IF('Master'!Q658="","",'Master'!Q658)</x:f>
      </x:c>
      <x:c r="Q35" s="100" t="str">
        <x:f>IF('Master'!R658="","",'Master'!R658)</x:f>
      </x:c>
      <x:c r="R35" s="100" t="str">
        <x:f>IF('Master'!S658="","",'Master'!S658)</x:f>
      </x:c>
      <x:c r="S35" s="100" t="str">
        <x:f>IF('Master'!T658="","",'Master'!T658)</x:f>
      </x:c>
      <x:c r="T35" s="100" t="str">
        <x:f>IF('Master'!U658="","",'Master'!U658)</x:f>
      </x:c>
      <x:c r="U35" s="100" t="str">
        <x:f>IF('Master'!V658="","",'Master'!V658)</x:f>
      </x:c>
      <x:c r="V35" s="100" t="str">
        <x:f>IF('Master'!W658="","",'Master'!W658)</x:f>
        <x:v>Apps-Engine permissions/packaging</x:v>
      </x:c>
      <x:c r="W35" s="100" t="str">
        <x:f>IF('Master'!X658="","",'Master'!X658)</x:f>
      </x:c>
      <x:c r="X35" s="100" t="str">
        <x:f>IF('Master'!Y658="","",'Master'!Y658)</x:f>
      </x:c>
      <x:c r="Y35" s="100" t="str">
        <x:f>IF('Master'!Z658="","",'Master'!Z658)</x:f>
      </x:c>
      <x:c r="Z35" s="100" t="str">
        <x:f>IF('Master'!AA658="","",'Master'!AA658)</x:f>
      </x:c>
      <x:c r="AA35" s="104" t="str">
        <x:f>IF('Master'!AB658="","",'Master'!AB658)</x:f>
      </x:c>
      <x:c r="AB35" s="100" t="str">
        <x:f>IF('Master'!AC658="","",'Master'!AC658)</x:f>
      </x:c>
      <x:c r="AC35" s="100" t="str">
        <x:f>IF('Master'!AD658="","",'Master'!AD658)</x:f>
      </x:c>
      <x:c r="AD35" s="100" t="str">
        <x:f>IF('Master'!AE658="","",'Master'!AE658)</x:f>
      </x:c>
      <x:c r="AE35" s="100" t="str">
        <x:f>IF('Master'!AF658="","",'Master'!AF658)</x:f>
      </x:c>
      <x:c r="AF35" s="75" t="str">
        <x:f>IF('Master'!AG658="","",'Master'!AG658)</x:f>
      </x:c>
    </x:row>
    <x:row r="36" ht="36" customHeight="1">
      <x:c r="A36" s="135" t="str">
        <x:v>App Monetization / IAP?</x:v>
      </x:c>
      <x:c r="B36" s="100" t="str">
        <x:f>IF('Master'!C659="","",'Master'!C659)</x:f>
        <x:v>Yes — Activity IAP / SKUs supported</x:v>
      </x:c>
      <x:c r="C36" s="100" t="str">
        <x:f>IF('Master'!D659="","",'Master'!D659)</x:f>
      </x:c>
      <x:c r="D36" s="100" t="str">
        <x:f>IF('Master'!E659="","",'Master'!E659)</x:f>
      </x:c>
      <x:c r="E36" s="100" t="str">
        <x:f>IF('Master'!F659="","",'Master'!F659)</x:f>
      </x:c>
      <x:c r="F36" s="100" t="str">
        <x:f>IF('Master'!G659="","",'Master'!G659)</x:f>
      </x:c>
      <x:c r="G36" s="100" t="str">
        <x:f>IF('Master'!H659="","",'Master'!H659)</x:f>
      </x:c>
      <x:c r="H36" s="100" t="str">
        <x:f>IF('Master'!I659="","",'Master'!I659)</x:f>
      </x:c>
      <x:c r="I36" s="100" t="str">
        <x:f>IF('Master'!J659="","",'Master'!J659)</x:f>
      </x:c>
      <x:c r="J36" s="100" t="str">
        <x:f>IF('Master'!K659="","",'Master'!K659)</x:f>
      </x:c>
      <x:c r="K36" s="100" t="str">
        <x:f>IF('Master'!L659="","",'Master'!L659)</x:f>
        <x:v>No app IAP/monetization system documented</x:v>
      </x:c>
      <x:c r="L36" s="100" t="str">
        <x:f>IF('Master'!M659="","",'Master'!M659)</x:f>
      </x:c>
      <x:c r="M36" s="100" t="str">
        <x:f>IF('Master'!N659="","",'Master'!N659)</x:f>
      </x:c>
      <x:c r="N36" s="100" t="str">
        <x:f>IF('Master'!O659="","",'Master'!O659)</x:f>
      </x:c>
      <x:c r="O36" s="100" t="str">
        <x:f>IF('Master'!P659="","",'Master'!P659)</x:f>
      </x:c>
      <x:c r="P36" s="100" t="str">
        <x:f>IF('Master'!Q659="","",'Master'!Q659)</x:f>
      </x:c>
      <x:c r="Q36" s="100" t="str">
        <x:f>IF('Master'!R659="","",'Master'!R659)</x:f>
      </x:c>
      <x:c r="R36" s="100" t="str">
        <x:f>IF('Master'!S659="","",'Master'!S659)</x:f>
      </x:c>
      <x:c r="S36" s="100" t="str">
        <x:f>IF('Master'!T659="","",'Master'!T659)</x:f>
      </x:c>
      <x:c r="T36" s="100" t="str">
        <x:f>IF('Master'!U659="","",'Master'!U659)</x:f>
      </x:c>
      <x:c r="U36" s="100" t="str">
        <x:f>IF('Master'!V659="","",'Master'!V659)</x:f>
      </x:c>
      <x:c r="V36" s="100" t="str">
        <x:f>IF('Master'!W659="","",'Master'!W659)</x:f>
        <x:v>Paid marketplace apps exist</x:v>
      </x:c>
      <x:c r="W36" s="100" t="str">
        <x:f>IF('Master'!X659="","",'Master'!X659)</x:f>
      </x:c>
      <x:c r="X36" s="100" t="str">
        <x:f>IF('Master'!Y659="","",'Master'!Y659)</x:f>
      </x:c>
      <x:c r="Y36" s="100" t="str">
        <x:f>IF('Master'!Z659="","",'Master'!Z659)</x:f>
      </x:c>
      <x:c r="Z36" s="100" t="str">
        <x:f>IF('Master'!AA659="","",'Master'!AA659)</x:f>
      </x:c>
      <x:c r="AA36" s="104" t="str">
        <x:f>IF('Master'!AB659="","",'Master'!AB659)</x:f>
      </x:c>
      <x:c r="AB36" s="100" t="str">
        <x:f>IF('Master'!AC659="","",'Master'!AC659)</x:f>
      </x:c>
      <x:c r="AC36" s="100" t="str">
        <x:f>IF('Master'!AD659="","",'Master'!AD659)</x:f>
      </x:c>
      <x:c r="AD36" s="100" t="str">
        <x:f>IF('Master'!AE659="","",'Master'!AE659)</x:f>
      </x:c>
      <x:c r="AE36" s="100" t="str">
        <x:f>IF('Master'!AF659="","",'Master'!AF659)</x:f>
      </x:c>
      <x:c r="AF36" s="75" t="str">
        <x:f>IF('Master'!AG659="","",'Master'!AG659)</x:f>
      </x:c>
    </x:row>
  </x:sheetData>
  <x:mergeCells>
    <x:mergeCell ref="A1:AF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Directory'!A1","AI Policy &amp; Transparency"),"AI Policy &amp; Transparency")</x:f>
        <x:v>AI Policy &amp; Transparency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Native AI Features (Summaries / Bots / Search)</x:v>
      </x:c>
      <x:c r="B3" s="100" t="str">
        <x:f>IF('Master'!C660="","",'Master'!C660)</x:f>
        <x:v>Limited — experimental In-Channel Conversation Summaries; AI/ML also used for safety/moderation</x:v>
      </x:c>
      <x:c r="C3" s="100" t="str">
        <x:f>IF('Master'!D660="","",'Master'!D660)</x:f>
        <x:v>No native AI feature verified</x:v>
      </x:c>
      <x:c r="D3" s="100" t="str">
        <x:f>IF('Master'!E660="","",'Master'!E660)</x:f>
        <x:v>No native AI feature verified</x:v>
      </x:c>
      <x:c r="E3" s="100" t="str">
        <x:f>IF('Master'!F660="","",'Master'!F660)</x:f>
        <x:v>No native AI feature advertised</x:v>
      </x:c>
      <x:c r="F3" s="100" t="str">
        <x:f>IF('Master'!G660="","",'Master'!G660)</x:f>
        <x:v>No prominent native generative-AI feature verified</x:v>
      </x:c>
      <x:c r="G3" s="100" t="str">
        <x:f>IF('Master'!H660="","",'Master'!H660)</x:f>
        <x:v>No native AI/LLM inference over messages/files/calls</x:v>
      </x:c>
      <x:c r="H3" s="100" t="str">
        <x:f>IF('Master'!I660="","",'Master'!I660)</x:f>
        <x:v>No prominent native generative AI verified</x:v>
      </x:c>
      <x:c r="I3" s="100" t="str">
        <x:f>IF('Master'!J660="","",'Master'!J660)</x:f>
        <x:v>None</x:v>
      </x:c>
      <x:c r="J3" s="100" t="str">
        <x:f>IF('Master'!K660="","",'Master'!K660)</x:f>
        <x:v>No native AI feature</x:v>
      </x:c>
      <x:c r="K3" s="100" t="str">
        <x:f>IF('Master'!L660="","",'Master'!L660)</x:f>
        <x:v>None</x:v>
      </x:c>
      <x:c r="L3" s="100" t="str">
        <x:f>IF('Master'!M660="","",'Master'!M660)</x:f>
        <x:v>No prominent native generative AI verified</x:v>
      </x:c>
      <x:c r="M3" s="100" t="str">
        <x:f>IF('Master'!N660="","",'Master'!N660)</x:f>
        <x:v>Built-in translation and voice transcription</x:v>
      </x:c>
      <x:c r="N3" s="100" t="str">
        <x:f>IF('Master'!O660="","",'Master'!O660)</x:f>
        <x:v>No platform-wide native AI requirement; client/server vendors may add AI independently</x:v>
      </x:c>
      <x:c r="O3" s="100" t="str">
        <x:f>IF('Master'!P660="","",'Master'!P660)</x:f>
        <x:v>AI features depend on Mattermost AI/enterprise integrations; not core universal</x:v>
      </x:c>
      <x:c r="P3" s="100" t="str">
        <x:f>IF('Master'!Q660="","",'Master'!Q660)</x:f>
        <x:v>Yes — moderation, translation, meeting summaries</x:v>
      </x:c>
      <x:c r="Q3" s="100" t="str">
        <x:f>IF('Master'!R660="","",'Master'!R660)</x:f>
        <x:v>None</x:v>
      </x:c>
      <x:c r="R3" s="100" t="str">
        <x:f>IF('Master'!S660="","",'Master'!S660)</x:f>
        <x:v>No native AI feature verified</x:v>
      </x:c>
      <x:c r="S3" s="100" t="str">
        <x:f>IF('Master'!T660="","",'Master'!T660)</x:f>
        <x:v>No prominent native generative AI verified</x:v>
      </x:c>
      <x:c r="T3" s="100" t="str">
        <x:f>IF('Master'!U660="","",'Master'!U660)</x:f>
        <x:v>No native AI channel tools pitched</x:v>
      </x:c>
      <x:c r="U3" s="100" t="str">
        <x:f>IF('Master'!V660="","",'Master'!V660)</x:f>
        <x:v>No native AI reading messages advertised</x:v>
      </x:c>
      <x:c r="V3" s="100" t="str">
        <x:f>IF('Master'!W660="","",'Master'!W660)</x:f>
        <x:v>Optional AI apps/integrations; not required core</x:v>
      </x:c>
      <x:c r="W3" s="100" t="str">
        <x:f>IF('Master'!X660="","",'Master'!X660)</x:f>
        <x:v>No native AI feature verified</x:v>
      </x:c>
      <x:c r="X3" s="100" t="str">
        <x:f>IF('Master'!Y660="","",'Master'!Y660)</x:f>
        <x:v>No user-facing native generative AI emphasized</x:v>
      </x:c>
      <x:c r="Y3" s="100" t="str">
        <x:f>IF('Master'!Z660="","",'Master'!Z660)</x:f>
        <x:v>No native AI feature requirement</x:v>
      </x:c>
      <x:c r="Z3" s="100" t="str">
        <x:f>IF('Master'!AA660="","",'Master'!AA660)</x:f>
        <x:v>No prominent native generative-AI feature verified</x:v>
      </x:c>
      <x:c r="AA3" s="104" t="str">
        <x:f>IF('Master'!AB660="","",'Master'!AB660)</x:f>
        <x:v>No prominent native generative AI verified</x:v>
      </x:c>
      <x:c r="AB3" s="100" t="str">
        <x:f>IF('Master'!AC660="","",'Master'!AC660)</x:f>
        <x:v>No native AI feature verified</x:v>
      </x:c>
      <x:c r="AC3" s="100" t="str">
        <x:f>IF('Master'!AD660="","",'Master'!AD660)</x:f>
        <x:v>No native AI feature verified</x:v>
      </x:c>
      <x:c r="AD3" s="100" t="str">
        <x:f>IF('Master'!AE660="","",'Master'!AE660)</x:f>
        <x:v>Some game modules include AI NPCs/features</x:v>
      </x:c>
      <x:c r="AE3" s="100" t="str">
        <x:f>IF('Master'!AF660="","",'Master'!AF660)</x:f>
        <x:v>None</x:v>
      </x:c>
      <x:c r="AF3" s="75" t="str">
        <x:f>IF('Master'!AG660="","",'Master'!AG660)</x:f>
        <x:v>No mandatory native AI feature</x:v>
      </x:c>
    </x:row>
    <x:row r="4" ht="36" customHeight="1">
      <x:c r="A4" s="135" t="str">
        <x:v>User Chat / Voice Scraped for Model Training?</x:v>
      </x:c>
      <x:c r="B4" s="100" t="str">
        <x:f>IF('Master'!C661="","",'Master'!C661)</x:f>
        <x:v>No — Discord says it does not allow AI companies to train models using user messages; voice/video is generally not stored</x:v>
      </x:c>
      <x:c r="C4" s="100" t="str">
        <x:f>IF('Master'!D661="","",'Master'!D661)</x:f>
        <x:v>No central content owner; encrypted content</x:v>
      </x:c>
      <x:c r="D4" s="100" t="str">
        <x:f>IF('Master'!E661="","",'Master'!E661)</x:f>
        <x:v>Self-host/operator controlled</x:v>
      </x:c>
      <x:c r="E4" s="100" t="str">
        <x:f>IF('Master'!F661="","",'Master'!F661)</x:f>
      </x:c>
      <x:c r="F4" s="100" t="str">
        <x:f>IF('Master'!G661="","",'Master'!G661)</x:f>
      </x:c>
      <x:c r="G4" s="100" t="str">
        <x:f>IF('Master'!H661="","",'Master'!H661)</x:f>
        <x:v>No — privacy policy explicitly forbids use for training/evaluation</x:v>
      </x:c>
      <x:c r="H4" s="100" t="str">
        <x:f>IF('Master'!I661="","",'Master'!I661)</x:f>
      </x:c>
      <x:c r="I4" s="100" t="str">
        <x:f>IF('Master'!J661="","",'Master'!J661)</x:f>
        <x:v>N/A/self-host</x:v>
      </x:c>
      <x:c r="J4" s="100" t="str">
        <x:f>IF('Master'!K661="","",'Master'!K661)</x:f>
        <x:v>No server-readable plaintext</x:v>
      </x:c>
      <x:c r="K4" s="100" t="str">
        <x:f>IF('Master'!L661="","",'Master'!L661)</x:f>
        <x:v>No (developer statement)</x:v>
      </x:c>
      <x:c r="L4" s="100" t="str">
        <x:f>IF('Master'!M661="","",'Master'!M661)</x:f>
        <x:v>No behavioral tracking; training policy not explicitly verified</x:v>
      </x:c>
      <x:c r="M4" s="100" t="str">
        <x:f>IF('Master'!N661="","",'Master'!N661)</x:f>
      </x:c>
      <x:c r="N4" s="100" t="str">
        <x:f>IF('Master'!O661="","",'Master'!O661)</x:f>
        <x:v>No single Matrix-wide data controller; training policy depends on homeserver/client provider</x:v>
      </x:c>
      <x:c r="O4" s="100" t="str">
        <x:f>IF('Master'!P661="","",'Master'!P661)</x:f>
        <x:v>Policy/deployment/provider-dependent; self-host can keep data controlled</x:v>
      </x:c>
      <x:c r="P4" s="100" t="str">
        <x:f>IF('Master'!Q661="","",'Master'!Q661)</x:f>
      </x:c>
      <x:c r="Q4" s="100" t="str">
        <x:f>IF('Master'!R661="","",'Master'!R661)</x:f>
        <x:v>No central service/model training; self-hosted</x:v>
      </x:c>
      <x:c r="R4" s="100" t="str">
        <x:f>IF('Master'!S661="","",'Master'!S661)</x:f>
      </x:c>
      <x:c r="S4" s="100" t="str">
        <x:f>IF('Master'!T661="","",'Master'!T661)</x:f>
      </x:c>
      <x:c r="T4" s="100" t="str">
        <x:f>IF('Master'!U661="","",'Master'!U661)</x:f>
        <x:v>No user-content training claim provided; robots.txt Content Signal includes ai-train=no</x:v>
      </x:c>
      <x:c r="U4" s="100" t="str">
        <x:f>IF('Master'!V661="","",'Master'!V661)</x:f>
        <x:v>No — site says messages/uploads never train AI</x:v>
      </x:c>
      <x:c r="V4" s="100" t="str">
        <x:f>IF('Master'!W661="","",'Master'!W661)</x:f>
      </x:c>
      <x:c r="W4" s="100" t="str">
        <x:f>IF('Master'!X661="","",'Master'!X661)</x:f>
        <x:v>Provider/project dependent</x:v>
      </x:c>
      <x:c r="X4" s="100" t="str">
        <x:f>IF('Master'!Y661="","",'Master'!Y661)</x:f>
        <x:v>No — privacy policy states content is not used to train AI models</x:v>
      </x:c>
      <x:c r="Y4" s="100" t="str">
        <x:f>IF('Master'!Z661="","",'Master'!Z661)</x:f>
        <x:v>Self-hosted operator-controlled; no central training policy</x:v>
      </x:c>
      <x:c r="Z4" s="100" t="str">
        <x:f>IF('Master'!AA661="","",'Master'!AA661)</x:f>
      </x:c>
      <x:c r="AA4" s="104" t="str">
        <x:f>IF('Master'!AB661="","",'Master'!AB661)</x:f>
      </x:c>
      <x:c r="AB4" s="100" t="str">
        <x:f>IF('Master'!AC661="","",'Master'!AC661)</x:f>
      </x:c>
      <x:c r="AC4" s="100" t="str">
        <x:f>IF('Master'!AD661="","",'Master'!AD661)</x:f>
      </x:c>
      <x:c r="AD4" s="100" t="str">
        <x:f>IF('Master'!AE661="","",'Master'!AE661)</x:f>
      </x:c>
      <x:c r="AE4" s="100" t="str">
        <x:f>IF('Master'!AF661="","",'Master'!AF661)</x:f>
        <x:v>No model training claim; content stays on operator server</x:v>
      </x:c>
      <x:c r="AF4" s="75" t="str">
        <x:f>IF('Master'!AG661="","",'Master'!AG661)</x:f>
        <x:v>Cloud/provider policy; no general claim of training user content found here</x:v>
      </x:c>
    </x:row>
    <x:row r="5" ht="36" customHeight="1">
      <x:c r="A5" s="135" t="str">
        <x:v>AI Training Consent Terms (Opt-In / Opt-Out / None)</x:v>
      </x:c>
      <x:c r="B5" s="100" t="str">
        <x:f>IF('Master'!C662="","",'Master'!C662)</x:f>
        <x:v>None for third-party model training (not permitted); experimental AI features may have separate visibility/privacy controls</x:v>
      </x:c>
      <x:c r="C5" s="100" t="str">
        <x:f>IF('Master'!D662="","",'Master'!D662)</x:f>
        <x:v>N/A</x:v>
      </x:c>
      <x:c r="D5" s="100" t="str">
        <x:f>IF('Master'!E662="","",'Master'!E662)</x:f>
        <x:v>N/A</x:v>
      </x:c>
      <x:c r="E5" s="100" t="str">
        <x:f>IF('Master'!F662="","",'Master'!F662)</x:f>
      </x:c>
      <x:c r="F5" s="100" t="str">
        <x:f>IF('Master'!G662="","",'Master'!G662)</x:f>
      </x:c>
      <x:c r="G5" s="100" t="str">
        <x:f>IF('Master'!H662="","",'Master'!H662)</x:f>
        <x:v>None — not used for training</x:v>
      </x:c>
      <x:c r="H5" s="100" t="str">
        <x:f>IF('Master'!I662="","",'Master'!I662)</x:f>
      </x:c>
      <x:c r="I5" s="100" t="str">
        <x:f>IF('Master'!J662="","",'Master'!J662)</x:f>
        <x:v>None</x:v>
      </x:c>
      <x:c r="J5" s="100" t="str">
        <x:f>IF('Master'!K662="","",'Master'!K662)</x:f>
        <x:v>N/A</x:v>
      </x:c>
      <x:c r="K5" s="100" t="str">
        <x:f>IF('Master'!L662="","",'Master'!L662)</x:f>
        <x:v>None — project states it does not train on user data</x:v>
      </x:c>
      <x:c r="L5" s="100" t="str">
        <x:f>IF('Master'!M662="","",'Master'!M662)</x:f>
      </x:c>
      <x:c r="M5" s="100" t="str">
        <x:f>IF('Master'!N662="","",'Master'!N662)</x:f>
      </x:c>
      <x:c r="N5" s="100" t="str">
        <x:f>IF('Master'!O662="","",'Master'!O662)</x:f>
        <x:v>Provider-specific</x:v>
      </x:c>
      <x:c r="O5" s="100" t="str">
        <x:f>IF('Master'!P662="","",'Master'!P662)</x:f>
        <x:v>Deployment/provider-specific</x:v>
      </x:c>
      <x:c r="P5" s="100" t="str">
        <x:f>IF('Master'!Q662="","",'Master'!Q662)</x:f>
      </x:c>
      <x:c r="Q5" s="100" t="str">
        <x:f>IF('Master'!R662="","",'Master'!R662)</x:f>
        <x:v>N/A</x:v>
      </x:c>
      <x:c r="R5" s="100" t="str">
        <x:f>IF('Master'!S662="","",'Master'!S662)</x:f>
      </x:c>
      <x:c r="S5" s="100" t="str">
        <x:f>IF('Master'!T662="","",'Master'!T662)</x:f>
      </x:c>
      <x:c r="T5" s="100" t="str">
        <x:f>IF('Master'!U662="","",'Master'!U662)</x:f>
        <x:v>Website Content Signal says ai-train=no; no separate chat/voice consent model stated</x:v>
      </x:c>
      <x:c r="U5" s="100" t="str">
        <x:f>IF('Master'!V662="","",'Master'!V662)</x:f>
        <x:v>None</x:v>
      </x:c>
      <x:c r="V5" s="100" t="str">
        <x:f>IF('Master'!W662="","",'Master'!W662)</x:f>
        <x:v>Deployment/provider-specific</x:v>
      </x:c>
      <x:c r="W5" s="100" t="str">
        <x:f>IF('Master'!X662="","",'Master'!X662)</x:f>
      </x:c>
      <x:c r="X5" s="100" t="str">
        <x:f>IF('Master'!Y662="","",'Master'!Y662)</x:f>
        <x:v>None for training</x:v>
      </x:c>
      <x:c r="Y5" s="100" t="str">
        <x:f>IF('Master'!Z662="","",'Master'!Z662)</x:f>
        <x:v>Operator-dependent</x:v>
      </x:c>
      <x:c r="Z5" s="100" t="str">
        <x:f>IF('Master'!AA662="","",'Master'!AA662)</x:f>
      </x:c>
      <x:c r="AA5" s="104" t="str">
        <x:f>IF('Master'!AB662="","",'Master'!AB662)</x:f>
      </x:c>
      <x:c r="AB5" s="100" t="str">
        <x:f>IF('Master'!AC662="","",'Master'!AC662)</x:f>
      </x:c>
      <x:c r="AC5" s="100" t="str">
        <x:f>IF('Master'!AD662="","",'Master'!AD662)</x:f>
      </x:c>
      <x:c r="AD5" s="100" t="str">
        <x:f>IF('Master'!AE662="","",'Master'!AE662)</x:f>
      </x:c>
      <x:c r="AE5" s="100" t="str">
        <x:f>IF('Master'!AF662="","",'Master'!AF662)</x:f>
        <x:v>N/A</x:v>
      </x:c>
      <x:c r="AF5" s="75" t="str">
        <x:f>IF('Master'!AG662="","",'Master'!AG662)</x:f>
      </x:c>
    </x:row>
    <x:row r="6" ht="36" customHeight="1">
      <x:c r="A6" s="135" t="str">
        <x:v>AI Assistance Used in Codebase Development (%)</x:v>
      </x:c>
      <x:c r="B6" s="100" t="str">
        <x:f>IF('Master'!C663="","",'Master'!C663)</x:f>
      </x:c>
      <x:c r="C6" s="100" t="str">
        <x:f>IF('Master'!D663="","",'Master'!D663)</x:f>
      </x:c>
      <x:c r="D6" s="100" t="str">
        <x:f>IF('Master'!E663="","",'Master'!E663)</x:f>
      </x:c>
      <x:c r="E6" s="100" t="str">
        <x:f>IF('Master'!F663="","",'Master'!F663)</x:f>
      </x:c>
      <x:c r="F6" s="100" t="str">
        <x:f>IF('Master'!G663="","",'Master'!G663)</x:f>
      </x:c>
      <x:c r="G6" s="100" t="str">
        <x:f>IF('Master'!H663="","",'Master'!H663)</x:f>
      </x:c>
      <x:c r="H6" s="100" t="str">
        <x:f>IF('Master'!I663="","",'Master'!I663)</x:f>
      </x:c>
      <x:c r="I6" s="100" t="str">
        <x:f>IF('Master'!J663="","",'Master'!J663)</x:f>
        <x:v>0% allowed by Fermi contribution policy</x:v>
      </x:c>
      <x:c r="J6" s="100" t="str">
        <x:f>IF('Master'!K663="","",'Master'!K663)</x:f>
      </x:c>
      <x:c r="K6" s="100" t="str">
        <x:f>IF('Master'!L663="","",'Master'!L663)</x:f>
        <x:v>Not published</x:v>
      </x:c>
      <x:c r="L6" s="100" t="str">
        <x:f>IF('Master'!M663="","",'Master'!M663)</x:f>
      </x:c>
      <x:c r="M6" s="100" t="str">
        <x:f>IF('Master'!N663="","",'Master'!N663)</x:f>
      </x:c>
      <x:c r="N6" s="100" t="str">
        <x:f>IF('Master'!O663="","",'Master'!O663)</x:f>
      </x:c>
      <x:c r="O6" s="100" t="str">
        <x:f>IF('Master'!P663="","",'Master'!P663)</x:f>
      </x:c>
      <x:c r="P6" s="100" t="str">
        <x:f>IF('Master'!Q663="","",'Master'!Q663)</x:f>
      </x:c>
      <x:c r="Q6" s="100" t="str">
        <x:f>IF('Master'!R663="","",'Master'!R663)</x:f>
        <x:v>N/A</x:v>
      </x:c>
      <x:c r="R6" s="100" t="str">
        <x:f>IF('Master'!S663="","",'Master'!S663)</x:f>
      </x:c>
      <x:c r="S6" s="100" t="str">
        <x:f>IF('Master'!T663="","",'Master'!T663)</x:f>
      </x:c>
      <x:c r="T6" s="100" t="str">
        <x:f>IF('Master'!U663="","",'Master'!U663)</x:f>
        <x:v>Not published</x:v>
      </x:c>
      <x:c r="U6" s="100" t="str">
        <x:f>IF('Master'!V663="","",'Master'!V663)</x:f>
        <x:v>AI Assistance used - Commit Notes</x:v>
      </x:c>
      <x:c r="V6" s="100" t="str">
        <x:f>IF('Master'!W663="","",'Master'!W663)</x:f>
      </x:c>
      <x:c r="W6" s="100" t="str">
        <x:f>IF('Master'!X663="","",'Master'!X663)</x:f>
      </x:c>
      <x:c r="X6" s="100" t="str">
        <x:f>IF('Master'!Y663="","",'Master'!Y663)</x:f>
      </x:c>
      <x:c r="Y6" s="100" t="str">
        <x:f>IF('Master'!Z663="","",'Master'!Z663)</x:f>
      </x:c>
      <x:c r="Z6" s="100" t="str">
        <x:f>IF('Master'!AA663="","",'Master'!AA663)</x:f>
      </x:c>
      <x:c r="AA6" s="104" t="str">
        <x:f>IF('Master'!AB663="","",'Master'!AB663)</x:f>
      </x:c>
      <x:c r="AB6" s="100" t="str">
        <x:f>IF('Master'!AC663="","",'Master'!AC663)</x:f>
      </x:c>
      <x:c r="AC6" s="100" t="str">
        <x:f>IF('Master'!AD663="","",'Master'!AD663)</x:f>
      </x:c>
      <x:c r="AD6" s="100" t="str">
        <x:f>IF('Master'!AE663="","",'Master'!AE663)</x:f>
      </x:c>
      <x:c r="AE6" s="100" t="str">
        <x:f>IF('Master'!AF663="","",'Master'!AF663)</x:f>
      </x:c>
      <x:c r="AF6" s="75" t="str">
        <x:f>IF('Master'!AG663="","",'Master'!AG663)</x:f>
      </x:c>
    </x:row>
    <x:row r="7" ht="36" customHeight="1">
      <x:c r="A7" s="135" t="str">
        <x:v>AI Development Transparency &amp; Disclosure</x:v>
      </x:c>
      <x:c r="B7" s="100" t="str">
        <x:f>IF('Master'!C664="","",'Master'!C664)</x:f>
      </x:c>
      <x:c r="C7" s="100" t="str">
        <x:f>IF('Master'!D664="","",'Master'!D664)</x:f>
      </x:c>
      <x:c r="D7" s="100" t="str">
        <x:f>IF('Master'!E664="","",'Master'!E664)</x:f>
      </x:c>
      <x:c r="E7" s="100" t="str">
        <x:f>IF('Master'!F664="","",'Master'!F664)</x:f>
      </x:c>
      <x:c r="F7" s="100" t="str">
        <x:f>IF('Master'!G664="","",'Master'!G664)</x:f>
      </x:c>
      <x:c r="G7" s="100" t="str">
        <x:f>IF('Master'!H664="","",'Master'!H664)</x:f>
        <x:v>No percentage published</x:v>
      </x:c>
      <x:c r="H7" s="100" t="str">
        <x:f>IF('Master'!I664="","",'Master'!I664)</x:f>
      </x:c>
      <x:c r="I7" s="100" t="str">
        <x:f>IF('Master'!J664="","",'Master'!J664)</x:f>
        <x:v>Fermi explicitly bans AI-generated code</x:v>
      </x:c>
      <x:c r="J7" s="100" t="str">
        <x:f>IF('Master'!K664="","",'Master'!K664)</x:f>
        <x:v>Developer publicly discloses Claude use for development tooling</x:v>
      </x:c>
      <x:c r="K7" s="100" t="str">
        <x:f>IF('Master'!L664="","",'Master'!L664)</x:f>
        <x:v>AI is used to speed development; primary developer retains architectural decisions and reviews AI-written code (developer statement)</x:v>
      </x:c>
      <x:c r="L7" s="100" t="str">
        <x:f>IF('Master'!M664="","",'Master'!M664)</x:f>
      </x:c>
      <x:c r="M7" s="100" t="str">
        <x:f>IF('Master'!N664="","",'Master'!N664)</x:f>
        <x:v>AI models used for translation/transcription disclosed</x:v>
      </x:c>
      <x:c r="N7" s="100" t="str">
        <x:f>IF('Master'!O664="","",'Master'!O664)</x:f>
        <x:v>Provider-specific</x:v>
      </x:c>
      <x:c r="O7" s="100" t="str">
        <x:f>IF('Master'!P664="","",'Master'!P664)</x:f>
      </x:c>
      <x:c r="P7" s="100" t="str">
        <x:f>IF('Master'!Q664="","",'Master'!Q664)</x:f>
        <x:v>Publicly discloses AI-powered features</x:v>
      </x:c>
      <x:c r="Q7" s="100" t="str">
        <x:f>IF('Master'!R664="","",'Master'!R664)</x:f>
        <x:v>N/A</x:v>
      </x:c>
      <x:c r="R7" s="100" t="str">
        <x:f>IF('Master'!S664="","",'Master'!S664)</x:f>
      </x:c>
      <x:c r="S7" s="100" t="str">
        <x:f>IF('Master'!T664="","",'Master'!T664)</x:f>
      </x:c>
      <x:c r="T7" s="100" t="str">
        <x:f>IF('Master'!U664="","",'Master'!U664)</x:f>
        <x:v>Built in the open; developer does not claim zero AI use anywhere in the codebase</x:v>
      </x:c>
      <x:c r="U7" s="100" t="str">
        <x:f>IF('Master'!V664="","",'Master'!V664)</x:f>
        <x:v>Public FAQ discloses AI is used for parts of coding, with developer review</x:v>
      </x:c>
      <x:c r="V7" s="100" t="str">
        <x:f>IF('Master'!W664="","",'Master'!W664)</x:f>
      </x:c>
      <x:c r="W7" s="100" t="str">
        <x:f>IF('Master'!X664="","",'Master'!X664)</x:f>
      </x:c>
      <x:c r="X7" s="100" t="str">
        <x:f>IF('Master'!Y664="","",'Master'!Y664)</x:f>
      </x:c>
      <x:c r="Y7" s="100" t="str">
        <x:f>IF('Master'!Z664="","",'Master'!Z664)</x:f>
      </x:c>
      <x:c r="Z7" s="100" t="str">
        <x:f>IF('Master'!AA664="","",'Master'!AA664)</x:f>
      </x:c>
      <x:c r="AA7" s="104" t="str">
        <x:f>IF('Master'!AB664="","",'Master'!AB664)</x:f>
      </x:c>
      <x:c r="AB7" s="100" t="str">
        <x:f>IF('Master'!AC664="","",'Master'!AC664)</x:f>
      </x:c>
      <x:c r="AC7" s="100" t="str">
        <x:f>IF('Master'!AD664="","",'Master'!AD664)</x:f>
      </x:c>
      <x:c r="AD7" s="100" t="str">
        <x:f>IF('Master'!AE664="","",'Master'!AE664)</x:f>
        <x:v>AI is product-feature specific, not general chat summarization</x:v>
      </x:c>
      <x:c r="AE7" s="100" t="str">
        <x:f>IF('Master'!AF664="","",'Master'!AF664)</x:f>
        <x:v>Privacy-first/no surveillance model</x:v>
      </x:c>
      <x:c r="AF7" s="75" t="str">
        <x:f>IF('Master'!AG664="","",'Master'!AG664)</x:f>
      </x:c>
    </x:row>
    <x:row r="8" ht="23.100000381469727" customHeight="1">
      <x:c r="A8" s="135" t="str">
        <x:v>AI Governance Detail</x:v>
      </x:c>
      <x:c r="B8" s="102" t="str">
        <x:f>IF('Master'!C665="","",'Master'!C665)</x:f>
      </x:c>
      <x:c r="C8" s="102" t="str">
        <x:f>IF('Master'!D665="","",'Master'!D665)</x:f>
      </x:c>
      <x:c r="D8" s="102" t="str">
        <x:f>IF('Master'!E665="","",'Master'!E665)</x:f>
      </x:c>
      <x:c r="E8" s="102" t="str">
        <x:f>IF('Master'!F665="","",'Master'!F665)</x:f>
      </x:c>
      <x:c r="F8" s="102" t="str">
        <x:f>IF('Master'!G665="","",'Master'!G665)</x:f>
      </x:c>
      <x:c r="G8" s="102" t="str">
        <x:f>IF('Master'!H665="","",'Master'!H665)</x:f>
      </x:c>
      <x:c r="H8" s="102" t="str">
        <x:f>IF('Master'!I665="","",'Master'!I665)</x:f>
      </x:c>
      <x:c r="I8" s="102" t="str">
        <x:f>IF('Master'!J665="","",'Master'!J665)</x:f>
      </x:c>
      <x:c r="J8" s="102" t="str">
        <x:f>IF('Master'!K665="","",'Master'!K665)</x:f>
      </x:c>
      <x:c r="K8" s="102" t="str">
        <x:f>IF('Master'!L665="","",'Master'!L665)</x:f>
        <x:v>No native AI-product governance layer; user data is not used for model training per developer statement</x:v>
      </x:c>
      <x:c r="L8" s="102" t="str">
        <x:f>IF('Master'!M665="","",'Master'!M665)</x:f>
      </x:c>
      <x:c r="M8" s="102" t="str">
        <x:f>IF('Master'!N665="","",'Master'!N665)</x:f>
      </x:c>
      <x:c r="N8" s="102" t="str">
        <x:f>IF('Master'!O665="","",'Master'!O665)</x:f>
      </x:c>
      <x:c r="O8" s="102" t="str">
        <x:f>IF('Master'!P665="","",'Master'!P665)</x:f>
      </x:c>
      <x:c r="P8" s="102" t="str">
        <x:f>IF('Master'!Q665="","",'Master'!Q665)</x:f>
      </x:c>
      <x:c r="Q8" s="102" t="str">
        <x:f>IF('Master'!R665="","",'Master'!R665)</x:f>
      </x:c>
      <x:c r="R8" s="102" t="str">
        <x:f>IF('Master'!S665="","",'Master'!S665)</x:f>
      </x:c>
      <x:c r="S8" s="102" t="str">
        <x:f>IF('Master'!T665="","",'Master'!T665)</x:f>
      </x:c>
      <x:c r="T8" s="102" t="str">
        <x:f>IF('Master'!U665="","",'Master'!U665)</x:f>
      </x:c>
      <x:c r="U8" s="102" t="str">
        <x:f>IF('Master'!V665="","",'Master'!V665)</x:f>
      </x:c>
      <x:c r="V8" s="102" t="str">
        <x:f>IF('Master'!W665="","",'Master'!W665)</x:f>
      </x:c>
      <x:c r="W8" s="102" t="str">
        <x:f>IF('Master'!X665="","",'Master'!X665)</x:f>
      </x:c>
      <x:c r="X8" s="102" t="str">
        <x:f>IF('Master'!Y665="","",'Master'!Y665)</x:f>
      </x:c>
      <x:c r="Y8" s="102" t="str">
        <x:f>IF('Master'!Z665="","",'Master'!Z665)</x:f>
      </x:c>
      <x:c r="Z8" s="102" t="str">
        <x:f>IF('Master'!AA665="","",'Master'!AA665)</x:f>
      </x:c>
      <x:c r="AA8" s="103" t="str">
        <x:f>IF('Master'!AB665="","",'Master'!AB665)</x:f>
      </x:c>
      <x:c r="AB8" s="102" t="str">
        <x:f>IF('Master'!AC665="","",'Master'!AC665)</x:f>
      </x:c>
      <x:c r="AC8" s="102" t="str">
        <x:f>IF('Master'!AD665="","",'Master'!AD665)</x:f>
      </x:c>
      <x:c r="AD8" s="102" t="str">
        <x:f>IF('Master'!AE665="","",'Master'!AE665)</x:f>
      </x:c>
      <x:c r="AE8" s="102" t="str">
        <x:f>IF('Master'!AF665="","",'Master'!AF665)</x:f>
      </x:c>
      <x:c r="AF8" s="75" t="str">
        <x:f>IF('Master'!AG665="","",'Master'!AG665)</x:f>
      </x:c>
    </x:row>
    <x:row r="9" ht="36" customHeight="1">
      <x:c r="A9" s="135" t="str">
        <x:v>Native Generative AI?</x:v>
      </x:c>
      <x:c r="B9" s="100" t="str">
        <x:f>IF('Master'!C667="","",'Master'!C667)</x:f>
        <x:v>Yes</x:v>
      </x:c>
      <x:c r="C9" s="100" t="str">
        <x:f>IF('Master'!D667="","",'Master'!D667)</x:f>
        <x:v>No</x:v>
      </x:c>
      <x:c r="D9" s="100" t="str">
        <x:f>IF('Master'!E667="","",'Master'!E667)</x:f>
        <x:v>No</x:v>
      </x:c>
      <x:c r="E9" s="100" t="str">
        <x:f>IF('Master'!F667="","",'Master'!F667)</x:f>
        <x:v>No</x:v>
      </x:c>
      <x:c r="F9" s="100" t="str">
        <x:f>IF('Master'!G667="","",'Master'!G667)</x:f>
        <x:v>No</x:v>
      </x:c>
      <x:c r="G9" s="100" t="str">
        <x:f>IF('Master'!H667="","",'Master'!H667)</x:f>
        <x:v>No</x:v>
      </x:c>
      <x:c r="H9" s="100" t="str">
        <x:f>IF('Master'!I667="","",'Master'!I667)</x:f>
        <x:v>No</x:v>
      </x:c>
      <x:c r="I9" s="100" t="str">
        <x:f>IF('Master'!J667="","",'Master'!J667)</x:f>
        <x:v>No</x:v>
      </x:c>
      <x:c r="J9" s="100" t="str">
        <x:f>IF('Master'!K667="","",'Master'!K667)</x:f>
        <x:v>No</x:v>
      </x:c>
      <x:c r="K9" s="100" t="str">
        <x:f>IF('Master'!L667="","",'Master'!L667)</x:f>
        <x:v>None</x:v>
      </x:c>
      <x:c r="L9" s="100" t="str">
        <x:f>IF('Master'!M667="","",'Master'!M667)</x:f>
        <x:v>No</x:v>
      </x:c>
      <x:c r="M9" s="100" t="str">
        <x:f>IF('Master'!N667="","",'Master'!N667)</x:f>
      </x:c>
      <x:c r="N9" s="100" t="str">
        <x:f>IF('Master'!O667="","",'Master'!O667)</x:f>
        <x:v>No</x:v>
      </x:c>
      <x:c r="O9" s="100" t="str">
        <x:f>IF('Master'!P667="","",'Master'!P667)</x:f>
        <x:v>Yes</x:v>
      </x:c>
      <x:c r="P9" s="100" t="str">
        <x:f>IF('Master'!Q667="","",'Master'!Q667)</x:f>
        <x:v>Yes</x:v>
      </x:c>
      <x:c r="Q9" s="100" t="str">
        <x:f>IF('Master'!R667="","",'Master'!R667)</x:f>
        <x:v>No</x:v>
      </x:c>
      <x:c r="R9" s="100" t="str">
        <x:f>IF('Master'!S667="","",'Master'!S667)</x:f>
        <x:v>No</x:v>
      </x:c>
      <x:c r="S9" s="100" t="str">
        <x:f>IF('Master'!T667="","",'Master'!T667)</x:f>
        <x:v>No</x:v>
      </x:c>
      <x:c r="T9" s="100" t="str">
        <x:f>IF('Master'!U667="","",'Master'!U667)</x:f>
        <x:v>No</x:v>
      </x:c>
      <x:c r="U9" s="100" t="str">
        <x:f>IF('Master'!V667="","",'Master'!V667)</x:f>
        <x:v>No</x:v>
      </x:c>
      <x:c r="V9" s="100" t="str">
        <x:f>IF('Master'!W667="","",'Master'!W667)</x:f>
        <x:v>Yes</x:v>
      </x:c>
      <x:c r="W9" s="100" t="str">
        <x:f>IF('Master'!X667="","",'Master'!X667)</x:f>
        <x:v>No</x:v>
      </x:c>
      <x:c r="X9" s="100" t="str">
        <x:f>IF('Master'!Y667="","",'Master'!Y667)</x:f>
        <x:v>No</x:v>
      </x:c>
      <x:c r="Y9" s="100" t="str">
        <x:f>IF('Master'!Z667="","",'Master'!Z667)</x:f>
        <x:v>No</x:v>
      </x:c>
      <x:c r="Z9" s="100" t="str">
        <x:f>IF('Master'!AA667="","",'Master'!AA667)</x:f>
        <x:v>No</x:v>
      </x:c>
      <x:c r="AA9" s="104" t="str">
        <x:f>IF('Master'!AB667="","",'Master'!AB667)</x:f>
        <x:v>No</x:v>
      </x:c>
      <x:c r="AB9" s="100" t="str">
        <x:f>IF('Master'!AC667="","",'Master'!AC667)</x:f>
        <x:v>No</x:v>
      </x:c>
      <x:c r="AC9" s="100" t="str">
        <x:f>IF('Master'!AD667="","",'Master'!AD667)</x:f>
        <x:v>No</x:v>
      </x:c>
      <x:c r="AD9" s="100" t="str">
        <x:f>IF('Master'!AE667="","",'Master'!AE667)</x:f>
        <x:v>Yes</x:v>
      </x:c>
      <x:c r="AE9" s="100" t="str">
        <x:f>IF('Master'!AF667="","",'Master'!AF667)</x:f>
        <x:v>No</x:v>
      </x:c>
      <x:c r="AF9" s="75" t="str">
        <x:f>IF('Master'!AG667="","",'Master'!AG667)</x:f>
        <x:v>No</x:v>
      </x:c>
    </x:row>
    <x:row r="10" ht="36" customHeight="1">
      <x:c r="A10" s="135" t="str">
        <x:v>AI Search?</x:v>
      </x:c>
      <x:c r="B10" s="100" t="str">
        <x:f>IF('Master'!C670="","",'Master'!C670)</x:f>
      </x:c>
      <x:c r="C10" s="100" t="str">
        <x:f>IF('Master'!D670="","",'Master'!D670)</x:f>
      </x:c>
      <x:c r="D10" s="100" t="str">
        <x:f>IF('Master'!E670="","",'Master'!E670)</x:f>
      </x:c>
      <x:c r="E10" s="100" t="str">
        <x:f>IF('Master'!F670="","",'Master'!F670)</x:f>
      </x:c>
      <x:c r="F10" s="100" t="str">
        <x:f>IF('Master'!G670="","",'Master'!G670)</x:f>
      </x:c>
      <x:c r="G10" s="100" t="str">
        <x:f>IF('Master'!H670="","",'Master'!H670)</x:f>
      </x:c>
      <x:c r="H10" s="100" t="str">
        <x:f>IF('Master'!I670="","",'Master'!I670)</x:f>
      </x:c>
      <x:c r="I10" s="100" t="str">
        <x:f>IF('Master'!J670="","",'Master'!J670)</x:f>
      </x:c>
      <x:c r="J10" s="100" t="str">
        <x:f>IF('Master'!K670="","",'Master'!K670)</x:f>
      </x:c>
      <x:c r="K10" s="100" t="str">
        <x:f>IF('Master'!L670="","",'Master'!L670)</x:f>
        <x:v>None</x:v>
      </x:c>
      <x:c r="L10" s="100" t="str">
        <x:f>IF('Master'!M670="","",'Master'!M670)</x:f>
      </x:c>
      <x:c r="M10" s="100" t="str">
        <x:f>IF('Master'!N670="","",'Master'!N670)</x:f>
      </x:c>
      <x:c r="N10" s="100" t="str">
        <x:f>IF('Master'!O670="","",'Master'!O670)</x:f>
      </x:c>
      <x:c r="O10" s="100" t="str">
        <x:f>IF('Master'!P670="","",'Master'!P670)</x:f>
        <x:v>Yes</x:v>
      </x:c>
      <x:c r="P10" s="100" t="str">
        <x:f>IF('Master'!Q670="","",'Master'!Q670)</x:f>
      </x:c>
      <x:c r="Q10" s="100" t="str">
        <x:f>IF('Master'!R670="","",'Master'!R670)</x:f>
      </x:c>
      <x:c r="R10" s="100" t="str">
        <x:f>IF('Master'!S670="","",'Master'!S670)</x:f>
      </x:c>
      <x:c r="S10" s="100" t="str">
        <x:f>IF('Master'!T670="","",'Master'!T670)</x:f>
      </x:c>
      <x:c r="T10" s="100" t="str">
        <x:f>IF('Master'!U670="","",'Master'!U670)</x:f>
      </x:c>
      <x:c r="U10" s="100" t="str">
        <x:f>IF('Master'!V670="","",'Master'!V670)</x:f>
        <x:v>No</x:v>
      </x:c>
      <x:c r="V10" s="100" t="str">
        <x:f>IF('Master'!W670="","",'Master'!W670)</x:f>
      </x:c>
      <x:c r="W10" s="100" t="str">
        <x:f>IF('Master'!X670="","",'Master'!X670)</x:f>
      </x:c>
      <x:c r="X10" s="100" t="str">
        <x:f>IF('Master'!Y670="","",'Master'!Y670)</x:f>
      </x:c>
      <x:c r="Y10" s="100" t="str">
        <x:f>IF('Master'!Z670="","",'Master'!Z670)</x:f>
      </x:c>
      <x:c r="Z10" s="100" t="str">
        <x:f>IF('Master'!AA670="","",'Master'!AA670)</x:f>
      </x:c>
      <x:c r="AA10" s="104" t="str">
        <x:f>IF('Master'!AB670="","",'Master'!AB670)</x:f>
      </x:c>
      <x:c r="AB10" s="100" t="str">
        <x:f>IF('Master'!AC670="","",'Master'!AC670)</x:f>
      </x:c>
      <x:c r="AC10" s="100" t="str">
        <x:f>IF('Master'!AD670="","",'Master'!AD670)</x:f>
      </x:c>
      <x:c r="AD10" s="100" t="str">
        <x:f>IF('Master'!AE670="","",'Master'!AE670)</x:f>
      </x:c>
      <x:c r="AE10" s="100" t="str">
        <x:f>IF('Master'!AF670="","",'Master'!AF670)</x:f>
      </x:c>
      <x:c r="AF10" s="75" t="str">
        <x:f>IF('Master'!AG670="","",'Master'!AG670)</x:f>
      </x:c>
    </x:row>
    <x:row r="11" ht="36" customHeight="1">
      <x:c r="A11" s="135" t="str">
        <x:v>AI Moderation?</x:v>
      </x:c>
      <x:c r="B11" s="100" t="str">
        <x:f>IF('Master'!C672="","",'Master'!C672)</x:f>
        <x:v>Yes</x:v>
      </x:c>
      <x:c r="C11" s="100" t="str">
        <x:f>IF('Master'!D672="","",'Master'!D672)</x:f>
      </x:c>
      <x:c r="D11" s="100" t="str">
        <x:f>IF('Master'!E672="","",'Master'!E672)</x:f>
      </x:c>
      <x:c r="E11" s="100" t="str">
        <x:f>IF('Master'!F672="","",'Master'!F672)</x:f>
      </x:c>
      <x:c r="F11" s="100" t="str">
        <x:f>IF('Master'!G672="","",'Master'!G672)</x:f>
      </x:c>
      <x:c r="G11" s="100" t="str">
        <x:f>IF('Master'!H672="","",'Master'!H672)</x:f>
      </x:c>
      <x:c r="H11" s="100" t="str">
        <x:f>IF('Master'!I672="","",'Master'!I672)</x:f>
      </x:c>
      <x:c r="I11" s="100" t="str">
        <x:f>IF('Master'!J672="","",'Master'!J672)</x:f>
      </x:c>
      <x:c r="J11" s="100" t="str">
        <x:f>IF('Master'!K672="","",'Master'!K672)</x:f>
      </x:c>
      <x:c r="K11" s="100" t="str">
        <x:f>IF('Master'!L672="","",'Master'!L672)</x:f>
        <x:v>None</x:v>
      </x:c>
      <x:c r="L11" s="100" t="str">
        <x:f>IF('Master'!M672="","",'Master'!M672)</x:f>
      </x:c>
      <x:c r="M11" s="100" t="str">
        <x:f>IF('Master'!N672="","",'Master'!N672)</x:f>
      </x:c>
      <x:c r="N11" s="100" t="str">
        <x:f>IF('Master'!O672="","",'Master'!O672)</x:f>
      </x:c>
      <x:c r="O11" s="100" t="str">
        <x:f>IF('Master'!P672="","",'Master'!P672)</x:f>
      </x:c>
      <x:c r="P11" s="100" t="str">
        <x:f>IF('Master'!Q672="","",'Master'!Q672)</x:f>
        <x:v>Yes</x:v>
      </x:c>
      <x:c r="Q11" s="100" t="str">
        <x:f>IF('Master'!R672="","",'Master'!R672)</x:f>
      </x:c>
      <x:c r="R11" s="100" t="str">
        <x:f>IF('Master'!S672="","",'Master'!S672)</x:f>
      </x:c>
      <x:c r="S11" s="100" t="str">
        <x:f>IF('Master'!T672="","",'Master'!T672)</x:f>
      </x:c>
      <x:c r="T11" s="100" t="str">
        <x:f>IF('Master'!U672="","",'Master'!U672)</x:f>
      </x:c>
      <x:c r="U11" s="100" t="str">
        <x:f>IF('Master'!V672="","",'Master'!V672)</x:f>
        <x:v>No</x:v>
      </x:c>
      <x:c r="V11" s="100" t="str">
        <x:f>IF('Master'!W672="","",'Master'!W672)</x:f>
      </x:c>
      <x:c r="W11" s="100" t="str">
        <x:f>IF('Master'!X672="","",'Master'!X672)</x:f>
      </x:c>
      <x:c r="X11" s="100" t="str">
        <x:f>IF('Master'!Y672="","",'Master'!Y672)</x:f>
      </x:c>
      <x:c r="Y11" s="100" t="str">
        <x:f>IF('Master'!Z672="","",'Master'!Z672)</x:f>
      </x:c>
      <x:c r="Z11" s="100" t="str">
        <x:f>IF('Master'!AA672="","",'Master'!AA672)</x:f>
      </x:c>
      <x:c r="AA11" s="104" t="str">
        <x:f>IF('Master'!AB672="","",'Master'!AB672)</x:f>
      </x:c>
      <x:c r="AB11" s="100" t="str">
        <x:f>IF('Master'!AC672="","",'Master'!AC672)</x:f>
      </x:c>
      <x:c r="AC11" s="100" t="str">
        <x:f>IF('Master'!AD672="","",'Master'!AD672)</x:f>
      </x:c>
      <x:c r="AD11" s="100" t="str">
        <x:f>IF('Master'!AE672="","",'Master'!AE672)</x:f>
      </x:c>
      <x:c r="AE11" s="100" t="str">
        <x:f>IF('Master'!AF672="","",'Master'!AF672)</x:f>
      </x:c>
      <x:c r="AF11" s="75" t="str">
        <x:f>IF('Master'!AG672="","",'Master'!AG672)</x:f>
      </x:c>
    </x:row>
    <x:row r="12" ht="36" customHeight="1">
      <x:c r="A12" s="135" t="str">
        <x:v>AI Translation?</x:v>
      </x:c>
      <x:c r="B12" s="100" t="str">
        <x:f>IF('Master'!C673="","",'Master'!C673)</x:f>
      </x:c>
      <x:c r="C12" s="100" t="str">
        <x:f>IF('Master'!D673="","",'Master'!D673)</x:f>
      </x:c>
      <x:c r="D12" s="100" t="str">
        <x:f>IF('Master'!E673="","",'Master'!E673)</x:f>
      </x:c>
      <x:c r="E12" s="100" t="str">
        <x:f>IF('Master'!F673="","",'Master'!F673)</x:f>
      </x:c>
      <x:c r="F12" s="100" t="str">
        <x:f>IF('Master'!G673="","",'Master'!G673)</x:f>
      </x:c>
      <x:c r="G12" s="100" t="str">
        <x:f>IF('Master'!H673="","",'Master'!H673)</x:f>
      </x:c>
      <x:c r="H12" s="100" t="str">
        <x:f>IF('Master'!I673="","",'Master'!I673)</x:f>
      </x:c>
      <x:c r="I12" s="100" t="str">
        <x:f>IF('Master'!J673="","",'Master'!J673)</x:f>
      </x:c>
      <x:c r="J12" s="100" t="str">
        <x:f>IF('Master'!K673="","",'Master'!K673)</x:f>
      </x:c>
      <x:c r="K12" s="100" t="str">
        <x:f>IF('Master'!L673="","",'Master'!L673)</x:f>
        <x:v>None</x:v>
      </x:c>
      <x:c r="L12" s="100" t="str">
        <x:f>IF('Master'!M673="","",'Master'!M673)</x:f>
      </x:c>
      <x:c r="M12" s="100" t="str">
        <x:f>IF('Master'!N673="","",'Master'!N673)</x:f>
        <x:v>Yes</x:v>
      </x:c>
      <x:c r="N12" s="100" t="str">
        <x:f>IF('Master'!O673="","",'Master'!O673)</x:f>
      </x:c>
      <x:c r="O12" s="100" t="str">
        <x:f>IF('Master'!P673="","",'Master'!P673)</x:f>
      </x:c>
      <x:c r="P12" s="100" t="str">
        <x:f>IF('Master'!Q673="","",'Master'!Q673)</x:f>
        <x:v>Yes</x:v>
      </x:c>
      <x:c r="Q12" s="100" t="str">
        <x:f>IF('Master'!R673="","",'Master'!R673)</x:f>
      </x:c>
      <x:c r="R12" s="100" t="str">
        <x:f>IF('Master'!S673="","",'Master'!S673)</x:f>
      </x:c>
      <x:c r="S12" s="100" t="str">
        <x:f>IF('Master'!T673="","",'Master'!T673)</x:f>
      </x:c>
      <x:c r="T12" s="100" t="str">
        <x:f>IF('Master'!U673="","",'Master'!U673)</x:f>
      </x:c>
      <x:c r="U12" s="100" t="str">
        <x:f>IF('Master'!V673="","",'Master'!V673)</x:f>
        <x:v>No</x:v>
      </x:c>
      <x:c r="V12" s="100" t="str">
        <x:f>IF('Master'!W673="","",'Master'!W673)</x:f>
      </x:c>
      <x:c r="W12" s="100" t="str">
        <x:f>IF('Master'!X673="","",'Master'!X673)</x:f>
      </x:c>
      <x:c r="X12" s="100" t="str">
        <x:f>IF('Master'!Y673="","",'Master'!Y673)</x:f>
      </x:c>
      <x:c r="Y12" s="100" t="str">
        <x:f>IF('Master'!Z673="","",'Master'!Z673)</x:f>
      </x:c>
      <x:c r="Z12" s="100" t="str">
        <x:f>IF('Master'!AA673="","",'Master'!AA673)</x:f>
      </x:c>
      <x:c r="AA12" s="104" t="str">
        <x:f>IF('Master'!AB673="","",'Master'!AB673)</x:f>
      </x:c>
      <x:c r="AB12" s="100" t="str">
        <x:f>IF('Master'!AC673="","",'Master'!AC673)</x:f>
      </x:c>
      <x:c r="AC12" s="100" t="str">
        <x:f>IF('Master'!AD673="","",'Master'!AD673)</x:f>
      </x:c>
      <x:c r="AD12" s="100" t="str">
        <x:f>IF('Master'!AE673="","",'Master'!AE673)</x:f>
      </x:c>
      <x:c r="AE12" s="100" t="str">
        <x:f>IF('Master'!AF673="","",'Master'!AF673)</x:f>
      </x:c>
      <x:c r="AF12" s="75" t="str">
        <x:f>IF('Master'!AG673="","",'Master'!AG673)</x:f>
      </x:c>
    </x:row>
    <x:row r="13" ht="36" customHeight="1">
      <x:c r="A13" s="135" t="str">
        <x:v>AI Transcription?</x:v>
      </x:c>
      <x:c r="B13" s="100" t="str">
        <x:f>IF('Master'!C674="","",'Master'!C674)</x:f>
      </x:c>
      <x:c r="C13" s="100" t="str">
        <x:f>IF('Master'!D674="","",'Master'!D674)</x:f>
      </x:c>
      <x:c r="D13" s="100" t="str">
        <x:f>IF('Master'!E674="","",'Master'!E674)</x:f>
      </x:c>
      <x:c r="E13" s="100" t="str">
        <x:f>IF('Master'!F674="","",'Master'!F674)</x:f>
      </x:c>
      <x:c r="F13" s="100" t="str">
        <x:f>IF('Master'!G674="","",'Master'!G674)</x:f>
      </x:c>
      <x:c r="G13" s="100" t="str">
        <x:f>IF('Master'!H674="","",'Master'!H674)</x:f>
      </x:c>
      <x:c r="H13" s="100" t="str">
        <x:f>IF('Master'!I674="","",'Master'!I674)</x:f>
      </x:c>
      <x:c r="I13" s="100" t="str">
        <x:f>IF('Master'!J674="","",'Master'!J674)</x:f>
      </x:c>
      <x:c r="J13" s="100" t="str">
        <x:f>IF('Master'!K674="","",'Master'!K674)</x:f>
      </x:c>
      <x:c r="K13" s="100" t="str">
        <x:f>IF('Master'!L674="","",'Master'!L674)</x:f>
        <x:v>None</x:v>
      </x:c>
      <x:c r="L13" s="100" t="str">
        <x:f>IF('Master'!M674="","",'Master'!M674)</x:f>
      </x:c>
      <x:c r="M13" s="100" t="str">
        <x:f>IF('Master'!N674="","",'Master'!N674)</x:f>
        <x:v>Yes</x:v>
      </x:c>
      <x:c r="N13" s="100" t="str">
        <x:f>IF('Master'!O674="","",'Master'!O674)</x:f>
      </x:c>
      <x:c r="O13" s="100" t="str">
        <x:f>IF('Master'!P674="","",'Master'!P674)</x:f>
      </x:c>
      <x:c r="P13" s="100" t="str">
        <x:f>IF('Master'!Q674="","",'Master'!Q674)</x:f>
        <x:v>Yes</x:v>
      </x:c>
      <x:c r="Q13" s="100" t="str">
        <x:f>IF('Master'!R674="","",'Master'!R674)</x:f>
      </x:c>
      <x:c r="R13" s="100" t="str">
        <x:f>IF('Master'!S674="","",'Master'!S674)</x:f>
      </x:c>
      <x:c r="S13" s="100" t="str">
        <x:f>IF('Master'!T674="","",'Master'!T674)</x:f>
      </x:c>
      <x:c r="T13" s="100" t="str">
        <x:f>IF('Master'!U674="","",'Master'!U674)</x:f>
      </x:c>
      <x:c r="U13" s="100" t="str">
        <x:f>IF('Master'!V674="","",'Master'!V674)</x:f>
        <x:v>No</x:v>
      </x:c>
      <x:c r="V13" s="100" t="str">
        <x:f>IF('Master'!W674="","",'Master'!W674)</x:f>
      </x:c>
      <x:c r="W13" s="100" t="str">
        <x:f>IF('Master'!X674="","",'Master'!X674)</x:f>
      </x:c>
      <x:c r="X13" s="100" t="str">
        <x:f>IF('Master'!Y674="","",'Master'!Y674)</x:f>
      </x:c>
      <x:c r="Y13" s="100" t="str">
        <x:f>IF('Master'!Z674="","",'Master'!Z674)</x:f>
      </x:c>
      <x:c r="Z13" s="100" t="str">
        <x:f>IF('Master'!AA674="","",'Master'!AA674)</x:f>
      </x:c>
      <x:c r="AA13" s="104" t="str">
        <x:f>IF('Master'!AB674="","",'Master'!AB674)</x:f>
      </x:c>
      <x:c r="AB13" s="100" t="str">
        <x:f>IF('Master'!AC674="","",'Master'!AC674)</x:f>
      </x:c>
      <x:c r="AC13" s="100" t="str">
        <x:f>IF('Master'!AD674="","",'Master'!AD674)</x:f>
      </x:c>
      <x:c r="AD13" s="100" t="str">
        <x:f>IF('Master'!AE674="","",'Master'!AE674)</x:f>
      </x:c>
      <x:c r="AE13" s="100" t="str">
        <x:f>IF('Master'!AF674="","",'Master'!AF674)</x:f>
      </x:c>
      <x:c r="AF13" s="75" t="str">
        <x:f>IF('Master'!AG674="","",'Master'!AG674)</x:f>
      </x:c>
    </x:row>
    <x:row r="14" ht="36" customHeight="1">
      <x:c r="A14" s="135" t="str">
        <x:v>Third-Party AI Providers?</x:v>
      </x:c>
      <x:c r="B14" s="100" t="str">
        <x:f>IF('Master'!C679="","",'Master'!C679)</x:f>
      </x:c>
      <x:c r="C14" s="100" t="str">
        <x:f>IF('Master'!D679="","",'Master'!D679)</x:f>
      </x:c>
      <x:c r="D14" s="100" t="str">
        <x:f>IF('Master'!E679="","",'Master'!E679)</x:f>
      </x:c>
      <x:c r="E14" s="100" t="str">
        <x:f>IF('Master'!F679="","",'Master'!F679)</x:f>
      </x:c>
      <x:c r="F14" s="100" t="str">
        <x:f>IF('Master'!G679="","",'Master'!G679)</x:f>
      </x:c>
      <x:c r="G14" s="100" t="str">
        <x:f>IF('Master'!H679="","",'Master'!H679)</x:f>
      </x:c>
      <x:c r="H14" s="100" t="str">
        <x:f>IF('Master'!I679="","",'Master'!I679)</x:f>
      </x:c>
      <x:c r="I14" s="100" t="str">
        <x:f>IF('Master'!J679="","",'Master'!J679)</x:f>
      </x:c>
      <x:c r="J14" s="100" t="str">
        <x:f>IF('Master'!K679="","",'Master'!K679)</x:f>
      </x:c>
      <x:c r="K14" s="100" t="str">
        <x:f>IF('Master'!L679="","",'Master'!L679)</x:f>
        <x:v>Not disclosed</x:v>
      </x:c>
      <x:c r="L14" s="100" t="str">
        <x:f>IF('Master'!M679="","",'Master'!M679)</x:f>
      </x:c>
      <x:c r="M14" s="100" t="str">
        <x:f>IF('Master'!N679="","",'Master'!N679)</x:f>
      </x:c>
      <x:c r="N14" s="100" t="str">
        <x:f>IF('Master'!O679="","",'Master'!O679)</x:f>
        <x:v>Provider/deployment-specific</x:v>
      </x:c>
      <x:c r="O14" s="100" t="str">
        <x:f>IF('Master'!P679="","",'Master'!P679)</x:f>
        <x:v>Provider/deployment-specific</x:v>
      </x:c>
      <x:c r="P14" s="100" t="str">
        <x:f>IF('Master'!Q679="","",'Master'!Q679)</x:f>
      </x:c>
      <x:c r="Q14" s="100" t="str">
        <x:f>IF('Master'!R679="","",'Master'!R679)</x:f>
      </x:c>
      <x:c r="R14" s="100" t="str">
        <x:f>IF('Master'!S679="","",'Master'!S679)</x:f>
      </x:c>
      <x:c r="S14" s="100" t="str">
        <x:f>IF('Master'!T679="","",'Master'!T679)</x:f>
      </x:c>
      <x:c r="T14" s="100" t="str">
        <x:f>IF('Master'!U679="","",'Master'!U679)</x:f>
      </x:c>
      <x:c r="U14" s="100" t="str">
        <x:f>IF('Master'!V679="","",'Master'!V679)</x:f>
        <x:v>None</x:v>
      </x:c>
      <x:c r="V14" s="100" t="str">
        <x:f>IF('Master'!W679="","",'Master'!W679)</x:f>
        <x:v>Provider/deployment-specific</x:v>
      </x:c>
      <x:c r="W14" s="100" t="str">
        <x:f>IF('Master'!X679="","",'Master'!X679)</x:f>
      </x:c>
      <x:c r="X14" s="100" t="str">
        <x:f>IF('Master'!Y679="","",'Master'!Y679)</x:f>
      </x:c>
      <x:c r="Y14" s="100" t="str">
        <x:f>IF('Master'!Z679="","",'Master'!Z679)</x:f>
      </x:c>
      <x:c r="Z14" s="100" t="str">
        <x:f>IF('Master'!AA679="","",'Master'!AA679)</x:f>
      </x:c>
      <x:c r="AA14" s="104" t="str">
        <x:f>IF('Master'!AB679="","",'Master'!AB679)</x:f>
      </x:c>
      <x:c r="AB14" s="100" t="str">
        <x:f>IF('Master'!AC679="","",'Master'!AC679)</x:f>
      </x:c>
      <x:c r="AC14" s="100" t="str">
        <x:f>IF('Master'!AD679="","",'Master'!AD679)</x:f>
      </x:c>
      <x:c r="AD14" s="100" t="str">
        <x:f>IF('Master'!AE679="","",'Master'!AE679)</x:f>
      </x:c>
      <x:c r="AE14" s="100" t="str">
        <x:f>IF('Master'!AF679="","",'Master'!AF679)</x:f>
      </x:c>
      <x:c r="AF14" s="75" t="str">
        <x:f>IF('Master'!AG679="","",'Master'!AG679)</x:f>
      </x:c>
    </x:row>
    <x:row r="15" ht="23.100000381469727" customHeight="1">
      <x:c r="A15" s="135" t="str">
        <x:v>AI Features Can Be Disabled?</x:v>
      </x:c>
      <x:c r="B15" s="102" t="str">
        <x:f>IF('Master'!C680="","",'Master'!C680)</x:f>
      </x:c>
      <x:c r="C15" s="102" t="str">
        <x:f>IF('Master'!D680="","",'Master'!D680)</x:f>
      </x:c>
      <x:c r="D15" s="102" t="str">
        <x:f>IF('Master'!E680="","",'Master'!E680)</x:f>
      </x:c>
      <x:c r="E15" s="102" t="str">
        <x:f>IF('Master'!F680="","",'Master'!F680)</x:f>
      </x:c>
      <x:c r="F15" s="102" t="str">
        <x:f>IF('Master'!G680="","",'Master'!G680)</x:f>
      </x:c>
      <x:c r="G15" s="102" t="str">
        <x:f>IF('Master'!H680="","",'Master'!H680)</x:f>
      </x:c>
      <x:c r="H15" s="102" t="str">
        <x:f>IF('Master'!I680="","",'Master'!I680)</x:f>
      </x:c>
      <x:c r="I15" s="102" t="str">
        <x:f>IF('Master'!J680="","",'Master'!J680)</x:f>
      </x:c>
      <x:c r="J15" s="102" t="str">
        <x:f>IF('Master'!K680="","",'Master'!K680)</x:f>
      </x:c>
      <x:c r="K15" s="102" t="str">
        <x:f>IF('Master'!L680="","",'Master'!L680)</x:f>
        <x:v>No user-facing AI features; not applicable</x:v>
      </x:c>
      <x:c r="L15" s="102" t="str">
        <x:f>IF('Master'!M680="","",'Master'!M680)</x:f>
      </x:c>
      <x:c r="M15" s="102" t="str">
        <x:f>IF('Master'!N680="","",'Master'!N680)</x:f>
      </x:c>
      <x:c r="N15" s="102" t="str">
        <x:f>IF('Master'!O680="","",'Master'!O680)</x:f>
      </x:c>
      <x:c r="O15" s="102" t="str">
        <x:f>IF('Master'!P680="","",'Master'!P680)</x:f>
      </x:c>
      <x:c r="P15" s="102" t="str">
        <x:f>IF('Master'!Q680="","",'Master'!Q680)</x:f>
      </x:c>
      <x:c r="Q15" s="102" t="str">
        <x:f>IF('Master'!R680="","",'Master'!R680)</x:f>
      </x:c>
      <x:c r="R15" s="102" t="str">
        <x:f>IF('Master'!S680="","",'Master'!S680)</x:f>
      </x:c>
      <x:c r="S15" s="102" t="str">
        <x:f>IF('Master'!T680="","",'Master'!T680)</x:f>
      </x:c>
      <x:c r="T15" s="102" t="str">
        <x:f>IF('Master'!U680="","",'Master'!U680)</x:f>
      </x:c>
      <x:c r="U15" s="102" t="str">
        <x:f>IF('Master'!V680="","",'Master'!V680)</x:f>
        <x:v>N/A</x:v>
      </x:c>
      <x:c r="V15" s="102" t="str">
        <x:f>IF('Master'!W680="","",'Master'!W680)</x:f>
      </x:c>
      <x:c r="W15" s="102" t="str">
        <x:f>IF('Master'!X680="","",'Master'!X680)</x:f>
      </x:c>
      <x:c r="X15" s="102" t="str">
        <x:f>IF('Master'!Y680="","",'Master'!Y680)</x:f>
      </x:c>
      <x:c r="Y15" s="102" t="str">
        <x:f>IF('Master'!Z680="","",'Master'!Z680)</x:f>
      </x:c>
      <x:c r="Z15" s="102" t="str">
        <x:f>IF('Master'!AA680="","",'Master'!AA680)</x:f>
      </x:c>
      <x:c r="AA15" s="103" t="str">
        <x:f>IF('Master'!AB680="","",'Master'!AB680)</x:f>
      </x:c>
      <x:c r="AB15" s="102" t="str">
        <x:f>IF('Master'!AC680="","",'Master'!AC680)</x:f>
      </x:c>
      <x:c r="AC15" s="102" t="str">
        <x:f>IF('Master'!AD680="","",'Master'!AD680)</x:f>
      </x:c>
      <x:c r="AD15" s="102" t="str">
        <x:f>IF('Master'!AE680="","",'Master'!AE680)</x:f>
      </x:c>
      <x:c r="AE15" s="102" t="str">
        <x:f>IF('Master'!AF680="","",'Master'!AF680)</x:f>
      </x:c>
      <x:c r="AF15" s="75" t="str">
        <x:f>IF('Master'!AG680="","",'Master'!AG680)</x:f>
      </x:c>
    </x:row>
  </x:sheetData>
  <x:mergeCells>
    <x:mergeCell ref="A1:AF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Directory'!A1","AI Features, Training Policy &amp; Transparency — Granular"),"AI Features, Training Policy &amp; Transparency — Granular")</x:f>
        <x:v>AI Features, Training Policy &amp; Transparency — Granular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3.100000381469727" customHeight="1">
      <x:c r="A3" s="135" t="str">
        <x:v>Native AI Features</x:v>
      </x:c>
      <x:c r="B3" s="102" t="str">
        <x:f>IF('Master'!C666="","",'Master'!C666)</x:f>
        <x:v>Limited — experimental Conversation Summaries + AI/ML safety features</x:v>
      </x:c>
      <x:c r="C3" s="102" t="str">
        <x:f>IF('Master'!D666="","",'Master'!D666)</x:f>
        <x:v>None</x:v>
      </x:c>
      <x:c r="D3" s="102" t="str">
        <x:f>IF('Master'!E666="","",'Master'!E666)</x:f>
        <x:v>None</x:v>
      </x:c>
      <x:c r="E3" s="102" t="str">
        <x:f>IF('Master'!F666="","",'Master'!F666)</x:f>
        <x:v>No native AI advertised</x:v>
      </x:c>
      <x:c r="F3" s="102" t="str">
        <x:f>IF('Master'!G666="","",'Master'!G666)</x:f>
        <x:v>No prominent native generative AI</x:v>
      </x:c>
      <x:c r="G3" s="102" t="str">
        <x:f>IF('Master'!H666="","",'Master'!H666)</x:f>
        <x:v>No native AI/LLM inference over content</x:v>
      </x:c>
      <x:c r="H3" s="102" t="str">
        <x:f>IF('Master'!I666="","",'Master'!I666)</x:f>
        <x:v>No prominent native generative AI verified</x:v>
      </x:c>
      <x:c r="I3" s="102" t="str">
        <x:f>IF('Master'!J666="","",'Master'!J666)</x:f>
        <x:v>None advertised</x:v>
      </x:c>
      <x:c r="J3" s="102" t="str">
        <x:f>IF('Master'!K666="","",'Master'!K666)</x:f>
        <x:v>None</x:v>
      </x:c>
      <x:c r="K3" s="102" t="str">
        <x:f>IF('Master'!L666="","",'Master'!L666)</x:f>
        <x:v>No</x:v>
      </x:c>
      <x:c r="L3" s="102" t="str">
        <x:f>IF('Master'!M666="","",'Master'!M666)</x:f>
        <x:v>No prominent native AI verified</x:v>
      </x:c>
      <x:c r="M3" s="102" t="str">
        <x:f>IF('Master'!N666="","",'Master'!N666)</x:f>
        <x:v>Translation + transcription</x:v>
      </x:c>
      <x:c r="N3" s="102" t="str">
        <x:f>IF('Master'!O666="","",'Master'!O666)</x:f>
        <x:v>No Matrix-wide native AI; provider/client-specific</x:v>
      </x:c>
      <x:c r="O3" s="102" t="str">
        <x:f>IF('Master'!P666="","",'Master'!P666)</x:f>
        <x:v>Optional enterprise/integration AI</x:v>
      </x:c>
      <x:c r="P3" s="102" t="str">
        <x:f>IF('Master'!Q666="","",'Master'!Q666)</x:f>
        <x:v>Yes — moderation/translation/summaries</x:v>
      </x:c>
      <x:c r="Q3" s="102" t="str">
        <x:f>IF('Master'!R666="","",'Master'!R666)</x:f>
        <x:v>None</x:v>
      </x:c>
      <x:c r="R3" s="102" t="str">
        <x:f>IF('Master'!S666="","",'Master'!S666)</x:f>
        <x:v>No native AI verified</x:v>
      </x:c>
      <x:c r="S3" s="102" t="str">
        <x:f>IF('Master'!T666="","",'Master'!T666)</x:f>
        <x:v>No prominent native AI verified</x:v>
      </x:c>
      <x:c r="T3" s="102" t="str">
        <x:f>IF('Master'!U666="","",'Master'!U666)</x:f>
        <x:v>No native AI channel tools pitched</x:v>
      </x:c>
      <x:c r="U3" s="102" t="str">
        <x:f>IF('Master'!V666="","",'Master'!V666)</x:f>
        <x:v>No AI reading/training</x:v>
      </x:c>
      <x:c r="V3" s="102" t="str">
        <x:f>IF('Master'!W666="","",'Master'!W666)</x:f>
        <x:v>Optional apps/integrations</x:v>
      </x:c>
      <x:c r="W3" s="102" t="str">
        <x:f>IF('Master'!X666="","",'Master'!X666)</x:f>
        <x:v>None</x:v>
      </x:c>
      <x:c r="X3" s="102" t="str">
        <x:f>IF('Master'!Y666="","",'Master'!Y666)</x:f>
        <x:v>No prominent generative AI feature</x:v>
      </x:c>
      <x:c r="Y3" s="102" t="str">
        <x:f>IF('Master'!Z666="","",'Master'!Z666)</x:f>
        <x:v>None</x:v>
      </x:c>
      <x:c r="Z3" s="102" t="str">
        <x:f>IF('Master'!AA666="","",'Master'!AA666)</x:f>
        <x:v>No prominent native generative-AI feature verified</x:v>
      </x:c>
      <x:c r="AA3" s="103" t="str">
        <x:f>IF('Master'!AB666="","",'Master'!AB666)</x:f>
        <x:v>No prominent native generative AI verified</x:v>
      </x:c>
      <x:c r="AB3" s="102" t="str">
        <x:f>IF('Master'!AC666="","",'Master'!AC666)</x:f>
        <x:v>None verified</x:v>
      </x:c>
      <x:c r="AC3" s="102" t="str">
        <x:f>IF('Master'!AD666="","",'Master'!AD666)</x:f>
        <x:v>No native AI verified</x:v>
      </x:c>
      <x:c r="AD3" s="102" t="str">
        <x:f>IF('Master'!AE666="","",'Master'!AE666)</x:f>
        <x:v>Game-specific AI features</x:v>
      </x:c>
      <x:c r="AE3" s="102" t="str">
        <x:f>IF('Master'!AF666="","",'Master'!AF666)</x:f>
        <x:v>None</x:v>
      </x:c>
      <x:c r="AF3" s="75" t="str">
        <x:f>IF('Master'!AG666="","",'Master'!AG666)</x:f>
        <x:v>None required</x:v>
      </x:c>
    </x:row>
    <x:row r="4" ht="36" customHeight="1">
      <x:c r="A4" s="135" t="str">
        <x:v>Native Generative AI?</x:v>
      </x:c>
      <x:c r="B4" s="100" t="str">
        <x:f>IF('Master'!C667="","",'Master'!C667)</x:f>
        <x:v>Yes</x:v>
      </x:c>
      <x:c r="C4" s="100" t="str">
        <x:f>IF('Master'!D667="","",'Master'!D667)</x:f>
        <x:v>No</x:v>
      </x:c>
      <x:c r="D4" s="100" t="str">
        <x:f>IF('Master'!E667="","",'Master'!E667)</x:f>
        <x:v>No</x:v>
      </x:c>
      <x:c r="E4" s="100" t="str">
        <x:f>IF('Master'!F667="","",'Master'!F667)</x:f>
        <x:v>No</x:v>
      </x:c>
      <x:c r="F4" s="100" t="str">
        <x:f>IF('Master'!G667="","",'Master'!G667)</x:f>
        <x:v>No</x:v>
      </x:c>
      <x:c r="G4" s="100" t="str">
        <x:f>IF('Master'!H667="","",'Master'!H667)</x:f>
        <x:v>No</x:v>
      </x:c>
      <x:c r="H4" s="100" t="str">
        <x:f>IF('Master'!I667="","",'Master'!I667)</x:f>
        <x:v>No</x:v>
      </x:c>
      <x:c r="I4" s="100" t="str">
        <x:f>IF('Master'!J667="","",'Master'!J667)</x:f>
        <x:v>No</x:v>
      </x:c>
      <x:c r="J4" s="100" t="str">
        <x:f>IF('Master'!K667="","",'Master'!K667)</x:f>
        <x:v>No</x:v>
      </x:c>
      <x:c r="K4" s="100" t="str">
        <x:f>IF('Master'!L667="","",'Master'!L667)</x:f>
        <x:v>None</x:v>
      </x:c>
      <x:c r="L4" s="100" t="str">
        <x:f>IF('Master'!M667="","",'Master'!M667)</x:f>
        <x:v>No</x:v>
      </x:c>
      <x:c r="M4" s="100" t="str">
        <x:f>IF('Master'!N667="","",'Master'!N667)</x:f>
      </x:c>
      <x:c r="N4" s="100" t="str">
        <x:f>IF('Master'!O667="","",'Master'!O667)</x:f>
        <x:v>No</x:v>
      </x:c>
      <x:c r="O4" s="100" t="str">
        <x:f>IF('Master'!P667="","",'Master'!P667)</x:f>
        <x:v>Yes</x:v>
      </x:c>
      <x:c r="P4" s="100" t="str">
        <x:f>IF('Master'!Q667="","",'Master'!Q667)</x:f>
        <x:v>Yes</x:v>
      </x:c>
      <x:c r="Q4" s="100" t="str">
        <x:f>IF('Master'!R667="","",'Master'!R667)</x:f>
        <x:v>No</x:v>
      </x:c>
      <x:c r="R4" s="100" t="str">
        <x:f>IF('Master'!S667="","",'Master'!S667)</x:f>
        <x:v>No</x:v>
      </x:c>
      <x:c r="S4" s="100" t="str">
        <x:f>IF('Master'!T667="","",'Master'!T667)</x:f>
        <x:v>No</x:v>
      </x:c>
      <x:c r="T4" s="100" t="str">
        <x:f>IF('Master'!U667="","",'Master'!U667)</x:f>
        <x:v>No</x:v>
      </x:c>
      <x:c r="U4" s="100" t="str">
        <x:f>IF('Master'!V667="","",'Master'!V667)</x:f>
        <x:v>No</x:v>
      </x:c>
      <x:c r="V4" s="100" t="str">
        <x:f>IF('Master'!W667="","",'Master'!W667)</x:f>
        <x:v>Yes</x:v>
      </x:c>
      <x:c r="W4" s="100" t="str">
        <x:f>IF('Master'!X667="","",'Master'!X667)</x:f>
        <x:v>No</x:v>
      </x:c>
      <x:c r="X4" s="100" t="str">
        <x:f>IF('Master'!Y667="","",'Master'!Y667)</x:f>
        <x:v>No</x:v>
      </x:c>
      <x:c r="Y4" s="100" t="str">
        <x:f>IF('Master'!Z667="","",'Master'!Z667)</x:f>
        <x:v>No</x:v>
      </x:c>
      <x:c r="Z4" s="100" t="str">
        <x:f>IF('Master'!AA667="","",'Master'!AA667)</x:f>
        <x:v>No</x:v>
      </x:c>
      <x:c r="AA4" s="104" t="str">
        <x:f>IF('Master'!AB667="","",'Master'!AB667)</x:f>
        <x:v>No</x:v>
      </x:c>
      <x:c r="AB4" s="100" t="str">
        <x:f>IF('Master'!AC667="","",'Master'!AC667)</x:f>
        <x:v>No</x:v>
      </x:c>
      <x:c r="AC4" s="100" t="str">
        <x:f>IF('Master'!AD667="","",'Master'!AD667)</x:f>
        <x:v>No</x:v>
      </x:c>
      <x:c r="AD4" s="100" t="str">
        <x:f>IF('Master'!AE667="","",'Master'!AE667)</x:f>
        <x:v>Yes</x:v>
      </x:c>
      <x:c r="AE4" s="100" t="str">
        <x:f>IF('Master'!AF667="","",'Master'!AF667)</x:f>
        <x:v>No</x:v>
      </x:c>
      <x:c r="AF4" s="75" t="str">
        <x:f>IF('Master'!AG667="","",'Master'!AG667)</x:f>
        <x:v>No</x:v>
      </x:c>
    </x:row>
    <x:row r="5" ht="36" customHeight="1">
      <x:c r="A5" s="135" t="str">
        <x:v>Message Summaries?</x:v>
      </x:c>
      <x:c r="B5" s="100" t="str">
        <x:f>IF('Master'!C668="","",'Master'!C668)</x:f>
        <x:v>Yes</x:v>
      </x:c>
      <x:c r="C5" s="100" t="str">
        <x:f>IF('Master'!D668="","",'Master'!D668)</x:f>
      </x:c>
      <x:c r="D5" s="100" t="str">
        <x:f>IF('Master'!E668="","",'Master'!E668)</x:f>
      </x:c>
      <x:c r="E5" s="100" t="str">
        <x:f>IF('Master'!F668="","",'Master'!F668)</x:f>
      </x:c>
      <x:c r="F5" s="100" t="str">
        <x:f>IF('Master'!G668="","",'Master'!G668)</x:f>
      </x:c>
      <x:c r="G5" s="100" t="str">
        <x:f>IF('Master'!H668="","",'Master'!H668)</x:f>
      </x:c>
      <x:c r="H5" s="100" t="str">
        <x:f>IF('Master'!I668="","",'Master'!I668)</x:f>
      </x:c>
      <x:c r="I5" s="100" t="str">
        <x:f>IF('Master'!J668="","",'Master'!J668)</x:f>
      </x:c>
      <x:c r="J5" s="100" t="str">
        <x:f>IF('Master'!K668="","",'Master'!K668)</x:f>
      </x:c>
      <x:c r="K5" s="100" t="str">
        <x:f>IF('Master'!L668="","",'Master'!L668)</x:f>
        <x:v>None</x:v>
      </x:c>
      <x:c r="L5" s="100" t="str">
        <x:f>IF('Master'!M668="","",'Master'!M668)</x:f>
      </x:c>
      <x:c r="M5" s="100" t="str">
        <x:f>IF('Master'!N668="","",'Master'!N668)</x:f>
      </x:c>
      <x:c r="N5" s="100" t="str">
        <x:f>IF('Master'!O668="","",'Master'!O668)</x:f>
      </x:c>
      <x:c r="O5" s="100" t="str">
        <x:f>IF('Master'!P668="","",'Master'!P668)</x:f>
      </x:c>
      <x:c r="P5" s="100" t="str">
        <x:f>IF('Master'!Q668="","",'Master'!Q668)</x:f>
        <x:v>Yes</x:v>
      </x:c>
      <x:c r="Q5" s="100" t="str">
        <x:f>IF('Master'!R668="","",'Master'!R668)</x:f>
      </x:c>
      <x:c r="R5" s="100" t="str">
        <x:f>IF('Master'!S668="","",'Master'!S668)</x:f>
      </x:c>
      <x:c r="S5" s="100" t="str">
        <x:f>IF('Master'!T668="","",'Master'!T668)</x:f>
      </x:c>
      <x:c r="T5" s="100" t="str">
        <x:f>IF('Master'!U668="","",'Master'!U668)</x:f>
      </x:c>
      <x:c r="U5" s="100" t="str">
        <x:f>IF('Master'!V668="","",'Master'!V668)</x:f>
        <x:v>No</x:v>
      </x:c>
      <x:c r="V5" s="100" t="str">
        <x:f>IF('Master'!W668="","",'Master'!W668)</x:f>
      </x:c>
      <x:c r="W5" s="100" t="str">
        <x:f>IF('Master'!X668="","",'Master'!X668)</x:f>
      </x:c>
      <x:c r="X5" s="100" t="str">
        <x:f>IF('Master'!Y668="","",'Master'!Y668)</x:f>
      </x:c>
      <x:c r="Y5" s="100" t="str">
        <x:f>IF('Master'!Z668="","",'Master'!Z668)</x:f>
      </x:c>
      <x:c r="Z5" s="100" t="str">
        <x:f>IF('Master'!AA668="","",'Master'!AA668)</x:f>
      </x:c>
      <x:c r="AA5" s="104" t="str">
        <x:f>IF('Master'!AB668="","",'Master'!AB668)</x:f>
      </x:c>
      <x:c r="AB5" s="100" t="str">
        <x:f>IF('Master'!AC668="","",'Master'!AC668)</x:f>
      </x:c>
      <x:c r="AC5" s="100" t="str">
        <x:f>IF('Master'!AD668="","",'Master'!AD668)</x:f>
      </x:c>
      <x:c r="AD5" s="100" t="str">
        <x:f>IF('Master'!AE668="","",'Master'!AE668)</x:f>
      </x:c>
      <x:c r="AE5" s="100" t="str">
        <x:f>IF('Master'!AF668="","",'Master'!AF668)</x:f>
      </x:c>
      <x:c r="AF5" s="75" t="str">
        <x:f>IF('Master'!AG668="","",'Master'!AG668)</x:f>
      </x:c>
    </x:row>
    <x:row r="6" ht="36" customHeight="1">
      <x:c r="A6" s="135" t="str">
        <x:v>Voice Summaries?</x:v>
      </x:c>
      <x:c r="B6" s="100" t="str">
        <x:f>IF('Master'!C669="","",'Master'!C669)</x:f>
      </x:c>
      <x:c r="C6" s="100" t="str">
        <x:f>IF('Master'!D669="","",'Master'!D669)</x:f>
      </x:c>
      <x:c r="D6" s="100" t="str">
        <x:f>IF('Master'!E669="","",'Master'!E669)</x:f>
      </x:c>
      <x:c r="E6" s="100" t="str">
        <x:f>IF('Master'!F669="","",'Master'!F669)</x:f>
      </x:c>
      <x:c r="F6" s="100" t="str">
        <x:f>IF('Master'!G669="","",'Master'!G669)</x:f>
      </x:c>
      <x:c r="G6" s="100" t="str">
        <x:f>IF('Master'!H669="","",'Master'!H669)</x:f>
      </x:c>
      <x:c r="H6" s="100" t="str">
        <x:f>IF('Master'!I669="","",'Master'!I669)</x:f>
      </x:c>
      <x:c r="I6" s="100" t="str">
        <x:f>IF('Master'!J669="","",'Master'!J669)</x:f>
      </x:c>
      <x:c r="J6" s="100" t="str">
        <x:f>IF('Master'!K669="","",'Master'!K669)</x:f>
      </x:c>
      <x:c r="K6" s="100" t="str">
        <x:f>IF('Master'!L669="","",'Master'!L669)</x:f>
        <x:v>None</x:v>
      </x:c>
      <x:c r="L6" s="100" t="str">
        <x:f>IF('Master'!M669="","",'Master'!M669)</x:f>
      </x:c>
      <x:c r="M6" s="100" t="str">
        <x:f>IF('Master'!N669="","",'Master'!N669)</x:f>
      </x:c>
      <x:c r="N6" s="100" t="str">
        <x:f>IF('Master'!O669="","",'Master'!O669)</x:f>
      </x:c>
      <x:c r="O6" s="100" t="str">
        <x:f>IF('Master'!P669="","",'Master'!P669)</x:f>
      </x:c>
      <x:c r="P6" s="100" t="str">
        <x:f>IF('Master'!Q669="","",'Master'!Q669)</x:f>
        <x:v>Yes</x:v>
      </x:c>
      <x:c r="Q6" s="100" t="str">
        <x:f>IF('Master'!R669="","",'Master'!R669)</x:f>
      </x:c>
      <x:c r="R6" s="100" t="str">
        <x:f>IF('Master'!S669="","",'Master'!S669)</x:f>
      </x:c>
      <x:c r="S6" s="100" t="str">
        <x:f>IF('Master'!T669="","",'Master'!T669)</x:f>
      </x:c>
      <x:c r="T6" s="100" t="str">
        <x:f>IF('Master'!U669="","",'Master'!U669)</x:f>
      </x:c>
      <x:c r="U6" s="100" t="str">
        <x:f>IF('Master'!V669="","",'Master'!V669)</x:f>
        <x:v>No</x:v>
      </x:c>
      <x:c r="V6" s="100" t="str">
        <x:f>IF('Master'!W669="","",'Master'!W669)</x:f>
      </x:c>
      <x:c r="W6" s="100" t="str">
        <x:f>IF('Master'!X669="","",'Master'!X669)</x:f>
      </x:c>
      <x:c r="X6" s="100" t="str">
        <x:f>IF('Master'!Y669="","",'Master'!Y669)</x:f>
      </x:c>
      <x:c r="Y6" s="100" t="str">
        <x:f>IF('Master'!Z669="","",'Master'!Z669)</x:f>
      </x:c>
      <x:c r="Z6" s="100" t="str">
        <x:f>IF('Master'!AA669="","",'Master'!AA669)</x:f>
      </x:c>
      <x:c r="AA6" s="104" t="str">
        <x:f>IF('Master'!AB669="","",'Master'!AB669)</x:f>
      </x:c>
      <x:c r="AB6" s="100" t="str">
        <x:f>IF('Master'!AC669="","",'Master'!AC669)</x:f>
      </x:c>
      <x:c r="AC6" s="100" t="str">
        <x:f>IF('Master'!AD669="","",'Master'!AD669)</x:f>
      </x:c>
      <x:c r="AD6" s="100" t="str">
        <x:f>IF('Master'!AE669="","",'Master'!AE669)</x:f>
      </x:c>
      <x:c r="AE6" s="100" t="str">
        <x:f>IF('Master'!AF669="","",'Master'!AF669)</x:f>
      </x:c>
      <x:c r="AF6" s="75" t="str">
        <x:f>IF('Master'!AG669="","",'Master'!AG669)</x:f>
      </x:c>
    </x:row>
    <x:row r="7" ht="36" customHeight="1">
      <x:c r="A7" s="135" t="str">
        <x:v>AI Search?</x:v>
      </x:c>
      <x:c r="B7" s="100" t="str">
        <x:f>IF('Master'!C670="","",'Master'!C670)</x:f>
      </x:c>
      <x:c r="C7" s="100" t="str">
        <x:f>IF('Master'!D670="","",'Master'!D670)</x:f>
      </x:c>
      <x:c r="D7" s="100" t="str">
        <x:f>IF('Master'!E670="","",'Master'!E670)</x:f>
      </x:c>
      <x:c r="E7" s="100" t="str">
        <x:f>IF('Master'!F670="","",'Master'!F670)</x:f>
      </x:c>
      <x:c r="F7" s="100" t="str">
        <x:f>IF('Master'!G670="","",'Master'!G670)</x:f>
      </x:c>
      <x:c r="G7" s="100" t="str">
        <x:f>IF('Master'!H670="","",'Master'!H670)</x:f>
      </x:c>
      <x:c r="H7" s="100" t="str">
        <x:f>IF('Master'!I670="","",'Master'!I670)</x:f>
      </x:c>
      <x:c r="I7" s="100" t="str">
        <x:f>IF('Master'!J670="","",'Master'!J670)</x:f>
      </x:c>
      <x:c r="J7" s="100" t="str">
        <x:f>IF('Master'!K670="","",'Master'!K670)</x:f>
      </x:c>
      <x:c r="K7" s="100" t="str">
        <x:f>IF('Master'!L670="","",'Master'!L670)</x:f>
        <x:v>None</x:v>
      </x:c>
      <x:c r="L7" s="100" t="str">
        <x:f>IF('Master'!M670="","",'Master'!M670)</x:f>
      </x:c>
      <x:c r="M7" s="100" t="str">
        <x:f>IF('Master'!N670="","",'Master'!N670)</x:f>
      </x:c>
      <x:c r="N7" s="100" t="str">
        <x:f>IF('Master'!O670="","",'Master'!O670)</x:f>
      </x:c>
      <x:c r="O7" s="100" t="str">
        <x:f>IF('Master'!P670="","",'Master'!P670)</x:f>
        <x:v>Yes</x:v>
      </x:c>
      <x:c r="P7" s="100" t="str">
        <x:f>IF('Master'!Q670="","",'Master'!Q670)</x:f>
      </x:c>
      <x:c r="Q7" s="100" t="str">
        <x:f>IF('Master'!R670="","",'Master'!R670)</x:f>
      </x:c>
      <x:c r="R7" s="100" t="str">
        <x:f>IF('Master'!S670="","",'Master'!S670)</x:f>
      </x:c>
      <x:c r="S7" s="100" t="str">
        <x:f>IF('Master'!T670="","",'Master'!T670)</x:f>
      </x:c>
      <x:c r="T7" s="100" t="str">
        <x:f>IF('Master'!U670="","",'Master'!U670)</x:f>
      </x:c>
      <x:c r="U7" s="100" t="str">
        <x:f>IF('Master'!V670="","",'Master'!V670)</x:f>
        <x:v>No</x:v>
      </x:c>
      <x:c r="V7" s="100" t="str">
        <x:f>IF('Master'!W670="","",'Master'!W670)</x:f>
      </x:c>
      <x:c r="W7" s="100" t="str">
        <x:f>IF('Master'!X670="","",'Master'!X670)</x:f>
      </x:c>
      <x:c r="X7" s="100" t="str">
        <x:f>IF('Master'!Y670="","",'Master'!Y670)</x:f>
      </x:c>
      <x:c r="Y7" s="100" t="str">
        <x:f>IF('Master'!Z670="","",'Master'!Z670)</x:f>
      </x:c>
      <x:c r="Z7" s="100" t="str">
        <x:f>IF('Master'!AA670="","",'Master'!AA670)</x:f>
      </x:c>
      <x:c r="AA7" s="104" t="str">
        <x:f>IF('Master'!AB670="","",'Master'!AB670)</x:f>
      </x:c>
      <x:c r="AB7" s="100" t="str">
        <x:f>IF('Master'!AC670="","",'Master'!AC670)</x:f>
      </x:c>
      <x:c r="AC7" s="100" t="str">
        <x:f>IF('Master'!AD670="","",'Master'!AD670)</x:f>
      </x:c>
      <x:c r="AD7" s="100" t="str">
        <x:f>IF('Master'!AE670="","",'Master'!AE670)</x:f>
      </x:c>
      <x:c r="AE7" s="100" t="str">
        <x:f>IF('Master'!AF670="","",'Master'!AF670)</x:f>
      </x:c>
      <x:c r="AF7" s="75" t="str">
        <x:f>IF('Master'!AG670="","",'Master'!AG670)</x:f>
      </x:c>
    </x:row>
    <x:row r="8" ht="36" customHeight="1">
      <x:c r="A8" s="135" t="str">
        <x:v>AI Bots / Agents?</x:v>
      </x:c>
      <x:c r="B8" s="100" t="str">
        <x:f>IF('Master'!C671="","",'Master'!C671)</x:f>
      </x:c>
      <x:c r="C8" s="100" t="str">
        <x:f>IF('Master'!D671="","",'Master'!D671)</x:f>
      </x:c>
      <x:c r="D8" s="100" t="str">
        <x:f>IF('Master'!E671="","",'Master'!E671)</x:f>
      </x:c>
      <x:c r="E8" s="100" t="str">
        <x:f>IF('Master'!F671="","",'Master'!F671)</x:f>
      </x:c>
      <x:c r="F8" s="100" t="str">
        <x:f>IF('Master'!G671="","",'Master'!G671)</x:f>
      </x:c>
      <x:c r="G8" s="100" t="str">
        <x:f>IF('Master'!H671="","",'Master'!H671)</x:f>
      </x:c>
      <x:c r="H8" s="100" t="str">
        <x:f>IF('Master'!I671="","",'Master'!I671)</x:f>
      </x:c>
      <x:c r="I8" s="100" t="str">
        <x:f>IF('Master'!J671="","",'Master'!J671)</x:f>
      </x:c>
      <x:c r="J8" s="100" t="str">
        <x:f>IF('Master'!K671="","",'Master'!K671)</x:f>
      </x:c>
      <x:c r="K8" s="100" t="str">
        <x:f>IF('Master'!L671="","",'Master'!L671)</x:f>
        <x:v>None</x:v>
      </x:c>
      <x:c r="L8" s="100" t="str">
        <x:f>IF('Master'!M671="","",'Master'!M671)</x:f>
      </x:c>
      <x:c r="M8" s="100" t="str">
        <x:f>IF('Master'!N671="","",'Master'!N671)</x:f>
      </x:c>
      <x:c r="N8" s="100" t="str">
        <x:f>IF('Master'!O671="","",'Master'!O671)</x:f>
      </x:c>
      <x:c r="O8" s="100" t="str">
        <x:f>IF('Master'!P671="","",'Master'!P671)</x:f>
        <x:v>Yes</x:v>
      </x:c>
      <x:c r="P8" s="100" t="str">
        <x:f>IF('Master'!Q671="","",'Master'!Q671)</x:f>
        <x:v>Yes</x:v>
      </x:c>
      <x:c r="Q8" s="100" t="str">
        <x:f>IF('Master'!R671="","",'Master'!R671)</x:f>
      </x:c>
      <x:c r="R8" s="100" t="str">
        <x:f>IF('Master'!S671="","",'Master'!S671)</x:f>
      </x:c>
      <x:c r="S8" s="100" t="str">
        <x:f>IF('Master'!T671="","",'Master'!T671)</x:f>
      </x:c>
      <x:c r="T8" s="100" t="str">
        <x:f>IF('Master'!U671="","",'Master'!U671)</x:f>
      </x:c>
      <x:c r="U8" s="100" t="str">
        <x:f>IF('Master'!V671="","",'Master'!V671)</x:f>
        <x:v>No</x:v>
      </x:c>
      <x:c r="V8" s="100" t="str">
        <x:f>IF('Master'!W671="","",'Master'!W671)</x:f>
      </x:c>
      <x:c r="W8" s="100" t="str">
        <x:f>IF('Master'!X671="","",'Master'!X671)</x:f>
      </x:c>
      <x:c r="X8" s="100" t="str">
        <x:f>IF('Master'!Y671="","",'Master'!Y671)</x:f>
      </x:c>
      <x:c r="Y8" s="100" t="str">
        <x:f>IF('Master'!Z671="","",'Master'!Z671)</x:f>
      </x:c>
      <x:c r="Z8" s="100" t="str">
        <x:f>IF('Master'!AA671="","",'Master'!AA671)</x:f>
      </x:c>
      <x:c r="AA8" s="104" t="str">
        <x:f>IF('Master'!AB671="","",'Master'!AB671)</x:f>
      </x:c>
      <x:c r="AB8" s="100" t="str">
        <x:f>IF('Master'!AC671="","",'Master'!AC671)</x:f>
      </x:c>
      <x:c r="AC8" s="100" t="str">
        <x:f>IF('Master'!AD671="","",'Master'!AD671)</x:f>
      </x:c>
      <x:c r="AD8" s="100" t="str">
        <x:f>IF('Master'!AE671="","",'Master'!AE671)</x:f>
      </x:c>
      <x:c r="AE8" s="100" t="str">
        <x:f>IF('Master'!AF671="","",'Master'!AF671)</x:f>
      </x:c>
      <x:c r="AF8" s="75" t="str">
        <x:f>IF('Master'!AG671="","",'Master'!AG671)</x:f>
      </x:c>
    </x:row>
    <x:row r="9" ht="36" customHeight="1">
      <x:c r="A9" s="135" t="str">
        <x:v>AI Moderation?</x:v>
      </x:c>
      <x:c r="B9" s="100" t="str">
        <x:f>IF('Master'!C672="","",'Master'!C672)</x:f>
        <x:v>Yes</x:v>
      </x:c>
      <x:c r="C9" s="100" t="str">
        <x:f>IF('Master'!D672="","",'Master'!D672)</x:f>
      </x:c>
      <x:c r="D9" s="100" t="str">
        <x:f>IF('Master'!E672="","",'Master'!E672)</x:f>
      </x:c>
      <x:c r="E9" s="100" t="str">
        <x:f>IF('Master'!F672="","",'Master'!F672)</x:f>
      </x:c>
      <x:c r="F9" s="100" t="str">
        <x:f>IF('Master'!G672="","",'Master'!G672)</x:f>
      </x:c>
      <x:c r="G9" s="100" t="str">
        <x:f>IF('Master'!H672="","",'Master'!H672)</x:f>
      </x:c>
      <x:c r="H9" s="100" t="str">
        <x:f>IF('Master'!I672="","",'Master'!I672)</x:f>
      </x:c>
      <x:c r="I9" s="100" t="str">
        <x:f>IF('Master'!J672="","",'Master'!J672)</x:f>
      </x:c>
      <x:c r="J9" s="100" t="str">
        <x:f>IF('Master'!K672="","",'Master'!K672)</x:f>
      </x:c>
      <x:c r="K9" s="100" t="str">
        <x:f>IF('Master'!L672="","",'Master'!L672)</x:f>
        <x:v>None</x:v>
      </x:c>
      <x:c r="L9" s="100" t="str">
        <x:f>IF('Master'!M672="","",'Master'!M672)</x:f>
      </x:c>
      <x:c r="M9" s="100" t="str">
        <x:f>IF('Master'!N672="","",'Master'!N672)</x:f>
      </x:c>
      <x:c r="N9" s="100" t="str">
        <x:f>IF('Master'!O672="","",'Master'!O672)</x:f>
      </x:c>
      <x:c r="O9" s="100" t="str">
        <x:f>IF('Master'!P672="","",'Master'!P672)</x:f>
      </x:c>
      <x:c r="P9" s="100" t="str">
        <x:f>IF('Master'!Q672="","",'Master'!Q672)</x:f>
        <x:v>Yes</x:v>
      </x:c>
      <x:c r="Q9" s="100" t="str">
        <x:f>IF('Master'!R672="","",'Master'!R672)</x:f>
      </x:c>
      <x:c r="R9" s="100" t="str">
        <x:f>IF('Master'!S672="","",'Master'!S672)</x:f>
      </x:c>
      <x:c r="S9" s="100" t="str">
        <x:f>IF('Master'!T672="","",'Master'!T672)</x:f>
      </x:c>
      <x:c r="T9" s="100" t="str">
        <x:f>IF('Master'!U672="","",'Master'!U672)</x:f>
      </x:c>
      <x:c r="U9" s="100" t="str">
        <x:f>IF('Master'!V672="","",'Master'!V672)</x:f>
        <x:v>No</x:v>
      </x:c>
      <x:c r="V9" s="100" t="str">
        <x:f>IF('Master'!W672="","",'Master'!W672)</x:f>
      </x:c>
      <x:c r="W9" s="100" t="str">
        <x:f>IF('Master'!X672="","",'Master'!X672)</x:f>
      </x:c>
      <x:c r="X9" s="100" t="str">
        <x:f>IF('Master'!Y672="","",'Master'!Y672)</x:f>
      </x:c>
      <x:c r="Y9" s="100" t="str">
        <x:f>IF('Master'!Z672="","",'Master'!Z672)</x:f>
      </x:c>
      <x:c r="Z9" s="100" t="str">
        <x:f>IF('Master'!AA672="","",'Master'!AA672)</x:f>
      </x:c>
      <x:c r="AA9" s="104" t="str">
        <x:f>IF('Master'!AB672="","",'Master'!AB672)</x:f>
      </x:c>
      <x:c r="AB9" s="100" t="str">
        <x:f>IF('Master'!AC672="","",'Master'!AC672)</x:f>
      </x:c>
      <x:c r="AC9" s="100" t="str">
        <x:f>IF('Master'!AD672="","",'Master'!AD672)</x:f>
      </x:c>
      <x:c r="AD9" s="100" t="str">
        <x:f>IF('Master'!AE672="","",'Master'!AE672)</x:f>
      </x:c>
      <x:c r="AE9" s="100" t="str">
        <x:f>IF('Master'!AF672="","",'Master'!AF672)</x:f>
      </x:c>
      <x:c r="AF9" s="75" t="str">
        <x:f>IF('Master'!AG672="","",'Master'!AG672)</x:f>
      </x:c>
    </x:row>
    <x:row r="10" ht="36" customHeight="1">
      <x:c r="A10" s="135" t="str">
        <x:v>AI Translation?</x:v>
      </x:c>
      <x:c r="B10" s="100" t="str">
        <x:f>IF('Master'!C673="","",'Master'!C673)</x:f>
      </x:c>
      <x:c r="C10" s="100" t="str">
        <x:f>IF('Master'!D673="","",'Master'!D673)</x:f>
      </x:c>
      <x:c r="D10" s="100" t="str">
        <x:f>IF('Master'!E673="","",'Master'!E673)</x:f>
      </x:c>
      <x:c r="E10" s="100" t="str">
        <x:f>IF('Master'!F673="","",'Master'!F673)</x:f>
      </x:c>
      <x:c r="F10" s="100" t="str">
        <x:f>IF('Master'!G673="","",'Master'!G673)</x:f>
      </x:c>
      <x:c r="G10" s="100" t="str">
        <x:f>IF('Master'!H673="","",'Master'!H673)</x:f>
      </x:c>
      <x:c r="H10" s="100" t="str">
        <x:f>IF('Master'!I673="","",'Master'!I673)</x:f>
      </x:c>
      <x:c r="I10" s="100" t="str">
        <x:f>IF('Master'!J673="","",'Master'!J673)</x:f>
      </x:c>
      <x:c r="J10" s="100" t="str">
        <x:f>IF('Master'!K673="","",'Master'!K673)</x:f>
      </x:c>
      <x:c r="K10" s="100" t="str">
        <x:f>IF('Master'!L673="","",'Master'!L673)</x:f>
        <x:v>None</x:v>
      </x:c>
      <x:c r="L10" s="100" t="str">
        <x:f>IF('Master'!M673="","",'Master'!M673)</x:f>
      </x:c>
      <x:c r="M10" s="100" t="str">
        <x:f>IF('Master'!N673="","",'Master'!N673)</x:f>
        <x:v>Yes</x:v>
      </x:c>
      <x:c r="N10" s="100" t="str">
        <x:f>IF('Master'!O673="","",'Master'!O673)</x:f>
      </x:c>
      <x:c r="O10" s="100" t="str">
        <x:f>IF('Master'!P673="","",'Master'!P673)</x:f>
      </x:c>
      <x:c r="P10" s="100" t="str">
        <x:f>IF('Master'!Q673="","",'Master'!Q673)</x:f>
        <x:v>Yes</x:v>
      </x:c>
      <x:c r="Q10" s="100" t="str">
        <x:f>IF('Master'!R673="","",'Master'!R673)</x:f>
      </x:c>
      <x:c r="R10" s="100" t="str">
        <x:f>IF('Master'!S673="","",'Master'!S673)</x:f>
      </x:c>
      <x:c r="S10" s="100" t="str">
        <x:f>IF('Master'!T673="","",'Master'!T673)</x:f>
      </x:c>
      <x:c r="T10" s="100" t="str">
        <x:f>IF('Master'!U673="","",'Master'!U673)</x:f>
      </x:c>
      <x:c r="U10" s="100" t="str">
        <x:f>IF('Master'!V673="","",'Master'!V673)</x:f>
        <x:v>No</x:v>
      </x:c>
      <x:c r="V10" s="100" t="str">
        <x:f>IF('Master'!W673="","",'Master'!W673)</x:f>
      </x:c>
      <x:c r="W10" s="100" t="str">
        <x:f>IF('Master'!X673="","",'Master'!X673)</x:f>
      </x:c>
      <x:c r="X10" s="100" t="str">
        <x:f>IF('Master'!Y673="","",'Master'!Y673)</x:f>
      </x:c>
      <x:c r="Y10" s="100" t="str">
        <x:f>IF('Master'!Z673="","",'Master'!Z673)</x:f>
      </x:c>
      <x:c r="Z10" s="100" t="str">
        <x:f>IF('Master'!AA673="","",'Master'!AA673)</x:f>
      </x:c>
      <x:c r="AA10" s="104" t="str">
        <x:f>IF('Master'!AB673="","",'Master'!AB673)</x:f>
      </x:c>
      <x:c r="AB10" s="100" t="str">
        <x:f>IF('Master'!AC673="","",'Master'!AC673)</x:f>
      </x:c>
      <x:c r="AC10" s="100" t="str">
        <x:f>IF('Master'!AD673="","",'Master'!AD673)</x:f>
      </x:c>
      <x:c r="AD10" s="100" t="str">
        <x:f>IF('Master'!AE673="","",'Master'!AE673)</x:f>
      </x:c>
      <x:c r="AE10" s="100" t="str">
        <x:f>IF('Master'!AF673="","",'Master'!AF673)</x:f>
      </x:c>
      <x:c r="AF10" s="75" t="str">
        <x:f>IF('Master'!AG673="","",'Master'!AG673)</x:f>
      </x:c>
    </x:row>
    <x:row r="11" ht="36" customHeight="1">
      <x:c r="A11" s="135" t="str">
        <x:v>AI Transcription?</x:v>
      </x:c>
      <x:c r="B11" s="100" t="str">
        <x:f>IF('Master'!C674="","",'Master'!C674)</x:f>
      </x:c>
      <x:c r="C11" s="100" t="str">
        <x:f>IF('Master'!D674="","",'Master'!D674)</x:f>
      </x:c>
      <x:c r="D11" s="100" t="str">
        <x:f>IF('Master'!E674="","",'Master'!E674)</x:f>
      </x:c>
      <x:c r="E11" s="100" t="str">
        <x:f>IF('Master'!F674="","",'Master'!F674)</x:f>
      </x:c>
      <x:c r="F11" s="100" t="str">
        <x:f>IF('Master'!G674="","",'Master'!G674)</x:f>
      </x:c>
      <x:c r="G11" s="100" t="str">
        <x:f>IF('Master'!H674="","",'Master'!H674)</x:f>
      </x:c>
      <x:c r="H11" s="100" t="str">
        <x:f>IF('Master'!I674="","",'Master'!I674)</x:f>
      </x:c>
      <x:c r="I11" s="100" t="str">
        <x:f>IF('Master'!J674="","",'Master'!J674)</x:f>
      </x:c>
      <x:c r="J11" s="100" t="str">
        <x:f>IF('Master'!K674="","",'Master'!K674)</x:f>
      </x:c>
      <x:c r="K11" s="100" t="str">
        <x:f>IF('Master'!L674="","",'Master'!L674)</x:f>
        <x:v>None</x:v>
      </x:c>
      <x:c r="L11" s="100" t="str">
        <x:f>IF('Master'!M674="","",'Master'!M674)</x:f>
      </x:c>
      <x:c r="M11" s="100" t="str">
        <x:f>IF('Master'!N674="","",'Master'!N674)</x:f>
        <x:v>Yes</x:v>
      </x:c>
      <x:c r="N11" s="100" t="str">
        <x:f>IF('Master'!O674="","",'Master'!O674)</x:f>
      </x:c>
      <x:c r="O11" s="100" t="str">
        <x:f>IF('Master'!P674="","",'Master'!P674)</x:f>
      </x:c>
      <x:c r="P11" s="100" t="str">
        <x:f>IF('Master'!Q674="","",'Master'!Q674)</x:f>
        <x:v>Yes</x:v>
      </x:c>
      <x:c r="Q11" s="100" t="str">
        <x:f>IF('Master'!R674="","",'Master'!R674)</x:f>
      </x:c>
      <x:c r="R11" s="100" t="str">
        <x:f>IF('Master'!S674="","",'Master'!S674)</x:f>
      </x:c>
      <x:c r="S11" s="100" t="str">
        <x:f>IF('Master'!T674="","",'Master'!T674)</x:f>
      </x:c>
      <x:c r="T11" s="100" t="str">
        <x:f>IF('Master'!U674="","",'Master'!U674)</x:f>
      </x:c>
      <x:c r="U11" s="100" t="str">
        <x:f>IF('Master'!V674="","",'Master'!V674)</x:f>
        <x:v>No</x:v>
      </x:c>
      <x:c r="V11" s="100" t="str">
        <x:f>IF('Master'!W674="","",'Master'!W674)</x:f>
      </x:c>
      <x:c r="W11" s="100" t="str">
        <x:f>IF('Master'!X674="","",'Master'!X674)</x:f>
      </x:c>
      <x:c r="X11" s="100" t="str">
        <x:f>IF('Master'!Y674="","",'Master'!Y674)</x:f>
      </x:c>
      <x:c r="Y11" s="100" t="str">
        <x:f>IF('Master'!Z674="","",'Master'!Z674)</x:f>
      </x:c>
      <x:c r="Z11" s="100" t="str">
        <x:f>IF('Master'!AA674="","",'Master'!AA674)</x:f>
      </x:c>
      <x:c r="AA11" s="104" t="str">
        <x:f>IF('Master'!AB674="","",'Master'!AB674)</x:f>
      </x:c>
      <x:c r="AB11" s="100" t="str">
        <x:f>IF('Master'!AC674="","",'Master'!AC674)</x:f>
      </x:c>
      <x:c r="AC11" s="100" t="str">
        <x:f>IF('Master'!AD674="","",'Master'!AD674)</x:f>
      </x:c>
      <x:c r="AD11" s="100" t="str">
        <x:f>IF('Master'!AE674="","",'Master'!AE674)</x:f>
      </x:c>
      <x:c r="AE11" s="100" t="str">
        <x:f>IF('Master'!AF674="","",'Master'!AF674)</x:f>
      </x:c>
      <x:c r="AF11" s="75" t="str">
        <x:f>IF('Master'!AG674="","",'Master'!AG674)</x:f>
      </x:c>
    </x:row>
    <x:row r="12" ht="22" customHeight="1">
      <x:c r="A12" s="138" t="str">
        <x:v>Training &amp; Data Use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User Messages Used for Model Training?</x:v>
      </x:c>
      <x:c r="B13" s="100" t="str">
        <x:f>IF('Master'!C675="","",'Master'!C675)</x:f>
        <x:v>No — Discord says it does not allow AI companies to train models using user messages; voice/video is generally not stored</x:v>
      </x:c>
      <x:c r="C13" s="100" t="str">
        <x:f>IF('Master'!D675="","",'Master'!D675)</x:f>
        <x:v>No central content owner; encrypted content</x:v>
      </x:c>
      <x:c r="D13" s="100" t="str">
        <x:f>IF('Master'!E675="","",'Master'!E675)</x:f>
        <x:v>Self-host/operator controlled</x:v>
      </x:c>
      <x:c r="E13" s="100" t="str">
        <x:f>IF('Master'!F675="","",'Master'!F675)</x:f>
      </x:c>
      <x:c r="F13" s="100" t="str">
        <x:f>IF('Master'!G675="","",'Master'!G675)</x:f>
      </x:c>
      <x:c r="G13" s="100" t="str">
        <x:f>IF('Master'!H675="","",'Master'!H675)</x:f>
        <x:v>No — privacy policy explicitly forbids use for training/evaluation</x:v>
      </x:c>
      <x:c r="H13" s="100" t="str">
        <x:f>IF('Master'!I675="","",'Master'!I675)</x:f>
      </x:c>
      <x:c r="I13" s="100" t="str">
        <x:f>IF('Master'!J675="","",'Master'!J675)</x:f>
        <x:v>N/A/self-host</x:v>
      </x:c>
      <x:c r="J13" s="100" t="str">
        <x:f>IF('Master'!K675="","",'Master'!K675)</x:f>
        <x:v>No server-readable plaintext</x:v>
      </x:c>
      <x:c r="K13" s="100" t="str">
        <x:f>IF('Master'!L675="","",'Master'!L675)</x:f>
        <x:v>No (developer statement)</x:v>
      </x:c>
      <x:c r="L13" s="100" t="str">
        <x:f>IF('Master'!M675="","",'Master'!M675)</x:f>
        <x:v>No behavioral tracking; training policy not explicitly verified</x:v>
      </x:c>
      <x:c r="M13" s="100" t="str">
        <x:f>IF('Master'!N675="","",'Master'!N675)</x:f>
      </x:c>
      <x:c r="N13" s="100" t="str">
        <x:f>IF('Master'!O675="","",'Master'!O675)</x:f>
        <x:v>No single Matrix-wide data controller; training policy depends on homeserver/client provider</x:v>
      </x:c>
      <x:c r="O13" s="100" t="str">
        <x:f>IF('Master'!P675="","",'Master'!P675)</x:f>
        <x:v>Policy/deployment/provider-dependent; self-host can keep data controlled</x:v>
      </x:c>
      <x:c r="P13" s="100" t="str">
        <x:f>IF('Master'!Q675="","",'Master'!Q675)</x:f>
      </x:c>
      <x:c r="Q13" s="100" t="str">
        <x:f>IF('Master'!R675="","",'Master'!R675)</x:f>
        <x:v>No central service/model training; self-hosted</x:v>
      </x:c>
      <x:c r="R13" s="100" t="str">
        <x:f>IF('Master'!S675="","",'Master'!S675)</x:f>
      </x:c>
      <x:c r="S13" s="100" t="str">
        <x:f>IF('Master'!T675="","",'Master'!T675)</x:f>
      </x:c>
      <x:c r="T13" s="100" t="str">
        <x:f>IF('Master'!U675="","",'Master'!U675)</x:f>
        <x:v>Not publicly claimed; website robots.txt Content Signal says ai-train=no</x:v>
      </x:c>
      <x:c r="U13" s="100" t="str">
        <x:f>IF('Master'!V675="","",'Master'!V675)</x:f>
        <x:v>No — site says messages/uploads never train AI</x:v>
      </x:c>
      <x:c r="V13" s="100" t="str">
        <x:f>IF('Master'!W675="","",'Master'!W675)</x:f>
      </x:c>
      <x:c r="W13" s="100" t="str">
        <x:f>IF('Master'!X675="","",'Master'!X675)</x:f>
        <x:v>Provider/project dependent</x:v>
      </x:c>
      <x:c r="X13" s="100" t="str">
        <x:f>IF('Master'!Y675="","",'Master'!Y675)</x:f>
        <x:v>No — privacy policy states content is not used to train AI models</x:v>
      </x:c>
      <x:c r="Y13" s="100" t="str">
        <x:f>IF('Master'!Z675="","",'Master'!Z675)</x:f>
        <x:v>Self-hosted operator-controlled; no central training policy</x:v>
      </x:c>
      <x:c r="Z13" s="100" t="str">
        <x:f>IF('Master'!AA675="","",'Master'!AA675)</x:f>
      </x:c>
      <x:c r="AA13" s="104" t="str">
        <x:f>IF('Master'!AB675="","",'Master'!AB675)</x:f>
      </x:c>
      <x:c r="AB13" s="100" t="str">
        <x:f>IF('Master'!AC675="","",'Master'!AC675)</x:f>
      </x:c>
      <x:c r="AC13" s="100" t="str">
        <x:f>IF('Master'!AD675="","",'Master'!AD675)</x:f>
      </x:c>
      <x:c r="AD13" s="100" t="str">
        <x:f>IF('Master'!AE675="","",'Master'!AE675)</x:f>
      </x:c>
      <x:c r="AE13" s="100" t="str">
        <x:f>IF('Master'!AF675="","",'Master'!AF675)</x:f>
        <x:v>No model training claim; content stays on operator server</x:v>
      </x:c>
      <x:c r="AF13" s="75" t="str">
        <x:f>IF('Master'!AG675="","",'Master'!AG675)</x:f>
        <x:v>Cloud/provider policy; no general claim of training user content found here</x:v>
      </x:c>
    </x:row>
    <x:row r="14" ht="36" customHeight="1">
      <x:c r="A14" s="135" t="str">
        <x:v>Voice Used for Model Training?</x:v>
      </x:c>
      <x:c r="B14" s="100" t="str">
        <x:f>IF('Master'!C676="","",'Master'!C676)</x:f>
        <x:v>No — Discord says it does not allow AI companies to train models using user messages; voice/video is generally not stored</x:v>
      </x:c>
      <x:c r="C14" s="100" t="str">
        <x:f>IF('Master'!D676="","",'Master'!D676)</x:f>
      </x:c>
      <x:c r="D14" s="100" t="str">
        <x:f>IF('Master'!E676="","",'Master'!E676)</x:f>
      </x:c>
      <x:c r="E14" s="100" t="str">
        <x:f>IF('Master'!F676="","",'Master'!F676)</x:f>
      </x:c>
      <x:c r="F14" s="100" t="str">
        <x:f>IF('Master'!G676="","",'Master'!G676)</x:f>
      </x:c>
      <x:c r="G14" s="100" t="str">
        <x:f>IF('Master'!H676="","",'Master'!H676)</x:f>
      </x:c>
      <x:c r="H14" s="100" t="str">
        <x:f>IF('Master'!I676="","",'Master'!I676)</x:f>
      </x:c>
      <x:c r="I14" s="100" t="str">
        <x:f>IF('Master'!J676="","",'Master'!J676)</x:f>
      </x:c>
      <x:c r="J14" s="100" t="str">
        <x:f>IF('Master'!K676="","",'Master'!K676)</x:f>
      </x:c>
      <x:c r="K14" s="100" t="str">
        <x:f>IF('Master'!L676="","",'Master'!L676)</x:f>
        <x:v>No (developer statement)</x:v>
      </x:c>
      <x:c r="L14" s="100" t="str">
        <x:f>IF('Master'!M676="","",'Master'!M676)</x:f>
      </x:c>
      <x:c r="M14" s="100" t="str">
        <x:f>IF('Master'!N676="","",'Master'!N676)</x:f>
      </x:c>
      <x:c r="N14" s="100" t="str">
        <x:f>IF('Master'!O676="","",'Master'!O676)</x:f>
      </x:c>
      <x:c r="O14" s="100" t="str">
        <x:f>IF('Master'!P676="","",'Master'!P676)</x:f>
      </x:c>
      <x:c r="P14" s="100" t="str">
        <x:f>IF('Master'!Q676="","",'Master'!Q676)</x:f>
      </x:c>
      <x:c r="Q14" s="100" t="str">
        <x:f>IF('Master'!R676="","",'Master'!R676)</x:f>
      </x:c>
      <x:c r="R14" s="100" t="str">
        <x:f>IF('Master'!S676="","",'Master'!S676)</x:f>
      </x:c>
      <x:c r="S14" s="100" t="str">
        <x:f>IF('Master'!T676="","",'Master'!T676)</x:f>
      </x:c>
      <x:c r="T14" s="100" t="str">
        <x:f>IF('Master'!U676="","",'Master'!U676)</x:f>
        <x:v>Not publicly claimed</x:v>
      </x:c>
      <x:c r="U14" s="100" t="str">
        <x:f>IF('Master'!V676="","",'Master'!V676)</x:f>
      </x:c>
      <x:c r="V14" s="100" t="str">
        <x:f>IF('Master'!W676="","",'Master'!W676)</x:f>
      </x:c>
      <x:c r="W14" s="100" t="str">
        <x:f>IF('Master'!X676="","",'Master'!X676)</x:f>
      </x:c>
      <x:c r="X14" s="100" t="str">
        <x:f>IF('Master'!Y676="","",'Master'!Y676)</x:f>
      </x:c>
      <x:c r="Y14" s="100" t="str">
        <x:f>IF('Master'!Z676="","",'Master'!Z676)</x:f>
      </x:c>
      <x:c r="Z14" s="100" t="str">
        <x:f>IF('Master'!AA676="","",'Master'!AA676)</x:f>
      </x:c>
      <x:c r="AA14" s="104" t="str">
        <x:f>IF('Master'!AB676="","",'Master'!AB676)</x:f>
      </x:c>
      <x:c r="AB14" s="100" t="str">
        <x:f>IF('Master'!AC676="","",'Master'!AC676)</x:f>
      </x:c>
      <x:c r="AC14" s="100" t="str">
        <x:f>IF('Master'!AD676="","",'Master'!AD676)</x:f>
      </x:c>
      <x:c r="AD14" s="100" t="str">
        <x:f>IF('Master'!AE676="","",'Master'!AE676)</x:f>
      </x:c>
      <x:c r="AE14" s="100" t="str">
        <x:f>IF('Master'!AF676="","",'Master'!AF676)</x:f>
      </x:c>
      <x:c r="AF14" s="75" t="str">
        <x:f>IF('Master'!AG676="","",'Master'!AG676)</x:f>
      </x:c>
    </x:row>
    <x:row r="15" ht="36" customHeight="1">
      <x:c r="A15" s="135" t="str">
        <x:v>Files Used for Model Training?</x:v>
      </x:c>
      <x:c r="B15" s="100" t="str">
        <x:f>IF('Master'!C677="","",'Master'!C677)</x:f>
      </x:c>
      <x:c r="C15" s="100" t="str">
        <x:f>IF('Master'!D677="","",'Master'!D677)</x:f>
        <x:v>No central content owner; encrypted content</x:v>
      </x:c>
      <x:c r="D15" s="100" t="str">
        <x:f>IF('Master'!E677="","",'Master'!E677)</x:f>
      </x:c>
      <x:c r="E15" s="100" t="str">
        <x:f>IF('Master'!F677="","",'Master'!F677)</x:f>
      </x:c>
      <x:c r="F15" s="100" t="str">
        <x:f>IF('Master'!G677="","",'Master'!G677)</x:f>
      </x:c>
      <x:c r="G15" s="100" t="str">
        <x:f>IF('Master'!H677="","",'Master'!H677)</x:f>
      </x:c>
      <x:c r="H15" s="100" t="str">
        <x:f>IF('Master'!I677="","",'Master'!I677)</x:f>
      </x:c>
      <x:c r="I15" s="100" t="str">
        <x:f>IF('Master'!J677="","",'Master'!J677)</x:f>
      </x:c>
      <x:c r="J15" s="100" t="str">
        <x:f>IF('Master'!K677="","",'Master'!K677)</x:f>
      </x:c>
      <x:c r="K15" s="100" t="str">
        <x:f>IF('Master'!L677="","",'Master'!L677)</x:f>
        <x:v>No (developer statement)</x:v>
      </x:c>
      <x:c r="L15" s="100" t="str">
        <x:f>IF('Master'!M677="","",'Master'!M677)</x:f>
      </x:c>
      <x:c r="M15" s="100" t="str">
        <x:f>IF('Master'!N677="","",'Master'!N677)</x:f>
      </x:c>
      <x:c r="N15" s="100" t="str">
        <x:f>IF('Master'!O677="","",'Master'!O677)</x:f>
      </x:c>
      <x:c r="O15" s="100" t="str">
        <x:f>IF('Master'!P677="","",'Master'!P677)</x:f>
      </x:c>
      <x:c r="P15" s="100" t="str">
        <x:f>IF('Master'!Q677="","",'Master'!Q677)</x:f>
      </x:c>
      <x:c r="Q15" s="100" t="str">
        <x:f>IF('Master'!R677="","",'Master'!R677)</x:f>
      </x:c>
      <x:c r="R15" s="100" t="str">
        <x:f>IF('Master'!S677="","",'Master'!S677)</x:f>
      </x:c>
      <x:c r="S15" s="100" t="str">
        <x:f>IF('Master'!T677="","",'Master'!T677)</x:f>
      </x:c>
      <x:c r="T15" s="100" t="str">
        <x:f>IF('Master'!U677="","",'Master'!U677)</x:f>
        <x:v>Not publicly claimed</x:v>
      </x:c>
      <x:c r="U15" s="100" t="str">
        <x:f>IF('Master'!V677="","",'Master'!V677)</x:f>
      </x:c>
      <x:c r="V15" s="100" t="str">
        <x:f>IF('Master'!W677="","",'Master'!W677)</x:f>
      </x:c>
      <x:c r="W15" s="100" t="str">
        <x:f>IF('Master'!X677="","",'Master'!X677)</x:f>
      </x:c>
      <x:c r="X15" s="100" t="str">
        <x:f>IF('Master'!Y677="","",'Master'!Y677)</x:f>
        <x:v>No — privacy policy states content is not used to train AI models</x:v>
      </x:c>
      <x:c r="Y15" s="100" t="str">
        <x:f>IF('Master'!Z677="","",'Master'!Z677)</x:f>
      </x:c>
      <x:c r="Z15" s="100" t="str">
        <x:f>IF('Master'!AA677="","",'Master'!AA677)</x:f>
      </x:c>
      <x:c r="AA15" s="104" t="str">
        <x:f>IF('Master'!AB677="","",'Master'!AB677)</x:f>
      </x:c>
      <x:c r="AB15" s="100" t="str">
        <x:f>IF('Master'!AC677="","",'Master'!AC677)</x:f>
      </x:c>
      <x:c r="AC15" s="100" t="str">
        <x:f>IF('Master'!AD677="","",'Master'!AD677)</x:f>
      </x:c>
      <x:c r="AD15" s="100" t="str">
        <x:f>IF('Master'!AE677="","",'Master'!AE677)</x:f>
      </x:c>
      <x:c r="AE15" s="100" t="str">
        <x:f>IF('Master'!AF677="","",'Master'!AF677)</x:f>
        <x:v>No model training claim; content stays on operator server</x:v>
      </x:c>
      <x:c r="AF15" s="75" t="str">
        <x:f>IF('Master'!AG677="","",'Master'!AG677)</x:f>
        <x:v>Cloud/provider policy; no general claim of training user content found here</x:v>
      </x:c>
    </x:row>
    <x:row r="16" ht="36" customHeight="1">
      <x:c r="A16" s="135" t="str">
        <x:v>Training Consent Model</x:v>
      </x:c>
      <x:c r="B16" s="100" t="str">
        <x:f>IF('Master'!C678="","",'Master'!C678)</x:f>
        <x:v>None for third-party model training (not permitted); experimental AI features may have separate visibility/privacy controls</x:v>
      </x:c>
      <x:c r="C16" s="100" t="str">
        <x:f>IF('Master'!D678="","",'Master'!D678)</x:f>
        <x:v>N/A</x:v>
      </x:c>
      <x:c r="D16" s="100" t="str">
        <x:f>IF('Master'!E678="","",'Master'!E678)</x:f>
        <x:v>N/A</x:v>
      </x:c>
      <x:c r="E16" s="100" t="str">
        <x:f>IF('Master'!F678="","",'Master'!F678)</x:f>
      </x:c>
      <x:c r="F16" s="100" t="str">
        <x:f>IF('Master'!G678="","",'Master'!G678)</x:f>
      </x:c>
      <x:c r="G16" s="100" t="str">
        <x:f>IF('Master'!H678="","",'Master'!H678)</x:f>
        <x:v>None — not used for training</x:v>
      </x:c>
      <x:c r="H16" s="100" t="str">
        <x:f>IF('Master'!I678="","",'Master'!I678)</x:f>
      </x:c>
      <x:c r="I16" s="100" t="str">
        <x:f>IF('Master'!J678="","",'Master'!J678)</x:f>
        <x:v>None</x:v>
      </x:c>
      <x:c r="J16" s="100" t="str">
        <x:f>IF('Master'!K678="","",'Master'!K678)</x:f>
        <x:v>N/A</x:v>
      </x:c>
      <x:c r="K16" s="100" t="str">
        <x:f>IF('Master'!L678="","",'Master'!L678)</x:f>
        <x:v>None — project states it does not train on user data</x:v>
      </x:c>
      <x:c r="L16" s="100" t="str">
        <x:f>IF('Master'!M678="","",'Master'!M678)</x:f>
      </x:c>
      <x:c r="M16" s="100" t="str">
        <x:f>IF('Master'!N678="","",'Master'!N678)</x:f>
      </x:c>
      <x:c r="N16" s="100" t="str">
        <x:f>IF('Master'!O678="","",'Master'!O678)</x:f>
        <x:v>Provider-specific</x:v>
      </x:c>
      <x:c r="O16" s="100" t="str">
        <x:f>IF('Master'!P678="","",'Master'!P678)</x:f>
        <x:v>Deployment/provider-specific</x:v>
      </x:c>
      <x:c r="P16" s="100" t="str">
        <x:f>IF('Master'!Q678="","",'Master'!Q678)</x:f>
      </x:c>
      <x:c r="Q16" s="100" t="str">
        <x:f>IF('Master'!R678="","",'Master'!R678)</x:f>
        <x:v>N/A</x:v>
      </x:c>
      <x:c r="R16" s="100" t="str">
        <x:f>IF('Master'!S678="","",'Master'!S678)</x:f>
      </x:c>
      <x:c r="S16" s="100" t="str">
        <x:f>IF('Master'!T678="","",'Master'!T678)</x:f>
      </x:c>
      <x:c r="T16" s="100" t="str">
        <x:f>IF('Master'!U678="","",'Master'!U678)</x:f>
        <x:v>Website Content Signal: ai-train=no; no separate user-chat training consent model stated</x:v>
      </x:c>
      <x:c r="U16" s="100" t="str">
        <x:f>IF('Master'!V678="","",'Master'!V678)</x:f>
        <x:v>None</x:v>
      </x:c>
      <x:c r="V16" s="100" t="str">
        <x:f>IF('Master'!W678="","",'Master'!W678)</x:f>
        <x:v>Deployment/provider-specific</x:v>
      </x:c>
      <x:c r="W16" s="100" t="str">
        <x:f>IF('Master'!X678="","",'Master'!X678)</x:f>
      </x:c>
      <x:c r="X16" s="100" t="str">
        <x:f>IF('Master'!Y678="","",'Master'!Y678)</x:f>
        <x:v>None for training</x:v>
      </x:c>
      <x:c r="Y16" s="100" t="str">
        <x:f>IF('Master'!Z678="","",'Master'!Z678)</x:f>
        <x:v>Operator-dependent</x:v>
      </x:c>
      <x:c r="Z16" s="100" t="str">
        <x:f>IF('Master'!AA678="","",'Master'!AA678)</x:f>
      </x:c>
      <x:c r="AA16" s="104" t="str">
        <x:f>IF('Master'!AB678="","",'Master'!AB678)</x:f>
      </x:c>
      <x:c r="AB16" s="100" t="str">
        <x:f>IF('Master'!AC678="","",'Master'!AC678)</x:f>
      </x:c>
      <x:c r="AC16" s="100" t="str">
        <x:f>IF('Master'!AD678="","",'Master'!AD678)</x:f>
      </x:c>
      <x:c r="AD16" s="100" t="str">
        <x:f>IF('Master'!AE678="","",'Master'!AE678)</x:f>
      </x:c>
      <x:c r="AE16" s="100" t="str">
        <x:f>IF('Master'!AF678="","",'Master'!AF678)</x:f>
        <x:v>N/A</x:v>
      </x:c>
      <x:c r="AF16" s="75" t="str">
        <x:f>IF('Master'!AG678="","",'Master'!AG678)</x:f>
      </x:c>
    </x:row>
    <x:row r="17" ht="36" customHeight="1">
      <x:c r="A17" s="135" t="str">
        <x:v>Third-Party AI Providers?</x:v>
      </x:c>
      <x:c r="B17" s="100" t="str">
        <x:f>IF('Master'!C679="","",'Master'!C679)</x:f>
      </x:c>
      <x:c r="C17" s="100" t="str">
        <x:f>IF('Master'!D679="","",'Master'!D679)</x:f>
      </x:c>
      <x:c r="D17" s="100" t="str">
        <x:f>IF('Master'!E679="","",'Master'!E679)</x:f>
      </x:c>
      <x:c r="E17" s="100" t="str">
        <x:f>IF('Master'!F679="","",'Master'!F679)</x:f>
      </x:c>
      <x:c r="F17" s="100" t="str">
        <x:f>IF('Master'!G679="","",'Master'!G679)</x:f>
      </x:c>
      <x:c r="G17" s="100" t="str">
        <x:f>IF('Master'!H679="","",'Master'!H679)</x:f>
      </x:c>
      <x:c r="H17" s="100" t="str">
        <x:f>IF('Master'!I679="","",'Master'!I679)</x:f>
      </x:c>
      <x:c r="I17" s="100" t="str">
        <x:f>IF('Master'!J679="","",'Master'!J679)</x:f>
      </x:c>
      <x:c r="J17" s="100" t="str">
        <x:f>IF('Master'!K679="","",'Master'!K679)</x:f>
      </x:c>
      <x:c r="K17" s="100" t="str">
        <x:f>IF('Master'!L679="","",'Master'!L679)</x:f>
        <x:v>Not disclosed</x:v>
      </x:c>
      <x:c r="L17" s="100" t="str">
        <x:f>IF('Master'!M679="","",'Master'!M679)</x:f>
      </x:c>
      <x:c r="M17" s="100" t="str">
        <x:f>IF('Master'!N679="","",'Master'!N679)</x:f>
      </x:c>
      <x:c r="N17" s="100" t="str">
        <x:f>IF('Master'!O679="","",'Master'!O679)</x:f>
        <x:v>Provider/deployment-specific</x:v>
      </x:c>
      <x:c r="O17" s="100" t="str">
        <x:f>IF('Master'!P679="","",'Master'!P679)</x:f>
        <x:v>Provider/deployment-specific</x:v>
      </x:c>
      <x:c r="P17" s="100" t="str">
        <x:f>IF('Master'!Q679="","",'Master'!Q679)</x:f>
      </x:c>
      <x:c r="Q17" s="100" t="str">
        <x:f>IF('Master'!R679="","",'Master'!R679)</x:f>
      </x:c>
      <x:c r="R17" s="100" t="str">
        <x:f>IF('Master'!S679="","",'Master'!S679)</x:f>
      </x:c>
      <x:c r="S17" s="100" t="str">
        <x:f>IF('Master'!T679="","",'Master'!T679)</x:f>
      </x:c>
      <x:c r="T17" s="100" t="str">
        <x:f>IF('Master'!U679="","",'Master'!U679)</x:f>
      </x:c>
      <x:c r="U17" s="100" t="str">
        <x:f>IF('Master'!V679="","",'Master'!V679)</x:f>
        <x:v>None</x:v>
      </x:c>
      <x:c r="V17" s="100" t="str">
        <x:f>IF('Master'!W679="","",'Master'!W679)</x:f>
        <x:v>Provider/deployment-specific</x:v>
      </x:c>
      <x:c r="W17" s="100" t="str">
        <x:f>IF('Master'!X679="","",'Master'!X679)</x:f>
      </x:c>
      <x:c r="X17" s="100" t="str">
        <x:f>IF('Master'!Y679="","",'Master'!Y679)</x:f>
      </x:c>
      <x:c r="Y17" s="100" t="str">
        <x:f>IF('Master'!Z679="","",'Master'!Z679)</x:f>
      </x:c>
      <x:c r="Z17" s="100" t="str">
        <x:f>IF('Master'!AA679="","",'Master'!AA679)</x:f>
      </x:c>
      <x:c r="AA17" s="104" t="str">
        <x:f>IF('Master'!AB679="","",'Master'!AB679)</x:f>
      </x:c>
      <x:c r="AB17" s="100" t="str">
        <x:f>IF('Master'!AC679="","",'Master'!AC679)</x:f>
      </x:c>
      <x:c r="AC17" s="100" t="str">
        <x:f>IF('Master'!AD679="","",'Master'!AD679)</x:f>
      </x:c>
      <x:c r="AD17" s="100" t="str">
        <x:f>IF('Master'!AE679="","",'Master'!AE679)</x:f>
      </x:c>
      <x:c r="AE17" s="100" t="str">
        <x:f>IF('Master'!AF679="","",'Master'!AF679)</x:f>
      </x:c>
      <x:c r="AF17" s="75" t="str">
        <x:f>IF('Master'!AG679="","",'Master'!AG679)</x:f>
      </x:c>
    </x:row>
    <x:row r="18" ht="22" customHeight="1">
      <x:c r="A18" s="138" t="str">
        <x:v>Control &amp; Development</x:v>
      </x:c>
      <x:c r="B18" s="138" t="str">
        <x:f>IF(""="","","")</x:f>
      </x:c>
      <x:c r="C18" s="138" t="str">
        <x:f>IF(""="","","")</x:f>
      </x:c>
      <x:c r="D18" s="138" t="str">
        <x:f>IF(""="","","")</x:f>
      </x:c>
      <x:c r="E18" s="138" t="str">
        <x:f>IF(""="","","")</x:f>
      </x:c>
      <x:c r="F18" s="138" t="str">
        <x:f>IF(""="","","")</x:f>
      </x:c>
      <x:c r="G18" s="138" t="str">
        <x:f>IF(""="","","")</x:f>
      </x:c>
      <x:c r="H18" s="138" t="str">
        <x:f>IF(""="","","")</x:f>
      </x:c>
      <x:c r="I18" s="138" t="str">
        <x:f>IF(""="","","")</x:f>
      </x:c>
      <x:c r="J18" s="138" t="str">
        <x:f>IF(""="","","")</x:f>
      </x:c>
      <x:c r="K18" s="138" t="str">
        <x:f>IF(""="","","")</x:f>
      </x:c>
      <x:c r="L18" s="138" t="str">
        <x:f>IF(""="","","")</x:f>
      </x:c>
      <x:c r="M18" s="138" t="str">
        <x:f>IF(""="","","")</x:f>
      </x:c>
      <x:c r="N18" s="138" t="str">
        <x:f>IF(""="","","")</x:f>
      </x:c>
      <x:c r="O18" s="138" t="str">
        <x:f>IF(""="","","")</x:f>
      </x:c>
      <x:c r="P18" s="138" t="str">
        <x:f>IF(""="","","")</x:f>
      </x:c>
      <x:c r="Q18" s="138" t="str">
        <x:f>IF(""="","","")</x:f>
      </x:c>
      <x:c r="R18" s="138" t="str">
        <x:f>IF(""="","","")</x:f>
      </x:c>
      <x:c r="S18" s="138" t="str">
        <x:f>IF(""="","","")</x:f>
      </x:c>
      <x:c r="T18" s="138" t="str">
        <x:f>IF(""="","","")</x:f>
      </x:c>
      <x:c r="U18" s="138" t="str">
        <x:f>IF(""="","","")</x:f>
      </x:c>
      <x:c r="V18" s="138" t="str">
        <x:f>IF(""="","","")</x:f>
      </x:c>
      <x:c r="W18" s="138" t="str">
        <x:f>IF(""="","","")</x:f>
      </x:c>
      <x:c r="X18" s="138" t="str">
        <x:f>IF(""="","","")</x:f>
      </x:c>
      <x:c r="Y18" s="138" t="str">
        <x:f>IF(""="","","")</x:f>
      </x:c>
      <x:c r="Z18" s="138" t="str">
        <x:f>IF(""="","","")</x:f>
      </x:c>
      <x:c r="AA18" s="138" t="str">
        <x:f>IF(""="","","")</x:f>
      </x:c>
      <x:c r="AB18" s="138" t="str">
        <x:f>IF(""="","","")</x:f>
      </x:c>
      <x:c r="AC18" s="138" t="str">
        <x:f>IF(""="","","")</x:f>
      </x:c>
      <x:c r="AD18" s="138" t="str">
        <x:f>IF(""="","","")</x:f>
      </x:c>
      <x:c r="AE18" s="138" t="str">
        <x:f>IF(""="","","")</x:f>
      </x:c>
      <x:c r="AF18" s="139" t="str">
        <x:f>IF(""="","","")</x:f>
      </x:c>
    </x:row>
    <x:row r="19" ht="23.100000381469727" customHeight="1">
      <x:c r="A19" s="135" t="str">
        <x:v>AI Features Can Be Disabled?</x:v>
      </x:c>
      <x:c r="B19" s="102" t="str">
        <x:f>IF('Master'!C680="","",'Master'!C680)</x:f>
      </x:c>
      <x:c r="C19" s="102" t="str">
        <x:f>IF('Master'!D680="","",'Master'!D680)</x:f>
      </x:c>
      <x:c r="D19" s="102" t="str">
        <x:f>IF('Master'!E680="","",'Master'!E680)</x:f>
      </x:c>
      <x:c r="E19" s="102" t="str">
        <x:f>IF('Master'!F680="","",'Master'!F680)</x:f>
      </x:c>
      <x:c r="F19" s="102" t="str">
        <x:f>IF('Master'!G680="","",'Master'!G680)</x:f>
      </x:c>
      <x:c r="G19" s="102" t="str">
        <x:f>IF('Master'!H680="","",'Master'!H680)</x:f>
      </x:c>
      <x:c r="H19" s="102" t="str">
        <x:f>IF('Master'!I680="","",'Master'!I680)</x:f>
      </x:c>
      <x:c r="I19" s="102" t="str">
        <x:f>IF('Master'!J680="","",'Master'!J680)</x:f>
      </x:c>
      <x:c r="J19" s="102" t="str">
        <x:f>IF('Master'!K680="","",'Master'!K680)</x:f>
      </x:c>
      <x:c r="K19" s="102" t="str">
        <x:f>IF('Master'!L680="","",'Master'!L680)</x:f>
        <x:v>No user-facing AI features; not applicable</x:v>
      </x:c>
      <x:c r="L19" s="102" t="str">
        <x:f>IF('Master'!M680="","",'Master'!M680)</x:f>
      </x:c>
      <x:c r="M19" s="102" t="str">
        <x:f>IF('Master'!N680="","",'Master'!N680)</x:f>
      </x:c>
      <x:c r="N19" s="102" t="str">
        <x:f>IF('Master'!O680="","",'Master'!O680)</x:f>
      </x:c>
      <x:c r="O19" s="102" t="str">
        <x:f>IF('Master'!P680="","",'Master'!P680)</x:f>
      </x:c>
      <x:c r="P19" s="102" t="str">
        <x:f>IF('Master'!Q680="","",'Master'!Q680)</x:f>
      </x:c>
      <x:c r="Q19" s="102" t="str">
        <x:f>IF('Master'!R680="","",'Master'!R680)</x:f>
      </x:c>
      <x:c r="R19" s="102" t="str">
        <x:f>IF('Master'!S680="","",'Master'!S680)</x:f>
      </x:c>
      <x:c r="S19" s="102" t="str">
        <x:f>IF('Master'!T680="","",'Master'!T680)</x:f>
      </x:c>
      <x:c r="T19" s="102" t="str">
        <x:f>IF('Master'!U680="","",'Master'!U680)</x:f>
      </x:c>
      <x:c r="U19" s="102" t="str">
        <x:f>IF('Master'!V680="","",'Master'!V680)</x:f>
        <x:v>N/A</x:v>
      </x:c>
      <x:c r="V19" s="102" t="str">
        <x:f>IF('Master'!W680="","",'Master'!W680)</x:f>
      </x:c>
      <x:c r="W19" s="102" t="str">
        <x:f>IF('Master'!X680="","",'Master'!X680)</x:f>
      </x:c>
      <x:c r="X19" s="102" t="str">
        <x:f>IF('Master'!Y680="","",'Master'!Y680)</x:f>
      </x:c>
      <x:c r="Y19" s="102" t="str">
        <x:f>IF('Master'!Z680="","",'Master'!Z680)</x:f>
      </x:c>
      <x:c r="Z19" s="102" t="str">
        <x:f>IF('Master'!AA680="","",'Master'!AA680)</x:f>
      </x:c>
      <x:c r="AA19" s="103" t="str">
        <x:f>IF('Master'!AB680="","",'Master'!AB680)</x:f>
      </x:c>
      <x:c r="AB19" s="102" t="str">
        <x:f>IF('Master'!AC680="","",'Master'!AC680)</x:f>
      </x:c>
      <x:c r="AC19" s="102" t="str">
        <x:f>IF('Master'!AD680="","",'Master'!AD680)</x:f>
      </x:c>
      <x:c r="AD19" s="102" t="str">
        <x:f>IF('Master'!AE680="","",'Master'!AE680)</x:f>
      </x:c>
      <x:c r="AE19" s="102" t="str">
        <x:f>IF('Master'!AF680="","",'Master'!AF680)</x:f>
      </x:c>
      <x:c r="AF19" s="75" t="str">
        <x:f>IF('Master'!AG680="","",'Master'!AG680)</x:f>
      </x:c>
    </x:row>
    <x:row r="20" ht="36" customHeight="1">
      <x:c r="A20" s="135" t="str">
        <x:v>AI-Assisted Development Disclosed?</x:v>
      </x:c>
      <x:c r="B20" s="100" t="str">
        <x:f>IF('Master'!C681="","",'Master'!C681)</x:f>
      </x:c>
      <x:c r="C20" s="100" t="str">
        <x:f>IF('Master'!D681="","",'Master'!D681)</x:f>
      </x:c>
      <x:c r="D20" s="100" t="str">
        <x:f>IF('Master'!E681="","",'Master'!E681)</x:f>
      </x:c>
      <x:c r="E20" s="100" t="str">
        <x:f>IF('Master'!F681="","",'Master'!F681)</x:f>
      </x:c>
      <x:c r="F20" s="100" t="str">
        <x:f>IF('Master'!G681="","",'Master'!G681)</x:f>
      </x:c>
      <x:c r="G20" s="100" t="str">
        <x:f>IF('Master'!H681="","",'Master'!H681)</x:f>
        <x:v>No percentage published</x:v>
      </x:c>
      <x:c r="H20" s="100" t="str">
        <x:f>IF('Master'!I681="","",'Master'!I681)</x:f>
      </x:c>
      <x:c r="I20" s="100" t="str">
        <x:f>IF('Master'!J681="","",'Master'!J681)</x:f>
        <x:v>Fermi explicitly bans AI-generated code</x:v>
      </x:c>
      <x:c r="J20" s="100" t="str">
        <x:f>IF('Master'!K681="","",'Master'!K681)</x:f>
        <x:v>Developer publicly discloses Claude use for development tooling</x:v>
      </x:c>
      <x:c r="K20" s="100" t="str">
        <x:f>IF('Master'!L681="","",'Master'!L681)</x:f>
        <x:v>AI is used to speed development; primary developer retains architectural decisions and reviews AI-written code (developer statement)</x:v>
      </x:c>
      <x:c r="L20" s="100" t="str">
        <x:f>IF('Master'!M681="","",'Master'!M681)</x:f>
      </x:c>
      <x:c r="M20" s="100" t="str">
        <x:f>IF('Master'!N681="","",'Master'!N681)</x:f>
        <x:v>AI models used for translation/transcription disclosed</x:v>
      </x:c>
      <x:c r="N20" s="100" t="str">
        <x:f>IF('Master'!O681="","",'Master'!O681)</x:f>
        <x:v>Provider-specific</x:v>
      </x:c>
      <x:c r="O20" s="100" t="str">
        <x:f>IF('Master'!P681="","",'Master'!P681)</x:f>
      </x:c>
      <x:c r="P20" s="100" t="str">
        <x:f>IF('Master'!Q681="","",'Master'!Q681)</x:f>
        <x:v>Publicly discloses AI-powered features</x:v>
      </x:c>
      <x:c r="Q20" s="100" t="str">
        <x:f>IF('Master'!R681="","",'Master'!R681)</x:f>
        <x:v>N/A</x:v>
      </x:c>
      <x:c r="R20" s="100" t="str">
        <x:f>IF('Master'!S681="","",'Master'!S681)</x:f>
      </x:c>
      <x:c r="S20" s="100" t="str">
        <x:f>IF('Master'!T681="","",'Master'!T681)</x:f>
      </x:c>
      <x:c r="T20" s="100" t="str">
        <x:f>IF('Master'!U681="","",'Master'!U681)</x:f>
        <x:v>Built in the open; no 'zero AI in codebase' claim</x:v>
      </x:c>
      <x:c r="U20" s="100" t="str">
        <x:f>IF('Master'!V681="","",'Master'!V681)</x:f>
        <x:v>Yes — public FAQ</x:v>
      </x:c>
      <x:c r="V20" s="100" t="str">
        <x:f>IF('Master'!W681="","",'Master'!W681)</x:f>
      </x:c>
      <x:c r="W20" s="100" t="str">
        <x:f>IF('Master'!X681="","",'Master'!X681)</x:f>
      </x:c>
      <x:c r="X20" s="100" t="str">
        <x:f>IF('Master'!Y681="","",'Master'!Y681)</x:f>
      </x:c>
      <x:c r="Y20" s="100" t="str">
        <x:f>IF('Master'!Z681="","",'Master'!Z681)</x:f>
      </x:c>
      <x:c r="Z20" s="100" t="str">
        <x:f>IF('Master'!AA681="","",'Master'!AA681)</x:f>
      </x:c>
      <x:c r="AA20" s="104" t="str">
        <x:f>IF('Master'!AB681="","",'Master'!AB681)</x:f>
      </x:c>
      <x:c r="AB20" s="100" t="str">
        <x:f>IF('Master'!AC681="","",'Master'!AC681)</x:f>
      </x:c>
      <x:c r="AC20" s="100" t="str">
        <x:f>IF('Master'!AD681="","",'Master'!AD681)</x:f>
      </x:c>
      <x:c r="AD20" s="100" t="str">
        <x:f>IF('Master'!AE681="","",'Master'!AE681)</x:f>
        <x:v>AI is product-feature specific, not general chat summarization</x:v>
      </x:c>
      <x:c r="AE20" s="100" t="str">
        <x:f>IF('Master'!AF681="","",'Master'!AF681)</x:f>
        <x:v>Privacy-first/no surveillance model</x:v>
      </x:c>
      <x:c r="AF20" s="75" t="str">
        <x:f>IF('Master'!AG681="","",'Master'!AG681)</x:f>
      </x:c>
    </x:row>
    <x:row r="21" ht="36" customHeight="1">
      <x:c r="A21" s="135" t="str">
        <x:v>AI Code Contribution Policy</x:v>
      </x:c>
      <x:c r="B21" s="100" t="str">
        <x:f>IF('Master'!C682="","",'Master'!C682)</x:f>
      </x:c>
      <x:c r="C21" s="100" t="str">
        <x:f>IF('Master'!D682="","",'Master'!D682)</x:f>
      </x:c>
      <x:c r="D21" s="100" t="str">
        <x:f>IF('Master'!E682="","",'Master'!E682)</x:f>
      </x:c>
      <x:c r="E21" s="100" t="str">
        <x:f>IF('Master'!F682="","",'Master'!F682)</x:f>
      </x:c>
      <x:c r="F21" s="100" t="str">
        <x:f>IF('Master'!G682="","",'Master'!G682)</x:f>
      </x:c>
      <x:c r="G21" s="100" t="str">
        <x:f>IF('Master'!H682="","",'Master'!H682)</x:f>
      </x:c>
      <x:c r="H21" s="100" t="str">
        <x:f>IF('Master'!I682="","",'Master'!I682)</x:f>
      </x:c>
      <x:c r="I21" s="100" t="str">
        <x:f>IF('Master'!J682="","",'Master'!J682)</x:f>
        <x:v>AI-generated code banned in Fermi contributions</x:v>
      </x:c>
      <x:c r="J21" s="100" t="str">
        <x:f>IF('Master'!K682="","",'Master'!K682)</x:f>
      </x:c>
      <x:c r="K21" s="100" t="str">
        <x:f>IF('Master'!L682="","",'Master'!L682)</x:f>
        <x:v>AI is used to speed development; primary developer retains architectural decisions and reviews AI-written code (developer statement)</x:v>
      </x:c>
      <x:c r="L21" s="100" t="str">
        <x:f>IF('Master'!M682="","",'Master'!M682)</x:f>
      </x:c>
      <x:c r="M21" s="100" t="str">
        <x:f>IF('Master'!N682="","",'Master'!N682)</x:f>
      </x:c>
      <x:c r="N21" s="100" t="str">
        <x:f>IF('Master'!O682="","",'Master'!O682)</x:f>
      </x:c>
      <x:c r="O21" s="100" t="str">
        <x:f>IF('Master'!P682="","",'Master'!P682)</x:f>
      </x:c>
      <x:c r="P21" s="100" t="str">
        <x:f>IF('Master'!Q682="","",'Master'!Q682)</x:f>
      </x:c>
      <x:c r="Q21" s="100" t="str">
        <x:f>IF('Master'!R682="","",'Master'!R682)</x:f>
      </x:c>
      <x:c r="R21" s="100" t="str">
        <x:f>IF('Master'!S682="","",'Master'!S682)</x:f>
      </x:c>
      <x:c r="S21" s="100" t="str">
        <x:f>IF('Master'!T682="","",'Master'!T682)</x:f>
      </x:c>
      <x:c r="T21" s="100" t="str">
        <x:f>IF('Master'!U682="","",'Master'!U682)</x:f>
        <x:v>No zero-AI development policy claimed</x:v>
      </x:c>
      <x:c r="U21" s="100" t="str">
        <x:f>IF('Master'!V682="","",'Master'!V682)</x:f>
      </x:c>
      <x:c r="V21" s="100" t="str">
        <x:f>IF('Master'!W682="","",'Master'!W682)</x:f>
      </x:c>
      <x:c r="W21" s="100" t="str">
        <x:f>IF('Master'!X682="","",'Master'!X682)</x:f>
      </x:c>
      <x:c r="X21" s="100" t="str">
        <x:f>IF('Master'!Y682="","",'Master'!Y682)</x:f>
      </x:c>
      <x:c r="Y21" s="100" t="str">
        <x:f>IF('Master'!Z682="","",'Master'!Z682)</x:f>
      </x:c>
      <x:c r="Z21" s="100" t="str">
        <x:f>IF('Master'!AA682="","",'Master'!AA682)</x:f>
      </x:c>
      <x:c r="AA21" s="104" t="str">
        <x:f>IF('Master'!AB682="","",'Master'!AB682)</x:f>
      </x:c>
      <x:c r="AB21" s="100" t="str">
        <x:f>IF('Master'!AC682="","",'Master'!AC682)</x:f>
      </x:c>
      <x:c r="AC21" s="100" t="str">
        <x:f>IF('Master'!AD682="","",'Master'!AD682)</x:f>
      </x:c>
      <x:c r="AD21" s="100" t="str">
        <x:f>IF('Master'!AE682="","",'Master'!AE682)</x:f>
      </x:c>
      <x:c r="AE21" s="100" t="str">
        <x:f>IF('Master'!AF682="","",'Master'!AF682)</x:f>
      </x:c>
      <x:c r="AF21" s="75" t="str">
        <x:f>IF('Master'!AG682="","",'Master'!AG682)</x:f>
      </x:c>
    </x:row>
    <x:row r="22" ht="36" customHeight="1">
      <x:c r="A22" s="135" t="str">
        <x:v>AI Development % Published?</x:v>
      </x:c>
      <x:c r="B22" s="100" t="str">
        <x:f>IF('Master'!C683="","",'Master'!C683)</x:f>
      </x:c>
      <x:c r="C22" s="100" t="str">
        <x:f>IF('Master'!D683="","",'Master'!D683)</x:f>
      </x:c>
      <x:c r="D22" s="100" t="str">
        <x:f>IF('Master'!E683="","",'Master'!E683)</x:f>
      </x:c>
      <x:c r="E22" s="100" t="str">
        <x:f>IF('Master'!F683="","",'Master'!F683)</x:f>
      </x:c>
      <x:c r="F22" s="100" t="str">
        <x:f>IF('Master'!G683="","",'Master'!G683)</x:f>
      </x:c>
      <x:c r="G22" s="100" t="str">
        <x:f>IF('Master'!H683="","",'Master'!H683)</x:f>
      </x:c>
      <x:c r="H22" s="100" t="str">
        <x:f>IF('Master'!I683="","",'Master'!I683)</x:f>
      </x:c>
      <x:c r="I22" s="100" t="str">
        <x:f>IF('Master'!J683="","",'Master'!J683)</x:f>
        <x:v>0% allowed by Fermi contribution policy</x:v>
      </x:c>
      <x:c r="J22" s="100" t="str">
        <x:f>IF('Master'!K683="","",'Master'!K683)</x:f>
      </x:c>
      <x:c r="K22" s="100" t="str">
        <x:f>IF('Master'!L683="","",'Master'!L683)</x:f>
        <x:v>Not published</x:v>
      </x:c>
      <x:c r="L22" s="100" t="str">
        <x:f>IF('Master'!M683="","",'Master'!M683)</x:f>
      </x:c>
      <x:c r="M22" s="100" t="str">
        <x:f>IF('Master'!N683="","",'Master'!N683)</x:f>
      </x:c>
      <x:c r="N22" s="100" t="str">
        <x:f>IF('Master'!O683="","",'Master'!O683)</x:f>
      </x:c>
      <x:c r="O22" s="100" t="str">
        <x:f>IF('Master'!P683="","",'Master'!P683)</x:f>
      </x:c>
      <x:c r="P22" s="100" t="str">
        <x:f>IF('Master'!Q683="","",'Master'!Q683)</x:f>
      </x:c>
      <x:c r="Q22" s="100" t="str">
        <x:f>IF('Master'!R683="","",'Master'!R683)</x:f>
        <x:v>N/A</x:v>
      </x:c>
      <x:c r="R22" s="100" t="str">
        <x:f>IF('Master'!S683="","",'Master'!S683)</x:f>
      </x:c>
      <x:c r="S22" s="100" t="str">
        <x:f>IF('Master'!T683="","",'Master'!T683)</x:f>
      </x:c>
      <x:c r="T22" s="100" t="str">
        <x:f>IF('Master'!U683="","",'Master'!U683)</x:f>
        <x:v>No</x:v>
      </x:c>
      <x:c r="U22" s="100" t="str">
        <x:f>IF('Master'!V683="","",'Master'!V683)</x:f>
      </x:c>
      <x:c r="V22" s="100" t="str">
        <x:f>IF('Master'!W683="","",'Master'!W683)</x:f>
      </x:c>
      <x:c r="W22" s="100" t="str">
        <x:f>IF('Master'!X683="","",'Master'!X683)</x:f>
      </x:c>
      <x:c r="X22" s="100" t="str">
        <x:f>IF('Master'!Y683="","",'Master'!Y683)</x:f>
      </x:c>
      <x:c r="Y22" s="100" t="str">
        <x:f>IF('Master'!Z683="","",'Master'!Z683)</x:f>
      </x:c>
      <x:c r="Z22" s="100" t="str">
        <x:f>IF('Master'!AA683="","",'Master'!AA683)</x:f>
      </x:c>
      <x:c r="AA22" s="104" t="str">
        <x:f>IF('Master'!AB683="","",'Master'!AB683)</x:f>
      </x:c>
      <x:c r="AB22" s="100" t="str">
        <x:f>IF('Master'!AC683="","",'Master'!AC683)</x:f>
      </x:c>
      <x:c r="AC22" s="100" t="str">
        <x:f>IF('Master'!AD683="","",'Master'!AD683)</x:f>
      </x:c>
      <x:c r="AD22" s="100" t="str">
        <x:f>IF('Master'!AE683="","",'Master'!AE683)</x:f>
      </x:c>
      <x:c r="AE22" s="100" t="str">
        <x:f>IF('Master'!AF683="","",'Master'!AF683)</x:f>
      </x:c>
      <x:c r="AF22" s="75" t="str">
        <x:f>IF('Master'!AG683="","",'Master'!AG683)</x:f>
      </x:c>
    </x:row>
    <x:row r="23" ht="22" customHeight="1">
      <x:c r="A23" s="138" t="str">
        <x:v>Source &amp; Notes</x:v>
      </x:c>
      <x:c r="B23" s="138" t="str">
        <x:f>IF(""="","","")</x:f>
      </x:c>
      <x:c r="C23" s="138" t="str">
        <x:f>IF(""="","","")</x:f>
      </x:c>
      <x:c r="D23" s="138" t="str">
        <x:f>IF(""="","","")</x:f>
      </x:c>
      <x:c r="E23" s="138" t="str">
        <x:f>IF(""="","","")</x:f>
      </x:c>
      <x:c r="F23" s="138" t="str">
        <x:f>IF(""="","","")</x:f>
      </x:c>
      <x:c r="G23" s="138" t="str">
        <x:f>IF(""="","","")</x:f>
      </x:c>
      <x:c r="H23" s="138" t="str">
        <x:f>IF(""="","","")</x:f>
      </x:c>
      <x:c r="I23" s="138" t="str">
        <x:f>IF(""="","","")</x:f>
      </x:c>
      <x:c r="J23" s="138" t="str">
        <x:f>IF(""="","","")</x:f>
      </x:c>
      <x:c r="K23" s="138" t="str">
        <x:f>IF(""="","","")</x:f>
      </x:c>
      <x:c r="L23" s="138" t="str">
        <x:f>IF(""="","","")</x:f>
      </x:c>
      <x:c r="M23" s="138" t="str">
        <x:f>IF(""="","","")</x:f>
      </x:c>
      <x:c r="N23" s="138" t="str">
        <x:f>IF(""="","","")</x:f>
      </x:c>
      <x:c r="O23" s="138" t="str">
        <x:f>IF(""="","","")</x:f>
      </x:c>
      <x:c r="P23" s="138" t="str">
        <x:f>IF(""="","","")</x:f>
      </x:c>
      <x:c r="Q23" s="138" t="str">
        <x:f>IF(""="","","")</x:f>
      </x:c>
      <x:c r="R23" s="138" t="str">
        <x:f>IF(""="","","")</x:f>
      </x:c>
      <x:c r="S23" s="138" t="str">
        <x:f>IF(""="","","")</x:f>
      </x:c>
      <x:c r="T23" s="138" t="str">
        <x:f>IF(""="","","")</x:f>
      </x:c>
      <x:c r="U23" s="138" t="str">
        <x:f>IF(""="","","")</x:f>
      </x:c>
      <x:c r="V23" s="138" t="str">
        <x:f>IF(""="","","")</x:f>
      </x:c>
      <x:c r="W23" s="138" t="str">
        <x:f>IF(""="","","")</x:f>
      </x:c>
      <x:c r="X23" s="138" t="str">
        <x:f>IF(""="","","")</x:f>
      </x:c>
      <x:c r="Y23" s="138" t="str">
        <x:f>IF(""="","","")</x:f>
      </x:c>
      <x:c r="Z23" s="138" t="str">
        <x:f>IF(""="","","")</x:f>
      </x:c>
      <x:c r="AA23" s="138" t="str">
        <x:f>IF(""="","","")</x:f>
      </x:c>
      <x:c r="AB23" s="138" t="str">
        <x:f>IF(""="","","")</x:f>
      </x:c>
      <x:c r="AC23" s="138" t="str">
        <x:f>IF(""="","","")</x:f>
      </x:c>
      <x:c r="AD23" s="138" t="str">
        <x:f>IF(""="","","")</x:f>
      </x:c>
      <x:c r="AE23" s="138" t="str">
        <x:f>IF(""="","","")</x:f>
      </x:c>
      <x:c r="AF23" s="139" t="str">
        <x:f>IF(""="","","")</x:f>
      </x:c>
    </x:row>
    <x:row r="24" ht="36" customHeight="1">
      <x:c r="A24" s="135" t="str">
        <x:v>AI / Data Use Notes</x:v>
      </x:c>
      <x:c r="B24" s="100" t="str">
        <x:f>IF('Master'!C684="","",'Master'!C684)</x:f>
      </x:c>
      <x:c r="C24" s="100" t="str">
        <x:f>IF('Master'!D684="","",'Master'!D684)</x:f>
      </x:c>
      <x:c r="D24" s="100" t="str">
        <x:f>IF('Master'!E684="","",'Master'!E684)</x:f>
      </x:c>
      <x:c r="E24" s="100" t="str">
        <x:f>IF('Master'!F684="","",'Master'!F684)</x:f>
      </x:c>
      <x:c r="F24" s="100" t="str">
        <x:f>IF('Master'!G684="","",'Master'!G684)</x:f>
      </x:c>
      <x:c r="G24" s="100" t="str">
        <x:f>IF('Master'!H684="","",'Master'!H684)</x:f>
        <x:v>No percentage published</x:v>
      </x:c>
      <x:c r="H24" s="100" t="str">
        <x:f>IF('Master'!I684="","",'Master'!I684)</x:f>
      </x:c>
      <x:c r="I24" s="100" t="str">
        <x:f>IF('Master'!J684="","",'Master'!J684)</x:f>
        <x:v>Fermi explicitly bans AI-generated code</x:v>
      </x:c>
      <x:c r="J24" s="100" t="str">
        <x:f>IF('Master'!K684="","",'Master'!K684)</x:f>
        <x:v>Developer publicly discloses Claude use for development tooling</x:v>
      </x:c>
      <x:c r="K24" s="100" t="str">
        <x:f>IF('Master'!L684="","",'Master'!L684)</x:f>
        <x:v>No native AI-product governance layer; user data is not used for model training per developer statement</x:v>
      </x:c>
      <x:c r="L24" s="100" t="str">
        <x:f>IF('Master'!M684="","",'Master'!M684)</x:f>
      </x:c>
      <x:c r="M24" s="100" t="str">
        <x:f>IF('Master'!N684="","",'Master'!N684)</x:f>
        <x:v>AI models used for translation/transcription disclosed</x:v>
      </x:c>
      <x:c r="N24" s="100" t="str">
        <x:f>IF('Master'!O684="","",'Master'!O684)</x:f>
        <x:v>Provider-specific</x:v>
      </x:c>
      <x:c r="O24" s="100" t="str">
        <x:f>IF('Master'!P684="","",'Master'!P684)</x:f>
      </x:c>
      <x:c r="P24" s="100" t="str">
        <x:f>IF('Master'!Q684="","",'Master'!Q684)</x:f>
        <x:v>Publicly discloses AI-powered features</x:v>
      </x:c>
      <x:c r="Q24" s="100" t="str">
        <x:f>IF('Master'!R684="","",'Master'!R684)</x:f>
        <x:v>N/A</x:v>
      </x:c>
      <x:c r="R24" s="100" t="str">
        <x:f>IF('Master'!S684="","",'Master'!S684)</x:f>
      </x:c>
      <x:c r="S24" s="100" t="str">
        <x:f>IF('Master'!T684="","",'Master'!T684)</x:f>
      </x:c>
      <x:c r="T24" s="100" t="str">
        <x:f>IF('Master'!U684="","",'Master'!U684)</x:f>
      </x:c>
      <x:c r="U24" s="100" t="str">
        <x:f>IF('Master'!V684="","",'Master'!V684)</x:f>
        <x:v>Rift says messages/uploads are not used to train AI; FAQ says AI is used for parts of code development and reviewed by a developer.</x:v>
      </x:c>
      <x:c r="V24" s="100" t="str">
        <x:f>IF('Master'!W684="","",'Master'!W684)</x:f>
      </x:c>
      <x:c r="W24" s="100" t="str">
        <x:f>IF('Master'!X684="","",'Master'!X684)</x:f>
      </x:c>
      <x:c r="X24" s="100" t="str">
        <x:f>IF('Master'!Y684="","",'Master'!Y684)</x:f>
      </x:c>
      <x:c r="Y24" s="100" t="str">
        <x:f>IF('Master'!Z684="","",'Master'!Z684)</x:f>
      </x:c>
      <x:c r="Z24" s="100" t="str">
        <x:f>IF('Master'!AA684="","",'Master'!AA684)</x:f>
      </x:c>
      <x:c r="AA24" s="104" t="str">
        <x:f>IF('Master'!AB684="","",'Master'!AB684)</x:f>
      </x:c>
      <x:c r="AB24" s="100" t="str">
        <x:f>IF('Master'!AC684="","",'Master'!AC684)</x:f>
      </x:c>
      <x:c r="AC24" s="100" t="str">
        <x:f>IF('Master'!AD684="","",'Master'!AD684)</x:f>
      </x:c>
      <x:c r="AD24" s="100" t="str">
        <x:f>IF('Master'!AE684="","",'Master'!AE684)</x:f>
        <x:v>AI is product-feature specific, not general chat summarization</x:v>
      </x:c>
      <x:c r="AE24" s="100" t="str">
        <x:f>IF('Master'!AF684="","",'Master'!AF684)</x:f>
        <x:v>Privacy-first/no surveillance model</x:v>
      </x:c>
      <x:c r="AF24" s="75" t="str">
        <x:f>IF('Master'!AG684="","",'Master'!AG684)</x:f>
      </x:c>
    </x:row>
    <x:row r="25" ht="22" customHeight="1">
      <x:c r="A25" s="138" t="str">
        <x:v>AI Governance &amp; Controls</x:v>
      </x:c>
      <x:c r="B25" s="138" t="str">
        <x:f>IF(""="","","")</x:f>
      </x:c>
      <x:c r="C25" s="138" t="str">
        <x:f>IF(""="","","")</x:f>
      </x:c>
      <x:c r="D25" s="138" t="str">
        <x:f>IF(""="","","")</x:f>
      </x:c>
      <x:c r="E25" s="138" t="str">
        <x:f>IF(""="","","")</x:f>
      </x:c>
      <x:c r="F25" s="138" t="str">
        <x:f>IF(""="","","")</x:f>
      </x:c>
      <x:c r="G25" s="138" t="str">
        <x:f>IF(""="","","")</x:f>
      </x:c>
      <x:c r="H25" s="138" t="str">
        <x:f>IF(""="","","")</x:f>
      </x:c>
      <x:c r="I25" s="138" t="str">
        <x:f>IF(""="","","")</x:f>
      </x:c>
      <x:c r="J25" s="138" t="str">
        <x:f>IF(""="","","")</x:f>
      </x:c>
      <x:c r="K25" s="138" t="str">
        <x:f>IF(""="","","")</x:f>
      </x:c>
      <x:c r="L25" s="138" t="str">
        <x:f>IF(""="","","")</x:f>
      </x:c>
      <x:c r="M25" s="138" t="str">
        <x:f>IF(""="","","")</x:f>
      </x:c>
      <x:c r="N25" s="138" t="str">
        <x:f>IF(""="","","")</x:f>
      </x:c>
      <x:c r="O25" s="138" t="str">
        <x:f>IF(""="","","")</x:f>
      </x:c>
      <x:c r="P25" s="138" t="str">
        <x:f>IF(""="","","")</x:f>
      </x:c>
      <x:c r="Q25" s="138" t="str">
        <x:f>IF(""="","","")</x:f>
      </x:c>
      <x:c r="R25" s="138" t="str">
        <x:f>IF(""="","","")</x:f>
      </x:c>
      <x:c r="S25" s="138" t="str">
        <x:f>IF(""="","","")</x:f>
      </x:c>
      <x:c r="T25" s="138" t="str">
        <x:f>IF(""="","","")</x:f>
      </x:c>
      <x:c r="U25" s="138" t="str">
        <x:f>IF(""="","","")</x:f>
      </x:c>
      <x:c r="V25" s="138" t="str">
        <x:f>IF(""="","","")</x:f>
      </x:c>
      <x:c r="W25" s="138" t="str">
        <x:f>IF(""="","","")</x:f>
      </x:c>
      <x:c r="X25" s="138" t="str">
        <x:f>IF(""="","","")</x:f>
      </x:c>
      <x:c r="Y25" s="138" t="str">
        <x:f>IF(""="","","")</x:f>
      </x:c>
      <x:c r="Z25" s="138" t="str">
        <x:f>IF(""="","","")</x:f>
      </x:c>
      <x:c r="AA25" s="138" t="str">
        <x:f>IF(""="","","")</x:f>
      </x:c>
      <x:c r="AB25" s="138" t="str">
        <x:f>IF(""="","","")</x:f>
      </x:c>
      <x:c r="AC25" s="138" t="str">
        <x:f>IF(""="","","")</x:f>
      </x:c>
      <x:c r="AD25" s="138" t="str">
        <x:f>IF(""="","","")</x:f>
      </x:c>
      <x:c r="AE25" s="138" t="str">
        <x:f>IF(""="","","")</x:f>
      </x:c>
      <x:c r="AF25" s="139" t="str">
        <x:f>IF(""="","","")</x:f>
      </x:c>
    </x:row>
    <x:row r="26" ht="23.100000381469727" customHeight="1">
      <x:c r="A26" s="135" t="str">
        <x:v>AI Feature Data Retention Published?</x:v>
      </x:c>
      <x:c r="B26" s="102" t="str">
        <x:f>IF('Master'!C685="","",'Master'!C685)</x:f>
      </x:c>
      <x:c r="C26" s="102" t="str">
        <x:f>IF('Master'!D685="","",'Master'!D685)</x:f>
      </x:c>
      <x:c r="D26" s="102" t="str">
        <x:f>IF('Master'!E685="","",'Master'!E685)</x:f>
      </x:c>
      <x:c r="E26" s="102" t="str">
        <x:f>IF('Master'!F685="","",'Master'!F685)</x:f>
      </x:c>
      <x:c r="F26" s="102" t="str">
        <x:f>IF('Master'!G685="","",'Master'!G685)</x:f>
      </x:c>
      <x:c r="G26" s="102" t="str">
        <x:f>IF('Master'!H685="","",'Master'!H685)</x:f>
      </x:c>
      <x:c r="H26" s="102" t="str">
        <x:f>IF('Master'!I685="","",'Master'!I685)</x:f>
      </x:c>
      <x:c r="I26" s="102" t="str">
        <x:f>IF('Master'!J685="","",'Master'!J685)</x:f>
      </x:c>
      <x:c r="J26" s="102" t="str">
        <x:f>IF('Master'!K685="","",'Master'!K685)</x:f>
      </x:c>
      <x:c r="K26" s="102" t="str">
        <x:f>IF('Master'!L685="","",'Master'!L685)</x:f>
        <x:v>No AI feature data-retention policy needed because no native AI feature is documented</x:v>
      </x:c>
      <x:c r="L26" s="102" t="str">
        <x:f>IF('Master'!M685="","",'Master'!M685)</x:f>
      </x:c>
      <x:c r="M26" s="102" t="str">
        <x:f>IF('Master'!N685="","",'Master'!N685)</x:f>
      </x:c>
      <x:c r="N26" s="102" t="str">
        <x:f>IF('Master'!O685="","",'Master'!O685)</x:f>
      </x:c>
      <x:c r="O26" s="102" t="str">
        <x:f>IF('Master'!P685="","",'Master'!P685)</x:f>
      </x:c>
      <x:c r="P26" s="102" t="str">
        <x:f>IF('Master'!Q685="","",'Master'!Q685)</x:f>
      </x:c>
      <x:c r="Q26" s="102" t="str">
        <x:f>IF('Master'!R685="","",'Master'!R685)</x:f>
      </x:c>
      <x:c r="R26" s="102" t="str">
        <x:f>IF('Master'!S685="","",'Master'!S685)</x:f>
      </x:c>
      <x:c r="S26" s="102" t="str">
        <x:f>IF('Master'!T685="","",'Master'!T685)</x:f>
      </x:c>
      <x:c r="T26" s="102" t="str">
        <x:f>IF('Master'!U685="","",'Master'!U685)</x:f>
      </x:c>
      <x:c r="U26" s="102" t="str">
        <x:f>IF('Master'!V685="","",'Master'!V685)</x:f>
      </x:c>
      <x:c r="V26" s="102" t="str">
        <x:f>IF('Master'!W685="","",'Master'!W685)</x:f>
      </x:c>
      <x:c r="W26" s="102" t="str">
        <x:f>IF('Master'!X685="","",'Master'!X685)</x:f>
      </x:c>
      <x:c r="X26" s="102" t="str">
        <x:f>IF('Master'!Y685="","",'Master'!Y685)</x:f>
      </x:c>
      <x:c r="Y26" s="102" t="str">
        <x:f>IF('Master'!Z685="","",'Master'!Z685)</x:f>
      </x:c>
      <x:c r="Z26" s="102" t="str">
        <x:f>IF('Master'!AA685="","",'Master'!AA685)</x:f>
      </x:c>
      <x:c r="AA26" s="103" t="str">
        <x:f>IF('Master'!AB685="","",'Master'!AB685)</x:f>
      </x:c>
      <x:c r="AB26" s="102" t="str">
        <x:f>IF('Master'!AC685="","",'Master'!AC685)</x:f>
      </x:c>
      <x:c r="AC26" s="102" t="str">
        <x:f>IF('Master'!AD685="","",'Master'!AD685)</x:f>
      </x:c>
      <x:c r="AD26" s="102" t="str">
        <x:f>IF('Master'!AE685="","",'Master'!AE685)</x:f>
      </x:c>
      <x:c r="AE26" s="102" t="str">
        <x:f>IF('Master'!AF685="","",'Master'!AF685)</x:f>
      </x:c>
      <x:c r="AF26" s="75" t="str">
        <x:f>IF('Master'!AG685="","",'Master'!AG685)</x:f>
      </x:c>
    </x:row>
    <x:row r="27" ht="23.100000381469727" customHeight="1">
      <x:c r="A27" s="135" t="str">
        <x:v>Human Review of AI Outputs / Flags?</x:v>
      </x:c>
      <x:c r="B27" s="102" t="str">
        <x:f>IF('Master'!C686="","",'Master'!C686)</x:f>
      </x:c>
      <x:c r="C27" s="102" t="str">
        <x:f>IF('Master'!D686="","",'Master'!D686)</x:f>
      </x:c>
      <x:c r="D27" s="102" t="str">
        <x:f>IF('Master'!E686="","",'Master'!E686)</x:f>
      </x:c>
      <x:c r="E27" s="102" t="str">
        <x:f>IF('Master'!F686="","",'Master'!F686)</x:f>
      </x:c>
      <x:c r="F27" s="102" t="str">
        <x:f>IF('Master'!G686="","",'Master'!G686)</x:f>
      </x:c>
      <x:c r="G27" s="102" t="str">
        <x:f>IF('Master'!H686="","",'Master'!H686)</x:f>
      </x:c>
      <x:c r="H27" s="102" t="str">
        <x:f>IF('Master'!I686="","",'Master'!I686)</x:f>
      </x:c>
      <x:c r="I27" s="102" t="str">
        <x:f>IF('Master'!J686="","",'Master'!J686)</x:f>
      </x:c>
      <x:c r="J27" s="102" t="str">
        <x:f>IF('Master'!K686="","",'Master'!K686)</x:f>
      </x:c>
      <x:c r="K27" s="102" t="str">
        <x:f>IF('Master'!L686="","",'Master'!L686)</x:f>
        <x:v>Developer manually reviews AI-written code</x:v>
      </x:c>
      <x:c r="L27" s="102" t="str">
        <x:f>IF('Master'!M686="","",'Master'!M686)</x:f>
      </x:c>
      <x:c r="M27" s="102" t="str">
        <x:f>IF('Master'!N686="","",'Master'!N686)</x:f>
      </x:c>
      <x:c r="N27" s="102" t="str">
        <x:f>IF('Master'!O686="","",'Master'!O686)</x:f>
      </x:c>
      <x:c r="O27" s="102" t="str">
        <x:f>IF('Master'!P686="","",'Master'!P686)</x:f>
      </x:c>
      <x:c r="P27" s="102" t="str">
        <x:f>IF('Master'!Q686="","",'Master'!Q686)</x:f>
      </x:c>
      <x:c r="Q27" s="102" t="str">
        <x:f>IF('Master'!R686="","",'Master'!R686)</x:f>
      </x:c>
      <x:c r="R27" s="102" t="str">
        <x:f>IF('Master'!S686="","",'Master'!S686)</x:f>
      </x:c>
      <x:c r="S27" s="102" t="str">
        <x:f>IF('Master'!T686="","",'Master'!T686)</x:f>
      </x:c>
      <x:c r="T27" s="102" t="str">
        <x:f>IF('Master'!U686="","",'Master'!U686)</x:f>
      </x:c>
      <x:c r="U27" s="102" t="str">
        <x:f>IF('Master'!V686="","",'Master'!V686)</x:f>
      </x:c>
      <x:c r="V27" s="102" t="str">
        <x:f>IF('Master'!W686="","",'Master'!W686)</x:f>
      </x:c>
      <x:c r="W27" s="102" t="str">
        <x:f>IF('Master'!X686="","",'Master'!X686)</x:f>
      </x:c>
      <x:c r="X27" s="102" t="str">
        <x:f>IF('Master'!Y686="","",'Master'!Y686)</x:f>
      </x:c>
      <x:c r="Y27" s="102" t="str">
        <x:f>IF('Master'!Z686="","",'Master'!Z686)</x:f>
      </x:c>
      <x:c r="Z27" s="102" t="str">
        <x:f>IF('Master'!AA686="","",'Master'!AA686)</x:f>
      </x:c>
      <x:c r="AA27" s="103" t="str">
        <x:f>IF('Master'!AB686="","",'Master'!AB686)</x:f>
      </x:c>
      <x:c r="AB27" s="102" t="str">
        <x:f>IF('Master'!AC686="","",'Master'!AC686)</x:f>
      </x:c>
      <x:c r="AC27" s="102" t="str">
        <x:f>IF('Master'!AD686="","",'Master'!AD686)</x:f>
      </x:c>
      <x:c r="AD27" s="102" t="str">
        <x:f>IF('Master'!AE686="","",'Master'!AE686)</x:f>
      </x:c>
      <x:c r="AE27" s="102" t="str">
        <x:f>IF('Master'!AF686="","",'Master'!AF686)</x:f>
      </x:c>
      <x:c r="AF27" s="75" t="str">
        <x:f>IF('Master'!AG686="","",'Master'!AG686)</x:f>
      </x:c>
    </x:row>
    <x:row r="28" ht="36" customHeight="1">
      <x:c r="A28" s="135" t="str">
        <x:v>Enterprise / Admin AI Disable Controls?</x:v>
      </x:c>
      <x:c r="B28" s="100" t="str">
        <x:f>IF('Master'!C687="","",'Master'!C687)</x:f>
      </x:c>
      <x:c r="C28" s="100" t="str">
        <x:f>IF('Master'!D687="","",'Master'!D687)</x:f>
      </x:c>
      <x:c r="D28" s="100" t="str">
        <x:f>IF('Master'!E687="","",'Master'!E687)</x:f>
      </x:c>
      <x:c r="E28" s="100" t="str">
        <x:f>IF('Master'!F687="","",'Master'!F687)</x:f>
      </x:c>
      <x:c r="F28" s="100" t="str">
        <x:f>IF('Master'!G687="","",'Master'!G687)</x:f>
      </x:c>
      <x:c r="G28" s="100" t="str">
        <x:f>IF('Master'!H687="","",'Master'!H687)</x:f>
      </x:c>
      <x:c r="H28" s="100" t="str">
        <x:f>IF('Master'!I687="","",'Master'!I687)</x:f>
      </x:c>
      <x:c r="I28" s="100" t="str">
        <x:f>IF('Master'!J687="","",'Master'!J687)</x:f>
      </x:c>
      <x:c r="J28" s="100" t="str">
        <x:f>IF('Master'!K687="","",'Master'!K687)</x:f>
      </x:c>
      <x:c r="K28" s="100" t="str">
        <x:f>IF('Master'!L687="","",'Master'!L687)</x:f>
        <x:v>N/A — no native AI feature set</x:v>
      </x:c>
      <x:c r="L28" s="100" t="str">
        <x:f>IF('Master'!M687="","",'Master'!M687)</x:f>
      </x:c>
      <x:c r="M28" s="100" t="str">
        <x:f>IF('Master'!N687="","",'Master'!N687)</x:f>
      </x:c>
      <x:c r="N28" s="100" t="str">
        <x:f>IF('Master'!O687="","",'Master'!O687)</x:f>
      </x:c>
      <x:c r="O28" s="100" t="str">
        <x:f>IF('Master'!P687="","",'Master'!P687)</x:f>
        <x:v>Deployment/plugin dependent</x:v>
      </x:c>
      <x:c r="P28" s="100" t="str">
        <x:f>IF('Master'!Q687="","",'Master'!Q687)</x:f>
      </x:c>
      <x:c r="Q28" s="100" t="str">
        <x:f>IF('Master'!R687="","",'Master'!R687)</x:f>
      </x:c>
      <x:c r="R28" s="100" t="str">
        <x:f>IF('Master'!S687="","",'Master'!S687)</x:f>
      </x:c>
      <x:c r="S28" s="100" t="str">
        <x:f>IF('Master'!T687="","",'Master'!T687)</x:f>
      </x:c>
      <x:c r="T28" s="100" t="str">
        <x:f>IF('Master'!U687="","",'Master'!U687)</x:f>
      </x:c>
      <x:c r="U28" s="100" t="str">
        <x:f>IF('Master'!V687="","",'Master'!V687)</x:f>
      </x:c>
      <x:c r="V28" s="100" t="str">
        <x:f>IF('Master'!W687="","",'Master'!W687)</x:f>
      </x:c>
      <x:c r="W28" s="100" t="str">
        <x:f>IF('Master'!X687="","",'Master'!X687)</x:f>
      </x:c>
      <x:c r="X28" s="100" t="str">
        <x:f>IF('Master'!Y687="","",'Master'!Y687)</x:f>
      </x:c>
      <x:c r="Y28" s="100" t="str">
        <x:f>IF('Master'!Z687="","",'Master'!Z687)</x:f>
      </x:c>
      <x:c r="Z28" s="100" t="str">
        <x:f>IF('Master'!AA687="","",'Master'!AA687)</x:f>
      </x:c>
      <x:c r="AA28" s="104" t="str">
        <x:f>IF('Master'!AB687="","",'Master'!AB687)</x:f>
      </x:c>
      <x:c r="AB28" s="100" t="str">
        <x:f>IF('Master'!AC687="","",'Master'!AC687)</x:f>
      </x:c>
      <x:c r="AC28" s="100" t="str">
        <x:f>IF('Master'!AD687="","",'Master'!AD687)</x:f>
      </x:c>
      <x:c r="AD28" s="100" t="str">
        <x:f>IF('Master'!AE687="","",'Master'!AE687)</x:f>
      </x:c>
      <x:c r="AE28" s="100" t="str">
        <x:f>IF('Master'!AF687="","",'Master'!AF687)</x:f>
      </x:c>
      <x:c r="AF28" s="75" t="str">
        <x:f>IF('Master'!AG687="","",'Master'!AG687)</x:f>
      </x:c>
    </x:row>
    <x:row r="29" ht="23.100000381469727" customHeight="1">
      <x:c r="A29" s="135" t="str">
        <x:v>AI-Generated Content Labeling?</x:v>
      </x:c>
      <x:c r="B29" s="102" t="str">
        <x:f>IF('Master'!C688="","",'Master'!C688)</x:f>
      </x:c>
      <x:c r="C29" s="102" t="str">
        <x:f>IF('Master'!D688="","",'Master'!D688)</x:f>
      </x:c>
      <x:c r="D29" s="102" t="str">
        <x:f>IF('Master'!E688="","",'Master'!E688)</x:f>
      </x:c>
      <x:c r="E29" s="102" t="str">
        <x:f>IF('Master'!F688="","",'Master'!F688)</x:f>
      </x:c>
      <x:c r="F29" s="102" t="str">
        <x:f>IF('Master'!G688="","",'Master'!G688)</x:f>
      </x:c>
      <x:c r="G29" s="102" t="str">
        <x:f>IF('Master'!H688="","",'Master'!H688)</x:f>
      </x:c>
      <x:c r="H29" s="102" t="str">
        <x:f>IF('Master'!I688="","",'Master'!I688)</x:f>
      </x:c>
      <x:c r="I29" s="102" t="str">
        <x:f>IF('Master'!J688="","",'Master'!J688)</x:f>
      </x:c>
      <x:c r="J29" s="102" t="str">
        <x:f>IF('Master'!K688="","",'Master'!K688)</x:f>
      </x:c>
      <x:c r="K29" s="102" t="str">
        <x:f>IF('Master'!L688="","",'Master'!L688)</x:f>
        <x:v>N/A — no native AI feature set</x:v>
      </x:c>
      <x:c r="L29" s="102" t="str">
        <x:f>IF('Master'!M688="","",'Master'!M688)</x:f>
      </x:c>
      <x:c r="M29" s="102" t="str">
        <x:f>IF('Master'!N688="","",'Master'!N688)</x:f>
      </x:c>
      <x:c r="N29" s="102" t="str">
        <x:f>IF('Master'!O688="","",'Master'!O688)</x:f>
      </x:c>
      <x:c r="O29" s="102" t="str">
        <x:f>IF('Master'!P688="","",'Master'!P688)</x:f>
      </x:c>
      <x:c r="P29" s="102" t="str">
        <x:f>IF('Master'!Q688="","",'Master'!Q688)</x:f>
      </x:c>
      <x:c r="Q29" s="102" t="str">
        <x:f>IF('Master'!R688="","",'Master'!R688)</x:f>
      </x:c>
      <x:c r="R29" s="102" t="str">
        <x:f>IF('Master'!S688="","",'Master'!S688)</x:f>
      </x:c>
      <x:c r="S29" s="102" t="str">
        <x:f>IF('Master'!T688="","",'Master'!T688)</x:f>
      </x:c>
      <x:c r="T29" s="102" t="str">
        <x:f>IF('Master'!U688="","",'Master'!U688)</x:f>
      </x:c>
      <x:c r="U29" s="102" t="str">
        <x:f>IF('Master'!V688="","",'Master'!V688)</x:f>
      </x:c>
      <x:c r="V29" s="102" t="str">
        <x:f>IF('Master'!W688="","",'Master'!W688)</x:f>
      </x:c>
      <x:c r="W29" s="102" t="str">
        <x:f>IF('Master'!X688="","",'Master'!X688)</x:f>
      </x:c>
      <x:c r="X29" s="102" t="str">
        <x:f>IF('Master'!Y688="","",'Master'!Y688)</x:f>
      </x:c>
      <x:c r="Y29" s="102" t="str">
        <x:f>IF('Master'!Z688="","",'Master'!Z688)</x:f>
      </x:c>
      <x:c r="Z29" s="102" t="str">
        <x:f>IF('Master'!AA688="","",'Master'!AA688)</x:f>
      </x:c>
      <x:c r="AA29" s="103" t="str">
        <x:f>IF('Master'!AB688="","",'Master'!AB688)</x:f>
      </x:c>
      <x:c r="AB29" s="102" t="str">
        <x:f>IF('Master'!AC688="","",'Master'!AC688)</x:f>
      </x:c>
      <x:c r="AC29" s="102" t="str">
        <x:f>IF('Master'!AD688="","",'Master'!AD688)</x:f>
      </x:c>
      <x:c r="AD29" s="102" t="str">
        <x:f>IF('Master'!AE688="","",'Master'!AE688)</x:f>
      </x:c>
      <x:c r="AE29" s="102" t="str">
        <x:f>IF('Master'!AF688="","",'Master'!AF688)</x:f>
      </x:c>
      <x:c r="AF29" s="75" t="str">
        <x:f>IF('Master'!AG688="","",'Master'!AG688)</x:f>
      </x:c>
    </x:row>
  </x:sheetData>
  <x:mergeCells>
    <x:mergeCell ref="A1:AF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Directory'!A1","Business Model &amp; Sustainability"),"Business Model &amp; Sustainability")</x:f>
        <x:v>Business Model &amp; Sustainability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Primary Funding Source (Self-Funded / Donations / VC / Enterprise)</x:v>
      </x:c>
      <x:c r="B3" s="100" t="str">
        <x:f>IF('Master'!C689="","",'Master'!C689)</x:f>
        <x:v>VC-backed private company + operating revenue from subscriptions, paid products, and sponsored content</x:v>
      </x:c>
      <x:c r="C3" s="100" t="str">
        <x:f>IF('Master'!D689="","",'Master'!D689)</x:f>
        <x:v>Open-source/community project</x:v>
      </x:c>
      <x:c r="D3" s="100" t="str">
        <x:f>IF('Master'!E689="","",'Master'!E689)</x:f>
        <x:v>Donation/community funded; no investors</x:v>
      </x:c>
      <x:c r="E3" s="100" t="str">
        <x:f>IF('Master'!F689="","",'Master'!F689)</x:f>
        <x:v>Small private team</x:v>
      </x:c>
      <x:c r="F3" s="100" t="str">
        <x:f>IF('Master'!G689="","",'Master'!G689)</x:f>
      </x:c>
      <x:c r="G3" s="100" t="str">
        <x:f>IF('Master'!H689="","",'Master'!H689)</x:f>
        <x:v>Subscribers + donors; explicitly no VC/outside investors</x:v>
      </x:c>
      <x:c r="H3" s="100" t="str">
        <x:f>IF('Master'!I689="","",'Master'!I689)</x:f>
        <x:v>Self-funded; LightSpeed Gaming LLC</x:v>
      </x:c>
      <x:c r="I3" s="100" t="str">
        <x:f>IF('Master'!J689="","",'Master'!J689)</x:f>
        <x:v>Volunteer/open-source</x:v>
      </x:c>
      <x:c r="J3" s="100" t="str">
        <x:f>IF('Master'!K689="","",'Master'!K689)</x:f>
        <x:v>Solo/open-source project</x:v>
      </x:c>
      <x:c r="K3" s="100" t="str">
        <x:f>IF('Master'!L689="","",'Master'!L689)</x:f>
        <x:v>Self-funded from developer's other apps/services and day job (developer report)</x:v>
      </x:c>
      <x:c r="L3" s="100" t="str">
        <x:f>IF('Master'!M689="","",'Master'!M689)</x:f>
        <x:v>Community/passion project</x:v>
      </x:c>
      <x:c r="M3" s="100" t="str">
        <x:f>IF('Master'!N689="","",'Master'!N689)</x:f>
      </x:c>
      <x:c r="N3" s="100" t="str">
        <x:f>IF('Master'!O689="","",'Master'!O689)</x:f>
        <x:v>Matrix.org Foundation + ecosystem companies/donations/managed hosting</x:v>
      </x:c>
      <x:c r="O3" s="100" t="str">
        <x:f>IF('Master'!P689="","",'Master'!P689)</x:f>
        <x:v>VC/enterprise-backed commercial company + product revenue</x:v>
      </x:c>
      <x:c r="P3" s="100" t="str">
        <x:f>IF('Master'!Q689="","",'Master'!Q689)</x:f>
        <x:v>Company-backed</x:v>
      </x:c>
      <x:c r="Q3" s="100" t="str">
        <x:f>IF('Master'!R689="","",'Master'!R689)</x:f>
        <x:v>Community open-source project</x:v>
      </x:c>
      <x:c r="R3" s="100" t="str">
        <x:f>IF('Master'!S689="","",'Master'!S689)</x:f>
        <x:v>Donations</x:v>
      </x:c>
      <x:c r="S3" s="100" t="str">
        <x:f>IF('Master'!T689="","",'Master'!T689)</x:f>
      </x:c>
      <x:c r="T3" s="100" t="str">
        <x:f>IF('Master'!U689="","",'Master'!U689)</x:f>
        <x:v>Optional donations; independently run; not VC-backed</x:v>
      </x:c>
      <x:c r="U3" s="100" t="str">
        <x:f>IF('Master'!V689="","",'Master'!V689)</x:f>
        <x:v>Self Funded</x:v>
      </x:c>
      <x:c r="V3" s="100" t="str">
        <x:f>IF('Master'!W689="","",'Master'!W689)</x:f>
        <x:v>VC/enterprise company + subscriptions</x:v>
      </x:c>
      <x:c r="W3" s="100" t="str">
        <x:f>IF('Master'!X689="","",'Master'!X689)</x:f>
        <x:v>Open-source/community project</x:v>
      </x:c>
      <x:c r="X3" s="100" t="str">
        <x:f>IF('Master'!Y689="","",'Master'!Y689)</x:f>
      </x:c>
      <x:c r="Y3" s="100" t="str">
        <x:f>IF('Master'!Z689="","",'Master'!Z689)</x:f>
        <x:v>Community open-source project</x:v>
      </x:c>
      <x:c r="Z3" s="100" t="str">
        <x:f>IF('Master'!AA689="","",'Master'!AA689)</x:f>
      </x:c>
      <x:c r="AA3" s="104" t="str">
        <x:f>IF('Master'!AB689="","",'Master'!AB689)</x:f>
        <x:v>Commercial company</x:v>
      </x:c>
      <x:c r="AB3" s="100" t="str">
        <x:f>IF('Master'!AC689="","",'Master'!AC689)</x:f>
        <x:v>Volunteer/no corporate funding + subscriptions/Patreon</x:v>
      </x:c>
      <x:c r="AC3" s="100" t="str">
        <x:f>IF('Master'!AD689="","",'Master'!AD689)</x:f>
        <x:v>Founder/community project</x:v>
      </x:c>
      <x:c r="AD3" s="100" t="str">
        <x:f>IF('Master'!AE689="","",'Master'!AE689)</x:f>
        <x:v>Solo/private project</x:v>
      </x:c>
      <x:c r="AE3" s="100" t="str">
        <x:f>IF('Master'!AF689="","",'Master'!AF689)</x:f>
        <x:v>Paid licensing + managed hosting</x:v>
      </x:c>
      <x:c r="AF3" s="75" t="str">
        <x:f>IF('Master'!AG689="","",'Master'!AG689)</x:f>
        <x:v>Independent company + subscriptions/support; no VC per project messaging</x:v>
      </x:c>
    </x:row>
    <x:row r="4" ht="36" customHeight="1">
      <x:c r="A4" s="135" t="str">
        <x:v>Monetization Strategy (Free / Nitro-Style Cosmetics / Hosted / Enterprise)</x:v>
      </x:c>
      <x:c r="B4" s="100" t="str">
        <x:f>IF('Master'!C690="","",'Master'!C690)</x:f>
        <x:v>Freemium; Nitro/Nitro Basic, Server Boosts, Shop/paid products, sponsored content/Quests</x:v>
      </x:c>
      <x:c r="C4" s="100" t="str">
        <x:f>IF('Master'!D690="","",'Master'!D690)</x:f>
        <x:v>Free/open source; hosting/relay costs</x:v>
      </x:c>
      <x:c r="D4" s="100" t="str">
        <x:f>IF('Master'!E690="","",'Master'!E690)</x:f>
        <x:v>Free open-source self-hosting</x:v>
      </x:c>
      <x:c r="E4" s="100" t="str">
        <x:f>IF('Master'!F690="","",'Master'!F690)</x:f>
      </x:c>
      <x:c r="F4" s="100" t="str">
        <x:f>IF('Master'!G690="","",'Master'!G690)</x:f>
        <x:v>Freemium; planned Surge $4.99, Flare $9.99, higher creator tier</x:v>
      </x:c>
      <x:c r="G4" s="100" t="str">
        <x:f>IF('Master'!H690="","",'Master'!H690)</x:f>
        <x:v>Freemium + Plutonium subscription + donations</x:v>
      </x:c>
      <x:c r="H4" s="100" t="str">
        <x:f>IF('Master'!I690="","",'Master'!I690)</x:f>
        <x:v>Free hosted use + paid server tiers/self-host licensing</x:v>
      </x:c>
      <x:c r="I4" s="100" t="str">
        <x:f>IF('Master'!J690="","",'Master'!J690)</x:f>
        <x:v>Free/open source</x:v>
      </x:c>
      <x:c r="J4" s="100" t="str">
        <x:f>IF('Master'!K690="","",'Master'!K690)</x:f>
        <x:v>Free/open-source; relay/code-signing costs borne by developer</x:v>
      </x:c>
      <x:c r="K4" s="100" t="str">
        <x:f>IF('Master'!L690="","",'Master'!L690)</x:f>
        <x:v>Free/currently unmonetized; future monetization planned but not yet defined</x:v>
      </x:c>
      <x:c r="L4" s="100" t="str">
        <x:f>IF('Master'!M690="","",'Master'!M690)</x:f>
      </x:c>
      <x:c r="M4" s="100" t="str">
        <x:f>IF('Master'!N690="","",'Master'!N690)</x:f>
      </x:c>
      <x:c r="N4" s="100" t="str">
        <x:f>IF('Master'!O690="","",'Master'!O690)</x:f>
        <x:v>Open protocol; hosted homeservers/enterprise services sold by providers</x:v>
      </x:c>
      <x:c r="O4" s="100" t="str">
        <x:f>IF('Master'!P690="","",'Master'!P690)</x:f>
        <x:v>Self-hosted/cloud enterprise subscriptions + free/open editions</x:v>
      </x:c>
      <x:c r="P4" s="100" t="str">
        <x:f>IF('Master'!Q690="","",'Master'!Q690)</x:f>
        <x:v>Free; no paywalls claimed</x:v>
      </x:c>
      <x:c r="Q4" s="100" t="str">
        <x:f>IF('Master'!R690="","",'Master'!R690)</x:f>
        <x:v>Free open-source; commercial hosting by third parties</x:v>
      </x:c>
      <x:c r="R4" s="100" t="str">
        <x:f>IF('Master'!S690="","",'Master'!S690)</x:f>
        <x:v>Free / donation-funded</x:v>
      </x:c>
      <x:c r="S4" s="100" t="str">
        <x:f>IF('Master'!T690="","",'Master'!T690)</x:f>
      </x:c>
      <x:c r="T4" s="100" t="str">
        <x:f>IF('Master'!U690="","",'Master'!U690)</x:f>
        <x:v>Free hosted service + optional donations + AGPL self-host</x:v>
      </x:c>
      <x:c r="U4" s="100" t="str">
        <x:f>IF('Master'!V690="","",'Master'!V690)</x:f>
        <x:v>Rift+ &amp; Shard Forge/Ember</x:v>
      </x:c>
      <x:c r="V4" s="100" t="str">
        <x:f>IF('Master'!W690="","",'Master'!W690)</x:f>
        <x:v>Cloud + enterprise/self-managed subscriptions + open-source core</x:v>
      </x:c>
      <x:c r="W4" s="100" t="str">
        <x:f>IF('Master'!X690="","",'Master'!X690)</x:f>
        <x:v>Free/open-source</x:v>
      </x:c>
      <x:c r="X4" s="100" t="str">
        <x:f>IF('Master'!Y690="","",'Master'!Y690)</x:f>
        <x:v>Freemium + Sudo subscription / paid perks + developer ecosystem</x:v>
      </x:c>
      <x:c r="Y4" s="100" t="str">
        <x:f>IF('Master'!Z690="","",'Master'!Z690)</x:f>
        <x:v>Free self-hosted software</x:v>
      </x:c>
      <x:c r="Z4" s="100" t="str">
        <x:f>IF('Master'!AA690="","",'Master'!AA690)</x:f>
      </x:c>
      <x:c r="AA4" s="104" t="str">
        <x:f>IF('Master'!AB690="","",'Master'!AB690)</x:f>
        <x:v>Free client/use tiers + server licensing/hosted/community options</x:v>
      </x:c>
      <x:c r="AB4" s="100" t="str">
        <x:f>IF('Master'!AC690="","",'Master'!AC690)</x:f>
        <x:v>Free + optional Stargazer subscriptions</x:v>
      </x:c>
      <x:c r="AC4" s="100" t="str">
        <x:f>IF('Master'!AD690="","",'Master'!AD690)</x:f>
      </x:c>
      <x:c r="AD4" s="100" t="str">
        <x:f>IF('Master'!AE690="","",'Master'!AE690)</x:f>
        <x:v>Core free; private lobby/crew hosting tier ~$6/month; custom builds</x:v>
      </x:c>
      <x:c r="AE4" s="100" t="str">
        <x:f>IF('Master'!AF690="","",'Master'!AF690)</x:f>
        <x:v>Self-host server license + optional hosted trial/service</x:v>
      </x:c>
      <x:c r="AF4" s="75" t="str">
        <x:f>IF('Master'!AG690="","",'Master'!AG690)</x:f>
        <x:v>Cloud subscriptions + paid self-host support; open-source free self-host</x:v>
      </x:c>
    </x:row>
    <x:row r="5" ht="36" customHeight="1">
      <x:c r="A5" s="135" t="str">
        <x:v>Cosmetic Subscription Perks (Nitro-Equivalent)</x:v>
      </x:c>
      <x:c r="B5" s="100" t="str">
        <x:f>IF('Master'!C691="","",'Master'!C691)</x:f>
        <x:v>Yes — Nitro/Nitro Basic; cosmetics, emoji/stickers, themes, larger uploads, HD streaming; Nitro includes boosts</x:v>
      </x:c>
      <x:c r="C5" s="100" t="str">
        <x:f>IF('Master'!D691="","",'Master'!D691)</x:f>
        <x:v>No</x:v>
      </x:c>
      <x:c r="D5" s="100" t="str">
        <x:f>IF('Master'!E691="","",'Master'!E691)</x:f>
        <x:v>No</x:v>
      </x:c>
      <x:c r="E5" s="100" t="str">
        <x:f>IF('Master'!F691="","",'Master'!F691)</x:f>
      </x:c>
      <x:c r="F5" s="100" t="str">
        <x:f>IF('Master'!G691="","",'Master'!G691)</x:f>
        <x:v>Paid tiers planned</x:v>
      </x:c>
      <x:c r="G5" s="100" t="str">
        <x:f>IF('Master'!H691="","",'Master'!H691)</x:f>
        <x:v>Plutonium perks incl. higher upload/streaming limits</x:v>
      </x:c>
      <x:c r="H5" s="100" t="str">
        <x:f>IF('Master'!I691="","",'Master'!I691)</x:f>
        <x:v>Paid server tiers/quality upgrades</x:v>
      </x:c>
      <x:c r="I5" s="100" t="str">
        <x:f>IF('Master'!J691="","",'Master'!J691)</x:f>
        <x:v>No</x:v>
      </x:c>
      <x:c r="J5" s="100" t="str">
        <x:f>IF('Master'!K691="","",'Master'!K691)</x:f>
        <x:v>No</x:v>
      </x:c>
      <x:c r="K5" s="100" t="str">
        <x:f>IF('Master'!L691="","",'Master'!L691)</x:f>
        <x:v>No current paid cosmetic subscription</x:v>
      </x:c>
      <x:c r="L5" s="100" t="str">
        <x:f>IF('Master'!M691="","",'Master'!M691)</x:f>
        <x:v>No ads</x:v>
      </x:c>
      <x:c r="M5" s="100" t="str">
        <x:f>IF('Master'!N691="","",'Master'!N691)</x:f>
      </x:c>
      <x:c r="N5" s="100" t="str">
        <x:f>IF('Master'!O691="","",'Master'!O691)</x:f>
        <x:v>Client/provider-specific</x:v>
      </x:c>
      <x:c r="O5" s="100" t="str">
        <x:f>IF('Master'!P691="","",'Master'!P691)</x:f>
        <x:v>N/A</x:v>
      </x:c>
      <x:c r="P5" s="100" t="str">
        <x:f>IF('Master'!Q691="","",'Master'!Q691)</x:f>
        <x:v>No Nitro-style paywall</x:v>
      </x:c>
      <x:c r="Q5" s="100" t="str">
        <x:f>IF('Master'!R691="","",'Master'!R691)</x:f>
        <x:v>N/A</x:v>
      </x:c>
      <x:c r="R5" s="100" t="str">
        <x:f>IF('Master'!S691="","",'Master'!S691)</x:f>
        <x:v>No Nitro-style requirement known</x:v>
      </x:c>
      <x:c r="S5" s="100" t="str">
        <x:f>IF('Master'!T691="","",'Master'!T691)</x:f>
      </x:c>
      <x:c r="T5" s="100" t="str">
        <x:f>IF('Master'!U691="","",'Master'!U691)</x:f>
        <x:v>None — donations unlock nothing</x:v>
      </x:c>
      <x:c r="U5" s="100" t="str">
        <x:f>IF('Master'!V691="","",'Master'!V691)</x:f>
        <x:v>No</x:v>
      </x:c>
      <x:c r="V5" s="100" t="str">
        <x:f>IF('Master'!W691="","",'Master'!W691)</x:f>
        <x:v>N/A</x:v>
      </x:c>
      <x:c r="W5" s="100" t="str">
        <x:f>IF('Master'!X691="","",'Master'!X691)</x:f>
        <x:v>No</x:v>
      </x:c>
      <x:c r="X5" s="100" t="str">
        <x:f>IF('Master'!Y691="","",'Master'!Y691)</x:f>
      </x:c>
      <x:c r="Y5" s="100" t="str">
        <x:f>IF('Master'!Z691="","",'Master'!Z691)</x:f>
        <x:v>N/A</x:v>
      </x:c>
      <x:c r="Z5" s="100" t="str">
        <x:f>IF('Master'!AA691="","",'Master'!AA691)</x:f>
      </x:c>
      <x:c r="AA5" s="104" t="str">
        <x:f>IF('Master'!AB691="","",'Master'!AB691)</x:f>
      </x:c>
      <x:c r="AB5" s="100" t="str">
        <x:f>IF('Master'!AC691="","",'Master'!AC691)</x:f>
        <x:v>Stargazer upload/profile perks</x:v>
      </x:c>
      <x:c r="AC5" s="100" t="str">
        <x:f>IF('Master'!AD691="","",'Master'!AD691)</x:f>
      </x:c>
      <x:c r="AD5" s="100" t="str">
        <x:f>IF('Master'!AE691="","",'Master'!AE691)</x:f>
        <x:v>Paid own lobby/custom</x:v>
      </x:c>
      <x:c r="AE5" s="100" t="str">
        <x:f>IF('Master'!AF691="","",'Master'!AF691)</x:f>
        <x:v>No per-user Nitro focus</x:v>
      </x:c>
      <x:c r="AF5" s="75" t="str">
        <x:f>IF('Master'!AG691="","",'Master'!AG691)</x:f>
        <x:v>N/A</x:v>
      </x:c>
    </x:row>
    <x:row r="6" ht="36" customHeight="1">
      <x:c r="A6" s="135" t="str">
        <x:v>Self-Hosting Minimum Hardware (RAM / CPU per 100 users)</x:v>
      </x:c>
      <x:c r="B6" s="100" t="str">
        <x:f>IF('Master'!C692="","",'Master'!C692)</x:f>
        <x:v>N/A — official self-hosting unsupported</x:v>
      </x:c>
      <x:c r="C6" s="100" t="str">
        <x:f>IF('Master'!D692="","",'Master'!D692)</x:f>
        <x:v>Relay resource dependent</x:v>
      </x:c>
      <x:c r="D6" s="100" t="str">
        <x:f>IF('Master'!E692="","",'Master'!E692)</x:f>
        <x:v>Operator hardware</x:v>
      </x:c>
      <x:c r="E6" s="100" t="str">
        <x:f>IF('Master'!F692="","",'Master'!F692)</x:f>
        <x:v>N/A</x:v>
      </x:c>
      <x:c r="F6" s="100" t="str">
        <x:f>IF('Master'!G692="","",'Master'!G692)</x:f>
        <x:v>N/A — no self-hosting</x:v>
      </x:c>
      <x:c r="G6" s="100" t="str">
        <x:f>IF('Master'!H692="","",'Master'!H692)</x:f>
      </x:c>
      <x:c r="H6" s="100" t="str">
        <x:f>IF('Master'!I692="","",'Master'!I692)</x:f>
      </x:c>
      <x:c r="I6" s="100" t="str">
        <x:f>IF('Master'!J692="","",'Master'!J692)</x:f>
      </x:c>
      <x:c r="J6" s="100" t="str">
        <x:f>IF('Master'!K692="","",'Master'!K692)</x:f>
        <x:v>Relay ~modest VPS; developer reports very high connection capacity</x:v>
      </x:c>
      <x:c r="K6" s="100" t="str">
        <x:f>IF('Master'!L692="","",'Master'!L692)</x:f>
        <x:v>≈2 CPU cores / 4 GB RAM for a small instance (developer report)</x:v>
      </x:c>
      <x:c r="L6" s="100" t="str">
        <x:f>IF('Master'!M692="","",'Master'!M692)</x:f>
        <x:v>N/A</x:v>
      </x:c>
      <x:c r="M6" s="100" t="str">
        <x:f>IF('Master'!N692="","",'Master'!N692)</x:f>
      </x:c>
      <x:c r="N6" s="100" t="str">
        <x:f>IF('Master'!O692="","",'Master'!O692)</x:f>
        <x:v>Varies by homeserver implementation/workload</x:v>
      </x:c>
      <x:c r="O6" s="100" t="str">
        <x:f>IF('Master'!P692="","",'Master'!P692)</x:f>
        <x:v>Varies; official sizing guides available</x:v>
      </x:c>
      <x:c r="P6" s="100" t="str">
        <x:f>IF('Master'!Q692="","",'Master'!Q692)</x:f>
      </x:c>
      <x:c r="Q6" s="100" t="str">
        <x:f>IF('Master'!R692="","",'Master'!R692)</x:f>
      </x:c>
      <x:c r="R6" s="100" t="str">
        <x:f>IF('Master'!S692="","",'Master'!S692)</x:f>
      </x:c>
      <x:c r="S6" s="100" t="str">
        <x:f>IF('Master'!T692="","",'Master'!T692)</x:f>
        <x:v>N/A</x:v>
      </x:c>
      <x:c r="T6" s="100" t="str">
        <x:f>IF('Master'!U692="","",'Master'!U692)</x:f>
      </x:c>
      <x:c r="U6" s="100" t="str">
        <x:f>IF('Master'!V692="","",'Master'!V692)</x:f>
        <x:v>N/A</x:v>
      </x:c>
      <x:c r="V6" s="100" t="str">
        <x:f>IF('Master'!W692="","",'Master'!W692)</x:f>
        <x:v>Varies by deployment</x:v>
      </x:c>
      <x:c r="W6" s="100" t="str">
        <x:f>IF('Master'!X692="","",'Master'!X692)</x:f>
      </x:c>
      <x:c r="X6" s="100" t="str">
        <x:f>IF('Master'!Y692="","",'Master'!Y692)</x:f>
        <x:v>N/A</x:v>
      </x:c>
      <x:c r="Y6" s="100" t="str">
        <x:f>IF('Master'!Z692="","",'Master'!Z692)</x:f>
      </x:c>
      <x:c r="Z6" s="100" t="str">
        <x:f>IF('Master'!AA692="","",'Master'!AA692)</x:f>
      </x:c>
      <x:c r="AA6" s="104" t="str">
        <x:f>IF('Master'!AB692="","",'Master'!AB692)</x:f>
      </x:c>
      <x:c r="AB6" s="100" t="str">
        <x:f>IF('Master'!AC692="","",'Master'!AC692)</x:f>
      </x:c>
      <x:c r="AC6" s="100" t="str">
        <x:f>IF('Master'!AD692="","",'Master'!AD692)</x:f>
      </x:c>
      <x:c r="AD6" s="100" t="str">
        <x:f>IF('Master'!AE692="","",'Master'!AE692)</x:f>
        <x:v>N/A</x:v>
      </x:c>
      <x:c r="AE6" s="100" t="str">
        <x:f>IF('Master'!AF692="","",'Master'!AF692)</x:f>
        <x:v>Operator hardware</x:v>
      </x:c>
      <x:c r="AF6" s="75" t="str">
        <x:f>IF('Master'!AG692="","",'Master'!AG692)</x:f>
        <x:v>Varies; modest for small teams; official sizing depends deployment</x:v>
      </x:c>
    </x:row>
    <x:row r="7" ht="36" customHeight="1">
      <x:c r="A7" s="135" t="str">
        <x:v>Self-Hosting Hardware Requirements (1,000+ users)</x:v>
      </x:c>
      <x:c r="B7" s="100" t="str">
        <x:f>IF('Master'!C693="","",'Master'!C693)</x:f>
        <x:v>N/A — official self-hosting unsupported</x:v>
      </x:c>
      <x:c r="C7" s="100" t="str">
        <x:f>IF('Master'!D693="","",'Master'!D693)</x:f>
        <x:v>Relay resource dependent</x:v>
      </x:c>
      <x:c r="D7" s="100" t="str">
        <x:f>IF('Master'!E693="","",'Master'!E693)</x:f>
        <x:v>Operator hardware</x:v>
      </x:c>
      <x:c r="E7" s="100" t="str">
        <x:f>IF('Master'!F693="","",'Master'!F693)</x:f>
        <x:v>N/A</x:v>
      </x:c>
      <x:c r="F7" s="100" t="str">
        <x:f>IF('Master'!G693="","",'Master'!G693)</x:f>
        <x:v>N/A — no self-hosting</x:v>
      </x:c>
      <x:c r="G7" s="100" t="str">
        <x:f>IF('Master'!H693="","",'Master'!H693)</x:f>
      </x:c>
      <x:c r="H7" s="100" t="str">
        <x:f>IF('Master'!I693="","",'Master'!I693)</x:f>
      </x:c>
      <x:c r="I7" s="100" t="str">
        <x:f>IF('Master'!J693="","",'Master'!J693)</x:f>
      </x:c>
      <x:c r="J7" s="100" t="str">
        <x:f>IF('Master'!K693="","",'Master'!K693)</x:f>
      </x:c>
      <x:c r="K7" s="100" t="str">
        <x:f>IF('Master'!L693="","",'Master'!L693)</x:f>
        <x:v>Not published</x:v>
      </x:c>
      <x:c r="L7" s="100" t="str">
        <x:f>IF('Master'!M693="","",'Master'!M693)</x:f>
        <x:v>N/A</x:v>
      </x:c>
      <x:c r="M7" s="100" t="str">
        <x:f>IF('Master'!N693="","",'Master'!N693)</x:f>
      </x:c>
      <x:c r="N7" s="100" t="str">
        <x:f>IF('Master'!O693="","",'Master'!O693)</x:f>
        <x:v>Varies widely</x:v>
      </x:c>
      <x:c r="O7" s="100" t="str">
        <x:f>IF('Master'!P693="","",'Master'!P693)</x:f>
        <x:v>Varies; official sizing guides available</x:v>
      </x:c>
      <x:c r="P7" s="100" t="str">
        <x:f>IF('Master'!Q693="","",'Master'!Q693)</x:f>
      </x:c>
      <x:c r="Q7" s="100" t="str">
        <x:f>IF('Master'!R693="","",'Master'!R693)</x:f>
      </x:c>
      <x:c r="R7" s="100" t="str">
        <x:f>IF('Master'!S693="","",'Master'!S693)</x:f>
      </x:c>
      <x:c r="S7" s="100" t="str">
        <x:f>IF('Master'!T693="","",'Master'!T693)</x:f>
        <x:v>N/A</x:v>
      </x:c>
      <x:c r="T7" s="100" t="str">
        <x:f>IF('Master'!U693="","",'Master'!U693)</x:f>
      </x:c>
      <x:c r="U7" s="100" t="str">
        <x:f>IF('Master'!V693="","",'Master'!V693)</x:f>
        <x:v>N/A</x:v>
      </x:c>
      <x:c r="V7" s="100" t="str">
        <x:f>IF('Master'!W693="","",'Master'!W693)</x:f>
        <x:v>Varies by deployment</x:v>
      </x:c>
      <x:c r="W7" s="100" t="str">
        <x:f>IF('Master'!X693="","",'Master'!X693)</x:f>
      </x:c>
      <x:c r="X7" s="100" t="str">
        <x:f>IF('Master'!Y693="","",'Master'!Y693)</x:f>
        <x:v>N/A</x:v>
      </x:c>
      <x:c r="Y7" s="100" t="str">
        <x:f>IF('Master'!Z693="","",'Master'!Z693)</x:f>
      </x:c>
      <x:c r="Z7" s="100" t="str">
        <x:f>IF('Master'!AA693="","",'Master'!AA693)</x:f>
      </x:c>
      <x:c r="AA7" s="104" t="str">
        <x:f>IF('Master'!AB693="","",'Master'!AB693)</x:f>
      </x:c>
      <x:c r="AB7" s="100" t="str">
        <x:f>IF('Master'!AC693="","",'Master'!AC693)</x:f>
      </x:c>
      <x:c r="AC7" s="100" t="str">
        <x:f>IF('Master'!AD693="","",'Master'!AD693)</x:f>
      </x:c>
      <x:c r="AD7" s="100" t="str">
        <x:f>IF('Master'!AE693="","",'Master'!AE693)</x:f>
        <x:v>N/A</x:v>
      </x:c>
      <x:c r="AE7" s="100" t="str">
        <x:f>IF('Master'!AF693="","",'Master'!AF693)</x:f>
        <x:v>Operator hardware</x:v>
      </x:c>
      <x:c r="AF7" s="75" t="str">
        <x:f>IF('Master'!AG693="","",'Master'!AG693)</x:f>
        <x:v>Varies</x:v>
      </x:c>
    </x:row>
    <x:row r="8" ht="36" customHeight="1">
      <x:c r="A8" s="135" t="str">
        <x:v>Financial Longevity / Abandonment Risk</x:v>
      </x:c>
      <x:c r="B8" s="100" t="str">
        <x:f>IF('Master'!C694="","",'Master'!C694)</x:f>
      </x:c>
      <x:c r="C8" s="100" t="str">
        <x:f>IF('Master'!D694="","",'Master'!D694)</x:f>
        <x:v>Early but architecture minimizes central hosting dependence</x:v>
      </x:c>
      <x:c r="D8" s="100" t="str">
        <x:f>IF('Master'!E694="","",'Master'!E694)</x:f>
        <x:v>Active solo-led open-source project</x:v>
      </x:c>
      <x:c r="E8" s="100" t="str">
        <x:f>IF('Master'!F694="","",'Master'!F694)</x:f>
        <x:v>Early product</x:v>
      </x:c>
      <x:c r="F8" s="100" t="str">
        <x:f>IF('Master'!G694="","",'Master'!G694)</x:f>
        <x:v>Very early alpha; sustainability depends on adoption/subscriptions</x:v>
      </x:c>
      <x:c r="G8" s="100" t="str">
        <x:f>IF('Master'!H694="","",'Master'!H694)</x:f>
      </x:c>
      <x:c r="H8" s="100" t="str">
        <x:f>IF('Master'!I694="","",'Master'!I694)</x:f>
        <x:v>Founder states no investors; long-running voice-hosting background</x:v>
      </x:c>
      <x:c r="I8" s="100" t="str">
        <x:f>IF('Master'!J694="","",'Master'!J694)</x:f>
        <x:v>Early volunteer project</x:v>
      </x:c>
      <x:c r="J8" s="100" t="str">
        <x:f>IF('Master'!K694="","",'Master'!K694)</x:f>
        <x:v>Solo-project sustainability risk</x:v>
      </x:c>
      <x:c r="K8" s="100" t="str">
        <x:f>IF('Master'!L694="","",'Master'!L694)</x:f>
        <x:v>Active/self-funded but solo-developer bus factor is the main sustainability risk</x:v>
      </x:c>
      <x:c r="L8" s="100" t="str">
        <x:f>IF('Master'!M694="","",'Master'!M694)</x:f>
      </x:c>
      <x:c r="M8" s="100" t="str">
        <x:f>IF('Master'!N694="","",'Master'!N694)</x:f>
        <x:v>Early-stage</x:v>
      </x:c>
      <x:c r="N8" s="100" t="str">
        <x:f>IF('Master'!O694="","",'Master'!O694)</x:f>
        <x:v>Protocol longevity supported by open standard + multi-vendor ecosystem; individual providers vary</x:v>
      </x:c>
      <x:c r="O8" s="100" t="str">
        <x:f>IF('Master'!P694="","",'Master'!P694)</x:f>
      </x:c>
      <x:c r="P8" s="100" t="str">
        <x:f>IF('Master'!Q694="","",'Master'!Q694)</x:f>
        <x:v>Active company/product</x:v>
      </x:c>
      <x:c r="Q8" s="100" t="str">
        <x:f>IF('Master'!R694="","",'Master'!R694)</x:f>
        <x:v>Long-running mature open-source project</x:v>
      </x:c>
      <x:c r="R8" s="100" t="str">
        <x:f>IF('Master'!S694="","",'Master'!S694)</x:f>
        <x:v>Small hobby project; continuity depends on maintainers/donations</x:v>
      </x:c>
      <x:c r="S8" s="100" t="str">
        <x:f>IF('Master'!T694="","",'Master'!T694)</x:f>
      </x:c>
      <x:c r="T8" s="100" t="str">
        <x:f>IF('Master'!U694="","",'Master'!U694)</x:f>
        <x:v>Young beta; independently run; no VC backing claimed</x:v>
      </x:c>
      <x:c r="U8" s="100" t="str">
        <x:f>IF('Master'!V694="","",'Master'!V694)</x:f>
        <x:v>Early private product</x:v>
      </x:c>
      <x:c r="V8" s="100" t="str">
        <x:f>IF('Master'!W694="","",'Master'!W694)</x:f>
        <x:v>Established enterprise/open-source vendor</x:v>
      </x:c>
      <x:c r="W8" s="100" t="str">
        <x:f>IF('Master'!X694="","",'Master'!X694)</x:f>
        <x:v>Experimental project</x:v>
      </x:c>
      <x:c r="X8" s="100" t="str">
        <x:f>IF('Master'!Y694="","",'Master'!Y694)</x:f>
      </x:c>
      <x:c r="Y8" s="100" t="str">
        <x:f>IF('Master'!Z694="","",'Master'!Z694)</x:f>
        <x:v>Volunteer-project continuity risk higher than established vendors</x:v>
      </x:c>
      <x:c r="Z8" s="100" t="str">
        <x:f>IF('Master'!AA694="","",'Master'!AA694)</x:f>
      </x:c>
      <x:c r="AA8" s="104" t="str">
        <x:f>IF('Master'!AB694="","",'Master'!AB694)</x:f>
        <x:v>Mature long-lived commercial product</x:v>
      </x:c>
      <x:c r="AB8" s="100" t="str">
        <x:f>IF('Master'!AC694="","",'Master'!AC694)</x:f>
        <x:v>Open-source + optional subscription support</x:v>
      </x:c>
      <x:c r="AC8" s="100" t="str">
        <x:f>IF('Master'!AD694="","",'Master'!AD694)</x:f>
        <x:v>Experimental project risk</x:v>
      </x:c>
      <x:c r="AD8" s="100" t="str">
        <x:f>IF('Master'!AE694="","",'Master'!AE694)</x:f>
        <x:v>Early solo project</x:v>
      </x:c>
      <x:c r="AE8" s="100" t="str">
        <x:f>IF('Master'!AF694="","",'Master'!AF694)</x:f>
        <x:v>Business funded by licenses/hosting</x:v>
      </x:c>
      <x:c r="AF8" s="75" t="str">
        <x:f>IF('Master'!AG694="","",'Master'!AG694)</x:f>
        <x:v>Established open-source + commercial support model</x:v>
      </x:c>
    </x:row>
    <x:row r="9" ht="23.100000381469727" customHeight="1">
      <x:c r="A9" s="135" t="str">
        <x:v>Revenue Mix &amp; Pricing Transparency</x:v>
      </x:c>
      <x:c r="B9" s="102" t="str">
        <x:f>IF('Master'!C695="","",'Master'!C695)</x:f>
      </x:c>
      <x:c r="C9" s="102" t="str">
        <x:f>IF('Master'!D695="","",'Master'!D695)</x:f>
      </x:c>
      <x:c r="D9" s="102" t="str">
        <x:f>IF('Master'!E695="","",'Master'!E695)</x:f>
      </x:c>
      <x:c r="E9" s="102" t="str">
        <x:f>IF('Master'!F695="","",'Master'!F695)</x:f>
      </x:c>
      <x:c r="F9" s="102" t="str">
        <x:f>IF('Master'!G695="","",'Master'!G695)</x:f>
      </x:c>
      <x:c r="G9" s="102" t="str">
        <x:f>IF('Master'!H695="","",'Master'!H695)</x:f>
      </x:c>
      <x:c r="H9" s="102" t="str">
        <x:f>IF('Master'!I695="","",'Master'!I695)</x:f>
      </x:c>
      <x:c r="I9" s="102" t="str">
        <x:f>IF('Master'!J695="","",'Master'!J695)</x:f>
      </x:c>
      <x:c r="J9" s="102" t="str">
        <x:f>IF('Master'!K695="","",'Master'!K695)</x:f>
      </x:c>
      <x:c r="K9" s="102" t="str">
        <x:f>IF('Master'!L695="","",'Master'!L695)</x:f>
        <x:v>No current revenue; funding comes from developer's other businesses/services and employment</x:v>
      </x:c>
      <x:c r="L9" s="102" t="str">
        <x:f>IF('Master'!M695="","",'Master'!M695)</x:f>
      </x:c>
      <x:c r="M9" s="102" t="str">
        <x:f>IF('Master'!N695="","",'Master'!N695)</x:f>
      </x:c>
      <x:c r="N9" s="102" t="str">
        <x:f>IF('Master'!O695="","",'Master'!O695)</x:f>
      </x:c>
      <x:c r="O9" s="102" t="str">
        <x:f>IF('Master'!P695="","",'Master'!P695)</x:f>
      </x:c>
      <x:c r="P9" s="102" t="str">
        <x:f>IF('Master'!Q695="","",'Master'!Q695)</x:f>
      </x:c>
      <x:c r="Q9" s="102" t="str">
        <x:f>IF('Master'!R695="","",'Master'!R695)</x:f>
      </x:c>
      <x:c r="R9" s="102" t="str">
        <x:f>IF('Master'!S695="","",'Master'!S695)</x:f>
      </x:c>
      <x:c r="S9" s="102" t="str">
        <x:f>IF('Master'!T695="","",'Master'!T695)</x:f>
      </x:c>
      <x:c r="T9" s="102" t="str">
        <x:f>IF('Master'!U695="","",'Master'!U695)</x:f>
        <x:v>Free hosted; donations are optional and unlock nothing; not VC-backed</x:v>
      </x:c>
      <x:c r="U9" s="102" t="str">
        <x:f>IF('Master'!V695="","",'Master'!V695)</x:f>
      </x:c>
      <x:c r="V9" s="102" t="str">
        <x:f>IF('Master'!W695="","",'Master'!W695)</x:f>
      </x:c>
      <x:c r="W9" s="102" t="str">
        <x:f>IF('Master'!X695="","",'Master'!X695)</x:f>
      </x:c>
      <x:c r="X9" s="102" t="str">
        <x:f>IF('Master'!Y695="","",'Master'!Y695)</x:f>
      </x:c>
      <x:c r="Y9" s="102" t="str">
        <x:f>IF('Master'!Z695="","",'Master'!Z695)</x:f>
      </x:c>
      <x:c r="Z9" s="102" t="str">
        <x:f>IF('Master'!AA695="","",'Master'!AA695)</x:f>
      </x:c>
      <x:c r="AA9" s="103" t="str">
        <x:f>IF('Master'!AB695="","",'Master'!AB695)</x:f>
      </x:c>
      <x:c r="AB9" s="102" t="str">
        <x:f>IF('Master'!AC695="","",'Master'!AC695)</x:f>
      </x:c>
      <x:c r="AC9" s="102" t="str">
        <x:f>IF('Master'!AD695="","",'Master'!AD695)</x:f>
      </x:c>
      <x:c r="AD9" s="102" t="str">
        <x:f>IF('Master'!AE695="","",'Master'!AE695)</x:f>
      </x:c>
      <x:c r="AE9" s="102" t="str">
        <x:f>IF('Master'!AF695="","",'Master'!AF695)</x:f>
      </x:c>
      <x:c r="AF9" s="75" t="str">
        <x:f>IF('Master'!AG695="","",'Master'!AG695)</x:f>
      </x:c>
    </x:row>
    <x:row r="10" ht="36" customHeight="1">
      <x:c r="A10" s="135" t="str">
        <x:v>Free Hosted Tier / Free Use</x:v>
      </x:c>
      <x:c r="B10" s="100" t="str">
        <x:f>IF('Master'!C696="","",'Master'!C696)</x:f>
        <x:v>Yes</x:v>
      </x:c>
      <x:c r="C10" s="100" t="str">
        <x:f>IF('Master'!D696="","",'Master'!D696)</x:f>
        <x:v>Yes</x:v>
      </x:c>
      <x:c r="D10" s="100" t="str">
        <x:f>IF('Master'!E696="","",'Master'!E696)</x:f>
        <x:v>Yes</x:v>
      </x:c>
      <x:c r="E10" s="100" t="str">
        <x:f>IF('Master'!F696="","",'Master'!F696)</x:f>
      </x:c>
      <x:c r="F10" s="100" t="str">
        <x:f>IF('Master'!G696="","",'Master'!G696)</x:f>
        <x:v>Yes</x:v>
      </x:c>
      <x:c r="G10" s="100" t="str">
        <x:f>IF('Master'!H696="","",'Master'!H696)</x:f>
        <x:v>Yes</x:v>
      </x:c>
      <x:c r="H10" s="100" t="str">
        <x:f>IF('Master'!I696="","",'Master'!I696)</x:f>
        <x:v>Yes</x:v>
      </x:c>
      <x:c r="I10" s="100" t="str">
        <x:f>IF('Master'!J696="","",'Master'!J696)</x:f>
        <x:v>Yes</x:v>
      </x:c>
      <x:c r="J10" s="100" t="str">
        <x:f>IF('Master'!K696="","",'Master'!K696)</x:f>
        <x:v>Yes</x:v>
      </x:c>
      <x:c r="K10" s="100" t="str">
        <x:f>IF('Master'!L696="","",'Master'!L696)</x:f>
        <x:v>Yes — official instance currently free; MIT self-hosting is free</x:v>
      </x:c>
      <x:c r="L10" s="100" t="str">
        <x:f>IF('Master'!M696="","",'Master'!M696)</x:f>
      </x:c>
      <x:c r="M10" s="100" t="str">
        <x:f>IF('Master'!N696="","",'Master'!N696)</x:f>
      </x:c>
      <x:c r="N10" s="100" t="str">
        <x:f>IF('Master'!O696="","",'Master'!O696)</x:f>
        <x:v>Yes</x:v>
      </x:c>
      <x:c r="O10" s="100" t="str">
        <x:f>IF('Master'!P696="","",'Master'!P696)</x:f>
        <x:v>Yes</x:v>
      </x:c>
      <x:c r="P10" s="100" t="str">
        <x:f>IF('Master'!Q696="","",'Master'!Q696)</x:f>
        <x:v>Yes</x:v>
      </x:c>
      <x:c r="Q10" s="100" t="str">
        <x:f>IF('Master'!R696="","",'Master'!R696)</x:f>
        <x:v>Yes</x:v>
      </x:c>
      <x:c r="R10" s="100" t="str">
        <x:f>IF('Master'!S696="","",'Master'!S696)</x:f>
        <x:v>Yes</x:v>
      </x:c>
      <x:c r="S10" s="100" t="str">
        <x:f>IF('Master'!T696="","",'Master'!T696)</x:f>
      </x:c>
      <x:c r="T10" s="100" t="str">
        <x:f>IF('Master'!U696="","",'Master'!U696)</x:f>
        <x:v>Yes</x:v>
      </x:c>
      <x:c r="U10" s="100" t="str">
        <x:f>IF('Master'!V696="","",'Master'!V696)</x:f>
        <x:v>Yes</x:v>
      </x:c>
      <x:c r="V10" s="100" t="str">
        <x:f>IF('Master'!W696="","",'Master'!W696)</x:f>
        <x:v>Yes</x:v>
      </x:c>
      <x:c r="W10" s="100" t="str">
        <x:f>IF('Master'!X696="","",'Master'!X696)</x:f>
        <x:v>Yes</x:v>
      </x:c>
      <x:c r="X10" s="100" t="str">
        <x:f>IF('Master'!Y696="","",'Master'!Y696)</x:f>
        <x:v>Yes</x:v>
      </x:c>
      <x:c r="Y10" s="100" t="str">
        <x:f>IF('Master'!Z696="","",'Master'!Z696)</x:f>
        <x:v>Yes</x:v>
      </x:c>
      <x:c r="Z10" s="100" t="str">
        <x:f>IF('Master'!AA696="","",'Master'!AA696)</x:f>
        <x:v>Yes</x:v>
      </x:c>
      <x:c r="AA10" s="104" t="str">
        <x:f>IF('Master'!AB696="","",'Master'!AB696)</x:f>
        <x:v>Yes</x:v>
      </x:c>
      <x:c r="AB10" s="100" t="str">
        <x:f>IF('Master'!AC696="","",'Master'!AC696)</x:f>
      </x:c>
      <x:c r="AC10" s="100" t="str">
        <x:f>IF('Master'!AD696="","",'Master'!AD696)</x:f>
      </x:c>
      <x:c r="AD10" s="100" t="str">
        <x:f>IF('Master'!AE696="","",'Master'!AE696)</x:f>
        <x:v>Yes</x:v>
      </x:c>
      <x:c r="AE10" s="100" t="str">
        <x:f>IF('Master'!AF696="","",'Master'!AF696)</x:f>
      </x:c>
      <x:c r="AF10" s="75" t="str">
        <x:f>IF('Master'!AG696="","",'Master'!AG696)</x:f>
        <x:v>Yes</x:v>
      </x:c>
    </x:row>
    <x:row r="11" ht="36" customHeight="1">
      <x:c r="A11" s="135" t="str">
        <x:v>User Subscription Model</x:v>
      </x:c>
      <x:c r="B11" s="100" t="str">
        <x:f>IF('Master'!C697="","",'Master'!C697)</x:f>
        <x:v>Yes</x:v>
      </x:c>
      <x:c r="C11" s="100" t="str">
        <x:f>IF('Master'!D697="","",'Master'!D697)</x:f>
      </x:c>
      <x:c r="D11" s="100" t="str">
        <x:f>IF('Master'!E697="","",'Master'!E697)</x:f>
      </x:c>
      <x:c r="E11" s="100" t="str">
        <x:f>IF('Master'!F697="","",'Master'!F697)</x:f>
      </x:c>
      <x:c r="F11" s="100" t="str">
        <x:f>IF('Master'!G697="","",'Master'!G697)</x:f>
        <x:v>Planned</x:v>
      </x:c>
      <x:c r="G11" s="100" t="str">
        <x:f>IF('Master'!H697="","",'Master'!H697)</x:f>
        <x:v>Yes</x:v>
      </x:c>
      <x:c r="H11" s="100" t="str">
        <x:f>IF('Master'!I697="","",'Master'!I697)</x:f>
      </x:c>
      <x:c r="I11" s="100" t="str">
        <x:f>IF('Master'!J697="","",'Master'!J697)</x:f>
      </x:c>
      <x:c r="J11" s="100" t="str">
        <x:f>IF('Master'!K697="","",'Master'!K697)</x:f>
      </x:c>
      <x:c r="K11" s="100" t="str">
        <x:f>IF('Master'!L697="","",'Master'!L697)</x:f>
        <x:v>No current user subscription</x:v>
      </x:c>
      <x:c r="L11" s="100" t="str">
        <x:f>IF('Master'!M697="","",'Master'!M697)</x:f>
      </x:c>
      <x:c r="M11" s="100" t="str">
        <x:f>IF('Master'!N697="","",'Master'!N697)</x:f>
      </x:c>
      <x:c r="N11" s="100" t="str">
        <x:f>IF('Master'!O697="","",'Master'!O697)</x:f>
      </x:c>
      <x:c r="O11" s="100" t="str">
        <x:f>IF('Master'!P697="","",'Master'!P697)</x:f>
      </x:c>
      <x:c r="P11" s="100" t="str">
        <x:f>IF('Master'!Q697="","",'Master'!Q697)</x:f>
      </x:c>
      <x:c r="Q11" s="100" t="str">
        <x:f>IF('Master'!R697="","",'Master'!R697)</x:f>
      </x:c>
      <x:c r="R11" s="100" t="str">
        <x:f>IF('Master'!S697="","",'Master'!S697)</x:f>
      </x:c>
      <x:c r="S11" s="100" t="str">
        <x:f>IF('Master'!T697="","",'Master'!T697)</x:f>
      </x:c>
      <x:c r="T11" s="100" t="str">
        <x:f>IF('Master'!U697="","",'Master'!U697)</x:f>
        <x:v>No public subscription</x:v>
      </x:c>
      <x:c r="U11" s="100" t="str">
        <x:f>IF('Master'!V697="","",'Master'!V697)</x:f>
        <x:v>Yes</x:v>
      </x:c>
      <x:c r="V11" s="100" t="str">
        <x:f>IF('Master'!W697="","",'Master'!W697)</x:f>
      </x:c>
      <x:c r="W11" s="100" t="str">
        <x:f>IF('Master'!X697="","",'Master'!X697)</x:f>
      </x:c>
      <x:c r="X11" s="100" t="str">
        <x:f>IF('Master'!Y697="","",'Master'!Y697)</x:f>
        <x:v>Yes</x:v>
      </x:c>
      <x:c r="Y11" s="100" t="str">
        <x:f>IF('Master'!Z697="","",'Master'!Z697)</x:f>
      </x:c>
      <x:c r="Z11" s="100" t="str">
        <x:f>IF('Master'!AA697="","",'Master'!AA697)</x:f>
      </x:c>
      <x:c r="AA11" s="104" t="str">
        <x:f>IF('Master'!AB697="","",'Master'!AB697)</x:f>
      </x:c>
      <x:c r="AB11" s="100" t="str">
        <x:f>IF('Master'!AC697="","",'Master'!AC697)</x:f>
        <x:v>Yes</x:v>
      </x:c>
      <x:c r="AC11" s="100" t="str">
        <x:f>IF('Master'!AD697="","",'Master'!AD697)</x:f>
      </x:c>
      <x:c r="AD11" s="100" t="str">
        <x:f>IF('Master'!AE697="","",'Master'!AE697)</x:f>
      </x:c>
      <x:c r="AE11" s="100" t="str">
        <x:f>IF('Master'!AF697="","",'Master'!AF697)</x:f>
      </x:c>
      <x:c r="AF11" s="75" t="str">
        <x:f>IF('Master'!AG697="","",'Master'!AG697)</x:f>
      </x:c>
    </x:row>
    <x:row r="12" ht="36" customHeight="1">
      <x:c r="A12" s="135" t="str">
        <x:v>Community / Server Subscription</x:v>
      </x:c>
      <x:c r="B12" s="100" t="str">
        <x:f>IF('Master'!C698="","",'Master'!C698)</x:f>
        <x:v>Yes</x:v>
      </x:c>
      <x:c r="C12" s="100" t="str">
        <x:f>IF('Master'!D698="","",'Master'!D698)</x:f>
      </x:c>
      <x:c r="D12" s="100" t="str">
        <x:f>IF('Master'!E698="","",'Master'!E698)</x:f>
      </x:c>
      <x:c r="E12" s="100" t="str">
        <x:f>IF('Master'!F698="","",'Master'!F698)</x:f>
      </x:c>
      <x:c r="F12" s="100" t="str">
        <x:f>IF('Master'!G698="","",'Master'!G698)</x:f>
      </x:c>
      <x:c r="G12" s="100" t="str">
        <x:f>IF('Master'!H698="","",'Master'!H698)</x:f>
      </x:c>
      <x:c r="H12" s="100" t="str">
        <x:f>IF('Master'!I698="","",'Master'!I698)</x:f>
        <x:v>Yes</x:v>
      </x:c>
      <x:c r="I12" s="100" t="str">
        <x:f>IF('Master'!J698="","",'Master'!J698)</x:f>
      </x:c>
      <x:c r="J12" s="100" t="str">
        <x:f>IF('Master'!K698="","",'Master'!K698)</x:f>
      </x:c>
      <x:c r="K12" s="100" t="str">
        <x:f>IF('Master'!L698="","",'Master'!L698)</x:f>
        <x:v>No current community/server subscription</x:v>
      </x:c>
      <x:c r="L12" s="100" t="str">
        <x:f>IF('Master'!M698="","",'Master'!M698)</x:f>
      </x:c>
      <x:c r="M12" s="100" t="str">
        <x:f>IF('Master'!N698="","",'Master'!N698)</x:f>
      </x:c>
      <x:c r="N12" s="100" t="str">
        <x:f>IF('Master'!O698="","",'Master'!O698)</x:f>
      </x:c>
      <x:c r="O12" s="100" t="str">
        <x:f>IF('Master'!P698="","",'Master'!P698)</x:f>
      </x:c>
      <x:c r="P12" s="100" t="str">
        <x:f>IF('Master'!Q698="","",'Master'!Q698)</x:f>
      </x:c>
      <x:c r="Q12" s="100" t="str">
        <x:f>IF('Master'!R698="","",'Master'!R698)</x:f>
      </x:c>
      <x:c r="R12" s="100" t="str">
        <x:f>IF('Master'!S698="","",'Master'!S698)</x:f>
      </x:c>
      <x:c r="S12" s="100" t="str">
        <x:f>IF('Master'!T698="","",'Master'!T698)</x:f>
      </x:c>
      <x:c r="T12" s="100" t="str">
        <x:f>IF('Master'!U698="","",'Master'!U698)</x:f>
        <x:v>No public paid community tier</x:v>
      </x:c>
      <x:c r="U12" s="100" t="str">
        <x:f>IF('Master'!V698="","",'Master'!V698)</x:f>
        <x:v>Yes</x:v>
      </x:c>
      <x:c r="V12" s="100" t="str">
        <x:f>IF('Master'!W698="","",'Master'!W698)</x:f>
      </x:c>
      <x:c r="W12" s="100" t="str">
        <x:f>IF('Master'!X698="","",'Master'!X698)</x:f>
      </x:c>
      <x:c r="X12" s="100" t="str">
        <x:f>IF('Master'!Y698="","",'Master'!Y698)</x:f>
      </x:c>
      <x:c r="Y12" s="100" t="str">
        <x:f>IF('Master'!Z698="","",'Master'!Z698)</x:f>
      </x:c>
      <x:c r="Z12" s="100" t="str">
        <x:f>IF('Master'!AA698="","",'Master'!AA698)</x:f>
      </x:c>
      <x:c r="AA12" s="104" t="str">
        <x:f>IF('Master'!AB698="","",'Master'!AB698)</x:f>
        <x:v>Yes</x:v>
      </x:c>
      <x:c r="AB12" s="100" t="str">
        <x:f>IF('Master'!AC698="","",'Master'!AC698)</x:f>
      </x:c>
      <x:c r="AC12" s="100" t="str">
        <x:f>IF('Master'!AD698="","",'Master'!AD698)</x:f>
      </x:c>
      <x:c r="AD12" s="100" t="str">
        <x:f>IF('Master'!AE698="","",'Master'!AE698)</x:f>
        <x:v>Yes</x:v>
      </x:c>
      <x:c r="AE12" s="100" t="str">
        <x:f>IF('Master'!AF698="","",'Master'!AF698)</x:f>
      </x:c>
      <x:c r="AF12" s="75" t="str">
        <x:f>IF('Master'!AG698="","",'Master'!AG698)</x:f>
      </x:c>
    </x:row>
    <x:row r="13" ht="36" customHeight="1">
      <x:c r="A13" s="135" t="str">
        <x:v>Paid Self-Host License / Support</x:v>
      </x:c>
      <x:c r="B13" s="100" t="str">
        <x:f>IF('Master'!C699="","",'Master'!C699)</x:f>
        <x:v>No</x:v>
      </x:c>
      <x:c r="C13" s="100" t="str">
        <x:f>IF('Master'!D699="","",'Master'!D699)</x:f>
        <x:v>No</x:v>
      </x:c>
      <x:c r="D13" s="100" t="str">
        <x:f>IF('Master'!E699="","",'Master'!E699)</x:f>
        <x:v>No</x:v>
      </x:c>
      <x:c r="E13" s="100" t="str">
        <x:f>IF('Master'!F699="","",'Master'!F699)</x:f>
        <x:v>No</x:v>
      </x:c>
      <x:c r="F13" s="100" t="str">
        <x:f>IF('Master'!G699="","",'Master'!G699)</x:f>
        <x:v>No</x:v>
      </x:c>
      <x:c r="G13" s="100" t="str">
        <x:f>IF('Master'!H699="","",'Master'!H699)</x:f>
        <x:v>No</x:v>
      </x:c>
      <x:c r="H13" s="100" t="str">
        <x:f>IF('Master'!I699="","",'Master'!I699)</x:f>
        <x:v>Yes</x:v>
      </x:c>
      <x:c r="I13" s="100" t="str">
        <x:f>IF('Master'!J699="","",'Master'!J699)</x:f>
        <x:v>No</x:v>
      </x:c>
      <x:c r="J13" s="100" t="str">
        <x:f>IF('Master'!K699="","",'Master'!K699)</x:f>
        <x:v>No</x:v>
      </x:c>
      <x:c r="K13" s="100" t="str">
        <x:f>IF('Master'!L699="","",'Master'!L699)</x:f>
        <x:v>No — MIT self-hosting</x:v>
      </x:c>
      <x:c r="L13" s="100" t="str">
        <x:f>IF('Master'!M699="","",'Master'!M699)</x:f>
        <x:v>No</x:v>
      </x:c>
      <x:c r="M13" s="100" t="str">
        <x:f>IF('Master'!N699="","",'Master'!N699)</x:f>
        <x:v>No</x:v>
      </x:c>
      <x:c r="N13" s="100" t="str">
        <x:f>IF('Master'!O699="","",'Master'!O699)</x:f>
        <x:v>No</x:v>
      </x:c>
      <x:c r="O13" s="100" t="str">
        <x:f>IF('Master'!P699="","",'Master'!P699)</x:f>
        <x:v>No</x:v>
      </x:c>
      <x:c r="P13" s="100" t="str">
        <x:f>IF('Master'!Q699="","",'Master'!Q699)</x:f>
        <x:v>No</x:v>
      </x:c>
      <x:c r="Q13" s="100" t="str">
        <x:f>IF('Master'!R699="","",'Master'!R699)</x:f>
        <x:v>No</x:v>
      </x:c>
      <x:c r="R13" s="100" t="str">
        <x:f>IF('Master'!S699="","",'Master'!S699)</x:f>
        <x:v>No</x:v>
      </x:c>
      <x:c r="S13" s="100" t="str">
        <x:f>IF('Master'!T699="","",'Master'!T699)</x:f>
        <x:v>No</x:v>
      </x:c>
      <x:c r="T13" s="100" t="str">
        <x:f>IF('Master'!U699="","",'Master'!U699)</x:f>
        <x:v>No — AGPL-3.0 self-host</x:v>
      </x:c>
      <x:c r="U13" s="100" t="str">
        <x:f>IF('Master'!V699="","",'Master'!V699)</x:f>
        <x:v>No</x:v>
      </x:c>
      <x:c r="V13" s="100" t="str">
        <x:f>IF('Master'!W699="","",'Master'!W699)</x:f>
        <x:v>No</x:v>
      </x:c>
      <x:c r="W13" s="100" t="str">
        <x:f>IF('Master'!X699="","",'Master'!X699)</x:f>
        <x:v>No</x:v>
      </x:c>
      <x:c r="X13" s="100" t="str">
        <x:f>IF('Master'!Y699="","",'Master'!Y699)</x:f>
        <x:v>No</x:v>
      </x:c>
      <x:c r="Y13" s="100" t="str">
        <x:f>IF('Master'!Z699="","",'Master'!Z699)</x:f>
        <x:v>No</x:v>
      </x:c>
      <x:c r="Z13" s="100" t="str">
        <x:f>IF('Master'!AA699="","",'Master'!AA699)</x:f>
        <x:v>No</x:v>
      </x:c>
      <x:c r="AA13" s="104" t="str">
        <x:f>IF('Master'!AB699="","",'Master'!AB699)</x:f>
        <x:v>Yes</x:v>
      </x:c>
      <x:c r="AB13" s="100" t="str">
        <x:f>IF('Master'!AC699="","",'Master'!AC699)</x:f>
        <x:v>No</x:v>
      </x:c>
      <x:c r="AC13" s="100" t="str">
        <x:f>IF('Master'!AD699="","",'Master'!AD699)</x:f>
        <x:v>No</x:v>
      </x:c>
      <x:c r="AD13" s="100" t="str">
        <x:f>IF('Master'!AE699="","",'Master'!AE699)</x:f>
        <x:v>No</x:v>
      </x:c>
      <x:c r="AE13" s="100" t="str">
        <x:f>IF('Master'!AF699="","",'Master'!AF699)</x:f>
        <x:v>No</x:v>
      </x:c>
      <x:c r="AF13" s="75" t="str">
        <x:f>IF('Master'!AG699="","",'Master'!AG699)</x:f>
        <x:v>Yes</x:v>
      </x:c>
    </x:row>
    <x:row r="14" ht="36" customHeight="1">
      <x:c r="A14" s="135" t="str">
        <x:v>Enterprise / Custom Quote</x:v>
      </x:c>
      <x:c r="B14" s="100" t="str">
        <x:f>IF('Master'!C700="","",'Master'!C700)</x:f>
      </x:c>
      <x:c r="C14" s="100" t="str">
        <x:f>IF('Master'!D700="","",'Master'!D700)</x:f>
      </x:c>
      <x:c r="D14" s="100" t="str">
        <x:f>IF('Master'!E700="","",'Master'!E700)</x:f>
      </x:c>
      <x:c r="E14" s="100" t="str">
        <x:f>IF('Master'!F700="","",'Master'!F700)</x:f>
      </x:c>
      <x:c r="F14" s="100" t="str">
        <x:f>IF('Master'!G700="","",'Master'!G700)</x:f>
      </x:c>
      <x:c r="G14" s="100" t="str">
        <x:f>IF('Master'!H700="","",'Master'!H700)</x:f>
      </x:c>
      <x:c r="H14" s="100" t="str">
        <x:f>IF('Master'!I700="","",'Master'!I700)</x:f>
      </x:c>
      <x:c r="I14" s="100" t="str">
        <x:f>IF('Master'!J700="","",'Master'!J700)</x:f>
      </x:c>
      <x:c r="J14" s="100" t="str">
        <x:f>IF('Master'!K700="","",'Master'!K700)</x:f>
      </x:c>
      <x:c r="K14" s="100" t="str">
        <x:f>IF('Master'!L700="","",'Master'!L700)</x:f>
        <x:v>No current enterprise/custom quote tier</x:v>
      </x:c>
      <x:c r="L14" s="100" t="str">
        <x:f>IF('Master'!M700="","",'Master'!M700)</x:f>
      </x:c>
      <x:c r="M14" s="100" t="str">
        <x:f>IF('Master'!N700="","",'Master'!N700)</x:f>
      </x:c>
      <x:c r="N14" s="100" t="str">
        <x:f>IF('Master'!O700="","",'Master'!O700)</x:f>
      </x:c>
      <x:c r="O14" s="100" t="str">
        <x:f>IF('Master'!P700="","",'Master'!P700)</x:f>
        <x:v>Yes</x:v>
      </x:c>
      <x:c r="P14" s="100" t="str">
        <x:f>IF('Master'!Q700="","",'Master'!Q700)</x:f>
      </x:c>
      <x:c r="Q14" s="100" t="str">
        <x:f>IF('Master'!R700="","",'Master'!R700)</x:f>
      </x:c>
      <x:c r="R14" s="100" t="str">
        <x:f>IF('Master'!S700="","",'Master'!S700)</x:f>
      </x:c>
      <x:c r="S14" s="100" t="str">
        <x:f>IF('Master'!T700="","",'Master'!T700)</x:f>
      </x:c>
      <x:c r="T14" s="100" t="str">
        <x:f>IF('Master'!U700="","",'Master'!U700)</x:f>
        <x:v>No public enterprise tier claimed</x:v>
      </x:c>
      <x:c r="U14" s="100" t="str">
        <x:f>IF('Master'!V700="","",'Master'!V700)</x:f>
        <x:v>N/A</x:v>
      </x:c>
      <x:c r="V14" s="100" t="str">
        <x:f>IF('Master'!W700="","",'Master'!W700)</x:f>
        <x:v>Yes</x:v>
      </x:c>
      <x:c r="W14" s="100" t="str">
        <x:f>IF('Master'!X700="","",'Master'!X700)</x:f>
      </x:c>
      <x:c r="X14" s="100" t="str">
        <x:f>IF('Master'!Y700="","",'Master'!Y700)</x:f>
      </x:c>
      <x:c r="Y14" s="100" t="str">
        <x:f>IF('Master'!Z700="","",'Master'!Z700)</x:f>
      </x:c>
      <x:c r="Z14" s="100" t="str">
        <x:f>IF('Master'!AA700="","",'Master'!AA700)</x:f>
      </x:c>
      <x:c r="AA14" s="104" t="str">
        <x:f>IF('Master'!AB700="","",'Master'!AB700)</x:f>
        <x:v>Yes</x:v>
      </x:c>
      <x:c r="AB14" s="100" t="str">
        <x:f>IF('Master'!AC700="","",'Master'!AC700)</x:f>
      </x:c>
      <x:c r="AC14" s="100" t="str">
        <x:f>IF('Master'!AD700="","",'Master'!AD700)</x:f>
      </x:c>
      <x:c r="AD14" s="100" t="str">
        <x:f>IF('Master'!AE700="","",'Master'!AE700)</x:f>
        <x:v>Yes</x:v>
      </x:c>
      <x:c r="AE14" s="100" t="str">
        <x:f>IF('Master'!AF700="","",'Master'!AF700)</x:f>
      </x:c>
      <x:c r="AF14" s="75" t="str">
        <x:f>IF('Master'!AG700="","",'Master'!AG700)</x:f>
        <x:v>Yes</x:v>
      </x:c>
    </x:row>
    <x:row r="15" ht="36" customHeight="1">
      <x:c r="A15" s="135" t="str">
        <x:v>Advertising / Sponsored Content Revenue</x:v>
      </x:c>
      <x:c r="B15" s="100" t="str">
        <x:f>IF('Master'!C701="","",'Master'!C701)</x:f>
        <x:v>Yes — sponsored Quests/formats</x:v>
      </x:c>
      <x:c r="C15" s="100" t="str">
        <x:f>IF('Master'!D701="","",'Master'!D701)</x:f>
      </x:c>
      <x:c r="D15" s="100" t="str">
        <x:f>IF('Master'!E701="","",'Master'!E701)</x:f>
      </x:c>
      <x:c r="E15" s="100" t="str">
        <x:f>IF('Master'!F701="","",'Master'!F701)</x:f>
      </x:c>
      <x:c r="F15" s="100" t="str">
        <x:f>IF('Master'!G701="","",'Master'!G701)</x:f>
      </x:c>
      <x:c r="G15" s="100" t="str">
        <x:f>IF('Master'!H701="","",'Master'!H701)</x:f>
      </x:c>
      <x:c r="H15" s="100" t="str">
        <x:f>IF('Master'!I701="","",'Master'!I701)</x:f>
      </x:c>
      <x:c r="I15" s="100" t="str">
        <x:f>IF('Master'!J701="","",'Master'!J701)</x:f>
      </x:c>
      <x:c r="J15" s="100" t="str">
        <x:f>IF('Master'!K701="","",'Master'!K701)</x:f>
      </x:c>
      <x:c r="K15" s="100" t="str">
        <x:f>IF('Master'!L701="","",'Master'!L701)</x:f>
        <x:v>No current advertising/sponsored revenue reported</x:v>
      </x:c>
      <x:c r="L15" s="100" t="str">
        <x:f>IF('Master'!M701="","",'Master'!M701)</x:f>
      </x:c>
      <x:c r="M15" s="100" t="str">
        <x:f>IF('Master'!N701="","",'Master'!N701)</x:f>
      </x:c>
      <x:c r="N15" s="100" t="str">
        <x:f>IF('Master'!O701="","",'Master'!O701)</x:f>
        <x:v>Protocol: N/A / provider-dependent</x:v>
      </x:c>
      <x:c r="O15" s="100" t="str">
        <x:f>IF('Master'!P701="","",'Master'!P701)</x:f>
      </x:c>
      <x:c r="P15" s="100" t="str">
        <x:f>IF('Master'!Q701="","",'Master'!Q701)</x:f>
      </x:c>
      <x:c r="Q15" s="100" t="str">
        <x:f>IF('Master'!R701="","",'Master'!R701)</x:f>
      </x:c>
      <x:c r="R15" s="100" t="str">
        <x:f>IF('Master'!S701="","",'Master'!S701)</x:f>
      </x:c>
      <x:c r="S15" s="100" t="str">
        <x:f>IF('Master'!T701="","",'Master'!T701)</x:f>
      </x:c>
      <x:c r="T15" s="100" t="str">
        <x:f>IF('Master'!U701="","",'Master'!U701)</x:f>
        <x:v>No advertising revenue model claimed</x:v>
      </x:c>
      <x:c r="U15" s="100" t="str">
        <x:f>IF('Master'!V701="","",'Master'!V701)</x:f>
        <x:v>No ads</x:v>
      </x:c>
      <x:c r="V15" s="100" t="str">
        <x:f>IF('Master'!W701="","",'Master'!W701)</x:f>
      </x:c>
      <x:c r="W15" s="100" t="str">
        <x:f>IF('Master'!X701="","",'Master'!X701)</x:f>
      </x:c>
      <x:c r="X15" s="100" t="str">
        <x:f>IF('Master'!Y701="","",'Master'!Y701)</x:f>
      </x:c>
      <x:c r="Y15" s="100" t="str">
        <x:f>IF('Master'!Z701="","",'Master'!Z701)</x:f>
      </x:c>
      <x:c r="Z15" s="100" t="str">
        <x:f>IF('Master'!AA701="","",'Master'!AA701)</x:f>
      </x:c>
      <x:c r="AA15" s="104" t="str">
        <x:f>IF('Master'!AB701="","",'Master'!AB701)</x:f>
      </x:c>
      <x:c r="AB15" s="100" t="str">
        <x:f>IF('Master'!AC701="","",'Master'!AC701)</x:f>
      </x:c>
      <x:c r="AC15" s="100" t="str">
        <x:f>IF('Master'!AD701="","",'Master'!AD701)</x:f>
      </x:c>
      <x:c r="AD15" s="100" t="str">
        <x:f>IF('Master'!AE701="","",'Master'!AE701)</x:f>
      </x:c>
      <x:c r="AE15" s="100" t="str">
        <x:f>IF('Master'!AF701="","",'Master'!AF701)</x:f>
      </x:c>
      <x:c r="AF15" s="75" t="str">
        <x:f>IF('Master'!AG701="","",'Master'!AG701)</x:f>
        <x:v>No ad-funded model</x:v>
      </x:c>
    </x:row>
    <x:row r="16" ht="36" customHeight="1">
      <x:c r="A16" s="135" t="str">
        <x:v>Donations / Sponsorship</x:v>
      </x:c>
      <x:c r="B16" s="100" t="str">
        <x:f>IF('Master'!C702="","",'Master'!C702)</x:f>
      </x:c>
      <x:c r="C16" s="100" t="str">
        <x:f>IF('Master'!D702="","",'Master'!D702)</x:f>
      </x:c>
      <x:c r="D16" s="100" t="str">
        <x:f>IF('Master'!E702="","",'Master'!E702)</x:f>
        <x:v>Yes — donations</x:v>
      </x:c>
      <x:c r="E16" s="100" t="str">
        <x:f>IF('Master'!F702="","",'Master'!F702)</x:f>
      </x:c>
      <x:c r="F16" s="100" t="str">
        <x:f>IF('Master'!G702="","",'Master'!G702)</x:f>
      </x:c>
      <x:c r="G16" s="100" t="str">
        <x:f>IF('Master'!H702="","",'Master'!H702)</x:f>
        <x:v>Yes — donations</x:v>
      </x:c>
      <x:c r="H16" s="100" t="str">
        <x:f>IF('Master'!I702="","",'Master'!I702)</x:f>
      </x:c>
      <x:c r="I16" s="100" t="str">
        <x:f>IF('Master'!J702="","",'Master'!J702)</x:f>
      </x:c>
      <x:c r="J16" s="100" t="str">
        <x:f>IF('Master'!K702="","",'Master'!K702)</x:f>
      </x:c>
      <x:c r="K16" s="100" t="str">
        <x:f>IF('Master'!L702="","",'Master'!L702)</x:f>
        <x:v>No donation model reported as primary funding</x:v>
      </x:c>
      <x:c r="L16" s="100" t="str">
        <x:f>IF('Master'!M702="","",'Master'!M702)</x:f>
        <x:v>Yes — donations</x:v>
      </x:c>
      <x:c r="M16" s="100" t="str">
        <x:f>IF('Master'!N702="","",'Master'!N702)</x:f>
      </x:c>
      <x:c r="N16" s="100" t="str">
        <x:f>IF('Master'!O702="","",'Master'!O702)</x:f>
        <x:v>Foundation donations/sponsorship</x:v>
      </x:c>
      <x:c r="O16" s="100" t="str">
        <x:f>IF('Master'!P702="","",'Master'!P702)</x:f>
      </x:c>
      <x:c r="P16" s="100" t="str">
        <x:f>IF('Master'!Q702="","",'Master'!Q702)</x:f>
      </x:c>
      <x:c r="Q16" s="100" t="str">
        <x:f>IF('Master'!R702="","",'Master'!R702)</x:f>
      </x:c>
      <x:c r="R16" s="100" t="str">
        <x:f>IF('Master'!S702="","",'Master'!S702)</x:f>
        <x:v>Yes — donations</x:v>
      </x:c>
      <x:c r="S16" s="100" t="str">
        <x:f>IF('Master'!T702="","",'Master'!T702)</x:f>
      </x:c>
      <x:c r="T16" s="100" t="str">
        <x:f>IF('Master'!U702="","",'Master'!U702)</x:f>
        <x:v>Yes — https://pqp.gg/apoie; donations unlock nothing</x:v>
      </x:c>
      <x:c r="U16" s="100" t="str">
        <x:f>IF('Master'!V702="","",'Master'!V702)</x:f>
        <x:v>No donation model verified</x:v>
      </x:c>
      <x:c r="V16" s="100" t="str">
        <x:f>IF('Master'!W702="","",'Master'!W702)</x:f>
      </x:c>
      <x:c r="W16" s="100" t="str">
        <x:f>IF('Master'!X702="","",'Master'!X702)</x:f>
      </x:c>
      <x:c r="X16" s="100" t="str">
        <x:f>IF('Master'!Y702="","",'Master'!Y702)</x:f>
      </x:c>
      <x:c r="Y16" s="100" t="str">
        <x:f>IF('Master'!Z702="","",'Master'!Z702)</x:f>
      </x:c>
      <x:c r="Z16" s="100" t="str">
        <x:f>IF('Master'!AA702="","",'Master'!AA702)</x:f>
      </x:c>
      <x:c r="AA16" s="104" t="str">
        <x:f>IF('Master'!AB702="","",'Master'!AB702)</x:f>
      </x:c>
      <x:c r="AB16" s="100" t="str">
        <x:f>IF('Master'!AC702="","",'Master'!AC702)</x:f>
      </x:c>
      <x:c r="AC16" s="100" t="str">
        <x:f>IF('Master'!AD702="","",'Master'!AD702)</x:f>
      </x:c>
      <x:c r="AD16" s="100" t="str">
        <x:f>IF('Master'!AE702="","",'Master'!AE702)</x:f>
      </x:c>
      <x:c r="AE16" s="100" t="str">
        <x:f>IF('Master'!AF702="","",'Master'!AF702)</x:f>
      </x:c>
      <x:c r="AF16" s="75" t="str">
        <x:f>IF('Master'!AG702="","",'Master'!AG702)</x:f>
      </x:c>
    </x:row>
  </x:sheetData>
  <x:mergeCells>
    <x:mergeCell ref="A1:AF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Directory'!A1","Pricing Summary — normalized side-by-side view"),"Pricing Summary — normalized side-by-side view")</x:f>
        <x:v>Pricing Summary — normalized side-by-side view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36" customHeight="1">
      <x:c r="A3" s="135" t="str">
        <x:v>Free Plan / Free Use Available?</x:v>
      </x:c>
      <x:c r="B3" s="100" t="str">
        <x:f>IF('Master'!C703="","",'Master'!C703)</x:f>
        <x:v>Yes</x:v>
      </x:c>
      <x:c r="C3" s="100" t="str">
        <x:f>IF('Master'!D703="","",'Master'!D703)</x:f>
        <x:v>Yes</x:v>
      </x:c>
      <x:c r="D3" s="100" t="str">
        <x:f>IF('Master'!E703="","",'Master'!E703)</x:f>
        <x:v>Yes</x:v>
      </x:c>
      <x:c r="E3" s="100" t="str">
        <x:f>IF('Master'!F703="","",'Master'!F703)</x:f>
      </x:c>
      <x:c r="F3" s="100" t="str">
        <x:f>IF('Master'!G703="","",'Master'!G703)</x:f>
        <x:v>Yes</x:v>
      </x:c>
      <x:c r="G3" s="100" t="str">
        <x:f>IF('Master'!H703="","",'Master'!H703)</x:f>
        <x:v>Yes</x:v>
      </x:c>
      <x:c r="H3" s="100" t="str">
        <x:f>IF('Master'!I703="","",'Master'!I703)</x:f>
        <x:v>Yes</x:v>
      </x:c>
      <x:c r="I3" s="100" t="str">
        <x:f>IF('Master'!J703="","",'Master'!J703)</x:f>
        <x:v>Yes</x:v>
      </x:c>
      <x:c r="J3" s="100" t="str">
        <x:f>IF('Master'!K703="","",'Master'!K703)</x:f>
        <x:v>Yes</x:v>
      </x:c>
      <x:c r="K3" s="100" t="str">
        <x:f>IF('Master'!L703="","",'Master'!L703)</x:f>
        <x:v>Yes — official instance currently free; MIT self-hosting is free</x:v>
      </x:c>
      <x:c r="L3" s="100" t="str">
        <x:f>IF('Master'!M703="","",'Master'!M703)</x:f>
      </x:c>
      <x:c r="M3" s="100" t="str">
        <x:f>IF('Master'!N703="","",'Master'!N703)</x:f>
      </x:c>
      <x:c r="N3" s="100" t="str">
        <x:f>IF('Master'!O703="","",'Master'!O703)</x:f>
        <x:v>Yes</x:v>
      </x:c>
      <x:c r="O3" s="100" t="str">
        <x:f>IF('Master'!P703="","",'Master'!P703)</x:f>
        <x:v>Yes</x:v>
      </x:c>
      <x:c r="P3" s="100" t="str">
        <x:f>IF('Master'!Q703="","",'Master'!Q703)</x:f>
        <x:v>Yes</x:v>
      </x:c>
      <x:c r="Q3" s="100" t="str">
        <x:f>IF('Master'!R703="","",'Master'!R703)</x:f>
        <x:v>Yes</x:v>
      </x:c>
      <x:c r="R3" s="100" t="str">
        <x:f>IF('Master'!S703="","",'Master'!S703)</x:f>
        <x:v>Yes</x:v>
      </x:c>
      <x:c r="S3" s="100" t="str">
        <x:f>IF('Master'!T703="","",'Master'!T703)</x:f>
      </x:c>
      <x:c r="T3" s="100" t="str">
        <x:f>IF('Master'!U703="","",'Master'!U703)</x:f>
        <x:v>Yes</x:v>
      </x:c>
      <x:c r="U3" s="100" t="str">
        <x:f>IF('Master'!V703="","",'Master'!V703)</x:f>
        <x:v>Yes</x:v>
      </x:c>
      <x:c r="V3" s="100" t="str">
        <x:f>IF('Master'!W703="","",'Master'!W703)</x:f>
        <x:v>Yes</x:v>
      </x:c>
      <x:c r="W3" s="100" t="str">
        <x:f>IF('Master'!X703="","",'Master'!X703)</x:f>
        <x:v>Yes</x:v>
      </x:c>
      <x:c r="X3" s="100" t="str">
        <x:f>IF('Master'!Y703="","",'Master'!Y703)</x:f>
        <x:v>Yes</x:v>
      </x:c>
      <x:c r="Y3" s="100" t="str">
        <x:f>IF('Master'!Z703="","",'Master'!Z703)</x:f>
        <x:v>Yes</x:v>
      </x:c>
      <x:c r="Z3" s="100" t="str">
        <x:f>IF('Master'!AA703="","",'Master'!AA703)</x:f>
        <x:v>Yes</x:v>
      </x:c>
      <x:c r="AA3" s="104" t="str">
        <x:f>IF('Master'!AB703="","",'Master'!AB703)</x:f>
        <x:v>Yes</x:v>
      </x:c>
      <x:c r="AB3" s="100" t="str">
        <x:f>IF('Master'!AC703="","",'Master'!AC703)</x:f>
      </x:c>
      <x:c r="AC3" s="100" t="str">
        <x:f>IF('Master'!AD703="","",'Master'!AD703)</x:f>
      </x:c>
      <x:c r="AD3" s="100" t="str">
        <x:f>IF('Master'!AE703="","",'Master'!AE703)</x:f>
        <x:v>Yes</x:v>
      </x:c>
      <x:c r="AE3" s="100" t="str">
        <x:f>IF('Master'!AF703="","",'Master'!AF703)</x:f>
      </x:c>
      <x:c r="AF3" s="75" t="str">
        <x:f>IF('Master'!AG703="","",'Master'!AG703)</x:f>
        <x:v>Yes</x:v>
      </x:c>
    </x:row>
    <x:row r="4" ht="36" customHeight="1">
      <x:c r="A4" s="135" t="str">
        <x:v>Public Paid Options Count</x:v>
      </x:c>
      <x:c r="B4" s="100" t="str">
        <x:f>IF('Master'!C704="","",'Master'!C704)</x:f>
        <x:v>4</x:v>
      </x:c>
      <x:c r="C4" s="100" t="str">
        <x:f>IF('Master'!D704="","",'Master'!D704)</x:f>
      </x:c>
      <x:c r="D4" s="100" t="str">
        <x:f>IF('Master'!E704="","",'Master'!E704)</x:f>
      </x:c>
      <x:c r="E4" s="100" t="str">
        <x:f>IF('Master'!F704="","",'Master'!F704)</x:f>
      </x:c>
      <x:c r="F4" s="100" t="str">
        <x:f>IF('Master'!G704="","",'Master'!G704)</x:f>
        <x:v>3</x:v>
      </x:c>
      <x:c r="G4" s="100" t="str">
        <x:f>IF('Master'!H704="","",'Master'!H704)</x:f>
        <x:v>1</x:v>
      </x:c>
      <x:c r="H4" s="100" t="str">
        <x:f>IF('Master'!I704="","",'Master'!I704)</x:f>
        <x:v>4</x:v>
      </x:c>
      <x:c r="I4" s="100" t="str">
        <x:f>IF('Master'!J704="","",'Master'!J704)</x:f>
      </x:c>
      <x:c r="J4" s="100" t="str">
        <x:f>IF('Master'!K704="","",'Master'!K704)</x:f>
      </x:c>
      <x:c r="K4" s="100" t="str">
        <x:f>IF('Master'!L704="","",'Master'!L704)</x:f>
      </x:c>
      <x:c r="L4" s="100" t="str">
        <x:f>IF('Master'!M704="","",'Master'!M704)</x:f>
      </x:c>
      <x:c r="M4" s="100" t="str">
        <x:f>IF('Master'!N704="","",'Master'!N704)</x:f>
      </x:c>
      <x:c r="N4" s="100" t="str">
        <x:f>IF('Master'!O704="","",'Master'!O704)</x:f>
      </x:c>
      <x:c r="O4" s="100" t="str">
        <x:f>IF('Master'!P704="","",'Master'!P704)</x:f>
        <x:v>4</x:v>
      </x:c>
      <x:c r="P4" s="100" t="str">
        <x:f>IF('Master'!Q704="","",'Master'!Q704)</x:f>
      </x:c>
      <x:c r="Q4" s="100" t="str">
        <x:f>IF('Master'!R704="","",'Master'!R704)</x:f>
      </x:c>
      <x:c r="R4" s="100" t="str">
        <x:f>IF('Master'!S704="","",'Master'!S704)</x:f>
      </x:c>
      <x:c r="S4" s="100" t="str">
        <x:f>IF('Master'!T704="","",'Master'!T704)</x:f>
      </x:c>
      <x:c r="T4" s="100" t="str">
        <x:f>IF('Master'!U704="","",'Master'!U704)</x:f>
      </x:c>
      <x:c r="U4" s="100" t="str">
        <x:f>IF('Master'!V704="","",'Master'!V704)</x:f>
        <x:v>3</x:v>
      </x:c>
      <x:c r="V4" s="100" t="str">
        <x:f>IF('Master'!W704="","",'Master'!W704)</x:f>
        <x:v>3</x:v>
      </x:c>
      <x:c r="W4" s="100" t="str">
        <x:f>IF('Master'!X704="","",'Master'!X704)</x:f>
      </x:c>
      <x:c r="X4" s="100" t="str">
        <x:f>IF('Master'!Y704="","",'Master'!Y704)</x:f>
        <x:v>1</x:v>
      </x:c>
      <x:c r="Y4" s="100" t="str">
        <x:f>IF('Master'!Z704="","",'Master'!Z704)</x:f>
      </x:c>
      <x:c r="Z4" s="100" t="str">
        <x:f>IF('Master'!AA704="","",'Master'!AA704)</x:f>
      </x:c>
      <x:c r="AA4" s="104" t="str">
        <x:f>IF('Master'!AB704="","",'Master'!AB704)</x:f>
        <x:v>10</x:v>
      </x:c>
      <x:c r="AB4" s="100" t="str">
        <x:f>IF('Master'!AC704="","",'Master'!AC704)</x:f>
        <x:v>1</x:v>
      </x:c>
      <x:c r="AC4" s="100" t="str">
        <x:f>IF('Master'!AD704="","",'Master'!AD704)</x:f>
      </x:c>
      <x:c r="AD4" s="100" t="str">
        <x:f>IF('Master'!AE704="","",'Master'!AE704)</x:f>
        <x:v>5</x:v>
      </x:c>
      <x:c r="AE4" s="100" t="str">
        <x:f>IF('Master'!AF704="","",'Master'!AF704)</x:f>
        <x:v>1</x:v>
      </x:c>
      <x:c r="AF4" s="75" t="str">
        <x:f>IF('Master'!AG704="","",'Master'!AG704)</x:f>
        <x:v>5</x:v>
      </x:c>
    </x:row>
    <x:row r="5" ht="36" customHeight="1">
      <x:c r="A5" s="135" t="str">
        <x:v>Active Fixed-Price Options Count</x:v>
      </x:c>
      <x:c r="B5" s="100" t="str">
        <x:f>IF('Master'!C705="","",'Master'!C705)</x:f>
        <x:v>3</x:v>
      </x:c>
      <x:c r="C5" s="100" t="str">
        <x:f>IF('Master'!D705="","",'Master'!D705)</x:f>
      </x:c>
      <x:c r="D5" s="100" t="str">
        <x:f>IF('Master'!E705="","",'Master'!E705)</x:f>
      </x:c>
      <x:c r="E5" s="100" t="str">
        <x:f>IF('Master'!F705="","",'Master'!F705)</x:f>
      </x:c>
      <x:c r="F5" s="100" t="str">
        <x:f>IF('Master'!G705="","",'Master'!G705)</x:f>
      </x:c>
      <x:c r="G5" s="100" t="str">
        <x:f>IF('Master'!H705="","",'Master'!H705)</x:f>
        <x:v>1</x:v>
      </x:c>
      <x:c r="H5" s="100" t="str">
        <x:f>IF('Master'!I705="","",'Master'!I705)</x:f>
        <x:v>4</x:v>
      </x:c>
      <x:c r="I5" s="100" t="str">
        <x:f>IF('Master'!J705="","",'Master'!J705)</x:f>
      </x:c>
      <x:c r="J5" s="100" t="str">
        <x:f>IF('Master'!K705="","",'Master'!K705)</x:f>
      </x:c>
      <x:c r="K5" s="100" t="str">
        <x:f>IF('Master'!L705="","",'Master'!L705)</x:f>
      </x:c>
      <x:c r="L5" s="100" t="str">
        <x:f>IF('Master'!M705="","",'Master'!M705)</x:f>
      </x:c>
      <x:c r="M5" s="100" t="str">
        <x:f>IF('Master'!N705="","",'Master'!N705)</x:f>
      </x:c>
      <x:c r="N5" s="100" t="str">
        <x:f>IF('Master'!O705="","",'Master'!O705)</x:f>
      </x:c>
      <x:c r="O5" s="100" t="str">
        <x:f>IF('Master'!P705="","",'Master'!P705)</x:f>
      </x:c>
      <x:c r="P5" s="100" t="str">
        <x:f>IF('Master'!Q705="","",'Master'!Q705)</x:f>
      </x:c>
      <x:c r="Q5" s="100" t="str">
        <x:f>IF('Master'!R705="","",'Master'!R705)</x:f>
      </x:c>
      <x:c r="R5" s="100" t="str">
        <x:f>IF('Master'!S705="","",'Master'!S705)</x:f>
      </x:c>
      <x:c r="S5" s="100" t="str">
        <x:f>IF('Master'!T705="","",'Master'!T705)</x:f>
      </x:c>
      <x:c r="T5" s="100" t="str">
        <x:f>IF('Master'!U705="","",'Master'!U705)</x:f>
      </x:c>
      <x:c r="U5" s="100" t="str">
        <x:f>IF('Master'!V705="","",'Master'!V705)</x:f>
        <x:v>3</x:v>
      </x:c>
      <x:c r="V5" s="100" t="str">
        <x:f>IF('Master'!W705="","",'Master'!W705)</x:f>
      </x:c>
      <x:c r="W5" s="100" t="str">
        <x:f>IF('Master'!X705="","",'Master'!X705)</x:f>
      </x:c>
      <x:c r="X5" s="100" t="str">
        <x:f>IF('Master'!Y705="","",'Master'!Y705)</x:f>
      </x:c>
      <x:c r="Y5" s="100" t="str">
        <x:f>IF('Master'!Z705="","",'Master'!Z705)</x:f>
      </x:c>
      <x:c r="Z5" s="100" t="str">
        <x:f>IF('Master'!AA705="","",'Master'!AA705)</x:f>
      </x:c>
      <x:c r="AA5" s="104" t="str">
        <x:f>IF('Master'!AB705="","",'Master'!AB705)</x:f>
        <x:v>3</x:v>
      </x:c>
      <x:c r="AB5" s="100" t="str">
        <x:f>IF('Master'!AC705="","",'Master'!AC705)</x:f>
      </x:c>
      <x:c r="AC5" s="100" t="str">
        <x:f>IF('Master'!AD705="","",'Master'!AD705)</x:f>
      </x:c>
      <x:c r="AD5" s="100" t="str">
        <x:f>IF('Master'!AE705="","",'Master'!AE705)</x:f>
        <x:v>1</x:v>
      </x:c>
      <x:c r="AE5" s="100" t="str">
        <x:f>IF('Master'!AF705="","",'Master'!AF705)</x:f>
      </x:c>
      <x:c r="AF5" s="75" t="str">
        <x:f>IF('Master'!AG705="","",'Master'!AG705)</x:f>
        <x:v>4</x:v>
      </x:c>
    </x:row>
    <x:row r="6" ht="36" customHeight="1">
      <x:c r="A6" s="135" t="str">
        <x:v>Contact-Sales / Quote Options Count</x:v>
      </x:c>
      <x:c r="B6" s="100" t="str">
        <x:f>IF('Master'!C706="","",'Master'!C706)</x:f>
      </x:c>
      <x:c r="C6" s="100" t="str">
        <x:f>IF('Master'!D706="","",'Master'!D706)</x:f>
      </x:c>
      <x:c r="D6" s="100" t="str">
        <x:f>IF('Master'!E706="","",'Master'!E706)</x:f>
      </x:c>
      <x:c r="E6" s="100" t="str">
        <x:f>IF('Master'!F706="","",'Master'!F706)</x:f>
      </x:c>
      <x:c r="F6" s="100" t="str">
        <x:f>IF('Master'!G706="","",'Master'!G706)</x:f>
      </x:c>
      <x:c r="G6" s="100" t="str">
        <x:f>IF('Master'!H706="","",'Master'!H706)</x:f>
      </x:c>
      <x:c r="H6" s="100" t="str">
        <x:f>IF('Master'!I706="","",'Master'!I706)</x:f>
      </x:c>
      <x:c r="I6" s="100" t="str">
        <x:f>IF('Master'!J706="","",'Master'!J706)</x:f>
      </x:c>
      <x:c r="J6" s="100" t="str">
        <x:f>IF('Master'!K706="","",'Master'!K706)</x:f>
      </x:c>
      <x:c r="K6" s="100" t="str">
        <x:f>IF('Master'!L706="","",'Master'!L706)</x:f>
      </x:c>
      <x:c r="L6" s="100" t="str">
        <x:f>IF('Master'!M706="","",'Master'!M706)</x:f>
      </x:c>
      <x:c r="M6" s="100" t="str">
        <x:f>IF('Master'!N706="","",'Master'!N706)</x:f>
      </x:c>
      <x:c r="N6" s="100" t="str">
        <x:f>IF('Master'!O706="","",'Master'!O706)</x:f>
      </x:c>
      <x:c r="O6" s="100" t="str">
        <x:f>IF('Master'!P706="","",'Master'!P706)</x:f>
        <x:v>3</x:v>
      </x:c>
      <x:c r="P6" s="100" t="str">
        <x:f>IF('Master'!Q706="","",'Master'!Q706)</x:f>
      </x:c>
      <x:c r="Q6" s="100" t="str">
        <x:f>IF('Master'!R706="","",'Master'!R706)</x:f>
      </x:c>
      <x:c r="R6" s="100" t="str">
        <x:f>IF('Master'!S706="","",'Master'!S706)</x:f>
      </x:c>
      <x:c r="S6" s="100" t="str">
        <x:f>IF('Master'!T706="","",'Master'!T706)</x:f>
      </x:c>
      <x:c r="T6" s="100" t="str">
        <x:f>IF('Master'!U706="","",'Master'!U706)</x:f>
      </x:c>
      <x:c r="U6" s="100" t="str">
        <x:f>IF('Master'!V706="","",'Master'!V706)</x:f>
      </x:c>
      <x:c r="V6" s="100" t="str">
        <x:f>IF('Master'!W706="","",'Master'!W706)</x:f>
        <x:v>3</x:v>
      </x:c>
      <x:c r="W6" s="100" t="str">
        <x:f>IF('Master'!X706="","",'Master'!X706)</x:f>
      </x:c>
      <x:c r="X6" s="100" t="str">
        <x:f>IF('Master'!Y706="","",'Master'!Y706)</x:f>
      </x:c>
      <x:c r="Y6" s="100" t="str">
        <x:f>IF('Master'!Z706="","",'Master'!Z706)</x:f>
      </x:c>
      <x:c r="Z6" s="100" t="str">
        <x:f>IF('Master'!AA706="","",'Master'!AA706)</x:f>
      </x:c>
      <x:c r="AA6" s="104" t="str">
        <x:f>IF('Master'!AB706="","",'Master'!AB706)</x:f>
        <x:v>2</x:v>
      </x:c>
      <x:c r="AB6" s="100" t="str">
        <x:f>IF('Master'!AC706="","",'Master'!AC706)</x:f>
      </x:c>
      <x:c r="AC6" s="100" t="str">
        <x:f>IF('Master'!AD706="","",'Master'!AD706)</x:f>
      </x:c>
      <x:c r="AD6" s="100" t="str">
        <x:f>IF('Master'!AE706="","",'Master'!AE706)</x:f>
        <x:v>4</x:v>
      </x:c>
      <x:c r="AE6" s="100" t="str">
        <x:f>IF('Master'!AF706="","",'Master'!AF706)</x:f>
      </x:c>
      <x:c r="AF6" s="75" t="str">
        <x:f>IF('Master'!AG706="","",'Master'!AG706)</x:f>
        <x:v>1</x:v>
      </x:c>
    </x:row>
    <x:row r="7" ht="36" customHeight="1">
      <x:c r="A7" s="135" t="str">
        <x:v>Lowest Public Monthly Price</x:v>
      </x:c>
      <x:c r="B7" s="100" t="str">
        <x:f>IF('Master'!C707="","",'Master'!C707)</x:f>
        <x:v>$2.99</x:v>
      </x:c>
      <x:c r="C7" s="100" t="str">
        <x:f>IF('Master'!D707="","",'Master'!D707)</x:f>
      </x:c>
      <x:c r="D7" s="100" t="str">
        <x:f>IF('Master'!E707="","",'Master'!E707)</x:f>
      </x:c>
      <x:c r="E7" s="100" t="str">
        <x:f>IF('Master'!F707="","",'Master'!F707)</x:f>
      </x:c>
      <x:c r="F7" s="100" t="str">
        <x:f>IF('Master'!G707="","",'Master'!G707)</x:f>
        <x:v>$4.99</x:v>
      </x:c>
      <x:c r="G7" s="100" t="str">
        <x:f>IF('Master'!H707="","",'Master'!H707)</x:f>
        <x:v>$4.99</x:v>
      </x:c>
      <x:c r="H7" s="100" t="str">
        <x:f>IF('Master'!I707="","",'Master'!I707)</x:f>
        <x:v>$2.00</x:v>
      </x:c>
      <x:c r="I7" s="100" t="str">
        <x:f>IF('Master'!J707="","",'Master'!J707)</x:f>
      </x:c>
      <x:c r="J7" s="100" t="str">
        <x:f>IF('Master'!K707="","",'Master'!K707)</x:f>
      </x:c>
      <x:c r="K7" s="100" t="str">
        <x:f>IF('Master'!L707="","",'Master'!L707)</x:f>
        <x:v>N/A — no paid tier</x:v>
      </x:c>
      <x:c r="L7" s="100" t="str">
        <x:f>IF('Master'!M707="","",'Master'!M707)</x:f>
      </x:c>
      <x:c r="M7" s="100" t="str">
        <x:f>IF('Master'!N707="","",'Master'!N707)</x:f>
      </x:c>
      <x:c r="N7" s="100" t="str">
        <x:f>IF('Master'!O707="","",'Master'!O707)</x:f>
      </x:c>
      <x:c r="O7" s="100" t="str">
        <x:f>IF('Master'!P707="","",'Master'!P707)</x:f>
      </x:c>
      <x:c r="P7" s="100" t="str">
        <x:f>IF('Master'!Q707="","",'Master'!Q707)</x:f>
      </x:c>
      <x:c r="Q7" s="100" t="str">
        <x:f>IF('Master'!R707="","",'Master'!R707)</x:f>
      </x:c>
      <x:c r="R7" s="100" t="str">
        <x:f>IF('Master'!S707="","",'Master'!S707)</x:f>
      </x:c>
      <x:c r="S7" s="100" t="str">
        <x:f>IF('Master'!T707="","",'Master'!T707)</x:f>
      </x:c>
      <x:c r="T7" s="100" t="str">
        <x:f>IF('Master'!U707="","",'Master'!U707)</x:f>
      </x:c>
      <x:c r="U7" s="100" t="str">
        <x:f>IF('Master'!V707="","",'Master'!V707)</x:f>
        <x:v>$7.00</x:v>
      </x:c>
      <x:c r="V7" s="100" t="str">
        <x:f>IF('Master'!W707="","",'Master'!W707)</x:f>
      </x:c>
      <x:c r="W7" s="100" t="str">
        <x:f>IF('Master'!X707="","",'Master'!X707)</x:f>
      </x:c>
      <x:c r="X7" s="100" t="str">
        <x:f>IF('Master'!Y707="","",'Master'!Y707)</x:f>
      </x:c>
      <x:c r="Y7" s="100" t="str">
        <x:f>IF('Master'!Z707="","",'Master'!Z707)</x:f>
      </x:c>
      <x:c r="Z7" s="100" t="str">
        <x:f>IF('Master'!AA707="","",'Master'!AA707)</x:f>
      </x:c>
      <x:c r="AA7" s="104" t="str">
        <x:f>IF('Master'!AB707="","",'Master'!AB707)</x:f>
        <x:v>$4.99</x:v>
      </x:c>
      <x:c r="AB7" s="100" t="str">
        <x:f>IF('Master'!AC707="","",'Master'!AC707)</x:f>
      </x:c>
      <x:c r="AC7" s="100" t="str">
        <x:f>IF('Master'!AD707="","",'Master'!AD707)</x:f>
      </x:c>
      <x:c r="AD7" s="100" t="str">
        <x:f>IF('Master'!AE707="","",'Master'!AE707)</x:f>
        <x:v>$6.00</x:v>
      </x:c>
      <x:c r="AE7" s="100" t="str">
        <x:f>IF('Master'!AF707="","",'Master'!AF707)</x:f>
      </x:c>
      <x:c r="AF7" s="75" t="str">
        <x:f>IF('Master'!AG707="","",'Master'!AG707)</x:f>
        <x:v>$3.50</x:v>
      </x:c>
    </x:row>
    <x:row r="8" ht="36" customHeight="1">
      <x:c r="A8" s="135" t="str">
        <x:v>Lowest Public Annual Price</x:v>
      </x:c>
      <x:c r="B8" s="100" t="str">
        <x:f>IF('Master'!C708="","",'Master'!C708)</x:f>
        <x:v>$29.99</x:v>
      </x:c>
      <x:c r="C8" s="100" t="str">
        <x:f>IF('Master'!D708="","",'Master'!D708)</x:f>
      </x:c>
      <x:c r="D8" s="100" t="str">
        <x:f>IF('Master'!E708="","",'Master'!E708)</x:f>
      </x:c>
      <x:c r="E8" s="100" t="str">
        <x:f>IF('Master'!F708="","",'Master'!F708)</x:f>
      </x:c>
      <x:c r="F8" s="100" t="str">
        <x:f>IF('Master'!G708="","",'Master'!G708)</x:f>
      </x:c>
      <x:c r="G8" s="100" t="str">
        <x:f>IF('Master'!H708="","",'Master'!H708)</x:f>
        <x:v>$49.99</x:v>
      </x:c>
      <x:c r="H8" s="100" t="str">
        <x:f>IF('Master'!I708="","",'Master'!I708)</x:f>
        <x:v>$15.00</x:v>
      </x:c>
      <x:c r="I8" s="100" t="str">
        <x:f>IF('Master'!J708="","",'Master'!J708)</x:f>
      </x:c>
      <x:c r="J8" s="100" t="str">
        <x:f>IF('Master'!K708="","",'Master'!K708)</x:f>
      </x:c>
      <x:c r="K8" s="100" t="str">
        <x:f>IF('Master'!L708="","",'Master'!L708)</x:f>
        <x:v>N/A — no paid tier</x:v>
      </x:c>
      <x:c r="L8" s="100" t="str">
        <x:f>IF('Master'!M708="","",'Master'!M708)</x:f>
      </x:c>
      <x:c r="M8" s="100" t="str">
        <x:f>IF('Master'!N708="","",'Master'!N708)</x:f>
      </x:c>
      <x:c r="N8" s="100" t="str">
        <x:f>IF('Master'!O708="","",'Master'!O708)</x:f>
      </x:c>
      <x:c r="O8" s="100" t="str">
        <x:f>IF('Master'!P708="","",'Master'!P708)</x:f>
      </x:c>
      <x:c r="P8" s="100" t="str">
        <x:f>IF('Master'!Q708="","",'Master'!Q708)</x:f>
      </x:c>
      <x:c r="Q8" s="100" t="str">
        <x:f>IF('Master'!R708="","",'Master'!R708)</x:f>
      </x:c>
      <x:c r="R8" s="100" t="str">
        <x:f>IF('Master'!S708="","",'Master'!S708)</x:f>
      </x:c>
      <x:c r="S8" s="100" t="str">
        <x:f>IF('Master'!T708="","",'Master'!T708)</x:f>
      </x:c>
      <x:c r="T8" s="100" t="str">
        <x:f>IF('Master'!U708="","",'Master'!U708)</x:f>
      </x:c>
      <x:c r="U8" s="100" t="str">
        <x:f>IF('Master'!V708="","",'Master'!V708)</x:f>
        <x:v>$70.00</x:v>
      </x:c>
      <x:c r="V8" s="100" t="str">
        <x:f>IF('Master'!W708="","",'Master'!W708)</x:f>
      </x:c>
      <x:c r="W8" s="100" t="str">
        <x:f>IF('Master'!X708="","",'Master'!X708)</x:f>
      </x:c>
      <x:c r="X8" s="100" t="str">
        <x:f>IF('Master'!Y708="","",'Master'!Y708)</x:f>
      </x:c>
      <x:c r="Y8" s="100" t="str">
        <x:f>IF('Master'!Z708="","",'Master'!Z708)</x:f>
      </x:c>
      <x:c r="Z8" s="100" t="str">
        <x:f>IF('Master'!AA708="","",'Master'!AA708)</x:f>
      </x:c>
      <x:c r="AA8" s="104" t="str">
        <x:f>IF('Master'!AB708="","",'Master'!AB708)</x:f>
        <x:v>$53.99</x:v>
      </x:c>
      <x:c r="AB8" s="100" t="str">
        <x:f>IF('Master'!AC708="","",'Master'!AC708)</x:f>
      </x:c>
      <x:c r="AC8" s="100" t="str">
        <x:f>IF('Master'!AD708="","",'Master'!AD708)</x:f>
      </x:c>
      <x:c r="AD8" s="100" t="str">
        <x:f>IF('Master'!AE708="","",'Master'!AE708)</x:f>
      </x:c>
      <x:c r="AE8" s="100" t="str">
        <x:f>IF('Master'!AF708="","",'Master'!AF708)</x:f>
      </x:c>
      <x:c r="AF8" s="75" t="str">
        <x:f>IF('Master'!AG708="","",'Master'!AG708)</x:f>
        <x:v>$80.04</x:v>
      </x:c>
    </x:row>
    <x:row r="9" ht="36" customHeight="1">
      <x:c r="A9" s="135" t="str">
        <x:v>Has User-Level Subscription?</x:v>
      </x:c>
      <x:c r="B9" s="100" t="str">
        <x:f>IF('Master'!C709="","",'Master'!C709)</x:f>
        <x:v>Yes</x:v>
      </x:c>
      <x:c r="C9" s="100" t="str">
        <x:f>IF('Master'!D709="","",'Master'!D709)</x:f>
      </x:c>
      <x:c r="D9" s="100" t="str">
        <x:f>IF('Master'!E709="","",'Master'!E709)</x:f>
      </x:c>
      <x:c r="E9" s="100" t="str">
        <x:f>IF('Master'!F709="","",'Master'!F709)</x:f>
      </x:c>
      <x:c r="F9" s="100" t="str">
        <x:f>IF('Master'!G709="","",'Master'!G709)</x:f>
        <x:v>Planned</x:v>
      </x:c>
      <x:c r="G9" s="100" t="str">
        <x:f>IF('Master'!H709="","",'Master'!H709)</x:f>
        <x:v>Yes</x:v>
      </x:c>
      <x:c r="H9" s="100" t="str">
        <x:f>IF('Master'!I709="","",'Master'!I709)</x:f>
      </x:c>
      <x:c r="I9" s="100" t="str">
        <x:f>IF('Master'!J709="","",'Master'!J709)</x:f>
      </x:c>
      <x:c r="J9" s="100" t="str">
        <x:f>IF('Master'!K709="","",'Master'!K709)</x:f>
      </x:c>
      <x:c r="K9" s="100" t="str">
        <x:f>IF('Master'!L709="","",'Master'!L709)</x:f>
        <x:v>No current user subscription</x:v>
      </x:c>
      <x:c r="L9" s="100" t="str">
        <x:f>IF('Master'!M709="","",'Master'!M709)</x:f>
      </x:c>
      <x:c r="M9" s="100" t="str">
        <x:f>IF('Master'!N709="","",'Master'!N709)</x:f>
      </x:c>
      <x:c r="N9" s="100" t="str">
        <x:f>IF('Master'!O709="","",'Master'!O709)</x:f>
      </x:c>
      <x:c r="O9" s="100" t="str">
        <x:f>IF('Master'!P709="","",'Master'!P709)</x:f>
      </x:c>
      <x:c r="P9" s="100" t="str">
        <x:f>IF('Master'!Q709="","",'Master'!Q709)</x:f>
      </x:c>
      <x:c r="Q9" s="100" t="str">
        <x:f>IF('Master'!R709="","",'Master'!R709)</x:f>
      </x:c>
      <x:c r="R9" s="100" t="str">
        <x:f>IF('Master'!S709="","",'Master'!S709)</x:f>
      </x:c>
      <x:c r="S9" s="100" t="str">
        <x:f>IF('Master'!T709="","",'Master'!T709)</x:f>
      </x:c>
      <x:c r="T9" s="100" t="str">
        <x:f>IF('Master'!U709="","",'Master'!U709)</x:f>
        <x:v>No</x:v>
      </x:c>
      <x:c r="U9" s="100" t="str">
        <x:f>IF('Master'!V709="","",'Master'!V709)</x:f>
        <x:v>Yes</x:v>
      </x:c>
      <x:c r="V9" s="100" t="str">
        <x:f>IF('Master'!W709="","",'Master'!W709)</x:f>
      </x:c>
      <x:c r="W9" s="100" t="str">
        <x:f>IF('Master'!X709="","",'Master'!X709)</x:f>
      </x:c>
      <x:c r="X9" s="100" t="str">
        <x:f>IF('Master'!Y709="","",'Master'!Y709)</x:f>
        <x:v>Yes</x:v>
      </x:c>
      <x:c r="Y9" s="100" t="str">
        <x:f>IF('Master'!Z709="","",'Master'!Z709)</x:f>
      </x:c>
      <x:c r="Z9" s="100" t="str">
        <x:f>IF('Master'!AA709="","",'Master'!AA709)</x:f>
      </x:c>
      <x:c r="AA9" s="104" t="str">
        <x:f>IF('Master'!AB709="","",'Master'!AB709)</x:f>
      </x:c>
      <x:c r="AB9" s="100" t="str">
        <x:f>IF('Master'!AC709="","",'Master'!AC709)</x:f>
        <x:v>Yes</x:v>
      </x:c>
      <x:c r="AC9" s="100" t="str">
        <x:f>IF('Master'!AD709="","",'Master'!AD709)</x:f>
      </x:c>
      <x:c r="AD9" s="100" t="str">
        <x:f>IF('Master'!AE709="","",'Master'!AE709)</x:f>
      </x:c>
      <x:c r="AE9" s="100" t="str">
        <x:f>IF('Master'!AF709="","",'Master'!AF709)</x:f>
      </x:c>
      <x:c r="AF9" s="75" t="str">
        <x:f>IF('Master'!AG709="","",'Master'!AG709)</x:f>
      </x:c>
    </x:row>
    <x:row r="10" ht="36" customHeight="1">
      <x:c r="A10" s="135" t="str">
        <x:v>Has Community / Server Plan?</x:v>
      </x:c>
      <x:c r="B10" s="100" t="str">
        <x:f>IF('Master'!C710="","",'Master'!C710)</x:f>
        <x:v>Yes</x:v>
      </x:c>
      <x:c r="C10" s="100" t="str">
        <x:f>IF('Master'!D710="","",'Master'!D710)</x:f>
      </x:c>
      <x:c r="D10" s="100" t="str">
        <x:f>IF('Master'!E710="","",'Master'!E710)</x:f>
      </x:c>
      <x:c r="E10" s="100" t="str">
        <x:f>IF('Master'!F710="","",'Master'!F710)</x:f>
      </x:c>
      <x:c r="F10" s="100" t="str">
        <x:f>IF('Master'!G710="","",'Master'!G710)</x:f>
      </x:c>
      <x:c r="G10" s="100" t="str">
        <x:f>IF('Master'!H710="","",'Master'!H710)</x:f>
      </x:c>
      <x:c r="H10" s="100" t="str">
        <x:f>IF('Master'!I710="","",'Master'!I710)</x:f>
        <x:v>Yes</x:v>
      </x:c>
      <x:c r="I10" s="100" t="str">
        <x:f>IF('Master'!J710="","",'Master'!J710)</x:f>
      </x:c>
      <x:c r="J10" s="100" t="str">
        <x:f>IF('Master'!K710="","",'Master'!K710)</x:f>
      </x:c>
      <x:c r="K10" s="100" t="str">
        <x:f>IF('Master'!L710="","",'Master'!L710)</x:f>
        <x:v>No current community/server subscription</x:v>
      </x:c>
      <x:c r="L10" s="100" t="str">
        <x:f>IF('Master'!M710="","",'Master'!M710)</x:f>
      </x:c>
      <x:c r="M10" s="100" t="str">
        <x:f>IF('Master'!N710="","",'Master'!N710)</x:f>
      </x:c>
      <x:c r="N10" s="100" t="str">
        <x:f>IF('Master'!O710="","",'Master'!O710)</x:f>
      </x:c>
      <x:c r="O10" s="100" t="str">
        <x:f>IF('Master'!P710="","",'Master'!P710)</x:f>
      </x:c>
      <x:c r="P10" s="100" t="str">
        <x:f>IF('Master'!Q710="","",'Master'!Q710)</x:f>
      </x:c>
      <x:c r="Q10" s="100" t="str">
        <x:f>IF('Master'!R710="","",'Master'!R710)</x:f>
      </x:c>
      <x:c r="R10" s="100" t="str">
        <x:f>IF('Master'!S710="","",'Master'!S710)</x:f>
      </x:c>
      <x:c r="S10" s="100" t="str">
        <x:f>IF('Master'!T710="","",'Master'!T710)</x:f>
      </x:c>
      <x:c r="T10" s="100" t="str">
        <x:f>IF('Master'!U710="","",'Master'!U710)</x:f>
        <x:v>No</x:v>
      </x:c>
      <x:c r="U10" s="100" t="str">
        <x:f>IF('Master'!V710="","",'Master'!V710)</x:f>
        <x:v>Yes</x:v>
      </x:c>
      <x:c r="V10" s="100" t="str">
        <x:f>IF('Master'!W710="","",'Master'!W710)</x:f>
      </x:c>
      <x:c r="W10" s="100" t="str">
        <x:f>IF('Master'!X710="","",'Master'!X710)</x:f>
      </x:c>
      <x:c r="X10" s="100" t="str">
        <x:f>IF('Master'!Y710="","",'Master'!Y710)</x:f>
      </x:c>
      <x:c r="Y10" s="100" t="str">
        <x:f>IF('Master'!Z710="","",'Master'!Z710)</x:f>
      </x:c>
      <x:c r="Z10" s="100" t="str">
        <x:f>IF('Master'!AA710="","",'Master'!AA710)</x:f>
      </x:c>
      <x:c r="AA10" s="104" t="str">
        <x:f>IF('Master'!AB710="","",'Master'!AB710)</x:f>
        <x:v>Yes</x:v>
      </x:c>
      <x:c r="AB10" s="100" t="str">
        <x:f>IF('Master'!AC710="","",'Master'!AC710)</x:f>
      </x:c>
      <x:c r="AC10" s="100" t="str">
        <x:f>IF('Master'!AD710="","",'Master'!AD710)</x:f>
      </x:c>
      <x:c r="AD10" s="100" t="str">
        <x:f>IF('Master'!AE710="","",'Master'!AE710)</x:f>
        <x:v>Yes</x:v>
      </x:c>
      <x:c r="AE10" s="100" t="str">
        <x:f>IF('Master'!AF710="","",'Master'!AF710)</x:f>
      </x:c>
      <x:c r="AF10" s="75" t="str">
        <x:f>IF('Master'!AG710="","",'Master'!AG710)</x:f>
      </x:c>
    </x:row>
    <x:row r="11" ht="36" customHeight="1">
      <x:c r="A11" s="135" t="str">
        <x:v>Has Paid Self-Host License?</x:v>
      </x:c>
      <x:c r="B11" s="100" t="str">
        <x:f>IF('Master'!C711="","",'Master'!C711)</x:f>
        <x:v>No</x:v>
      </x:c>
      <x:c r="C11" s="100" t="str">
        <x:f>IF('Master'!D711="","",'Master'!D711)</x:f>
        <x:v>No</x:v>
      </x:c>
      <x:c r="D11" s="100" t="str">
        <x:f>IF('Master'!E711="","",'Master'!E711)</x:f>
        <x:v>No</x:v>
      </x:c>
      <x:c r="E11" s="100" t="str">
        <x:f>IF('Master'!F711="","",'Master'!F711)</x:f>
        <x:v>No</x:v>
      </x:c>
      <x:c r="F11" s="100" t="str">
        <x:f>IF('Master'!G711="","",'Master'!G711)</x:f>
        <x:v>No</x:v>
      </x:c>
      <x:c r="G11" s="100" t="str">
        <x:f>IF('Master'!H711="","",'Master'!H711)</x:f>
        <x:v>No</x:v>
      </x:c>
      <x:c r="H11" s="100" t="str">
        <x:f>IF('Master'!I711="","",'Master'!I711)</x:f>
        <x:v>Yes</x:v>
      </x:c>
      <x:c r="I11" s="100" t="str">
        <x:f>IF('Master'!J711="","",'Master'!J711)</x:f>
        <x:v>No</x:v>
      </x:c>
      <x:c r="J11" s="100" t="str">
        <x:f>IF('Master'!K711="","",'Master'!K711)</x:f>
        <x:v>No</x:v>
      </x:c>
      <x:c r="K11" s="100" t="str">
        <x:f>IF('Master'!L711="","",'Master'!L711)</x:f>
        <x:v>No — MIT self-hosting</x:v>
      </x:c>
      <x:c r="L11" s="100" t="str">
        <x:f>IF('Master'!M711="","",'Master'!M711)</x:f>
        <x:v>No</x:v>
      </x:c>
      <x:c r="M11" s="100" t="str">
        <x:f>IF('Master'!N711="","",'Master'!N711)</x:f>
        <x:v>No</x:v>
      </x:c>
      <x:c r="N11" s="100" t="str">
        <x:f>IF('Master'!O711="","",'Master'!O711)</x:f>
        <x:v>No</x:v>
      </x:c>
      <x:c r="O11" s="100" t="str">
        <x:f>IF('Master'!P711="","",'Master'!P711)</x:f>
        <x:v>No</x:v>
      </x:c>
      <x:c r="P11" s="100" t="str">
        <x:f>IF('Master'!Q711="","",'Master'!Q711)</x:f>
        <x:v>No</x:v>
      </x:c>
      <x:c r="Q11" s="100" t="str">
        <x:f>IF('Master'!R711="","",'Master'!R711)</x:f>
        <x:v>No</x:v>
      </x:c>
      <x:c r="R11" s="100" t="str">
        <x:f>IF('Master'!S711="","",'Master'!S711)</x:f>
        <x:v>No</x:v>
      </x:c>
      <x:c r="S11" s="100" t="str">
        <x:f>IF('Master'!T711="","",'Master'!T711)</x:f>
        <x:v>No</x:v>
      </x:c>
      <x:c r="T11" s="100" t="str">
        <x:f>IF('Master'!U711="","",'Master'!U711)</x:f>
        <x:v>No — AGPL-3.0</x:v>
      </x:c>
      <x:c r="U11" s="100" t="str">
        <x:f>IF('Master'!V711="","",'Master'!V711)</x:f>
        <x:v>No</x:v>
      </x:c>
      <x:c r="V11" s="100" t="str">
        <x:f>IF('Master'!W711="","",'Master'!W711)</x:f>
        <x:v>No</x:v>
      </x:c>
      <x:c r="W11" s="100" t="str">
        <x:f>IF('Master'!X711="","",'Master'!X711)</x:f>
        <x:v>No</x:v>
      </x:c>
      <x:c r="X11" s="100" t="str">
        <x:f>IF('Master'!Y711="","",'Master'!Y711)</x:f>
        <x:v>No</x:v>
      </x:c>
      <x:c r="Y11" s="100" t="str">
        <x:f>IF('Master'!Z711="","",'Master'!Z711)</x:f>
        <x:v>No</x:v>
      </x:c>
      <x:c r="Z11" s="100" t="str">
        <x:f>IF('Master'!AA711="","",'Master'!AA711)</x:f>
        <x:v>No</x:v>
      </x:c>
      <x:c r="AA11" s="104" t="str">
        <x:f>IF('Master'!AB711="","",'Master'!AB711)</x:f>
        <x:v>Yes</x:v>
      </x:c>
      <x:c r="AB11" s="100" t="str">
        <x:f>IF('Master'!AC711="","",'Master'!AC711)</x:f>
        <x:v>No</x:v>
      </x:c>
      <x:c r="AC11" s="100" t="str">
        <x:f>IF('Master'!AD711="","",'Master'!AD711)</x:f>
        <x:v>No</x:v>
      </x:c>
      <x:c r="AD11" s="100" t="str">
        <x:f>IF('Master'!AE711="","",'Master'!AE711)</x:f>
        <x:v>No</x:v>
      </x:c>
      <x:c r="AE11" s="100" t="str">
        <x:f>IF('Master'!AF711="","",'Master'!AF711)</x:f>
        <x:v>No</x:v>
      </x:c>
      <x:c r="AF11" s="75" t="str">
        <x:f>IF('Master'!AG711="","",'Master'!AG711)</x:f>
        <x:v>Yes</x:v>
      </x:c>
    </x:row>
    <x:row r="12" ht="36" customHeight="1">
      <x:c r="A12" s="135" t="str">
        <x:v>Has Enterprise / Custom Quote Tier?</x:v>
      </x:c>
      <x:c r="B12" s="100" t="str">
        <x:f>IF('Master'!C712="","",'Master'!C712)</x:f>
      </x:c>
      <x:c r="C12" s="100" t="str">
        <x:f>IF('Master'!D712="","",'Master'!D712)</x:f>
      </x:c>
      <x:c r="D12" s="100" t="str">
        <x:f>IF('Master'!E712="","",'Master'!E712)</x:f>
      </x:c>
      <x:c r="E12" s="100" t="str">
        <x:f>IF('Master'!F712="","",'Master'!F712)</x:f>
      </x:c>
      <x:c r="F12" s="100" t="str">
        <x:f>IF('Master'!G712="","",'Master'!G712)</x:f>
      </x:c>
      <x:c r="G12" s="100" t="str">
        <x:f>IF('Master'!H712="","",'Master'!H712)</x:f>
      </x:c>
      <x:c r="H12" s="100" t="str">
        <x:f>IF('Master'!I712="","",'Master'!I712)</x:f>
      </x:c>
      <x:c r="I12" s="100" t="str">
        <x:f>IF('Master'!J712="","",'Master'!J712)</x:f>
      </x:c>
      <x:c r="J12" s="100" t="str">
        <x:f>IF('Master'!K712="","",'Master'!K712)</x:f>
      </x:c>
      <x:c r="K12" s="100" t="str">
        <x:f>IF('Master'!L712="","",'Master'!L712)</x:f>
        <x:v>No current enterprise/custom quote tier</x:v>
      </x:c>
      <x:c r="L12" s="100" t="str">
        <x:f>IF('Master'!M712="","",'Master'!M712)</x:f>
      </x:c>
      <x:c r="M12" s="100" t="str">
        <x:f>IF('Master'!N712="","",'Master'!N712)</x:f>
      </x:c>
      <x:c r="N12" s="100" t="str">
        <x:f>IF('Master'!O712="","",'Master'!O712)</x:f>
      </x:c>
      <x:c r="O12" s="100" t="str">
        <x:f>IF('Master'!P712="","",'Master'!P712)</x:f>
        <x:v>Yes</x:v>
      </x:c>
      <x:c r="P12" s="100" t="str">
        <x:f>IF('Master'!Q712="","",'Master'!Q712)</x:f>
      </x:c>
      <x:c r="Q12" s="100" t="str">
        <x:f>IF('Master'!R712="","",'Master'!R712)</x:f>
      </x:c>
      <x:c r="R12" s="100" t="str">
        <x:f>IF('Master'!S712="","",'Master'!S712)</x:f>
      </x:c>
      <x:c r="S12" s="100" t="str">
        <x:f>IF('Master'!T712="","",'Master'!T712)</x:f>
      </x:c>
      <x:c r="T12" s="100" t="str">
        <x:f>IF('Master'!U712="","",'Master'!U712)</x:f>
        <x:v>No public tier claimed</x:v>
      </x:c>
      <x:c r="U12" s="100" t="str">
        <x:f>IF('Master'!V712="","",'Master'!V712)</x:f>
        <x:v>No</x:v>
      </x:c>
      <x:c r="V12" s="100" t="str">
        <x:f>IF('Master'!W712="","",'Master'!W712)</x:f>
        <x:v>Yes</x:v>
      </x:c>
      <x:c r="W12" s="100" t="str">
        <x:f>IF('Master'!X712="","",'Master'!X712)</x:f>
      </x:c>
      <x:c r="X12" s="100" t="str">
        <x:f>IF('Master'!Y712="","",'Master'!Y712)</x:f>
      </x:c>
      <x:c r="Y12" s="100" t="str">
        <x:f>IF('Master'!Z712="","",'Master'!Z712)</x:f>
      </x:c>
      <x:c r="Z12" s="100" t="str">
        <x:f>IF('Master'!AA712="","",'Master'!AA712)</x:f>
      </x:c>
      <x:c r="AA12" s="104" t="str">
        <x:f>IF('Master'!AB712="","",'Master'!AB712)</x:f>
        <x:v>Yes</x:v>
      </x:c>
      <x:c r="AB12" s="100" t="str">
        <x:f>IF('Master'!AC712="","",'Master'!AC712)</x:f>
      </x:c>
      <x:c r="AC12" s="100" t="str">
        <x:f>IF('Master'!AD712="","",'Master'!AD712)</x:f>
      </x:c>
      <x:c r="AD12" s="100" t="str">
        <x:f>IF('Master'!AE712="","",'Master'!AE712)</x:f>
        <x:v>Yes</x:v>
      </x:c>
      <x:c r="AE12" s="100" t="str">
        <x:f>IF('Master'!AF712="","",'Master'!AF712)</x:f>
      </x:c>
      <x:c r="AF12" s="75" t="str">
        <x:f>IF('Master'!AG712="","",'Master'!AG712)</x:f>
        <x:v>Yes</x:v>
      </x:c>
    </x:row>
    <x:row r="13" ht="36" customHeight="1">
      <x:c r="A13" s="135" t="str">
        <x:v>Primary Billing Model</x:v>
      </x:c>
      <x:c r="B13" s="100" t="str">
        <x:f>IF('Master'!C713="","",'Master'!C713)</x:f>
        <x:v>Per user; Per boost</x:v>
      </x:c>
      <x:c r="C13" s="100" t="str">
        <x:f>IF('Master'!D713="","",'Master'!D713)</x:f>
      </x:c>
      <x:c r="D13" s="100" t="str">
        <x:f>IF('Master'!E713="","",'Master'!E713)</x:f>
      </x:c>
      <x:c r="E13" s="100" t="str">
        <x:f>IF('Master'!F713="","",'Master'!F713)</x:f>
      </x:c>
      <x:c r="F13" s="100" t="str">
        <x:f>IF('Master'!G713="","",'Master'!G713)</x:f>
        <x:v>Subscription</x:v>
      </x:c>
      <x:c r="G13" s="100" t="str">
        <x:f>IF('Master'!H713="","",'Master'!H713)</x:f>
        <x:v>Per user</x:v>
      </x:c>
      <x:c r="H13" s="100" t="str">
        <x:f>IF('Master'!I713="","",'Master'!I713)</x:f>
        <x:v>Per server; Per self-hosted server</x:v>
      </x:c>
      <x:c r="I13" s="100" t="str">
        <x:f>IF('Master'!J713="","",'Master'!J713)</x:f>
      </x:c>
      <x:c r="J13" s="100" t="str">
        <x:f>IF('Master'!K713="","",'Master'!K713)</x:f>
      </x:c>
      <x:c r="K13" s="100" t="str">
        <x:f>IF('Master'!L713="","",'Master'!L713)</x:f>
        <x:v>Free / self-funded today; monetization TBD</x:v>
      </x:c>
      <x:c r="L13" s="100" t="str">
        <x:f>IF('Master'!M713="","",'Master'!M713)</x:f>
      </x:c>
      <x:c r="M13" s="100" t="str">
        <x:f>IF('Master'!N713="","",'Master'!N713)</x:f>
      </x:c>
      <x:c r="N13" s="100" t="str">
        <x:f>IF('Master'!O713="","",'Master'!O713)</x:f>
      </x:c>
      <x:c r="O13" s="100" t="str">
        <x:f>IF('Master'!P713="","",'Master'!P713)</x:f>
        <x:v>Annual seat license; Add-on</x:v>
      </x:c>
      <x:c r="P13" s="100" t="str">
        <x:f>IF('Master'!Q713="","",'Master'!Q713)</x:f>
      </x:c>
      <x:c r="Q13" s="100" t="str">
        <x:f>IF('Master'!R713="","",'Master'!R713)</x:f>
      </x:c>
      <x:c r="R13" s="100" t="str">
        <x:f>IF('Master'!S713="","",'Master'!S713)</x:f>
      </x:c>
      <x:c r="S13" s="100" t="str">
        <x:f>IF('Master'!T713="","",'Master'!T713)</x:f>
      </x:c>
      <x:c r="T13" s="100" t="str">
        <x:f>IF('Master'!U713="","",'Master'!U713)</x:f>
        <x:v>Free hosted + optional donations</x:v>
      </x:c>
      <x:c r="U13" s="100" t="str">
        <x:f>IF('Master'!V713="","",'Master'!V713)</x:f>
        <x:v>Per user; Per community / Shard</x:v>
      </x:c>
      <x:c r="V13" s="100" t="str">
        <x:f>IF('Master'!W713="","",'Master'!W713)</x:f>
        <x:v>Organization / deployment</x:v>
      </x:c>
      <x:c r="W13" s="100" t="str">
        <x:f>IF('Master'!X713="","",'Master'!X713)</x:f>
      </x:c>
      <x:c r="X13" s="100" t="str">
        <x:f>IF('Master'!Y713="","",'Master'!Y713)</x:f>
        <x:v>Per user</x:v>
      </x:c>
      <x:c r="Y13" s="100" t="str">
        <x:f>IF('Master'!Z713="","",'Master'!Z713)</x:f>
      </x:c>
      <x:c r="Z13" s="100" t="str">
        <x:f>IF('Master'!AA713="","",'Master'!AA713)</x:f>
      </x:c>
      <x:c r="AA13" s="104" t="str">
        <x:f>IF('Master'!AB713="","",'Master'!AB713)</x:f>
        <x:v>Per hosted community; Per self-host license; Custom</x:v>
      </x:c>
      <x:c r="AB13" s="100" t="str">
        <x:f>IF('Master'!AC713="","",'Master'!AC713)</x:f>
        <x:v>Per supporter</x:v>
      </x:c>
      <x:c r="AC13" s="100" t="str">
        <x:f>IF('Master'!AD713="","",'Master'!AD713)</x:f>
      </x:c>
      <x:c r="AD13" s="100" t="str">
        <x:f>IF('Master'!AE713="","",'Master'!AE713)</x:f>
        <x:v>Per lobby; Per community build</x:v>
      </x:c>
      <x:c r="AE13" s="100" t="str">
        <x:f>IF('Master'!AF713="","",'Master'!AF713)</x:f>
        <x:v>Per managed server</x:v>
      </x:c>
      <x:c r="AF13" s="75" t="str">
        <x:f>IF('Master'!AG713="","",'Master'!AG713)</x:f>
        <x:v>Per user; Per user; 10-user minimum; Per user; 25-user minimum; Custom</x:v>
      </x:c>
    </x:row>
    <x:row r="14" ht="36" customHeight="1">
      <x:c r="A14" s="135" t="str">
        <x:v>Paid Option Names</x:v>
      </x:c>
      <x:c r="B14" s="100" t="str">
        <x:f>IF('Master'!C714="","",'Master'!C714)</x:f>
        <x:v>Nitro Basic; Nitro; Server Boost; Nitro Classic</x:v>
      </x:c>
      <x:c r="C14" s="100" t="str">
        <x:f>IF('Master'!D714="","",'Master'!D714)</x:f>
        <x:v>No public paid tier verified</x:v>
      </x:c>
      <x:c r="D14" s="100" t="str">
        <x:f>IF('Master'!E714="","",'Master'!E714)</x:f>
        <x:v>No public paid tier verified</x:v>
      </x:c>
      <x:c r="E14" s="100" t="str">
        <x:f>IF('Master'!F714="","",'Master'!F714)</x:f>
        <x:v>No public paid tier verified</x:v>
      </x:c>
      <x:c r="F14" s="100" t="str">
        <x:f>IF('Master'!G714="","",'Master'!G714)</x:f>
        <x:v>Surge; Flare; Prime</x:v>
      </x:c>
      <x:c r="G14" s="100" t="str">
        <x:f>IF('Master'!H714="","",'Master'!H714)</x:f>
        <x:v>Plutonium</x:v>
      </x:c>
      <x:c r="H14" s="100" t="str">
        <x:f>IF('Master'!I714="","",'Master'!I714)</x:f>
        <x:v>Silver; Gold; Diamond; Self-Hosted Server License</x:v>
      </x:c>
      <x:c r="I14" s="100" t="str">
        <x:f>IF('Master'!J714="","",'Master'!J714)</x:f>
        <x:v>No public paid tier verified</x:v>
      </x:c>
      <x:c r="J14" s="100" t="str">
        <x:f>IF('Master'!K714="","",'Master'!K714)</x:f>
        <x:v>No public paid tier verified</x:v>
      </x:c>
      <x:c r="K14" s="100" t="str">
        <x:f>IF('Master'!L714="","",'Master'!L714)</x:f>
        <x:v>None</x:v>
      </x:c>
      <x:c r="L14" s="100" t="str">
        <x:f>IF('Master'!M714="","",'Master'!M714)</x:f>
        <x:v>No public paid tier verified</x:v>
      </x:c>
      <x:c r="M14" s="100" t="str">
        <x:f>IF('Master'!N714="","",'Master'!N714)</x:f>
        <x:v>No public paid tier verified</x:v>
      </x:c>
      <x:c r="N14" s="100" t="str">
        <x:f>IF('Master'!O714="","",'Master'!O714)</x:f>
        <x:v>No public paid tier verified</x:v>
      </x:c>
      <x:c r="O14" s="100" t="str">
        <x:f>IF('Master'!P714="","",'Master'!P714)</x:f>
        <x:v>Professional; Enterprise; Enterprise Advanced; Premier Support</x:v>
      </x:c>
      <x:c r="P14" s="100" t="str">
        <x:f>IF('Master'!Q714="","",'Master'!Q714)</x:f>
        <x:v>No public paid tier verified</x:v>
      </x:c>
      <x:c r="Q14" s="100" t="str">
        <x:f>IF('Master'!R714="","",'Master'!R714)</x:f>
        <x:v>No public paid tier verified</x:v>
      </x:c>
      <x:c r="R14" s="100" t="str">
        <x:f>IF('Master'!S714="","",'Master'!S714)</x:f>
        <x:v>No public paid tier verified</x:v>
      </x:c>
      <x:c r="S14" s="100" t="str">
        <x:f>IF('Master'!T714="","",'Master'!T714)</x:f>
        <x:v>No public paid tier verified</x:v>
      </x:c>
      <x:c r="T14" s="100" t="str">
        <x:f>IF('Master'!U714="","",'Master'!U714)</x:f>
        <x:v>None — donations unlock nothing</x:v>
      </x:c>
      <x:c r="U14" s="100" t="str">
        <x:f>IF('Master'!V714="","",'Master'!V714)</x:f>
        <x:v>Rift+; Shard Ember; Shard Forge</x:v>
      </x:c>
      <x:c r="V14" s="100" t="str">
        <x:f>IF('Master'!W714="","",'Master'!W714)</x:f>
        <x:v>Commercial; Government; Defense</x:v>
      </x:c>
      <x:c r="W14" s="100" t="str">
        <x:f>IF('Master'!X714="","",'Master'!X714)</x:f>
        <x:v>No public paid tier verified</x:v>
      </x:c>
      <x:c r="X14" s="100" t="str">
        <x:f>IF('Master'!Y714="","",'Master'!Y714)</x:f>
        <x:v>Sudo</x:v>
      </x:c>
      <x:c r="Y14" s="100" t="str">
        <x:f>IF('Master'!Z714="","",'Master'!Z714)</x:f>
        <x:v>No public paid tier verified</x:v>
      </x:c>
      <x:c r="Z14" s="100" t="str">
        <x:f>IF('Master'!AA714="","",'Master'!AA714)</x:f>
        <x:v>No public paid tier verified</x:v>
      </x:c>
      <x:c r="AA14" s="104" t="str">
        <x:f>IF('Master'!AB714="","",'Master'!AB714)</x:f>
        <x:v>Crew; Team; Faction; Gamer / Activation 64 slots; Gamer / Activation 128 slots; Gamer / Activation 256 slots; Gamer / Activation 512 slots; Gamer / Activation 1024 slots; Commercial License; TeamSpeak SDK License</x:v>
      </x:c>
      <x:c r="AB14" s="100" t="str">
        <x:f>IF('Master'!AC714="","",'Master'!AC714)</x:f>
        <x:v>Stargazer</x:v>
      </x:c>
      <x:c r="AC14" s="100" t="str">
        <x:f>IF('Master'!AD714="","",'Master'!AD714)</x:f>
        <x:v>No public paid tier verified</x:v>
      </x:c>
      <x:c r="AD14" s="100" t="str">
        <x:f>IF('Master'!AE714="","",'Master'!AE714)</x:f>
        <x:v>Run your own; Have it built — Crew; Have it built — League; Have it built — Network; Have it built — Larger</x:v>
      </x:c>
      <x:c r="AE14" s="100" t="str">
        <x:f>IF('Master'!AF714="","",'Master'!AF714)</x:f>
        <x:v>Yapper Hosting — 1 Year</x:v>
      </x:c>
      <x:c r="AF14" s="75" t="str">
        <x:f>IF('Master'!AG714="","",'Master'!AG714)</x:f>
        <x:v>Cloud Standard; Cloud Plus; Self-hosted Basic; Self-hosted Business; Self-hosted Enterprise</x:v>
      </x:c>
    </x:row>
    <x:row r="15" ht="36" customHeight="1">
      <x:c r="A15" s="135" t="str">
        <x:v>Pricing Source / Notes</x:v>
      </x:c>
      <x:c r="B15" s="100" t="str">
        <x:f>IF('Master'!C715="","",'Master'!C715)</x:f>
        <x:v>https://support.discord.com/hc/en-us/articles/4407269525911-Localized-Pricing-on-Discord</x:v>
      </x:c>
      <x:c r="C15" s="100" t="str">
        <x:f>IF('Master'!D715="","",'Master'!D715)</x:f>
      </x:c>
      <x:c r="D15" s="100" t="str">
        <x:f>IF('Master'!E715="","",'Master'!E715)</x:f>
      </x:c>
      <x:c r="E15" s="100" t="str">
        <x:f>IF('Master'!F715="","",'Master'!F715)</x:f>
      </x:c>
      <x:c r="F15" s="100" t="str">
        <x:f>IF('Master'!G715="","",'Master'!G715)</x:f>
        <x:v>https://fenrid.com/waitlist</x:v>
      </x:c>
      <x:c r="G15" s="100" t="str">
        <x:f>IF('Master'!H715="","",'Master'!H715)</x:f>
        <x:v>https://fluxer.app/plutonium</x:v>
      </x:c>
      <x:c r="H15" s="100" t="str">
        <x:f>IF('Master'!I715="","",'Master'!I715)</x:f>
        <x:v>https://gamevox.com/blog/gamevox-vs-discord/; https://gamevox.com/self-hosted/</x:v>
      </x:c>
      <x:c r="I15" s="100" t="str">
        <x:f>IF('Master'!J715="","",'Master'!J715)</x:f>
      </x:c>
      <x:c r="J15" s="100" t="str">
        <x:f>IF('Master'!K715="","",'Master'!K715)</x:f>
      </x:c>
      <x:c r="K15" s="100" t="str">
        <x:f>IF('Master'!L715="","",'Master'!L715)</x:f>
        <x:v>Self-host infrastructure is operator-controlled; official service uses OVH core, Backblaze storage and Hivelocity/other LiveKit regions per developer report</x:v>
      </x:c>
      <x:c r="L15" s="100" t="str">
        <x:f>IF('Master'!M715="","",'Master'!M715)</x:f>
      </x:c>
      <x:c r="M15" s="100" t="str">
        <x:f>IF('Master'!N715="","",'Master'!N715)</x:f>
      </x:c>
      <x:c r="N15" s="100" t="str">
        <x:f>IF('Master'!O715="","",'Master'!O715)</x:f>
      </x:c>
      <x:c r="O15" s="100" t="str">
        <x:f>IF('Master'!P715="","",'Master'!P715)</x:f>
        <x:v>https://mattermost.com/pricing/; https://mattermost.com/support/</x:v>
      </x:c>
      <x:c r="P15" s="100" t="str">
        <x:f>IF('Master'!Q715="","",'Master'!Q715)</x:f>
      </x:c>
      <x:c r="Q15" s="100" t="str">
        <x:f>IF('Master'!R715="","",'Master'!R715)</x:f>
      </x:c>
      <x:c r="R15" s="100" t="str">
        <x:f>IF('Master'!S715="","",'Master'!S715)</x:f>
      </x:c>
      <x:c r="S15" s="100" t="str">
        <x:f>IF('Master'!T715="","",'Master'!T715)</x:f>
      </x:c>
      <x:c r="T15" s="100" t="str">
        <x:f>IF('Master'!U715="","",'Master'!U715)</x:f>
        <x:v>https://pqp.gg/apoie — donations unlock nothing; hosted service is free; not VC-backed</x:v>
      </x:c>
      <x:c r="U15" s="100" t="str">
        <x:f>IF('Master'!V715="","",'Master'!V715)</x:f>
        <x:v>https://therift.chat/de/plans/</x:v>
      </x:c>
      <x:c r="V15" s="100" t="str">
        <x:f>IF('Master'!W715="","",'Master'!W715)</x:f>
        <x:v>https://docs.rocket.chat/our-plans</x:v>
      </x:c>
      <x:c r="W15" s="100" t="str">
        <x:f>IF('Master'!X715="","",'Master'!X715)</x:f>
      </x:c>
      <x:c r="X15" s="100" t="str">
        <x:f>IF('Master'!Y715="","",'Master'!Y715)</x:f>
        <x:v>https://support.rootapp.com/docs/sudo/get-started/sudo-faqs/</x:v>
      </x:c>
      <x:c r="Y15" s="100" t="str">
        <x:f>IF('Master'!Z715="","",'Master'!Z715)</x:f>
      </x:c>
      <x:c r="Z15" s="100" t="str">
        <x:f>IF('Master'!AA715="","",'Master'!AA715)</x:f>
      </x:c>
      <x:c r="AA15" s="104" t="str">
        <x:f>IF('Master'!AB715="","",'Master'!AB715)</x:f>
        <x:v>https://support.teamspeak.com/hc/en-us/articles/26033099878045-Current-Community-Options; https://support.teamspeak.com/hc/en-us/articles/26033788383261-What-licenses-are-available</x:v>
      </x:c>
      <x:c r="AB15" s="100" t="str">
        <x:f>IF('Master'!AC715="","",'Master'!AC715)</x:f>
        <x:v>https://valour.gg/faq/</x:v>
      </x:c>
      <x:c r="AC15" s="100" t="str">
        <x:f>IF('Master'!AD715="","",'Master'!AD715)</x:f>
      </x:c>
      <x:c r="AD15" s="100" t="str">
        <x:f>IF('Master'!AE715="","",'Master'!AE715)</x:f>
        <x:v>https://weered.ca/pricing</x:v>
      </x:c>
      <x:c r="AE15" s="100" t="str">
        <x:f>IF('Master'!AF715="","",'Master'!AF715)</x:f>
        <x:v>https://yapper.gg/pricing</x:v>
      </x:c>
      <x:c r="AF15" s="75" t="str">
        <x:f>IF('Master'!AG715="","",'Master'!AG715)</x:f>
        <x:v>https://zulip.com/plans/</x:v>
      </x:c>
    </x:row>
    <x:row r="16" ht="22" customHeight="1">
      <x:c r="A16" s="138" t="str">
        <x:v>Additional Monetization Signals</x:v>
      </x:c>
      <x:c r="B16" s="138" t="str">
        <x:f>IF(""="","","")</x:f>
      </x:c>
      <x:c r="C16" s="138" t="str">
        <x:f>IF(""="","","")</x:f>
      </x:c>
      <x:c r="D16" s="138" t="str">
        <x:f>IF(""="","","")</x:f>
      </x:c>
      <x:c r="E16" s="138" t="str">
        <x:f>IF(""="","","")</x:f>
      </x:c>
      <x:c r="F16" s="138" t="str">
        <x:f>IF(""="","","")</x:f>
      </x:c>
      <x:c r="G16" s="138" t="str">
        <x:f>IF(""="","","")</x:f>
      </x:c>
      <x:c r="H16" s="138" t="str">
        <x:f>IF(""="","","")</x:f>
      </x:c>
      <x:c r="I16" s="138" t="str">
        <x:f>IF(""="","","")</x:f>
      </x:c>
      <x:c r="J16" s="138" t="str">
        <x:f>IF(""="","","")</x:f>
      </x:c>
      <x:c r="K16" s="138" t="str">
        <x:f>IF(""="","","")</x:f>
      </x:c>
      <x:c r="L16" s="138" t="str">
        <x:f>IF(""="","","")</x:f>
      </x:c>
      <x:c r="M16" s="138" t="str">
        <x:f>IF(""="","","")</x:f>
      </x:c>
      <x:c r="N16" s="138" t="str">
        <x:f>IF(""="","","")</x:f>
      </x:c>
      <x:c r="O16" s="138" t="str">
        <x:f>IF(""="","","")</x:f>
      </x:c>
      <x:c r="P16" s="138" t="str">
        <x:f>IF(""="","","")</x:f>
      </x:c>
      <x:c r="Q16" s="138" t="str">
        <x:f>IF(""="","","")</x:f>
      </x:c>
      <x:c r="R16" s="138" t="str">
        <x:f>IF(""="","","")</x:f>
      </x:c>
      <x:c r="S16" s="138" t="str">
        <x:f>IF(""="","","")</x:f>
      </x:c>
      <x:c r="T16" s="138" t="str">
        <x:f>IF(""="","","")</x:f>
      </x:c>
      <x:c r="U16" s="138" t="str">
        <x:f>IF(""="","","")</x:f>
      </x:c>
      <x:c r="V16" s="138" t="str">
        <x:f>IF(""="","","")</x:f>
      </x:c>
      <x:c r="W16" s="138" t="str">
        <x:f>IF(""="","","")</x:f>
      </x:c>
      <x:c r="X16" s="138" t="str">
        <x:f>IF(""="","","")</x:f>
      </x:c>
      <x:c r="Y16" s="138" t="str">
        <x:f>IF(""="","","")</x:f>
      </x:c>
      <x:c r="Z16" s="138" t="str">
        <x:f>IF(""="","","")</x:f>
      </x:c>
      <x:c r="AA16" s="138" t="str">
        <x:f>IF(""="","","")</x:f>
      </x:c>
      <x:c r="AB16" s="138" t="str">
        <x:f>IF(""="","","")</x:f>
      </x:c>
      <x:c r="AC16" s="138" t="str">
        <x:f>IF(""="","","")</x:f>
      </x:c>
      <x:c r="AD16" s="138" t="str">
        <x:f>IF(""="","","")</x:f>
      </x:c>
      <x:c r="AE16" s="138" t="str">
        <x:f>IF(""="","","")</x:f>
      </x:c>
      <x:c r="AF16" s="139" t="str">
        <x:f>IF(""="","","")</x:f>
      </x:c>
    </x:row>
    <x:row r="17" ht="36" customHeight="1">
      <x:c r="A17" s="135" t="str">
        <x:v>Advertising / Sponsored Content?</x:v>
      </x:c>
      <x:c r="B17" s="100" t="str">
        <x:f>IF('Master'!C716="","",'Master'!C716)</x:f>
        <x:v>Yes — sponsored Quests/formats</x:v>
      </x:c>
      <x:c r="C17" s="100" t="str">
        <x:f>IF('Master'!D716="","",'Master'!D716)</x:f>
      </x:c>
      <x:c r="D17" s="100" t="str">
        <x:f>IF('Master'!E716="","",'Master'!E716)</x:f>
      </x:c>
      <x:c r="E17" s="100" t="str">
        <x:f>IF('Master'!F716="","",'Master'!F716)</x:f>
      </x:c>
      <x:c r="F17" s="100" t="str">
        <x:f>IF('Master'!G716="","",'Master'!G716)</x:f>
      </x:c>
      <x:c r="G17" s="100" t="str">
        <x:f>IF('Master'!H716="","",'Master'!H716)</x:f>
      </x:c>
      <x:c r="H17" s="100" t="str">
        <x:f>IF('Master'!I716="","",'Master'!I716)</x:f>
      </x:c>
      <x:c r="I17" s="100" t="str">
        <x:f>IF('Master'!J716="","",'Master'!J716)</x:f>
      </x:c>
      <x:c r="J17" s="100" t="str">
        <x:f>IF('Master'!K716="","",'Master'!K716)</x:f>
      </x:c>
      <x:c r="K17" s="100" t="str">
        <x:f>IF('Master'!L716="","",'Master'!L716)</x:f>
        <x:v>No current advertising/sponsored revenue reported</x:v>
      </x:c>
      <x:c r="L17" s="100" t="str">
        <x:f>IF('Master'!M716="","",'Master'!M716)</x:f>
      </x:c>
      <x:c r="M17" s="100" t="str">
        <x:f>IF('Master'!N716="","",'Master'!N716)</x:f>
      </x:c>
      <x:c r="N17" s="100" t="str">
        <x:f>IF('Master'!O716="","",'Master'!O716)</x:f>
        <x:v>Protocol N/A / provider-dependent</x:v>
      </x:c>
      <x:c r="O17" s="100" t="str">
        <x:f>IF('Master'!P716="","",'Master'!P716)</x:f>
      </x:c>
      <x:c r="P17" s="100" t="str">
        <x:f>IF('Master'!Q716="","",'Master'!Q716)</x:f>
      </x:c>
      <x:c r="Q17" s="100" t="str">
        <x:f>IF('Master'!R716="","",'Master'!R716)</x:f>
      </x:c>
      <x:c r="R17" s="100" t="str">
        <x:f>IF('Master'!S716="","",'Master'!S716)</x:f>
      </x:c>
      <x:c r="S17" s="100" t="str">
        <x:f>IF('Master'!T716="","",'Master'!T716)</x:f>
      </x:c>
      <x:c r="T17" s="100" t="str">
        <x:f>IF('Master'!U716="","",'Master'!U716)</x:f>
        <x:v>No advertising model claimed</x:v>
      </x:c>
      <x:c r="U17" s="100" t="str">
        <x:f>IF('Master'!V716="","",'Master'!V716)</x:f>
        <x:v>No ads</x:v>
      </x:c>
      <x:c r="V17" s="100" t="str">
        <x:f>IF('Master'!W716="","",'Master'!W716)</x:f>
      </x:c>
      <x:c r="W17" s="100" t="str">
        <x:f>IF('Master'!X716="","",'Master'!X716)</x:f>
      </x:c>
      <x:c r="X17" s="100" t="str">
        <x:f>IF('Master'!Y716="","",'Master'!Y716)</x:f>
      </x:c>
      <x:c r="Y17" s="100" t="str">
        <x:f>IF('Master'!Z716="","",'Master'!Z716)</x:f>
      </x:c>
      <x:c r="Z17" s="100" t="str">
        <x:f>IF('Master'!AA716="","",'Master'!AA716)</x:f>
      </x:c>
      <x:c r="AA17" s="104" t="str">
        <x:f>IF('Master'!AB716="","",'Master'!AB716)</x:f>
      </x:c>
      <x:c r="AB17" s="100" t="str">
        <x:f>IF('Master'!AC716="","",'Master'!AC716)</x:f>
      </x:c>
      <x:c r="AC17" s="100" t="str">
        <x:f>IF('Master'!AD716="","",'Master'!AD716)</x:f>
      </x:c>
      <x:c r="AD17" s="100" t="str">
        <x:f>IF('Master'!AE716="","",'Master'!AE716)</x:f>
      </x:c>
      <x:c r="AE17" s="100" t="str">
        <x:f>IF('Master'!AF716="","",'Master'!AF716)</x:f>
      </x:c>
      <x:c r="AF17" s="75" t="str">
        <x:f>IF('Master'!AG716="","",'Master'!AG716)</x:f>
      </x:c>
    </x:row>
    <x:row r="18" ht="36" customHeight="1">
      <x:c r="A18" s="135" t="str">
        <x:v>Donation / Sponsorship Funding?</x:v>
      </x:c>
      <x:c r="B18" s="100" t="str">
        <x:f>IF('Master'!C717="","",'Master'!C717)</x:f>
      </x:c>
      <x:c r="C18" s="100" t="str">
        <x:f>IF('Master'!D717="","",'Master'!D717)</x:f>
      </x:c>
      <x:c r="D18" s="100" t="str">
        <x:f>IF('Master'!E717="","",'Master'!E717)</x:f>
        <x:v>Yes</x:v>
      </x:c>
      <x:c r="E18" s="100" t="str">
        <x:f>IF('Master'!F717="","",'Master'!F717)</x:f>
      </x:c>
      <x:c r="F18" s="100" t="str">
        <x:f>IF('Master'!G717="","",'Master'!G717)</x:f>
      </x:c>
      <x:c r="G18" s="100" t="str">
        <x:f>IF('Master'!H717="","",'Master'!H717)</x:f>
        <x:v>Yes</x:v>
      </x:c>
      <x:c r="H18" s="100" t="str">
        <x:f>IF('Master'!I717="","",'Master'!I717)</x:f>
      </x:c>
      <x:c r="I18" s="100" t="str">
        <x:f>IF('Master'!J717="","",'Master'!J717)</x:f>
      </x:c>
      <x:c r="J18" s="100" t="str">
        <x:f>IF('Master'!K717="","",'Master'!K717)</x:f>
      </x:c>
      <x:c r="K18" s="100" t="str">
        <x:f>IF('Master'!L717="","",'Master'!L717)</x:f>
        <x:v>No donation model reported as primary funding</x:v>
      </x:c>
      <x:c r="L18" s="100" t="str">
        <x:f>IF('Master'!M717="","",'Master'!M717)</x:f>
        <x:v>Yes</x:v>
      </x:c>
      <x:c r="M18" s="100" t="str">
        <x:f>IF('Master'!N717="","",'Master'!N717)</x:f>
      </x:c>
      <x:c r="N18" s="100" t="str">
        <x:f>IF('Master'!O717="","",'Master'!O717)</x:f>
        <x:v>Yes — foundation support</x:v>
      </x:c>
      <x:c r="O18" s="100" t="str">
        <x:f>IF('Master'!P717="","",'Master'!P717)</x:f>
      </x:c>
      <x:c r="P18" s="100" t="str">
        <x:f>IF('Master'!Q717="","",'Master'!Q717)</x:f>
      </x:c>
      <x:c r="Q18" s="100" t="str">
        <x:f>IF('Master'!R717="","",'Master'!R717)</x:f>
      </x:c>
      <x:c r="R18" s="100" t="str">
        <x:f>IF('Master'!S717="","",'Master'!S717)</x:f>
        <x:v>Yes</x:v>
      </x:c>
      <x:c r="S18" s="100" t="str">
        <x:f>IF('Master'!T717="","",'Master'!T717)</x:f>
      </x:c>
      <x:c r="T18" s="100" t="str">
        <x:f>IF('Master'!U717="","",'Master'!U717)</x:f>
        <x:v>Yes</x:v>
      </x:c>
      <x:c r="U18" s="100" t="str">
        <x:f>IF('Master'!V717="","",'Master'!V717)</x:f>
        <x:v>No</x:v>
      </x:c>
      <x:c r="V18" s="100" t="str">
        <x:f>IF('Master'!W717="","",'Master'!W717)</x:f>
      </x:c>
      <x:c r="W18" s="100" t="str">
        <x:f>IF('Master'!X717="","",'Master'!X717)</x:f>
      </x:c>
      <x:c r="X18" s="100" t="str">
        <x:f>IF('Master'!Y717="","",'Master'!Y717)</x:f>
      </x:c>
      <x:c r="Y18" s="100" t="str">
        <x:f>IF('Master'!Z717="","",'Master'!Z717)</x:f>
      </x:c>
      <x:c r="Z18" s="100" t="str">
        <x:f>IF('Master'!AA717="","",'Master'!AA717)</x:f>
      </x:c>
      <x:c r="AA18" s="104" t="str">
        <x:f>IF('Master'!AB717="","",'Master'!AB717)</x:f>
      </x:c>
      <x:c r="AB18" s="100" t="str">
        <x:f>IF('Master'!AC717="","",'Master'!AC717)</x:f>
      </x:c>
      <x:c r="AC18" s="100" t="str">
        <x:f>IF('Master'!AD717="","",'Master'!AD717)</x:f>
      </x:c>
      <x:c r="AD18" s="100" t="str">
        <x:f>IF('Master'!AE717="","",'Master'!AE717)</x:f>
      </x:c>
      <x:c r="AE18" s="100" t="str">
        <x:f>IF('Master'!AF717="","",'Master'!AF717)</x:f>
      </x:c>
      <x:c r="AF18" s="75" t="str">
        <x:f>IF('Master'!AG717="","",'Master'!AG717)</x:f>
      </x:c>
    </x:row>
    <x:row r="19" ht="36" customHeight="1">
      <x:c r="A19" s="135" t="str">
        <x:v>Marketplace / App Revenue?</x:v>
      </x:c>
      <x:c r="B19" s="100" t="str">
        <x:f>IF('Master'!C718="","",'Master'!C718)</x:f>
        <x:v>Yes — Premium Apps / creator monetization</x:v>
      </x:c>
      <x:c r="C19" s="100" t="str">
        <x:f>IF('Master'!D718="","",'Master'!D718)</x:f>
      </x:c>
      <x:c r="D19" s="100" t="str">
        <x:f>IF('Master'!E718="","",'Master'!E718)</x:f>
      </x:c>
      <x:c r="E19" s="100" t="str">
        <x:f>IF('Master'!F718="","",'Master'!F718)</x:f>
      </x:c>
      <x:c r="F19" s="100" t="str">
        <x:f>IF('Master'!G718="","",'Master'!G718)</x:f>
      </x:c>
      <x:c r="G19" s="100" t="str">
        <x:f>IF('Master'!H718="","",'Master'!H718)</x:f>
      </x:c>
      <x:c r="H19" s="100" t="str">
        <x:f>IF('Master'!I718="","",'Master'!I718)</x:f>
      </x:c>
      <x:c r="I19" s="100" t="str">
        <x:f>IF('Master'!J718="","",'Master'!J718)</x:f>
      </x:c>
      <x:c r="J19" s="100" t="str">
        <x:f>IF('Master'!K718="","",'Master'!K718)</x:f>
      </x:c>
      <x:c r="K19" s="100" t="str">
        <x:f>IF('Master'!L718="","",'Master'!L718)</x:f>
        <x:v>No current marketplace revenue</x:v>
      </x:c>
      <x:c r="L19" s="100" t="str">
        <x:f>IF('Master'!M718="","",'Master'!M718)</x:f>
      </x:c>
      <x:c r="M19" s="100" t="str">
        <x:f>IF('Master'!N718="","",'Master'!N718)</x:f>
      </x:c>
      <x:c r="N19" s="100" t="str">
        <x:f>IF('Master'!O718="","",'Master'!O718)</x:f>
      </x:c>
      <x:c r="O19" s="100" t="str">
        <x:f>IF('Master'!P718="","",'Master'!P718)</x:f>
      </x:c>
      <x:c r="P19" s="100" t="str">
        <x:f>IF('Master'!Q718="","",'Master'!Q718)</x:f>
      </x:c>
      <x:c r="Q19" s="100" t="str">
        <x:f>IF('Master'!R718="","",'Master'!R718)</x:f>
      </x:c>
      <x:c r="R19" s="100" t="str">
        <x:f>IF('Master'!S718="","",'Master'!S718)</x:f>
      </x:c>
      <x:c r="S19" s="100" t="str">
        <x:f>IF('Master'!T718="","",'Master'!T718)</x:f>
      </x:c>
      <x:c r="T19" s="100" t="str">
        <x:f>IF('Master'!U718="","",'Master'!U718)</x:f>
        <x:v>No public marketplace/app revenue model</x:v>
      </x:c>
      <x:c r="U19" s="100" t="str">
        <x:f>IF('Master'!V718="","",'Master'!V718)</x:f>
        <x:v>No</x:v>
      </x:c>
      <x:c r="V19" s="100" t="str">
        <x:f>IF('Master'!W718="","",'Master'!W718)</x:f>
        <x:v>Paid marketplace apps</x:v>
      </x:c>
      <x:c r="W19" s="100" t="str">
        <x:f>IF('Master'!X718="","",'Master'!X718)</x:f>
      </x:c>
      <x:c r="X19" s="100" t="str">
        <x:f>IF('Master'!Y718="","",'Master'!Y718)</x:f>
      </x:c>
      <x:c r="Y19" s="100" t="str">
        <x:f>IF('Master'!Z718="","",'Master'!Z718)</x:f>
      </x:c>
      <x:c r="Z19" s="100" t="str">
        <x:f>IF('Master'!AA718="","",'Master'!AA718)</x:f>
      </x:c>
      <x:c r="AA19" s="104" t="str">
        <x:f>IF('Master'!AB718="","",'Master'!AB718)</x:f>
      </x:c>
      <x:c r="AB19" s="100" t="str">
        <x:f>IF('Master'!AC718="","",'Master'!AC718)</x:f>
      </x:c>
      <x:c r="AC19" s="100" t="str">
        <x:f>IF('Master'!AD718="","",'Master'!AD718)</x:f>
      </x:c>
      <x:c r="AD19" s="100" t="str">
        <x:f>IF('Master'!AE718="","",'Master'!AE718)</x:f>
      </x:c>
      <x:c r="AE19" s="100" t="str">
        <x:f>IF('Master'!AF718="","",'Master'!AF718)</x:f>
      </x:c>
      <x:c r="AF19" s="75" t="str">
        <x:f>IF('Master'!AG718="","",'Master'!AG718)</x:f>
      </x:c>
    </x:row>
    <x:row r="20" ht="36" customHeight="1">
      <x:c r="A20" s="135" t="str">
        <x:v>Free Self-Hosting Software?</x:v>
      </x:c>
      <x:c r="B20" s="100" t="str">
        <x:f>IF('Master'!C719="","",'Master'!C719)</x:f>
      </x:c>
      <x:c r="C20" s="100" t="str">
        <x:f>IF('Master'!D719="","",'Master'!D719)</x:f>
      </x:c>
      <x:c r="D20" s="100" t="str">
        <x:f>IF('Master'!E719="","",'Master'!E719)</x:f>
      </x:c>
      <x:c r="E20" s="100" t="str">
        <x:f>IF('Master'!F719="","",'Master'!F719)</x:f>
      </x:c>
      <x:c r="F20" s="100" t="str">
        <x:f>IF('Master'!G719="","",'Master'!G719)</x:f>
      </x:c>
      <x:c r="G20" s="100" t="str">
        <x:f>IF('Master'!H719="","",'Master'!H719)</x:f>
      </x:c>
      <x:c r="H20" s="100" t="str">
        <x:f>IF('Master'!I719="","",'Master'!I719)</x:f>
      </x:c>
      <x:c r="I20" s="100" t="str">
        <x:f>IF('Master'!J719="","",'Master'!J719)</x:f>
      </x:c>
      <x:c r="J20" s="100" t="str">
        <x:f>IF('Master'!K719="","",'Master'!K719)</x:f>
      </x:c>
      <x:c r="K20" s="100" t="str">
        <x:f>IF('Master'!L719="","",'Master'!L719)</x:f>
        <x:v>Yes — MIT</x:v>
      </x:c>
      <x:c r="L20" s="100" t="str">
        <x:f>IF('Master'!M719="","",'Master'!M719)</x:f>
      </x:c>
      <x:c r="M20" s="100" t="str">
        <x:f>IF('Master'!N719="","",'Master'!N719)</x:f>
      </x:c>
      <x:c r="N20" s="100" t="str">
        <x:f>IF('Master'!O719="","",'Master'!O719)</x:f>
        <x:v>Yes</x:v>
      </x:c>
      <x:c r="O20" s="100" t="str">
        <x:f>IF('Master'!P719="","",'Master'!P719)</x:f>
        <x:v>Yes — community edition</x:v>
      </x:c>
      <x:c r="P20" s="100" t="str">
        <x:f>IF('Master'!Q719="","",'Master'!Q719)</x:f>
      </x:c>
      <x:c r="Q20" s="100" t="str">
        <x:f>IF('Master'!R719="","",'Master'!R719)</x:f>
        <x:v>Yes</x:v>
      </x:c>
      <x:c r="R20" s="100" t="str">
        <x:f>IF('Master'!S719="","",'Master'!S719)</x:f>
      </x:c>
      <x:c r="S20" s="100" t="str">
        <x:f>IF('Master'!T719="","",'Master'!T719)</x:f>
      </x:c>
      <x:c r="T20" s="100" t="str">
        <x:f>IF('Master'!U719="","",'Master'!U719)</x:f>
        <x:v>Yes — AGPL-3.0</x:v>
      </x:c>
      <x:c r="U20" s="100" t="str">
        <x:f>IF('Master'!V719="","",'Master'!V719)</x:f>
        <x:v>No public self-hosting</x:v>
      </x:c>
      <x:c r="V20" s="100" t="str">
        <x:f>IF('Master'!W719="","",'Master'!W719)</x:f>
        <x:v>Community edition / current licensing conditions</x:v>
      </x:c>
      <x:c r="W20" s="100" t="str">
        <x:f>IF('Master'!X719="","",'Master'!X719)</x:f>
      </x:c>
      <x:c r="X20" s="100" t="str">
        <x:f>IF('Master'!Y719="","",'Master'!Y719)</x:f>
      </x:c>
      <x:c r="Y20" s="100" t="str">
        <x:f>IF('Master'!Z719="","",'Master'!Z719)</x:f>
        <x:v>Yes</x:v>
      </x:c>
      <x:c r="Z20" s="100" t="str">
        <x:f>IF('Master'!AA719="","",'Master'!AA719)</x:f>
        <x:v>Yes</x:v>
      </x:c>
      <x:c r="AA20" s="104" t="str">
        <x:f>IF('Master'!AB719="","",'Master'!AB719)</x:f>
      </x:c>
      <x:c r="AB20" s="100" t="str">
        <x:f>IF('Master'!AC719="","",'Master'!AC719)</x:f>
      </x:c>
      <x:c r="AC20" s="100" t="str">
        <x:f>IF('Master'!AD719="","",'Master'!AD719)</x:f>
      </x:c>
      <x:c r="AD20" s="100" t="str">
        <x:f>IF('Master'!AE719="","",'Master'!AE719)</x:f>
      </x:c>
      <x:c r="AE20" s="100" t="str">
        <x:f>IF('Master'!AF719="","",'Master'!AF719)</x:f>
      </x:c>
      <x:c r="AF20" s="75" t="str">
        <x:f>IF('Master'!AG719="","",'Master'!AG719)</x:f>
        <x:v>Yes</x:v>
      </x:c>
    </x:row>
  </x:sheetData>
  <x:mergeCells>
    <x:mergeCell ref="A1:A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32" width="20" customWidth="1"/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8" hidden="0" customWidth="1"/>
    <x:col min="10" max="10" width="18" hidden="0" customWidth="1"/>
    <x:col min="11" max="11" width="18" hidden="0" customWidth="1"/>
    <x:col min="12" max="12" width="36" hidden="0" customWidth="1"/>
    <x:col min="13" max="13" width="36" hidden="0" customWidth="1"/>
    <x:col min="14" max="14" width="15" hidden="0" customWidth="1"/>
    <x:col min="15" max="15" width="36" hidden="0" customWidth="1"/>
    <x:col min="16" max="16" width="22" hidden="0" customWidth="1"/>
  </x:cols>
  <x:sheetData>
    <x:row r="1" ht="28" customHeight="1">
      <x:c r="A1" s="130" t="str">
        <x:f>IFERROR(HYPERLINK("#'Sheet Directory'!A1","Paid Options &amp; Tiers — one purchasable option per row"),"Paid Options &amp; Tiers — one purchasable option per row")</x:f>
        <x:v>Paid Options &amp; Tiers — one purchasable option per row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</x:row>
    <x:row r="2" ht="32" customHeight="1">
      <x:c r="A2" s="116" t="str">
        <x:v>Platform</x:v>
      </x:c>
      <x:c r="B2" s="116" t="str">
        <x:v>Option Type</x:v>
      </x:c>
      <x:c r="C2" s="116" t="str">
        <x:v>Paid Option / Tier</x:v>
      </x:c>
      <x:c r="D2" s="116" t="str">
        <x:v>Status</x:v>
      </x:c>
      <x:c r="E2" s="116" t="str">
        <x:v>Monthly Price</x:v>
      </x:c>
      <x:c r="F2" s="116" t="str">
        <x:v>6-Month Price</x:v>
      </x:c>
      <x:c r="G2" s="116" t="str">
        <x:v>Annual Price</x:v>
      </x:c>
      <x:c r="H2" s="116" t="str">
        <x:v>Currency</x:v>
      </x:c>
      <x:c r="I2" s="116" t="str">
        <x:v>Billing Basis</x:v>
      </x:c>
      <x:c r="J2" s="116" t="str">
        <x:v>Who Gets the Benefit?</x:v>
      </x:c>
      <x:c r="K2" s="116" t="str">
        <x:v>Included / Requires</x:v>
      </x:c>
      <x:c r="L2" s="116" t="str">
        <x:v>Key Perks / Limits</x:v>
      </x:c>
      <x:c r="M2" s="116" t="str">
        <x:v>Source URL</x:v>
      </x:c>
      <x:c r="N2" s="116" t="str">
        <x:v>Last Checked</x:v>
      </x:c>
      <x:c r="O2" s="116" t="str">
        <x:v>Notes</x:v>
      </x:c>
      <x:c r="P2" s="116" t="str">
        <x:v>Evidence Status</x:v>
      </x:c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</x:row>
    <x:row r="3" ht="75">
      <x:c r="A3" s="75" t="str">
        <x:v>Discord</x:v>
      </x:c>
      <x:c r="B3" s="75" t="str">
        <x:v>User subscription</x:v>
      </x:c>
      <x:c r="C3" s="75" t="str">
        <x:v>Nitro Basic</x:v>
      </x:c>
      <x:c r="D3" s="75" t="str">
        <x:v>Active</x:v>
      </x:c>
      <x:c r="E3" s="75" t="str">
        <x:v>2.99</x:v>
      </x:c>
      <x:c r="F3" s="75" t="str">
        <x:v>N/A</x:v>
      </x:c>
      <x:c r="G3" s="75" t="str">
        <x:v>29.99</x:v>
      </x:c>
      <x:c r="H3" s="75" t="str">
        <x:v>USD</x:v>
      </x:c>
      <x:c r="I3" s="75" t="str">
        <x:v>Per user</x:v>
      </x:c>
      <x:c r="J3" s="75" t="str">
        <x:v>Personal account</x:v>
      </x:c>
      <x:c r="K3" s="75" t="str">
        <x:v>N/A</x:v>
      </x:c>
      <x:c r="L3" s="75" t="str">
        <x:v>50 MB uploads; global custom emoji/stickers; Super Reactions; video backgrounds; badge</x:v>
      </x:c>
      <x:c r="M3" s="75" t="str">
        <x:v>https://support.discord.com/hc/en-us/articles/4407269525911-Localized-Pricing-on-Discord</x:v>
      </x:c>
      <x:c r="N3" s="75" t="str">
        <x:v>2026-09-15</x:v>
      </x:c>
      <x:c r="O3" s="75" t="str">
        <x:v>Localized pricing exists; USD shown for comparison.</x:v>
      </x:c>
      <x:c r="P3" s="75" t="str">
        <x:v>Primary / first-party source recorded</x:v>
      </x:c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</x:row>
    <x:row r="4" ht="75">
      <x:c r="A4" s="75" t="str">
        <x:v>Discord</x:v>
      </x:c>
      <x:c r="B4" s="75" t="str">
        <x:v>User subscription</x:v>
      </x:c>
      <x:c r="C4" s="75" t="str">
        <x:v>Nitro</x:v>
      </x:c>
      <x:c r="D4" s="75" t="str">
        <x:v>Active</x:v>
      </x:c>
      <x:c r="E4" s="75" t="str">
        <x:v>9.99</x:v>
      </x:c>
      <x:c r="F4" s="75" t="str">
        <x:v>N/A</x:v>
      </x:c>
      <x:c r="G4" s="75" t="str">
        <x:v>99.99</x:v>
      </x:c>
      <x:c r="H4" s="75" t="str">
        <x:v>USD</x:v>
      </x:c>
      <x:c r="I4" s="75" t="str">
        <x:v>Per user</x:v>
      </x:c>
      <x:c r="J4" s="75" t="str">
        <x:v>Personal account</x:v>
      </x:c>
      <x:c r="K4" s="75" t="str">
        <x:v>Includes 2 Server Boosts</x:v>
      </x:c>
      <x:c r="L4" s="75" t="str">
        <x:v>500 MB uploads; HD streaming; profile customization; themes; 200 servers; 4,000-char messages</x:v>
      </x:c>
      <x:c r="M4" s="75" t="str">
        <x:v>https://support.discord.com/hc/en-us/articles/4407269525911-Localized-Pricing-on-Discord</x:v>
      </x:c>
      <x:c r="N4" s="75" t="str">
        <x:v>2026-09-15</x:v>
      </x:c>
      <x:c r="O4" s="75" t="str">
        <x:v>Current full Nitro plan.</x:v>
      </x:c>
      <x:c r="P4" s="75" t="str">
        <x:v>Primary / first-party source recorded</x:v>
      </x:c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</x:row>
    <x:row r="5" ht="75">
      <x:c r="A5" s="75" t="str">
        <x:v>Discord</x:v>
      </x:c>
      <x:c r="B5" s="75" t="str">
        <x:v>Server add-on</x:v>
      </x:c>
      <x:c r="C5" s="75" t="str">
        <x:v>Server Boost</x:v>
      </x:c>
      <x:c r="D5" s="75" t="str">
        <x:v>Active</x:v>
      </x:c>
      <x:c r="E5" s="75" t="str">
        <x:v>4.99</x:v>
      </x:c>
      <x:c r="F5" s="75" t="str">
        <x:v>N/A</x:v>
      </x:c>
      <x:c r="G5" s="75" t="str">
        <x:v>49.99</x:v>
      </x:c>
      <x:c r="H5" s="75" t="str">
        <x:v>USD</x:v>
      </x:c>
      <x:c r="I5" s="75" t="str">
        <x:v>Per boost</x:v>
      </x:c>
      <x:c r="J5" s="75" t="str">
        <x:v>One server</x:v>
      </x:c>
      <x:c r="K5" s="75" t="str">
        <x:v>Nitro includes 2 boosts; Nitro gets 30% off extra boosts</x:v>
      </x:c>
      <x:c r="L5" s="75" t="str">
        <x:v>Contributes to server-wide boost levels and additional server perks</x:v>
      </x:c>
      <x:c r="M5" s="75" t="str">
        <x:v>https://support.discord.com/hc/en-us/articles/4407269525911-Localized-Pricing-on-Discord</x:v>
      </x:c>
      <x:c r="N5" s="75" t="str">
        <x:v>2026-09-15</x:v>
      </x:c>
      <x:c r="O5" s="75" t="str">
        <x:v>Each boost is a separate recurring subscription.</x:v>
      </x:c>
      <x:c r="P5" s="75" t="str">
        <x:v>Primary / first-party source recorded</x:v>
      </x:c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</x:row>
    <x:row r="6" ht="75">
      <x:c r="A6" s="75" t="str">
        <x:v>Discord</x:v>
      </x:c>
      <x:c r="B6" s="75" t="str">
        <x:v>Legacy user subscription</x:v>
      </x:c>
      <x:c r="C6" s="75" t="str">
        <x:v>Nitro Classic</x:v>
      </x:c>
      <x:c r="D6" s="75" t="str">
        <x:v>Grandfathered / not sold to new subscribers</x:v>
      </x:c>
      <x:c r="E6" s="75" t="str">
        <x:v>4.99</x:v>
      </x:c>
      <x:c r="F6" s="75" t="str">
        <x:v>N/A</x:v>
      </x:c>
      <x:c r="G6" s="75" t="str">
        <x:v>49.99</x:v>
      </x:c>
      <x:c r="H6" s="75" t="str">
        <x:v>USD</x:v>
      </x:c>
      <x:c r="I6" s="75" t="str">
        <x:v>Per user</x:v>
      </x:c>
      <x:c r="J6" s="75" t="str">
        <x:v>Personal account</x:v>
      </x:c>
      <x:c r="K6" s="75" t="str">
        <x:v>N/A</x:v>
      </x:c>
      <x:c r="L6" s="75" t="str">
        <x:v>Legacy Nitro feature set; retained only by eligible existing subscribers</x:v>
      </x:c>
      <x:c r="M6" s="75" t="str">
        <x:v>https://support.discord.com/hc/en-us/articles/4407269525911-Localized-Pricing-on-Discord</x:v>
      </x:c>
      <x:c r="N6" s="75" t="str">
        <x:v>2026-09-15</x:v>
      </x:c>
      <x:c r="O6" s="75" t="str">
        <x:v>No longer available to new subscribers.</x:v>
      </x:c>
      <x:c r="P6" s="75" t="str">
        <x:v>Primary / first-party source recorded</x:v>
      </x:c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</x:row>
    <x:row r="7" ht="45">
      <x:c r="A7" s="75" t="str">
        <x:v>Stoat</x:v>
      </x:c>
      <x:c r="B7" s="75" t="str">
        <x:v>No public paid tier</x:v>
      </x:c>
      <x:c r="C7" s="75" t="str">
        <x:v>No public fixed-price paid tier verified</x:v>
      </x:c>
      <x:c r="D7" s="75" t="str">
        <x:v>None verified</x:v>
      </x:c>
      <x:c r="E7" s="75" t="str">
        <x:v>N/A</x:v>
      </x:c>
      <x:c r="F7" s="75" t="str">
        <x:v>N/A</x:v>
      </x:c>
      <x:c r="G7" s="75" t="str">
        <x:v>N/A</x:v>
      </x:c>
      <x:c r="H7" s="75" t="str">
        <x:v>N/A</x:v>
      </x:c>
      <x:c r="I7" s="75" t="str">
        <x:v>N/A</x:v>
      </x:c>
      <x:c r="J7" s="75" t="str">
        <x:v>N/A</x:v>
      </x:c>
      <x:c r="K7" s="75" t="str">
        <x:v>N/A</x:v>
      </x:c>
      <x:c r="L7" s="75" t="str">
        <x:v>N/A</x:v>
      </x:c>
      <x:c r="M7" s="75" t="str">
        <x:v>https://stoat.chat/</x:v>
      </x:c>
      <x:c r="N7" s="75" t="str">
        <x:v>2026-09-15</x:v>
      </x:c>
      <x:c r="O7" s="75" t="str">
        <x:v>Hosted service/self-host project; no fixed paid subscription verified.</x:v>
      </x:c>
      <x:c r="P7" s="75" t="str">
        <x:v>Primary / first-party source recorded</x:v>
      </x:c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</x:row>
    <x:row r="8" ht="45">
      <x:c r="A8" s="75" t="str">
        <x:v>Fenrid</x:v>
      </x:c>
      <x:c r="B8" s="75" t="str">
        <x:v>Planned subscription</x:v>
      </x:c>
      <x:c r="C8" s="75" t="str">
        <x:v>Surge</x:v>
      </x:c>
      <x:c r="D8" s="75" t="str">
        <x:v>Coming soon</x:v>
      </x:c>
      <x:c r="E8" s="75" t="str">
        <x:v>4.99</x:v>
      </x:c>
      <x:c r="F8" s="75" t="str">
        <x:v>N/A</x:v>
      </x:c>
      <x:c r="G8" s="75" t="str">
        <x:v>U/K</x:v>
      </x:c>
      <x:c r="H8" s="75" t="str">
        <x:v>USD</x:v>
      </x:c>
      <x:c r="I8" s="75" t="str">
        <x:v>Subscription</x:v>
      </x:c>
      <x:c r="J8" s="75" t="str">
        <x:v>User/community plan</x:v>
      </x:c>
      <x:c r="K8" s="75" t="str">
        <x:v>N/A</x:v>
      </x:c>
      <x:c r="L8" s="75" t="str">
        <x:v>Essential tools for small communities</x:v>
      </x:c>
      <x:c r="M8" s="75" t="str">
        <x:v>https://fenrid.com/waitlist</x:v>
      </x:c>
      <x:c r="N8" s="75" t="str">
        <x:v>2026-09-15</x:v>
      </x:c>
      <x:c r="O8" s="75" t="str">
        <x:v>Fenrid is in alpha; pricing and benefits may change before launch.</x:v>
      </x:c>
      <x:c r="P8" s="75" t="str">
        <x:v>Primary / first-party source recorded</x:v>
      </x:c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</x:row>
    <x:row r="9" ht="45">
      <x:c r="A9" s="75" t="str">
        <x:v>Fenrid</x:v>
      </x:c>
      <x:c r="B9" s="75" t="str">
        <x:v>Planned subscription</x:v>
      </x:c>
      <x:c r="C9" s="75" t="str">
        <x:v>Flare</x:v>
      </x:c>
      <x:c r="D9" s="75" t="str">
        <x:v>Coming soon</x:v>
      </x:c>
      <x:c r="E9" s="75" t="str">
        <x:v>9.99</x:v>
      </x:c>
      <x:c r="F9" s="75" t="str">
        <x:v>N/A</x:v>
      </x:c>
      <x:c r="G9" s="75" t="str">
        <x:v>U/K</x:v>
      </x:c>
      <x:c r="H9" s="75" t="str">
        <x:v>USD</x:v>
      </x:c>
      <x:c r="I9" s="75" t="str">
        <x:v>Subscription</x:v>
      </x:c>
      <x:c r="J9" s="75" t="str">
        <x:v>User/community plan</x:v>
      </x:c>
      <x:c r="K9" s="75" t="str">
        <x:v>N/A</x:v>
      </x:c>
      <x:c r="L9" s="75" t="str">
        <x:v>Extras for growing communities</x:v>
      </x:c>
      <x:c r="M9" s="75" t="str">
        <x:v>https://fenrid.com/waitlist</x:v>
      </x:c>
      <x:c r="N9" s="75" t="str">
        <x:v>2026-09-15</x:v>
      </x:c>
      <x:c r="O9" s="75" t="str">
        <x:v>Fenrid is in alpha; pricing and benefits may change before launch.</x:v>
      </x:c>
      <x:c r="P9" s="75" t="str">
        <x:v>Primary / first-party source recorded</x:v>
      </x:c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</x:row>
    <x:row r="10" ht="45">
      <x:c r="A10" s="75" t="str">
        <x:v>Fenrid</x:v>
      </x:c>
      <x:c r="B10" s="75" t="str">
        <x:v>Planned subscription</x:v>
      </x:c>
      <x:c r="C10" s="75" t="str">
        <x:v>Prime</x:v>
      </x:c>
      <x:c r="D10" s="75" t="str">
        <x:v>Coming soon</x:v>
      </x:c>
      <x:c r="E10" s="75" t="str">
        <x:v>24.99</x:v>
      </x:c>
      <x:c r="F10" s="75" t="str">
        <x:v>N/A</x:v>
      </x:c>
      <x:c r="G10" s="75" t="str">
        <x:v>U/K</x:v>
      </x:c>
      <x:c r="H10" s="75" t="str">
        <x:v>USD</x:v>
      </x:c>
      <x:c r="I10" s="75" t="str">
        <x:v>Subscription</x:v>
      </x:c>
      <x:c r="J10" s="75" t="str">
        <x:v>User/community plan</x:v>
      </x:c>
      <x:c r="K10" s="75" t="str">
        <x:v>N/A</x:v>
      </x:c>
      <x:c r="L10" s="75" t="str">
        <x:v>Large communities, creators and power users</x:v>
      </x:c>
      <x:c r="M10" s="75" t="str">
        <x:v>https://fenrid.com/waitlist</x:v>
      </x:c>
      <x:c r="N10" s="75" t="str">
        <x:v>2026-09-15</x:v>
      </x:c>
      <x:c r="O10" s="75" t="str">
        <x:v>Fenrid is in alpha; pricing and benefits may change before launch.</x:v>
      </x:c>
      <x:c r="P10" s="75" t="str">
        <x:v>Primary / first-party source recorded</x:v>
      </x:c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</x:row>
    <x:row r="11" ht="90">
      <x:c r="A11" s="75" t="str">
        <x:v>Fluxer</x:v>
      </x:c>
      <x:c r="B11" s="75" t="str">
        <x:v>User subscription</x:v>
      </x:c>
      <x:c r="C11" s="75" t="str">
        <x:v>Plutonium</x:v>
      </x:c>
      <x:c r="D11" s="75" t="str">
        <x:v>Active</x:v>
      </x:c>
      <x:c r="E11" s="75" t="str">
        <x:v>4.99</x:v>
      </x:c>
      <x:c r="F11" s="75" t="str">
        <x:v>N/A</x:v>
      </x:c>
      <x:c r="G11" s="75" t="str">
        <x:v>49.99</x:v>
      </x:c>
      <x:c r="H11" s="75" t="str">
        <x:v>USD</x:v>
      </x:c>
      <x:c r="I11" s="75" t="str">
        <x:v>Per user</x:v>
      </x:c>
      <x:c r="J11" s="75" t="str">
        <x:v>Personal account</x:v>
      </x:c>
      <x:c r="K11" s="75" t="str">
        <x:v>N/A</x:v>
      </x:c>
      <x:c r="L11" s="75" t="str">
        <x:v>500 MB uploads; 4K60 streaming; per-community profile; cosmetics; 200 communities; 4,000-char messages</x:v>
      </x:c>
      <x:c r="M11" s="75" t="str">
        <x:v>https://fluxer.app/plutonium</x:v>
      </x:c>
      <x:c r="N11" s="75" t="str">
        <x:v>2026-09-15</x:v>
      </x:c>
      <x:c r="O11" s="75" t="str">
        <x:v>Optional; Fluxer remains usable for free.</x:v>
      </x:c>
      <x:c r="P11" s="75" t="str">
        <x:v>Primary / first-party source recorded</x:v>
      </x:c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</x:row>
    <x:row r="12" ht="90">
      <x:c r="A12" s="75" t="str">
        <x:v>Root</x:v>
      </x:c>
      <x:c r="B12" s="75" t="str">
        <x:v>User subscription</x:v>
      </x:c>
      <x:c r="C12" s="75" t="str">
        <x:v>Sudo</x:v>
      </x:c>
      <x:c r="D12" s="75" t="str">
        <x:v>Active</x:v>
      </x:c>
      <x:c r="E12" s="75" t="str">
        <x:v>U/K</x:v>
      </x:c>
      <x:c r="F12" s="75" t="str">
        <x:v>N/A</x:v>
      </x:c>
      <x:c r="G12" s="75" t="str">
        <x:v>U/K</x:v>
      </x:c>
      <x:c r="H12" s="75" t="str">
        <x:v>USD / in-app</x:v>
      </x:c>
      <x:c r="I12" s="75" t="str">
        <x:v>Per user</x:v>
      </x:c>
      <x:c r="J12" s="75" t="str">
        <x:v>Personal account</x:v>
      </x:c>
      <x:c r="K12" s="75" t="str">
        <x:v>Includes 1 Core each month</x:v>
      </x:c>
      <x:c r="L12" s="75" t="str">
        <x:v>Up to 1440p60 streaming; supporter badge; 1 community Core monthly</x:v>
      </x:c>
      <x:c r="M12" s="75" t="str">
        <x:v>https://support.rootapp.com/docs/sudo/get-started/sudo-faqs/</x:v>
      </x:c>
      <x:c r="N12" s="75" t="str">
        <x:v>2026-09-15</x:v>
      </x:c>
      <x:c r="O12" s="75" t="str">
        <x:v>Root documents monthly and yearly billing, but the current price is shown in-app rather than publicly on the help page.</x:v>
      </x:c>
      <x:c r="P12" s="75" t="str">
        <x:v>Primary / first-party source recorded</x:v>
      </x:c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</x:row>
    <x:row r="13" ht="75">
      <x:c r="A13" s="75" t="str">
        <x:v>Matrix</x:v>
      </x:c>
      <x:c r="B13" s="75" t="str">
        <x:v>Protocol-level pricing</x:v>
      </x:c>
      <x:c r="C13" s="75" t="str">
        <x:v>No Matrix-wide paid tier</x:v>
      </x:c>
      <x:c r="D13" s="75" t="str">
        <x:v>Provider-specific</x:v>
      </x:c>
      <x:c r="E13" s="75" t="str">
        <x:v>N/A</x:v>
      </x:c>
      <x:c r="F13" s="75" t="str">
        <x:v>N/A</x:v>
      </x:c>
      <x:c r="G13" s="75" t="str">
        <x:v>N/A</x:v>
      </x:c>
      <x:c r="H13" s="75" t="str">
        <x:v>Provider-specific</x:v>
      </x:c>
      <x:c r="I13" s="75" t="str">
        <x:v>Provider-specific</x:v>
      </x:c>
      <x:c r="J13" s="75" t="str">
        <x:v>Homeserver/client provider</x:v>
      </x:c>
      <x:c r="K13" s="75" t="str">
        <x:v>N/A</x:v>
      </x:c>
      <x:c r="L13" s="75" t="str">
        <x:v>Matrix itself has no universal subscription; clients and homeserver providers set their own pricing</x:v>
      </x:c>
      <x:c r="M13" s="75" t="str">
        <x:v>https://matrix.org/</x:v>
      </x:c>
      <x:c r="N13" s="75" t="str">
        <x:v>2026-09-15</x:v>
      </x:c>
      <x:c r="O13" s="75" t="str">
        <x:v>Do not attribute Element or another provider's pricing to Matrix.</x:v>
      </x:c>
      <x:c r="P13" s="75" t="str">
        <x:v>Primary / first-party source recorded</x:v>
      </x:c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</x:row>
    <x:row r="14" ht="60">
      <x:c r="A14" s="75" t="str">
        <x:v>Spacebar</x:v>
      </x:c>
      <x:c r="B14" s="75" t="str">
        <x:v>No public paid tier</x:v>
      </x:c>
      <x:c r="C14" s="75" t="str">
        <x:v>No central paid tier</x:v>
      </x:c>
      <x:c r="D14" s="75" t="str">
        <x:v>None</x:v>
      </x:c>
      <x:c r="E14" s="75" t="str">
        <x:v>N/A</x:v>
      </x:c>
      <x:c r="F14" s="75" t="str">
        <x:v>N/A</x:v>
      </x:c>
      <x:c r="G14" s="75" t="str">
        <x:v>N/A</x:v>
      </x:c>
      <x:c r="H14" s="75" t="str">
        <x:v>N/A</x:v>
      </x:c>
      <x:c r="I14" s="75" t="str">
        <x:v>Self-hosted</x:v>
      </x:c>
      <x:c r="J14" s="75" t="str">
        <x:v>Operator</x:v>
      </x:c>
      <x:c r="K14" s="75" t="str">
        <x:v>N/A</x:v>
      </x:c>
      <x:c r="L14" s="75" t="str">
        <x:v>Open-source/self-hosted software; operator pays infrastructure</x:v>
      </x:c>
      <x:c r="M14" s="75" t="str">
        <x:v>https://spacebar.chat/</x:v>
      </x:c>
      <x:c r="N14" s="75" t="str">
        <x:v>2026-09-15</x:v>
      </x:c>
      <x:c r="O14" s="75" t="str">
        <x:v>No central subscription model.</x:v>
      </x:c>
      <x:c r="P14" s="75" t="str">
        <x:v>Primary / first-party source recorded</x:v>
      </x:c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</x:row>
    <x:row r="15" ht="60">
      <x:c r="A15" s="75" t="str">
        <x:v>Mumble</x:v>
      </x:c>
      <x:c r="B15" s="75" t="str">
        <x:v>No platform paid tier</x:v>
      </x:c>
      <x:c r="C15" s="75" t="str">
        <x:v>No Mumble subscription</x:v>
      </x:c>
      <x:c r="D15" s="75" t="str">
        <x:v>None</x:v>
      </x:c>
      <x:c r="E15" s="75" t="str">
        <x:v>N/A</x:v>
      </x:c>
      <x:c r="F15" s="75" t="str">
        <x:v>N/A</x:v>
      </x:c>
      <x:c r="G15" s="75" t="str">
        <x:v>N/A</x:v>
      </x:c>
      <x:c r="H15" s="75" t="str">
        <x:v>N/A</x:v>
      </x:c>
      <x:c r="I15" s="75" t="str">
        <x:v>Open-source/self-hosted</x:v>
      </x:c>
      <x:c r="J15" s="75" t="str">
        <x:v>Operator</x:v>
      </x:c>
      <x:c r="K15" s="75" t="str">
        <x:v>N/A</x:v>
      </x:c>
      <x:c r="L15" s="75" t="str">
        <x:v>Mumble is free/open source; third-party hosting providers set their own prices</x:v>
      </x:c>
      <x:c r="M15" s="75" t="str">
        <x:v>https://www.mumble.info/</x:v>
      </x:c>
      <x:c r="N15" s="75" t="str">
        <x:v>2026-09-15</x:v>
      </x:c>
      <x:c r="O15" s="75" t="str">
        <x:v>Third-party hosted-server pricing is not a Mumble platform tier.</x:v>
      </x:c>
      <x:c r="P15" s="75" t="str">
        <x:v>Primary / first-party source recorded</x:v>
      </x:c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</x:row>
    <x:row r="16" ht="75">
      <x:c r="A16" s="75" t="str">
        <x:v>TeamSpeak</x:v>
      </x:c>
      <x:c r="B16" s="75" t="str">
        <x:v>Hosted community plan</x:v>
      </x:c>
      <x:c r="C16" s="75" t="str">
        <x:v>Crew</x:v>
      </x:c>
      <x:c r="D16" s="75" t="str">
        <x:v>Active</x:v>
      </x:c>
      <x:c r="E16" s="75" t="str">
        <x:v>4.99</x:v>
      </x:c>
      <x:c r="F16" s="75" t="str">
        <x:v>N/A</x:v>
      </x:c>
      <x:c r="G16" s="75" t="str">
        <x:v>53.99</x:v>
      </x:c>
      <x:c r="H16" s="75" t="str">
        <x:v>USD</x:v>
      </x:c>
      <x:c r="I16" s="75" t="str">
        <x:v>Per hosted community</x:v>
      </x:c>
      <x:c r="J16" s="75" t="str">
        <x:v>One TeamSpeak Community server</x:v>
      </x:c>
      <x:c r="K16" s="75" t="str">
        <x:v>N/A</x:v>
      </x:c>
      <x:c r="L16" s="75" t="str">
        <x:v>11 hosted slots total (10 + 1 bonus); official managed TS6 hosting with screen sharing</x:v>
      </x:c>
      <x:c r="M16" s="75" t="str">
        <x:v>https://support.teamspeak.com/hc/en-us/articles/26033099878045-Current-Community-Options</x:v>
      </x:c>
      <x:c r="N16" s="75" t="str">
        <x:v>2026-09-15</x:v>
      </x:c>
      <x:c r="O16" s="75" t="str">
        <x:v>Hosted by TeamSpeak.</x:v>
      </x:c>
      <x:c r="P16" s="75" t="str">
        <x:v>Primary / first-party source recorded</x:v>
      </x:c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</x:row>
    <x:row r="17" ht="75">
      <x:c r="A17" s="75" t="str">
        <x:v>TeamSpeak</x:v>
      </x:c>
      <x:c r="B17" s="75" t="str">
        <x:v>Hosted community plan</x:v>
      </x:c>
      <x:c r="C17" s="75" t="str">
        <x:v>Team</x:v>
      </x:c>
      <x:c r="D17" s="75" t="str">
        <x:v>Active</x:v>
      </x:c>
      <x:c r="E17" s="75" t="str">
        <x:v>8.99</x:v>
      </x:c>
      <x:c r="F17" s="75" t="str">
        <x:v>N/A</x:v>
      </x:c>
      <x:c r="G17" s="75" t="str">
        <x:v>96.99</x:v>
      </x:c>
      <x:c r="H17" s="75" t="str">
        <x:v>USD</x:v>
      </x:c>
      <x:c r="I17" s="75" t="str">
        <x:v>Per hosted community</x:v>
      </x:c>
      <x:c r="J17" s="75" t="str">
        <x:v>One TeamSpeak Community server</x:v>
      </x:c>
      <x:c r="K17" s="75" t="str">
        <x:v>N/A</x:v>
      </x:c>
      <x:c r="L17" s="75" t="str">
        <x:v>27 hosted slots total (25 + 2 bonus); official managed TS6 hosting with screen sharing</x:v>
      </x:c>
      <x:c r="M17" s="75" t="str">
        <x:v>https://support.teamspeak.com/hc/en-us/articles/26033099878045-Current-Community-Options</x:v>
      </x:c>
      <x:c r="N17" s="75" t="str">
        <x:v>2026-09-15</x:v>
      </x:c>
      <x:c r="O17" s="75" t="str">
        <x:v>Hosted by TeamSpeak.</x:v>
      </x:c>
      <x:c r="P17" s="75" t="str">
        <x:v>Primary / first-party source recorded</x:v>
      </x:c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</x:row>
    <x:row r="18" ht="75">
      <x:c r="A18" s="75" t="str">
        <x:v>TeamSpeak</x:v>
      </x:c>
      <x:c r="B18" s="75" t="str">
        <x:v>Hosted community plan</x:v>
      </x:c>
      <x:c r="C18" s="75" t="str">
        <x:v>Faction</x:v>
      </x:c>
      <x:c r="D18" s="75" t="str">
        <x:v>Active</x:v>
      </x:c>
      <x:c r="E18" s="75" t="str">
        <x:v>17.99</x:v>
      </x:c>
      <x:c r="F18" s="75" t="str">
        <x:v>N/A</x:v>
      </x:c>
      <x:c r="G18" s="75" t="str">
        <x:v>194.99</x:v>
      </x:c>
      <x:c r="H18" s="75" t="str">
        <x:v>USD</x:v>
      </x:c>
      <x:c r="I18" s="75" t="str">
        <x:v>Per hosted community</x:v>
      </x:c>
      <x:c r="J18" s="75" t="str">
        <x:v>One TeamSpeak Community server</x:v>
      </x:c>
      <x:c r="K18" s="75" t="str">
        <x:v>N/A</x:v>
      </x:c>
      <x:c r="L18" s="75" t="str">
        <x:v>64 hosted slots total (60 + 4 bonus); official managed TS6 hosting with screen sharing</x:v>
      </x:c>
      <x:c r="M18" s="75" t="str">
        <x:v>https://support.teamspeak.com/hc/en-us/articles/26033099878045-Current-Community-Options</x:v>
      </x:c>
      <x:c r="N18" s="75" t="str">
        <x:v>2026-09-15</x:v>
      </x:c>
      <x:c r="O18" s="75" t="str">
        <x:v>Hosted by TeamSpeak.</x:v>
      </x:c>
      <x:c r="P18" s="75" t="str">
        <x:v>Primary / first-party source recorded</x:v>
      </x:c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</x:row>
    <x:row r="19" ht="75">
      <x:c r="A19" s="75" t="str">
        <x:v>TeamSpeak</x:v>
      </x:c>
      <x:c r="B19" s="75" t="str">
        <x:v>Self-host license</x:v>
      </x:c>
      <x:c r="C19" s="75" t="str">
        <x:v>Gamer / Activation 64 slots</x:v>
      </x:c>
      <x:c r="D19" s="75" t="str">
        <x:v>Active</x:v>
      </x:c>
      <x:c r="E19" s="75" t="str">
        <x:v>N/A</x:v>
      </x:c>
      <x:c r="F19" s="75" t="str">
        <x:v>N/A</x:v>
      </x:c>
      <x:c r="G19" s="75" t="str">
        <x:v>55</x:v>
      </x:c>
      <x:c r="H19" s="75" t="str">
        <x:v>USD</x:v>
      </x:c>
      <x:c r="I19" s="75" t="str">
        <x:v>Per self-host license</x:v>
      </x:c>
      <x:c r="J19" s="75" t="str">
        <x:v>Non-commercial / personal self-host</x:v>
      </x:c>
      <x:c r="K19" s="75" t="str">
        <x:v>N/A</x:v>
      </x:c>
      <x:c r="L19" s="75" t="str">
        <x:v>64 slots; 1 virtual server</x:v>
      </x:c>
      <x:c r="M19" s="75" t="str">
        <x:v>https://support.teamspeak.com/hc/en-us/articles/26033788383261-What-licenses-are-available</x:v>
      </x:c>
      <x:c r="N19" s="75" t="str">
        <x:v>2026-09-15</x:v>
      </x:c>
      <x:c r="O19" s="75" t="str">
        <x:v>6-month price is unavailable for 64 slots; 6-month orders are manual for eligible slot tiers.</x:v>
      </x:c>
      <x:c r="P19" s="75" t="str">
        <x:v>Primary / first-party source recorded</x:v>
      </x:c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</x:row>
    <x:row r="20" ht="75">
      <x:c r="A20" s="75" t="str">
        <x:v>TeamSpeak</x:v>
      </x:c>
      <x:c r="B20" s="75" t="str">
        <x:v>Self-host license</x:v>
      </x:c>
      <x:c r="C20" s="75" t="str">
        <x:v>Gamer / Activation 128 slots</x:v>
      </x:c>
      <x:c r="D20" s="75" t="str">
        <x:v>Active</x:v>
      </x:c>
      <x:c r="E20" s="75" t="str">
        <x:v>N/A</x:v>
      </x:c>
      <x:c r="F20" s="75" t="str">
        <x:v>50</x:v>
      </x:c>
      <x:c r="G20" s="75" t="str">
        <x:v>100</x:v>
      </x:c>
      <x:c r="H20" s="75" t="str">
        <x:v>USD</x:v>
      </x:c>
      <x:c r="I20" s="75" t="str">
        <x:v>Per self-host license</x:v>
      </x:c>
      <x:c r="J20" s="75" t="str">
        <x:v>Non-commercial / personal self-host</x:v>
      </x:c>
      <x:c r="K20" s="75" t="str">
        <x:v>N/A</x:v>
      </x:c>
      <x:c r="L20" s="75" t="str">
        <x:v>128 slots; 2 virtual servers</x:v>
      </x:c>
      <x:c r="M20" s="75" t="str">
        <x:v>https://support.teamspeak.com/hc/en-us/articles/26033788383261-What-licenses-are-available</x:v>
      </x:c>
      <x:c r="N20" s="75" t="str">
        <x:v>2026-09-15</x:v>
      </x:c>
      <x:c r="O20" s="75" t="str">
        <x:v>6-month price is unavailable for 64 slots; 6-month orders are manual for eligible slot tiers.</x:v>
      </x:c>
      <x:c r="P20" s="75" t="str">
        <x:v>Primary / first-party source recorded</x:v>
      </x:c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</x:row>
    <x:row r="21" ht="75">
      <x:c r="A21" s="75" t="str">
        <x:v>TeamSpeak</x:v>
      </x:c>
      <x:c r="B21" s="75" t="str">
        <x:v>Self-host license</x:v>
      </x:c>
      <x:c r="C21" s="75" t="str">
        <x:v>Gamer / Activation 256 slots</x:v>
      </x:c>
      <x:c r="D21" s="75" t="str">
        <x:v>Active</x:v>
      </x:c>
      <x:c r="E21" s="75" t="str">
        <x:v>N/A</x:v>
      </x:c>
      <x:c r="F21" s="75" t="str">
        <x:v>87.50</x:v>
      </x:c>
      <x:c r="G21" s="75" t="str">
        <x:v>175</x:v>
      </x:c>
      <x:c r="H21" s="75" t="str">
        <x:v>USD</x:v>
      </x:c>
      <x:c r="I21" s="75" t="str">
        <x:v>Per self-host license</x:v>
      </x:c>
      <x:c r="J21" s="75" t="str">
        <x:v>Non-commercial / personal self-host</x:v>
      </x:c>
      <x:c r="K21" s="75" t="str">
        <x:v>N/A</x:v>
      </x:c>
      <x:c r="L21" s="75" t="str">
        <x:v>256 slots; 2 virtual servers</x:v>
      </x:c>
      <x:c r="M21" s="75" t="str">
        <x:v>https://support.teamspeak.com/hc/en-us/articles/26033788383261-What-licenses-are-available</x:v>
      </x:c>
      <x:c r="N21" s="75" t="str">
        <x:v>2026-09-15</x:v>
      </x:c>
      <x:c r="O21" s="75" t="str">
        <x:v>6-month price is unavailable for 64 slots; 6-month orders are manual for eligible slot tiers.</x:v>
      </x:c>
      <x:c r="P21" s="75" t="str">
        <x:v>Primary / first-party source recorded</x:v>
      </x:c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</x:row>
    <x:row r="22" ht="75">
      <x:c r="A22" s="75" t="str">
        <x:v>TeamSpeak</x:v>
      </x:c>
      <x:c r="B22" s="75" t="str">
        <x:v>Self-host license</x:v>
      </x:c>
      <x:c r="C22" s="75" t="str">
        <x:v>Gamer / Activation 512 slots</x:v>
      </x:c>
      <x:c r="D22" s="75" t="str">
        <x:v>Active</x:v>
      </x:c>
      <x:c r="E22" s="75" t="str">
        <x:v>N/A</x:v>
      </x:c>
      <x:c r="F22" s="75" t="str">
        <x:v>150</x:v>
      </x:c>
      <x:c r="G22" s="75" t="str">
        <x:v>300</x:v>
      </x:c>
      <x:c r="H22" s="75" t="str">
        <x:v>USD</x:v>
      </x:c>
      <x:c r="I22" s="75" t="str">
        <x:v>Per self-host license</x:v>
      </x:c>
      <x:c r="J22" s="75" t="str">
        <x:v>Non-commercial / personal self-host</x:v>
      </x:c>
      <x:c r="K22" s="75" t="str">
        <x:v>N/A</x:v>
      </x:c>
      <x:c r="L22" s="75" t="str">
        <x:v>512 slots; 2 virtual servers</x:v>
      </x:c>
      <x:c r="M22" s="75" t="str">
        <x:v>https://support.teamspeak.com/hc/en-us/articles/26033788383261-What-licenses-are-available</x:v>
      </x:c>
      <x:c r="N22" s="75" t="str">
        <x:v>2026-09-15</x:v>
      </x:c>
      <x:c r="O22" s="75" t="str">
        <x:v>6-month price is unavailable for 64 slots; 6-month orders are manual for eligible slot tiers.</x:v>
      </x:c>
      <x:c r="P22" s="75" t="str">
        <x:v>Primary / first-party source recorded</x:v>
      </x:c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</x:row>
    <x:row r="23" ht="75">
      <x:c r="A23" s="75" t="str">
        <x:v>TeamSpeak</x:v>
      </x:c>
      <x:c r="B23" s="75" t="str">
        <x:v>Self-host license</x:v>
      </x:c>
      <x:c r="C23" s="75" t="str">
        <x:v>Gamer / Activation 1024 slots</x:v>
      </x:c>
      <x:c r="D23" s="75" t="str">
        <x:v>Active</x:v>
      </x:c>
      <x:c r="E23" s="75" t="str">
        <x:v>N/A</x:v>
      </x:c>
      <x:c r="F23" s="75" t="str">
        <x:v>250</x:v>
      </x:c>
      <x:c r="G23" s="75" t="str">
        <x:v>500</x:v>
      </x:c>
      <x:c r="H23" s="75" t="str">
        <x:v>USD</x:v>
      </x:c>
      <x:c r="I23" s="75" t="str">
        <x:v>Per self-host license</x:v>
      </x:c>
      <x:c r="J23" s="75" t="str">
        <x:v>Non-commercial / personal self-host</x:v>
      </x:c>
      <x:c r="K23" s="75" t="str">
        <x:v>N/A</x:v>
      </x:c>
      <x:c r="L23" s="75" t="str">
        <x:v>1024 slots; 2 virtual servers</x:v>
      </x:c>
      <x:c r="M23" s="75" t="str">
        <x:v>https://support.teamspeak.com/hc/en-us/articles/26033788383261-What-licenses-are-available</x:v>
      </x:c>
      <x:c r="N23" s="75" t="str">
        <x:v>2026-09-15</x:v>
      </x:c>
      <x:c r="O23" s="75" t="str">
        <x:v>6-month price is unavailable for 64 slots; 6-month orders are manual for eligible slot tiers.</x:v>
      </x:c>
      <x:c r="P23" s="75" t="str">
        <x:v>Primary / first-party source recorded</x:v>
      </x:c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</x:row>
    <x:row r="24" ht="75">
      <x:c r="A24" s="75" t="str">
        <x:v>TeamSpeak</x:v>
      </x:c>
      <x:c r="B24" s="75" t="str">
        <x:v>Self-host commercial license</x:v>
      </x:c>
      <x:c r="C24" s="75" t="str">
        <x:v>Commercial License</x:v>
      </x:c>
      <x:c r="D24" s="75" t="str">
        <x:v>Contact sales</x:v>
      </x:c>
      <x:c r="E24" s="75" t="str">
        <x:v>Contact Sales</x:v>
      </x:c>
      <x:c r="F24" s="75" t="str">
        <x:v>Contact Sales</x:v>
      </x:c>
      <x:c r="G24" s="75" t="str">
        <x:v>Contact Sales</x:v>
      </x:c>
      <x:c r="H24" s="75" t="str">
        <x:v>USD / quote</x:v>
      </x:c>
      <x:c r="I24" s="75" t="str">
        <x:v>Custom</x:v>
      </x:c>
      <x:c r="J24" s="75" t="str">
        <x:v>Commercial self-host deployment</x:v>
      </x:c>
      <x:c r="K24" s="75" t="str">
        <x:v>N/A</x:v>
      </x:c>
      <x:c r="L24" s="75" t="str">
        <x:v>Commercial self-hosting terms tailored to deployment/capacity</x:v>
      </x:c>
      <x:c r="M24" s="75" t="str">
        <x:v>https://support.teamspeak.com/hc/en-us/articles/26033788383261-What-licenses-are-available</x:v>
      </x:c>
      <x:c r="N24" s="75" t="str">
        <x:v>2026-09-15</x:v>
      </x:c>
      <x:c r="O24" s="75"/>
      <x:c r="P24" s="75" t="str">
        <x:v>Primary / first-party source recorded</x:v>
      </x:c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</x:row>
    <x:row r="25" ht="75">
      <x:c r="A25" s="75" t="str">
        <x:v>TeamSpeak</x:v>
      </x:c>
      <x:c r="B25" s="75" t="str">
        <x:v>SDK license</x:v>
      </x:c>
      <x:c r="C25" s="75" t="str">
        <x:v>TeamSpeak SDK License</x:v>
      </x:c>
      <x:c r="D25" s="75" t="str">
        <x:v>Contact sales</x:v>
      </x:c>
      <x:c r="E25" s="75" t="str">
        <x:v>Contact Sales</x:v>
      </x:c>
      <x:c r="F25" s="75" t="str">
        <x:v>Contact Sales</x:v>
      </x:c>
      <x:c r="G25" s="75" t="str">
        <x:v>Contact Sales</x:v>
      </x:c>
      <x:c r="H25" s="75" t="str">
        <x:v>USD / quote</x:v>
      </x:c>
      <x:c r="I25" s="75" t="str">
        <x:v>Custom</x:v>
      </x:c>
      <x:c r="J25" s="75" t="str">
        <x:v>Embedded voice SDK</x:v>
      </x:c>
      <x:c r="K25" s="75" t="str">
        <x:v>N/A</x:v>
      </x:c>
      <x:c r="L25" s="75" t="str">
        <x:v>Integrate TeamSpeak voice technology into another product</x:v>
      </x:c>
      <x:c r="M25" s="75" t="str">
        <x:v>https://support.teamspeak.com/hc/en-us/articles/26033788383261-What-licenses-are-available</x:v>
      </x:c>
      <x:c r="N25" s="75" t="str">
        <x:v>2026-09-15</x:v>
      </x:c>
      <x:c r="O25" s="75"/>
      <x:c r="P25" s="75" t="str">
        <x:v>Primary / first-party source recorded</x:v>
      </x:c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</x:row>
    <x:row r="26" ht="60">
      <x:c r="A26" s="75" t="str">
        <x:v>Zulip</x:v>
      </x:c>
      <x:c r="B26" s="75" t="str">
        <x:v>Cloud subscription</x:v>
      </x:c>
      <x:c r="C26" s="75" t="str">
        <x:v>Cloud Standard</x:v>
      </x:c>
      <x:c r="D26" s="75" t="str">
        <x:v>Active</x:v>
      </x:c>
      <x:c r="E26" s="75" t="str">
        <x:v>8.00</x:v>
      </x:c>
      <x:c r="F26" s="75" t="str">
        <x:v>N/A</x:v>
      </x:c>
      <x:c r="G26" s="75" t="str">
        <x:v>80.04</x:v>
      </x:c>
      <x:c r="H26" s="75" t="str">
        <x:v>USD</x:v>
      </x:c>
      <x:c r="I26" s="75" t="str">
        <x:v>Per user</x:v>
      </x:c>
      <x:c r="J26" s="75" t="str">
        <x:v>Cloud organization</x:v>
      </x:c>
      <x:c r="K26" s="75" t="str">
        <x:v>N/A</x:v>
      </x:c>
      <x:c r="L26" s="75" t="str">
        <x:v>Unlimited search history; 5 GB/user; retention policies; branding; commercial support</x:v>
      </x:c>
      <x:c r="M26" s="75" t="str">
        <x:v>https://zulip.com/plans/</x:v>
      </x:c>
      <x:c r="N26" s="75" t="str">
        <x:v>2026-09-15</x:v>
      </x:c>
      <x:c r="O26" s="75" t="str">
        <x:v>Annual equivalent shown where Zulip publishes annual per-user pricing.</x:v>
      </x:c>
      <x:c r="P26" s="75" t="str">
        <x:v>Primary / first-party source recorded</x:v>
      </x:c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</x:row>
    <x:row r="27" ht="60">
      <x:c r="A27" s="75" t="str">
        <x:v>Zulip</x:v>
      </x:c>
      <x:c r="B27" s="75" t="str">
        <x:v>Cloud subscription</x:v>
      </x:c>
      <x:c r="C27" s="75" t="str">
        <x:v>Cloud Plus</x:v>
      </x:c>
      <x:c r="D27" s="75" t="str">
        <x:v>Active</x:v>
      </x:c>
      <x:c r="E27" s="75" t="str">
        <x:v>12.00</x:v>
      </x:c>
      <x:c r="F27" s="75" t="str">
        <x:v>N/A</x:v>
      </x:c>
      <x:c r="G27" s="75" t="str">
        <x:v>120.00</x:v>
      </x:c>
      <x:c r="H27" s="75" t="str">
        <x:v>USD</x:v>
      </x:c>
      <x:c r="I27" s="75" t="str">
        <x:v>Per user; 10-user minimum</x:v>
      </x:c>
      <x:c r="J27" s="75" t="str">
        <x:v>Cloud organization</x:v>
      </x:c>
      <x:c r="K27" s="75" t="str">
        <x:v>N/A</x:v>
      </x:c>
      <x:c r="L27" s="75" t="str">
        <x:v>25 GB/user; SAML SSO; SCIM; custom domain; priority support</x:v>
      </x:c>
      <x:c r="M27" s="75" t="str">
        <x:v>https://zulip.com/plans/</x:v>
      </x:c>
      <x:c r="N27" s="75" t="str">
        <x:v>2026-09-15</x:v>
      </x:c>
      <x:c r="O27" s="75" t="str">
        <x:v>Annual equivalent shown where Zulip publishes annual per-user pricing.</x:v>
      </x:c>
      <x:c r="P27" s="75" t="str">
        <x:v>Primary / first-party source recorded</x:v>
      </x:c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</x:row>
    <x:row r="28" ht="60">
      <x:c r="A28" s="75" t="str">
        <x:v>Zulip</x:v>
      </x:c>
      <x:c r="B28" s="75" t="str">
        <x:v>Self-host support subscription</x:v>
      </x:c>
      <x:c r="C28" s="75" t="str">
        <x:v>Self-hosted Basic</x:v>
      </x:c>
      <x:c r="D28" s="75" t="str">
        <x:v>Active</x:v>
      </x:c>
      <x:c r="E28" s="75" t="str">
        <x:v>3.50</x:v>
      </x:c>
      <x:c r="F28" s="75" t="str">
        <x:v>N/A</x:v>
      </x:c>
      <x:c r="G28" s="75" t="str">
        <x:v>U/K</x:v>
      </x:c>
      <x:c r="H28" s="75" t="str">
        <x:v>USD</x:v>
      </x:c>
      <x:c r="I28" s="75" t="str">
        <x:v>Per user</x:v>
      </x:c>
      <x:c r="J28" s="75" t="str">
        <x:v>Self-hosted organization/server</x:v>
      </x:c>
      <x:c r="K28" s="75" t="str">
        <x:v>N/A</x:v>
      </x:c>
      <x:c r="L28" s="75" t="str">
        <x:v>Unlimited mobile push notifications; supports Zulip development</x:v>
      </x:c>
      <x:c r="M28" s="75" t="str">
        <x:v>https://zulip.com/plans/</x:v>
      </x:c>
      <x:c r="N28" s="75" t="str">
        <x:v>2026-09-15</x:v>
      </x:c>
      <x:c r="O28" s="75" t="str">
        <x:v>Annual equivalent shown where Zulip publishes annual per-user pricing.</x:v>
      </x:c>
      <x:c r="P28" s="75" t="str">
        <x:v>Primary / first-party source recorded</x:v>
      </x:c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</x:row>
    <x:row r="29" ht="60">
      <x:c r="A29" s="75" t="str">
        <x:v>Zulip</x:v>
      </x:c>
      <x:c r="B29" s="75" t="str">
        <x:v>Self-host support subscription</x:v>
      </x:c>
      <x:c r="C29" s="75" t="str">
        <x:v>Self-hosted Business</x:v>
      </x:c>
      <x:c r="D29" s="75" t="str">
        <x:v>Active</x:v>
      </x:c>
      <x:c r="E29" s="75" t="str">
        <x:v>8.00</x:v>
      </x:c>
      <x:c r="F29" s="75" t="str">
        <x:v>N/A</x:v>
      </x:c>
      <x:c r="G29" s="75" t="str">
        <x:v>80.04</x:v>
      </x:c>
      <x:c r="H29" s="75" t="str">
        <x:v>USD</x:v>
      </x:c>
      <x:c r="I29" s="75" t="str">
        <x:v>Per user; 25-user minimum</x:v>
      </x:c>
      <x:c r="J29" s="75" t="str">
        <x:v>Self-hosted organization/server</x:v>
      </x:c>
      <x:c r="K29" s="75" t="str">
        <x:v>N/A</x:v>
      </x:c>
      <x:c r="L29" s="75" t="str">
        <x:v>Commercial support; SSO/LDAP; guests; exports; retention policies</x:v>
      </x:c>
      <x:c r="M29" s="75" t="str">
        <x:v>https://zulip.com/plans/</x:v>
      </x:c>
      <x:c r="N29" s="75" t="str">
        <x:v>2026-09-15</x:v>
      </x:c>
      <x:c r="O29" s="75" t="str">
        <x:v>Annual equivalent shown where Zulip publishes annual per-user pricing.</x:v>
      </x:c>
      <x:c r="P29" s="75" t="str">
        <x:v>Primary / first-party source recorded</x:v>
      </x:c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</x:row>
    <x:row r="30" ht="75">
      <x:c r="A30" s="75" t="str">
        <x:v>Zulip</x:v>
      </x:c>
      <x:c r="B30" s="75" t="str">
        <x:v>Self-host enterprise support</x:v>
      </x:c>
      <x:c r="C30" s="75" t="str">
        <x:v>Self-hosted Enterprise</x:v>
      </x:c>
      <x:c r="D30" s="75" t="str">
        <x:v>Contact sales</x:v>
      </x:c>
      <x:c r="E30" s="75" t="str">
        <x:v>Contact Sales</x:v>
      </x:c>
      <x:c r="F30" s="75" t="str">
        <x:v>Contact Sales</x:v>
      </x:c>
      <x:c r="G30" s="75" t="str">
        <x:v>Contact Sales</x:v>
      </x:c>
      <x:c r="H30" s="75" t="str">
        <x:v>USD / quote</x:v>
      </x:c>
      <x:c r="I30" s="75" t="str">
        <x:v>Custom</x:v>
      </x:c>
      <x:c r="J30" s="75" t="str">
        <x:v>Self-hosted organization/server</x:v>
      </x:c>
      <x:c r="K30" s="75" t="str">
        <x:v>N/A</x:v>
      </x:c>
      <x:c r="L30" s="75" t="str">
        <x:v>Phone support; SCIM; implementation consulting; custom feature development; advanced deployments</x:v>
      </x:c>
      <x:c r="M30" s="75" t="str">
        <x:v>https://zulip.com/plans/</x:v>
      </x:c>
      <x:c r="N30" s="75" t="str">
        <x:v>2026-09-15</x:v>
      </x:c>
      <x:c r="O30" s="75"/>
      <x:c r="P30" s="75" t="str">
        <x:v>Primary / first-party source recorded</x:v>
      </x:c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</x:row>
    <x:row r="31" ht="45">
      <x:c r="A31" s="75" t="str">
        <x:v>Mattermost</x:v>
      </x:c>
      <x:c r="B31" s="75" t="str">
        <x:v>Annual enterprise subscription</x:v>
      </x:c>
      <x:c r="C31" s="75" t="str">
        <x:v>Professional</x:v>
      </x:c>
      <x:c r="D31" s="75" t="str">
        <x:v>Contact sales</x:v>
      </x:c>
      <x:c r="E31" s="75" t="str">
        <x:v>Contact Sales</x:v>
      </x:c>
      <x:c r="F31" s="75" t="str">
        <x:v>N/A</x:v>
      </x:c>
      <x:c r="G31" s="75" t="str">
        <x:v>Contact Sales</x:v>
      </x:c>
      <x:c r="H31" s="75" t="str">
        <x:v>USD / quote</x:v>
      </x:c>
      <x:c r="I31" s="75" t="str">
        <x:v>Annual seat license</x:v>
      </x:c>
      <x:c r="J31" s="75" t="str">
        <x:v>Activated users / server</x:v>
      </x:c>
      <x:c r="K31" s="75" t="str">
        <x:v>N/A</x:v>
      </x:c>
      <x:c r="L31" s="75" t="str">
        <x:v>Team collaboration; maximum 250 users; professional support</x:v>
      </x:c>
      <x:c r="M31" s="75" t="str">
        <x:v>https://mattermost.com/pricing/</x:v>
      </x:c>
      <x:c r="N31" s="75" t="str">
        <x:v>2026-09-15</x:v>
      </x:c>
      <x:c r="O31" s="75" t="str">
        <x:v>Paid licenses are prepaid annual subscriptions based on seats.</x:v>
      </x:c>
      <x:c r="P31" s="75" t="str">
        <x:v>Primary / first-party source recorded</x:v>
      </x:c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</x:row>
    <x:row r="32" ht="45">
      <x:c r="A32" s="75" t="str">
        <x:v>Mattermost</x:v>
      </x:c>
      <x:c r="B32" s="75" t="str">
        <x:v>Annual enterprise subscription</x:v>
      </x:c>
      <x:c r="C32" s="75" t="str">
        <x:v>Enterprise</x:v>
      </x:c>
      <x:c r="D32" s="75" t="str">
        <x:v>Contact sales</x:v>
      </x:c>
      <x:c r="E32" s="75" t="str">
        <x:v>Contact Sales</x:v>
      </x:c>
      <x:c r="F32" s="75" t="str">
        <x:v>N/A</x:v>
      </x:c>
      <x:c r="G32" s="75" t="str">
        <x:v>Contact Sales</x:v>
      </x:c>
      <x:c r="H32" s="75" t="str">
        <x:v>USD / quote</x:v>
      </x:c>
      <x:c r="I32" s="75" t="str">
        <x:v>Annual seat license</x:v>
      </x:c>
      <x:c r="J32" s="75" t="str">
        <x:v>Activated users / server</x:v>
      </x:c>
      <x:c r="K32" s="75" t="str">
        <x:v>N/A</x:v>
      </x:c>
      <x:c r="L32" s="75" t="str">
        <x:v>Secure collaborative workflows; AI; HA; enterprise search; scale</x:v>
      </x:c>
      <x:c r="M32" s="75" t="str">
        <x:v>https://mattermost.com/pricing/</x:v>
      </x:c>
      <x:c r="N32" s="75" t="str">
        <x:v>2026-09-15</x:v>
      </x:c>
      <x:c r="O32" s="75" t="str">
        <x:v>Paid licenses are prepaid annual subscriptions based on seats.</x:v>
      </x:c>
      <x:c r="P32" s="75" t="str">
        <x:v>Primary / first-party source recorded</x:v>
      </x:c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</x:row>
    <x:row r="33" ht="60">
      <x:c r="A33" s="75" t="str">
        <x:v>Mattermost</x:v>
      </x:c>
      <x:c r="B33" s="75" t="str">
        <x:v>Annual enterprise subscription</x:v>
      </x:c>
      <x:c r="C33" s="75" t="str">
        <x:v>Enterprise Advanced</x:v>
      </x:c>
      <x:c r="D33" s="75" t="str">
        <x:v>Contact sales</x:v>
      </x:c>
      <x:c r="E33" s="75" t="str">
        <x:v>Contact Sales</x:v>
      </x:c>
      <x:c r="F33" s="75" t="str">
        <x:v>N/A</x:v>
      </x:c>
      <x:c r="G33" s="75" t="str">
        <x:v>Contact Sales</x:v>
      </x:c>
      <x:c r="H33" s="75" t="str">
        <x:v>USD / quote</x:v>
      </x:c>
      <x:c r="I33" s="75" t="str">
        <x:v>Annual seat license</x:v>
      </x:c>
      <x:c r="J33" s="75" t="str">
        <x:v>Activated users / server</x:v>
      </x:c>
      <x:c r="K33" s="75" t="str">
        <x:v>N/A</x:v>
      </x:c>
      <x:c r="L33" s="75" t="str">
        <x:v>Multi-domain secure operations; advanced mobile/security/resiliency</x:v>
      </x:c>
      <x:c r="M33" s="75" t="str">
        <x:v>https://mattermost.com/pricing/</x:v>
      </x:c>
      <x:c r="N33" s="75" t="str">
        <x:v>2026-09-15</x:v>
      </x:c>
      <x:c r="O33" s="75" t="str">
        <x:v>Paid licenses are prepaid annual subscriptions based on seats.</x:v>
      </x:c>
      <x:c r="P33" s="75" t="str">
        <x:v>Primary / first-party source recorded</x:v>
      </x:c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</x:row>
    <x:row r="34" ht="75">
      <x:c r="A34" s="75" t="str">
        <x:v>Mattermost</x:v>
      </x:c>
      <x:c r="B34" s="75" t="str">
        <x:v>Support add-on</x:v>
      </x:c>
      <x:c r="C34" s="75" t="str">
        <x:v>Premier Support</x:v>
      </x:c>
      <x:c r="D34" s="75" t="str">
        <x:v>Paid add-on / contact sales</x:v>
      </x:c>
      <x:c r="E34" s="75" t="str">
        <x:v>Contact Sales</x:v>
      </x:c>
      <x:c r="F34" s="75" t="str">
        <x:v>N/A</x:v>
      </x:c>
      <x:c r="G34" s="75" t="str">
        <x:v>Contact Sales</x:v>
      </x:c>
      <x:c r="H34" s="75" t="str">
        <x:v>USD / quote</x:v>
      </x:c>
      <x:c r="I34" s="75" t="str">
        <x:v>Add-on</x:v>
      </x:c>
      <x:c r="J34" s="75" t="str">
        <x:v>Enterprise / Enterprise Advanced customers</x:v>
      </x:c>
      <x:c r="K34" s="75" t="str">
        <x:v>Requires eligible Enterprise plan</x:v>
      </x:c>
      <x:c r="L34" s="75" t="str">
        <x:v>Accelerated incident response; senior support; private support channel; extra non-production licenses</x:v>
      </x:c>
      <x:c r="M34" s="75" t="str">
        <x:v>https://mattermost.com/support/</x:v>
      </x:c>
      <x:c r="N34" s="75" t="str">
        <x:v>2026-09-15</x:v>
      </x:c>
      <x:c r="O34" s="75"/>
      <x:c r="P34" s="75" t="str">
        <x:v>Primary / first-party source recorded</x:v>
      </x:c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</x:row>
    <x:row r="35" ht="45">
      <x:c r="A35" s="75" t="str">
        <x:v>Rocket.Chat</x:v>
      </x:c>
      <x:c r="B35" s="75" t="str">
        <x:v>Premium enterprise plan</x:v>
      </x:c>
      <x:c r="C35" s="75" t="str">
        <x:v>Commercial</x:v>
      </x:c>
      <x:c r="D35" s="75" t="str">
        <x:v>Contact sales</x:v>
      </x:c>
      <x:c r="E35" s="75" t="str">
        <x:v>Contact Sales</x:v>
      </x:c>
      <x:c r="F35" s="75" t="str">
        <x:v>N/A</x:v>
      </x:c>
      <x:c r="G35" s="75" t="str">
        <x:v>Contact Sales</x:v>
      </x:c>
      <x:c r="H35" s="75" t="str">
        <x:v>Quote</x:v>
      </x:c>
      <x:c r="I35" s="75" t="str">
        <x:v>Organization / deployment</x:v>
      </x:c>
      <x:c r="J35" s="75" t="str">
        <x:v>Enterprise deployment</x:v>
      </x:c>
      <x:c r="K35" s="75" t="str">
        <x:v>N/A</x:v>
      </x:c>
      <x:c r="L35" s="75" t="str">
        <x:v>On-prem/private cloud/isolated commercial deployment</x:v>
      </x:c>
      <x:c r="M35" s="75" t="str">
        <x:v>https://docs.rocket.chat/our-plans</x:v>
      </x:c>
      <x:c r="N35" s="75" t="str">
        <x:v>2026-09-15</x:v>
      </x:c>
      <x:c r="O35" s="75" t="str">
        <x:v>Starter and Community are free entry points.</x:v>
      </x:c>
      <x:c r="P35" s="75" t="str">
        <x:v>Primary / first-party source recorded</x:v>
      </x:c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</x:row>
    <x:row r="36" ht="30">
      <x:c r="A36" s="75" t="str">
        <x:v>Rocket.Chat</x:v>
      </x:c>
      <x:c r="B36" s="75" t="str">
        <x:v>Premium enterprise plan</x:v>
      </x:c>
      <x:c r="C36" s="75" t="str">
        <x:v>Government</x:v>
      </x:c>
      <x:c r="D36" s="75" t="str">
        <x:v>Contact sales</x:v>
      </x:c>
      <x:c r="E36" s="75" t="str">
        <x:v>Contact Sales</x:v>
      </x:c>
      <x:c r="F36" s="75" t="str">
        <x:v>N/A</x:v>
      </x:c>
      <x:c r="G36" s="75" t="str">
        <x:v>Contact Sales</x:v>
      </x:c>
      <x:c r="H36" s="75" t="str">
        <x:v>Quote</x:v>
      </x:c>
      <x:c r="I36" s="75" t="str">
        <x:v>Organization / deployment</x:v>
      </x:c>
      <x:c r="J36" s="75" t="str">
        <x:v>Enterprise deployment</x:v>
      </x:c>
      <x:c r="K36" s="75" t="str">
        <x:v>N/A</x:v>
      </x:c>
      <x:c r="L36" s="75" t="str">
        <x:v>Government / sovereign-cloud deployment</x:v>
      </x:c>
      <x:c r="M36" s="75" t="str">
        <x:v>https://docs.rocket.chat/our-plans</x:v>
      </x:c>
      <x:c r="N36" s="75" t="str">
        <x:v>2026-09-15</x:v>
      </x:c>
      <x:c r="O36" s="75" t="str">
        <x:v>Starter and Community are free entry points.</x:v>
      </x:c>
      <x:c r="P36" s="75" t="str">
        <x:v>Primary / first-party source recorded</x:v>
      </x:c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</x:row>
    <x:row r="37" ht="30">
      <x:c r="A37" s="75" t="str">
        <x:v>Rocket.Chat</x:v>
      </x:c>
      <x:c r="B37" s="75" t="str">
        <x:v>Premium enterprise plan</x:v>
      </x:c>
      <x:c r="C37" s="75" t="str">
        <x:v>Defense</x:v>
      </x:c>
      <x:c r="D37" s="75" t="str">
        <x:v>Contact sales</x:v>
      </x:c>
      <x:c r="E37" s="75" t="str">
        <x:v>Contact Sales</x:v>
      </x:c>
      <x:c r="F37" s="75" t="str">
        <x:v>N/A</x:v>
      </x:c>
      <x:c r="G37" s="75" t="str">
        <x:v>Contact Sales</x:v>
      </x:c>
      <x:c r="H37" s="75" t="str">
        <x:v>Quote</x:v>
      </x:c>
      <x:c r="I37" s="75" t="str">
        <x:v>Organization / deployment</x:v>
      </x:c>
      <x:c r="J37" s="75" t="str">
        <x:v>Enterprise deployment</x:v>
      </x:c>
      <x:c r="K37" s="75" t="str">
        <x:v>N/A</x:v>
      </x:c>
      <x:c r="L37" s="75" t="str">
        <x:v>Air-gapped / SCIF-ready / defense deployment</x:v>
      </x:c>
      <x:c r="M37" s="75" t="str">
        <x:v>https://docs.rocket.chat/our-plans</x:v>
      </x:c>
      <x:c r="N37" s="75" t="str">
        <x:v>2026-09-15</x:v>
      </x:c>
      <x:c r="O37" s="75" t="str">
        <x:v>Starter and Community are free entry points.</x:v>
      </x:c>
      <x:c r="P37" s="75" t="str">
        <x:v>Primary / first-party source recorded</x:v>
      </x:c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</x:row>
    <x:row r="38" ht="45">
      <x:c r="A38" s="75" t="str">
        <x:v>GameVox</x:v>
      </x:c>
      <x:c r="B38" s="75" t="str">
        <x:v>Hosted server tier</x:v>
      </x:c>
      <x:c r="C38" s="75" t="str">
        <x:v>Silver</x:v>
      </x:c>
      <x:c r="D38" s="75" t="str">
        <x:v>Active</x:v>
      </x:c>
      <x:c r="E38" s="75" t="str">
        <x:v>4.99</x:v>
      </x:c>
      <x:c r="F38" s="75" t="str">
        <x:v>N/A</x:v>
      </x:c>
      <x:c r="G38" s="75" t="str">
        <x:v>U/K</x:v>
      </x:c>
      <x:c r="H38" s="75" t="str">
        <x:v>USD</x:v>
      </x:c>
      <x:c r="I38" s="75" t="str">
        <x:v>Per server</x:v>
      </x:c>
      <x:c r="J38" s="75" t="str">
        <x:v>Entire server/community</x:v>
      </x:c>
      <x:c r="K38" s="75" t="str">
        <x:v>N/A</x:v>
      </x:c>
      <x:c r="L38" s="75" t="str">
        <x:v>1 GB uploads; 200 members; 9 voice channels</x:v>
      </x:c>
      <x:c r="M38" s="75" t="str">
        <x:v>https://gamevox.com/blog/gamevox-vs-discord/</x:v>
      </x:c>
      <x:c r="N38" s="75" t="str">
        <x:v>2026-09-15</x:v>
      </x:c>
      <x:c r="O38" s="75" t="str">
        <x:v>One server payment benefits all members.</x:v>
      </x:c>
      <x:c r="P38" s="75" t="str">
        <x:v>Primary / first-party source recorded</x:v>
      </x:c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</x:row>
    <x:row r="39" ht="45">
      <x:c r="A39" s="75" t="str">
        <x:v>GameVox</x:v>
      </x:c>
      <x:c r="B39" s="75" t="str">
        <x:v>Hosted server tier</x:v>
      </x:c>
      <x:c r="C39" s="75" t="str">
        <x:v>Gold</x:v>
      </x:c>
      <x:c r="D39" s="75" t="str">
        <x:v>Active</x:v>
      </x:c>
      <x:c r="E39" s="75" t="str">
        <x:v>9.99</x:v>
      </x:c>
      <x:c r="F39" s="75" t="str">
        <x:v>N/A</x:v>
      </x:c>
      <x:c r="G39" s="75" t="str">
        <x:v>U/K</x:v>
      </x:c>
      <x:c r="H39" s="75" t="str">
        <x:v>USD</x:v>
      </x:c>
      <x:c r="I39" s="75" t="str">
        <x:v>Per server</x:v>
      </x:c>
      <x:c r="J39" s="75" t="str">
        <x:v>Entire server/community</x:v>
      </x:c>
      <x:c r="K39" s="75" t="str">
        <x:v>N/A</x:v>
      </x:c>
      <x:c r="L39" s="75" t="str">
        <x:v>2 GB uploads; 500 members; 1080p60 streaming</x:v>
      </x:c>
      <x:c r="M39" s="75" t="str">
        <x:v>https://gamevox.com/blog/gamevox-vs-discord/</x:v>
      </x:c>
      <x:c r="N39" s="75" t="str">
        <x:v>2026-09-15</x:v>
      </x:c>
      <x:c r="O39" s="75" t="str">
        <x:v>One server payment benefits all members.</x:v>
      </x:c>
      <x:c r="P39" s="75" t="str">
        <x:v>Primary / first-party source recorded</x:v>
      </x:c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</x:row>
    <x:row r="40" ht="45">
      <x:c r="A40" s="75" t="str">
        <x:v>GameVox</x:v>
      </x:c>
      <x:c r="B40" s="75" t="str">
        <x:v>Hosted server tier</x:v>
      </x:c>
      <x:c r="C40" s="75" t="str">
        <x:v>Diamond</x:v>
      </x:c>
      <x:c r="D40" s="75" t="str">
        <x:v>Active</x:v>
      </x:c>
      <x:c r="E40" s="75" t="str">
        <x:v>19.99</x:v>
      </x:c>
      <x:c r="F40" s="75" t="str">
        <x:v>N/A</x:v>
      </x:c>
      <x:c r="G40" s="75" t="str">
        <x:v>U/K</x:v>
      </x:c>
      <x:c r="H40" s="75" t="str">
        <x:v>USD</x:v>
      </x:c>
      <x:c r="I40" s="75" t="str">
        <x:v>Per server</x:v>
      </x:c>
      <x:c r="J40" s="75" t="str">
        <x:v>Entire server/community</x:v>
      </x:c>
      <x:c r="K40" s="75" t="str">
        <x:v>N/A</x:v>
      </x:c>
      <x:c r="L40" s="75" t="str">
        <x:v>10 GB uploads; unlimited members; up to 4K60 / top-tier features</x:v>
      </x:c>
      <x:c r="M40" s="75" t="str">
        <x:v>https://gamevox.com/blog/gamevox-vs-discord/</x:v>
      </x:c>
      <x:c r="N40" s="75" t="str">
        <x:v>2026-09-15</x:v>
      </x:c>
      <x:c r="O40" s="75" t="str">
        <x:v>One server payment benefits all members.</x:v>
      </x:c>
      <x:c r="P40" s="75" t="str">
        <x:v>Primary / first-party source recorded</x:v>
      </x:c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</x:row>
    <x:row r="41" ht="75">
      <x:c r="A41" s="75" t="str">
        <x:v>GameVox</x:v>
      </x:c>
      <x:c r="B41" s="75" t="str">
        <x:v>Self-host license</x:v>
      </x:c>
      <x:c r="C41" s="75" t="str">
        <x:v>Self-Hosted Server License</x:v>
      </x:c>
      <x:c r="D41" s="75" t="str">
        <x:v>Active</x:v>
      </x:c>
      <x:c r="E41" s="75" t="str">
        <x:v>2.00</x:v>
      </x:c>
      <x:c r="F41" s="75" t="str">
        <x:v>N/A</x:v>
      </x:c>
      <x:c r="G41" s="75" t="str">
        <x:v>15.00</x:v>
      </x:c>
      <x:c r="H41" s="75" t="str">
        <x:v>USD</x:v>
      </x:c>
      <x:c r="I41" s="75" t="str">
        <x:v>Per self-hosted server</x:v>
      </x:c>
      <x:c r="J41" s="75" t="str">
        <x:v>Self-host deployment</x:v>
      </x:c>
      <x:c r="K41" s="75" t="str">
        <x:v>Includes Diamond-tier features</x:v>
      </x:c>
      <x:c r="L41" s="75" t="str">
        <x:v>Self-host GameVox on your own hardware; data remains on your machine</x:v>
      </x:c>
      <x:c r="M41" s="75" t="str">
        <x:v>https://gamevox.com/self-hosted/</x:v>
      </x:c>
      <x:c r="N41" s="75" t="str">
        <x:v>2026-09-15</x:v>
      </x:c>
      <x:c r="O41" s="75" t="str">
        <x:v>The free-before-July-1-2026 grandfathering period has passed; current new-license price is $2/mo or $15/yr.</x:v>
      </x:c>
      <x:c r="P41" s="75" t="str">
        <x:v>Primary / first-party source recorded</x:v>
      </x:c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</x:row>
    <x:row r="42" ht="30">
      <x:c r="A42" s="75" t="str">
        <x:v>Nerimity</x:v>
      </x:c>
      <x:c r="B42" s="75" t="str">
        <x:v>No public paid tier</x:v>
      </x:c>
      <x:c r="C42" s="75" t="str">
        <x:v>No paid subscription verified</x:v>
      </x:c>
      <x:c r="D42" s="75" t="str">
        <x:v>None verified</x:v>
      </x:c>
      <x:c r="E42" s="75" t="str">
        <x:v>N/A</x:v>
      </x:c>
      <x:c r="F42" s="75" t="str">
        <x:v>N/A</x:v>
      </x:c>
      <x:c r="G42" s="75" t="str">
        <x:v>N/A</x:v>
      </x:c>
      <x:c r="H42" s="75" t="str">
        <x:v>N/A</x:v>
      </x:c>
      <x:c r="I42" s="75" t="str">
        <x:v>Donation-supported</x:v>
      </x:c>
      <x:c r="J42" s="75" t="str">
        <x:v>Hosted service</x:v>
      </x:c>
      <x:c r="K42" s="75" t="str">
        <x:v>N/A</x:v>
      </x:c>
      <x:c r="L42" s="75" t="str">
        <x:v>No fixed premium subscription verified</x:v>
      </x:c>
      <x:c r="M42" s="75" t="str">
        <x:v>https://nerimity.com/</x:v>
      </x:c>
      <x:c r="N42" s="75" t="str">
        <x:v>2026-09-15</x:v>
      </x:c>
      <x:c r="O42" s="75"/>
      <x:c r="P42" s="75" t="str">
        <x:v>Primary / first-party source recorded</x:v>
      </x:c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</x:row>
    <x:row r="43" ht="30">
      <x:c r="A43" s="75" t="str">
        <x:v>Osmium</x:v>
      </x:c>
      <x:c r="B43" s="75" t="str">
        <x:v>No public paid tier</x:v>
      </x:c>
      <x:c r="C43" s="75" t="str">
        <x:v>No public fixed-price paid tier verified</x:v>
      </x:c>
      <x:c r="D43" s="75" t="str">
        <x:v>None verified</x:v>
      </x:c>
      <x:c r="E43" s="75" t="str">
        <x:v>N/A</x:v>
      </x:c>
      <x:c r="F43" s="75" t="str">
        <x:v>N/A</x:v>
      </x:c>
      <x:c r="G43" s="75" t="str">
        <x:v>N/A</x:v>
      </x:c>
      <x:c r="H43" s="75" t="str">
        <x:v>U/K</x:v>
      </x:c>
      <x:c r="I43" s="75" t="str">
        <x:v>U/K</x:v>
      </x:c>
      <x:c r="J43" s="75" t="str">
        <x:v>Hosted service</x:v>
      </x:c>
      <x:c r="K43" s="75" t="str">
        <x:v>N/A</x:v>
      </x:c>
      <x:c r="L43" s="75" t="str">
        <x:v>U/K</x:v>
      </x:c>
      <x:c r="M43" s="75" t="str">
        <x:v>https://osmium.chat/</x:v>
      </x:c>
      <x:c r="N43" s="75" t="str">
        <x:v>2026-09-15</x:v>
      </x:c>
      <x:c r="O43" s="75" t="str">
        <x:v>No reliable current paid-plan schedule found.</x:v>
      </x:c>
      <x:c r="P43" s="75" t="str">
        <x:v>Primary / first-party source recorded</x:v>
      </x:c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</x:row>
    <x:row r="44" ht="45">
      <x:c r="A44" s="75" t="str">
        <x:v>Loqa</x:v>
      </x:c>
      <x:c r="B44" s="75" t="str">
        <x:v>No public paid tier</x:v>
      </x:c>
      <x:c r="C44" s="75" t="str">
        <x:v>No public fixed-price paid tier verified</x:v>
      </x:c>
      <x:c r="D44" s="75" t="str">
        <x:v>None verified</x:v>
      </x:c>
      <x:c r="E44" s="75" t="str">
        <x:v>N/A</x:v>
      </x:c>
      <x:c r="F44" s="75" t="str">
        <x:v>N/A</x:v>
      </x:c>
      <x:c r="G44" s="75" t="str">
        <x:v>N/A</x:v>
      </x:c>
      <x:c r="H44" s="75" t="str">
        <x:v>U/K</x:v>
      </x:c>
      <x:c r="I44" s="75" t="str">
        <x:v>U/K</x:v>
      </x:c>
      <x:c r="J44" s="75" t="str">
        <x:v>Hosted / self-host project</x:v>
      </x:c>
      <x:c r="K44" s="75" t="str">
        <x:v>N/A</x:v>
      </x:c>
      <x:c r="L44" s="75" t="str">
        <x:v>U/K</x:v>
      </x:c>
      <x:c r="M44" s="75" t="str">
        <x:v>https://loqa.chat/</x:v>
      </x:c>
      <x:c r="N44" s="75" t="str">
        <x:v>2026-09-15</x:v>
      </x:c>
      <x:c r="O44" s="75" t="str">
        <x:v>Open beta; no public fixed-price paid tier verified.</x:v>
      </x:c>
      <x:c r="P44" s="75" t="str">
        <x:v>Primary / first-party source recorded</x:v>
      </x:c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</x:row>
    <x:row r="45" ht="45">
      <x:c r="A45" s="75" t="str">
        <x:v>Venta</x:v>
      </x:c>
      <x:c r="B45" s="75" t="str">
        <x:v>No public paid tier</x:v>
      </x:c>
      <x:c r="C45" s="75" t="str">
        <x:v>No public fixed-price paid tier verified</x:v>
      </x:c>
      <x:c r="D45" s="75" t="str">
        <x:v>None verified</x:v>
      </x:c>
      <x:c r="E45" s="75" t="str">
        <x:v>N/A</x:v>
      </x:c>
      <x:c r="F45" s="75" t="str">
        <x:v>N/A</x:v>
      </x:c>
      <x:c r="G45" s="75" t="str">
        <x:v>N/A</x:v>
      </x:c>
      <x:c r="H45" s="75" t="str">
        <x:v>U/K</x:v>
      </x:c>
      <x:c r="I45" s="75" t="str">
        <x:v>U/K</x:v>
      </x:c>
      <x:c r="J45" s="75" t="str">
        <x:v>Early project</x:v>
      </x:c>
      <x:c r="K45" s="75" t="str">
        <x:v>N/A</x:v>
      </x:c>
      <x:c r="L45" s="75" t="str">
        <x:v>U/K</x:v>
      </x:c>
      <x:c r="M45" s="75" t="str">
        <x:v>https://venta.gg/</x:v>
      </x:c>
      <x:c r="N45" s="75" t="str">
        <x:v>2026-09-15</x:v>
      </x:c>
      <x:c r="O45" s="75" t="str">
        <x:v>Architecture and monetization are still evolving.</x:v>
      </x:c>
      <x:c r="P45" s="75" t="str">
        <x:v>Primary / first-party source recorded</x:v>
      </x:c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</x:row>
    <x:row r="46" ht="60">
      <x:c r="A46" s="75" t="str">
        <x:v>Mezon</x:v>
      </x:c>
      <x:c r="B46" s="75" t="str">
        <x:v>No paid communication tier</x:v>
      </x:c>
      <x:c r="C46" s="75" t="str">
        <x:v>No premium communication subscription</x:v>
      </x:c>
      <x:c r="D46" s="75" t="str">
        <x:v>None</x:v>
      </x:c>
      <x:c r="E46" s="75" t="str">
        <x:v>N/A</x:v>
      </x:c>
      <x:c r="F46" s="75" t="str">
        <x:v>N/A</x:v>
      </x:c>
      <x:c r="G46" s="75" t="str">
        <x:v>N/A</x:v>
      </x:c>
      <x:c r="H46" s="75" t="str">
        <x:v>N/A</x:v>
      </x:c>
      <x:c r="I46" s="75" t="str">
        <x:v>Free service</x:v>
      </x:c>
      <x:c r="J46" s="75" t="str">
        <x:v>All users</x:v>
      </x:c>
      <x:c r="K46" s="75" t="str">
        <x:v>N/A</x:v>
      </x:c>
      <x:c r="L46" s="75" t="str">
        <x:v>Official FAQ states communication features are free with no premium plan/paywall</x:v>
      </x:c>
      <x:c r="M46" s="75" t="str">
        <x:v>https://mezon.ai/docs/user/resources/FAQ/</x:v>
      </x:c>
      <x:c r="N46" s="75" t="str">
        <x:v>2026-09-15</x:v>
      </x:c>
      <x:c r="O46" s="75"/>
      <x:c r="P46" s="75" t="str">
        <x:v>Primary / first-party source recorded</x:v>
      </x:c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</x:row>
    <x:row r="47" ht="30">
      <x:c r="A47" s="75" t="str">
        <x:v>Kloak</x:v>
      </x:c>
      <x:c r="B47" s="75" t="str">
        <x:v>No public paid tier</x:v>
      </x:c>
      <x:c r="C47" s="75" t="str">
        <x:v>No public fixed-price paid tier verified</x:v>
      </x:c>
      <x:c r="D47" s="75" t="str">
        <x:v>None verified</x:v>
      </x:c>
      <x:c r="E47" s="75" t="str">
        <x:v>N/A</x:v>
      </x:c>
      <x:c r="F47" s="75" t="str">
        <x:v>N/A</x:v>
      </x:c>
      <x:c r="G47" s="75" t="str">
        <x:v>N/A</x:v>
      </x:c>
      <x:c r="H47" s="75" t="str">
        <x:v>U/K</x:v>
      </x:c>
      <x:c r="I47" s="75" t="str">
        <x:v>U/K</x:v>
      </x:c>
      <x:c r="J47" s="75" t="str">
        <x:v>Hosted service</x:v>
      </x:c>
      <x:c r="K47" s="75" t="str">
        <x:v>N/A</x:v>
      </x:c>
      <x:c r="L47" s="75" t="str">
        <x:v>U/K</x:v>
      </x:c>
      <x:c r="M47" s="75" t="str">
        <x:v>https://kloak.app/</x:v>
      </x:c>
      <x:c r="N47" s="75" t="str">
        <x:v>2026-09-15</x:v>
      </x:c>
      <x:c r="O47" s="75" t="str">
        <x:v>No public pricing page verified.</x:v>
      </x:c>
      <x:c r="P47" s="75" t="str">
        <x:v>Primary / first-party source recorded</x:v>
      </x:c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</x:row>
    <x:row r="48" ht="90">
      <x:c r="A48" s="75" t="str">
        <x:v>Yapper</x:v>
      </x:c>
      <x:c r="B48" s="75" t="str">
        <x:v>Managed hosting</x:v>
      </x:c>
      <x:c r="C48" s="75" t="str">
        <x:v>Yapper Hosting — 1 Year</x:v>
      </x:c>
      <x:c r="D48" s="75" t="str">
        <x:v>Active / promotional</x:v>
      </x:c>
      <x:c r="E48" s="75" t="str">
        <x:v>U/K</x:v>
      </x:c>
      <x:c r="F48" s="75" t="str">
        <x:v>N/A</x:v>
      </x:c>
      <x:c r="G48" s="75" t="str">
        <x:v>45.00 promo / 90.00 regular</x:v>
      </x:c>
      <x:c r="H48" s="75" t="str">
        <x:v>EUR</x:v>
      </x:c>
      <x:c r="I48" s="75" t="str">
        <x:v>Per managed server</x:v>
      </x:c>
      <x:c r="J48" s="75" t="str">
        <x:v>Hosted server up to 100 users</x:v>
      </x:c>
      <x:c r="K48" s="75" t="str">
        <x:v>7-day hosted trial</x:v>
      </x:c>
      <x:c r="L48" s="75" t="str">
        <x:v>10 GB storage; up to 10 Mbps; unlimited voice/text channels; proximity voice; up to 1440p screen share</x:v>
      </x:c>
      <x:c r="M48" s="75" t="str">
        <x:v>https://yapper.gg/pricing</x:v>
      </x:c>
      <x:c r="N48" s="75" t="str">
        <x:v>2026-09-15</x:v>
      </x:c>
      <x:c r="O48" s="75" t="str">
        <x:v>€45/year promotional price shown through Jan 31, 2027; regular annual price €90. Self-host license is free and is not a paid tier.</x:v>
      </x:c>
      <x:c r="P48" s="75" t="str">
        <x:v>Primary / first-party source recorded</x:v>
      </x:c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</x:row>
    <x:row r="49" ht="30">
      <x:c r="A49" s="75" t="str">
        <x:v>Harmony</x:v>
      </x:c>
      <x:c r="B49" s="75" t="str">
        <x:v>No public paid tier</x:v>
      </x:c>
      <x:c r="C49" s="75" t="str">
        <x:v>No central paid tier</x:v>
      </x:c>
      <x:c r="D49" s="75" t="str">
        <x:v>None</x:v>
      </x:c>
      <x:c r="E49" s="75" t="str">
        <x:v>N/A</x:v>
      </x:c>
      <x:c r="F49" s="75" t="str">
        <x:v>N/A</x:v>
      </x:c>
      <x:c r="G49" s="75" t="str">
        <x:v>N/A</x:v>
      </x:c>
      <x:c r="H49" s="75" t="str">
        <x:v>N/A</x:v>
      </x:c>
      <x:c r="I49" s="75" t="str">
        <x:v>Open-source/self-host</x:v>
      </x:c>
      <x:c r="J49" s="75" t="str">
        <x:v>Operator</x:v>
      </x:c>
      <x:c r="K49" s="75" t="str">
        <x:v>N/A</x:v>
      </x:c>
      <x:c r="L49" s="75" t="str">
        <x:v>No central subscription model</x:v>
      </x:c>
      <x:c r="M49" s="75" t="str">
        <x:v>https://codeberg.org/MelodyChat/Harmony</x:v>
      </x:c>
      <x:c r="N49" s="75" t="str">
        <x:v>2026-09-15</x:v>
      </x:c>
      <x:c r="O49" s="75" t="str">
        <x:v>Fermi is a client, not the platform.</x:v>
      </x:c>
      <x:c r="P49" s="75" t="str">
        <x:v>Primary / first-party source recorded</x:v>
      </x:c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</x:row>
    <x:row r="50" ht="60">
      <x:c r="A50" s="75" t="str">
        <x:v>Roomy</x:v>
      </x:c>
      <x:c r="B50" s="75" t="str">
        <x:v>No Roomy-specific paid tier</x:v>
      </x:c>
      <x:c r="C50" s="75" t="str">
        <x:v>No paid Roomy subscription verified</x:v>
      </x:c>
      <x:c r="D50" s="75" t="str">
        <x:v>None verified</x:v>
      </x:c>
      <x:c r="E50" s="75" t="str">
        <x:v>N/A</x:v>
      </x:c>
      <x:c r="F50" s="75" t="str">
        <x:v>N/A</x:v>
      </x:c>
      <x:c r="G50" s="75" t="str">
        <x:v>N/A</x:v>
      </x:c>
      <x:c r="H50" s="75" t="str">
        <x:v>N/A</x:v>
      </x:c>
      <x:c r="I50" s="75" t="str">
        <x:v>Open-source / ATProto</x:v>
      </x:c>
      <x:c r="J50" s="75" t="str">
        <x:v>Provider-specific</x:v>
      </x:c>
      <x:c r="K50" s="75" t="str">
        <x:v>N/A</x:v>
      </x:c>
      <x:c r="L50" s="75" t="str">
        <x:v>ATProto/PDS provider costs may exist, but are not Roomy subscription tiers</x:v>
      </x:c>
      <x:c r="M50" s="75" t="str">
        <x:v>https://github.com/muni-town/roomy</x:v>
      </x:c>
      <x:c r="N50" s="75" t="str">
        <x:v>2026-09-15</x:v>
      </x:c>
      <x:c r="O50" s="75"/>
      <x:c r="P50" s="75" t="str">
        <x:v>Primary / first-party source recorded</x:v>
      </x:c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</x:row>
    <x:row r="51" ht="45">
      <x:c r="A51" s="75" t="str">
        <x:v>Armada</x:v>
      </x:c>
      <x:c r="B51" s="75" t="str">
        <x:v>No central paid tier</x:v>
      </x:c>
      <x:c r="C51" s="75" t="str">
        <x:v>No Armada subscription</x:v>
      </x:c>
      <x:c r="D51" s="75" t="str">
        <x:v>None</x:v>
      </x:c>
      <x:c r="E51" s="75" t="str">
        <x:v>N/A</x:v>
      </x:c>
      <x:c r="F51" s="75" t="str">
        <x:v>N/A</x:v>
      </x:c>
      <x:c r="G51" s="75" t="str">
        <x:v>N/A</x:v>
      </x:c>
      <x:c r="H51" s="75" t="str">
        <x:v>N/A</x:v>
      </x:c>
      <x:c r="I51" s="75" t="str">
        <x:v>Open-source / relay ecosystem</x:v>
      </x:c>
      <x:c r="J51" s="75" t="str">
        <x:v>Relay/provider</x:v>
      </x:c>
      <x:c r="K51" s="75" t="str">
        <x:v>N/A</x:v>
      </x:c>
      <x:c r="L51" s="75" t="str">
        <x:v>Relay hosting may cost money; no central Armada subscription</x:v>
      </x:c>
      <x:c r="M51" s="75" t="str">
        <x:v>https://github.com/soapbox-pub/armada</x:v>
      </x:c>
      <x:c r="N51" s="75" t="str">
        <x:v>2026-09-15</x:v>
      </x:c>
      <x:c r="O51" s="75"/>
      <x:c r="P51" s="75" t="str">
        <x:v>Primary / first-party source recorded</x:v>
      </x:c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</x:row>
    <x:row r="52" ht="30">
      <x:c r="A52" s="75" t="str">
        <x:v>Hollow</x:v>
      </x:c>
      <x:c r="B52" s="75" t="str">
        <x:v>No central paid tier</x:v>
      </x:c>
      <x:c r="C52" s="75" t="str">
        <x:v>No Hollow subscription</x:v>
      </x:c>
      <x:c r="D52" s="75" t="str">
        <x:v>None</x:v>
      </x:c>
      <x:c r="E52" s="75" t="str">
        <x:v>N/A</x:v>
      </x:c>
      <x:c r="F52" s="75" t="str">
        <x:v>N/A</x:v>
      </x:c>
      <x:c r="G52" s="75" t="str">
        <x:v>N/A</x:v>
      </x:c>
      <x:c r="H52" s="75" t="str">
        <x:v>N/A</x:v>
      </x:c>
      <x:c r="I52" s="75" t="str">
        <x:v>Open-source / self-host relay</x:v>
      </x:c>
      <x:c r="J52" s="75" t="str">
        <x:v>Operator</x:v>
      </x:c>
      <x:c r="K52" s="75" t="str">
        <x:v>N/A</x:v>
      </x:c>
      <x:c r="L52" s="75" t="str">
        <x:v>No central paid tier verified</x:v>
      </x:c>
      <x:c r="M52" s="75" t="str">
        <x:v>https://github.com/VitalikPro13/HOLLOW</x:v>
      </x:c>
      <x:c r="N52" s="75" t="str">
        <x:v>2026-09-15</x:v>
      </x:c>
      <x:c r="O52" s="75"/>
      <x:c r="P52" s="75" t="str">
        <x:v>Primary / first-party source recorded</x:v>
      </x:c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</x:row>
    <x:row r="53" ht="30">
      <x:c r="A53" s="75" t="str">
        <x:v>DCTS</x:v>
      </x:c>
      <x:c r="B53" s="75" t="str">
        <x:v>No central paid tier</x:v>
      </x:c>
      <x:c r="C53" s="75" t="str">
        <x:v>No DCTS subscription</x:v>
      </x:c>
      <x:c r="D53" s="75" t="str">
        <x:v>None</x:v>
      </x:c>
      <x:c r="E53" s="75" t="str">
        <x:v>N/A</x:v>
      </x:c>
      <x:c r="F53" s="75" t="str">
        <x:v>N/A</x:v>
      </x:c>
      <x:c r="G53" s="75" t="str">
        <x:v>N/A</x:v>
      </x:c>
      <x:c r="H53" s="75" t="str">
        <x:v>N/A</x:v>
      </x:c>
      <x:c r="I53" s="75" t="str">
        <x:v>AGPL self-host / community-supported</x:v>
      </x:c>
      <x:c r="J53" s="75" t="str">
        <x:v>Operator</x:v>
      </x:c>
      <x:c r="K53" s="75" t="str">
        <x:v>N/A</x:v>
      </x:c>
      <x:c r="L53" s="75" t="str">
        <x:v>No fixed paid hosted tier verified</x:v>
      </x:c>
      <x:c r="M53" s="75" t="str">
        <x:v>https://dcts.community/</x:v>
      </x:c>
      <x:c r="N53" s="75" t="str">
        <x:v>2026-09-15</x:v>
      </x:c>
      <x:c r="O53" s="75"/>
      <x:c r="P53" s="75" t="str">
        <x:v>Primary / first-party source recorded</x:v>
      </x:c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</x:row>
    <x:row r="54" ht="60">
      <x:c r="A54" s="75" t="str">
        <x:v>Rift</x:v>
      </x:c>
      <x:c r="B54" s="75" t="str">
        <x:v>User subscription</x:v>
      </x:c>
      <x:c r="C54" s="75" t="str">
        <x:v>Rift+</x:v>
      </x:c>
      <x:c r="D54" s="75" t="str">
        <x:v>Active</x:v>
      </x:c>
      <x:c r="E54" s="75" t="str">
        <x:v>7.00</x:v>
      </x:c>
      <x:c r="F54" s="75" t="str">
        <x:v>N/A</x:v>
      </x:c>
      <x:c r="G54" s="75" t="str">
        <x:v>70.00</x:v>
      </x:c>
      <x:c r="H54" s="75" t="str">
        <x:v>USD</x:v>
      </x:c>
      <x:c r="I54" s="75" t="str">
        <x:v>Per user</x:v>
      </x:c>
      <x:c r="J54" s="75" t="str">
        <x:v>Personal account</x:v>
      </x:c>
      <x:c r="K54" s="75" t="str">
        <x:v>N/A</x:v>
      </x:c>
      <x:c r="L54" s="75" t="str">
        <x:v>1080p60; 128 kbps + high fidelity; 300 MB uploads; 16k messages; extra cosmetics/layouts</x:v>
      </x:c>
      <x:c r="M54" s="75" t="str">
        <x:v>https://therift.chat/de/plans/</x:v>
      </x:c>
      <x:c r="N54" s="75" t="str">
        <x:v>2026-09-15</x:v>
      </x:c>
      <x:c r="O54" s="75" t="str">
        <x:v>Personal tier; travels with the user.</x:v>
      </x:c>
      <x:c r="P54" s="75" t="str">
        <x:v>Primary / first-party source recorded</x:v>
      </x:c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</x:row>
    <x:row r="55" ht="90">
      <x:c r="A55" s="75" t="str">
        <x:v>Rift</x:v>
      </x:c>
      <x:c r="B55" s="75" t="str">
        <x:v>Community subscription</x:v>
      </x:c>
      <x:c r="C55" s="75" t="str">
        <x:v>Shard Ember</x:v>
      </x:c>
      <x:c r="D55" s="75" t="str">
        <x:v>Active</x:v>
      </x:c>
      <x:c r="E55" s="75" t="str">
        <x:v>10.00</x:v>
      </x:c>
      <x:c r="F55" s="75" t="str">
        <x:v>N/A</x:v>
      </x:c>
      <x:c r="G55" s="75" t="str">
        <x:v>N/A</x:v>
      </x:c>
      <x:c r="H55" s="75" t="str">
        <x:v>USD</x:v>
      </x:c>
      <x:c r="I55" s="75" t="str">
        <x:v>Per community / Shard</x:v>
      </x:c>
      <x:c r="J55" s="75" t="str">
        <x:v>Entire community</x:v>
      </x:c>
      <x:c r="K55" s="75" t="str">
        <x:v>N/A</x:v>
      </x:c>
      <x:c r="L55" s="75" t="str">
        <x:v>75 MB/member uploads; 128 kbps; 1080p; 30 emoji; 25 soundboard; onboarding; 15 webhooks</x:v>
      </x:c>
      <x:c r="M55" s="75" t="str">
        <x:v>https://therift.chat/de/plans/</x:v>
      </x:c>
      <x:c r="N55" s="75" t="str">
        <x:v>2026-09-15</x:v>
      </x:c>
      <x:c r="O55" s="75" t="str">
        <x:v>One member pays; whole Shard benefits.</x:v>
      </x:c>
      <x:c r="P55" s="75" t="str">
        <x:v>Primary / first-party source recorded</x:v>
      </x:c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</x:row>
    <x:row r="56" ht="75">
      <x:c r="A56" s="75" t="str">
        <x:v>Rift</x:v>
      </x:c>
      <x:c r="B56" s="75" t="str">
        <x:v>Community subscription</x:v>
      </x:c>
      <x:c r="C56" s="75" t="str">
        <x:v>Shard Forge</x:v>
      </x:c>
      <x:c r="D56" s="75" t="str">
        <x:v>Active</x:v>
      </x:c>
      <x:c r="E56" s="75" t="str">
        <x:v>25.00</x:v>
      </x:c>
      <x:c r="F56" s="75" t="str">
        <x:v>N/A</x:v>
      </x:c>
      <x:c r="G56" s="75" t="str">
        <x:v>N/A</x:v>
      </x:c>
      <x:c r="H56" s="75" t="str">
        <x:v>USD</x:v>
      </x:c>
      <x:c r="I56" s="75" t="str">
        <x:v>Per community / Shard</x:v>
      </x:c>
      <x:c r="J56" s="75" t="str">
        <x:v>Entire community</x:v>
      </x:c>
      <x:c r="K56" s="75" t="str">
        <x:v>N/A</x:v>
      </x:c>
      <x:c r="L56" s="75" t="str">
        <x:v>100 MB/member uploads; 192 kbps; 1440p; 100 emoji; 75 soundboard; advanced analytics; 30 webhooks</x:v>
      </x:c>
      <x:c r="M56" s="75" t="str">
        <x:v>https://therift.chat/de/plans/</x:v>
      </x:c>
      <x:c r="N56" s="75" t="str">
        <x:v>2026-09-15</x:v>
      </x:c>
      <x:c r="O56" s="75" t="str">
        <x:v>One member pays; whole Shard benefits.</x:v>
      </x:c>
      <x:c r="P56" s="75" t="str">
        <x:v>Primary / first-party source recorded</x:v>
      </x:c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</x:row>
    <x:row r="57" ht="30">
      <x:c r="A57" s="75" t="str">
        <x:f>IF('Master'!C755="","",'Master'!C755)</x:f>
        <x:v>No paid tier — donations unlock nothing</x:v>
      </x:c>
      <x:c r="B57" s="75" t="str">
        <x:f>IF('Master'!D755="","",'Master'!D755)</x:f>
        <x:v>pqp.gg</x:v>
      </x:c>
      <x:c r="C57" s="75" t="str">
        <x:f>IF('Master'!E755="","",'Master'!E755)</x:f>
        <x:v>Free hosted + donations</x:v>
      </x:c>
      <x:c r="D57" s="75" t="str">
        <x:f>IF('Master'!F755="","",'Master'!F755)</x:f>
        <x:v>Active free hosted beta</x:v>
      </x:c>
      <x:c r="E57" s="75" t="str">
        <x:f>IF('Master'!G755="","",'Master'!G755)</x:f>
        <x:v>N/A</x:v>
      </x:c>
      <x:c r="F57" s="75" t="str">
        <x:f>IF('Master'!H755="","",'Master'!H755)</x:f>
        <x:v>N/A</x:v>
      </x:c>
      <x:c r="G57" s="75" t="str">
        <x:f>IF('Master'!I755="","",'Master'!I755)</x:f>
        <x:v>N/A</x:v>
      </x:c>
      <x:c r="H57" s="75" t="str">
        <x:f>IF('Master'!J755="","",'Master'!J755)</x:f>
        <x:v>N/A</x:v>
      </x:c>
      <x:c r="I57" s="75" t="str">
        <x:f>IF('Master'!K755="","",'Master'!K755)</x:f>
        <x:v>Free hosted + optional donations</x:v>
      </x:c>
      <x:c r="J57" s="75" t="str">
        <x:f>IF('Master'!L755="","",'Master'!L755)</x:f>
        <x:v>All hosted users / self-hosters</x:v>
      </x:c>
      <x:c r="K57" s="75" t="str">
        <x:f>IF('Master'!M755="","",'Master'!M755)</x:f>
        <x:v>AGPL-3.0 self-host</x:v>
      </x:c>
      <x:c r="L57" s="75" t="str">
        <x:f>IF('Master'!N755="","",'Master'!N755)</x:f>
        <x:v>Free hosted service; donations unlock nothing; self-hostable AGPL-3.0; not VC-backed</x:v>
      </x:c>
      <x:c r="M57" s="75" t="str">
        <x:f>IF('Master'!O755="","",'Master'!O755)</x:f>
        <x:v>https://pqp.gg/apoie</x:v>
      </x:c>
      <x:c r="N57" s="75" t="str">
        <x:f>IF('Master'!P755="","",'Master'!P755)</x:f>
        <x:v>2026-09-16</x:v>
      </x:c>
      <x:c r="O57" s="75" t="str">
        <x:f>IF('Master'!Q755="","",'Master'!Q755)</x:f>
        <x:v>No fixed-price subscription; donations confer no feature unlocks.</x:v>
      </x:c>
      <x:c r="P57" s="75" t="str">
        <x:f>IF('Master'!R755="","",'Master'!R755)</x:f>
        <x:v>Primary / developer-provided response</x:v>
      </x:c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</x:row>
    <x:row r="58" ht="30">
      <x:c r="A58" s="75" t="str">
        <x:v>Echon</x:v>
      </x:c>
      <x:c r="B58" s="75" t="str">
        <x:v>No public paid tier</x:v>
      </x:c>
      <x:c r="C58" s="75" t="str">
        <x:v>No public fixed-price paid tier verified</x:v>
      </x:c>
      <x:c r="D58" s="75" t="str">
        <x:v>None verified</x:v>
      </x:c>
      <x:c r="E58" s="75" t="str">
        <x:v>N/A</x:v>
      </x:c>
      <x:c r="F58" s="75" t="str">
        <x:v>N/A</x:v>
      </x:c>
      <x:c r="G58" s="75" t="str">
        <x:v>N/A</x:v>
      </x:c>
      <x:c r="H58" s="75" t="str">
        <x:v>U/K</x:v>
      </x:c>
      <x:c r="I58" s="75" t="str">
        <x:v>U/K</x:v>
      </x:c>
      <x:c r="J58" s="75" t="str">
        <x:v>Hosted service</x:v>
      </x:c>
      <x:c r="K58" s="75" t="str">
        <x:v>N/A</x:v>
      </x:c>
      <x:c r="L58" s="75" t="str">
        <x:v>U/K</x:v>
      </x:c>
      <x:c r="M58" s="75" t="str">
        <x:v>https://echon-voice.com/</x:v>
      </x:c>
      <x:c r="N58" s="75" t="str">
        <x:v>2026-09-15</x:v>
      </x:c>
      <x:c r="O58" s="75" t="str">
        <x:v>No public pricing page verified.</x:v>
      </x:c>
      <x:c r="P58" s="75" t="str">
        <x:v>Primary / first-party source recorded</x:v>
      </x:c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</x:row>
    <x:row r="59" ht="45">
      <x:c r="A59" s="75" t="str">
        <x:v>Valour</x:v>
      </x:c>
      <x:c r="B59" s="75" t="str">
        <x:v>Supporter subscription</x:v>
      </x:c>
      <x:c r="C59" s="75" t="str">
        <x:v>Stargazer</x:v>
      </x:c>
      <x:c r="D59" s="75" t="str">
        <x:v>Active / optional; price not publicly verified</x:v>
      </x:c>
      <x:c r="E59" s="75" t="str">
        <x:v>U/K</x:v>
      </x:c>
      <x:c r="F59" s="75" t="str">
        <x:v>N/A</x:v>
      </x:c>
      <x:c r="G59" s="75" t="str">
        <x:v>U/K</x:v>
      </x:c>
      <x:c r="H59" s="75" t="str">
        <x:v>U/K</x:v>
      </x:c>
      <x:c r="I59" s="75" t="str">
        <x:v>Per supporter</x:v>
      </x:c>
      <x:c r="J59" s="75" t="str">
        <x:v>Personal account</x:v>
      </x:c>
      <x:c r="K59" s="75" t="str">
        <x:v>N/A</x:v>
      </x:c>
      <x:c r="L59" s="75" t="str">
        <x:v>Larger upload limits and profile flair; helps fund the platform</x:v>
      </x:c>
      <x:c r="M59" s="75" t="str">
        <x:v>https://valour.gg/faq/</x:v>
      </x:c>
      <x:c r="N59" s="75" t="str">
        <x:v>2026-09-15</x:v>
      </x:c>
      <x:c r="O59" s="75" t="str">
        <x:v>Current public price not verified.</x:v>
      </x:c>
      <x:c r="P59" s="75" t="str">
        <x:v>Primary / first-party source recorded</x:v>
      </x:c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</x:row>
    <x:row r="60" ht="75">
      <x:c r="A60" s="75" t="str">
        <x:v>Weered</x:v>
      </x:c>
      <x:c r="B60" s="75" t="str">
        <x:v>Lobby subscription</x:v>
      </x:c>
      <x:c r="C60" s="75" t="str">
        <x:v>Run your own</x:v>
      </x:c>
      <x:c r="D60" s="75" t="str">
        <x:v>Active</x:v>
      </x:c>
      <x:c r="E60" s="75" t="str">
        <x:v>6.00</x:v>
      </x:c>
      <x:c r="F60" s="75" t="str">
        <x:v>N/A</x:v>
      </x:c>
      <x:c r="G60" s="75" t="str">
        <x:v>U/K</x:v>
      </x:c>
      <x:c r="H60" s="75" t="str">
        <x:v>USD</x:v>
      </x:c>
      <x:c r="I60" s="75" t="str">
        <x:v>Per lobby</x:v>
      </x:c>
      <x:c r="J60" s="75" t="str">
        <x:v>Lobby owner/community</x:v>
      </x:c>
      <x:c r="K60" s="75" t="str">
        <x:v>N/A</x:v>
      </x:c>
      <x:c r="L60" s="75" t="str">
        <x:v>Create and operate your own lobby with rooms, roles, role icons, branding and moderation</x:v>
      </x:c>
      <x:c r="M60" s="75" t="str">
        <x:v>https://weered.ca/pricing</x:v>
      </x:c>
      <x:c r="N60" s="75" t="str">
        <x:v>2026-09-15</x:v>
      </x:c>
      <x:c r="O60" s="75" t="str">
        <x:v>Using existing public lobbies is free.</x:v>
      </x:c>
      <x:c r="P60" s="75" t="str">
        <x:v>Primary / first-party source recorded</x:v>
      </x:c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</x:row>
    <x:row r="61" ht="90">
      <x:c r="A61" s="75" t="str">
        <x:v>Weered</x:v>
      </x:c>
      <x:c r="B61" s="75" t="str">
        <x:v>Custom community build</x:v>
      </x:c>
      <x:c r="C61" s="75" t="str">
        <x:v>Have it built — Crew</x:v>
      </x:c>
      <x:c r="D61" s="75" t="str">
        <x:v>Quote</x:v>
      </x:c>
      <x:c r="E61" s="75" t="str">
        <x:v>Contact Sales</x:v>
      </x:c>
      <x:c r="F61" s="75" t="str">
        <x:v>N/A</x:v>
      </x:c>
      <x:c r="G61" s="75" t="str">
        <x:v>Contact Sales</x:v>
      </x:c>
      <x:c r="H61" s="75" t="str">
        <x:v>USD / quote</x:v>
      </x:c>
      <x:c r="I61" s="75" t="str">
        <x:v>Per community build</x:v>
      </x:c>
      <x:c r="J61" s="75" t="str">
        <x:v>Custom hosted community</x:v>
      </x:c>
      <x:c r="K61" s="75" t="str">
        <x:v>N/A</x:v>
      </x:c>
      <x:c r="L61" s="75" t="str">
        <x:v>Up to 250 members; bots rebuilt as native features; branding/domain; voice/video; co-watch; events/brackets</x:v>
      </x:c>
      <x:c r="M61" s="75" t="str">
        <x:v>https://weered.ca/pricing</x:v>
      </x:c>
      <x:c r="N61" s="75" t="str">
        <x:v>2026-09-15</x:v>
      </x:c>
      <x:c r="O61" s="75" t="str">
        <x:v>Quoted by community size; first ten builds have special founding terms.</x:v>
      </x:c>
      <x:c r="P61" s="75" t="str">
        <x:v>Primary / first-party source recorded</x:v>
      </x:c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</x:row>
    <x:row r="62" ht="90">
      <x:c r="A62" s="75" t="str">
        <x:v>Weered</x:v>
      </x:c>
      <x:c r="B62" s="75" t="str">
        <x:v>Custom community build</x:v>
      </x:c>
      <x:c r="C62" s="75" t="str">
        <x:v>Have it built — League</x:v>
      </x:c>
      <x:c r="D62" s="75" t="str">
        <x:v>Quote</x:v>
      </x:c>
      <x:c r="E62" s="75" t="str">
        <x:v>Contact Sales</x:v>
      </x:c>
      <x:c r="F62" s="75" t="str">
        <x:v>N/A</x:v>
      </x:c>
      <x:c r="G62" s="75" t="str">
        <x:v>Contact Sales</x:v>
      </x:c>
      <x:c r="H62" s="75" t="str">
        <x:v>USD / quote</x:v>
      </x:c>
      <x:c r="I62" s="75" t="str">
        <x:v>Per community build</x:v>
      </x:c>
      <x:c r="J62" s="75" t="str">
        <x:v>Custom hosted community</x:v>
      </x:c>
      <x:c r="K62" s="75" t="str">
        <x:v>N/A</x:v>
      </x:c>
      <x:c r="L62" s="75" t="str">
        <x:v>Up to 1,000 members; bots rebuilt as native features; branding/domain; voice/video; co-watch; events/brackets</x:v>
      </x:c>
      <x:c r="M62" s="75" t="str">
        <x:v>https://weered.ca/pricing</x:v>
      </x:c>
      <x:c r="N62" s="75" t="str">
        <x:v>2026-09-15</x:v>
      </x:c>
      <x:c r="O62" s="75" t="str">
        <x:v>Quoted by community size; first ten builds have special founding terms.</x:v>
      </x:c>
      <x:c r="P62" s="75" t="str">
        <x:v>Primary / first-party source recorded</x:v>
      </x:c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</x:row>
    <x:row r="63" ht="90">
      <x:c r="A63" s="75" t="str">
        <x:v>Weered</x:v>
      </x:c>
      <x:c r="B63" s="75" t="str">
        <x:v>Custom community build</x:v>
      </x:c>
      <x:c r="C63" s="75" t="str">
        <x:v>Have it built — Network</x:v>
      </x:c>
      <x:c r="D63" s="75" t="str">
        <x:v>Quote</x:v>
      </x:c>
      <x:c r="E63" s="75" t="str">
        <x:v>Contact Sales</x:v>
      </x:c>
      <x:c r="F63" s="75" t="str">
        <x:v>N/A</x:v>
      </x:c>
      <x:c r="G63" s="75" t="str">
        <x:v>Contact Sales</x:v>
      </x:c>
      <x:c r="H63" s="75" t="str">
        <x:v>USD / quote</x:v>
      </x:c>
      <x:c r="I63" s="75" t="str">
        <x:v>Per community build</x:v>
      </x:c>
      <x:c r="J63" s="75" t="str">
        <x:v>Custom hosted community</x:v>
      </x:c>
      <x:c r="K63" s="75" t="str">
        <x:v>N/A</x:v>
      </x:c>
      <x:c r="L63" s="75" t="str">
        <x:v>Up to 5,000 members; bots rebuilt as native features; branding/domain; voice/video; co-watch; events/brackets</x:v>
      </x:c>
      <x:c r="M63" s="75" t="str">
        <x:v>https://weered.ca/pricing</x:v>
      </x:c>
      <x:c r="N63" s="75" t="str">
        <x:v>2026-09-15</x:v>
      </x:c>
      <x:c r="O63" s="75" t="str">
        <x:v>Quoted by community size; first ten builds have special founding terms.</x:v>
      </x:c>
      <x:c r="P63" s="75" t="str">
        <x:v>Primary / first-party source recorded</x:v>
      </x:c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</x:row>
    <x:row r="64" ht="105">
      <x:c r="A64" s="75" t="str">
        <x:v>Weered</x:v>
      </x:c>
      <x:c r="B64" s="75" t="str">
        <x:v>Custom community build</x:v>
      </x:c>
      <x:c r="C64" s="75" t="str">
        <x:v>Have it built — Larger</x:v>
      </x:c>
      <x:c r="D64" s="75" t="str">
        <x:v>Quote</x:v>
      </x:c>
      <x:c r="E64" s="75" t="str">
        <x:v>Contact Sales</x:v>
      </x:c>
      <x:c r="F64" s="75" t="str">
        <x:v>N/A</x:v>
      </x:c>
      <x:c r="G64" s="75" t="str">
        <x:v>Contact Sales</x:v>
      </x:c>
      <x:c r="H64" s="75" t="str">
        <x:v>USD / quote</x:v>
      </x:c>
      <x:c r="I64" s="75" t="str">
        <x:v>Per community build</x:v>
      </x:c>
      <x:c r="J64" s="75" t="str">
        <x:v>Custom hosted community</x:v>
      </x:c>
      <x:c r="K64" s="75" t="str">
        <x:v>N/A</x:v>
      </x:c>
      <x:c r="L64" s="75" t="str">
        <x:v>Custom size / dedicated infrastructure; bots rebuilt as native features; branding/domain; voice/video; co-watch; events/brackets</x:v>
      </x:c>
      <x:c r="M64" s="75" t="str">
        <x:v>https://weered.ca/pricing</x:v>
      </x:c>
      <x:c r="N64" s="75" t="str">
        <x:v>2026-09-15</x:v>
      </x:c>
      <x:c r="O64" s="75" t="str">
        <x:v>Quoted by community size; first ten builds have special founding terms.</x:v>
      </x:c>
      <x:c r="P64" s="75" t="str">
        <x:v>Primary / first-party source recorded</x:v>
      </x:c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</x:row>
  </x:sheetData>
  <x:mergeCells>
    <x:mergeCell ref="A1:P1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RowHeight="15"/>
  <x:cols>
    <x:col min="1" max="1" width="34" hidden="0" customWidth="1"/>
    <x:col min="2" max="32" width="2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1" ht="28" customHeight="1">
      <x:c r="A1" s="130" t="str">
        <x:f>IFERROR(HYPERLINK("#'Sheet Directory'!A1","Free vs Paid Feature Entitlements"),"Free vs Paid Feature Entitlements")</x:f>
        <x:v>Free vs Paid Feature Entitlements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130"/>
      <x:c r="AA1" s="130"/>
      <x:c r="AB1" s="130"/>
      <x:c r="AC1" s="130"/>
      <x:c r="AD1" s="130"/>
      <x:c r="AE1" s="130"/>
      <x:c r="AF1" s="132"/>
    </x:row>
    <x:row r="2" ht="32" customHeight="1">
      <x:c r="A2" s="116" t="str">
        <x:v>Category</x:v>
      </x:c>
      <x:c r="B2" s="116" t="str">
        <x:v>Discord</x:v>
      </x:c>
      <x:c r="C2" s="116" t="str">
        <x:v>Armada</x:v>
      </x:c>
      <x:c r="D2" s="116" t="str">
        <x:v>DCTS</x:v>
      </x:c>
      <x:c r="E2" s="116" t="str">
        <x:v>Echon</x:v>
      </x:c>
      <x:c r="F2" s="116" t="str">
        <x:v>Fenrid</x:v>
      </x:c>
      <x:c r="G2" s="116" t="str">
        <x:v>Fluxer</x:v>
      </x:c>
      <x:c r="H2" s="116" t="str">
        <x:v>GameVox</x:v>
      </x:c>
      <x:c r="I2" s="116" t="str">
        <x:v>Harmony</x:v>
      </x:c>
      <x:c r="J2" s="116" t="str">
        <x:v>Hollow</x:v>
      </x:c>
      <x:c r="K2" s="116" t="str">
        <x:v>Kaede Chat</x:v>
      </x:c>
      <x:c r="L2" s="116" t="str">
        <x:v>Kloak</x:v>
      </x:c>
      <x:c r="M2" s="116" t="str">
        <x:v>Loqa</x:v>
      </x:c>
      <x:c r="N2" s="116" t="str">
        <x:v>Matrix</x:v>
      </x:c>
      <x:c r="O2" s="116" t="str">
        <x:v>Mattermost</x:v>
      </x:c>
      <x:c r="P2" s="116" t="str">
        <x:v>Mezon</x:v>
      </x:c>
      <x:c r="Q2" s="116" t="str">
        <x:v>Mumble</x:v>
      </x:c>
      <x:c r="R2" s="116" t="str">
        <x:v>Nerimity</x:v>
      </x:c>
      <x:c r="S2" s="116" t="str">
        <x:v>Osmium</x:v>
      </x:c>
      <x:c r="T2" s="116" t="str">
        <x:v>pqp.gg</x:v>
      </x:c>
      <x:c r="U2" s="116" t="str">
        <x:v>Rift</x:v>
      </x:c>
      <x:c r="V2" s="116" t="str">
        <x:v>Rocket.Chat</x:v>
      </x:c>
      <x:c r="W2" s="116" t="str">
        <x:v>Roomy</x:v>
      </x:c>
      <x:c r="X2" s="116" t="str">
        <x:v>Root</x:v>
      </x:c>
      <x:c r="Y2" s="116" t="str">
        <x:v>Spacebar</x:v>
      </x:c>
      <x:c r="Z2" s="116" t="str">
        <x:v>Stoat</x:v>
      </x:c>
      <x:c r="AA2" s="116" t="str">
        <x:v>TeamSpeak</x:v>
      </x:c>
      <x:c r="AB2" s="116" t="str">
        <x:v>Valour</x:v>
      </x:c>
      <x:c r="AC2" s="116" t="str">
        <x:v>Venta</x:v>
      </x:c>
      <x:c r="AD2" s="116" t="str">
        <x:v>Weered</x:v>
      </x:c>
      <x:c r="AE2" s="116" t="str">
        <x:v>Yapper</x:v>
      </x:c>
      <x:c r="AF2" s="116" t="str">
        <x:v>Zulip</x:v>
      </x:c>
    </x:row>
    <x:row r="3" ht="22" customHeight="1">
      <x:c r="A3" s="138" t="str">
        <x:v>Profile &amp; Cosmetic Entitlements</x:v>
      </x:c>
      <x:c r="B3" s="138" t="str">
        <x:f>IF(""="","","")</x:f>
      </x:c>
      <x:c r="C3" s="138" t="str">
        <x:f>IF(""="","","")</x:f>
      </x:c>
      <x:c r="D3" s="138" t="str">
        <x:f>IF(""="","","")</x:f>
      </x:c>
      <x:c r="E3" s="138" t="str">
        <x:f>IF(""="","","")</x:f>
      </x:c>
      <x:c r="F3" s="138" t="str">
        <x:f>IF(""="","","")</x:f>
      </x:c>
      <x:c r="G3" s="138" t="str">
        <x:f>IF(""="","","")</x:f>
      </x:c>
      <x:c r="H3" s="138" t="str">
        <x:f>IF(""="","","")</x:f>
      </x:c>
      <x:c r="I3" s="138" t="str">
        <x:f>IF(""="","","")</x:f>
      </x:c>
      <x:c r="J3" s="138" t="str">
        <x:f>IF(""="","","")</x:f>
      </x:c>
      <x:c r="K3" s="138" t="str">
        <x:f>IF(""="","","")</x:f>
      </x:c>
      <x:c r="L3" s="138" t="str">
        <x:f>IF(""="","","")</x:f>
      </x:c>
      <x:c r="M3" s="138" t="str">
        <x:f>IF(""="","","")</x:f>
      </x:c>
      <x:c r="N3" s="138" t="str">
        <x:f>IF(""="","","")</x:f>
      </x:c>
      <x:c r="O3" s="138" t="str">
        <x:f>IF(""="","","")</x:f>
      </x:c>
      <x:c r="P3" s="138" t="str">
        <x:f>IF(""="","","")</x:f>
      </x:c>
      <x:c r="Q3" s="138" t="str">
        <x:f>IF(""="","","")</x:f>
      </x:c>
      <x:c r="R3" s="138" t="str">
        <x:f>IF(""="","","")</x:f>
      </x:c>
      <x:c r="S3" s="138" t="str">
        <x:f>IF(""="","","")</x:f>
      </x:c>
      <x:c r="T3" s="138" t="str">
        <x:f>IF(""="","","")</x:f>
      </x:c>
      <x:c r="U3" s="138" t="str">
        <x:f>IF(""="","","")</x:f>
      </x:c>
      <x:c r="V3" s="138" t="str">
        <x:f>IF(""="","","")</x:f>
      </x:c>
      <x:c r="W3" s="138" t="str">
        <x:f>IF(""="","","")</x:f>
      </x:c>
      <x:c r="X3" s="138" t="str">
        <x:f>IF(""="","","")</x:f>
      </x:c>
      <x:c r="Y3" s="138" t="str">
        <x:f>IF(""="","","")</x:f>
      </x:c>
      <x:c r="Z3" s="138" t="str">
        <x:f>IF(""="","","")</x:f>
      </x:c>
      <x:c r="AA3" s="138" t="str">
        <x:f>IF(""="","","")</x:f>
      </x:c>
      <x:c r="AB3" s="138" t="str">
        <x:f>IF(""="","","")</x:f>
      </x:c>
      <x:c r="AC3" s="138" t="str">
        <x:f>IF(""="","","")</x:f>
      </x:c>
      <x:c r="AD3" s="138" t="str">
        <x:f>IF(""="","","")</x:f>
      </x:c>
      <x:c r="AE3" s="138" t="str">
        <x:f>IF(""="","","")</x:f>
      </x:c>
      <x:c r="AF3" s="139" t="str">
        <x:f>IF(""="","","")</x:f>
      </x:c>
    </x:row>
    <x:row r="4" ht="36" customHeight="1">
      <x:c r="A4" s="135" t="str">
        <x:v>Animated Avatar Available?</x:v>
      </x:c>
      <x:c r="B4" s="100" t="str">
        <x:f>IF('Master'!C720="","",'Master'!C720)</x:f>
        <x:v>Yes</x:v>
      </x:c>
      <x:c r="C4" s="100" t="str">
        <x:f>IF('Master'!D720="","",'Master'!D720)</x:f>
      </x:c>
      <x:c r="D4" s="100" t="str">
        <x:f>IF('Master'!E720="","",'Master'!E720)</x:f>
      </x:c>
      <x:c r="E4" s="100" t="str">
        <x:f>IF('Master'!F720="","",'Master'!F720)</x:f>
      </x:c>
      <x:c r="F4" s="100" t="str">
        <x:f>IF('Master'!G720="","",'Master'!G720)</x:f>
      </x:c>
      <x:c r="G4" s="100" t="str">
        <x:f>IF('Master'!H720="","",'Master'!H720)</x:f>
        <x:v>Yes</x:v>
      </x:c>
      <x:c r="H4" s="100" t="str">
        <x:f>IF('Master'!I720="","",'Master'!I720)</x:f>
      </x:c>
      <x:c r="I4" s="100" t="str">
        <x:f>IF('Master'!J720="","",'Master'!J720)</x:f>
      </x:c>
      <x:c r="J4" s="100" t="str">
        <x:f>IF('Master'!K720="","",'Master'!K720)</x:f>
      </x:c>
      <x:c r="K4" s="100" t="str">
        <x:f>IF('Master'!L720="","",'Master'!L720)</x:f>
        <x:v>Unknown/not separately documented</x:v>
      </x:c>
      <x:c r="L4" s="100" t="str">
        <x:f>IF('Master'!M720="","",'Master'!M720)</x:f>
      </x:c>
      <x:c r="M4" s="100" t="str">
        <x:f>IF('Master'!N720="","",'Master'!N720)</x:f>
      </x:c>
      <x:c r="N4" s="100" t="str">
        <x:f>IF('Master'!O720="","",'Master'!O720)</x:f>
        <x:v>Client/provider-dependent</x:v>
      </x:c>
      <x:c r="O4" s="100" t="str">
        <x:f>IF('Master'!P720="","",'Master'!P720)</x:f>
      </x:c>
      <x:c r="P4" s="100" t="str">
        <x:f>IF('Master'!Q720="","",'Master'!Q720)</x:f>
      </x:c>
      <x:c r="Q4" s="100" t="str">
        <x:f>IF('Master'!R720="","",'Master'!R720)</x:f>
      </x:c>
      <x:c r="R4" s="100" t="str">
        <x:f>IF('Master'!S720="","",'Master'!S720)</x:f>
      </x:c>
      <x:c r="S4" s="100" t="str">
        <x:f>IF('Master'!T720="","",'Master'!T720)</x:f>
      </x:c>
      <x:c r="T4" s="100" t="str">
        <x:f>IF('Master'!U720="","",'Master'!U720)</x:f>
      </x:c>
      <x:c r="U4" s="100" t="str">
        <x:f>IF('Master'!V720="","",'Master'!V720)</x:f>
        <x:v>Yes</x:v>
      </x:c>
      <x:c r="V4" s="100" t="str">
        <x:f>IF('Master'!W720="","",'Master'!W720)</x:f>
      </x:c>
      <x:c r="W4" s="100" t="str">
        <x:f>IF('Master'!X720="","",'Master'!X720)</x:f>
      </x:c>
      <x:c r="X4" s="100" t="str">
        <x:f>IF('Master'!Y720="","",'Master'!Y720)</x:f>
      </x:c>
      <x:c r="Y4" s="100" t="str">
        <x:f>IF('Master'!Z720="","",'Master'!Z720)</x:f>
      </x:c>
      <x:c r="Z4" s="100" t="str">
        <x:f>IF('Master'!AA720="","",'Master'!AA720)</x:f>
      </x:c>
      <x:c r="AA4" s="104" t="str">
        <x:f>IF('Master'!AB720="","",'Master'!AB720)</x:f>
      </x:c>
      <x:c r="AB4" s="100" t="str">
        <x:f>IF('Master'!AC720="","",'Master'!AC720)</x:f>
      </x:c>
      <x:c r="AC4" s="100" t="str">
        <x:f>IF('Master'!AD720="","",'Master'!AD720)</x:f>
      </x:c>
      <x:c r="AD4" s="100" t="str">
        <x:f>IF('Master'!AE720="","",'Master'!AE720)</x:f>
      </x:c>
      <x:c r="AE4" s="100" t="str">
        <x:f>IF('Master'!AF720="","",'Master'!AF720)</x:f>
      </x:c>
      <x:c r="AF4" s="75" t="str">
        <x:f>IF('Master'!AG720="","",'Master'!AG720)</x:f>
      </x:c>
    </x:row>
    <x:row r="5" ht="36" customHeight="1">
      <x:c r="A5" s="135" t="str">
        <x:v>Animated Avatar Access</x:v>
      </x:c>
      <x:c r="B5" s="100" t="str">
        <x:f>IF('Master'!C721="","",'Master'!C721)</x:f>
        <x:v>Paid — Nitro</x:v>
      </x:c>
      <x:c r="C5" s="100" t="str">
        <x:f>IF('Master'!D721="","",'Master'!D721)</x:f>
      </x:c>
      <x:c r="D5" s="100" t="str">
        <x:f>IF('Master'!E721="","",'Master'!E721)</x:f>
      </x:c>
      <x:c r="E5" s="100" t="str">
        <x:f>IF('Master'!F721="","",'Master'!F721)</x:f>
      </x:c>
      <x:c r="F5" s="100" t="str">
        <x:f>IF('Master'!G721="","",'Master'!G721)</x:f>
      </x:c>
      <x:c r="G5" s="100" t="str">
        <x:f>IF('Master'!H721="","",'Master'!H721)</x:f>
        <x:v>Paid — Plutonium</x:v>
      </x:c>
      <x:c r="H5" s="100" t="str">
        <x:f>IF('Master'!I721="","",'Master'!I721)</x:f>
      </x:c>
      <x:c r="I5" s="100" t="str">
        <x:f>IF('Master'!J721="","",'Master'!J721)</x:f>
      </x:c>
      <x:c r="J5" s="100" t="str">
        <x:f>IF('Master'!K721="","",'Master'!K721)</x:f>
      </x:c>
      <x:c r="K5" s="100" t="str">
        <x:f>IF('Master'!L721="","",'Master'!L721)</x:f>
        <x:v>Unknown/not separately documented</x:v>
      </x:c>
      <x:c r="L5" s="100" t="str">
        <x:f>IF('Master'!M721="","",'Master'!M721)</x:f>
      </x:c>
      <x:c r="M5" s="100" t="str">
        <x:f>IF('Master'!N721="","",'Master'!N721)</x:f>
      </x:c>
      <x:c r="N5" s="100" t="str">
        <x:f>IF('Master'!O721="","",'Master'!O721)</x:f>
        <x:v>Client/provider-dependent</x:v>
      </x:c>
      <x:c r="O5" s="100" t="str">
        <x:f>IF('Master'!P721="","",'Master'!P721)</x:f>
      </x:c>
      <x:c r="P5" s="100" t="str">
        <x:f>IF('Master'!Q721="","",'Master'!Q721)</x:f>
        <x:v>Free if supported</x:v>
      </x:c>
      <x:c r="Q5" s="100" t="str">
        <x:f>IF('Master'!R721="","",'Master'!R721)</x:f>
      </x:c>
      <x:c r="R5" s="100" t="str">
        <x:f>IF('Master'!S721="","",'Master'!S721)</x:f>
      </x:c>
      <x:c r="S5" s="100" t="str">
        <x:f>IF('Master'!T721="","",'Master'!T721)</x:f>
      </x:c>
      <x:c r="T5" s="100" t="str">
        <x:f>IF('Master'!U721="","",'Master'!U721)</x:f>
      </x:c>
      <x:c r="U5" s="100" t="str">
        <x:f>IF('Master'!V721="","",'Master'!V721)</x:f>
        <x:v>Rift+ / entitlement details vary</x:v>
      </x:c>
      <x:c r="V5" s="100" t="str">
        <x:f>IF('Master'!W721="","",'Master'!W721)</x:f>
      </x:c>
      <x:c r="W5" s="100" t="str">
        <x:f>IF('Master'!X721="","",'Master'!X721)</x:f>
      </x:c>
      <x:c r="X5" s="100" t="str">
        <x:f>IF('Master'!Y721="","",'Master'!Y721)</x:f>
      </x:c>
      <x:c r="Y5" s="100" t="str">
        <x:f>IF('Master'!Z721="","",'Master'!Z721)</x:f>
      </x:c>
      <x:c r="Z5" s="100" t="str">
        <x:f>IF('Master'!AA721="","",'Master'!AA721)</x:f>
      </x:c>
      <x:c r="AA5" s="104" t="str">
        <x:f>IF('Master'!AB721="","",'Master'!AB721)</x:f>
      </x:c>
      <x:c r="AB5" s="100" t="str">
        <x:f>IF('Master'!AC721="","",'Master'!AC721)</x:f>
      </x:c>
      <x:c r="AC5" s="100" t="str">
        <x:f>IF('Master'!AD721="","",'Master'!AD721)</x:f>
      </x:c>
      <x:c r="AD5" s="100" t="str">
        <x:f>IF('Master'!AE721="","",'Master'!AE721)</x:f>
      </x:c>
      <x:c r="AE5" s="100" t="str">
        <x:f>IF('Master'!AF721="","",'Master'!AF721)</x:f>
      </x:c>
      <x:c r="AF5" s="75" t="str">
        <x:f>IF('Master'!AG721="","",'Master'!AG721)</x:f>
      </x:c>
    </x:row>
    <x:row r="6" ht="36" customHeight="1">
      <x:c r="A6" s="135" t="str">
        <x:v>Profile Banner Available?</x:v>
      </x:c>
      <x:c r="B6" s="100" t="str">
        <x:f>IF('Master'!C722="","",'Master'!C722)</x:f>
        <x:v>Yes</x:v>
      </x:c>
      <x:c r="C6" s="100" t="str">
        <x:f>IF('Master'!D722="","",'Master'!D722)</x:f>
      </x:c>
      <x:c r="D6" s="100" t="str">
        <x:f>IF('Master'!E722="","",'Master'!E722)</x:f>
      </x:c>
      <x:c r="E6" s="100" t="str">
        <x:f>IF('Master'!F722="","",'Master'!F722)</x:f>
      </x:c>
      <x:c r="F6" s="100" t="str">
        <x:f>IF('Master'!G722="","",'Master'!G722)</x:f>
      </x:c>
      <x:c r="G6" s="100" t="str">
        <x:f>IF('Master'!H722="","",'Master'!H722)</x:f>
        <x:v>Yes</x:v>
      </x:c>
      <x:c r="H6" s="100" t="str">
        <x:f>IF('Master'!I722="","",'Master'!I722)</x:f>
      </x:c>
      <x:c r="I6" s="100" t="str">
        <x:f>IF('Master'!J722="","",'Master'!J722)</x:f>
      </x:c>
      <x:c r="J6" s="100" t="str">
        <x:f>IF('Master'!K722="","",'Master'!K722)</x:f>
      </x:c>
      <x:c r="K6" s="100" t="str">
        <x:f>IF('Master'!L722="","",'Master'!L722)</x:f>
        <x:v>Unknown/not separately documented</x:v>
      </x:c>
      <x:c r="L6" s="100" t="str">
        <x:f>IF('Master'!M722="","",'Master'!M722)</x:f>
      </x:c>
      <x:c r="M6" s="100" t="str">
        <x:f>IF('Master'!N722="","",'Master'!N722)</x:f>
      </x:c>
      <x:c r="N6" s="100" t="str">
        <x:f>IF('Master'!O722="","",'Master'!O722)</x:f>
        <x:v>Client-dependent</x:v>
      </x:c>
      <x:c r="O6" s="100" t="str">
        <x:f>IF('Master'!P722="","",'Master'!P722)</x:f>
      </x:c>
      <x:c r="P6" s="100" t="str">
        <x:f>IF('Master'!Q722="","",'Master'!Q722)</x:f>
      </x:c>
      <x:c r="Q6" s="100" t="str">
        <x:f>IF('Master'!R722="","",'Master'!R722)</x:f>
      </x:c>
      <x:c r="R6" s="100" t="str">
        <x:f>IF('Master'!S722="","",'Master'!S722)</x:f>
      </x:c>
      <x:c r="S6" s="100" t="str">
        <x:f>IF('Master'!T722="","",'Master'!T722)</x:f>
      </x:c>
      <x:c r="T6" s="100" t="str">
        <x:f>IF('Master'!U722="","",'Master'!U722)</x:f>
      </x:c>
      <x:c r="U6" s="100" t="str">
        <x:f>IF('Master'!V722="","",'Master'!V722)</x:f>
        <x:v>Yes</x:v>
      </x:c>
      <x:c r="V6" s="100" t="str">
        <x:f>IF('Master'!W722="","",'Master'!W722)</x:f>
      </x:c>
      <x:c r="W6" s="100" t="str">
        <x:f>IF('Master'!X722="","",'Master'!X722)</x:f>
      </x:c>
      <x:c r="X6" s="100" t="str">
        <x:f>IF('Master'!Y722="","",'Master'!Y722)</x:f>
      </x:c>
      <x:c r="Y6" s="100" t="str">
        <x:f>IF('Master'!Z722="","",'Master'!Z722)</x:f>
      </x:c>
      <x:c r="Z6" s="100" t="str">
        <x:f>IF('Master'!AA722="","",'Master'!AA722)</x:f>
      </x:c>
      <x:c r="AA6" s="104" t="str">
        <x:f>IF('Master'!AB722="","",'Master'!AB722)</x:f>
      </x:c>
      <x:c r="AB6" s="100" t="str">
        <x:f>IF('Master'!AC722="","",'Master'!AC722)</x:f>
      </x:c>
      <x:c r="AC6" s="100" t="str">
        <x:f>IF('Master'!AD722="","",'Master'!AD722)</x:f>
      </x:c>
      <x:c r="AD6" s="100" t="str">
        <x:f>IF('Master'!AE722="","",'Master'!AE722)</x:f>
      </x:c>
      <x:c r="AE6" s="100" t="str">
        <x:f>IF('Master'!AF722="","",'Master'!AF722)</x:f>
      </x:c>
      <x:c r="AF6" s="75" t="str">
        <x:f>IF('Master'!AG722="","",'Master'!AG722)</x:f>
      </x:c>
    </x:row>
    <x:row r="7" ht="36" customHeight="1">
      <x:c r="A7" s="135" t="str">
        <x:v>Profile Banner Access</x:v>
      </x:c>
      <x:c r="B7" s="100" t="str">
        <x:f>IF('Master'!C723="","",'Master'!C723)</x:f>
        <x:v>Paid — Nitro</x:v>
      </x:c>
      <x:c r="C7" s="100" t="str">
        <x:f>IF('Master'!D723="","",'Master'!D723)</x:f>
      </x:c>
      <x:c r="D7" s="100" t="str">
        <x:f>IF('Master'!E723="","",'Master'!E723)</x:f>
      </x:c>
      <x:c r="E7" s="100" t="str">
        <x:f>IF('Master'!F723="","",'Master'!F723)</x:f>
      </x:c>
      <x:c r="F7" s="100" t="str">
        <x:f>IF('Master'!G723="","",'Master'!G723)</x:f>
      </x:c>
      <x:c r="G7" s="100" t="str">
        <x:f>IF('Master'!H723="","",'Master'!H723)</x:f>
        <x:v>Paid — Plutonium</x:v>
      </x:c>
      <x:c r="H7" s="100" t="str">
        <x:f>IF('Master'!I723="","",'Master'!I723)</x:f>
      </x:c>
      <x:c r="I7" s="100" t="str">
        <x:f>IF('Master'!J723="","",'Master'!J723)</x:f>
      </x:c>
      <x:c r="J7" s="100" t="str">
        <x:f>IF('Master'!K723="","",'Master'!K723)</x:f>
      </x:c>
      <x:c r="K7" s="100" t="str">
        <x:f>IF('Master'!L723="","",'Master'!L723)</x:f>
        <x:v>Unknown/not separately documented</x:v>
      </x:c>
      <x:c r="L7" s="100" t="str">
        <x:f>IF('Master'!M723="","",'Master'!M723)</x:f>
      </x:c>
      <x:c r="M7" s="100" t="str">
        <x:f>IF('Master'!N723="","",'Master'!N723)</x:f>
      </x:c>
      <x:c r="N7" s="100" t="str">
        <x:f>IF('Master'!O723="","",'Master'!O723)</x:f>
        <x:v>Client/provider-dependent</x:v>
      </x:c>
      <x:c r="O7" s="100" t="str">
        <x:f>IF('Master'!P723="","",'Master'!P723)</x:f>
      </x:c>
      <x:c r="P7" s="100" t="str">
        <x:f>IF('Master'!Q723="","",'Master'!Q723)</x:f>
        <x:v>Free if supported</x:v>
      </x:c>
      <x:c r="Q7" s="100" t="str">
        <x:f>IF('Master'!R723="","",'Master'!R723)</x:f>
      </x:c>
      <x:c r="R7" s="100" t="str">
        <x:f>IF('Master'!S723="","",'Master'!S723)</x:f>
      </x:c>
      <x:c r="S7" s="100" t="str">
        <x:f>IF('Master'!T723="","",'Master'!T723)</x:f>
      </x:c>
      <x:c r="T7" s="100" t="str">
        <x:f>IF('Master'!U723="","",'Master'!U723)</x:f>
      </x:c>
      <x:c r="U7" s="100" t="str">
        <x:f>IF('Master'!V723="","",'Master'!V723)</x:f>
        <x:v>Rift+ adds animated/profile cosmetics</x:v>
      </x:c>
      <x:c r="V7" s="100" t="str">
        <x:f>IF('Master'!W723="","",'Master'!W723)</x:f>
      </x:c>
      <x:c r="W7" s="100" t="str">
        <x:f>IF('Master'!X723="","",'Master'!X723)</x:f>
      </x:c>
      <x:c r="X7" s="100" t="str">
        <x:f>IF('Master'!Y723="","",'Master'!Y723)</x:f>
      </x:c>
      <x:c r="Y7" s="100" t="str">
        <x:f>IF('Master'!Z723="","",'Master'!Z723)</x:f>
      </x:c>
      <x:c r="Z7" s="100" t="str">
        <x:f>IF('Master'!AA723="","",'Master'!AA723)</x:f>
      </x:c>
      <x:c r="AA7" s="104" t="str">
        <x:f>IF('Master'!AB723="","",'Master'!AB723)</x:f>
      </x:c>
      <x:c r="AB7" s="100" t="str">
        <x:f>IF('Master'!AC723="","",'Master'!AC723)</x:f>
      </x:c>
      <x:c r="AC7" s="100" t="str">
        <x:f>IF('Master'!AD723="","",'Master'!AD723)</x:f>
      </x:c>
      <x:c r="AD7" s="100" t="str">
        <x:f>IF('Master'!AE723="","",'Master'!AE723)</x:f>
      </x:c>
      <x:c r="AE7" s="100" t="str">
        <x:f>IF('Master'!AF723="","",'Master'!AF723)</x:f>
      </x:c>
      <x:c r="AF7" s="75" t="str">
        <x:f>IF('Master'!AG723="","",'Master'!AG723)</x:f>
      </x:c>
    </x:row>
    <x:row r="8" ht="36" customHeight="1">
      <x:c r="A8" s="135" t="str">
        <x:v>Custom Themes Available?</x:v>
      </x:c>
      <x:c r="B8" s="100" t="str">
        <x:f>IF('Master'!C724="","",'Master'!C724)</x:f>
        <x:v>Yes</x:v>
      </x:c>
      <x:c r="C8" s="100" t="str">
        <x:f>IF('Master'!D724="","",'Master'!D724)</x:f>
      </x:c>
      <x:c r="D8" s="100" t="str">
        <x:f>IF('Master'!E724="","",'Master'!E724)</x:f>
      </x:c>
      <x:c r="E8" s="100" t="str">
        <x:f>IF('Master'!F724="","",'Master'!F724)</x:f>
      </x:c>
      <x:c r="F8" s="100" t="str">
        <x:f>IF('Master'!G724="","",'Master'!G724)</x:f>
        <x:v>Planned / Yes</x:v>
      </x:c>
      <x:c r="G8" s="100" t="str">
        <x:f>IF('Master'!H724="","",'Master'!H724)</x:f>
        <x:v>Yes</x:v>
      </x:c>
      <x:c r="H8" s="100" t="str">
        <x:f>IF('Master'!I724="","",'Master'!I724)</x:f>
      </x:c>
      <x:c r="I8" s="100" t="str">
        <x:f>IF('Master'!J724="","",'Master'!J724)</x:f>
        <x:v>Yes / client-controlled</x:v>
      </x:c>
      <x:c r="J8" s="100" t="str">
        <x:f>IF('Master'!K724="","",'Master'!K724)</x:f>
      </x:c>
      <x:c r="K8" s="100" t="str">
        <x:f>IF('Master'!L724="","",'Master'!L724)</x:f>
        <x:v>Yes — developer reports custom CSS/theme support</x:v>
      </x:c>
      <x:c r="L8" s="100" t="str">
        <x:f>IF('Master'!M724="","",'Master'!M724)</x:f>
      </x:c>
      <x:c r="M8" s="100" t="str">
        <x:f>IF('Master'!N724="","",'Master'!N724)</x:f>
      </x:c>
      <x:c r="N8" s="100" t="str">
        <x:f>IF('Master'!O724="","",'Master'!O724)</x:f>
        <x:v>Client-dependent</x:v>
      </x:c>
      <x:c r="O8" s="100" t="str">
        <x:f>IF('Master'!P724="","",'Master'!P724)</x:f>
        <x:v>Yes</x:v>
      </x:c>
      <x:c r="P8" s="100" t="str">
        <x:f>IF('Master'!Q724="","",'Master'!Q724)</x:f>
      </x:c>
      <x:c r="Q8" s="100" t="str">
        <x:f>IF('Master'!R724="","",'Master'!R724)</x:f>
      </x:c>
      <x:c r="R8" s="100" t="str">
        <x:f>IF('Master'!S724="","",'Master'!S724)</x:f>
        <x:v>Yes / community themes</x:v>
      </x:c>
      <x:c r="S8" s="100" t="str">
        <x:f>IF('Master'!T724="","",'Master'!T724)</x:f>
      </x:c>
      <x:c r="T8" s="100" t="str">
        <x:f>IF('Master'!U724="","",'Master'!U724)</x:f>
        <x:v>Built-in light/dark/system themes, accents and high-contrast mode; arbitrary custom-theme framework not claimed</x:v>
      </x:c>
      <x:c r="U8" s="100" t="str">
        <x:f>IF('Master'!V724="","",'Master'!V724)</x:f>
        <x:v>Yes</x:v>
      </x:c>
      <x:c r="V8" s="100" t="str">
        <x:f>IF('Master'!W724="","",'Master'!W724)</x:f>
        <x:v>Yes</x:v>
      </x:c>
      <x:c r="W8" s="100" t="str">
        <x:f>IF('Master'!X724="","",'Master'!X724)</x:f>
      </x:c>
      <x:c r="X8" s="100" t="str">
        <x:f>IF('Master'!Y724="","",'Master'!Y724)</x:f>
      </x:c>
      <x:c r="Y8" s="100" t="str">
        <x:f>IF('Master'!Z724="","",'Master'!Z724)</x:f>
        <x:v>Client-dependent</x:v>
      </x:c>
      <x:c r="Z8" s="100" t="str">
        <x:f>IF('Master'!AA724="","",'Master'!AA724)</x:f>
      </x:c>
      <x:c r="AA8" s="104" t="str">
        <x:f>IF('Master'!AB724="","",'Master'!AB724)</x:f>
        <x:v>Yes / add-on ecosystem</x:v>
      </x:c>
      <x:c r="AB8" s="100" t="str">
        <x:f>IF('Master'!AC724="","",'Master'!AC724)</x:f>
        <x:v>Yes</x:v>
      </x:c>
      <x:c r="AC8" s="100" t="str">
        <x:f>IF('Master'!AD724="","",'Master'!AD724)</x:f>
      </x:c>
      <x:c r="AD8" s="100" t="str">
        <x:f>IF('Master'!AE724="","",'Master'!AE724)</x:f>
      </x:c>
      <x:c r="AE8" s="100" t="str">
        <x:f>IF('Master'!AF724="","",'Master'!AF724)</x:f>
      </x:c>
      <x:c r="AF8" s="75" t="str">
        <x:f>IF('Master'!AG724="","",'Master'!AG724)</x:f>
        <x:v>Yes</x:v>
      </x:c>
    </x:row>
    <x:row r="9" ht="36" customHeight="1">
      <x:c r="A9" s="135" t="str">
        <x:v>Custom Themes Access</x:v>
      </x:c>
      <x:c r="B9" s="100" t="str">
        <x:f>IF('Master'!C725="","",'Master'!C725)</x:f>
        <x:v>Paid — Nitro</x:v>
      </x:c>
      <x:c r="C9" s="100" t="str">
        <x:f>IF('Master'!D725="","",'Master'!D725)</x:f>
      </x:c>
      <x:c r="D9" s="100" t="str">
        <x:f>IF('Master'!E725="","",'Master'!E725)</x:f>
      </x:c>
      <x:c r="E9" s="100" t="str">
        <x:f>IF('Master'!F725="","",'Master'!F725)</x:f>
      </x:c>
      <x:c r="F9" s="100" t="str">
        <x:f>IF('Master'!G725="","",'Master'!G725)</x:f>
        <x:v>Paid tiers planned to expand themes</x:v>
      </x:c>
      <x:c r="G9" s="100" t="str">
        <x:f>IF('Master'!H725="","",'Master'!H725)</x:f>
        <x:v>Free / open-source theming; Plutonium includes additional cosmetics</x:v>
      </x:c>
      <x:c r="H9" s="100" t="str">
        <x:f>IF('Master'!I725="","",'Master'!I725)</x:f>
      </x:c>
      <x:c r="I9" s="100" t="str">
        <x:f>IF('Master'!J725="","",'Master'!J725)</x:f>
        <x:v>Open-source client</x:v>
      </x:c>
      <x:c r="J9" s="100" t="str">
        <x:f>IF('Master'!K725="","",'Master'!K725)</x:f>
      </x:c>
      <x:c r="K9" s="100" t="str">
        <x:f>IF('Master'!L725="","",'Master'!L725)</x:f>
        <x:v>Free/current; no paid tier</x:v>
      </x:c>
      <x:c r="L9" s="100" t="str">
        <x:f>IF('Master'!M725="","",'Master'!M725)</x:f>
      </x:c>
      <x:c r="M9" s="100" t="str">
        <x:f>IF('Master'!N725="","",'Master'!N725)</x:f>
      </x:c>
      <x:c r="N9" s="100" t="str">
        <x:f>IF('Master'!O725="","",'Master'!O725)</x:f>
        <x:v>Client-dependent</x:v>
      </x:c>
      <x:c r="O9" s="100" t="str">
        <x:f>IF('Master'!P725="","",'Master'!P725)</x:f>
        <x:v>Core/client capability</x:v>
      </x:c>
      <x:c r="P9" s="100" t="str">
        <x:f>IF('Master'!Q725="","",'Master'!Q725)</x:f>
        <x:v>Free if supported</x:v>
      </x:c>
      <x:c r="Q9" s="100" t="str">
        <x:f>IF('Master'!R725="","",'Master'!R725)</x:f>
      </x:c>
      <x:c r="R9" s="100" t="str">
        <x:f>IF('Master'!S725="","",'Master'!S725)</x:f>
        <x:v>Free/open-source/community</x:v>
      </x:c>
      <x:c r="S9" s="100" t="str">
        <x:f>IF('Master'!T725="","",'Master'!T725)</x:f>
      </x:c>
      <x:c r="T9" s="100" t="str">
        <x:f>IF('Master'!U725="","",'Master'!U725)</x:f>
        <x:v>Free</x:v>
      </x:c>
      <x:c r="U9" s="100" t="str">
        <x:f>IF('Master'!V725="","",'Master'!V725)</x:f>
        <x:v>Rift+ adds animated themes/accents</x:v>
      </x:c>
      <x:c r="V9" s="100" t="str">
        <x:f>IF('Master'!W725="","",'Master'!W725)</x:f>
        <x:v>Deployment/admin capability</x:v>
      </x:c>
      <x:c r="W9" s="100" t="str">
        <x:f>IF('Master'!X725="","",'Master'!X725)</x:f>
      </x:c>
      <x:c r="X9" s="100" t="str">
        <x:f>IF('Master'!Y725="","",'Master'!Y725)</x:f>
      </x:c>
      <x:c r="Y9" s="100" t="str">
        <x:f>IF('Master'!Z725="","",'Master'!Z725)</x:f>
        <x:v>Self-host/client controlled</x:v>
      </x:c>
      <x:c r="Z9" s="100" t="str">
        <x:f>IF('Master'!AA725="","",'Master'!AA725)</x:f>
      </x:c>
      <x:c r="AA9" s="104" t="str">
        <x:f>IF('Master'!AB725="","",'Master'!AB725)</x:f>
        <x:v>Client/add-on ecosystem</x:v>
      </x:c>
      <x:c r="AB9" s="100" t="str">
        <x:f>IF('Master'!AC725="","",'Master'!AC725)</x:f>
        <x:v>Themes marketplace/core</x:v>
      </x:c>
      <x:c r="AC9" s="100" t="str">
        <x:f>IF('Master'!AD725="","",'Master'!AD725)</x:f>
      </x:c>
      <x:c r="AD9" s="100" t="str">
        <x:f>IF('Master'!AE725="","",'Master'!AE725)</x:f>
      </x:c>
      <x:c r="AE9" s="100" t="str">
        <x:f>IF('Master'!AF725="","",'Master'!AF725)</x:f>
      </x:c>
      <x:c r="AF9" s="75" t="str">
        <x:f>IF('Master'!AG725="","",'Master'!AG725)</x:f>
        <x:v>Core app themes; not a cosmetic subscription model</x:v>
      </x:c>
    </x:row>
    <x:row r="10" ht="36" customHeight="1">
      <x:c r="A10" s="135" t="str">
        <x:v>Per-Community Profile Available?</x:v>
      </x:c>
      <x:c r="B10" s="100" t="str">
        <x:f>IF('Master'!C726="","",'Master'!C726)</x:f>
        <x:v>Yes</x:v>
      </x:c>
      <x:c r="C10" s="100" t="str">
        <x:f>IF('Master'!D726="","",'Master'!D726)</x:f>
      </x:c>
      <x:c r="D10" s="100" t="str">
        <x:f>IF('Master'!E726="","",'Master'!E726)</x:f>
      </x:c>
      <x:c r="E10" s="100" t="str">
        <x:f>IF('Master'!F726="","",'Master'!F726)</x:f>
      </x:c>
      <x:c r="F10" s="100" t="str">
        <x:f>IF('Master'!G726="","",'Master'!G726)</x:f>
      </x:c>
      <x:c r="G10" s="100" t="str">
        <x:f>IF('Master'!H726="","",'Master'!H726)</x:f>
        <x:v>Yes</x:v>
      </x:c>
      <x:c r="H10" s="100" t="str">
        <x:f>IF('Master'!I726="","",'Master'!I726)</x:f>
      </x:c>
      <x:c r="I10" s="100" t="str">
        <x:f>IF('Master'!J726="","",'Master'!J726)</x:f>
      </x:c>
      <x:c r="J10" s="100" t="str">
        <x:f>IF('Master'!K726="","",'Master'!K726)</x:f>
      </x:c>
      <x:c r="K10" s="100" t="str">
        <x:f>IF('Master'!L726="","",'Master'!L726)</x:f>
        <x:v>Unknown/not separately documented</x:v>
      </x:c>
      <x:c r="L10" s="100" t="str">
        <x:f>IF('Master'!M726="","",'Master'!M726)</x:f>
      </x:c>
      <x:c r="M10" s="100" t="str">
        <x:f>IF('Master'!N726="","",'Master'!N726)</x:f>
      </x:c>
      <x:c r="N10" s="100" t="str">
        <x:f>IF('Master'!O726="","",'Master'!O726)</x:f>
        <x:v>Client/protocol-extension dependent</x:v>
      </x:c>
      <x:c r="O10" s="100" t="str">
        <x:f>IF('Master'!P726="","",'Master'!P726)</x:f>
      </x:c>
      <x:c r="P10" s="100" t="str">
        <x:f>IF('Master'!Q726="","",'Master'!Q726)</x:f>
      </x:c>
      <x:c r="Q10" s="100" t="str">
        <x:f>IF('Master'!R726="","",'Master'!R726)</x:f>
      </x:c>
      <x:c r="R10" s="100" t="str">
        <x:f>IF('Master'!S726="","",'Master'!S726)</x:f>
      </x:c>
      <x:c r="S10" s="100" t="str">
        <x:f>IF('Master'!T726="","",'Master'!T726)</x:f>
      </x:c>
      <x:c r="T10" s="100" t="str">
        <x:f>IF('Master'!U726="","",'Master'!U726)</x:f>
      </x:c>
      <x:c r="U10" s="100" t="str">
        <x:f>IF('Master'!V726="","",'Master'!V726)</x:f>
        <x:v>Yes</x:v>
      </x:c>
      <x:c r="V10" s="100" t="str">
        <x:f>IF('Master'!W726="","",'Master'!W726)</x:f>
      </x:c>
      <x:c r="W10" s="100" t="str">
        <x:f>IF('Master'!X726="","",'Master'!X726)</x:f>
      </x:c>
      <x:c r="X10" s="100" t="str">
        <x:f>IF('Master'!Y726="","",'Master'!Y726)</x:f>
      </x:c>
      <x:c r="Y10" s="100" t="str">
        <x:f>IF('Master'!Z726="","",'Master'!Z726)</x:f>
      </x:c>
      <x:c r="Z10" s="100" t="str">
        <x:f>IF('Master'!AA726="","",'Master'!AA726)</x:f>
      </x:c>
      <x:c r="AA10" s="104" t="str">
        <x:f>IF('Master'!AB726="","",'Master'!AB726)</x:f>
      </x:c>
      <x:c r="AB10" s="100" t="str">
        <x:f>IF('Master'!AC726="","",'Master'!AC726)</x:f>
      </x:c>
      <x:c r="AC10" s="100" t="str">
        <x:f>IF('Master'!AD726="","",'Master'!AD726)</x:f>
      </x:c>
      <x:c r="AD10" s="100" t="str">
        <x:f>IF('Master'!AE726="","",'Master'!AE726)</x:f>
      </x:c>
      <x:c r="AE10" s="100" t="str">
        <x:f>IF('Master'!AF726="","",'Master'!AF726)</x:f>
      </x:c>
      <x:c r="AF10" s="75" t="str">
        <x:f>IF('Master'!AG726="","",'Master'!AG726)</x:f>
      </x:c>
    </x:row>
    <x:row r="11" ht="36" customHeight="1">
      <x:c r="A11" s="135" t="str">
        <x:v>Per-Community Profile Access</x:v>
      </x:c>
      <x:c r="B11" s="100" t="str">
        <x:f>IF('Master'!C727="","",'Master'!C727)</x:f>
        <x:v>Paid — Nitro for expanded customization</x:v>
      </x:c>
      <x:c r="C11" s="100" t="str">
        <x:f>IF('Master'!D727="","",'Master'!D727)</x:f>
      </x:c>
      <x:c r="D11" s="100" t="str">
        <x:f>IF('Master'!E727="","",'Master'!E727)</x:f>
      </x:c>
      <x:c r="E11" s="100" t="str">
        <x:f>IF('Master'!F727="","",'Master'!F727)</x:f>
      </x:c>
      <x:c r="F11" s="100" t="str">
        <x:f>IF('Master'!G727="","",'Master'!G727)</x:f>
      </x:c>
      <x:c r="G11" s="100" t="str">
        <x:f>IF('Master'!H727="","",'Master'!H727)</x:f>
        <x:v>Paid — Plutonium</x:v>
      </x:c>
      <x:c r="H11" s="100" t="str">
        <x:f>IF('Master'!I727="","",'Master'!I727)</x:f>
      </x:c>
      <x:c r="I11" s="100" t="str">
        <x:f>IF('Master'!J727="","",'Master'!J727)</x:f>
      </x:c>
      <x:c r="J11" s="100" t="str">
        <x:f>IF('Master'!K727="","",'Master'!K727)</x:f>
      </x:c>
      <x:c r="K11" s="100" t="str">
        <x:f>IF('Master'!L727="","",'Master'!L727)</x:f>
        <x:v>Unknown/not separately documented</x:v>
      </x:c>
      <x:c r="L11" s="100" t="str">
        <x:f>IF('Master'!M727="","",'Master'!M727)</x:f>
      </x:c>
      <x:c r="M11" s="100" t="str">
        <x:f>IF('Master'!N727="","",'Master'!N727)</x:f>
      </x:c>
      <x:c r="N11" s="100" t="str">
        <x:f>IF('Master'!O727="","",'Master'!O727)</x:f>
        <x:v>Client/provider-dependent</x:v>
      </x:c>
      <x:c r="O11" s="100" t="str">
        <x:f>IF('Master'!P727="","",'Master'!P727)</x:f>
      </x:c>
      <x:c r="P11" s="100" t="str">
        <x:f>IF('Master'!Q727="","",'Master'!Q727)</x:f>
      </x:c>
      <x:c r="Q11" s="100" t="str">
        <x:f>IF('Master'!R727="","",'Master'!R727)</x:f>
      </x:c>
      <x:c r="R11" s="100" t="str">
        <x:f>IF('Master'!S727="","",'Master'!S727)</x:f>
      </x:c>
      <x:c r="S11" s="100" t="str">
        <x:f>IF('Master'!T727="","",'Master'!T727)</x:f>
      </x:c>
      <x:c r="T11" s="100" t="str">
        <x:f>IF('Master'!U727="","",'Master'!U727)</x:f>
      </x:c>
      <x:c r="U11" s="100" t="str">
        <x:f>IF('Master'!V727="","",'Master'!V727)</x:f>
        <x:v>Yes</x:v>
      </x:c>
      <x:c r="V11" s="100" t="str">
        <x:f>IF('Master'!W727="","",'Master'!W727)</x:f>
      </x:c>
      <x:c r="W11" s="100" t="str">
        <x:f>IF('Master'!X727="","",'Master'!X727)</x:f>
      </x:c>
      <x:c r="X11" s="100" t="str">
        <x:f>IF('Master'!Y727="","",'Master'!Y727)</x:f>
      </x:c>
      <x:c r="Y11" s="100" t="str">
        <x:f>IF('Master'!Z727="","",'Master'!Z727)</x:f>
      </x:c>
      <x:c r="Z11" s="100" t="str">
        <x:f>IF('Master'!AA727="","",'Master'!AA727)</x:f>
      </x:c>
      <x:c r="AA11" s="104" t="str">
        <x:f>IF('Master'!AB727="","",'Master'!AB727)</x:f>
      </x:c>
      <x:c r="AB11" s="100" t="str">
        <x:f>IF('Master'!AC727="","",'Master'!AC727)</x:f>
      </x:c>
      <x:c r="AC11" s="100" t="str">
        <x:f>IF('Master'!AD727="","",'Master'!AD727)</x:f>
      </x:c>
      <x:c r="AD11" s="100" t="str">
        <x:f>IF('Master'!AE727="","",'Master'!AE727)</x:f>
      </x:c>
      <x:c r="AE11" s="100" t="str">
        <x:f>IF('Master'!AF727="","",'Master'!AF727)</x:f>
      </x:c>
      <x:c r="AF11" s="75" t="str">
        <x:f>IF('Master'!AG727="","",'Master'!AG727)</x:f>
      </x:c>
    </x:row>
    <x:row r="12" ht="22" customHeight="1">
      <x:c r="A12" s="138" t="str">
        <x:v>Emoji / Sticker / Soundboard Entitlements</x:v>
      </x:c>
      <x:c r="B12" s="138" t="str">
        <x:f>IF(""="","","")</x:f>
      </x:c>
      <x:c r="C12" s="138" t="str">
        <x:f>IF(""="","","")</x:f>
      </x:c>
      <x:c r="D12" s="138" t="str">
        <x:f>IF(""="","","")</x:f>
      </x:c>
      <x:c r="E12" s="138" t="str">
        <x:f>IF(""="","","")</x:f>
      </x:c>
      <x:c r="F12" s="138" t="str">
        <x:f>IF(""="","","")</x:f>
      </x:c>
      <x:c r="G12" s="138" t="str">
        <x:f>IF(""="","","")</x:f>
      </x:c>
      <x:c r="H12" s="138" t="str">
        <x:f>IF(""="","","")</x:f>
      </x:c>
      <x:c r="I12" s="138" t="str">
        <x:f>IF(""="","","")</x:f>
      </x:c>
      <x:c r="J12" s="138" t="str">
        <x:f>IF(""="","","")</x:f>
      </x:c>
      <x:c r="K12" s="138" t="str">
        <x:f>IF(""="","","")</x:f>
      </x:c>
      <x:c r="L12" s="138" t="str">
        <x:f>IF(""="","","")</x:f>
      </x:c>
      <x:c r="M12" s="138" t="str">
        <x:f>IF(""="","","")</x:f>
      </x:c>
      <x:c r="N12" s="138" t="str">
        <x:f>IF(""="","","")</x:f>
      </x:c>
      <x:c r="O12" s="138" t="str">
        <x:f>IF(""="","","")</x:f>
      </x:c>
      <x:c r="P12" s="138" t="str">
        <x:f>IF(""="","","")</x:f>
      </x:c>
      <x:c r="Q12" s="138" t="str">
        <x:f>IF(""="","","")</x:f>
      </x:c>
      <x:c r="R12" s="138" t="str">
        <x:f>IF(""="","","")</x:f>
      </x:c>
      <x:c r="S12" s="138" t="str">
        <x:f>IF(""="","","")</x:f>
      </x:c>
      <x:c r="T12" s="138" t="str">
        <x:f>IF(""="","","")</x:f>
      </x:c>
      <x:c r="U12" s="138" t="str">
        <x:f>IF(""="","","")</x:f>
      </x:c>
      <x:c r="V12" s="138" t="str">
        <x:f>IF(""="","","")</x:f>
      </x:c>
      <x:c r="W12" s="138" t="str">
        <x:f>IF(""="","","")</x:f>
      </x:c>
      <x:c r="X12" s="138" t="str">
        <x:f>IF(""="","","")</x:f>
      </x:c>
      <x:c r="Y12" s="138" t="str">
        <x:f>IF(""="","","")</x:f>
      </x:c>
      <x:c r="Z12" s="138" t="str">
        <x:f>IF(""="","","")</x:f>
      </x:c>
      <x:c r="AA12" s="138" t="str">
        <x:f>IF(""="","","")</x:f>
      </x:c>
      <x:c r="AB12" s="138" t="str">
        <x:f>IF(""="","","")</x:f>
      </x:c>
      <x:c r="AC12" s="138" t="str">
        <x:f>IF(""="","","")</x:f>
      </x:c>
      <x:c r="AD12" s="138" t="str">
        <x:f>IF(""="","","")</x:f>
      </x:c>
      <x:c r="AE12" s="138" t="str">
        <x:f>IF(""="","","")</x:f>
      </x:c>
      <x:c r="AF12" s="139" t="str">
        <x:f>IF(""="","","")</x:f>
      </x:c>
    </x:row>
    <x:row r="13" ht="36" customHeight="1">
      <x:c r="A13" s="135" t="str">
        <x:v>Custom Emoji Available?</x:v>
      </x:c>
      <x:c r="B13" s="100" t="str">
        <x:f>IF('Master'!C728="","",'Master'!C728)</x:f>
        <x:v>Yes</x:v>
      </x:c>
      <x:c r="C13" s="100" t="str">
        <x:f>IF('Master'!D728="","",'Master'!D728)</x:f>
      </x:c>
      <x:c r="D13" s="100" t="str">
        <x:f>IF('Master'!E728="","",'Master'!E728)</x:f>
      </x:c>
      <x:c r="E13" s="100" t="str">
        <x:f>IF('Master'!F728="","",'Master'!F728)</x:f>
      </x:c>
      <x:c r="F13" s="100" t="str">
        <x:f>IF('Master'!G728="","",'Master'!G728)</x:f>
        <x:v>Yes</x:v>
      </x:c>
      <x:c r="G13" s="100" t="str">
        <x:f>IF('Master'!H728="","",'Master'!H728)</x:f>
        <x:v>Yes</x:v>
      </x:c>
      <x:c r="H13" s="100" t="str">
        <x:f>IF('Master'!I728="","",'Master'!I728)</x:f>
        <x:v>Yes</x:v>
      </x:c>
      <x:c r="I13" s="100" t="str">
        <x:f>IF('Master'!J728="","",'Master'!J728)</x:f>
      </x:c>
      <x:c r="J13" s="100" t="str">
        <x:f>IF('Master'!K728="","",'Master'!K728)</x:f>
      </x:c>
      <x:c r="K13" s="100" t="str">
        <x:f>IF('Master'!L728="","",'Master'!L728)</x:f>
        <x:v>Yes</x:v>
      </x:c>
      <x:c r="L13" s="100" t="str">
        <x:f>IF('Master'!M728="","",'Master'!M728)</x:f>
      </x:c>
      <x:c r="M13" s="100" t="str">
        <x:f>IF('Master'!N728="","",'Master'!N728)</x:f>
        <x:v>Yes</x:v>
      </x:c>
      <x:c r="N13" s="100" t="str">
        <x:f>IF('Master'!O728="","",'Master'!O728)</x:f>
        <x:v>Client/room-state dependent</x:v>
      </x:c>
      <x:c r="O13" s="100" t="str">
        <x:f>IF('Master'!P728="","",'Master'!P728)</x:f>
      </x:c>
      <x:c r="P13" s="100" t="str">
        <x:f>IF('Master'!Q728="","",'Master'!Q728)</x:f>
        <x:v>Yes</x:v>
      </x:c>
      <x:c r="Q13" s="100" t="str">
        <x:f>IF('Master'!R728="","",'Master'!R728)</x:f>
      </x:c>
      <x:c r="R13" s="100" t="str">
        <x:f>IF('Master'!S728="","",'Master'!S728)</x:f>
        <x:v>Yes</x:v>
      </x:c>
      <x:c r="S13" s="100" t="str">
        <x:f>IF('Master'!T728="","",'Master'!T728)</x:f>
      </x:c>
      <x:c r="T13" s="100" t="str">
        <x:f>IF('Master'!U728="","",'Master'!U728)</x:f>
      </x:c>
      <x:c r="U13" s="100" t="str">
        <x:f>IF('Master'!V728="","",'Master'!V728)</x:f>
        <x:v>Yes</x:v>
      </x:c>
      <x:c r="V13" s="100" t="str">
        <x:f>IF('Master'!W728="","",'Master'!W728)</x:f>
      </x:c>
      <x:c r="W13" s="100" t="str">
        <x:f>IF('Master'!X728="","",'Master'!X728)</x:f>
      </x:c>
      <x:c r="X13" s="100" t="str">
        <x:f>IF('Master'!Y728="","",'Master'!Y728)</x:f>
        <x:v>Yes</x:v>
      </x:c>
      <x:c r="Y13" s="100" t="str">
        <x:f>IF('Master'!Z728="","",'Master'!Z728)</x:f>
        <x:v>Yes / Discord-compatible target</x:v>
      </x:c>
      <x:c r="Z13" s="100" t="str">
        <x:f>IF('Master'!AA728="","",'Master'!AA728)</x:f>
      </x:c>
      <x:c r="AA13" s="104" t="str">
        <x:f>IF('Master'!AB728="","",'Master'!AB728)</x:f>
      </x:c>
      <x:c r="AB13" s="100" t="str">
        <x:f>IF('Master'!AC728="","",'Master'!AC728)</x:f>
      </x:c>
      <x:c r="AC13" s="100" t="str">
        <x:f>IF('Master'!AD728="","",'Master'!AD728)</x:f>
      </x:c>
      <x:c r="AD13" s="100" t="str">
        <x:f>IF('Master'!AE728="","",'Master'!AE728)</x:f>
      </x:c>
      <x:c r="AE13" s="100" t="str">
        <x:f>IF('Master'!AF728="","",'Master'!AF728)</x:f>
      </x:c>
      <x:c r="AF13" s="75" t="str">
        <x:f>IF('Master'!AG728="","",'Master'!AG728)</x:f>
      </x:c>
    </x:row>
    <x:row r="14" ht="36" customHeight="1">
      <x:c r="A14" s="135" t="str">
        <x:v>Custom Emoji Access</x:v>
      </x:c>
      <x:c r="B14" s="100" t="str">
        <x:f>IF('Master'!C729="","",'Master'!C729)</x:f>
        <x:v>Free within owning server; cross-server use is a Nitro perk</x:v>
      </x:c>
      <x:c r="C14" s="100" t="str">
        <x:f>IF('Master'!D729="","",'Master'!D729)</x:f>
      </x:c>
      <x:c r="D14" s="100" t="str">
        <x:f>IF('Master'!E729="","",'Master'!E729)</x:f>
      </x:c>
      <x:c r="E14" s="100" t="str">
        <x:f>IF('Master'!F729="","",'Master'!F729)</x:f>
      </x:c>
      <x:c r="F14" s="100" t="str">
        <x:f>IF('Master'!G729="","",'Master'!G729)</x:f>
        <x:v>Free base; higher limits planned on paid tiers</x:v>
      </x:c>
      <x:c r="G14" s="100" t="str">
        <x:f>IF('Master'!H729="","",'Master'!H729)</x:f>
        <x:v>Free in own community; Plutonium expands global use/limits</x:v>
      </x:c>
      <x:c r="H14" s="100" t="str">
        <x:f>IF('Master'!I729="","",'Master'!I729)</x:f>
        <x:v>0 free → up to 500 Diamond</x:v>
      </x:c>
      <x:c r="I14" s="100" t="str">
        <x:f>IF('Master'!J729="","",'Master'!J729)</x:f>
      </x:c>
      <x:c r="J14" s="100" t="str">
        <x:f>IF('Master'!K729="","",'Master'!K729)</x:f>
      </x:c>
      <x:c r="K14" s="100" t="str">
        <x:f>IF('Master'!L729="","",'Master'!L729)</x:f>
        <x:v>Free/current; no paid tier</x:v>
      </x:c>
      <x:c r="L14" s="100" t="str">
        <x:f>IF('Master'!M729="","",'Master'!M729)</x:f>
      </x:c>
      <x:c r="M14" s="100" t="str">
        <x:f>IF('Master'!N729="","",'Master'!N729)</x:f>
        <x:v>Open-beta/core</x:v>
      </x:c>
      <x:c r="N14" s="100" t="str">
        <x:f>IF('Master'!O729="","",'Master'!O729)</x:f>
        <x:v>Client/provider-dependent</x:v>
      </x:c>
      <x:c r="O14" s="100" t="str">
        <x:f>IF('Master'!P729="","",'Master'!P729)</x:f>
      </x:c>
      <x:c r="P14" s="100" t="str">
        <x:f>IF('Master'!Q729="","",'Master'!Q729)</x:f>
        <x:v>Free</x:v>
      </x:c>
      <x:c r="Q14" s="100" t="str">
        <x:f>IF('Master'!R729="","",'Master'!R729)</x:f>
      </x:c>
      <x:c r="R14" s="100" t="str">
        <x:f>IF('Master'!S729="","",'Master'!S729)</x:f>
        <x:v>Free</x:v>
      </x:c>
      <x:c r="S14" s="100" t="str">
        <x:f>IF('Master'!T729="","",'Master'!T729)</x:f>
      </x:c>
      <x:c r="T14" s="100" t="str">
        <x:f>IF('Master'!U729="","",'Master'!U729)</x:f>
      </x:c>
      <x:c r="U14" s="100" t="str">
        <x:f>IF('Master'!V729="","",'Master'!V729)</x:f>
        <x:v>10 free Shard → 30 Ember → 100 Forge; personal 10 free → 30 Rift+</x:v>
      </x:c>
      <x:c r="V14" s="100" t="str">
        <x:f>IF('Master'!W729="","",'Master'!W729)</x:f>
      </x:c>
      <x:c r="W14" s="100" t="str">
        <x:f>IF('Master'!X729="","",'Master'!X729)</x:f>
      </x:c>
      <x:c r="X14" s="100" t="str">
        <x:f>IF('Master'!Y729="","",'Master'!Y729)</x:f>
      </x:c>
      <x:c r="Y14" s="100" t="str">
        <x:f>IF('Master'!Z729="","",'Master'!Z729)</x:f>
        <x:v>Operator-configurable</x:v>
      </x:c>
      <x:c r="Z14" s="100" t="str">
        <x:f>IF('Master'!AA729="","",'Master'!AA729)</x:f>
      </x:c>
      <x:c r="AA14" s="104" t="str">
        <x:f>IF('Master'!AB729="","",'Master'!AB729)</x:f>
      </x:c>
      <x:c r="AB14" s="100" t="str">
        <x:f>IF('Master'!AC729="","",'Master'!AC729)</x:f>
      </x:c>
      <x:c r="AC14" s="100" t="str">
        <x:f>IF('Master'!AD729="","",'Master'!AD729)</x:f>
      </x:c>
      <x:c r="AD14" s="100" t="str">
        <x:f>IF('Master'!AE729="","",'Master'!AE729)</x:f>
      </x:c>
      <x:c r="AE14" s="100" t="str">
        <x:f>IF('Master'!AF729="","",'Master'!AF729)</x:f>
      </x:c>
      <x:c r="AF14" s="75" t="str">
        <x:f>IF('Master'!AG729="","",'Master'!AG729)</x:f>
      </x:c>
    </x:row>
    <x:row r="15" ht="36" customHeight="1">
      <x:c r="A15" s="135" t="str">
        <x:v>Animated Emoji Available?</x:v>
      </x:c>
      <x:c r="B15" s="100" t="str">
        <x:f>IF('Master'!C730="","",'Master'!C730)</x:f>
        <x:v>Yes</x:v>
      </x:c>
      <x:c r="C15" s="100" t="str">
        <x:f>IF('Master'!D730="","",'Master'!D730)</x:f>
      </x:c>
      <x:c r="D15" s="100" t="str">
        <x:f>IF('Master'!E730="","",'Master'!E730)</x:f>
      </x:c>
      <x:c r="E15" s="100" t="str">
        <x:f>IF('Master'!F730="","",'Master'!F730)</x:f>
      </x:c>
      <x:c r="F15" s="100" t="str">
        <x:f>IF('Master'!G730="","",'Master'!G730)</x:f>
      </x:c>
      <x:c r="G15" s="100" t="str">
        <x:f>IF('Master'!H730="","",'Master'!H730)</x:f>
        <x:v>Yes</x:v>
      </x:c>
      <x:c r="H15" s="100" t="str">
        <x:f>IF('Master'!I730="","",'Master'!I730)</x:f>
      </x:c>
      <x:c r="I15" s="100" t="str">
        <x:f>IF('Master'!J730="","",'Master'!J730)</x:f>
      </x:c>
      <x:c r="J15" s="100" t="str">
        <x:f>IF('Master'!K730="","",'Master'!K730)</x:f>
      </x:c>
      <x:c r="K15" s="100" t="str">
        <x:f>IF('Master'!L730="","",'Master'!L730)</x:f>
        <x:v>Not separately documented</x:v>
      </x:c>
      <x:c r="L15" s="100" t="str">
        <x:f>IF('Master'!M730="","",'Master'!M730)</x:f>
      </x:c>
      <x:c r="M15" s="100" t="str">
        <x:f>IF('Master'!N730="","",'Master'!N730)</x:f>
      </x:c>
      <x:c r="N15" s="100" t="str">
        <x:f>IF('Master'!O730="","",'Master'!O730)</x:f>
      </x:c>
      <x:c r="O15" s="100" t="str">
        <x:f>IF('Master'!P730="","",'Master'!P730)</x:f>
      </x:c>
      <x:c r="P15" s="100" t="str">
        <x:f>IF('Master'!Q730="","",'Master'!Q730)</x:f>
      </x:c>
      <x:c r="Q15" s="100" t="str">
        <x:f>IF('Master'!R730="","",'Master'!R730)</x:f>
      </x:c>
      <x:c r="R15" s="100" t="str">
        <x:f>IF('Master'!S730="","",'Master'!S730)</x:f>
      </x:c>
      <x:c r="S15" s="100" t="str">
        <x:f>IF('Master'!T730="","",'Master'!T730)</x:f>
      </x:c>
      <x:c r="T15" s="100" t="str">
        <x:f>IF('Master'!U730="","",'Master'!U730)</x:f>
      </x:c>
      <x:c r="U15" s="100" t="str">
        <x:f>IF('Master'!V730="","",'Master'!V730)</x:f>
        <x:v>Yes</x:v>
      </x:c>
      <x:c r="V15" s="100" t="str">
        <x:f>IF('Master'!W730="","",'Master'!W730)</x:f>
      </x:c>
      <x:c r="W15" s="100" t="str">
        <x:f>IF('Master'!X730="","",'Master'!X730)</x:f>
      </x:c>
      <x:c r="X15" s="100" t="str">
        <x:f>IF('Master'!Y730="","",'Master'!Y730)</x:f>
      </x:c>
      <x:c r="Y15" s="100" t="str">
        <x:f>IF('Master'!Z730="","",'Master'!Z730)</x:f>
      </x:c>
      <x:c r="Z15" s="100" t="str">
        <x:f>IF('Master'!AA730="","",'Master'!AA730)</x:f>
      </x:c>
      <x:c r="AA15" s="104" t="str">
        <x:f>IF('Master'!AB730="","",'Master'!AB730)</x:f>
      </x:c>
      <x:c r="AB15" s="100" t="str">
        <x:f>IF('Master'!AC730="","",'Master'!AC730)</x:f>
      </x:c>
      <x:c r="AC15" s="100" t="str">
        <x:f>IF('Master'!AD730="","",'Master'!AD730)</x:f>
      </x:c>
      <x:c r="AD15" s="100" t="str">
        <x:f>IF('Master'!AE730="","",'Master'!AE730)</x:f>
      </x:c>
      <x:c r="AE15" s="100" t="str">
        <x:f>IF('Master'!AF730="","",'Master'!AF730)</x:f>
      </x:c>
      <x:c r="AF15" s="75" t="str">
        <x:f>IF('Master'!AG730="","",'Master'!AG730)</x:f>
      </x:c>
    </x:row>
    <x:row r="16" ht="36" customHeight="1">
      <x:c r="A16" s="135" t="str">
        <x:v>Animated Emoji Access</x:v>
      </x:c>
      <x:c r="B16" s="100" t="str">
        <x:f>IF('Master'!C731="","",'Master'!C731)</x:f>
        <x:v>Server-dependent creation; Nitro expands use</x:v>
      </x:c>
      <x:c r="C16" s="100" t="str">
        <x:f>IF('Master'!D731="","",'Master'!D731)</x:f>
      </x:c>
      <x:c r="D16" s="100" t="str">
        <x:f>IF('Master'!E731="","",'Master'!E731)</x:f>
      </x:c>
      <x:c r="E16" s="100" t="str">
        <x:f>IF('Master'!F731="","",'Master'!F731)</x:f>
      </x:c>
      <x:c r="F16" s="100" t="str">
        <x:f>IF('Master'!G731="","",'Master'!G731)</x:f>
      </x:c>
      <x:c r="G16" s="100" t="str">
        <x:f>IF('Master'!H731="","",'Master'!H731)</x:f>
        <x:v>Plutonium expands use</x:v>
      </x:c>
      <x:c r="H16" s="100" t="str">
        <x:f>IF('Master'!I731="","",'Master'!I731)</x:f>
      </x:c>
      <x:c r="I16" s="100" t="str">
        <x:f>IF('Master'!J731="","",'Master'!J731)</x:f>
      </x:c>
      <x:c r="J16" s="100" t="str">
        <x:f>IF('Master'!K731="","",'Master'!K731)</x:f>
      </x:c>
      <x:c r="K16" s="100" t="str">
        <x:f>IF('Master'!L731="","",'Master'!L731)</x:f>
        <x:v>Not separately documented</x:v>
      </x:c>
      <x:c r="L16" s="100" t="str">
        <x:f>IF('Master'!M731="","",'Master'!M731)</x:f>
      </x:c>
      <x:c r="M16" s="100" t="str">
        <x:f>IF('Master'!N731="","",'Master'!N731)</x:f>
      </x:c>
      <x:c r="N16" s="100" t="str">
        <x:f>IF('Master'!O731="","",'Master'!O731)</x:f>
      </x:c>
      <x:c r="O16" s="100" t="str">
        <x:f>IF('Master'!P731="","",'Master'!P731)</x:f>
      </x:c>
      <x:c r="P16" s="100" t="str">
        <x:f>IF('Master'!Q731="","",'Master'!Q731)</x:f>
      </x:c>
      <x:c r="Q16" s="100" t="str">
        <x:f>IF('Master'!R731="","",'Master'!R731)</x:f>
      </x:c>
      <x:c r="R16" s="100" t="str">
        <x:f>IF('Master'!S731="","",'Master'!S731)</x:f>
      </x:c>
      <x:c r="S16" s="100" t="str">
        <x:f>IF('Master'!T731="","",'Master'!T731)</x:f>
      </x:c>
      <x:c r="T16" s="100" t="str">
        <x:f>IF('Master'!U731="","",'Master'!U731)</x:f>
      </x:c>
      <x:c r="U16" s="100" t="str">
        <x:f>IF('Master'!V731="","",'Master'!V731)</x:f>
      </x:c>
      <x:c r="V16" s="100" t="str">
        <x:f>IF('Master'!W731="","",'Master'!W731)</x:f>
      </x:c>
      <x:c r="W16" s="100" t="str">
        <x:f>IF('Master'!X731="","",'Master'!X731)</x:f>
      </x:c>
      <x:c r="X16" s="100" t="str">
        <x:f>IF('Master'!Y731="","",'Master'!Y731)</x:f>
      </x:c>
      <x:c r="Y16" s="100" t="str">
        <x:f>IF('Master'!Z731="","",'Master'!Z731)</x:f>
      </x:c>
      <x:c r="Z16" s="100" t="str">
        <x:f>IF('Master'!AA731="","",'Master'!AA731)</x:f>
      </x:c>
      <x:c r="AA16" s="104" t="str">
        <x:f>IF('Master'!AB731="","",'Master'!AB731)</x:f>
      </x:c>
      <x:c r="AB16" s="100" t="str">
        <x:f>IF('Master'!AC731="","",'Master'!AC731)</x:f>
      </x:c>
      <x:c r="AC16" s="100" t="str">
        <x:f>IF('Master'!AD731="","",'Master'!AD731)</x:f>
      </x:c>
      <x:c r="AD16" s="100" t="str">
        <x:f>IF('Master'!AE731="","",'Master'!AE731)</x:f>
      </x:c>
      <x:c r="AE16" s="100" t="str">
        <x:f>IF('Master'!AF731="","",'Master'!AF731)</x:f>
      </x:c>
      <x:c r="AF16" s="75" t="str">
        <x:f>IF('Master'!AG731="","",'Master'!AG731)</x:f>
      </x:c>
    </x:row>
    <x:row r="17" ht="36" customHeight="1">
      <x:c r="A17" s="135" t="str">
        <x:v>Custom Stickers Available?</x:v>
      </x:c>
      <x:c r="B17" s="100" t="str">
        <x:f>IF('Master'!C732="","",'Master'!C732)</x:f>
        <x:v>Yes</x:v>
      </x:c>
      <x:c r="C17" s="100" t="str">
        <x:f>IF('Master'!D732="","",'Master'!D732)</x:f>
      </x:c>
      <x:c r="D17" s="100" t="str">
        <x:f>IF('Master'!E732="","",'Master'!E732)</x:f>
      </x:c>
      <x:c r="E17" s="100" t="str">
        <x:f>IF('Master'!F732="","",'Master'!F732)</x:f>
      </x:c>
      <x:c r="F17" s="100" t="str">
        <x:f>IF('Master'!G732="","",'Master'!G732)</x:f>
      </x:c>
      <x:c r="G17" s="100" t="str">
        <x:f>IF('Master'!H732="","",'Master'!H732)</x:f>
        <x:v>Yes</x:v>
      </x:c>
      <x:c r="H17" s="100" t="str">
        <x:f>IF('Master'!I732="","",'Master'!I732)</x:f>
      </x:c>
      <x:c r="I17" s="100" t="str">
        <x:f>IF('Master'!J732="","",'Master'!J732)</x:f>
      </x:c>
      <x:c r="J17" s="100" t="str">
        <x:f>IF('Master'!K732="","",'Master'!K732)</x:f>
      </x:c>
      <x:c r="K17" s="100" t="str">
        <x:f>IF('Master'!L732="","",'Master'!L732)</x:f>
        <x:v>Yes</x:v>
      </x:c>
      <x:c r="L17" s="100" t="str">
        <x:f>IF('Master'!M732="","",'Master'!M732)</x:f>
      </x:c>
      <x:c r="M17" s="100" t="str">
        <x:f>IF('Master'!N732="","",'Master'!N732)</x:f>
      </x:c>
      <x:c r="N17" s="100" t="str">
        <x:f>IF('Master'!O732="","",'Master'!O732)</x:f>
      </x:c>
      <x:c r="O17" s="100" t="str">
        <x:f>IF('Master'!P732="","",'Master'!P732)</x:f>
      </x:c>
      <x:c r="P17" s="100" t="str">
        <x:f>IF('Master'!Q732="","",'Master'!Q732)</x:f>
      </x:c>
      <x:c r="Q17" s="100" t="str">
        <x:f>IF('Master'!R732="","",'Master'!R732)</x:f>
      </x:c>
      <x:c r="R17" s="100" t="str">
        <x:f>IF('Master'!S732="","",'Master'!S732)</x:f>
      </x:c>
      <x:c r="S17" s="100" t="str">
        <x:f>IF('Master'!T732="","",'Master'!T732)</x:f>
      </x:c>
      <x:c r="T17" s="100" t="str">
        <x:f>IF('Master'!U732="","",'Master'!U732)</x:f>
      </x:c>
      <x:c r="U17" s="100" t="str">
        <x:f>IF('Master'!V732="","",'Master'!V732)</x:f>
        <x:v>Yes</x:v>
      </x:c>
      <x:c r="V17" s="100" t="str">
        <x:f>IF('Master'!W732="","",'Master'!W732)</x:f>
      </x:c>
      <x:c r="W17" s="100" t="str">
        <x:f>IF('Master'!X732="","",'Master'!X732)</x:f>
      </x:c>
      <x:c r="X17" s="100" t="str">
        <x:f>IF('Master'!Y732="","",'Master'!Y732)</x:f>
      </x:c>
      <x:c r="Y17" s="100" t="str">
        <x:f>IF('Master'!Z732="","",'Master'!Z732)</x:f>
      </x:c>
      <x:c r="Z17" s="100" t="str">
        <x:f>IF('Master'!AA732="","",'Master'!AA732)</x:f>
      </x:c>
      <x:c r="AA17" s="104" t="str">
        <x:f>IF('Master'!AB732="","",'Master'!AB732)</x:f>
      </x:c>
      <x:c r="AB17" s="100" t="str">
        <x:f>IF('Master'!AC732="","",'Master'!AC732)</x:f>
      </x:c>
      <x:c r="AC17" s="100" t="str">
        <x:f>IF('Master'!AD732="","",'Master'!AD732)</x:f>
      </x:c>
      <x:c r="AD17" s="100" t="str">
        <x:f>IF('Master'!AE732="","",'Master'!AE732)</x:f>
      </x:c>
      <x:c r="AE17" s="100" t="str">
        <x:f>IF('Master'!AF732="","",'Master'!AF732)</x:f>
      </x:c>
      <x:c r="AF17" s="75" t="str">
        <x:f>IF('Master'!AG732="","",'Master'!AG732)</x:f>
      </x:c>
    </x:row>
    <x:row r="18" ht="36" customHeight="1">
      <x:c r="A18" s="135" t="str">
        <x:v>Custom Stickers Access</x:v>
      </x:c>
      <x:c r="B18" s="100" t="str">
        <x:f>IF('Master'!C733="","",'Master'!C733)</x:f>
        <x:v>Server-dependent; Nitro expands cross-server use</x:v>
      </x:c>
      <x:c r="C18" s="100" t="str">
        <x:f>IF('Master'!D733="","",'Master'!D733)</x:f>
      </x:c>
      <x:c r="D18" s="100" t="str">
        <x:f>IF('Master'!E733="","",'Master'!E733)</x:f>
      </x:c>
      <x:c r="E18" s="100" t="str">
        <x:f>IF('Master'!F733="","",'Master'!F733)</x:f>
      </x:c>
      <x:c r="F18" s="100" t="str">
        <x:f>IF('Master'!G733="","",'Master'!G733)</x:f>
      </x:c>
      <x:c r="G18" s="100" t="str">
        <x:f>IF('Master'!H733="","",'Master'!H733)</x:f>
        <x:v>Plutonium expands use</x:v>
      </x:c>
      <x:c r="H18" s="100" t="str">
        <x:f>IF('Master'!I733="","",'Master'!I733)</x:f>
      </x:c>
      <x:c r="I18" s="100" t="str">
        <x:f>IF('Master'!J733="","",'Master'!J733)</x:f>
      </x:c>
      <x:c r="J18" s="100" t="str">
        <x:f>IF('Master'!K733="","",'Master'!K733)</x:f>
      </x:c>
      <x:c r="K18" s="100" t="str">
        <x:f>IF('Master'!L733="","",'Master'!L733)</x:f>
        <x:v>Free/current; no paid tier</x:v>
      </x:c>
      <x:c r="L18" s="100" t="str">
        <x:f>IF('Master'!M733="","",'Master'!M733)</x:f>
      </x:c>
      <x:c r="M18" s="100" t="str">
        <x:f>IF('Master'!N733="","",'Master'!N733)</x:f>
      </x:c>
      <x:c r="N18" s="100" t="str">
        <x:f>IF('Master'!O733="","",'Master'!O733)</x:f>
      </x:c>
      <x:c r="O18" s="100" t="str">
        <x:f>IF('Master'!P733="","",'Master'!P733)</x:f>
      </x:c>
      <x:c r="P18" s="100" t="str">
        <x:f>IF('Master'!Q733="","",'Master'!Q733)</x:f>
      </x:c>
      <x:c r="Q18" s="100" t="str">
        <x:f>IF('Master'!R733="","",'Master'!R733)</x:f>
      </x:c>
      <x:c r="R18" s="100" t="str">
        <x:f>IF('Master'!S733="","",'Master'!S733)</x:f>
      </x:c>
      <x:c r="S18" s="100" t="str">
        <x:f>IF('Master'!T733="","",'Master'!T733)</x:f>
      </x:c>
      <x:c r="T18" s="100" t="str">
        <x:f>IF('Master'!U733="","",'Master'!U733)</x:f>
      </x:c>
      <x:c r="U18" s="100" t="str">
        <x:f>IF('Master'!V733="","",'Master'!V733)</x:f>
      </x:c>
      <x:c r="V18" s="100" t="str">
        <x:f>IF('Master'!W733="","",'Master'!W733)</x:f>
      </x:c>
      <x:c r="W18" s="100" t="str">
        <x:f>IF('Master'!X733="","",'Master'!X733)</x:f>
      </x:c>
      <x:c r="X18" s="100" t="str">
        <x:f>IF('Master'!Y733="","",'Master'!Y733)</x:f>
      </x:c>
      <x:c r="Y18" s="100" t="str">
        <x:f>IF('Master'!Z733="","",'Master'!Z733)</x:f>
      </x:c>
      <x:c r="Z18" s="100" t="str">
        <x:f>IF('Master'!AA733="","",'Master'!AA733)</x:f>
      </x:c>
      <x:c r="AA18" s="104" t="str">
        <x:f>IF('Master'!AB733="","",'Master'!AB733)</x:f>
      </x:c>
      <x:c r="AB18" s="100" t="str">
        <x:f>IF('Master'!AC733="","",'Master'!AC733)</x:f>
      </x:c>
      <x:c r="AC18" s="100" t="str">
        <x:f>IF('Master'!AD733="","",'Master'!AD733)</x:f>
      </x:c>
      <x:c r="AD18" s="100" t="str">
        <x:f>IF('Master'!AE733="","",'Master'!AE733)</x:f>
      </x:c>
      <x:c r="AE18" s="100" t="str">
        <x:f>IF('Master'!AF733="","",'Master'!AF733)</x:f>
      </x:c>
      <x:c r="AF18" s="75" t="str">
        <x:f>IF('Master'!AG733="","",'Master'!AG733)</x:f>
      </x:c>
    </x:row>
    <x:row r="19" ht="36" customHeight="1">
      <x:c r="A19" s="135" t="str">
        <x:v>Personal Soundboard Available?</x:v>
      </x:c>
      <x:c r="B19" s="100" t="str">
        <x:f>IF('Master'!C734="","",'Master'!C734)</x:f>
        <x:v>Partial</x:v>
      </x:c>
      <x:c r="C19" s="100" t="str">
        <x:f>IF('Master'!D734="","",'Master'!D734)</x:f>
      </x:c>
      <x:c r="D19" s="100" t="str">
        <x:f>IF('Master'!E734="","",'Master'!E734)</x:f>
      </x:c>
      <x:c r="E19" s="100" t="str">
        <x:f>IF('Master'!F734="","",'Master'!F734)</x:f>
      </x:c>
      <x:c r="F19" s="100" t="str">
        <x:f>IF('Master'!G734="","",'Master'!G734)</x:f>
      </x:c>
      <x:c r="G19" s="100" t="str">
        <x:f>IF('Master'!H734="","",'Master'!H734)</x:f>
      </x:c>
      <x:c r="H19" s="100" t="str">
        <x:f>IF('Master'!I734="","",'Master'!I734)</x:f>
      </x:c>
      <x:c r="I19" s="100" t="str">
        <x:f>IF('Master'!J734="","",'Master'!J734)</x:f>
      </x:c>
      <x:c r="J19" s="100" t="str">
        <x:f>IF('Master'!K734="","",'Master'!K734)</x:f>
      </x:c>
      <x:c r="K19" s="100" t="str">
        <x:f>IF('Master'!L734="","",'Master'!L734)</x:f>
        <x:v>Not separately documented</x:v>
      </x:c>
      <x:c r="L19" s="100" t="str">
        <x:f>IF('Master'!M734="","",'Master'!M734)</x:f>
      </x:c>
      <x:c r="M19" s="100" t="str">
        <x:f>IF('Master'!N734="","",'Master'!N734)</x:f>
      </x:c>
      <x:c r="N19" s="100" t="str">
        <x:f>IF('Master'!O734="","",'Master'!O734)</x:f>
      </x:c>
      <x:c r="O19" s="100" t="str">
        <x:f>IF('Master'!P734="","",'Master'!P734)</x:f>
      </x:c>
      <x:c r="P19" s="100" t="str">
        <x:f>IF('Master'!Q734="","",'Master'!Q734)</x:f>
      </x:c>
      <x:c r="Q19" s="100" t="str">
        <x:f>IF('Master'!R734="","",'Master'!R734)</x:f>
      </x:c>
      <x:c r="R19" s="100" t="str">
        <x:f>IF('Master'!S734="","",'Master'!S734)</x:f>
      </x:c>
      <x:c r="S19" s="100" t="str">
        <x:f>IF('Master'!T734="","",'Master'!T734)</x:f>
      </x:c>
      <x:c r="T19" s="100" t="str">
        <x:f>IF('Master'!U734="","",'Master'!U734)</x:f>
      </x:c>
      <x:c r="U19" s="100" t="str">
        <x:f>IF('Master'!V734="","",'Master'!V734)</x:f>
        <x:v>Yes</x:v>
      </x:c>
      <x:c r="V19" s="100" t="str">
        <x:f>IF('Master'!W734="","",'Master'!W734)</x:f>
      </x:c>
      <x:c r="W19" s="100" t="str">
        <x:f>IF('Master'!X734="","",'Master'!X734)</x:f>
      </x:c>
      <x:c r="X19" s="100" t="str">
        <x:f>IF('Master'!Y734="","",'Master'!Y734)</x:f>
      </x:c>
      <x:c r="Y19" s="100" t="str">
        <x:f>IF('Master'!Z734="","",'Master'!Z734)</x:f>
      </x:c>
      <x:c r="Z19" s="100" t="str">
        <x:f>IF('Master'!AA734="","",'Master'!AA734)</x:f>
      </x:c>
      <x:c r="AA19" s="104" t="str">
        <x:f>IF('Master'!AB734="","",'Master'!AB734)</x:f>
      </x:c>
      <x:c r="AB19" s="100" t="str">
        <x:f>IF('Master'!AC734="","",'Master'!AC734)</x:f>
      </x:c>
      <x:c r="AC19" s="100" t="str">
        <x:f>IF('Master'!AD734="","",'Master'!AD734)</x:f>
      </x:c>
      <x:c r="AD19" s="100" t="str">
        <x:f>IF('Master'!AE734="","",'Master'!AE734)</x:f>
      </x:c>
      <x:c r="AE19" s="100" t="str">
        <x:f>IF('Master'!AF734="","",'Master'!AF734)</x:f>
      </x:c>
      <x:c r="AF19" s="75" t="str">
        <x:f>IF('Master'!AG734="","",'Master'!AG734)</x:f>
      </x:c>
    </x:row>
    <x:row r="20" ht="23.100000381469727" customHeight="1">
      <x:c r="A20" s="135" t="str">
        <x:v>Personal Soundboard Access</x:v>
      </x:c>
      <x:c r="B20" s="102" t="str">
        <x:f>IF('Master'!C735="","",'Master'!C735)</x:f>
      </x:c>
      <x:c r="C20" s="102" t="str">
        <x:f>IF('Master'!D735="","",'Master'!D735)</x:f>
      </x:c>
      <x:c r="D20" s="102" t="str">
        <x:f>IF('Master'!E735="","",'Master'!E735)</x:f>
      </x:c>
      <x:c r="E20" s="102" t="str">
        <x:f>IF('Master'!F735="","",'Master'!F735)</x:f>
      </x:c>
      <x:c r="F20" s="102" t="str">
        <x:f>IF('Master'!G735="","",'Master'!G735)</x:f>
      </x:c>
      <x:c r="G20" s="102" t="str">
        <x:f>IF('Master'!H735="","",'Master'!H735)</x:f>
      </x:c>
      <x:c r="H20" s="102" t="str">
        <x:f>IF('Master'!I735="","",'Master'!I735)</x:f>
      </x:c>
      <x:c r="I20" s="102" t="str">
        <x:f>IF('Master'!J735="","",'Master'!J735)</x:f>
      </x:c>
      <x:c r="J20" s="102" t="str">
        <x:f>IF('Master'!K735="","",'Master'!K735)</x:f>
      </x:c>
      <x:c r="K20" s="102" t="str">
        <x:f>IF('Master'!L735="","",'Master'!L735)</x:f>
        <x:v>Not separately documented</x:v>
      </x:c>
      <x:c r="L20" s="102" t="str">
        <x:f>IF('Master'!M735="","",'Master'!M735)</x:f>
      </x:c>
      <x:c r="M20" s="102" t="str">
        <x:f>IF('Master'!N735="","",'Master'!N735)</x:f>
      </x:c>
      <x:c r="N20" s="102" t="str">
        <x:f>IF('Master'!O735="","",'Master'!O735)</x:f>
      </x:c>
      <x:c r="O20" s="102" t="str">
        <x:f>IF('Master'!P735="","",'Master'!P735)</x:f>
      </x:c>
      <x:c r="P20" s="102" t="str">
        <x:f>IF('Master'!Q735="","",'Master'!Q735)</x:f>
      </x:c>
      <x:c r="Q20" s="102" t="str">
        <x:f>IF('Master'!R735="","",'Master'!R735)</x:f>
      </x:c>
      <x:c r="R20" s="102" t="str">
        <x:f>IF('Master'!S735="","",'Master'!S735)</x:f>
      </x:c>
      <x:c r="S20" s="102" t="str">
        <x:f>IF('Master'!T735="","",'Master'!T735)</x:f>
      </x:c>
      <x:c r="T20" s="102" t="str">
        <x:f>IF('Master'!U735="","",'Master'!U735)</x:f>
      </x:c>
      <x:c r="U20" s="102" t="str">
        <x:f>IF('Master'!V735="","",'Master'!V735)</x:f>
      </x:c>
      <x:c r="V20" s="102" t="str">
        <x:f>IF('Master'!W735="","",'Master'!W735)</x:f>
      </x:c>
      <x:c r="W20" s="102" t="str">
        <x:f>IF('Master'!X735="","",'Master'!X735)</x:f>
      </x:c>
      <x:c r="X20" s="102" t="str">
        <x:f>IF('Master'!Y735="","",'Master'!Y735)</x:f>
      </x:c>
      <x:c r="Y20" s="102" t="str">
        <x:f>IF('Master'!Z735="","",'Master'!Z735)</x:f>
      </x:c>
      <x:c r="Z20" s="102" t="str">
        <x:f>IF('Master'!AA735="","",'Master'!AA735)</x:f>
      </x:c>
      <x:c r="AA20" s="103" t="str">
        <x:f>IF('Master'!AB735="","",'Master'!AB735)</x:f>
      </x:c>
      <x:c r="AB20" s="102" t="str">
        <x:f>IF('Master'!AC735="","",'Master'!AC735)</x:f>
      </x:c>
      <x:c r="AC20" s="102" t="str">
        <x:f>IF('Master'!AD735="","",'Master'!AD735)</x:f>
      </x:c>
      <x:c r="AD20" s="102" t="str">
        <x:f>IF('Master'!AE735="","",'Master'!AE735)</x:f>
      </x:c>
      <x:c r="AE20" s="102" t="str">
        <x:f>IF('Master'!AF735="","",'Master'!AF735)</x:f>
      </x:c>
      <x:c r="AF20" s="75" t="str">
        <x:f>IF('Master'!AG735="","",'Master'!AG735)</x:f>
      </x:c>
    </x:row>
    <x:row r="21" ht="36" customHeight="1">
      <x:c r="A21" s="135" t="str">
        <x:v>Server Soundboard Available?</x:v>
      </x:c>
      <x:c r="B21" s="100" t="str">
        <x:f>IF('Master'!C736="","",'Master'!C736)</x:f>
        <x:v>Yes</x:v>
      </x:c>
      <x:c r="C21" s="100" t="str">
        <x:f>IF('Master'!D736="","",'Master'!D736)</x:f>
      </x:c>
      <x:c r="D21" s="100" t="str">
        <x:f>IF('Master'!E736="","",'Master'!E736)</x:f>
      </x:c>
      <x:c r="E21" s="100" t="str">
        <x:f>IF('Master'!F736="","",'Master'!F736)</x:f>
      </x:c>
      <x:c r="F21" s="100" t="str">
        <x:f>IF('Master'!G736="","",'Master'!G736)</x:f>
      </x:c>
      <x:c r="G21" s="100" t="str">
        <x:f>IF('Master'!H736="","",'Master'!H736)</x:f>
      </x:c>
      <x:c r="H21" s="100" t="str">
        <x:f>IF('Master'!I736="","",'Master'!I736)</x:f>
        <x:v>Yes</x:v>
      </x:c>
      <x:c r="I21" s="100" t="str">
        <x:f>IF('Master'!J736="","",'Master'!J736)</x:f>
      </x:c>
      <x:c r="J21" s="100" t="str">
        <x:f>IF('Master'!K736="","",'Master'!K736)</x:f>
      </x:c>
      <x:c r="K21" s="100" t="str">
        <x:f>IF('Master'!L736="","",'Master'!L736)</x:f>
        <x:v>Yes</x:v>
      </x:c>
      <x:c r="L21" s="100" t="str">
        <x:f>IF('Master'!M736="","",'Master'!M736)</x:f>
      </x:c>
      <x:c r="M21" s="100" t="str">
        <x:f>IF('Master'!N736="","",'Master'!N736)</x:f>
      </x:c>
      <x:c r="N21" s="100" t="str">
        <x:f>IF('Master'!O736="","",'Master'!O736)</x:f>
      </x:c>
      <x:c r="O21" s="100" t="str">
        <x:f>IF('Master'!P736="","",'Master'!P736)</x:f>
      </x:c>
      <x:c r="P21" s="100" t="str">
        <x:f>IF('Master'!Q736="","",'Master'!Q736)</x:f>
      </x:c>
      <x:c r="Q21" s="100" t="str">
        <x:f>IF('Master'!R736="","",'Master'!R736)</x:f>
      </x:c>
      <x:c r="R21" s="100" t="str">
        <x:f>IF('Master'!S736="","",'Master'!S736)</x:f>
      </x:c>
      <x:c r="S21" s="100" t="str">
        <x:f>IF('Master'!T736="","",'Master'!T736)</x:f>
      </x:c>
      <x:c r="T21" s="100" t="str">
        <x:f>IF('Master'!U736="","",'Master'!U736)</x:f>
      </x:c>
      <x:c r="U21" s="100" t="str">
        <x:f>IF('Master'!V736="","",'Master'!V736)</x:f>
        <x:v>Yes</x:v>
      </x:c>
      <x:c r="V21" s="100" t="str">
        <x:f>IF('Master'!W736="","",'Master'!W736)</x:f>
      </x:c>
      <x:c r="W21" s="100" t="str">
        <x:f>IF('Master'!X736="","",'Master'!X736)</x:f>
      </x:c>
      <x:c r="X21" s="100" t="str">
        <x:f>IF('Master'!Y736="","",'Master'!Y736)</x:f>
      </x:c>
      <x:c r="Y21" s="100" t="str">
        <x:f>IF('Master'!Z736="","",'Master'!Z736)</x:f>
      </x:c>
      <x:c r="Z21" s="100" t="str">
        <x:f>IF('Master'!AA736="","",'Master'!AA736)</x:f>
      </x:c>
      <x:c r="AA21" s="104" t="str">
        <x:f>IF('Master'!AB736="","",'Master'!AB736)</x:f>
      </x:c>
      <x:c r="AB21" s="100" t="str">
        <x:f>IF('Master'!AC736="","",'Master'!AC736)</x:f>
      </x:c>
      <x:c r="AC21" s="100" t="str">
        <x:f>IF('Master'!AD736="","",'Master'!AD736)</x:f>
      </x:c>
      <x:c r="AD21" s="100" t="str">
        <x:f>IF('Master'!AE736="","",'Master'!AE736)</x:f>
      </x:c>
      <x:c r="AE21" s="100" t="str">
        <x:f>IF('Master'!AF736="","",'Master'!AF736)</x:f>
      </x:c>
      <x:c r="AF21" s="75" t="str">
        <x:f>IF('Master'!AG736="","",'Master'!AG736)</x:f>
      </x:c>
    </x:row>
    <x:row r="22" ht="36" customHeight="1">
      <x:c r="A22" s="135" t="str">
        <x:v>Server Soundboard Access</x:v>
      </x:c>
      <x:c r="B22" s="100" t="str">
        <x:f>IF('Master'!C737="","",'Master'!C737)</x:f>
        <x:v>Free base slots; more slots with Server Boost level</x:v>
      </x:c>
      <x:c r="C22" s="100" t="str">
        <x:f>IF('Master'!D737="","",'Master'!D737)</x:f>
      </x:c>
      <x:c r="D22" s="100" t="str">
        <x:f>IF('Master'!E737="","",'Master'!E737)</x:f>
      </x:c>
      <x:c r="E22" s="100" t="str">
        <x:f>IF('Master'!F737="","",'Master'!F737)</x:f>
      </x:c>
      <x:c r="F22" s="100" t="str">
        <x:f>IF('Master'!G737="","",'Master'!G737)</x:f>
      </x:c>
      <x:c r="G22" s="100" t="str">
        <x:f>IF('Master'!H737="","",'Master'!H737)</x:f>
      </x:c>
      <x:c r="H22" s="100" t="str">
        <x:f>IF('Master'!I737="","",'Master'!I737)</x:f>
        <x:v>8 free → 48 Diamond</x:v>
      </x:c>
      <x:c r="I22" s="100" t="str">
        <x:f>IF('Master'!J737="","",'Master'!J737)</x:f>
      </x:c>
      <x:c r="J22" s="100" t="str">
        <x:f>IF('Master'!K737="","",'Master'!K737)</x:f>
      </x:c>
      <x:c r="K22" s="100" t="str">
        <x:f>IF('Master'!L737="","",'Master'!L737)</x:f>
        <x:v>Free/current; no paid tier</x:v>
      </x:c>
      <x:c r="L22" s="100" t="str">
        <x:f>IF('Master'!M737="","",'Master'!M737)</x:f>
      </x:c>
      <x:c r="M22" s="100" t="str">
        <x:f>IF('Master'!N737="","",'Master'!N737)</x:f>
      </x:c>
      <x:c r="N22" s="100" t="str">
        <x:f>IF('Master'!O737="","",'Master'!O737)</x:f>
      </x:c>
      <x:c r="O22" s="100" t="str">
        <x:f>IF('Master'!P737="","",'Master'!P737)</x:f>
      </x:c>
      <x:c r="P22" s="100" t="str">
        <x:f>IF('Master'!Q737="","",'Master'!Q737)</x:f>
      </x:c>
      <x:c r="Q22" s="100" t="str">
        <x:f>IF('Master'!R737="","",'Master'!R737)</x:f>
      </x:c>
      <x:c r="R22" s="100" t="str">
        <x:f>IF('Master'!S737="","",'Master'!S737)</x:f>
      </x:c>
      <x:c r="S22" s="100" t="str">
        <x:f>IF('Master'!T737="","",'Master'!T737)</x:f>
      </x:c>
      <x:c r="T22" s="100" t="str">
        <x:f>IF('Master'!U737="","",'Master'!U737)</x:f>
      </x:c>
      <x:c r="U22" s="100" t="str">
        <x:f>IF('Master'!V737="","",'Master'!V737)</x:f>
        <x:v>10 free Shard → 25 Ember → 75 Forge; personal 5 free → 25 Rift+</x:v>
      </x:c>
      <x:c r="V22" s="100" t="str">
        <x:f>IF('Master'!W737="","",'Master'!W737)</x:f>
      </x:c>
      <x:c r="W22" s="100" t="str">
        <x:f>IF('Master'!X737="","",'Master'!X737)</x:f>
      </x:c>
      <x:c r="X22" s="100" t="str">
        <x:f>IF('Master'!Y737="","",'Master'!Y737)</x:f>
      </x:c>
      <x:c r="Y22" s="100" t="str">
        <x:f>IF('Master'!Z737="","",'Master'!Z737)</x:f>
      </x:c>
      <x:c r="Z22" s="100" t="str">
        <x:f>IF('Master'!AA737="","",'Master'!AA737)</x:f>
      </x:c>
      <x:c r="AA22" s="104" t="str">
        <x:f>IF('Master'!AB737="","",'Master'!AB737)</x:f>
      </x:c>
      <x:c r="AB22" s="100" t="str">
        <x:f>IF('Master'!AC737="","",'Master'!AC737)</x:f>
      </x:c>
      <x:c r="AC22" s="100" t="str">
        <x:f>IF('Master'!AD737="","",'Master'!AD737)</x:f>
      </x:c>
      <x:c r="AD22" s="100" t="str">
        <x:f>IF('Master'!AE737="","",'Master'!AE737)</x:f>
      </x:c>
      <x:c r="AE22" s="100" t="str">
        <x:f>IF('Master'!AF737="","",'Master'!AF737)</x:f>
      </x:c>
      <x:c r="AF22" s="75" t="str">
        <x:f>IF('Master'!AG737="","",'Master'!AG737)</x:f>
      </x:c>
    </x:row>
    <x:row r="23" ht="22" customHeight="1">
      <x:c r="A23" s="138" t="str">
        <x:v>Community Premium Features</x:v>
      </x:c>
      <x:c r="B23" s="138" t="str">
        <x:f>IF(""="","","")</x:f>
      </x:c>
      <x:c r="C23" s="138" t="str">
        <x:f>IF(""="","","")</x:f>
      </x:c>
      <x:c r="D23" s="138" t="str">
        <x:f>IF(""="","","")</x:f>
      </x:c>
      <x:c r="E23" s="138" t="str">
        <x:f>IF(""="","","")</x:f>
      </x:c>
      <x:c r="F23" s="138" t="str">
        <x:f>IF(""="","","")</x:f>
      </x:c>
      <x:c r="G23" s="138" t="str">
        <x:f>IF(""="","","")</x:f>
      </x:c>
      <x:c r="H23" s="138" t="str">
        <x:f>IF(""="","","")</x:f>
      </x:c>
      <x:c r="I23" s="138" t="str">
        <x:f>IF(""="","","")</x:f>
      </x:c>
      <x:c r="J23" s="138" t="str">
        <x:f>IF(""="","","")</x:f>
      </x:c>
      <x:c r="K23" s="138" t="str">
        <x:f>IF(""="","","")</x:f>
      </x:c>
      <x:c r="L23" s="138" t="str">
        <x:f>IF(""="","","")</x:f>
      </x:c>
      <x:c r="M23" s="138" t="str">
        <x:f>IF(""="","","")</x:f>
      </x:c>
      <x:c r="N23" s="138" t="str">
        <x:f>IF(""="","","")</x:f>
      </x:c>
      <x:c r="O23" s="138" t="str">
        <x:f>IF(""="","","")</x:f>
      </x:c>
      <x:c r="P23" s="138" t="str">
        <x:f>IF(""="","","")</x:f>
      </x:c>
      <x:c r="Q23" s="138" t="str">
        <x:f>IF(""="","","")</x:f>
      </x:c>
      <x:c r="R23" s="138" t="str">
        <x:f>IF(""="","","")</x:f>
      </x:c>
      <x:c r="S23" s="138" t="str">
        <x:f>IF(""="","","")</x:f>
      </x:c>
      <x:c r="T23" s="138" t="str">
        <x:f>IF(""="","","")</x:f>
      </x:c>
      <x:c r="U23" s="138" t="str">
        <x:f>IF(""="","","")</x:f>
      </x:c>
      <x:c r="V23" s="138" t="str">
        <x:f>IF(""="","","")</x:f>
      </x:c>
      <x:c r="W23" s="138" t="str">
        <x:f>IF(""="","","")</x:f>
      </x:c>
      <x:c r="X23" s="138" t="str">
        <x:f>IF(""="","","")</x:f>
      </x:c>
      <x:c r="Y23" s="138" t="str">
        <x:f>IF(""="","","")</x:f>
      </x:c>
      <x:c r="Z23" s="138" t="str">
        <x:f>IF(""="","","")</x:f>
      </x:c>
      <x:c r="AA23" s="138" t="str">
        <x:f>IF(""="","","")</x:f>
      </x:c>
      <x:c r="AB23" s="138" t="str">
        <x:f>IF(""="","","")</x:f>
      </x:c>
      <x:c r="AC23" s="138" t="str">
        <x:f>IF(""="","","")</x:f>
      </x:c>
      <x:c r="AD23" s="138" t="str">
        <x:f>IF(""="","","")</x:f>
      </x:c>
      <x:c r="AE23" s="138" t="str">
        <x:f>IF(""="","","")</x:f>
      </x:c>
      <x:c r="AF23" s="139" t="str">
        <x:f>IF(""="","","")</x:f>
      </x:c>
    </x:row>
    <x:row r="24" ht="36" customHeight="1">
      <x:c r="A24" s="135" t="str">
        <x:v>Vanity Invite Available?</x:v>
      </x:c>
      <x:c r="B24" s="100" t="str">
        <x:f>IF('Master'!C738="","",'Master'!C738)</x:f>
        <x:v>Yes</x:v>
      </x:c>
      <x:c r="C24" s="100" t="str">
        <x:f>IF('Master'!D738="","",'Master'!D738)</x:f>
      </x:c>
      <x:c r="D24" s="100" t="str">
        <x:f>IF('Master'!E738="","",'Master'!E738)</x:f>
      </x:c>
      <x:c r="E24" s="100" t="str">
        <x:f>IF('Master'!F738="","",'Master'!F738)</x:f>
      </x:c>
      <x:c r="F24" s="100" t="str">
        <x:f>IF('Master'!G738="","",'Master'!G738)</x:f>
      </x:c>
      <x:c r="G24" s="100" t="str">
        <x:f>IF('Master'!H738="","",'Master'!H738)</x:f>
      </x:c>
      <x:c r="H24" s="100" t="str">
        <x:f>IF('Master'!I738="","",'Master'!I738)</x:f>
      </x:c>
      <x:c r="I24" s="100" t="str">
        <x:f>IF('Master'!J738="","",'Master'!J738)</x:f>
      </x:c>
      <x:c r="J24" s="100" t="str">
        <x:f>IF('Master'!K738="","",'Master'!K738)</x:f>
      </x:c>
      <x:c r="K24" s="100" t="str">
        <x:f>IF('Master'!L738="","",'Master'!L738)</x:f>
        <x:v>Not separately documented</x:v>
      </x:c>
      <x:c r="L24" s="100" t="str">
        <x:f>IF('Master'!M738="","",'Master'!M738)</x:f>
      </x:c>
      <x:c r="M24" s="100" t="str">
        <x:f>IF('Master'!N738="","",'Master'!N738)</x:f>
      </x:c>
      <x:c r="N24" s="100" t="str">
        <x:f>IF('Master'!O738="","",'Master'!O738)</x:f>
      </x:c>
      <x:c r="O24" s="100" t="str">
        <x:f>IF('Master'!P738="","",'Master'!P738)</x:f>
      </x:c>
      <x:c r="P24" s="100" t="str">
        <x:f>IF('Master'!Q738="","",'Master'!Q738)</x:f>
      </x:c>
      <x:c r="Q24" s="100" t="str">
        <x:f>IF('Master'!R738="","",'Master'!R738)</x:f>
      </x:c>
      <x:c r="R24" s="100" t="str">
        <x:f>IF('Master'!S738="","",'Master'!S738)</x:f>
      </x:c>
      <x:c r="S24" s="100" t="str">
        <x:f>IF('Master'!T738="","",'Master'!T738)</x:f>
      </x:c>
      <x:c r="T24" s="100" t="str">
        <x:f>IF('Master'!U738="","",'Master'!U738)</x:f>
      </x:c>
      <x:c r="U24" s="100" t="str">
        <x:f>IF('Master'!V738="","",'Master'!V738)</x:f>
        <x:v>Yes</x:v>
      </x:c>
      <x:c r="V24" s="100" t="str">
        <x:f>IF('Master'!W738="","",'Master'!W738)</x:f>
      </x:c>
      <x:c r="W24" s="100" t="str">
        <x:f>IF('Master'!X738="","",'Master'!X738)</x:f>
      </x:c>
      <x:c r="X24" s="100" t="str">
        <x:f>IF('Master'!Y738="","",'Master'!Y738)</x:f>
      </x:c>
      <x:c r="Y24" s="100" t="str">
        <x:f>IF('Master'!Z738="","",'Master'!Z738)</x:f>
      </x:c>
      <x:c r="Z24" s="100" t="str">
        <x:f>IF('Master'!AA738="","",'Master'!AA738)</x:f>
      </x:c>
      <x:c r="AA24" s="104" t="str">
        <x:f>IF('Master'!AB738="","",'Master'!AB738)</x:f>
      </x:c>
      <x:c r="AB24" s="100" t="str">
        <x:f>IF('Master'!AC738="","",'Master'!AC738)</x:f>
      </x:c>
      <x:c r="AC24" s="100" t="str">
        <x:f>IF('Master'!AD738="","",'Master'!AD738)</x:f>
      </x:c>
      <x:c r="AD24" s="100" t="str">
        <x:f>IF('Master'!AE738="","",'Master'!AE738)</x:f>
      </x:c>
      <x:c r="AE24" s="100" t="str">
        <x:f>IF('Master'!AF738="","",'Master'!AF738)</x:f>
      </x:c>
      <x:c r="AF24" s="75" t="str">
        <x:f>IF('Master'!AG738="","",'Master'!AG738)</x:f>
      </x:c>
    </x:row>
    <x:row r="25" ht="36" customHeight="1">
      <x:c r="A25" s="135" t="str">
        <x:v>Vanity Invite Access</x:v>
      </x:c>
      <x:c r="B25" s="100" t="str">
        <x:f>IF('Master'!C739="","",'Master'!C739)</x:f>
        <x:v>Server Boost Level 3 / eligible communities</x:v>
      </x:c>
      <x:c r="C25" s="100" t="str">
        <x:f>IF('Master'!D739="","",'Master'!D739)</x:f>
      </x:c>
      <x:c r="D25" s="100" t="str">
        <x:f>IF('Master'!E739="","",'Master'!E739)</x:f>
      </x:c>
      <x:c r="E25" s="100" t="str">
        <x:f>IF('Master'!F739="","",'Master'!F739)</x:f>
      </x:c>
      <x:c r="F25" s="100" t="str">
        <x:f>IF('Master'!G739="","",'Master'!G739)</x:f>
      </x:c>
      <x:c r="G25" s="100" t="str">
        <x:f>IF('Master'!H739="","",'Master'!H739)</x:f>
      </x:c>
      <x:c r="H25" s="100" t="str">
        <x:f>IF('Master'!I739="","",'Master'!I739)</x:f>
      </x:c>
      <x:c r="I25" s="100" t="str">
        <x:f>IF('Master'!J739="","",'Master'!J739)</x:f>
      </x:c>
      <x:c r="J25" s="100" t="str">
        <x:f>IF('Master'!K739="","",'Master'!K739)</x:f>
      </x:c>
      <x:c r="K25" s="100" t="str">
        <x:f>IF('Master'!L739="","",'Master'!L739)</x:f>
        <x:v>Not separately documented</x:v>
      </x:c>
      <x:c r="L25" s="100" t="str">
        <x:f>IF('Master'!M739="","",'Master'!M739)</x:f>
      </x:c>
      <x:c r="M25" s="100" t="str">
        <x:f>IF('Master'!N739="","",'Master'!N739)</x:f>
      </x:c>
      <x:c r="N25" s="100" t="str">
        <x:f>IF('Master'!O739="","",'Master'!O739)</x:f>
      </x:c>
      <x:c r="O25" s="100" t="str">
        <x:f>IF('Master'!P739="","",'Master'!P739)</x:f>
      </x:c>
      <x:c r="P25" s="100" t="str">
        <x:f>IF('Master'!Q739="","",'Master'!Q739)</x:f>
      </x:c>
      <x:c r="Q25" s="100" t="str">
        <x:f>IF('Master'!R739="","",'Master'!R739)</x:f>
      </x:c>
      <x:c r="R25" s="100" t="str">
        <x:f>IF('Master'!S739="","",'Master'!S739)</x:f>
      </x:c>
      <x:c r="S25" s="100" t="str">
        <x:f>IF('Master'!T739="","",'Master'!T739)</x:f>
      </x:c>
      <x:c r="T25" s="100" t="str">
        <x:f>IF('Master'!U739="","",'Master'!U739)</x:f>
      </x:c>
      <x:c r="U25" s="100" t="str">
        <x:f>IF('Master'!V739="","",'Master'!V739)</x:f>
        <x:v>Shard Forge</x:v>
      </x:c>
      <x:c r="V25" s="100" t="str">
        <x:f>IF('Master'!W739="","",'Master'!W739)</x:f>
      </x:c>
      <x:c r="W25" s="100" t="str">
        <x:f>IF('Master'!X739="","",'Master'!X739)</x:f>
      </x:c>
      <x:c r="X25" s="100" t="str">
        <x:f>IF('Master'!Y739="","",'Master'!Y739)</x:f>
      </x:c>
      <x:c r="Y25" s="100" t="str">
        <x:f>IF('Master'!Z739="","",'Master'!Z739)</x:f>
      </x:c>
      <x:c r="Z25" s="100" t="str">
        <x:f>IF('Master'!AA739="","",'Master'!AA739)</x:f>
      </x:c>
      <x:c r="AA25" s="104" t="str">
        <x:f>IF('Master'!AB739="","",'Master'!AB739)</x:f>
      </x:c>
      <x:c r="AB25" s="100" t="str">
        <x:f>IF('Master'!AC739="","",'Master'!AC739)</x:f>
      </x:c>
      <x:c r="AC25" s="100" t="str">
        <x:f>IF('Master'!AD739="","",'Master'!AD739)</x:f>
      </x:c>
      <x:c r="AD25" s="100" t="str">
        <x:f>IF('Master'!AE739="","",'Master'!AE739)</x:f>
      </x:c>
      <x:c r="AE25" s="100" t="str">
        <x:f>IF('Master'!AF739="","",'Master'!AF739)</x:f>
      </x:c>
      <x:c r="AF25" s="75" t="str">
        <x:f>IF('Master'!AG739="","",'Master'!AG739)</x:f>
      </x:c>
    </x:row>
    <x:row r="26" ht="36" customHeight="1">
      <x:c r="A26" s="135" t="str">
        <x:v>Higher Voice Bitrate Paid?</x:v>
      </x:c>
      <x:c r="B26" s="100" t="str">
        <x:f>IF('Master'!C740="","",'Master'!C740)</x:f>
        <x:v>Yes — Server Boost levels</x:v>
      </x:c>
      <x:c r="C26" s="100" t="str">
        <x:f>IF('Master'!D740="","",'Master'!D740)</x:f>
      </x:c>
      <x:c r="D26" s="100" t="str">
        <x:f>IF('Master'!E740="","",'Master'!E740)</x:f>
        <x:v>No central premium tier; operator-configurable</x:v>
      </x:c>
      <x:c r="E26" s="100" t="str">
        <x:f>IF('Master'!F740="","",'Master'!F740)</x:f>
      </x:c>
      <x:c r="F26" s="100" t="str">
        <x:f>IF('Master'!G740="","",'Master'!G740)</x:f>
      </x:c>
      <x:c r="G26" s="100" t="str">
        <x:f>IF('Master'!H740="","",'Master'!H740)</x:f>
      </x:c>
      <x:c r="H26" s="100" t="str">
        <x:f>IF('Master'!I740="","",'Master'!I740)</x:f>
        <x:v>Yes — higher tiers</x:v>
      </x:c>
      <x:c r="I26" s="100" t="str">
        <x:f>IF('Master'!J740="","",'Master'!J740)</x:f>
        <x:v>No central premium tier</x:v>
      </x:c>
      <x:c r="J26" s="100" t="str">
        <x:f>IF('Master'!K740="","",'Master'!K740)</x:f>
      </x:c>
      <x:c r="K26" s="100" t="str">
        <x:f>IF('Master'!L740="","",'Master'!L740)</x:f>
        <x:v>No — channel/user-selectable voice quality exists without a paid tier</x:v>
      </x:c>
      <x:c r="L26" s="100" t="str">
        <x:f>IF('Master'!M740="","",'Master'!M740)</x:f>
      </x:c>
      <x:c r="M26" s="100" t="str">
        <x:f>IF('Master'!N740="","",'Master'!N740)</x:f>
      </x:c>
      <x:c r="N26" s="100" t="str">
        <x:f>IF('Master'!O740="","",'Master'!O740)</x:f>
        <x:v>Provider/client-dependent</x:v>
      </x:c>
      <x:c r="O26" s="100" t="str">
        <x:f>IF('Master'!P740="","",'Master'!P740)</x:f>
      </x:c>
      <x:c r="P26" s="100" t="str">
        <x:f>IF('Master'!Q740="","",'Master'!Q740)</x:f>
        <x:v>No — no premium plan</x:v>
      </x:c>
      <x:c r="Q26" s="100" t="str">
        <x:f>IF('Master'!R740="","",'Master'!R740)</x:f>
        <x:v>No platform tier; server-configurable</x:v>
      </x:c>
      <x:c r="R26" s="100" t="str">
        <x:f>IF('Master'!S740="","",'Master'!S740)</x:f>
      </x:c>
      <x:c r="S26" s="100" t="str">
        <x:f>IF('Master'!T740="","",'Master'!T740)</x:f>
      </x:c>
      <x:c r="T26" s="100" t="str">
        <x:f>IF('Master'!U740="","",'Master'!U740)</x:f>
      </x:c>
      <x:c r="U26" s="100" t="str">
        <x:f>IF('Master'!V740="","",'Master'!V740)</x:f>
        <x:v>Yes — 96 free → 128 Rift+/Ember → 192 Forge</x:v>
      </x:c>
      <x:c r="V26" s="100" t="str">
        <x:f>IF('Master'!W740="","",'Master'!W740)</x:f>
      </x:c>
      <x:c r="W26" s="100" t="str">
        <x:f>IF('Master'!X740="","",'Master'!X740)</x:f>
      </x:c>
      <x:c r="X26" s="100" t="str">
        <x:f>IF('Master'!Y740="","",'Master'!Y740)</x:f>
      </x:c>
      <x:c r="Y26" s="100" t="str">
        <x:f>IF('Master'!Z740="","",'Master'!Z740)</x:f>
        <x:v>No platform subscription; operator-configurable</x:v>
      </x:c>
      <x:c r="Z26" s="100" t="str">
        <x:f>IF('Master'!AA740="","",'Master'!AA740)</x:f>
      </x:c>
      <x:c r="AA26" s="104" t="str">
        <x:f>IF('Master'!AB740="","",'Master'!AB740)</x:f>
        <x:v>Server/license/provider-dependent</x:v>
      </x:c>
      <x:c r="AB26" s="100" t="str">
        <x:f>IF('Master'!AC740="","",'Master'!AC740)</x:f>
      </x:c>
      <x:c r="AC26" s="100" t="str">
        <x:f>IF('Master'!AD740="","",'Master'!AD740)</x:f>
      </x:c>
      <x:c r="AD26" s="100" t="str">
        <x:f>IF('Master'!AE740="","",'Master'!AE740)</x:f>
        <x:v>No — core media available to users</x:v>
      </x:c>
      <x:c r="AE26" s="100" t="str">
        <x:f>IF('Master'!AF740="","",'Master'!AF740)</x:f>
        <x:v>License/server resources rather than per-user premium</x:v>
      </x:c>
      <x:c r="AF26" s="75" t="str">
        <x:f>IF('Master'!AG740="","",'Master'!AG740)</x:f>
      </x:c>
    </x:row>
    <x:row r="27" ht="36" customHeight="1">
      <x:c r="A27" s="135" t="str">
        <x:v>Higher Screen Share Quality Paid?</x:v>
      </x:c>
      <x:c r="B27" s="100" t="str">
        <x:f>IF('Master'!C741="","",'Master'!C741)</x:f>
        <x:v>Yes — Nitro</x:v>
      </x:c>
      <x:c r="C27" s="100" t="str">
        <x:f>IF('Master'!D741="","",'Master'!D741)</x:f>
      </x:c>
      <x:c r="D27" s="100" t="str">
        <x:f>IF('Master'!E741="","",'Master'!E741)</x:f>
        <x:v>No central premium tier; operator-configurable</x:v>
      </x:c>
      <x:c r="E27" s="100" t="str">
        <x:f>IF('Master'!F741="","",'Master'!F741)</x:f>
      </x:c>
      <x:c r="F27" s="100" t="str">
        <x:f>IF('Master'!G741="","",'Master'!G741)</x:f>
        <x:v>Planned paid differentiation</x:v>
      </x:c>
      <x:c r="G27" s="100" t="str">
        <x:f>IF('Master'!H741="","",'Master'!H741)</x:f>
        <x:v>Yes — Plutonium</x:v>
      </x:c>
      <x:c r="H27" s="100" t="str">
        <x:f>IF('Master'!I741="","",'Master'!I741)</x:f>
        <x:v>Yes — Gold/Diamond</x:v>
      </x:c>
      <x:c r="I27" s="100" t="str">
        <x:f>IF('Master'!J741="","",'Master'!J741)</x:f>
        <x:v>No central premium tier</x:v>
      </x:c>
      <x:c r="J27" s="100" t="str">
        <x:f>IF('Master'!K741="","",'Master'!K741)</x:f>
      </x:c>
      <x:c r="K27" s="100" t="str">
        <x:f>IF('Master'!L741="","",'Master'!L741)</x:f>
        <x:v>No — documented screen-share quality presets are not paywalled</x:v>
      </x:c>
      <x:c r="L27" s="100" t="str">
        <x:f>IF('Master'!M741="","",'Master'!M741)</x:f>
      </x:c>
      <x:c r="M27" s="100" t="str">
        <x:f>IF('Master'!N741="","",'Master'!N741)</x:f>
        <x:v>No paid tier verified</x:v>
      </x:c>
      <x:c r="N27" s="100" t="str">
        <x:f>IF('Master'!O741="","",'Master'!O741)</x:f>
        <x:v>Provider/client-dependent</x:v>
      </x:c>
      <x:c r="O27" s="100" t="str">
        <x:f>IF('Master'!P741="","",'Master'!P741)</x:f>
      </x:c>
      <x:c r="P27" s="100" t="str">
        <x:f>IF('Master'!Q741="","",'Master'!Q741)</x:f>
        <x:v>No — no premium plan</x:v>
      </x:c>
      <x:c r="Q27" s="100" t="str">
        <x:f>IF('Master'!R741="","",'Master'!R741)</x:f>
        <x:v>N/A</x:v>
      </x:c>
      <x:c r="R27" s="100" t="str">
        <x:f>IF('Master'!S741="","",'Master'!S741)</x:f>
        <x:v>No paid tier verified</x:v>
      </x:c>
      <x:c r="S27" s="100" t="str">
        <x:f>IF('Master'!T741="","",'Master'!T741)</x:f>
      </x:c>
      <x:c r="T27" s="100" t="str">
        <x:f>IF('Master'!U741="","",'Master'!U741)</x:f>
        <x:v>No — 1080p is free</x:v>
      </x:c>
      <x:c r="U27" s="100" t="str">
        <x:f>IF('Master'!V741="","",'Master'!V741)</x:f>
        <x:v>No paid tier - 1080p Free</x:v>
      </x:c>
      <x:c r="V27" s="100" t="str">
        <x:f>IF('Master'!W741="","",'Master'!W741)</x:f>
      </x:c>
      <x:c r="W27" s="100" t="str">
        <x:f>IF('Master'!X741="","",'Master'!X741)</x:f>
      </x:c>
      <x:c r="X27" s="100" t="str">
        <x:f>IF('Master'!Y741="","",'Master'!Y741)</x:f>
        <x:v>Yes — Sudo</x:v>
      </x:c>
      <x:c r="Y27" s="100" t="str">
        <x:f>IF('Master'!Z741="","",'Master'!Z741)</x:f>
        <x:v>No platform subscription; operator-configurable</x:v>
      </x:c>
      <x:c r="Z27" s="100" t="str">
        <x:f>IF('Master'!AA741="","",'Master'!AA741)</x:f>
      </x:c>
      <x:c r="AA27" s="104" t="str">
        <x:f>IF('Master'!AB741="","",'Master'!AB741)</x:f>
      </x:c>
      <x:c r="AB27" s="100" t="str">
        <x:f>IF('Master'!AC741="","",'Master'!AC741)</x:f>
      </x:c>
      <x:c r="AC27" s="100" t="str">
        <x:f>IF('Master'!AD741="","",'Master'!AD741)</x:f>
      </x:c>
      <x:c r="AD27" s="100" t="str">
        <x:f>IF('Master'!AE741="","",'Master'!AE741)</x:f>
        <x:v>No core quality paywall verified</x:v>
      </x:c>
      <x:c r="AE27" s="100" t="str">
        <x:f>IF('Master'!AF741="","",'Master'!AF741)</x:f>
      </x:c>
      <x:c r="AF27" s="75" t="str">
        <x:f>IF('Master'!AG741="","",'Master'!AG741)</x:f>
      </x:c>
    </x:row>
    <x:row r="28" ht="36" customHeight="1">
      <x:c r="A28" s="135" t="str">
        <x:v>Larger File Uploads Paid?</x:v>
      </x:c>
      <x:c r="B28" s="100" t="str">
        <x:f>IF('Master'!C742="","",'Master'!C742)</x:f>
        <x:v>Yes — Nitro Basic / Nitro</x:v>
      </x:c>
      <x:c r="C28" s="100" t="str">
        <x:f>IF('Master'!D742="","",'Master'!D742)</x:f>
      </x:c>
      <x:c r="D28" s="100" t="str">
        <x:f>IF('Master'!E742="","",'Master'!E742)</x:f>
        <x:v>No central premium tier; operator-configurable</x:v>
      </x:c>
      <x:c r="E28" s="100" t="str">
        <x:f>IF('Master'!F742="","",'Master'!F742)</x:f>
      </x:c>
      <x:c r="F28" s="100" t="str">
        <x:f>IF('Master'!G742="","",'Master'!G742)</x:f>
        <x:v>Planned paid higher limits</x:v>
      </x:c>
      <x:c r="G28" s="100" t="str">
        <x:f>IF('Master'!H742="","",'Master'!H742)</x:f>
        <x:v>Yes — 25 MB free → 500 MB Plutonium</x:v>
      </x:c>
      <x:c r="H28" s="100" t="str">
        <x:f>IF('Master'!I742="","",'Master'!I742)</x:f>
        <x:v>Yes — 500 MB free → 10 GB Diamond</x:v>
      </x:c>
      <x:c r="I28" s="100" t="str">
        <x:f>IF('Master'!J742="","",'Master'!J742)</x:f>
        <x:v>Self-host/operator controlled</x:v>
      </x:c>
      <x:c r="J28" s="100" t="str">
        <x:f>IF('Master'!K742="","",'Master'!K742)</x:f>
      </x:c>
      <x:c r="K28" s="100" t="str">
        <x:f>IF('Master'!L742="","",'Master'!L742)</x:f>
        <x:v>No paid tier; official 15 MB limit is developer-reported and self-host quotas are configurable</x:v>
      </x:c>
      <x:c r="L28" s="100" t="str">
        <x:f>IF('Master'!M742="","",'Master'!M742)</x:f>
      </x:c>
      <x:c r="M28" s="100" t="str">
        <x:f>IF('Master'!N742="","",'Master'!N742)</x:f>
      </x:c>
      <x:c r="N28" s="100" t="str">
        <x:f>IF('Master'!O742="","",'Master'!O742)</x:f>
        <x:v>Homeserver/provider-dependent</x:v>
      </x:c>
      <x:c r="O28" s="100" t="str">
        <x:f>IF('Master'!P742="","",'Master'!P742)</x:f>
      </x:c>
      <x:c r="P28" s="100" t="str">
        <x:f>IF('Master'!Q742="","",'Master'!Q742)</x:f>
        <x:v>No — no premium plan</x:v>
      </x:c>
      <x:c r="Q28" s="100" t="str">
        <x:f>IF('Master'!R742="","",'Master'!R742)</x:f>
        <x:v>N/A</x:v>
      </x:c>
      <x:c r="R28" s="100" t="str">
        <x:f>IF('Master'!S742="","",'Master'!S742)</x:f>
        <x:v>No paid tier verified</x:v>
      </x:c>
      <x:c r="S28" s="100" t="str">
        <x:f>IF('Master'!T742="","",'Master'!T742)</x:f>
      </x:c>
      <x:c r="T28" s="100" t="str">
        <x:f>IF('Master'!U742="","",'Master'!U742)</x:f>
        <x:v>No paid tier; hard upload limit not publicly claimed</x:v>
      </x:c>
      <x:c r="U28" s="100" t="str">
        <x:f>IF('Master'!V742="","",'Master'!V742)</x:f>
        <x:v>Yes — 50 MB free → 300 MB Rift+ / 75–100 MB per member Shard tiers</x:v>
      </x:c>
      <x:c r="V28" s="100" t="str">
        <x:f>IF('Master'!W742="","",'Master'!W742)</x:f>
        <x:v>Deployment/admin configurable</x:v>
      </x:c>
      <x:c r="W28" s="100" t="str">
        <x:f>IF('Master'!X742="","",'Master'!X742)</x:f>
      </x:c>
      <x:c r="X28" s="100" t="str">
        <x:f>IF('Master'!Y742="","",'Master'!Y742)</x:f>
        <x:v>No higher paid file cap verified</x:v>
      </x:c>
      <x:c r="Y28" s="100" t="str">
        <x:f>IF('Master'!Z742="","",'Master'!Z742)</x:f>
        <x:v>No platform subscription; operator-configurable</x:v>
      </x:c>
      <x:c r="Z28" s="100" t="str">
        <x:f>IF('Master'!AA742="","",'Master'!AA742)</x:f>
      </x:c>
      <x:c r="AA28" s="104" t="str">
        <x:f>IF('Master'!AB742="","",'Master'!AB742)</x:f>
      </x:c>
      <x:c r="AB28" s="100" t="str">
        <x:f>IF('Master'!AC742="","",'Master'!AC742)</x:f>
      </x:c>
      <x:c r="AC28" s="100" t="str">
        <x:f>IF('Master'!AD742="","",'Master'!AD742)</x:f>
      </x:c>
      <x:c r="AD28" s="100" t="str">
        <x:f>IF('Master'!AE742="","",'Master'!AE742)</x:f>
      </x:c>
      <x:c r="AE28" s="100" t="str">
        <x:f>IF('Master'!AF742="","",'Master'!AF742)</x:f>
      </x:c>
      <x:c r="AF28" s="75" t="str">
        <x:f>IF('Master'!AG742="","",'Master'!AG742)</x:f>
        <x:v>Storage/history increase with paid cloud plans</x:v>
      </x:c>
    </x:row>
    <x:row r="29" ht="36" customHeight="1">
      <x:c r="A29" s="135" t="str">
        <x:v>Extra App / Bot Capacity Paid?</x:v>
      </x:c>
      <x:c r="B29" s="100" t="str">
        <x:f>IF('Master'!C743="","",'Master'!C743)</x:f>
        <x:v>No general Nitro requirement</x:v>
      </x:c>
      <x:c r="C29" s="100" t="str">
        <x:f>IF('Master'!D743="","",'Master'!D743)</x:f>
      </x:c>
      <x:c r="D29" s="100" t="str">
        <x:f>IF('Master'!E743="","",'Master'!E743)</x:f>
      </x:c>
      <x:c r="E29" s="100" t="str">
        <x:f>IF('Master'!F743="","",'Master'!F743)</x:f>
      </x:c>
      <x:c r="F29" s="100" t="str">
        <x:f>IF('Master'!G743="","",'Master'!G743)</x:f>
      </x:c>
      <x:c r="G29" s="100" t="str">
        <x:f>IF('Master'!H743="","",'Master'!H743)</x:f>
      </x:c>
      <x:c r="H29" s="100" t="str">
        <x:f>IF('Master'!I743="","",'Master'!I743)</x:f>
      </x:c>
      <x:c r="I29" s="100" t="str">
        <x:f>IF('Master'!J743="","",'Master'!J743)</x:f>
      </x:c>
      <x:c r="J29" s="100" t="str">
        <x:f>IF('Master'!K743="","",'Master'!K743)</x:f>
      </x:c>
      <x:c r="K29" s="100" t="str">
        <x:f>IF('Master'!L743="","",'Master'!L743)</x:f>
        <x:v>No paid app/bot capacity tier documented</x:v>
      </x:c>
      <x:c r="L29" s="100" t="str">
        <x:f>IF('Master'!M743="","",'Master'!M743)</x:f>
      </x:c>
      <x:c r="M29" s="100" t="str">
        <x:f>IF('Master'!N743="","",'Master'!N743)</x:f>
      </x:c>
      <x:c r="N29" s="100" t="str">
        <x:f>IF('Master'!O743="","",'Master'!O743)</x:f>
        <x:v>Provider-dependent</x:v>
      </x:c>
      <x:c r="O29" s="100" t="str">
        <x:f>IF('Master'!P743="","",'Master'!P743)</x:f>
        <x:v>Enterprise/deployment-dependent</x:v>
      </x:c>
      <x:c r="P29" s="100" t="str">
        <x:f>IF('Master'!Q743="","",'Master'!Q743)</x:f>
        <x:v>No subscription paywall verified</x:v>
      </x:c>
      <x:c r="Q29" s="100" t="str">
        <x:f>IF('Master'!R743="","",'Master'!R743)</x:f>
      </x:c>
      <x:c r="R29" s="100" t="str">
        <x:f>IF('Master'!S743="","",'Master'!S743)</x:f>
      </x:c>
      <x:c r="S29" s="100" t="str">
        <x:f>IF('Master'!T743="","",'Master'!T743)</x:f>
      </x:c>
      <x:c r="T29" s="100" t="str">
        <x:f>IF('Master'!U743="","",'Master'!U743)</x:f>
        <x:v>No public bot API or paid app-capacity tier</x:v>
      </x:c>
      <x:c r="U29" s="100" t="str">
        <x:f>IF('Master'!V743="","",'Master'!V743)</x:f>
        <x:v>Webhook/community capacity increases by Shard tier</x:v>
      </x:c>
      <x:c r="V29" s="100" t="str">
        <x:f>IF('Master'!W743="","",'Master'!W743)</x:f>
        <x:v>Plan/deployment-dependent</x:v>
      </x:c>
      <x:c r="W29" s="100" t="str">
        <x:f>IF('Master'!X743="","",'Master'!X743)</x:f>
      </x:c>
      <x:c r="X29" s="100" t="str">
        <x:f>IF('Master'!Y743="","",'Master'!Y743)</x:f>
        <x:v>Yes / community Core model can affect hosted app capacity</x:v>
      </x:c>
      <x:c r="Y29" s="100" t="str">
        <x:f>IF('Master'!Z743="","",'Master'!Z743)</x:f>
      </x:c>
      <x:c r="Z29" s="100" t="str">
        <x:f>IF('Master'!AA743="","",'Master'!AA743)</x:f>
      </x:c>
      <x:c r="AA29" s="104" t="str">
        <x:f>IF('Master'!AB743="","",'Master'!AB743)</x:f>
      </x:c>
      <x:c r="AB29" s="100" t="str">
        <x:f>IF('Master'!AC743="","",'Master'!AC743)</x:f>
      </x:c>
      <x:c r="AC29" s="100" t="str">
        <x:f>IF('Master'!AD743="","",'Master'!AD743)</x:f>
      </x:c>
      <x:c r="AD29" s="100" t="str">
        <x:f>IF('Master'!AE743="","",'Master'!AE743)</x:f>
        <x:v>Owning/customizing a lobby is paid</x:v>
      </x:c>
      <x:c r="AE29" s="100" t="str">
        <x:f>IF('Master'!AF743="","",'Master'!AF743)</x:f>
      </x:c>
      <x:c r="AF29" s="75" t="str">
        <x:f>IF('Master'!AG743="","",'Master'!AG743)</x:f>
      </x:c>
    </x:row>
    <x:row r="30" ht="36" customHeight="1">
      <x:c r="A30" s="135" t="str">
        <x:v>Analytics Paid?</x:v>
      </x:c>
      <x:c r="B30" s="100" t="str">
        <x:f>IF('Master'!C744="","",'Master'!C744)</x:f>
        <x:v>No general Nitro requirement / community tools</x:v>
      </x:c>
      <x:c r="C30" s="100" t="str">
        <x:f>IF('Master'!D744="","",'Master'!D744)</x:f>
      </x:c>
      <x:c r="D30" s="100" t="str">
        <x:f>IF('Master'!E744="","",'Master'!E744)</x:f>
      </x:c>
      <x:c r="E30" s="100" t="str">
        <x:f>IF('Master'!F744="","",'Master'!F744)</x:f>
      </x:c>
      <x:c r="F30" s="100" t="str">
        <x:f>IF('Master'!G744="","",'Master'!G744)</x:f>
      </x:c>
      <x:c r="G30" s="100" t="str">
        <x:f>IF('Master'!H744="","",'Master'!H744)</x:f>
      </x:c>
      <x:c r="H30" s="100" t="str">
        <x:f>IF('Master'!I744="","",'Master'!I744)</x:f>
      </x:c>
      <x:c r="I30" s="100" t="str">
        <x:f>IF('Master'!J744="","",'Master'!J744)</x:f>
      </x:c>
      <x:c r="J30" s="100" t="str">
        <x:f>IF('Master'!K744="","",'Master'!K744)</x:f>
      </x:c>
      <x:c r="K30" s="100" t="str">
        <x:f>IF('Master'!L744="","",'Master'!L744)</x:f>
        <x:v>No paid analytics tier documented</x:v>
      </x:c>
      <x:c r="L30" s="100" t="str">
        <x:f>IF('Master'!M744="","",'Master'!M744)</x:f>
      </x:c>
      <x:c r="M30" s="100" t="str">
        <x:f>IF('Master'!N744="","",'Master'!N744)</x:f>
      </x:c>
      <x:c r="N30" s="100" t="str">
        <x:f>IF('Master'!O744="","",'Master'!O744)</x:f>
        <x:v>Provider-dependent</x:v>
      </x:c>
      <x:c r="O30" s="100" t="str">
        <x:f>IF('Master'!P744="","",'Master'!P744)</x:f>
        <x:v>Yes — advanced enterprise analytics/admin features</x:v>
      </x:c>
      <x:c r="P30" s="100" t="str">
        <x:f>IF('Master'!Q744="","",'Master'!Q744)</x:f>
        <x:v>No premium communication tier</x:v>
      </x:c>
      <x:c r="Q30" s="100" t="str">
        <x:f>IF('Master'!R744="","",'Master'!R744)</x:f>
      </x:c>
      <x:c r="R30" s="100" t="str">
        <x:f>IF('Master'!S744="","",'Master'!S744)</x:f>
      </x:c>
      <x:c r="S30" s="100" t="str">
        <x:f>IF('Master'!T744="","",'Master'!T744)</x:f>
      </x:c>
      <x:c r="T30" s="100" t="str">
        <x:f>IF('Master'!U744="","",'Master'!U744)</x:f>
        <x:v>No paid tier</x:v>
      </x:c>
      <x:c r="U30" s="100" t="str">
        <x:f>IF('Master'!V744="","",'Master'!V744)</x:f>
        <x:v>Yes — Shard tiers add analytics</x:v>
      </x:c>
      <x:c r="V30" s="100" t="str">
        <x:f>IF('Master'!W744="","",'Master'!W744)</x:f>
        <x:v>Enterprise/admin features vary by plan</x:v>
      </x:c>
      <x:c r="W30" s="100" t="str">
        <x:f>IF('Master'!X744="","",'Master'!X744)</x:f>
      </x:c>
      <x:c r="X30" s="100" t="str">
        <x:f>IF('Master'!Y744="","",'Master'!Y744)</x:f>
      </x:c>
      <x:c r="Y30" s="100" t="str">
        <x:f>IF('Master'!Z744="","",'Master'!Z744)</x:f>
      </x:c>
      <x:c r="Z30" s="100" t="str">
        <x:f>IF('Master'!AA744="","",'Master'!AA744)</x:f>
      </x:c>
      <x:c r="AA30" s="104" t="str">
        <x:f>IF('Master'!AB744="","",'Master'!AB744)</x:f>
      </x:c>
      <x:c r="AB30" s="100" t="str">
        <x:f>IF('Master'!AC744="","",'Master'!AC744)</x:f>
      </x:c>
      <x:c r="AC30" s="100" t="str">
        <x:f>IF('Master'!AD744="","",'Master'!AD744)</x:f>
      </x:c>
      <x:c r="AD30" s="100" t="str">
        <x:f>IF('Master'!AE744="","",'Master'!AE744)</x:f>
      </x:c>
      <x:c r="AE30" s="100" t="str">
        <x:f>IF('Master'!AF744="","",'Master'!AF744)</x:f>
      </x:c>
      <x:c r="AF30" s="75" t="str">
        <x:f>IF('Master'!AG744="","",'Master'!AG744)</x:f>
        <x:v>Advanced organization/admin capabilities vary by plan</x:v>
      </x:c>
    </x:row>
    <x:row r="31" ht="36" customHeight="1">
      <x:c r="A31" s="135" t="str">
        <x:v>Advanced Moderation Paid?</x:v>
      </x:c>
      <x:c r="B31" s="100" t="str">
        <x:f>IF('Master'!C745="","",'Master'!C745)</x:f>
        <x:v>No — core moderation/AutoMod is not a Nitro entitlement</x:v>
      </x:c>
      <x:c r="C31" s="100" t="str">
        <x:f>IF('Master'!D745="","",'Master'!D745)</x:f>
      </x:c>
      <x:c r="D31" s="100" t="str">
        <x:f>IF('Master'!E745="","",'Master'!E745)</x:f>
      </x:c>
      <x:c r="E31" s="100" t="str">
        <x:f>IF('Master'!F745="","",'Master'!F745)</x:f>
      </x:c>
      <x:c r="F31" s="100" t="str">
        <x:f>IF('Master'!G745="","",'Master'!G745)</x:f>
      </x:c>
      <x:c r="G31" s="100" t="str">
        <x:f>IF('Master'!H745="","",'Master'!H745)</x:f>
      </x:c>
      <x:c r="H31" s="100" t="str">
        <x:f>IF('Master'!I745="","",'Master'!I745)</x:f>
      </x:c>
      <x:c r="I31" s="100" t="str">
        <x:f>IF('Master'!J745="","",'Master'!J745)</x:f>
      </x:c>
      <x:c r="J31" s="100" t="str">
        <x:f>IF('Master'!K745="","",'Master'!K745)</x:f>
      </x:c>
      <x:c r="K31" s="100" t="str">
        <x:f>IF('Master'!L745="","",'Master'!L745)</x:f>
        <x:v>No paid advanced-moderation tier documented</x:v>
      </x:c>
      <x:c r="L31" s="100" t="str">
        <x:f>IF('Master'!M745="","",'Master'!M745)</x:f>
      </x:c>
      <x:c r="M31" s="100" t="str">
        <x:f>IF('Master'!N745="","",'Master'!N745)</x:f>
      </x:c>
      <x:c r="N31" s="100" t="str">
        <x:f>IF('Master'!O745="","",'Master'!O745)</x:f>
        <x:v>Provider-dependent</x:v>
      </x:c>
      <x:c r="O31" s="100" t="str">
        <x:f>IF('Master'!P745="","",'Master'!P745)</x:f>
        <x:v>Enterprise governance/compliance features paid</x:v>
      </x:c>
      <x:c r="P31" s="100" t="str">
        <x:f>IF('Master'!Q745="","",'Master'!Q745)</x:f>
        <x:v>No premium communication tier</x:v>
      </x:c>
      <x:c r="Q31" s="100" t="str">
        <x:f>IF('Master'!R745="","",'Master'!R745)</x:f>
        <x:v>No — ACLs are core</x:v>
      </x:c>
      <x:c r="R31" s="100" t="str">
        <x:f>IF('Master'!S745="","",'Master'!S745)</x:f>
      </x:c>
      <x:c r="S31" s="100" t="str">
        <x:f>IF('Master'!T745="","",'Master'!T745)</x:f>
      </x:c>
      <x:c r="T31" s="100" t="str">
        <x:f>IF('Master'!U745="","",'Master'!U745)</x:f>
        <x:v>No paid tier</x:v>
      </x:c>
      <x:c r="U31" s="100" t="str">
        <x:f>IF('Master'!V745="","",'Master'!V745)</x:f>
        <x:v>No — safety/moderation remains free</x:v>
      </x:c>
      <x:c r="V31" s="100" t="str">
        <x:f>IF('Master'!W745="","",'Master'!W745)</x:f>
        <x:v>Enterprise governance features vary by plan</x:v>
      </x:c>
      <x:c r="W31" s="100" t="str">
        <x:f>IF('Master'!X745="","",'Master'!X745)</x:f>
      </x:c>
      <x:c r="X31" s="100" t="str">
        <x:f>IF('Master'!Y745="","",'Master'!Y745)</x:f>
        <x:v>No evidence core moderation is Sudo-gated</x:v>
      </x:c>
      <x:c r="Y31" s="100" t="str">
        <x:f>IF('Master'!Z745="","",'Master'!Z745)</x:f>
      </x:c>
      <x:c r="Z31" s="100" t="str">
        <x:f>IF('Master'!AA745="","",'Master'!AA745)</x:f>
      </x:c>
      <x:c r="AA31" s="104" t="str">
        <x:f>IF('Master'!AB745="","",'Master'!AB745)</x:f>
        <x:v>Core permissions available; enterprise options separate</x:v>
      </x:c>
      <x:c r="AB31" s="100" t="str">
        <x:f>IF('Master'!AC745="","",'Master'!AC745)</x:f>
      </x:c>
      <x:c r="AC31" s="100" t="str">
        <x:f>IF('Master'!AD745="","",'Master'!AD745)</x:f>
      </x:c>
      <x:c r="AD31" s="100" t="str">
        <x:f>IF('Master'!AE745="","",'Master'!AE745)</x:f>
      </x:c>
      <x:c r="AE31" s="100" t="str">
        <x:f>IF('Master'!AF745="","",'Master'!AF745)</x:f>
      </x:c>
      <x:c r="AF31" s="75" t="str">
        <x:f>IF('Master'!AG745="","",'Master'!AG745)</x:f>
        <x:v>Some enterprise/admin functionality is plan-dependent</x:v>
      </x:c>
    </x:row>
    <x:row r="32" ht="22" customHeight="1">
      <x:c r="A32" s="138" t="str">
        <x:v>Source &amp; Notes</x:v>
      </x:c>
      <x:c r="B32" s="138" t="str">
        <x:f>IF(""="","","")</x:f>
      </x:c>
      <x:c r="C32" s="138" t="str">
        <x:f>IF(""="","","")</x:f>
      </x:c>
      <x:c r="D32" s="138" t="str">
        <x:f>IF(""="","","")</x:f>
      </x:c>
      <x:c r="E32" s="138" t="str">
        <x:f>IF(""="","","")</x:f>
      </x:c>
      <x:c r="F32" s="138" t="str">
        <x:f>IF(""="","","")</x:f>
      </x:c>
      <x:c r="G32" s="138" t="str">
        <x:f>IF(""="","","")</x:f>
      </x:c>
      <x:c r="H32" s="138" t="str">
        <x:f>IF(""="","","")</x:f>
      </x:c>
      <x:c r="I32" s="138" t="str">
        <x:f>IF(""="","","")</x:f>
      </x:c>
      <x:c r="J32" s="138" t="str">
        <x:f>IF(""="","","")</x:f>
      </x:c>
      <x:c r="K32" s="138" t="str">
        <x:f>IF(""="","","")</x:f>
      </x:c>
      <x:c r="L32" s="138" t="str">
        <x:f>IF(""="","","")</x:f>
      </x:c>
      <x:c r="M32" s="138" t="str">
        <x:f>IF(""="","","")</x:f>
      </x:c>
      <x:c r="N32" s="138" t="str">
        <x:f>IF(""="","","")</x:f>
      </x:c>
      <x:c r="O32" s="138" t="str">
        <x:f>IF(""="","","")</x:f>
      </x:c>
      <x:c r="P32" s="138" t="str">
        <x:f>IF(""="","","")</x:f>
      </x:c>
      <x:c r="Q32" s="138" t="str">
        <x:f>IF(""="","","")</x:f>
      </x:c>
      <x:c r="R32" s="138" t="str">
        <x:f>IF(""="","","")</x:f>
      </x:c>
      <x:c r="S32" s="138" t="str">
        <x:f>IF(""="","","")</x:f>
      </x:c>
      <x:c r="T32" s="138" t="str">
        <x:f>IF(""="","","")</x:f>
      </x:c>
      <x:c r="U32" s="138" t="str">
        <x:f>IF(""="","","")</x:f>
      </x:c>
      <x:c r="V32" s="138" t="str">
        <x:f>IF(""="","","")</x:f>
      </x:c>
      <x:c r="W32" s="138" t="str">
        <x:f>IF(""="","","")</x:f>
      </x:c>
      <x:c r="X32" s="138" t="str">
        <x:f>IF(""="","","")</x:f>
      </x:c>
      <x:c r="Y32" s="138" t="str">
        <x:f>IF(""="","","")</x:f>
      </x:c>
      <x:c r="Z32" s="138" t="str">
        <x:f>IF(""="","","")</x:f>
      </x:c>
      <x:c r="AA32" s="138" t="str">
        <x:f>IF(""="","","")</x:f>
      </x:c>
      <x:c r="AB32" s="138" t="str">
        <x:f>IF(""="","","")</x:f>
      </x:c>
      <x:c r="AC32" s="138" t="str">
        <x:f>IF(""="","","")</x:f>
      </x:c>
      <x:c r="AD32" s="138" t="str">
        <x:f>IF(""="","","")</x:f>
      </x:c>
      <x:c r="AE32" s="138" t="str">
        <x:f>IF(""="","","")</x:f>
      </x:c>
      <x:c r="AF32" s="139" t="str">
        <x:f>IF(""="","","")</x:f>
      </x:c>
    </x:row>
    <x:row r="33" ht="36" customHeight="1">
      <x:c r="A33" s="135" t="str">
        <x:v>Entitlement Notes</x:v>
      </x:c>
      <x:c r="B33" s="100" t="str">
        <x:f>IF('Master'!C746="","",'Master'!C746)</x:f>
        <x:v>Discord splits personal Nitro entitlements from server-wide Boost entitlements.</x:v>
      </x:c>
      <x:c r="C33" s="100" t="str">
        <x:f>IF('Master'!D746="","",'Master'!D746)</x:f>
        <x:v>No central paid entitlement system; relay/provider costs are separate.</x:v>
      </x:c>
      <x:c r="D33" s="100" t="str">
        <x:f>IF('Master'!E746="","",'Master'!E746)</x:f>
        <x:v>AGPL/self-host model; limits are operator/configuration concerns.</x:v>
      </x:c>
      <x:c r="E33" s="100" t="str">
        <x:f>IF('Master'!F746="","",'Master'!F746)</x:f>
        <x:v>No public premium entitlement schedule verified.</x:v>
      </x:c>
      <x:c r="F33" s="100" t="str">
        <x:f>IF('Master'!G746="","",'Master'!G746)</x:f>
        <x:v>Fenrid is alpha; tier benefits are planned and may change before stable release.</x:v>
      </x:c>
      <x:c r="G33" s="100" t="str">
        <x:f>IF('Master'!H746="","",'Master'!H746)</x:f>
        <x:v>Plutonium is primarily a personal premium tier; self-hosting remains free/open source.</x:v>
      </x:c>
      <x:c r="H33" s="100" t="str">
        <x:f>IF('Master'!I746="","",'Master'!I746)</x:f>
        <x:v>Premium tiers are server-wide; all members benefit from the selected server tier.</x:v>
      </x:c>
      <x:c r="I33" s="100" t="str">
        <x:f>IF('Master'!J746="","",'Master'!J746)</x:f>
        <x:v>Open-source/self-host model; no central premium entitlement system.</x:v>
      </x:c>
      <x:c r="J33" s="100" t="str">
        <x:f>IF('Master'!K746="","",'Master'!K746)</x:f>
        <x:v>No central paid entitlement system; open-source/local-first.</x:v>
      </x:c>
      <x:c r="K33" s="100" t="str">
        <x:f>IF('Master'!L746="","",'Master'!L746)</x:f>
        <x:v>Core/self-host features are not split into paid tiers today</x:v>
      </x:c>
      <x:c r="L33" s="100" t="str">
        <x:f>IF('Master'!M746="","",'Master'!M746)</x:f>
        <x:v>No public premium entitlement schedule verified.</x:v>
      </x:c>
      <x:c r="M33" s="100" t="str">
        <x:f>IF('Master'!N746="","",'Master'!N746)</x:f>
        <x:v>Open beta; fixed premium entitlements not verified.</x:v>
      </x:c>
      <x:c r="N33" s="100" t="str">
        <x:f>IF('Master'!O746="","",'Master'!O746)</x:f>
        <x:v>Matrix has no universal paid tier. Entitlements belong to a homeserver provider or client vendor, not the protocol.</x:v>
      </x:c>
      <x:c r="O33" s="100" t="str">
        <x:f>IF('Master'!P746="","",'Master'!P746)</x:f>
        <x:v>Paid differentiation is enterprise governance/workflow/support, not gaming cosmetics.</x:v>
      </x:c>
      <x:c r="P33" s="100" t="str">
        <x:f>IF('Master'!Q746="","",'Master'!Q746)</x:f>
        <x:v>Official FAQ says communication features are free with no premium plan/paywall.</x:v>
      </x:c>
      <x:c r="Q33" s="100" t="str">
        <x:f>IF('Master'!R746="","",'Master'!R746)</x:f>
        <x:v>No Nitro-style entitlement system.</x:v>
      </x:c>
      <x:c r="R33" s="100" t="str">
        <x:f>IF('Master'!S746="","",'Master'!S746)</x:f>
        <x:v>Donation-funded; no premium entitlement tier verified.</x:v>
      </x:c>
      <x:c r="S33" s="100" t="str">
        <x:f>IF('Master'!T746="","",'Master'!T746)</x:f>
        <x:v>Public monetization/entitlement schedule is not sufficiently documented.</x:v>
      </x:c>
      <x:c r="T33" s="100" t="str">
        <x:f>IF('Master'!U746="","",'Master'!U746)</x:f>
        <x:v>Hosted service is free; donations unlock nothing. Built-in themes/accessibility settings are free; 1080p screen share is free.</x:v>
      </x:c>
      <x:c r="U33" s="100" t="str">
        <x:f>IF('Master'!V746="","",'Master'!V746)</x:f>
        <x:v>Rift separates personal Rift+ entitlements from community-wide Shard Ember/Forge entitlements.</x:v>
      </x:c>
      <x:c r="V33" s="100" t="str">
        <x:f>IF('Master'!W746="","",'Master'!W746)</x:f>
        <x:v>Paid differentiation is commercial deployment/support/security rather than Nitro-style cosmetics.</x:v>
      </x:c>
      <x:c r="W33" s="100" t="str">
        <x:f>IF('Master'!X746="","",'Master'!X746)</x:f>
        <x:v>No Roomy-specific paid entitlement system verified.</x:v>
      </x:c>
      <x:c r="X33" s="100" t="str">
        <x:f>IF('Master'!Y746="","",'Master'!Y746)</x:f>
        <x:v>Sudo is user-level; Cores are community resources. They should not be conflated.</x:v>
      </x:c>
      <x:c r="Y33" s="100" t="str">
        <x:f>IF('Master'!Z746="","",'Master'!Z746)</x:f>
        <x:v>Self-host operator sets limits; no central premium tier.</x:v>
      </x:c>
      <x:c r="Z33" s="100" t="str">
        <x:f>IF('Master'!AA746="","",'Master'!AA746)</x:f>
      </x:c>
      <x:c r="AA33" s="104" t="str">
        <x:f>IF('Master'!AB746="","",'Master'!AB746)</x:f>
        <x:v>Paid model centers on server slots/licensing rather than per-user cosmetic entitlements.</x:v>
      </x:c>
      <x:c r="AB33" s="100" t="str">
        <x:f>IF('Master'!AC746="","",'Master'!AC746)</x:f>
        <x:v>Stargazer supporter subscription exists; current public price/caps were not verified.</x:v>
      </x:c>
      <x:c r="AC33" s="100" t="str">
        <x:f>IF('Master'!AD746="","",'Master'!AD746)</x:f>
        <x:v>Early project; premium feature gating not publicly defined.</x:v>
      </x:c>
      <x:c r="AD33" s="100" t="str">
        <x:f>IF('Master'!AE746="","",'Master'!AE746)</x:f>
        <x:v>Using existing lobbies is free; operating your own lobby is the paid distinction.</x:v>
      </x:c>
      <x:c r="AE33" s="100" t="str">
        <x:f>IF('Master'!AF746="","",'Master'!AF746)</x:f>
        <x:v>Monetization is licensing/managed hosting, not Nitro-style cosmetics.</x:v>
      </x:c>
      <x:c r="AF33" s="75" t="str">
        <x:f>IF('Master'!AG746="","",'Master'!AG746)</x:f>
        <x:v>Paid tiers focus on history, storage, support, compliance and admin features rather than cosmetics.</x:v>
      </x:c>
    </x:row>
    <x:row r="34" ht="22" customHeight="1">
      <x:c r="A34" s="138" t="str">
        <x:v>Additional Entitlements</x:v>
      </x:c>
      <x:c r="B34" s="138" t="str">
        <x:f>IF(""="","","")</x:f>
      </x:c>
      <x:c r="C34" s="138" t="str">
        <x:f>IF(""="","","")</x:f>
      </x:c>
      <x:c r="D34" s="138" t="str">
        <x:f>IF(""="","","")</x:f>
      </x:c>
      <x:c r="E34" s="138" t="str">
        <x:f>IF(""="","","")</x:f>
      </x:c>
      <x:c r="F34" s="138" t="str">
        <x:f>IF(""="","","")</x:f>
      </x:c>
      <x:c r="G34" s="138" t="str">
        <x:f>IF(""="","","")</x:f>
      </x:c>
      <x:c r="H34" s="138" t="str">
        <x:f>IF(""="","","")</x:f>
      </x:c>
      <x:c r="I34" s="138" t="str">
        <x:f>IF(""="","","")</x:f>
      </x:c>
      <x:c r="J34" s="138" t="str">
        <x:f>IF(""="","","")</x:f>
      </x:c>
      <x:c r="K34" s="138" t="str">
        <x:f>IF(""="","","")</x:f>
      </x:c>
      <x:c r="L34" s="138" t="str">
        <x:f>IF(""="","","")</x:f>
      </x:c>
      <x:c r="M34" s="138" t="str">
        <x:f>IF(""="","","")</x:f>
      </x:c>
      <x:c r="N34" s="138" t="str">
        <x:f>IF(""="","","")</x:f>
      </x:c>
      <x:c r="O34" s="138" t="str">
        <x:f>IF(""="","","")</x:f>
      </x:c>
      <x:c r="P34" s="138" t="str">
        <x:f>IF(""="","","")</x:f>
      </x:c>
      <x:c r="Q34" s="138" t="str">
        <x:f>IF(""="","","")</x:f>
      </x:c>
      <x:c r="R34" s="138" t="str">
        <x:f>IF(""="","","")</x:f>
      </x:c>
      <x:c r="S34" s="138" t="str">
        <x:f>IF(""="","","")</x:f>
      </x:c>
      <x:c r="T34" s="138" t="str">
        <x:f>IF(""="","","")</x:f>
      </x:c>
      <x:c r="U34" s="138" t="str">
        <x:f>IF(""="","","")</x:f>
      </x:c>
      <x:c r="V34" s="138" t="str">
        <x:f>IF(""="","","")</x:f>
      </x:c>
      <x:c r="W34" s="138" t="str">
        <x:f>IF(""="","","")</x:f>
      </x:c>
      <x:c r="X34" s="138" t="str">
        <x:f>IF(""="","","")</x:f>
      </x:c>
      <x:c r="Y34" s="138" t="str">
        <x:f>IF(""="","","")</x:f>
      </x:c>
      <x:c r="Z34" s="138" t="str">
        <x:f>IF(""="","","")</x:f>
      </x:c>
      <x:c r="AA34" s="138" t="str">
        <x:f>IF(""="","","")</x:f>
      </x:c>
      <x:c r="AB34" s="138" t="str">
        <x:f>IF(""="","","")</x:f>
      </x:c>
      <x:c r="AC34" s="138" t="str">
        <x:f>IF(""="","","")</x:f>
      </x:c>
      <x:c r="AD34" s="138" t="str">
        <x:f>IF(""="","","")</x:f>
      </x:c>
      <x:c r="AE34" s="138" t="str">
        <x:f>IF(""="","","")</x:f>
      </x:c>
      <x:c r="AF34" s="139" t="str">
        <x:f>IF(""="","","")</x:f>
      </x:c>
    </x:row>
    <x:row r="35" ht="36" customHeight="1">
      <x:c r="A35" s="135" t="str">
        <x:v>Saved Layouts / Workspaces Available?</x:v>
      </x:c>
      <x:c r="B35" s="100" t="str">
        <x:f>IF('Master'!C747="","",'Master'!C747)</x:f>
        <x:v>No general feature</x:v>
      </x:c>
      <x:c r="C35" s="100" t="str">
        <x:f>IF('Master'!D747="","",'Master'!D747)</x:f>
      </x:c>
      <x:c r="D35" s="100" t="str">
        <x:f>IF('Master'!E747="","",'Master'!E747)</x:f>
      </x:c>
      <x:c r="E35" s="100" t="str">
        <x:f>IF('Master'!F747="","",'Master'!F747)</x:f>
      </x:c>
      <x:c r="F35" s="100" t="str">
        <x:f>IF('Master'!G747="","",'Master'!G747)</x:f>
      </x:c>
      <x:c r="G35" s="100" t="str">
        <x:f>IF('Master'!H747="","",'Master'!H747)</x:f>
      </x:c>
      <x:c r="H35" s="100" t="str">
        <x:f>IF('Master'!I747="","",'Master'!I747)</x:f>
      </x:c>
      <x:c r="I35" s="100" t="str">
        <x:f>IF('Master'!J747="","",'Master'!J747)</x:f>
      </x:c>
      <x:c r="J35" s="100" t="str">
        <x:f>IF('Master'!K747="","",'Master'!K747)</x:f>
      </x:c>
      <x:c r="K35" s="100" t="str">
        <x:f>IF('Master'!L747="","",'Master'!L747)</x:f>
        <x:v>No saved multi-panel workspace/layout system documented</x:v>
      </x:c>
      <x:c r="L35" s="100" t="str">
        <x:f>IF('Master'!M747="","",'Master'!M747)</x:f>
      </x:c>
      <x:c r="M35" s="100" t="str">
        <x:f>IF('Master'!N747="","",'Master'!N747)</x:f>
      </x:c>
      <x:c r="N35" s="100" t="str">
        <x:f>IF('Master'!O747="","",'Master'!O747)</x:f>
      </x:c>
      <x:c r="O35" s="100" t="str">
        <x:f>IF('Master'!P747="","",'Master'!P747)</x:f>
      </x:c>
      <x:c r="P35" s="100" t="str">
        <x:f>IF('Master'!Q747="","",'Master'!Q747)</x:f>
      </x:c>
      <x:c r="Q35" s="100" t="str">
        <x:f>IF('Master'!R747="","",'Master'!R747)</x:f>
      </x:c>
      <x:c r="R35" s="100" t="str">
        <x:f>IF('Master'!S747="","",'Master'!S747)</x:f>
      </x:c>
      <x:c r="S35" s="100" t="str">
        <x:f>IF('Master'!T747="","",'Master'!T747)</x:f>
      </x:c>
      <x:c r="T35" s="100" t="str">
        <x:f>IF('Master'!U747="","",'Master'!U747)</x:f>
      </x:c>
      <x:c r="U35" s="100" t="str">
        <x:f>IF('Master'!V747="","",'Master'!V747)</x:f>
        <x:v>Yes</x:v>
      </x:c>
      <x:c r="V35" s="100" t="str">
        <x:f>IF('Master'!W747="","",'Master'!W747)</x:f>
      </x:c>
      <x:c r="W35" s="100" t="str">
        <x:f>IF('Master'!X747="","",'Master'!X747)</x:f>
      </x:c>
      <x:c r="X35" s="100" t="str">
        <x:f>IF('Master'!Y747="","",'Master'!Y747)</x:f>
      </x:c>
      <x:c r="Y35" s="100" t="str">
        <x:f>IF('Master'!Z747="","",'Master'!Z747)</x:f>
      </x:c>
      <x:c r="Z35" s="100" t="str">
        <x:f>IF('Master'!AA747="","",'Master'!AA747)</x:f>
      </x:c>
      <x:c r="AA35" s="104" t="str">
        <x:f>IF('Master'!AB747="","",'Master'!AB747)</x:f>
      </x:c>
      <x:c r="AB35" s="100" t="str">
        <x:f>IF('Master'!AC747="","",'Master'!AC747)</x:f>
      </x:c>
      <x:c r="AC35" s="100" t="str">
        <x:f>IF('Master'!AD747="","",'Master'!AD747)</x:f>
      </x:c>
      <x:c r="AD35" s="100" t="str">
        <x:f>IF('Master'!AE747="","",'Master'!AE747)</x:f>
      </x:c>
      <x:c r="AE35" s="100" t="str">
        <x:f>IF('Master'!AF747="","",'Master'!AF747)</x:f>
      </x:c>
      <x:c r="AF35" s="75" t="str">
        <x:f>IF('Master'!AG747="","",'Master'!AG747)</x:f>
      </x:c>
    </x:row>
    <x:row r="36" ht="36" customHeight="1">
      <x:c r="A36" s="135" t="str">
        <x:v>Saved Layouts / Workspaces Access</x:v>
      </x:c>
      <x:c r="B36" s="100" t="str">
        <x:f>IF('Master'!C748="","",'Master'!C748)</x:f>
        <x:v>N/A</x:v>
      </x:c>
      <x:c r="C36" s="100" t="str">
        <x:f>IF('Master'!D748="","",'Master'!D748)</x:f>
      </x:c>
      <x:c r="D36" s="100" t="str">
        <x:f>IF('Master'!E748="","",'Master'!E748)</x:f>
      </x:c>
      <x:c r="E36" s="100" t="str">
        <x:f>IF('Master'!F748="","",'Master'!F748)</x:f>
      </x:c>
      <x:c r="F36" s="100" t="str">
        <x:f>IF('Master'!G748="","",'Master'!G748)</x:f>
      </x:c>
      <x:c r="G36" s="100" t="str">
        <x:f>IF('Master'!H748="","",'Master'!H748)</x:f>
      </x:c>
      <x:c r="H36" s="100" t="str">
        <x:f>IF('Master'!I748="","",'Master'!I748)</x:f>
      </x:c>
      <x:c r="I36" s="100" t="str">
        <x:f>IF('Master'!J748="","",'Master'!J748)</x:f>
      </x:c>
      <x:c r="J36" s="100" t="str">
        <x:f>IF('Master'!K748="","",'Master'!K748)</x:f>
      </x:c>
      <x:c r="K36" s="100" t="str">
        <x:f>IF('Master'!L748="","",'Master'!L748)</x:f>
        <x:v>No saved multi-panel workspace/layout system documented</x:v>
      </x:c>
      <x:c r="L36" s="100" t="str">
        <x:f>IF('Master'!M748="","",'Master'!M748)</x:f>
      </x:c>
      <x:c r="M36" s="100" t="str">
        <x:f>IF('Master'!N748="","",'Master'!N748)</x:f>
      </x:c>
      <x:c r="N36" s="100" t="str">
        <x:f>IF('Master'!O748="","",'Master'!O748)</x:f>
      </x:c>
      <x:c r="O36" s="100" t="str">
        <x:f>IF('Master'!P748="","",'Master'!P748)</x:f>
      </x:c>
      <x:c r="P36" s="100" t="str">
        <x:f>IF('Master'!Q748="","",'Master'!Q748)</x:f>
      </x:c>
      <x:c r="Q36" s="100" t="str">
        <x:f>IF('Master'!R748="","",'Master'!R748)</x:f>
      </x:c>
      <x:c r="R36" s="100" t="str">
        <x:f>IF('Master'!S748="","",'Master'!S748)</x:f>
      </x:c>
      <x:c r="S36" s="100" t="str">
        <x:f>IF('Master'!T748="","",'Master'!T748)</x:f>
      </x:c>
      <x:c r="T36" s="100" t="str">
        <x:f>IF('Master'!U748="","",'Master'!U748)</x:f>
      </x:c>
      <x:c r="U36" s="100" t="str">
        <x:f>IF('Master'!V748="","",'Master'!V748)</x:f>
        <x:v>2 layouts free/ 8 layouts Rift +</x:v>
      </x:c>
      <x:c r="V36" s="100" t="str">
        <x:f>IF('Master'!W748="","",'Master'!W748)</x:f>
      </x:c>
      <x:c r="W36" s="100" t="str">
        <x:f>IF('Master'!X748="","",'Master'!X748)</x:f>
      </x:c>
      <x:c r="X36" s="100" t="str">
        <x:f>IF('Master'!Y748="","",'Master'!Y748)</x:f>
      </x:c>
      <x:c r="Y36" s="100" t="str">
        <x:f>IF('Master'!Z748="","",'Master'!Z748)</x:f>
      </x:c>
      <x:c r="Z36" s="100" t="str">
        <x:f>IF('Master'!AA748="","",'Master'!AA748)</x:f>
      </x:c>
      <x:c r="AA36" s="104" t="str">
        <x:f>IF('Master'!AB748="","",'Master'!AB748)</x:f>
      </x:c>
      <x:c r="AB36" s="100" t="str">
        <x:f>IF('Master'!AC748="","",'Master'!AC748)</x:f>
      </x:c>
      <x:c r="AC36" s="100" t="str">
        <x:f>IF('Master'!AD748="","",'Master'!AD748)</x:f>
      </x:c>
      <x:c r="AD36" s="100" t="str">
        <x:f>IF('Master'!AE748="","",'Master'!AE748)</x:f>
      </x:c>
      <x:c r="AE36" s="100" t="str">
        <x:f>IF('Master'!AF748="","",'Master'!AF748)</x:f>
      </x:c>
      <x:c r="AF36" s="75" t="str">
        <x:f>IF('Master'!AG748="","",'Master'!AG748)</x:f>
      </x:c>
    </x:row>
    <x:row r="37" ht="36" customHeight="1">
      <x:c r="A37" s="135" t="str">
        <x:v>Embedded Apps / Portals Available?</x:v>
      </x:c>
      <x:c r="B37" s="100" t="str">
        <x:f>IF('Master'!C749="","",'Master'!C749)</x:f>
        <x:v>Yes — Activities/apps</x:v>
      </x:c>
      <x:c r="C37" s="100" t="str">
        <x:f>IF('Master'!D749="","",'Master'!D749)</x:f>
      </x:c>
      <x:c r="D37" s="100" t="str">
        <x:f>IF('Master'!E749="","",'Master'!E749)</x:f>
      </x:c>
      <x:c r="E37" s="100" t="str">
        <x:f>IF('Master'!F749="","",'Master'!F749)</x:f>
      </x:c>
      <x:c r="F37" s="100" t="str">
        <x:f>IF('Master'!G749="","",'Master'!G749)</x:f>
      </x:c>
      <x:c r="G37" s="100" t="str">
        <x:f>IF('Master'!H749="","",'Master'!H749)</x:f>
      </x:c>
      <x:c r="H37" s="100" t="str">
        <x:f>IF('Master'!I749="","",'Master'!I749)</x:f>
      </x:c>
      <x:c r="I37" s="100" t="str">
        <x:f>IF('Master'!J749="","",'Master'!J749)</x:f>
      </x:c>
      <x:c r="J37" s="100" t="str">
        <x:f>IF('Master'!K749="","",'Master'!K749)</x:f>
      </x:c>
      <x:c r="K37" s="100" t="str">
        <x:f>IF('Master'!L749="","",'Master'!L749)</x:f>
        <x:v>No embedded-app/Portal runtime documented</x:v>
      </x:c>
      <x:c r="L37" s="100" t="str">
        <x:f>IF('Master'!M749="","",'Master'!M749)</x:f>
      </x:c>
      <x:c r="M37" s="100" t="str">
        <x:f>IF('Master'!N749="","",'Master'!N749)</x:f>
      </x:c>
      <x:c r="N37" s="100" t="str">
        <x:f>IF('Master'!O749="","",'Master'!O749)</x:f>
      </x:c>
      <x:c r="O37" s="100" t="str">
        <x:f>IF('Master'!P749="","",'Master'!P749)</x:f>
      </x:c>
      <x:c r="P37" s="100" t="str">
        <x:f>IF('Master'!Q749="","",'Master'!Q749)</x:f>
      </x:c>
      <x:c r="Q37" s="100" t="str">
        <x:f>IF('Master'!R749="","",'Master'!R749)</x:f>
      </x:c>
      <x:c r="R37" s="100" t="str">
        <x:f>IF('Master'!S749="","",'Master'!S749)</x:f>
      </x:c>
      <x:c r="S37" s="100" t="str">
        <x:f>IF('Master'!T749="","",'Master'!T749)</x:f>
      </x:c>
      <x:c r="T37" s="100" t="str">
        <x:f>IF('Master'!U749="","",'Master'!U749)</x:f>
      </x:c>
      <x:c r="U37" s="100" t="str">
        <x:f>IF('Master'!V749="","",'Master'!V749)</x:f>
        <x:v>Yes — Portals</x:v>
      </x:c>
      <x:c r="V37" s="100" t="str">
        <x:f>IF('Master'!W749="","",'Master'!W749)</x:f>
      </x:c>
      <x:c r="W37" s="100" t="str">
        <x:f>IF('Master'!X749="","",'Master'!X749)</x:f>
      </x:c>
      <x:c r="X37" s="100" t="str">
        <x:f>IF('Master'!Y749="","",'Master'!Y749)</x:f>
      </x:c>
      <x:c r="Y37" s="100" t="str">
        <x:f>IF('Master'!Z749="","",'Master'!Z749)</x:f>
      </x:c>
      <x:c r="Z37" s="100" t="str">
        <x:f>IF('Master'!AA749="","",'Master'!AA749)</x:f>
      </x:c>
      <x:c r="AA37" s="104" t="str">
        <x:f>IF('Master'!AB749="","",'Master'!AB749)</x:f>
      </x:c>
      <x:c r="AB37" s="100" t="str">
        <x:f>IF('Master'!AC749="","",'Master'!AC749)</x:f>
      </x:c>
      <x:c r="AC37" s="100" t="str">
        <x:f>IF('Master'!AD749="","",'Master'!AD749)</x:f>
      </x:c>
      <x:c r="AD37" s="100" t="str">
        <x:f>IF('Master'!AE749="","",'Master'!AE749)</x:f>
      </x:c>
      <x:c r="AE37" s="100" t="str">
        <x:f>IF('Master'!AF749="","",'Master'!AF749)</x:f>
      </x:c>
      <x:c r="AF37" s="75" t="str">
        <x:f>IF('Master'!AG749="","",'Master'!AG749)</x:f>
      </x:c>
    </x:row>
    <x:row r="38" ht="36" customHeight="1">
      <x:c r="A38" s="135" t="str">
        <x:v>Embedded Apps / Portals Access</x:v>
      </x:c>
      <x:c r="B38" s="100" t="str">
        <x:f>IF('Master'!C750="","",'Master'!C750)</x:f>
        <x:v>Many Activities free; app-specific monetization may apply</x:v>
      </x:c>
      <x:c r="C38" s="100" t="str">
        <x:f>IF('Master'!D750="","",'Master'!D750)</x:f>
      </x:c>
      <x:c r="D38" s="100" t="str">
        <x:f>IF('Master'!E750="","",'Master'!E750)</x:f>
      </x:c>
      <x:c r="E38" s="100" t="str">
        <x:f>IF('Master'!F750="","",'Master'!F750)</x:f>
      </x:c>
      <x:c r="F38" s="100" t="str">
        <x:f>IF('Master'!G750="","",'Master'!G750)</x:f>
      </x:c>
      <x:c r="G38" s="100" t="str">
        <x:f>IF('Master'!H750="","",'Master'!H750)</x:f>
      </x:c>
      <x:c r="H38" s="100" t="str">
        <x:f>IF('Master'!I750="","",'Master'!I750)</x:f>
      </x:c>
      <x:c r="I38" s="100" t="str">
        <x:f>IF('Master'!J750="","",'Master'!J750)</x:f>
      </x:c>
      <x:c r="J38" s="100" t="str">
        <x:f>IF('Master'!K750="","",'Master'!K750)</x:f>
      </x:c>
      <x:c r="K38" s="100" t="str">
        <x:f>IF('Master'!L750="","",'Master'!L750)</x:f>
        <x:v>No embedded-app/Portal runtime documented</x:v>
      </x:c>
      <x:c r="L38" s="100" t="str">
        <x:f>IF('Master'!M750="","",'Master'!M750)</x:f>
      </x:c>
      <x:c r="M38" s="100" t="str">
        <x:f>IF('Master'!N750="","",'Master'!N750)</x:f>
      </x:c>
      <x:c r="N38" s="100" t="str">
        <x:f>IF('Master'!O750="","",'Master'!O750)</x:f>
      </x:c>
      <x:c r="O38" s="100" t="str">
        <x:f>IF('Master'!P750="","",'Master'!P750)</x:f>
      </x:c>
      <x:c r="P38" s="100" t="str">
        <x:f>IF('Master'!Q750="","",'Master'!Q750)</x:f>
      </x:c>
      <x:c r="Q38" s="100" t="str">
        <x:f>IF('Master'!R750="","",'Master'!R750)</x:f>
      </x:c>
      <x:c r="R38" s="100" t="str">
        <x:f>IF('Master'!S750="","",'Master'!S750)</x:f>
      </x:c>
      <x:c r="S38" s="100" t="str">
        <x:f>IF('Master'!T750="","",'Master'!T750)</x:f>
      </x:c>
      <x:c r="T38" s="100" t="str">
        <x:f>IF('Master'!U750="","",'Master'!U750)</x:f>
      </x:c>
      <x:c r="U38" s="100" t="str">
        <x:f>IF('Master'!V750="","",'Master'!V750)</x:f>
        <x:v>Embedded Apps Free / Rift+ Studio</x:v>
      </x:c>
      <x:c r="V38" s="100" t="str">
        <x:f>IF('Master'!W750="","",'Master'!W750)</x:f>
      </x:c>
      <x:c r="W38" s="100" t="str">
        <x:f>IF('Master'!X750="","",'Master'!X750)</x:f>
      </x:c>
      <x:c r="X38" s="100" t="str">
        <x:f>IF('Master'!Y750="","",'Master'!Y750)</x:f>
      </x:c>
      <x:c r="Y38" s="100" t="str">
        <x:f>IF('Master'!Z750="","",'Master'!Z750)</x:f>
      </x:c>
      <x:c r="Z38" s="100" t="str">
        <x:f>IF('Master'!AA750="","",'Master'!AA750)</x:f>
      </x:c>
      <x:c r="AA38" s="104" t="str">
        <x:f>IF('Master'!AB750="","",'Master'!AB750)</x:f>
      </x:c>
      <x:c r="AB38" s="100" t="str">
        <x:f>IF('Master'!AC750="","",'Master'!AC750)</x:f>
      </x:c>
      <x:c r="AC38" s="100" t="str">
        <x:f>IF('Master'!AD750="","",'Master'!AD750)</x:f>
      </x:c>
      <x:c r="AD38" s="100" t="str">
        <x:f>IF('Master'!AE750="","",'Master'!AE750)</x:f>
      </x:c>
      <x:c r="AE38" s="100" t="str">
        <x:f>IF('Master'!AF750="","",'Master'!AF750)</x:f>
      </x:c>
      <x:c r="AF38" s="75" t="str">
        <x:f>IF('Master'!AG750="","",'Master'!AG750)</x:f>
      </x:c>
    </x:row>
    <x:row r="39" ht="36" customHeight="1">
      <x:c r="A39" s="135" t="str">
        <x:v>Giveaways / Leveling Paid?</x:v>
      </x:c>
      <x:c r="B39" s="100" t="str">
        <x:f>IF('Master'!C751="","",'Master'!C751)</x:f>
        <x:v>Via third-party apps/bots; app pricing varies</x:v>
      </x:c>
      <x:c r="C39" s="100" t="str">
        <x:f>IF('Master'!D751="","",'Master'!D751)</x:f>
      </x:c>
      <x:c r="D39" s="100" t="str">
        <x:f>IF('Master'!E751="","",'Master'!E751)</x:f>
      </x:c>
      <x:c r="E39" s="100" t="str">
        <x:f>IF('Master'!F751="","",'Master'!F751)</x:f>
      </x:c>
      <x:c r="F39" s="100" t="str">
        <x:f>IF('Master'!G751="","",'Master'!G751)</x:f>
      </x:c>
      <x:c r="G39" s="100" t="str">
        <x:f>IF('Master'!H751="","",'Master'!H751)</x:f>
      </x:c>
      <x:c r="H39" s="100" t="str">
        <x:f>IF('Master'!I751="","",'Master'!I751)</x:f>
      </x:c>
      <x:c r="I39" s="100" t="str">
        <x:f>IF('Master'!J751="","",'Master'!J751)</x:f>
      </x:c>
      <x:c r="J39" s="100" t="str">
        <x:f>IF('Master'!K751="","",'Master'!K751)</x:f>
      </x:c>
      <x:c r="K39" s="100" t="str">
        <x:f>IF('Master'!L751="","",'Master'!L751)</x:f>
        <x:v>No native leveling/giveaway monetization system documented</x:v>
      </x:c>
      <x:c r="L39" s="100" t="str">
        <x:f>IF('Master'!M751="","",'Master'!M751)</x:f>
      </x:c>
      <x:c r="M39" s="100" t="str">
        <x:f>IF('Master'!N751="","",'Master'!N751)</x:f>
      </x:c>
      <x:c r="N39" s="100" t="str">
        <x:f>IF('Master'!O751="","",'Master'!O751)</x:f>
      </x:c>
      <x:c r="O39" s="100" t="str">
        <x:f>IF('Master'!P751="","",'Master'!P751)</x:f>
      </x:c>
      <x:c r="P39" s="100" t="str">
        <x:f>IF('Master'!Q751="","",'Master'!Q751)</x:f>
      </x:c>
      <x:c r="Q39" s="100" t="str">
        <x:f>IF('Master'!R751="","",'Master'!R751)</x:f>
      </x:c>
      <x:c r="R39" s="100" t="str">
        <x:f>IF('Master'!S751="","",'Master'!S751)</x:f>
      </x:c>
      <x:c r="S39" s="100" t="str">
        <x:f>IF('Master'!T751="","",'Master'!T751)</x:f>
      </x:c>
      <x:c r="T39" s="100" t="str">
        <x:f>IF('Master'!U751="","",'Master'!U751)</x:f>
      </x:c>
      <x:c r="U39" s="100" t="str">
        <x:f>IF('Master'!V751="","",'Master'!V751)</x:f>
        <x:v>No — leveling stated free for every Shard; giveaways built in</x:v>
      </x:c>
      <x:c r="V39" s="100" t="str">
        <x:f>IF('Master'!W751="","",'Master'!W751)</x:f>
      </x:c>
      <x:c r="W39" s="100" t="str">
        <x:f>IF('Master'!X751="","",'Master'!X751)</x:f>
      </x:c>
      <x:c r="X39" s="100" t="str">
        <x:f>IF('Master'!Y751="","",'Master'!Y751)</x:f>
      </x:c>
      <x:c r="Y39" s="100" t="str">
        <x:f>IF('Master'!Z751="","",'Master'!Z751)</x:f>
      </x:c>
      <x:c r="Z39" s="100" t="str">
        <x:f>IF('Master'!AA751="","",'Master'!AA751)</x:f>
      </x:c>
      <x:c r="AA39" s="104" t="str">
        <x:f>IF('Master'!AB751="","",'Master'!AB751)</x:f>
      </x:c>
      <x:c r="AB39" s="100" t="str">
        <x:f>IF('Master'!AC751="","",'Master'!AC751)</x:f>
      </x:c>
      <x:c r="AC39" s="100" t="str">
        <x:f>IF('Master'!AD751="","",'Master'!AD751)</x:f>
      </x:c>
      <x:c r="AD39" s="100" t="str">
        <x:f>IF('Master'!AE751="","",'Master'!AE751)</x:f>
      </x:c>
      <x:c r="AE39" s="100" t="str">
        <x:f>IF('Master'!AF751="","",'Master'!AF751)</x:f>
      </x:c>
      <x:c r="AF39" s="75" t="str">
        <x:f>IF('Master'!AG751="","",'Master'!AG751)</x:f>
      </x:c>
    </x:row>
  </x:sheetData>
  <x:mergeCells>
    <x:mergeCell ref="A1:AF1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defaultRowHeight="15"/>
  <x:cols>
    <x:col min="1" max="32" width="20" customWidth="1"/>
    <x:col min="1" max="1" width="22" hidden="0" customWidth="1"/>
    <x:col min="2" max="2" width="18" hidden="0" customWidth="1"/>
    <x:col min="3" max="3" width="22" hidden="0" customWidth="1"/>
    <x:col min="4" max="4" width="22" hidden="0" customWidth="1"/>
    <x:col min="5" max="5" width="15" hidden="0" customWidth="1"/>
    <x:col min="6" max="6" width="15" hidden="0" customWidth="1"/>
    <x:col min="7" max="7" width="18" hidden="0" customWidth="1"/>
    <x:col min="8" max="8" width="18" hidden="0" customWidth="1"/>
    <x:col min="9" max="9" width="36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36" hidden="0" customWidth="1"/>
    <x:col min="15" max="15" width="15" hidden="0" customWidth="1"/>
    <x:col min="16" max="16" width="36" hidden="0" customWidth="1"/>
    <x:col min="17" max="17" width="22" hidden="0" customWidth="1"/>
  </x:cols>
  <x:sheetData>
    <x:row r="1" ht="28" customHeight="1">
      <x:c r="A1" s="130" t="str">
        <x:f>IFERROR(HYPERLINK("#'Sheet Directory'!A1","Monetization Detail — current and intended revenue models, including per-user and per-server/community upgrades"),"Monetization Detail — current and intended revenue models, including per-user and per-server/community upgrades")</x:f>
        <x:v>Monetization Detail — current and intended revenue models, including per-user and per-server/community upgrades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</x:row>
    <x:row r="2" ht="32" customHeight="1">
      <x:c r="A2" s="116" t="str">
        <x:v>Platform</x:v>
      </x:c>
      <x:c r="B2" s="116" t="str">
        <x:v>Lifecycle</x:v>
      </x:c>
      <x:c r="C2" s="116" t="str">
        <x:v>Revenue / Monetization Type</x:v>
      </x:c>
      <x:c r="D2" s="116" t="str">
        <x:v>Option / Mechanism</x:v>
      </x:c>
      <x:c r="E2" s="116" t="str">
        <x:v>Amount</x:v>
      </x:c>
      <x:c r="F2" s="116" t="str">
        <x:v>Currency</x:v>
      </x:c>
      <x:c r="G2" s="116" t="str">
        <x:v>Cadence</x:v>
      </x:c>
      <x:c r="H2" s="116" t="str">
        <x:v>Charged To / Unit</x:v>
      </x:c>
      <x:c r="I2" s="116" t="str">
        <x:v>Benefit Scope</x:v>
      </x:c>
      <x:c r="J2" s="116" t="str">
        <x:v>Server / Community Upgrade?</x:v>
      </x:c>
      <x:c r="K2" s="116" t="str">
        <x:v>User Benefit?</x:v>
      </x:c>
      <x:c r="L2" s="116" t="str">
        <x:v>Current Availability</x:v>
      </x:c>
      <x:c r="M2" s="116" t="str">
        <x:v>Intended / Roadmap Change</x:v>
      </x:c>
      <x:c r="N2" s="116" t="str">
        <x:v>Source URL</x:v>
      </x:c>
      <x:c r="O2" s="116" t="str">
        <x:v>Last Checked</x:v>
      </x:c>
      <x:c r="P2" s="116" t="str">
        <x:v>Notes</x:v>
      </x:c>
      <x:c r="Q2" s="116" t="str">
        <x:v>Evidence Status</x:v>
      </x:c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</x:row>
    <x:row r="3" ht="75">
      <x:c r="A3" s="75" t="str">
        <x:v>Discord</x:v>
      </x:c>
      <x:c r="B3" s="75" t="str">
        <x:v>Current</x:v>
      </x:c>
      <x:c r="C3" s="75" t="str">
        <x:v>User subscription</x:v>
      </x:c>
      <x:c r="D3" s="75" t="str">
        <x:v>Nitro Basic</x:v>
      </x:c>
      <x:c r="E3" s="75" t="str">
        <x:v>2.99/mo; 29.99/yr</x:v>
      </x:c>
      <x:c r="F3" s="75" t="str">
        <x:v>USD</x:v>
      </x:c>
      <x:c r="G3" s="75" t="str">
        <x:v>Monthly / annual as listed</x:v>
      </x:c>
      <x:c r="H3" s="75" t="str">
        <x:v>Per user</x:v>
      </x:c>
      <x:c r="I3" s="75" t="str">
        <x:v>Personal account</x:v>
      </x:c>
      <x:c r="J3" s="75" t="str">
        <x:v>No</x:v>
      </x:c>
      <x:c r="K3" s="75" t="str">
        <x:v>Yes</x:v>
      </x:c>
      <x:c r="L3" s="75" t="str">
        <x:v>Active</x:v>
      </x:c>
      <x:c r="M3" s="75"/>
      <x:c r="N3" s="75" t="str">
        <x:v>https://support.discord.com/hc/en-us/articles/4407269525911-Localized-Pricing-on-Discord</x:v>
      </x:c>
      <x:c r="O3" s="75" t="str">
        <x:v>2026-09-15</x:v>
      </x:c>
      <x:c r="P3" s="75" t="str">
        <x:v>Localized pricing exists; USD shown for comparison.</x:v>
      </x:c>
      <x:c r="Q3" s="75" t="str">
        <x:v>Primary / first-party source recorded</x:v>
      </x:c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</x:row>
    <x:row r="4" ht="75">
      <x:c r="A4" s="75" t="str">
        <x:v>Discord</x:v>
      </x:c>
      <x:c r="B4" s="75" t="str">
        <x:v>Current</x:v>
      </x:c>
      <x:c r="C4" s="75" t="str">
        <x:v>User subscription</x:v>
      </x:c>
      <x:c r="D4" s="75" t="str">
        <x:v>Nitro</x:v>
      </x:c>
      <x:c r="E4" s="75" t="str">
        <x:v>9.99/mo; 99.99/yr</x:v>
      </x:c>
      <x:c r="F4" s="75" t="str">
        <x:v>USD</x:v>
      </x:c>
      <x:c r="G4" s="75" t="str">
        <x:v>Monthly / annual as listed</x:v>
      </x:c>
      <x:c r="H4" s="75" t="str">
        <x:v>Per user</x:v>
      </x:c>
      <x:c r="I4" s="75" t="str">
        <x:v>Personal account</x:v>
      </x:c>
      <x:c r="J4" s="75" t="str">
        <x:v>No</x:v>
      </x:c>
      <x:c r="K4" s="75" t="str">
        <x:v>Yes</x:v>
      </x:c>
      <x:c r="L4" s="75" t="str">
        <x:v>Active</x:v>
      </x:c>
      <x:c r="M4" s="75"/>
      <x:c r="N4" s="75" t="str">
        <x:v>https://support.discord.com/hc/en-us/articles/4407269525911-Localized-Pricing-on-Discord</x:v>
      </x:c>
      <x:c r="O4" s="75" t="str">
        <x:v>2026-09-15</x:v>
      </x:c>
      <x:c r="P4" s="75" t="str">
        <x:v>Current full Nitro plan.</x:v>
      </x:c>
      <x:c r="Q4" s="75" t="str">
        <x:v>Primary / first-party source recorded</x:v>
      </x:c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</x:row>
    <x:row r="5" ht="75">
      <x:c r="A5" s="75" t="str">
        <x:v>Discord</x:v>
      </x:c>
      <x:c r="B5" s="75" t="str">
        <x:v>Current</x:v>
      </x:c>
      <x:c r="C5" s="75" t="str">
        <x:v>Server add-on</x:v>
      </x:c>
      <x:c r="D5" s="75" t="str">
        <x:v>Server Boost</x:v>
      </x:c>
      <x:c r="E5" s="75" t="str">
        <x:v>4.99/mo; 49.99/yr</x:v>
      </x:c>
      <x:c r="F5" s="75" t="str">
        <x:v>USD</x:v>
      </x:c>
      <x:c r="G5" s="75" t="str">
        <x:v>Monthly / annual as listed</x:v>
      </x:c>
      <x:c r="H5" s="75" t="str">
        <x:v>Per boost</x:v>
      </x:c>
      <x:c r="I5" s="75" t="str">
        <x:v>One server</x:v>
      </x:c>
      <x:c r="J5" s="75" t="str">
        <x:v>Yes</x:v>
      </x:c>
      <x:c r="K5" s="75" t="str">
        <x:v>Entire server/community</x:v>
      </x:c>
      <x:c r="L5" s="75" t="str">
        <x:v>Active</x:v>
      </x:c>
      <x:c r="M5" s="75"/>
      <x:c r="N5" s="75" t="str">
        <x:v>https://support.discord.com/hc/en-us/articles/4407269525911-Localized-Pricing-on-Discord</x:v>
      </x:c>
      <x:c r="O5" s="75" t="str">
        <x:v>2026-09-15</x:v>
      </x:c>
      <x:c r="P5" s="75" t="str">
        <x:v>Each boost is a separate recurring subscription.</x:v>
      </x:c>
      <x:c r="Q5" s="75" t="str">
        <x:v>Primary / first-party source recorded</x:v>
      </x:c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</x:row>
    <x:row r="6" ht="75">
      <x:c r="A6" s="75" t="str">
        <x:v>Discord</x:v>
      </x:c>
      <x:c r="B6" s="75" t="str">
        <x:v>Legacy</x:v>
      </x:c>
      <x:c r="C6" s="75" t="str">
        <x:v>Legacy user subscription</x:v>
      </x:c>
      <x:c r="D6" s="75" t="str">
        <x:v>Nitro Classic</x:v>
      </x:c>
      <x:c r="E6" s="75" t="str">
        <x:v>4.99/mo; 49.99/yr</x:v>
      </x:c>
      <x:c r="F6" s="75" t="str">
        <x:v>USD</x:v>
      </x:c>
      <x:c r="G6" s="75" t="str">
        <x:v>Monthly / annual as listed</x:v>
      </x:c>
      <x:c r="H6" s="75" t="str">
        <x:v>Per user</x:v>
      </x:c>
      <x:c r="I6" s="75" t="str">
        <x:v>Personal account</x:v>
      </x:c>
      <x:c r="J6" s="75" t="str">
        <x:v>No</x:v>
      </x:c>
      <x:c r="K6" s="75" t="str">
        <x:v>Yes</x:v>
      </x:c>
      <x:c r="L6" s="75" t="str">
        <x:v>Grandfathered / not sold to new subscribers</x:v>
      </x:c>
      <x:c r="M6" s="75"/>
      <x:c r="N6" s="75" t="str">
        <x:v>https://support.discord.com/hc/en-us/articles/4407269525911-Localized-Pricing-on-Discord</x:v>
      </x:c>
      <x:c r="O6" s="75" t="str">
        <x:v>2026-09-15</x:v>
      </x:c>
      <x:c r="P6" s="75" t="str">
        <x:v>No longer available to new subscribers.</x:v>
      </x:c>
      <x:c r="Q6" s="75" t="str">
        <x:v>Primary / first-party source recorded</x:v>
      </x:c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</x:row>
    <x:row r="7" ht="45">
      <x:c r="A7" s="75" t="str">
        <x:v>Stoat</x:v>
      </x:c>
      <x:c r="B7" s="75" t="str">
        <x:v>Current</x:v>
      </x:c>
      <x:c r="C7" s="75" t="str">
        <x:v>No public paid tier</x:v>
      </x:c>
      <x:c r="D7" s="75" t="str">
        <x:v>No public fixed-price paid tier verified</x:v>
      </x:c>
      <x:c r="E7" s="75" t="str">
        <x:v>N/A</x:v>
      </x:c>
      <x:c r="F7" s="75" t="str">
        <x:v>N/A</x:v>
      </x:c>
      <x:c r="G7" s="75" t="str">
        <x:v>N/A / U/K</x:v>
      </x:c>
      <x:c r="H7" s="75" t="str">
        <x:v>N/A</x:v>
      </x:c>
      <x:c r="I7" s="75" t="str">
        <x:v>N/A</x:v>
      </x:c>
      <x:c r="J7" s="75" t="str">
        <x:v>No</x:v>
      </x:c>
      <x:c r="K7" s="75" t="str">
        <x:v>N/A</x:v>
      </x:c>
      <x:c r="L7" s="75" t="str">
        <x:v>None verified</x:v>
      </x:c>
      <x:c r="M7" s="75"/>
      <x:c r="N7" s="75" t="str">
        <x:v>https://stoat.chat/</x:v>
      </x:c>
      <x:c r="O7" s="75" t="str">
        <x:v>2026-09-15</x:v>
      </x:c>
      <x:c r="P7" s="75" t="str">
        <x:v>Hosted service/self-host project; no fixed paid subscription verified.</x:v>
      </x:c>
      <x:c r="Q7" s="75" t="str">
        <x:v>Primary / first-party source recorded</x:v>
      </x:c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</x:row>
    <x:row r="8" ht="45">
      <x:c r="A8" s="75" t="str">
        <x:v>Fenrid</x:v>
      </x:c>
      <x:c r="B8" s="75" t="str">
        <x:v>Intended / Planned</x:v>
      </x:c>
      <x:c r="C8" s="75" t="str">
        <x:v>Planned subscription</x:v>
      </x:c>
      <x:c r="D8" s="75" t="str">
        <x:v>Surge</x:v>
      </x:c>
      <x:c r="E8" s="75" t="str">
        <x:v>4.99/mo</x:v>
      </x:c>
      <x:c r="F8" s="75" t="str">
        <x:v>USD</x:v>
      </x:c>
      <x:c r="G8" s="75" t="str">
        <x:v>Monthly / annual as listed</x:v>
      </x:c>
      <x:c r="H8" s="75" t="str">
        <x:v>Subscription</x:v>
      </x:c>
      <x:c r="I8" s="75" t="str">
        <x:v>User/community plan</x:v>
      </x:c>
      <x:c r="J8" s="75" t="str">
        <x:v>No</x:v>
      </x:c>
      <x:c r="K8" s="75" t="str">
        <x:v>User/community plan</x:v>
      </x:c>
      <x:c r="L8" s="75" t="str">
        <x:v>Coming soon</x:v>
      </x:c>
      <x:c r="M8" s="75" t="str">
        <x:v>Fenrid is in alpha; pricing and benefits may change before launch.</x:v>
      </x:c>
      <x:c r="N8" s="75" t="str">
        <x:v>https://fenrid.com/waitlist</x:v>
      </x:c>
      <x:c r="O8" s="75" t="str">
        <x:v>2026-09-15</x:v>
      </x:c>
      <x:c r="P8" s="75" t="str">
        <x:v>Fenrid is in alpha; pricing and benefits may change before launch.</x:v>
      </x:c>
      <x:c r="Q8" s="75" t="str">
        <x:v>Primary / first-party source recorded</x:v>
      </x:c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</x:row>
    <x:row r="9" ht="45">
      <x:c r="A9" s="75" t="str">
        <x:v>Fenrid</x:v>
      </x:c>
      <x:c r="B9" s="75" t="str">
        <x:v>Intended / Planned</x:v>
      </x:c>
      <x:c r="C9" s="75" t="str">
        <x:v>Planned subscription</x:v>
      </x:c>
      <x:c r="D9" s="75" t="str">
        <x:v>Flare</x:v>
      </x:c>
      <x:c r="E9" s="75" t="str">
        <x:v>9.99/mo</x:v>
      </x:c>
      <x:c r="F9" s="75" t="str">
        <x:v>USD</x:v>
      </x:c>
      <x:c r="G9" s="75" t="str">
        <x:v>Monthly / annual as listed</x:v>
      </x:c>
      <x:c r="H9" s="75" t="str">
        <x:v>Subscription</x:v>
      </x:c>
      <x:c r="I9" s="75" t="str">
        <x:v>User/community plan</x:v>
      </x:c>
      <x:c r="J9" s="75" t="str">
        <x:v>No</x:v>
      </x:c>
      <x:c r="K9" s="75" t="str">
        <x:v>User/community plan</x:v>
      </x:c>
      <x:c r="L9" s="75" t="str">
        <x:v>Coming soon</x:v>
      </x:c>
      <x:c r="M9" s="75" t="str">
        <x:v>Fenrid is in alpha; pricing and benefits may change before launch.</x:v>
      </x:c>
      <x:c r="N9" s="75" t="str">
        <x:v>https://fenrid.com/waitlist</x:v>
      </x:c>
      <x:c r="O9" s="75" t="str">
        <x:v>2026-09-15</x:v>
      </x:c>
      <x:c r="P9" s="75" t="str">
        <x:v>Fenrid is in alpha; pricing and benefits may change before launch.</x:v>
      </x:c>
      <x:c r="Q9" s="75" t="str">
        <x:v>Primary / first-party source recorded</x:v>
      </x:c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</x:row>
    <x:row r="10" ht="45">
      <x:c r="A10" s="75" t="str">
        <x:v>Fenrid</x:v>
      </x:c>
      <x:c r="B10" s="75" t="str">
        <x:v>Intended / Planned</x:v>
      </x:c>
      <x:c r="C10" s="75" t="str">
        <x:v>Planned subscription</x:v>
      </x:c>
      <x:c r="D10" s="75" t="str">
        <x:v>Prime</x:v>
      </x:c>
      <x:c r="E10" s="75" t="str">
        <x:v>24.99/mo</x:v>
      </x:c>
      <x:c r="F10" s="75" t="str">
        <x:v>USD</x:v>
      </x:c>
      <x:c r="G10" s="75" t="str">
        <x:v>Monthly / annual as listed</x:v>
      </x:c>
      <x:c r="H10" s="75" t="str">
        <x:v>Subscription</x:v>
      </x:c>
      <x:c r="I10" s="75" t="str">
        <x:v>User/community plan</x:v>
      </x:c>
      <x:c r="J10" s="75" t="str">
        <x:v>No</x:v>
      </x:c>
      <x:c r="K10" s="75" t="str">
        <x:v>User/community plan</x:v>
      </x:c>
      <x:c r="L10" s="75" t="str">
        <x:v>Coming soon</x:v>
      </x:c>
      <x:c r="M10" s="75" t="str">
        <x:v>Fenrid is in alpha; pricing and benefits may change before launch.</x:v>
      </x:c>
      <x:c r="N10" s="75" t="str">
        <x:v>https://fenrid.com/waitlist</x:v>
      </x:c>
      <x:c r="O10" s="75" t="str">
        <x:v>2026-09-15</x:v>
      </x:c>
      <x:c r="P10" s="75" t="str">
        <x:v>Fenrid is in alpha; pricing and benefits may change before launch.</x:v>
      </x:c>
      <x:c r="Q10" s="75" t="str">
        <x:v>Primary / first-party source recorded</x:v>
      </x:c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</x:row>
    <x:row r="11" ht="30">
      <x:c r="A11" s="75" t="str">
        <x:v>Fluxer</x:v>
      </x:c>
      <x:c r="B11" s="75" t="str">
        <x:v>Current</x:v>
      </x:c>
      <x:c r="C11" s="75" t="str">
        <x:v>User subscription</x:v>
      </x:c>
      <x:c r="D11" s="75" t="str">
        <x:v>Plutonium</x:v>
      </x:c>
      <x:c r="E11" s="75" t="str">
        <x:v>4.99/mo; 49.99/yr</x:v>
      </x:c>
      <x:c r="F11" s="75" t="str">
        <x:v>USD</x:v>
      </x:c>
      <x:c r="G11" s="75" t="str">
        <x:v>Monthly / annual as listed</x:v>
      </x:c>
      <x:c r="H11" s="75" t="str">
        <x:v>Per user</x:v>
      </x:c>
      <x:c r="I11" s="75" t="str">
        <x:v>Personal account</x:v>
      </x:c>
      <x:c r="J11" s="75" t="str">
        <x:v>No</x:v>
      </x:c>
      <x:c r="K11" s="75" t="str">
        <x:v>Yes</x:v>
      </x:c>
      <x:c r="L11" s="75" t="str">
        <x:v>Active</x:v>
      </x:c>
      <x:c r="M11" s="75"/>
      <x:c r="N11" s="75" t="str">
        <x:v>https://fluxer.app/plutonium</x:v>
      </x:c>
      <x:c r="O11" s="75" t="str">
        <x:v>2026-09-15</x:v>
      </x:c>
      <x:c r="P11" s="75" t="str">
        <x:v>Optional; Fluxer remains usable for free.</x:v>
      </x:c>
      <x:c r="Q11" s="75" t="str">
        <x:v>Primary / first-party source recorded</x:v>
      </x:c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</x:row>
    <x:row r="12" ht="90">
      <x:c r="A12" s="75" t="str">
        <x:v>Root</x:v>
      </x:c>
      <x:c r="B12" s="75" t="str">
        <x:v>Current</x:v>
      </x:c>
      <x:c r="C12" s="75" t="str">
        <x:v>User subscription</x:v>
      </x:c>
      <x:c r="D12" s="75" t="str">
        <x:v>Sudo</x:v>
      </x:c>
      <x:c r="E12" s="75" t="str">
        <x:v>U/K</x:v>
      </x:c>
      <x:c r="F12" s="75" t="str">
        <x:v>USD / in-app</x:v>
      </x:c>
      <x:c r="G12" s="75" t="str">
        <x:v>N/A / U/K</x:v>
      </x:c>
      <x:c r="H12" s="75" t="str">
        <x:v>Per user</x:v>
      </x:c>
      <x:c r="I12" s="75" t="str">
        <x:v>Personal account</x:v>
      </x:c>
      <x:c r="J12" s="75" t="str">
        <x:v>No</x:v>
      </x:c>
      <x:c r="K12" s="75" t="str">
        <x:v>Yes</x:v>
      </x:c>
      <x:c r="L12" s="75" t="str">
        <x:v>Active</x:v>
      </x:c>
      <x:c r="M12" s="75"/>
      <x:c r="N12" s="75" t="str">
        <x:v>https://support.rootapp.com/docs/sudo/get-started/sudo-faqs/</x:v>
      </x:c>
      <x:c r="O12" s="75" t="str">
        <x:v>2026-09-15</x:v>
      </x:c>
      <x:c r="P12" s="75" t="str">
        <x:v>Root documents monthly and yearly billing, but the current price is shown in-app rather than publicly on the help page.</x:v>
      </x:c>
      <x:c r="Q12" s="75" t="str">
        <x:v>Primary / first-party source recorded</x:v>
      </x:c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</x:row>
    <x:row r="13" ht="45">
      <x:c r="A13" s="75" t="str">
        <x:v>Matrix</x:v>
      </x:c>
      <x:c r="B13" s="75" t="str">
        <x:v>Current</x:v>
      </x:c>
      <x:c r="C13" s="75" t="str">
        <x:v>Protocol-level pricing</x:v>
      </x:c>
      <x:c r="D13" s="75" t="str">
        <x:v>No Matrix-wide paid tier</x:v>
      </x:c>
      <x:c r="E13" s="75" t="str">
        <x:v>N/A</x:v>
      </x:c>
      <x:c r="F13" s="75" t="str">
        <x:v>Provider-specific</x:v>
      </x:c>
      <x:c r="G13" s="75" t="str">
        <x:v>N/A / U/K</x:v>
      </x:c>
      <x:c r="H13" s="75" t="str">
        <x:v>Provider-specific</x:v>
      </x:c>
      <x:c r="I13" s="75" t="str">
        <x:v>Homeserver/client provider</x:v>
      </x:c>
      <x:c r="J13" s="75" t="str">
        <x:v>No</x:v>
      </x:c>
      <x:c r="K13" s="75" t="str">
        <x:v>Homeserver/client provider</x:v>
      </x:c>
      <x:c r="L13" s="75" t="str">
        <x:v>Provider-specific</x:v>
      </x:c>
      <x:c r="M13" s="75"/>
      <x:c r="N13" s="75" t="str">
        <x:v>https://matrix.org/</x:v>
      </x:c>
      <x:c r="O13" s="75" t="str">
        <x:v>2026-09-15</x:v>
      </x:c>
      <x:c r="P13" s="75" t="str">
        <x:v>Do not attribute Element or another provider's pricing to Matrix.</x:v>
      </x:c>
      <x:c r="Q13" s="75" t="str">
        <x:v>Primary / first-party source recorded</x:v>
      </x:c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</x:row>
    <x:row r="14" ht="30">
      <x:c r="A14" s="75" t="str">
        <x:v>Spacebar</x:v>
      </x:c>
      <x:c r="B14" s="75" t="str">
        <x:v>Current</x:v>
      </x:c>
      <x:c r="C14" s="75" t="str">
        <x:v>No public paid tier</x:v>
      </x:c>
      <x:c r="D14" s="75" t="str">
        <x:v>No central paid tier</x:v>
      </x:c>
      <x:c r="E14" s="75" t="str">
        <x:v>N/A</x:v>
      </x:c>
      <x:c r="F14" s="75" t="str">
        <x:v>N/A</x:v>
      </x:c>
      <x:c r="G14" s="75" t="str">
        <x:v>N/A / U/K</x:v>
      </x:c>
      <x:c r="H14" s="75" t="str">
        <x:v>Self-hosted</x:v>
      </x:c>
      <x:c r="I14" s="75" t="str">
        <x:v>Operator</x:v>
      </x:c>
      <x:c r="J14" s="75" t="str">
        <x:v>No</x:v>
      </x:c>
      <x:c r="K14" s="75" t="str">
        <x:v>Operator</x:v>
      </x:c>
      <x:c r="L14" s="75" t="str">
        <x:v>None</x:v>
      </x:c>
      <x:c r="M14" s="75"/>
      <x:c r="N14" s="75" t="str">
        <x:v>https://spacebar.chat/</x:v>
      </x:c>
      <x:c r="O14" s="75" t="str">
        <x:v>2026-09-15</x:v>
      </x:c>
      <x:c r="P14" s="75" t="str">
        <x:v>No central subscription model.</x:v>
      </x:c>
      <x:c r="Q14" s="75" t="str">
        <x:v>Primary / first-party source recorded</x:v>
      </x:c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</x:row>
    <x:row r="15" ht="45">
      <x:c r="A15" s="75" t="str">
        <x:v>Mumble</x:v>
      </x:c>
      <x:c r="B15" s="75" t="str">
        <x:v>Current</x:v>
      </x:c>
      <x:c r="C15" s="75" t="str">
        <x:v>No platform paid tier</x:v>
      </x:c>
      <x:c r="D15" s="75" t="str">
        <x:v>No Mumble subscription</x:v>
      </x:c>
      <x:c r="E15" s="75" t="str">
        <x:v>N/A</x:v>
      </x:c>
      <x:c r="F15" s="75" t="str">
        <x:v>N/A</x:v>
      </x:c>
      <x:c r="G15" s="75" t="str">
        <x:v>N/A / U/K</x:v>
      </x:c>
      <x:c r="H15" s="75" t="str">
        <x:v>Open-source/self-hosted</x:v>
      </x:c>
      <x:c r="I15" s="75" t="str">
        <x:v>Operator</x:v>
      </x:c>
      <x:c r="J15" s="75" t="str">
        <x:v>No</x:v>
      </x:c>
      <x:c r="K15" s="75" t="str">
        <x:v>Operator</x:v>
      </x:c>
      <x:c r="L15" s="75" t="str">
        <x:v>None</x:v>
      </x:c>
      <x:c r="M15" s="75"/>
      <x:c r="N15" s="75" t="str">
        <x:v>https://www.mumble.info/</x:v>
      </x:c>
      <x:c r="O15" s="75" t="str">
        <x:v>2026-09-15</x:v>
      </x:c>
      <x:c r="P15" s="75" t="str">
        <x:v>Third-party hosted-server pricing is not a Mumble platform tier.</x:v>
      </x:c>
      <x:c r="Q15" s="75" t="str">
        <x:v>Primary / first-party source recorded</x:v>
      </x:c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</x:row>
    <x:row r="16" ht="75">
      <x:c r="A16" s="75" t="str">
        <x:v>TeamSpeak</x:v>
      </x:c>
      <x:c r="B16" s="75" t="str">
        <x:v>Current</x:v>
      </x:c>
      <x:c r="C16" s="75" t="str">
        <x:v>Hosted community plan</x:v>
      </x:c>
      <x:c r="D16" s="75" t="str">
        <x:v>Crew</x:v>
      </x:c>
      <x:c r="E16" s="75" t="str">
        <x:v>4.99/mo; 53.99/yr</x:v>
      </x:c>
      <x:c r="F16" s="75" t="str">
        <x:v>USD</x:v>
      </x:c>
      <x:c r="G16" s="75" t="str">
        <x:v>Monthly / annual as listed</x:v>
      </x:c>
      <x:c r="H16" s="75" t="str">
        <x:v>Per hosted community</x:v>
      </x:c>
      <x:c r="I16" s="75" t="str">
        <x:v>One TeamSpeak Community server</x:v>
      </x:c>
      <x:c r="J16" s="75" t="str">
        <x:v>Yes</x:v>
      </x:c>
      <x:c r="K16" s="75" t="str">
        <x:v>Entire server/community</x:v>
      </x:c>
      <x:c r="L16" s="75" t="str">
        <x:v>Active</x:v>
      </x:c>
      <x:c r="M16" s="75"/>
      <x:c r="N16" s="75" t="str">
        <x:v>https://support.teamspeak.com/hc/en-us/articles/26033099878045-Current-Community-Options</x:v>
      </x:c>
      <x:c r="O16" s="75" t="str">
        <x:v>2026-09-15</x:v>
      </x:c>
      <x:c r="P16" s="75" t="str">
        <x:v>Hosted by TeamSpeak.</x:v>
      </x:c>
      <x:c r="Q16" s="75" t="str">
        <x:v>Primary / first-party source recorded</x:v>
      </x:c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</x:row>
    <x:row r="17" ht="75">
      <x:c r="A17" s="75" t="str">
        <x:v>TeamSpeak</x:v>
      </x:c>
      <x:c r="B17" s="75" t="str">
        <x:v>Current</x:v>
      </x:c>
      <x:c r="C17" s="75" t="str">
        <x:v>Hosted community plan</x:v>
      </x:c>
      <x:c r="D17" s="75" t="str">
        <x:v>Team</x:v>
      </x:c>
      <x:c r="E17" s="75" t="str">
        <x:v>8.99/mo; 96.99/yr</x:v>
      </x:c>
      <x:c r="F17" s="75" t="str">
        <x:v>USD</x:v>
      </x:c>
      <x:c r="G17" s="75" t="str">
        <x:v>Monthly / annual as listed</x:v>
      </x:c>
      <x:c r="H17" s="75" t="str">
        <x:v>Per hosted community</x:v>
      </x:c>
      <x:c r="I17" s="75" t="str">
        <x:v>One TeamSpeak Community server</x:v>
      </x:c>
      <x:c r="J17" s="75" t="str">
        <x:v>Yes</x:v>
      </x:c>
      <x:c r="K17" s="75" t="str">
        <x:v>Entire server/community</x:v>
      </x:c>
      <x:c r="L17" s="75" t="str">
        <x:v>Active</x:v>
      </x:c>
      <x:c r="M17" s="75"/>
      <x:c r="N17" s="75" t="str">
        <x:v>https://support.teamspeak.com/hc/en-us/articles/26033099878045-Current-Community-Options</x:v>
      </x:c>
      <x:c r="O17" s="75" t="str">
        <x:v>2026-09-15</x:v>
      </x:c>
      <x:c r="P17" s="75" t="str">
        <x:v>Hosted by TeamSpeak.</x:v>
      </x:c>
      <x:c r="Q17" s="75" t="str">
        <x:v>Primary / first-party source recorded</x:v>
      </x:c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</x:row>
    <x:row r="18" ht="75">
      <x:c r="A18" s="75" t="str">
        <x:v>TeamSpeak</x:v>
      </x:c>
      <x:c r="B18" s="75" t="str">
        <x:v>Current</x:v>
      </x:c>
      <x:c r="C18" s="75" t="str">
        <x:v>Hosted community plan</x:v>
      </x:c>
      <x:c r="D18" s="75" t="str">
        <x:v>Faction</x:v>
      </x:c>
      <x:c r="E18" s="75" t="str">
        <x:v>17.99/mo; 194.99/yr</x:v>
      </x:c>
      <x:c r="F18" s="75" t="str">
        <x:v>USD</x:v>
      </x:c>
      <x:c r="G18" s="75" t="str">
        <x:v>Monthly / annual as listed</x:v>
      </x:c>
      <x:c r="H18" s="75" t="str">
        <x:v>Per hosted community</x:v>
      </x:c>
      <x:c r="I18" s="75" t="str">
        <x:v>One TeamSpeak Community server</x:v>
      </x:c>
      <x:c r="J18" s="75" t="str">
        <x:v>Yes</x:v>
      </x:c>
      <x:c r="K18" s="75" t="str">
        <x:v>Entire server/community</x:v>
      </x:c>
      <x:c r="L18" s="75" t="str">
        <x:v>Active</x:v>
      </x:c>
      <x:c r="M18" s="75"/>
      <x:c r="N18" s="75" t="str">
        <x:v>https://support.teamspeak.com/hc/en-us/articles/26033099878045-Current-Community-Options</x:v>
      </x:c>
      <x:c r="O18" s="75" t="str">
        <x:v>2026-09-15</x:v>
      </x:c>
      <x:c r="P18" s="75" t="str">
        <x:v>Hosted by TeamSpeak.</x:v>
      </x:c>
      <x:c r="Q18" s="75" t="str">
        <x:v>Primary / first-party source recorded</x:v>
      </x:c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</x:row>
    <x:row r="19" ht="75">
      <x:c r="A19" s="75" t="str">
        <x:v>TeamSpeak</x:v>
      </x:c>
      <x:c r="B19" s="75" t="str">
        <x:v>Current</x:v>
      </x:c>
      <x:c r="C19" s="75" t="str">
        <x:v>Self-host license</x:v>
      </x:c>
      <x:c r="D19" s="75" t="str">
        <x:v>Gamer / Activation 64 slots</x:v>
      </x:c>
      <x:c r="E19" s="75" t="str">
        <x:v>55/yr</x:v>
      </x:c>
      <x:c r="F19" s="75" t="str">
        <x:v>USD</x:v>
      </x:c>
      <x:c r="G19" s="75" t="str">
        <x:v>Monthly / annual as listed</x:v>
      </x:c>
      <x:c r="H19" s="75" t="str">
        <x:v>Per self-host license</x:v>
      </x:c>
      <x:c r="I19" s="75" t="str">
        <x:v>Non-commercial / personal self-host</x:v>
      </x:c>
      <x:c r="J19" s="75" t="str">
        <x:v>Self-host license</x:v>
      </x:c>
      <x:c r="K19" s="75" t="str">
        <x:v>Non-commercial / personal self-host</x:v>
      </x:c>
      <x:c r="L19" s="75" t="str">
        <x:v>Active</x:v>
      </x:c>
      <x:c r="M19" s="75"/>
      <x:c r="N19" s="75" t="str">
        <x:v>https://support.teamspeak.com/hc/en-us/articles/26033788383261-What-licenses-are-available</x:v>
      </x:c>
      <x:c r="O19" s="75" t="str">
        <x:v>2026-09-15</x:v>
      </x:c>
      <x:c r="P19" s="75" t="str">
        <x:v>6-month price is unavailable for 64 slots; 6-month orders are manual for eligible slot tiers.</x:v>
      </x:c>
      <x:c r="Q19" s="75" t="str">
        <x:v>Primary / first-party source recorded</x:v>
      </x:c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</x:row>
    <x:row r="20" ht="75">
      <x:c r="A20" s="75" t="str">
        <x:v>TeamSpeak</x:v>
      </x:c>
      <x:c r="B20" s="75" t="str">
        <x:v>Current</x:v>
      </x:c>
      <x:c r="C20" s="75" t="str">
        <x:v>Self-host license</x:v>
      </x:c>
      <x:c r="D20" s="75" t="str">
        <x:v>Gamer / Activation 128 slots</x:v>
      </x:c>
      <x:c r="E20" s="75" t="str">
        <x:v>50/6mo; 100/yr</x:v>
      </x:c>
      <x:c r="F20" s="75" t="str">
        <x:v>USD</x:v>
      </x:c>
      <x:c r="G20" s="75" t="str">
        <x:v>Monthly / annual as listed</x:v>
      </x:c>
      <x:c r="H20" s="75" t="str">
        <x:v>Per self-host license</x:v>
      </x:c>
      <x:c r="I20" s="75" t="str">
        <x:v>Non-commercial / personal self-host</x:v>
      </x:c>
      <x:c r="J20" s="75" t="str">
        <x:v>Self-host license</x:v>
      </x:c>
      <x:c r="K20" s="75" t="str">
        <x:v>Non-commercial / personal self-host</x:v>
      </x:c>
      <x:c r="L20" s="75" t="str">
        <x:v>Active</x:v>
      </x:c>
      <x:c r="M20" s="75"/>
      <x:c r="N20" s="75" t="str">
        <x:v>https://support.teamspeak.com/hc/en-us/articles/26033788383261-What-licenses-are-available</x:v>
      </x:c>
      <x:c r="O20" s="75" t="str">
        <x:v>2026-09-15</x:v>
      </x:c>
      <x:c r="P20" s="75" t="str">
        <x:v>6-month price is unavailable for 64 slots; 6-month orders are manual for eligible slot tiers.</x:v>
      </x:c>
      <x:c r="Q20" s="75" t="str">
        <x:v>Primary / first-party source recorded</x:v>
      </x:c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</x:row>
    <x:row r="21" ht="75">
      <x:c r="A21" s="75" t="str">
        <x:v>TeamSpeak</x:v>
      </x:c>
      <x:c r="B21" s="75" t="str">
        <x:v>Current</x:v>
      </x:c>
      <x:c r="C21" s="75" t="str">
        <x:v>Self-host license</x:v>
      </x:c>
      <x:c r="D21" s="75" t="str">
        <x:v>Gamer / Activation 256 slots</x:v>
      </x:c>
      <x:c r="E21" s="75" t="str">
        <x:v>87.50/6mo; 175/yr</x:v>
      </x:c>
      <x:c r="F21" s="75" t="str">
        <x:v>USD</x:v>
      </x:c>
      <x:c r="G21" s="75" t="str">
        <x:v>Monthly / annual as listed</x:v>
      </x:c>
      <x:c r="H21" s="75" t="str">
        <x:v>Per self-host license</x:v>
      </x:c>
      <x:c r="I21" s="75" t="str">
        <x:v>Non-commercial / personal self-host</x:v>
      </x:c>
      <x:c r="J21" s="75" t="str">
        <x:v>Self-host license</x:v>
      </x:c>
      <x:c r="K21" s="75" t="str">
        <x:v>Non-commercial / personal self-host</x:v>
      </x:c>
      <x:c r="L21" s="75" t="str">
        <x:v>Active</x:v>
      </x:c>
      <x:c r="M21" s="75"/>
      <x:c r="N21" s="75" t="str">
        <x:v>https://support.teamspeak.com/hc/en-us/articles/26033788383261-What-licenses-are-available</x:v>
      </x:c>
      <x:c r="O21" s="75" t="str">
        <x:v>2026-09-15</x:v>
      </x:c>
      <x:c r="P21" s="75" t="str">
        <x:v>6-month price is unavailable for 64 slots; 6-month orders are manual for eligible slot tiers.</x:v>
      </x:c>
      <x:c r="Q21" s="75" t="str">
        <x:v>Primary / first-party source recorded</x:v>
      </x:c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</x:row>
    <x:row r="22" ht="75">
      <x:c r="A22" s="75" t="str">
        <x:v>TeamSpeak</x:v>
      </x:c>
      <x:c r="B22" s="75" t="str">
        <x:v>Current</x:v>
      </x:c>
      <x:c r="C22" s="75" t="str">
        <x:v>Self-host license</x:v>
      </x:c>
      <x:c r="D22" s="75" t="str">
        <x:v>Gamer / Activation 512 slots</x:v>
      </x:c>
      <x:c r="E22" s="75" t="str">
        <x:v>150/6mo; 300/yr</x:v>
      </x:c>
      <x:c r="F22" s="75" t="str">
        <x:v>USD</x:v>
      </x:c>
      <x:c r="G22" s="75" t="str">
        <x:v>Monthly / annual as listed</x:v>
      </x:c>
      <x:c r="H22" s="75" t="str">
        <x:v>Per self-host license</x:v>
      </x:c>
      <x:c r="I22" s="75" t="str">
        <x:v>Non-commercial / personal self-host</x:v>
      </x:c>
      <x:c r="J22" s="75" t="str">
        <x:v>Self-host license</x:v>
      </x:c>
      <x:c r="K22" s="75" t="str">
        <x:v>Non-commercial / personal self-host</x:v>
      </x:c>
      <x:c r="L22" s="75" t="str">
        <x:v>Active</x:v>
      </x:c>
      <x:c r="M22" s="75"/>
      <x:c r="N22" s="75" t="str">
        <x:v>https://support.teamspeak.com/hc/en-us/articles/26033788383261-What-licenses-are-available</x:v>
      </x:c>
      <x:c r="O22" s="75" t="str">
        <x:v>2026-09-15</x:v>
      </x:c>
      <x:c r="P22" s="75" t="str">
        <x:v>6-month price is unavailable for 64 slots; 6-month orders are manual for eligible slot tiers.</x:v>
      </x:c>
      <x:c r="Q22" s="75" t="str">
        <x:v>Primary / first-party source recorded</x:v>
      </x:c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</x:row>
    <x:row r="23" ht="75">
      <x:c r="A23" s="75" t="str">
        <x:v>TeamSpeak</x:v>
      </x:c>
      <x:c r="B23" s="75" t="str">
        <x:v>Current</x:v>
      </x:c>
      <x:c r="C23" s="75" t="str">
        <x:v>Self-host license</x:v>
      </x:c>
      <x:c r="D23" s="75" t="str">
        <x:v>Gamer / Activation 1024 slots</x:v>
      </x:c>
      <x:c r="E23" s="75" t="str">
        <x:v>250/6mo; 500/yr</x:v>
      </x:c>
      <x:c r="F23" s="75" t="str">
        <x:v>USD</x:v>
      </x:c>
      <x:c r="G23" s="75" t="str">
        <x:v>Monthly / annual as listed</x:v>
      </x:c>
      <x:c r="H23" s="75" t="str">
        <x:v>Per self-host license</x:v>
      </x:c>
      <x:c r="I23" s="75" t="str">
        <x:v>Non-commercial / personal self-host</x:v>
      </x:c>
      <x:c r="J23" s="75" t="str">
        <x:v>Self-host license</x:v>
      </x:c>
      <x:c r="K23" s="75" t="str">
        <x:v>Non-commercial / personal self-host</x:v>
      </x:c>
      <x:c r="L23" s="75" t="str">
        <x:v>Active</x:v>
      </x:c>
      <x:c r="M23" s="75"/>
      <x:c r="N23" s="75" t="str">
        <x:v>https://support.teamspeak.com/hc/en-us/articles/26033788383261-What-licenses-are-available</x:v>
      </x:c>
      <x:c r="O23" s="75" t="str">
        <x:v>2026-09-15</x:v>
      </x:c>
      <x:c r="P23" s="75" t="str">
        <x:v>6-month price is unavailable for 64 slots; 6-month orders are manual for eligible slot tiers.</x:v>
      </x:c>
      <x:c r="Q23" s="75" t="str">
        <x:v>Primary / first-party source recorded</x:v>
      </x:c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</x:row>
    <x:row r="24" ht="75">
      <x:c r="A24" s="75" t="str">
        <x:v>TeamSpeak</x:v>
      </x:c>
      <x:c r="B24" s="75" t="str">
        <x:v>Current</x:v>
      </x:c>
      <x:c r="C24" s="75" t="str">
        <x:v>Self-host commercial license</x:v>
      </x:c>
      <x:c r="D24" s="75" t="str">
        <x:v>Commercial License</x:v>
      </x:c>
      <x:c r="E24" s="75" t="str">
        <x:v>Contact Sales / Quote</x:v>
      </x:c>
      <x:c r="F24" s="75" t="str">
        <x:v>USD / quote</x:v>
      </x:c>
      <x:c r="G24" s="75" t="str">
        <x:v>Quote</x:v>
      </x:c>
      <x:c r="H24" s="75" t="str">
        <x:v>Custom</x:v>
      </x:c>
      <x:c r="I24" s="75" t="str">
        <x:v>Commercial self-host deployment</x:v>
      </x:c>
      <x:c r="J24" s="75" t="str">
        <x:v>Self-host license</x:v>
      </x:c>
      <x:c r="K24" s="75" t="str">
        <x:v>Commercial self-host deployment</x:v>
      </x:c>
      <x:c r="L24" s="75" t="str">
        <x:v>Contact sales</x:v>
      </x:c>
      <x:c r="M24" s="75"/>
      <x:c r="N24" s="75" t="str">
        <x:v>https://support.teamspeak.com/hc/en-us/articles/26033788383261-What-licenses-are-available</x:v>
      </x:c>
      <x:c r="O24" s="75" t="str">
        <x:v>2026-09-15</x:v>
      </x:c>
      <x:c r="P24" s="75"/>
      <x:c r="Q24" s="75" t="str">
        <x:v>Primary / first-party source recorded</x:v>
      </x:c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</x:row>
    <x:row r="25" ht="75">
      <x:c r="A25" s="75" t="str">
        <x:v>TeamSpeak</x:v>
      </x:c>
      <x:c r="B25" s="75" t="str">
        <x:v>Current</x:v>
      </x:c>
      <x:c r="C25" s="75" t="str">
        <x:v>SDK license</x:v>
      </x:c>
      <x:c r="D25" s="75" t="str">
        <x:v>TeamSpeak SDK License</x:v>
      </x:c>
      <x:c r="E25" s="75" t="str">
        <x:v>Contact Sales / Quote</x:v>
      </x:c>
      <x:c r="F25" s="75" t="str">
        <x:v>USD / quote</x:v>
      </x:c>
      <x:c r="G25" s="75" t="str">
        <x:v>Quote</x:v>
      </x:c>
      <x:c r="H25" s="75" t="str">
        <x:v>Custom</x:v>
      </x:c>
      <x:c r="I25" s="75" t="str">
        <x:v>Embedded voice SDK</x:v>
      </x:c>
      <x:c r="J25" s="75" t="str">
        <x:v>No</x:v>
      </x:c>
      <x:c r="K25" s="75" t="str">
        <x:v>Embedded voice SDK</x:v>
      </x:c>
      <x:c r="L25" s="75" t="str">
        <x:v>Contact sales</x:v>
      </x:c>
      <x:c r="M25" s="75"/>
      <x:c r="N25" s="75" t="str">
        <x:v>https://support.teamspeak.com/hc/en-us/articles/26033788383261-What-licenses-are-available</x:v>
      </x:c>
      <x:c r="O25" s="75" t="str">
        <x:v>2026-09-15</x:v>
      </x:c>
      <x:c r="P25" s="75"/>
      <x:c r="Q25" s="75" t="str">
        <x:v>Primary / first-party source recorded</x:v>
      </x:c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</x:row>
    <x:row r="26" ht="60">
      <x:c r="A26" s="75" t="str">
        <x:v>Zulip</x:v>
      </x:c>
      <x:c r="B26" s="75" t="str">
        <x:v>Current</x:v>
      </x:c>
      <x:c r="C26" s="75" t="str">
        <x:v>Cloud subscription</x:v>
      </x:c>
      <x:c r="D26" s="75" t="str">
        <x:v>Cloud Standard</x:v>
      </x:c>
      <x:c r="E26" s="75" t="str">
        <x:v>8.00/mo; 80.04/yr</x:v>
      </x:c>
      <x:c r="F26" s="75" t="str">
        <x:v>USD</x:v>
      </x:c>
      <x:c r="G26" s="75" t="str">
        <x:v>Monthly / annual as listed</x:v>
      </x:c>
      <x:c r="H26" s="75" t="str">
        <x:v>Per user</x:v>
      </x:c>
      <x:c r="I26" s="75" t="str">
        <x:v>Cloud organization</x:v>
      </x:c>
      <x:c r="J26" s="75" t="str">
        <x:v>No</x:v>
      </x:c>
      <x:c r="K26" s="75" t="str">
        <x:v>Cloud organization</x:v>
      </x:c>
      <x:c r="L26" s="75" t="str">
        <x:v>Active</x:v>
      </x:c>
      <x:c r="M26" s="75"/>
      <x:c r="N26" s="75" t="str">
        <x:v>https://zulip.com/plans/</x:v>
      </x:c>
      <x:c r="O26" s="75" t="str">
        <x:v>2026-09-15</x:v>
      </x:c>
      <x:c r="P26" s="75" t="str">
        <x:v>Annual equivalent shown where Zulip publishes annual per-user pricing.</x:v>
      </x:c>
      <x:c r="Q26" s="75" t="str">
        <x:v>Primary / first-party source recorded</x:v>
      </x:c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</x:row>
    <x:row r="27" ht="60">
      <x:c r="A27" s="75" t="str">
        <x:v>Zulip</x:v>
      </x:c>
      <x:c r="B27" s="75" t="str">
        <x:v>Current</x:v>
      </x:c>
      <x:c r="C27" s="75" t="str">
        <x:v>Cloud subscription</x:v>
      </x:c>
      <x:c r="D27" s="75" t="str">
        <x:v>Cloud Plus</x:v>
      </x:c>
      <x:c r="E27" s="75" t="str">
        <x:v>12.00/mo; 120.00/yr</x:v>
      </x:c>
      <x:c r="F27" s="75" t="str">
        <x:v>USD</x:v>
      </x:c>
      <x:c r="G27" s="75" t="str">
        <x:v>Monthly / annual as listed</x:v>
      </x:c>
      <x:c r="H27" s="75" t="str">
        <x:v>Per user; 10-user minimum</x:v>
      </x:c>
      <x:c r="I27" s="75" t="str">
        <x:v>Cloud organization</x:v>
      </x:c>
      <x:c r="J27" s="75" t="str">
        <x:v>No</x:v>
      </x:c>
      <x:c r="K27" s="75" t="str">
        <x:v>Cloud organization</x:v>
      </x:c>
      <x:c r="L27" s="75" t="str">
        <x:v>Active</x:v>
      </x:c>
      <x:c r="M27" s="75"/>
      <x:c r="N27" s="75" t="str">
        <x:v>https://zulip.com/plans/</x:v>
      </x:c>
      <x:c r="O27" s="75" t="str">
        <x:v>2026-09-15</x:v>
      </x:c>
      <x:c r="P27" s="75" t="str">
        <x:v>Annual equivalent shown where Zulip publishes annual per-user pricing.</x:v>
      </x:c>
      <x:c r="Q27" s="75" t="str">
        <x:v>Primary / first-party source recorded</x:v>
      </x:c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</x:row>
    <x:row r="28" ht="60">
      <x:c r="A28" s="75" t="str">
        <x:v>Zulip</x:v>
      </x:c>
      <x:c r="B28" s="75" t="str">
        <x:v>Current</x:v>
      </x:c>
      <x:c r="C28" s="75" t="str">
        <x:v>Self-host support subscription</x:v>
      </x:c>
      <x:c r="D28" s="75" t="str">
        <x:v>Self-hosted Basic</x:v>
      </x:c>
      <x:c r="E28" s="75" t="str">
        <x:v>3.50/mo</x:v>
      </x:c>
      <x:c r="F28" s="75" t="str">
        <x:v>USD</x:v>
      </x:c>
      <x:c r="G28" s="75" t="str">
        <x:v>Monthly / annual as listed</x:v>
      </x:c>
      <x:c r="H28" s="75" t="str">
        <x:v>Per user</x:v>
      </x:c>
      <x:c r="I28" s="75" t="str">
        <x:v>Self-hosted organization/server</x:v>
      </x:c>
      <x:c r="J28" s="75" t="str">
        <x:v>Self-host license</x:v>
      </x:c>
      <x:c r="K28" s="75" t="str">
        <x:v>Self-hosted organization/server</x:v>
      </x:c>
      <x:c r="L28" s="75" t="str">
        <x:v>Active</x:v>
      </x:c>
      <x:c r="M28" s="75"/>
      <x:c r="N28" s="75" t="str">
        <x:v>https://zulip.com/plans/</x:v>
      </x:c>
      <x:c r="O28" s="75" t="str">
        <x:v>2026-09-15</x:v>
      </x:c>
      <x:c r="P28" s="75" t="str">
        <x:v>Annual equivalent shown where Zulip publishes annual per-user pricing.</x:v>
      </x:c>
      <x:c r="Q28" s="75" t="str">
        <x:v>Primary / first-party source recorded</x:v>
      </x:c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</x:row>
    <x:row r="29" ht="60">
      <x:c r="A29" s="75" t="str">
        <x:v>Zulip</x:v>
      </x:c>
      <x:c r="B29" s="75" t="str">
        <x:v>Current</x:v>
      </x:c>
      <x:c r="C29" s="75" t="str">
        <x:v>Self-host support subscription</x:v>
      </x:c>
      <x:c r="D29" s="75" t="str">
        <x:v>Self-hosted Business</x:v>
      </x:c>
      <x:c r="E29" s="75" t="str">
        <x:v>8.00/mo; 80.04/yr</x:v>
      </x:c>
      <x:c r="F29" s="75" t="str">
        <x:v>USD</x:v>
      </x:c>
      <x:c r="G29" s="75" t="str">
        <x:v>Monthly / annual as listed</x:v>
      </x:c>
      <x:c r="H29" s="75" t="str">
        <x:v>Per user; 25-user minimum</x:v>
      </x:c>
      <x:c r="I29" s="75" t="str">
        <x:v>Self-hosted organization/server</x:v>
      </x:c>
      <x:c r="J29" s="75" t="str">
        <x:v>Self-host license</x:v>
      </x:c>
      <x:c r="K29" s="75" t="str">
        <x:v>Self-hosted organization/server</x:v>
      </x:c>
      <x:c r="L29" s="75" t="str">
        <x:v>Active</x:v>
      </x:c>
      <x:c r="M29" s="75"/>
      <x:c r="N29" s="75" t="str">
        <x:v>https://zulip.com/plans/</x:v>
      </x:c>
      <x:c r="O29" s="75" t="str">
        <x:v>2026-09-15</x:v>
      </x:c>
      <x:c r="P29" s="75" t="str">
        <x:v>Annual equivalent shown where Zulip publishes annual per-user pricing.</x:v>
      </x:c>
      <x:c r="Q29" s="75" t="str">
        <x:v>Primary / first-party source recorded</x:v>
      </x:c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</x:row>
    <x:row r="30" ht="30">
      <x:c r="A30" s="75" t="str">
        <x:v>Zulip</x:v>
      </x:c>
      <x:c r="B30" s="75" t="str">
        <x:v>Current</x:v>
      </x:c>
      <x:c r="C30" s="75" t="str">
        <x:v>Self-host enterprise support</x:v>
      </x:c>
      <x:c r="D30" s="75" t="str">
        <x:v>Self-hosted Enterprise</x:v>
      </x:c>
      <x:c r="E30" s="75" t="str">
        <x:v>Contact Sales / Quote</x:v>
      </x:c>
      <x:c r="F30" s="75" t="str">
        <x:v>USD / quote</x:v>
      </x:c>
      <x:c r="G30" s="75" t="str">
        <x:v>Quote</x:v>
      </x:c>
      <x:c r="H30" s="75" t="str">
        <x:v>Custom</x:v>
      </x:c>
      <x:c r="I30" s="75" t="str">
        <x:v>Self-hosted organization/server</x:v>
      </x:c>
      <x:c r="J30" s="75" t="str">
        <x:v>Self-host license</x:v>
      </x:c>
      <x:c r="K30" s="75" t="str">
        <x:v>Self-hosted organization/server</x:v>
      </x:c>
      <x:c r="L30" s="75" t="str">
        <x:v>Contact sales</x:v>
      </x:c>
      <x:c r="M30" s="75"/>
      <x:c r="N30" s="75" t="str">
        <x:v>https://zulip.com/plans/</x:v>
      </x:c>
      <x:c r="O30" s="75" t="str">
        <x:v>2026-09-15</x:v>
      </x:c>
      <x:c r="P30" s="75"/>
      <x:c r="Q30" s="75" t="str">
        <x:v>Primary / first-party source recorded</x:v>
      </x:c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</x:row>
    <x:row r="31" ht="45">
      <x:c r="A31" s="75" t="str">
        <x:v>Mattermost</x:v>
      </x:c>
      <x:c r="B31" s="75" t="str">
        <x:v>Current</x:v>
      </x:c>
      <x:c r="C31" s="75" t="str">
        <x:v>Annual enterprise subscription</x:v>
      </x:c>
      <x:c r="D31" s="75" t="str">
        <x:v>Professional</x:v>
      </x:c>
      <x:c r="E31" s="75" t="str">
        <x:v>Contact Sales / Quote</x:v>
      </x:c>
      <x:c r="F31" s="75" t="str">
        <x:v>USD / quote</x:v>
      </x:c>
      <x:c r="G31" s="75" t="str">
        <x:v>Quote</x:v>
      </x:c>
      <x:c r="H31" s="75" t="str">
        <x:v>Annual seat license</x:v>
      </x:c>
      <x:c r="I31" s="75" t="str">
        <x:v>Activated users / server</x:v>
      </x:c>
      <x:c r="J31" s="75" t="str">
        <x:v>No</x:v>
      </x:c>
      <x:c r="K31" s="75" t="str">
        <x:v>Activated users / server</x:v>
      </x:c>
      <x:c r="L31" s="75" t="str">
        <x:v>Contact sales</x:v>
      </x:c>
      <x:c r="M31" s="75"/>
      <x:c r="N31" s="75" t="str">
        <x:v>https://mattermost.com/pricing/</x:v>
      </x:c>
      <x:c r="O31" s="75" t="str">
        <x:v>2026-09-15</x:v>
      </x:c>
      <x:c r="P31" s="75" t="str">
        <x:v>Paid licenses are prepaid annual subscriptions based on seats.</x:v>
      </x:c>
      <x:c r="Q31" s="75" t="str">
        <x:v>Primary / first-party source recorded</x:v>
      </x:c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</x:row>
    <x:row r="32" ht="45">
      <x:c r="A32" s="75" t="str">
        <x:v>Mattermost</x:v>
      </x:c>
      <x:c r="B32" s="75" t="str">
        <x:v>Current</x:v>
      </x:c>
      <x:c r="C32" s="75" t="str">
        <x:v>Annual enterprise subscription</x:v>
      </x:c>
      <x:c r="D32" s="75" t="str">
        <x:v>Enterprise</x:v>
      </x:c>
      <x:c r="E32" s="75" t="str">
        <x:v>Contact Sales / Quote</x:v>
      </x:c>
      <x:c r="F32" s="75" t="str">
        <x:v>USD / quote</x:v>
      </x:c>
      <x:c r="G32" s="75" t="str">
        <x:v>Quote</x:v>
      </x:c>
      <x:c r="H32" s="75" t="str">
        <x:v>Annual seat license</x:v>
      </x:c>
      <x:c r="I32" s="75" t="str">
        <x:v>Activated users / server</x:v>
      </x:c>
      <x:c r="J32" s="75" t="str">
        <x:v>No</x:v>
      </x:c>
      <x:c r="K32" s="75" t="str">
        <x:v>Activated users / server</x:v>
      </x:c>
      <x:c r="L32" s="75" t="str">
        <x:v>Contact sales</x:v>
      </x:c>
      <x:c r="M32" s="75"/>
      <x:c r="N32" s="75" t="str">
        <x:v>https://mattermost.com/pricing/</x:v>
      </x:c>
      <x:c r="O32" s="75" t="str">
        <x:v>2026-09-15</x:v>
      </x:c>
      <x:c r="P32" s="75" t="str">
        <x:v>Paid licenses are prepaid annual subscriptions based on seats.</x:v>
      </x:c>
      <x:c r="Q32" s="75" t="str">
        <x:v>Primary / first-party source recorded</x:v>
      </x:c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</x:row>
    <x:row r="33" ht="45">
      <x:c r="A33" s="75" t="str">
        <x:v>Mattermost</x:v>
      </x:c>
      <x:c r="B33" s="75" t="str">
        <x:v>Current</x:v>
      </x:c>
      <x:c r="C33" s="75" t="str">
        <x:v>Annual enterprise subscription</x:v>
      </x:c>
      <x:c r="D33" s="75" t="str">
        <x:v>Enterprise Advanced</x:v>
      </x:c>
      <x:c r="E33" s="75" t="str">
        <x:v>Contact Sales / Quote</x:v>
      </x:c>
      <x:c r="F33" s="75" t="str">
        <x:v>USD / quote</x:v>
      </x:c>
      <x:c r="G33" s="75" t="str">
        <x:v>Quote</x:v>
      </x:c>
      <x:c r="H33" s="75" t="str">
        <x:v>Annual seat license</x:v>
      </x:c>
      <x:c r="I33" s="75" t="str">
        <x:v>Activated users / server</x:v>
      </x:c>
      <x:c r="J33" s="75" t="str">
        <x:v>No</x:v>
      </x:c>
      <x:c r="K33" s="75" t="str">
        <x:v>Activated users / server</x:v>
      </x:c>
      <x:c r="L33" s="75" t="str">
        <x:v>Contact sales</x:v>
      </x:c>
      <x:c r="M33" s="75"/>
      <x:c r="N33" s="75" t="str">
        <x:v>https://mattermost.com/pricing/</x:v>
      </x:c>
      <x:c r="O33" s="75" t="str">
        <x:v>2026-09-15</x:v>
      </x:c>
      <x:c r="P33" s="75" t="str">
        <x:v>Paid licenses are prepaid annual subscriptions based on seats.</x:v>
      </x:c>
      <x:c r="Q33" s="75" t="str">
        <x:v>Primary / first-party source recorded</x:v>
      </x:c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</x:row>
    <x:row r="34" ht="30">
      <x:c r="A34" s="75" t="str">
        <x:v>Mattermost</x:v>
      </x:c>
      <x:c r="B34" s="75" t="str">
        <x:v>Current</x:v>
      </x:c>
      <x:c r="C34" s="75" t="str">
        <x:v>Support add-on</x:v>
      </x:c>
      <x:c r="D34" s="75" t="str">
        <x:v>Premier Support</x:v>
      </x:c>
      <x:c r="E34" s="75" t="str">
        <x:v>Contact Sales / Quote</x:v>
      </x:c>
      <x:c r="F34" s="75" t="str">
        <x:v>USD / quote</x:v>
      </x:c>
      <x:c r="G34" s="75" t="str">
        <x:v>Quote</x:v>
      </x:c>
      <x:c r="H34" s="75" t="str">
        <x:v>Add-on</x:v>
      </x:c>
      <x:c r="I34" s="75" t="str">
        <x:v>Enterprise / Enterprise Advanced customers</x:v>
      </x:c>
      <x:c r="J34" s="75" t="str">
        <x:v>No</x:v>
      </x:c>
      <x:c r="K34" s="75" t="str">
        <x:v>Enterprise / Enterprise Advanced customers</x:v>
      </x:c>
      <x:c r="L34" s="75" t="str">
        <x:v>Paid add-on / contact sales</x:v>
      </x:c>
      <x:c r="M34" s="75"/>
      <x:c r="N34" s="75" t="str">
        <x:v>https://mattermost.com/support/</x:v>
      </x:c>
      <x:c r="O34" s="75" t="str">
        <x:v>2026-09-15</x:v>
      </x:c>
      <x:c r="P34" s="75"/>
      <x:c r="Q34" s="75" t="str">
        <x:v>Primary / first-party source recorded</x:v>
      </x:c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</x:row>
    <x:row r="35" ht="30">
      <x:c r="A35" s="75" t="str">
        <x:v>Rocket.Chat</x:v>
      </x:c>
      <x:c r="B35" s="75" t="str">
        <x:v>Current</x:v>
      </x:c>
      <x:c r="C35" s="75" t="str">
        <x:v>Premium enterprise plan</x:v>
      </x:c>
      <x:c r="D35" s="75" t="str">
        <x:v>Commercial</x:v>
      </x:c>
      <x:c r="E35" s="75" t="str">
        <x:v>Contact Sales / Quote</x:v>
      </x:c>
      <x:c r="F35" s="75" t="str">
        <x:v>Quote</x:v>
      </x:c>
      <x:c r="G35" s="75" t="str">
        <x:v>Quote</x:v>
      </x:c>
      <x:c r="H35" s="75" t="str">
        <x:v>Organization / deployment</x:v>
      </x:c>
      <x:c r="I35" s="75" t="str">
        <x:v>Enterprise deployment</x:v>
      </x:c>
      <x:c r="J35" s="75" t="str">
        <x:v>No</x:v>
      </x:c>
      <x:c r="K35" s="75" t="str">
        <x:v>Enterprise deployment</x:v>
      </x:c>
      <x:c r="L35" s="75" t="str">
        <x:v>Contact sales</x:v>
      </x:c>
      <x:c r="M35" s="75"/>
      <x:c r="N35" s="75" t="str">
        <x:v>https://docs.rocket.chat/our-plans</x:v>
      </x:c>
      <x:c r="O35" s="75" t="str">
        <x:v>2026-09-15</x:v>
      </x:c>
      <x:c r="P35" s="75" t="str">
        <x:v>Starter and Community are free entry points.</x:v>
      </x:c>
      <x:c r="Q35" s="75" t="str">
        <x:v>Primary / first-party source recorded</x:v>
      </x:c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</x:row>
    <x:row r="36" ht="30">
      <x:c r="A36" s="75" t="str">
        <x:v>Rocket.Chat</x:v>
      </x:c>
      <x:c r="B36" s="75" t="str">
        <x:v>Current</x:v>
      </x:c>
      <x:c r="C36" s="75" t="str">
        <x:v>Premium enterprise plan</x:v>
      </x:c>
      <x:c r="D36" s="75" t="str">
        <x:v>Government</x:v>
      </x:c>
      <x:c r="E36" s="75" t="str">
        <x:v>Contact Sales / Quote</x:v>
      </x:c>
      <x:c r="F36" s="75" t="str">
        <x:v>Quote</x:v>
      </x:c>
      <x:c r="G36" s="75" t="str">
        <x:v>Quote</x:v>
      </x:c>
      <x:c r="H36" s="75" t="str">
        <x:v>Organization / deployment</x:v>
      </x:c>
      <x:c r="I36" s="75" t="str">
        <x:v>Enterprise deployment</x:v>
      </x:c>
      <x:c r="J36" s="75" t="str">
        <x:v>No</x:v>
      </x:c>
      <x:c r="K36" s="75" t="str">
        <x:v>Enterprise deployment</x:v>
      </x:c>
      <x:c r="L36" s="75" t="str">
        <x:v>Contact sales</x:v>
      </x:c>
      <x:c r="M36" s="75"/>
      <x:c r="N36" s="75" t="str">
        <x:v>https://docs.rocket.chat/our-plans</x:v>
      </x:c>
      <x:c r="O36" s="75" t="str">
        <x:v>2026-09-15</x:v>
      </x:c>
      <x:c r="P36" s="75" t="str">
        <x:v>Starter and Community are free entry points.</x:v>
      </x:c>
      <x:c r="Q36" s="75" t="str">
        <x:v>Primary / first-party source recorded</x:v>
      </x:c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</x:row>
    <x:row r="37" ht="30">
      <x:c r="A37" s="75" t="str">
        <x:v>Rocket.Chat</x:v>
      </x:c>
      <x:c r="B37" s="75" t="str">
        <x:v>Current</x:v>
      </x:c>
      <x:c r="C37" s="75" t="str">
        <x:v>Premium enterprise plan</x:v>
      </x:c>
      <x:c r="D37" s="75" t="str">
        <x:v>Defense</x:v>
      </x:c>
      <x:c r="E37" s="75" t="str">
        <x:v>Contact Sales / Quote</x:v>
      </x:c>
      <x:c r="F37" s="75" t="str">
        <x:v>Quote</x:v>
      </x:c>
      <x:c r="G37" s="75" t="str">
        <x:v>Quote</x:v>
      </x:c>
      <x:c r="H37" s="75" t="str">
        <x:v>Organization / deployment</x:v>
      </x:c>
      <x:c r="I37" s="75" t="str">
        <x:v>Enterprise deployment</x:v>
      </x:c>
      <x:c r="J37" s="75" t="str">
        <x:v>No</x:v>
      </x:c>
      <x:c r="K37" s="75" t="str">
        <x:v>Enterprise deployment</x:v>
      </x:c>
      <x:c r="L37" s="75" t="str">
        <x:v>Contact sales</x:v>
      </x:c>
      <x:c r="M37" s="75"/>
      <x:c r="N37" s="75" t="str">
        <x:v>https://docs.rocket.chat/our-plans</x:v>
      </x:c>
      <x:c r="O37" s="75" t="str">
        <x:v>2026-09-15</x:v>
      </x:c>
      <x:c r="P37" s="75" t="str">
        <x:v>Starter and Community are free entry points.</x:v>
      </x:c>
      <x:c r="Q37" s="75" t="str">
        <x:v>Primary / first-party source recorded</x:v>
      </x:c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</x:row>
    <x:row r="38" ht="30">
      <x:c r="A38" s="75" t="str">
        <x:v>GameVox</x:v>
      </x:c>
      <x:c r="B38" s="75" t="str">
        <x:v>Current</x:v>
      </x:c>
      <x:c r="C38" s="75" t="str">
        <x:v>Hosted server tier</x:v>
      </x:c>
      <x:c r="D38" s="75" t="str">
        <x:v>Silver</x:v>
      </x:c>
      <x:c r="E38" s="75" t="str">
        <x:v>4.99/mo</x:v>
      </x:c>
      <x:c r="F38" s="75" t="str">
        <x:v>USD</x:v>
      </x:c>
      <x:c r="G38" s="75" t="str">
        <x:v>Monthly / annual as listed</x:v>
      </x:c>
      <x:c r="H38" s="75" t="str">
        <x:v>Per server</x:v>
      </x:c>
      <x:c r="I38" s="75" t="str">
        <x:v>Entire server/community</x:v>
      </x:c>
      <x:c r="J38" s="75" t="str">
        <x:v>Yes</x:v>
      </x:c>
      <x:c r="K38" s="75" t="str">
        <x:v>Entire server/community</x:v>
      </x:c>
      <x:c r="L38" s="75" t="str">
        <x:v>Active</x:v>
      </x:c>
      <x:c r="M38" s="75"/>
      <x:c r="N38" s="75" t="str">
        <x:v>https://gamevox.com/blog/gamevox-vs-discord/</x:v>
      </x:c>
      <x:c r="O38" s="75" t="str">
        <x:v>2026-09-15</x:v>
      </x:c>
      <x:c r="P38" s="75" t="str">
        <x:v>One server payment benefits all members.</x:v>
      </x:c>
      <x:c r="Q38" s="75" t="str">
        <x:v>Primary / first-party source recorded</x:v>
      </x:c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</x:row>
    <x:row r="39" ht="30">
      <x:c r="A39" s="75" t="str">
        <x:v>GameVox</x:v>
      </x:c>
      <x:c r="B39" s="75" t="str">
        <x:v>Current</x:v>
      </x:c>
      <x:c r="C39" s="75" t="str">
        <x:v>Hosted server tier</x:v>
      </x:c>
      <x:c r="D39" s="75" t="str">
        <x:v>Gold</x:v>
      </x:c>
      <x:c r="E39" s="75" t="str">
        <x:v>9.99/mo</x:v>
      </x:c>
      <x:c r="F39" s="75" t="str">
        <x:v>USD</x:v>
      </x:c>
      <x:c r="G39" s="75" t="str">
        <x:v>Monthly / annual as listed</x:v>
      </x:c>
      <x:c r="H39" s="75" t="str">
        <x:v>Per server</x:v>
      </x:c>
      <x:c r="I39" s="75" t="str">
        <x:v>Entire server/community</x:v>
      </x:c>
      <x:c r="J39" s="75" t="str">
        <x:v>Yes</x:v>
      </x:c>
      <x:c r="K39" s="75" t="str">
        <x:v>Entire server/community</x:v>
      </x:c>
      <x:c r="L39" s="75" t="str">
        <x:v>Active</x:v>
      </x:c>
      <x:c r="M39" s="75"/>
      <x:c r="N39" s="75" t="str">
        <x:v>https://gamevox.com/blog/gamevox-vs-discord/</x:v>
      </x:c>
      <x:c r="O39" s="75" t="str">
        <x:v>2026-09-15</x:v>
      </x:c>
      <x:c r="P39" s="75" t="str">
        <x:v>One server payment benefits all members.</x:v>
      </x:c>
      <x:c r="Q39" s="75" t="str">
        <x:v>Primary / first-party source recorded</x:v>
      </x:c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</x:row>
    <x:row r="40" ht="30">
      <x:c r="A40" s="75" t="str">
        <x:v>GameVox</x:v>
      </x:c>
      <x:c r="B40" s="75" t="str">
        <x:v>Current</x:v>
      </x:c>
      <x:c r="C40" s="75" t="str">
        <x:v>Hosted server tier</x:v>
      </x:c>
      <x:c r="D40" s="75" t="str">
        <x:v>Diamond</x:v>
      </x:c>
      <x:c r="E40" s="75" t="str">
        <x:v>19.99/mo</x:v>
      </x:c>
      <x:c r="F40" s="75" t="str">
        <x:v>USD</x:v>
      </x:c>
      <x:c r="G40" s="75" t="str">
        <x:v>Monthly / annual as listed</x:v>
      </x:c>
      <x:c r="H40" s="75" t="str">
        <x:v>Per server</x:v>
      </x:c>
      <x:c r="I40" s="75" t="str">
        <x:v>Entire server/community</x:v>
      </x:c>
      <x:c r="J40" s="75" t="str">
        <x:v>Yes</x:v>
      </x:c>
      <x:c r="K40" s="75" t="str">
        <x:v>Entire server/community</x:v>
      </x:c>
      <x:c r="L40" s="75" t="str">
        <x:v>Active</x:v>
      </x:c>
      <x:c r="M40" s="75"/>
      <x:c r="N40" s="75" t="str">
        <x:v>https://gamevox.com/blog/gamevox-vs-discord/</x:v>
      </x:c>
      <x:c r="O40" s="75" t="str">
        <x:v>2026-09-15</x:v>
      </x:c>
      <x:c r="P40" s="75" t="str">
        <x:v>One server payment benefits all members.</x:v>
      </x:c>
      <x:c r="Q40" s="75" t="str">
        <x:v>Primary / first-party source recorded</x:v>
      </x:c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</x:row>
    <x:row r="41" ht="75">
      <x:c r="A41" s="75" t="str">
        <x:v>GameVox</x:v>
      </x:c>
      <x:c r="B41" s="75" t="str">
        <x:v>Current</x:v>
      </x:c>
      <x:c r="C41" s="75" t="str">
        <x:v>Self-host license</x:v>
      </x:c>
      <x:c r="D41" s="75" t="str">
        <x:v>Self-Hosted Server License</x:v>
      </x:c>
      <x:c r="E41" s="75" t="str">
        <x:v>2.00/mo; 15.00/yr</x:v>
      </x:c>
      <x:c r="F41" s="75" t="str">
        <x:v>USD</x:v>
      </x:c>
      <x:c r="G41" s="75" t="str">
        <x:v>Monthly / annual as listed</x:v>
      </x:c>
      <x:c r="H41" s="75" t="str">
        <x:v>Per self-hosted server</x:v>
      </x:c>
      <x:c r="I41" s="75" t="str">
        <x:v>Self-host deployment</x:v>
      </x:c>
      <x:c r="J41" s="75" t="str">
        <x:v>Self-host license</x:v>
      </x:c>
      <x:c r="K41" s="75" t="str">
        <x:v>Self-host deployment</x:v>
      </x:c>
      <x:c r="L41" s="75" t="str">
        <x:v>Active</x:v>
      </x:c>
      <x:c r="M41" s="75"/>
      <x:c r="N41" s="75" t="str">
        <x:v>https://gamevox.com/self-hosted/</x:v>
      </x:c>
      <x:c r="O41" s="75" t="str">
        <x:v>2026-09-15</x:v>
      </x:c>
      <x:c r="P41" s="75" t="str">
        <x:v>The free-before-July-1-2026 grandfathering period has passed; current new-license price is $2/mo or $15/yr.</x:v>
      </x:c>
      <x:c r="Q41" s="75" t="str">
        <x:v>Primary / first-party source recorded</x:v>
      </x:c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</x:row>
    <x:row r="42" ht="30">
      <x:c r="A42" s="75" t="str">
        <x:v>Nerimity</x:v>
      </x:c>
      <x:c r="B42" s="75" t="str">
        <x:v>Current</x:v>
      </x:c>
      <x:c r="C42" s="75" t="str">
        <x:v>No public paid tier</x:v>
      </x:c>
      <x:c r="D42" s="75" t="str">
        <x:v>No paid subscription verified</x:v>
      </x:c>
      <x:c r="E42" s="75" t="str">
        <x:v>N/A</x:v>
      </x:c>
      <x:c r="F42" s="75" t="str">
        <x:v>N/A</x:v>
      </x:c>
      <x:c r="G42" s="75" t="str">
        <x:v>N/A / U/K</x:v>
      </x:c>
      <x:c r="H42" s="75" t="str">
        <x:v>Donation-supported</x:v>
      </x:c>
      <x:c r="I42" s="75" t="str">
        <x:v>Hosted service</x:v>
      </x:c>
      <x:c r="J42" s="75" t="str">
        <x:v>No</x:v>
      </x:c>
      <x:c r="K42" s="75" t="str">
        <x:v>Hosted service</x:v>
      </x:c>
      <x:c r="L42" s="75" t="str">
        <x:v>None verified</x:v>
      </x:c>
      <x:c r="M42" s="75"/>
      <x:c r="N42" s="75" t="str">
        <x:v>https://nerimity.com/</x:v>
      </x:c>
      <x:c r="O42" s="75" t="str">
        <x:v>2026-09-15</x:v>
      </x:c>
      <x:c r="P42" s="75"/>
      <x:c r="Q42" s="75" t="str">
        <x:v>Primary / first-party source recorded</x:v>
      </x:c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</x:row>
    <x:row r="43" ht="30">
      <x:c r="A43" s="75" t="str">
        <x:v>Osmium</x:v>
      </x:c>
      <x:c r="B43" s="75" t="str">
        <x:v>Current</x:v>
      </x:c>
      <x:c r="C43" s="75" t="str">
        <x:v>No public paid tier</x:v>
      </x:c>
      <x:c r="D43" s="75" t="str">
        <x:v>No public fixed-price paid tier verified</x:v>
      </x:c>
      <x:c r="E43" s="75" t="str">
        <x:v>N/A</x:v>
      </x:c>
      <x:c r="F43" s="75" t="str">
        <x:v>U/K</x:v>
      </x:c>
      <x:c r="G43" s="75" t="str">
        <x:v>N/A / U/K</x:v>
      </x:c>
      <x:c r="H43" s="75" t="str">
        <x:v>U/K</x:v>
      </x:c>
      <x:c r="I43" s="75" t="str">
        <x:v>Hosted service</x:v>
      </x:c>
      <x:c r="J43" s="75" t="str">
        <x:v>No</x:v>
      </x:c>
      <x:c r="K43" s="75" t="str">
        <x:v>Hosted service</x:v>
      </x:c>
      <x:c r="L43" s="75" t="str">
        <x:v>None verified</x:v>
      </x:c>
      <x:c r="M43" s="75"/>
      <x:c r="N43" s="75" t="str">
        <x:v>https://osmium.chat/</x:v>
      </x:c>
      <x:c r="O43" s="75" t="str">
        <x:v>2026-09-15</x:v>
      </x:c>
      <x:c r="P43" s="75" t="str">
        <x:v>No reliable current paid-plan schedule found.</x:v>
      </x:c>
      <x:c r="Q43" s="75" t="str">
        <x:v>Primary / first-party source recorded</x:v>
      </x:c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</x:row>
    <x:row r="44" ht="45">
      <x:c r="A44" s="75" t="str">
        <x:v>Loqa</x:v>
      </x:c>
      <x:c r="B44" s="75" t="str">
        <x:v>Current</x:v>
      </x:c>
      <x:c r="C44" s="75" t="str">
        <x:v>No public paid tier</x:v>
      </x:c>
      <x:c r="D44" s="75" t="str">
        <x:v>No public fixed-price paid tier verified</x:v>
      </x:c>
      <x:c r="E44" s="75" t="str">
        <x:v>N/A</x:v>
      </x:c>
      <x:c r="F44" s="75" t="str">
        <x:v>U/K</x:v>
      </x:c>
      <x:c r="G44" s="75" t="str">
        <x:v>N/A / U/K</x:v>
      </x:c>
      <x:c r="H44" s="75" t="str">
        <x:v>U/K</x:v>
      </x:c>
      <x:c r="I44" s="75" t="str">
        <x:v>Hosted / self-host project</x:v>
      </x:c>
      <x:c r="J44" s="75" t="str">
        <x:v>No</x:v>
      </x:c>
      <x:c r="K44" s="75" t="str">
        <x:v>Hosted / self-host project</x:v>
      </x:c>
      <x:c r="L44" s="75" t="str">
        <x:v>None verified</x:v>
      </x:c>
      <x:c r="M44" s="75"/>
      <x:c r="N44" s="75" t="str">
        <x:v>https://loqa.chat/</x:v>
      </x:c>
      <x:c r="O44" s="75" t="str">
        <x:v>2026-09-15</x:v>
      </x:c>
      <x:c r="P44" s="75" t="str">
        <x:v>Open beta; no public fixed-price paid tier verified.</x:v>
      </x:c>
      <x:c r="Q44" s="75" t="str">
        <x:v>Primary / first-party source recorded</x:v>
      </x:c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</x:row>
    <x:row r="45" ht="45">
      <x:c r="A45" s="75" t="str">
        <x:v>Venta</x:v>
      </x:c>
      <x:c r="B45" s="75" t="str">
        <x:v>Current</x:v>
      </x:c>
      <x:c r="C45" s="75" t="str">
        <x:v>No public paid tier</x:v>
      </x:c>
      <x:c r="D45" s="75" t="str">
        <x:v>No public fixed-price paid tier verified</x:v>
      </x:c>
      <x:c r="E45" s="75" t="str">
        <x:v>N/A</x:v>
      </x:c>
      <x:c r="F45" s="75" t="str">
        <x:v>U/K</x:v>
      </x:c>
      <x:c r="G45" s="75" t="str">
        <x:v>N/A / U/K</x:v>
      </x:c>
      <x:c r="H45" s="75" t="str">
        <x:v>U/K</x:v>
      </x:c>
      <x:c r="I45" s="75" t="str">
        <x:v>Early project</x:v>
      </x:c>
      <x:c r="J45" s="75" t="str">
        <x:v>No</x:v>
      </x:c>
      <x:c r="K45" s="75" t="str">
        <x:v>Early project</x:v>
      </x:c>
      <x:c r="L45" s="75" t="str">
        <x:v>None verified</x:v>
      </x:c>
      <x:c r="M45" s="75"/>
      <x:c r="N45" s="75" t="str">
        <x:v>https://venta.gg/</x:v>
      </x:c>
      <x:c r="O45" s="75" t="str">
        <x:v>2026-09-15</x:v>
      </x:c>
      <x:c r="P45" s="75" t="str">
        <x:v>Architecture and monetization are still evolving.</x:v>
      </x:c>
      <x:c r="Q45" s="75" t="str">
        <x:v>Primary / first-party source recorded</x:v>
      </x:c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</x:row>
    <x:row r="46" ht="45">
      <x:c r="A46" s="75" t="str">
        <x:v>Mezon</x:v>
      </x:c>
      <x:c r="B46" s="75" t="str">
        <x:v>Current</x:v>
      </x:c>
      <x:c r="C46" s="75" t="str">
        <x:v>No paid communication tier</x:v>
      </x:c>
      <x:c r="D46" s="75" t="str">
        <x:v>No premium communication subscription</x:v>
      </x:c>
      <x:c r="E46" s="75" t="str">
        <x:v>N/A</x:v>
      </x:c>
      <x:c r="F46" s="75" t="str">
        <x:v>N/A</x:v>
      </x:c>
      <x:c r="G46" s="75" t="str">
        <x:v>N/A / U/K</x:v>
      </x:c>
      <x:c r="H46" s="75" t="str">
        <x:v>Free service</x:v>
      </x:c>
      <x:c r="I46" s="75" t="str">
        <x:v>All users</x:v>
      </x:c>
      <x:c r="J46" s="75" t="str">
        <x:v>No</x:v>
      </x:c>
      <x:c r="K46" s="75" t="str">
        <x:v>All users</x:v>
      </x:c>
      <x:c r="L46" s="75" t="str">
        <x:v>None</x:v>
      </x:c>
      <x:c r="M46" s="75"/>
      <x:c r="N46" s="75" t="str">
        <x:v>https://mezon.ai/docs/user/resources/FAQ/</x:v>
      </x:c>
      <x:c r="O46" s="75" t="str">
        <x:v>2026-09-15</x:v>
      </x:c>
      <x:c r="P46" s="75"/>
      <x:c r="Q46" s="75" t="str">
        <x:v>Primary / first-party source recorded</x:v>
      </x:c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</x:row>
    <x:row r="47" ht="30">
      <x:c r="A47" s="75" t="str">
        <x:v>Kloak</x:v>
      </x:c>
      <x:c r="B47" s="75" t="str">
        <x:v>Current</x:v>
      </x:c>
      <x:c r="C47" s="75" t="str">
        <x:v>No public paid tier</x:v>
      </x:c>
      <x:c r="D47" s="75" t="str">
        <x:v>No public fixed-price paid tier verified</x:v>
      </x:c>
      <x:c r="E47" s="75" t="str">
        <x:v>N/A</x:v>
      </x:c>
      <x:c r="F47" s="75" t="str">
        <x:v>U/K</x:v>
      </x:c>
      <x:c r="G47" s="75" t="str">
        <x:v>N/A / U/K</x:v>
      </x:c>
      <x:c r="H47" s="75" t="str">
        <x:v>U/K</x:v>
      </x:c>
      <x:c r="I47" s="75" t="str">
        <x:v>Hosted service</x:v>
      </x:c>
      <x:c r="J47" s="75" t="str">
        <x:v>No</x:v>
      </x:c>
      <x:c r="K47" s="75" t="str">
        <x:v>Hosted service</x:v>
      </x:c>
      <x:c r="L47" s="75" t="str">
        <x:v>None verified</x:v>
      </x:c>
      <x:c r="M47" s="75"/>
      <x:c r="N47" s="75" t="str">
        <x:v>https://kloak.app/</x:v>
      </x:c>
      <x:c r="O47" s="75" t="str">
        <x:v>2026-09-15</x:v>
      </x:c>
      <x:c r="P47" s="75" t="str">
        <x:v>No public pricing page verified.</x:v>
      </x:c>
      <x:c r="Q47" s="75" t="str">
        <x:v>Primary / first-party source recorded</x:v>
      </x:c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</x:row>
    <x:row r="48" ht="90">
      <x:c r="A48" s="75" t="str">
        <x:v>Yapper</x:v>
      </x:c>
      <x:c r="B48" s="75" t="str">
        <x:v>Current</x:v>
      </x:c>
      <x:c r="C48" s="75" t="str">
        <x:v>Managed hosting</x:v>
      </x:c>
      <x:c r="D48" s="75" t="str">
        <x:v>Yapper Hosting — 1 Year</x:v>
      </x:c>
      <x:c r="E48" s="75" t="str">
        <x:v>45.00 promo / 90.00 regular/yr</x:v>
      </x:c>
      <x:c r="F48" s="75" t="str">
        <x:v>EUR</x:v>
      </x:c>
      <x:c r="G48" s="75" t="str">
        <x:v>Monthly / annual as listed</x:v>
      </x:c>
      <x:c r="H48" s="75" t="str">
        <x:v>Per managed server</x:v>
      </x:c>
      <x:c r="I48" s="75" t="str">
        <x:v>Hosted server up to 100 users</x:v>
      </x:c>
      <x:c r="J48" s="75" t="str">
        <x:v>No</x:v>
      </x:c>
      <x:c r="K48" s="75" t="str">
        <x:v>Hosted server up to 100 users</x:v>
      </x:c>
      <x:c r="L48" s="75" t="str">
        <x:v>Active / promotional</x:v>
      </x:c>
      <x:c r="M48" s="75"/>
      <x:c r="N48" s="75" t="str">
        <x:v>https://yapper.gg/pricing</x:v>
      </x:c>
      <x:c r="O48" s="75" t="str">
        <x:v>2026-09-15</x:v>
      </x:c>
      <x:c r="P48" s="75" t="str">
        <x:v>€45/year promotional price shown through Jan 31, 2027; regular annual price €90. Self-host license is free and is not a paid tier.</x:v>
      </x:c>
      <x:c r="Q48" s="75" t="str">
        <x:v>Primary / first-party source recorded</x:v>
      </x:c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</x:row>
    <x:row r="49" ht="30">
      <x:c r="A49" s="75" t="str">
        <x:v>Harmony</x:v>
      </x:c>
      <x:c r="B49" s="75" t="str">
        <x:v>Current</x:v>
      </x:c>
      <x:c r="C49" s="75" t="str">
        <x:v>No public paid tier</x:v>
      </x:c>
      <x:c r="D49" s="75" t="str">
        <x:v>No central paid tier</x:v>
      </x:c>
      <x:c r="E49" s="75" t="str">
        <x:v>N/A</x:v>
      </x:c>
      <x:c r="F49" s="75" t="str">
        <x:v>N/A</x:v>
      </x:c>
      <x:c r="G49" s="75" t="str">
        <x:v>N/A / U/K</x:v>
      </x:c>
      <x:c r="H49" s="75" t="str">
        <x:v>Open-source/self-host</x:v>
      </x:c>
      <x:c r="I49" s="75" t="str">
        <x:v>Operator</x:v>
      </x:c>
      <x:c r="J49" s="75" t="str">
        <x:v>No</x:v>
      </x:c>
      <x:c r="K49" s="75" t="str">
        <x:v>Operator</x:v>
      </x:c>
      <x:c r="L49" s="75" t="str">
        <x:v>None</x:v>
      </x:c>
      <x:c r="M49" s="75"/>
      <x:c r="N49" s="75" t="str">
        <x:v>https://codeberg.org/MelodyChat/Harmony</x:v>
      </x:c>
      <x:c r="O49" s="75" t="str">
        <x:v>2026-09-15</x:v>
      </x:c>
      <x:c r="P49" s="75" t="str">
        <x:v>Fermi is a client, not the platform.</x:v>
      </x:c>
      <x:c r="Q49" s="75" t="str">
        <x:v>Primary / first-party source recorded</x:v>
      </x:c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</x:row>
    <x:row r="50" ht="30">
      <x:c r="A50" s="75" t="str">
        <x:v>Roomy</x:v>
      </x:c>
      <x:c r="B50" s="75" t="str">
        <x:v>Current</x:v>
      </x:c>
      <x:c r="C50" s="75" t="str">
        <x:v>No Roomy-specific paid tier</x:v>
      </x:c>
      <x:c r="D50" s="75" t="str">
        <x:v>No paid Roomy subscription verified</x:v>
      </x:c>
      <x:c r="E50" s="75" t="str">
        <x:v>N/A</x:v>
      </x:c>
      <x:c r="F50" s="75" t="str">
        <x:v>N/A</x:v>
      </x:c>
      <x:c r="G50" s="75" t="str">
        <x:v>N/A / U/K</x:v>
      </x:c>
      <x:c r="H50" s="75" t="str">
        <x:v>Open-source / ATProto</x:v>
      </x:c>
      <x:c r="I50" s="75" t="str">
        <x:v>Provider-specific</x:v>
      </x:c>
      <x:c r="J50" s="75" t="str">
        <x:v>No</x:v>
      </x:c>
      <x:c r="K50" s="75" t="str">
        <x:v>Provider-specific</x:v>
      </x:c>
      <x:c r="L50" s="75" t="str">
        <x:v>None verified</x:v>
      </x:c>
      <x:c r="M50" s="75"/>
      <x:c r="N50" s="75" t="str">
        <x:v>https://github.com/muni-town/roomy</x:v>
      </x:c>
      <x:c r="O50" s="75" t="str">
        <x:v>2026-09-15</x:v>
      </x:c>
      <x:c r="P50" s="75"/>
      <x:c r="Q50" s="75" t="str">
        <x:v>Primary / first-party source recorded</x:v>
      </x:c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</x:row>
    <x:row r="51" ht="30">
      <x:c r="A51" s="75" t="str">
        <x:v>Armada</x:v>
      </x:c>
      <x:c r="B51" s="75" t="str">
        <x:v>Current</x:v>
      </x:c>
      <x:c r="C51" s="75" t="str">
        <x:v>No central paid tier</x:v>
      </x:c>
      <x:c r="D51" s="75" t="str">
        <x:v>No Armada subscription</x:v>
      </x:c>
      <x:c r="E51" s="75" t="str">
        <x:v>N/A</x:v>
      </x:c>
      <x:c r="F51" s="75" t="str">
        <x:v>N/A</x:v>
      </x:c>
      <x:c r="G51" s="75" t="str">
        <x:v>N/A / U/K</x:v>
      </x:c>
      <x:c r="H51" s="75" t="str">
        <x:v>Open-source / relay ecosystem</x:v>
      </x:c>
      <x:c r="I51" s="75" t="str">
        <x:v>Relay/provider</x:v>
      </x:c>
      <x:c r="J51" s="75" t="str">
        <x:v>No</x:v>
      </x:c>
      <x:c r="K51" s="75" t="str">
        <x:v>Relay/provider</x:v>
      </x:c>
      <x:c r="L51" s="75" t="str">
        <x:v>None</x:v>
      </x:c>
      <x:c r="M51" s="75"/>
      <x:c r="N51" s="75" t="str">
        <x:v>https://github.com/soapbox-pub/armada</x:v>
      </x:c>
      <x:c r="O51" s="75" t="str">
        <x:v>2026-09-15</x:v>
      </x:c>
      <x:c r="P51" s="75"/>
      <x:c r="Q51" s="75" t="str">
        <x:v>Primary / first-party source recorded</x:v>
      </x:c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</x:row>
    <x:row r="52" ht="30">
      <x:c r="A52" s="75" t="str">
        <x:v>Hollow</x:v>
      </x:c>
      <x:c r="B52" s="75" t="str">
        <x:v>Current</x:v>
      </x:c>
      <x:c r="C52" s="75" t="str">
        <x:v>No central paid tier</x:v>
      </x:c>
      <x:c r="D52" s="75" t="str">
        <x:v>No Hollow subscription</x:v>
      </x:c>
      <x:c r="E52" s="75" t="str">
        <x:v>N/A</x:v>
      </x:c>
      <x:c r="F52" s="75" t="str">
        <x:v>N/A</x:v>
      </x:c>
      <x:c r="G52" s="75" t="str">
        <x:v>N/A / U/K</x:v>
      </x:c>
      <x:c r="H52" s="75" t="str">
        <x:v>Open-source / self-host relay</x:v>
      </x:c>
      <x:c r="I52" s="75" t="str">
        <x:v>Operator</x:v>
      </x:c>
      <x:c r="J52" s="75" t="str">
        <x:v>No</x:v>
      </x:c>
      <x:c r="K52" s="75" t="str">
        <x:v>Operator</x:v>
      </x:c>
      <x:c r="L52" s="75" t="str">
        <x:v>None</x:v>
      </x:c>
      <x:c r="M52" s="75"/>
      <x:c r="N52" s="75" t="str">
        <x:v>https://github.com/VitalikPro13/HOLLOW</x:v>
      </x:c>
      <x:c r="O52" s="75" t="str">
        <x:v>2026-09-15</x:v>
      </x:c>
      <x:c r="P52" s="75"/>
      <x:c r="Q52" s="75" t="str">
        <x:v>Primary / first-party source recorded</x:v>
      </x:c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</x:row>
    <x:row r="53" ht="30">
      <x:c r="A53" s="75" t="str">
        <x:v>DCTS</x:v>
      </x:c>
      <x:c r="B53" s="75" t="str">
        <x:v>Current</x:v>
      </x:c>
      <x:c r="C53" s="75" t="str">
        <x:v>No central paid tier</x:v>
      </x:c>
      <x:c r="D53" s="75" t="str">
        <x:v>No DCTS subscription</x:v>
      </x:c>
      <x:c r="E53" s="75" t="str">
        <x:v>N/A</x:v>
      </x:c>
      <x:c r="F53" s="75" t="str">
        <x:v>N/A</x:v>
      </x:c>
      <x:c r="G53" s="75" t="str">
        <x:v>N/A / U/K</x:v>
      </x:c>
      <x:c r="H53" s="75" t="str">
        <x:v>AGPL self-host / community-supported</x:v>
      </x:c>
      <x:c r="I53" s="75" t="str">
        <x:v>Operator</x:v>
      </x:c>
      <x:c r="J53" s="75" t="str">
        <x:v>No</x:v>
      </x:c>
      <x:c r="K53" s="75" t="str">
        <x:v>Operator</x:v>
      </x:c>
      <x:c r="L53" s="75" t="str">
        <x:v>None</x:v>
      </x:c>
      <x:c r="M53" s="75"/>
      <x:c r="N53" s="75" t="str">
        <x:v>https://dcts.community/</x:v>
      </x:c>
      <x:c r="O53" s="75" t="str">
        <x:v>2026-09-15</x:v>
      </x:c>
      <x:c r="P53" s="75"/>
      <x:c r="Q53" s="75" t="str">
        <x:v>Primary / first-party source recorded</x:v>
      </x:c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</x:row>
    <x:row r="54" ht="30">
      <x:c r="A54" s="75" t="str">
        <x:v>Rift</x:v>
      </x:c>
      <x:c r="B54" s="75" t="str">
        <x:v>Current</x:v>
      </x:c>
      <x:c r="C54" s="75" t="str">
        <x:v>User subscription</x:v>
      </x:c>
      <x:c r="D54" s="75" t="str">
        <x:v>Rift+</x:v>
      </x:c>
      <x:c r="E54" s="75" t="str">
        <x:v>7.00/mo; 70.00/yr</x:v>
      </x:c>
      <x:c r="F54" s="75" t="str">
        <x:v>USD</x:v>
      </x:c>
      <x:c r="G54" s="75" t="str">
        <x:v>Monthly / annual as listed</x:v>
      </x:c>
      <x:c r="H54" s="75" t="str">
        <x:v>Per user</x:v>
      </x:c>
      <x:c r="I54" s="75" t="str">
        <x:v>Personal account</x:v>
      </x:c>
      <x:c r="J54" s="75" t="str">
        <x:v>No</x:v>
      </x:c>
      <x:c r="K54" s="75" t="str">
        <x:v>Yes</x:v>
      </x:c>
      <x:c r="L54" s="75" t="str">
        <x:v>Active</x:v>
      </x:c>
      <x:c r="M54" s="75"/>
      <x:c r="N54" s="75" t="str">
        <x:v>https://therift.chat/de/plans/</x:v>
      </x:c>
      <x:c r="O54" s="75" t="str">
        <x:v>2026-09-15</x:v>
      </x:c>
      <x:c r="P54" s="75" t="str">
        <x:v>Personal tier; travels with the user.</x:v>
      </x:c>
      <x:c r="Q54" s="75" t="str">
        <x:v>Primary / first-party source recorded</x:v>
      </x:c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</x:row>
    <x:row r="55" ht="30">
      <x:c r="A55" s="75" t="str">
        <x:v>Rift</x:v>
      </x:c>
      <x:c r="B55" s="75" t="str">
        <x:v>Current</x:v>
      </x:c>
      <x:c r="C55" s="75" t="str">
        <x:v>Community subscription</x:v>
      </x:c>
      <x:c r="D55" s="75" t="str">
        <x:v>Shard Ember</x:v>
      </x:c>
      <x:c r="E55" s="75" t="str">
        <x:v>10.00/mo</x:v>
      </x:c>
      <x:c r="F55" s="75" t="str">
        <x:v>USD</x:v>
      </x:c>
      <x:c r="G55" s="75" t="str">
        <x:v>Monthly / annual as listed</x:v>
      </x:c>
      <x:c r="H55" s="75" t="str">
        <x:v>Per community / Shard</x:v>
      </x:c>
      <x:c r="I55" s="75" t="str">
        <x:v>Entire community</x:v>
      </x:c>
      <x:c r="J55" s="75" t="str">
        <x:v>No</x:v>
      </x:c>
      <x:c r="K55" s="75" t="str">
        <x:v>Entire community</x:v>
      </x:c>
      <x:c r="L55" s="75" t="str">
        <x:v>Active</x:v>
      </x:c>
      <x:c r="M55" s="75"/>
      <x:c r="N55" s="75" t="str">
        <x:v>https://therift.chat/de/plans/</x:v>
      </x:c>
      <x:c r="O55" s="75" t="str">
        <x:v>2026-09-15</x:v>
      </x:c>
      <x:c r="P55" s="75" t="str">
        <x:v>One member pays; whole Shard benefits.</x:v>
      </x:c>
      <x:c r="Q55" s="75" t="str">
        <x:v>Primary / first-party source recorded</x:v>
      </x:c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</x:row>
    <x:row r="56" ht="30">
      <x:c r="A56" s="75" t="str">
        <x:v>Rift</x:v>
      </x:c>
      <x:c r="B56" s="75" t="str">
        <x:v>Current</x:v>
      </x:c>
      <x:c r="C56" s="75" t="str">
        <x:v>Community subscription</x:v>
      </x:c>
      <x:c r="D56" s="75" t="str">
        <x:v>Shard Forge</x:v>
      </x:c>
      <x:c r="E56" s="75" t="str">
        <x:v>25.00/mo</x:v>
      </x:c>
      <x:c r="F56" s="75" t="str">
        <x:v>USD</x:v>
      </x:c>
      <x:c r="G56" s="75" t="str">
        <x:v>Monthly / annual as listed</x:v>
      </x:c>
      <x:c r="H56" s="75" t="str">
        <x:v>Per community / Shard</x:v>
      </x:c>
      <x:c r="I56" s="75" t="str">
        <x:v>Entire community</x:v>
      </x:c>
      <x:c r="J56" s="75" t="str">
        <x:v>No</x:v>
      </x:c>
      <x:c r="K56" s="75" t="str">
        <x:v>Entire community</x:v>
      </x:c>
      <x:c r="L56" s="75" t="str">
        <x:v>Active</x:v>
      </x:c>
      <x:c r="M56" s="75"/>
      <x:c r="N56" s="75" t="str">
        <x:v>https://therift.chat/de/plans/</x:v>
      </x:c>
      <x:c r="O56" s="75" t="str">
        <x:v>2026-09-15</x:v>
      </x:c>
      <x:c r="P56" s="75" t="str">
        <x:v>One member pays; whole Shard benefits.</x:v>
      </x:c>
      <x:c r="Q56" s="75" t="str">
        <x:v>Primary / first-party source recorded</x:v>
      </x:c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</x:row>
    <x:row r="57" ht="30">
      <x:c r="A57" s="75" t="str">
        <x:f>IF('Master'!C756="","",'Master'!C756)</x:f>
        <x:v>No paid tier</x:v>
      </x:c>
      <x:c r="B57" s="75" t="str">
        <x:f>IF('Master'!D756="","",'Master'!D756)</x:f>
        <x:v>pqp.gg</x:v>
      </x:c>
      <x:c r="C57" s="75" t="str">
        <x:f>IF('Master'!E756="","",'Master'!E756)</x:f>
        <x:v>Current</x:v>
      </x:c>
      <x:c r="D57" s="75" t="str">
        <x:f>IF('Master'!F756="","",'Master'!F756)</x:f>
        <x:v>Free hosted service</x:v>
      </x:c>
      <x:c r="E57" s="75" t="str">
        <x:f>IF('Master'!G756="","",'Master'!G756)</x:f>
      </x:c>
      <x:c r="F57" s="75" t="str">
        <x:f>IF('Master'!H756="","",'Master'!H756)</x:f>
        <x:v>N/A</x:v>
      </x:c>
      <x:c r="G57" s="75" t="str">
        <x:f>IF('Master'!I756="","",'Master'!I756)</x:f>
        <x:v>N/A</x:v>
      </x:c>
      <x:c r="H57" s="75" t="str">
        <x:f>IF('Master'!J756="","",'Master'!J756)</x:f>
        <x:v>Hosted users</x:v>
      </x:c>
      <x:c r="I57" s="75" t="str">
        <x:f>IF('Master'!K756="","",'Master'!K756)</x:f>
        <x:v>All hosted users</x:v>
      </x:c>
      <x:c r="J57" s="75" t="str">
        <x:f>IF('Master'!L756="","",'Master'!L756)</x:f>
        <x:v>No</x:v>
      </x:c>
      <x:c r="K57" s="75" t="str">
        <x:f>IF('Master'!M756="","",'Master'!M756)</x:f>
        <x:v>Free service</x:v>
      </x:c>
      <x:c r="L57" s="75" t="str">
        <x:f>IF('Master'!N756="","",'Master'!N756)</x:f>
        <x:v>Active</x:v>
      </x:c>
      <x:c r="M57" s="75" t="str">
        <x:f>IF('Master'!O756="","",'Master'!O756)</x:f>
        <x:v>Donations are optional and unlock nothing</x:v>
      </x:c>
      <x:c r="N57" s="75" t="str">
        <x:f>IF('Master'!P756="","",'Master'!P756)</x:f>
        <x:v>https://pqp.gg/</x:v>
      </x:c>
      <x:c r="O57" s="75" t="str">
        <x:f>IF('Master'!Q756="","",'Master'!Q756)</x:f>
        <x:v>2026-09-16</x:v>
      </x:c>
      <x:c r="P57" s="75" t="str">
        <x:f>IF('Master'!R756="","",'Master'!R756)</x:f>
        <x:v>Free hosted beta; AGPL self-hostable; not VC-backed.</x:v>
      </x:c>
      <x:c r="Q57" s="75" t="str">
        <x:f>IF('Master'!S756="","",'Master'!S756)</x:f>
        <x:v>Primary / developer-provided response</x:v>
      </x:c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</x:row>
    <x:row r="58" ht="30">
      <x:c r="A58" s="75" t="str">
        <x:v>Echon</x:v>
      </x:c>
      <x:c r="B58" s="75" t="str">
        <x:v>Current</x:v>
      </x:c>
      <x:c r="C58" s="75" t="str">
        <x:v>No public paid tier</x:v>
      </x:c>
      <x:c r="D58" s="75" t="str">
        <x:v>No public fixed-price paid tier verified</x:v>
      </x:c>
      <x:c r="E58" s="75" t="str">
        <x:v>N/A</x:v>
      </x:c>
      <x:c r="F58" s="75" t="str">
        <x:v>U/K</x:v>
      </x:c>
      <x:c r="G58" s="75" t="str">
        <x:v>N/A / U/K</x:v>
      </x:c>
      <x:c r="H58" s="75" t="str">
        <x:v>U/K</x:v>
      </x:c>
      <x:c r="I58" s="75" t="str">
        <x:v>Hosted service</x:v>
      </x:c>
      <x:c r="J58" s="75" t="str">
        <x:v>No</x:v>
      </x:c>
      <x:c r="K58" s="75" t="str">
        <x:v>Hosted service</x:v>
      </x:c>
      <x:c r="L58" s="75" t="str">
        <x:v>None verified</x:v>
      </x:c>
      <x:c r="M58" s="75"/>
      <x:c r="N58" s="75" t="str">
        <x:v>https://echon-voice.com/</x:v>
      </x:c>
      <x:c r="O58" s="75" t="str">
        <x:v>2026-09-15</x:v>
      </x:c>
      <x:c r="P58" s="75" t="str">
        <x:v>No public pricing page verified.</x:v>
      </x:c>
      <x:c r="Q58" s="75" t="str">
        <x:v>Primary / first-party source recorded</x:v>
      </x:c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</x:row>
    <x:row r="59" ht="30">
      <x:c r="A59" s="75" t="str">
        <x:v>Valour</x:v>
      </x:c>
      <x:c r="B59" s="75" t="str">
        <x:v>Current</x:v>
      </x:c>
      <x:c r="C59" s="75" t="str">
        <x:v>Supporter subscription</x:v>
      </x:c>
      <x:c r="D59" s="75" t="str">
        <x:v>Stargazer</x:v>
      </x:c>
      <x:c r="E59" s="75" t="str">
        <x:v>U/K</x:v>
      </x:c>
      <x:c r="F59" s="75" t="str">
        <x:v>U/K</x:v>
      </x:c>
      <x:c r="G59" s="75" t="str">
        <x:v>N/A / U/K</x:v>
      </x:c>
      <x:c r="H59" s="75" t="str">
        <x:v>Per supporter</x:v>
      </x:c>
      <x:c r="I59" s="75" t="str">
        <x:v>Personal account</x:v>
      </x:c>
      <x:c r="J59" s="75" t="str">
        <x:v>No</x:v>
      </x:c>
      <x:c r="K59" s="75" t="str">
        <x:v>Yes</x:v>
      </x:c>
      <x:c r="L59" s="75" t="str">
        <x:v>Active / optional; price not publicly verified</x:v>
      </x:c>
      <x:c r="M59" s="75"/>
      <x:c r="N59" s="75" t="str">
        <x:v>https://valour.gg/faq/</x:v>
      </x:c>
      <x:c r="O59" s="75" t="str">
        <x:v>2026-09-15</x:v>
      </x:c>
      <x:c r="P59" s="75" t="str">
        <x:v>Current public price not verified.</x:v>
      </x:c>
      <x:c r="Q59" s="75" t="str">
        <x:v>Primary / first-party source recorded</x:v>
      </x:c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</x:row>
    <x:row r="60" ht="30">
      <x:c r="A60" s="75" t="str">
        <x:v>Weered</x:v>
      </x:c>
      <x:c r="B60" s="75" t="str">
        <x:v>Current</x:v>
      </x:c>
      <x:c r="C60" s="75" t="str">
        <x:v>Lobby subscription</x:v>
      </x:c>
      <x:c r="D60" s="75" t="str">
        <x:v>Run your own</x:v>
      </x:c>
      <x:c r="E60" s="75" t="str">
        <x:v>6.00/mo</x:v>
      </x:c>
      <x:c r="F60" s="75" t="str">
        <x:v>USD</x:v>
      </x:c>
      <x:c r="G60" s="75" t="str">
        <x:v>Monthly / annual as listed</x:v>
      </x:c>
      <x:c r="H60" s="75" t="str">
        <x:v>Per lobby</x:v>
      </x:c>
      <x:c r="I60" s="75" t="str">
        <x:v>Lobby owner/community</x:v>
      </x:c>
      <x:c r="J60" s="75" t="str">
        <x:v>Yes</x:v>
      </x:c>
      <x:c r="K60" s="75" t="str">
        <x:v>Entire server/community</x:v>
      </x:c>
      <x:c r="L60" s="75" t="str">
        <x:v>Active</x:v>
      </x:c>
      <x:c r="M60" s="75"/>
      <x:c r="N60" s="75" t="str">
        <x:v>https://weered.ca/pricing</x:v>
      </x:c>
      <x:c r="O60" s="75" t="str">
        <x:v>2026-09-15</x:v>
      </x:c>
      <x:c r="P60" s="75" t="str">
        <x:v>Using existing public lobbies is free.</x:v>
      </x:c>
      <x:c r="Q60" s="75" t="str">
        <x:v>Primary / first-party source recorded</x:v>
      </x:c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</x:row>
    <x:row r="61" ht="45">
      <x:c r="A61" s="75" t="str">
        <x:v>Weered</x:v>
      </x:c>
      <x:c r="B61" s="75" t="str">
        <x:v>Current</x:v>
      </x:c>
      <x:c r="C61" s="75" t="str">
        <x:v>Custom community build</x:v>
      </x:c>
      <x:c r="D61" s="75" t="str">
        <x:v>Have it built — Crew</x:v>
      </x:c>
      <x:c r="E61" s="75" t="str">
        <x:v>Contact Sales / Quote</x:v>
      </x:c>
      <x:c r="F61" s="75" t="str">
        <x:v>USD / quote</x:v>
      </x:c>
      <x:c r="G61" s="75" t="str">
        <x:v>Quote</x:v>
      </x:c>
      <x:c r="H61" s="75" t="str">
        <x:v>Per community build</x:v>
      </x:c>
      <x:c r="I61" s="75" t="str">
        <x:v>Custom hosted community</x:v>
      </x:c>
      <x:c r="J61" s="75" t="str">
        <x:v>Yes</x:v>
      </x:c>
      <x:c r="K61" s="75" t="str">
        <x:v>Entire server/community</x:v>
      </x:c>
      <x:c r="L61" s="75" t="str">
        <x:v>Quote</x:v>
      </x:c>
      <x:c r="M61" s="75"/>
      <x:c r="N61" s="75" t="str">
        <x:v>https://weered.ca/pricing</x:v>
      </x:c>
      <x:c r="O61" s="75" t="str">
        <x:v>2026-09-15</x:v>
      </x:c>
      <x:c r="P61" s="75" t="str">
        <x:v>Quoted by community size; first ten builds have special founding terms.</x:v>
      </x:c>
      <x:c r="Q61" s="75" t="str">
        <x:v>Primary / first-party source recorded</x:v>
      </x:c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</x:row>
    <x:row r="62" ht="45">
      <x:c r="A62" s="75" t="str">
        <x:v>Weered</x:v>
      </x:c>
      <x:c r="B62" s="75" t="str">
        <x:v>Current</x:v>
      </x:c>
      <x:c r="C62" s="75" t="str">
        <x:v>Custom community build</x:v>
      </x:c>
      <x:c r="D62" s="75" t="str">
        <x:v>Have it built — League</x:v>
      </x:c>
      <x:c r="E62" s="75" t="str">
        <x:v>Contact Sales / Quote</x:v>
      </x:c>
      <x:c r="F62" s="75" t="str">
        <x:v>USD / quote</x:v>
      </x:c>
      <x:c r="G62" s="75" t="str">
        <x:v>Quote</x:v>
      </x:c>
      <x:c r="H62" s="75" t="str">
        <x:v>Per community build</x:v>
      </x:c>
      <x:c r="I62" s="75" t="str">
        <x:v>Custom hosted community</x:v>
      </x:c>
      <x:c r="J62" s="75" t="str">
        <x:v>Yes</x:v>
      </x:c>
      <x:c r="K62" s="75" t="str">
        <x:v>Entire server/community</x:v>
      </x:c>
      <x:c r="L62" s="75" t="str">
        <x:v>Quote</x:v>
      </x:c>
      <x:c r="M62" s="75"/>
      <x:c r="N62" s="75" t="str">
        <x:v>https://weered.ca/pricing</x:v>
      </x:c>
      <x:c r="O62" s="75" t="str">
        <x:v>2026-09-15</x:v>
      </x:c>
      <x:c r="P62" s="75" t="str">
        <x:v>Quoted by community size; first ten builds have special founding terms.</x:v>
      </x:c>
      <x:c r="Q62" s="75" t="str">
        <x:v>Primary / first-party source recorded</x:v>
      </x:c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</x:row>
    <x:row r="63" ht="45">
      <x:c r="A63" s="75" t="str">
        <x:v>Weered</x:v>
      </x:c>
      <x:c r="B63" s="75" t="str">
        <x:v>Current</x:v>
      </x:c>
      <x:c r="C63" s="75" t="str">
        <x:v>Custom community build</x:v>
      </x:c>
      <x:c r="D63" s="75" t="str">
        <x:v>Have it built — Network</x:v>
      </x:c>
      <x:c r="E63" s="75" t="str">
        <x:v>Contact Sales / Quote</x:v>
      </x:c>
      <x:c r="F63" s="75" t="str">
        <x:v>USD / quote</x:v>
      </x:c>
      <x:c r="G63" s="75" t="str">
        <x:v>Quote</x:v>
      </x:c>
      <x:c r="H63" s="75" t="str">
        <x:v>Per community build</x:v>
      </x:c>
      <x:c r="I63" s="75" t="str">
        <x:v>Custom hosted community</x:v>
      </x:c>
      <x:c r="J63" s="75" t="str">
        <x:v>Yes</x:v>
      </x:c>
      <x:c r="K63" s="75" t="str">
        <x:v>Entire server/community</x:v>
      </x:c>
      <x:c r="L63" s="75" t="str">
        <x:v>Quote</x:v>
      </x:c>
      <x:c r="M63" s="75"/>
      <x:c r="N63" s="75" t="str">
        <x:v>https://weered.ca/pricing</x:v>
      </x:c>
      <x:c r="O63" s="75" t="str">
        <x:v>2026-09-15</x:v>
      </x:c>
      <x:c r="P63" s="75" t="str">
        <x:v>Quoted by community size; first ten builds have special founding terms.</x:v>
      </x:c>
      <x:c r="Q63" s="75" t="str">
        <x:v>Primary / first-party source recorded</x:v>
      </x:c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</x:row>
    <x:row r="64" ht="45">
      <x:c r="A64" s="75" t="str">
        <x:v>Weered</x:v>
      </x:c>
      <x:c r="B64" s="75" t="str">
        <x:v>Current</x:v>
      </x:c>
      <x:c r="C64" s="75" t="str">
        <x:v>Custom community build</x:v>
      </x:c>
      <x:c r="D64" s="75" t="str">
        <x:v>Have it built — Larger</x:v>
      </x:c>
      <x:c r="E64" s="75" t="str">
        <x:v>Contact Sales / Quote</x:v>
      </x:c>
      <x:c r="F64" s="75" t="str">
        <x:v>USD / quote</x:v>
      </x:c>
      <x:c r="G64" s="75" t="str">
        <x:v>Quote</x:v>
      </x:c>
      <x:c r="H64" s="75" t="str">
        <x:v>Per community build</x:v>
      </x:c>
      <x:c r="I64" s="75" t="str">
        <x:v>Custom hosted community</x:v>
      </x:c>
      <x:c r="J64" s="75" t="str">
        <x:v>Yes</x:v>
      </x:c>
      <x:c r="K64" s="75" t="str">
        <x:v>Entire server/community</x:v>
      </x:c>
      <x:c r="L64" s="75" t="str">
        <x:v>Quote</x:v>
      </x:c>
      <x:c r="M64" s="75"/>
      <x:c r="N64" s="75" t="str">
        <x:v>https://weered.ca/pricing</x:v>
      </x:c>
      <x:c r="O64" s="75" t="str">
        <x:v>2026-09-15</x:v>
      </x:c>
      <x:c r="P64" s="75" t="str">
        <x:v>Quoted by community size; first ten builds have special founding terms.</x:v>
      </x:c>
      <x:c r="Q64" s="75" t="str">
        <x:v>Primary / first-party source recorded</x:v>
      </x:c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</x:row>
    <x:row r="65" ht="60">
      <x:c r="A65" s="75" t="str">
        <x:v>Discord</x:v>
      </x:c>
      <x:c r="B65" s="75" t="str">
        <x:v>Current</x:v>
      </x:c>
      <x:c r="C65" s="75" t="str">
        <x:v>Server / community upgrade</x:v>
      </x:c>
      <x:c r="D65" s="75" t="str">
        <x:v>Server Boost Level 1</x:v>
      </x:c>
      <x:c r="E65" s="75" t="str">
        <x:v>$9.98/mo at full $4.99/boost rate</x:v>
      </x:c>
      <x:c r="F65" s="75" t="str">
        <x:v>USD</x:v>
      </x:c>
      <x:c r="G65" s="75" t="str">
        <x:v>Monthly</x:v>
      </x:c>
      <x:c r="H65" s="75" t="str">
        <x:v>Per server</x:v>
      </x:c>
      <x:c r="I65" s="75" t="str">
        <x:v>Entire server</x:v>
      </x:c>
      <x:c r="J65" s="75" t="str">
        <x:v>Yes</x:v>
      </x:c>
      <x:c r="K65" s="75" t="str">
        <x:v>Entire server/community</x:v>
      </x:c>
      <x:c r="L65" s="75" t="str">
        <x:v>Active</x:v>
      </x:c>
      <x:c r="M65" s="75" t="str">
        <x:v>U/K</x:v>
      </x:c>
      <x:c r="N65" s="75" t="str">
        <x:v>https://support.discord.com/hc/en-us/articles/360028038352-Server-Boosting-FAQ</x:v>
      </x:c>
      <x:c r="O65" s="75" t="str">
        <x:v>2026-09-15</x:v>
      </x:c>
      <x:c r="P65" s="75" t="str">
        <x:v>Requires 2 boosts. Full-price equivalent shown before Nitro included boosts or discounts.</x:v>
      </x:c>
      <x:c r="Q65" s="75" t="str">
        <x:v>Primary / first-party source recorded</x:v>
      </x:c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</x:row>
    <x:row r="66" ht="60">
      <x:c r="A66" s="75" t="str">
        <x:v>Discord</x:v>
      </x:c>
      <x:c r="B66" s="75" t="str">
        <x:v>Current</x:v>
      </x:c>
      <x:c r="C66" s="75" t="str">
        <x:v>Server / community upgrade</x:v>
      </x:c>
      <x:c r="D66" s="75" t="str">
        <x:v>Server Boost Level 2</x:v>
      </x:c>
      <x:c r="E66" s="75" t="str">
        <x:v>$34.93/mo at full $4.99/boost rate</x:v>
      </x:c>
      <x:c r="F66" s="75" t="str">
        <x:v>USD</x:v>
      </x:c>
      <x:c r="G66" s="75" t="str">
        <x:v>Monthly</x:v>
      </x:c>
      <x:c r="H66" s="75" t="str">
        <x:v>Per server</x:v>
      </x:c>
      <x:c r="I66" s="75" t="str">
        <x:v>Entire server</x:v>
      </x:c>
      <x:c r="J66" s="75" t="str">
        <x:v>Yes</x:v>
      </x:c>
      <x:c r="K66" s="75" t="str">
        <x:v>Entire server/community</x:v>
      </x:c>
      <x:c r="L66" s="75" t="str">
        <x:v>Active</x:v>
      </x:c>
      <x:c r="M66" s="75" t="str">
        <x:v>U/K</x:v>
      </x:c>
      <x:c r="N66" s="75" t="str">
        <x:v>https://support.discord.com/hc/en-us/articles/360028038352-Server-Boosting-FAQ</x:v>
      </x:c>
      <x:c r="O66" s="75" t="str">
        <x:v>2026-09-15</x:v>
      </x:c>
      <x:c r="P66" s="75" t="str">
        <x:v>Requires 7 boosts. Full-price equivalent shown before Nitro included boosts or discounts.</x:v>
      </x:c>
      <x:c r="Q66" s="75" t="str">
        <x:v>Primary / first-party source recorded</x:v>
      </x:c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</x:row>
    <x:row r="67" ht="60">
      <x:c r="A67" s="75" t="str">
        <x:v>Discord</x:v>
      </x:c>
      <x:c r="B67" s="75" t="str">
        <x:v>Current</x:v>
      </x:c>
      <x:c r="C67" s="75" t="str">
        <x:v>Server / community upgrade</x:v>
      </x:c>
      <x:c r="D67" s="75" t="str">
        <x:v>Server Boost Level 3</x:v>
      </x:c>
      <x:c r="E67" s="75" t="str">
        <x:v>$69.86/mo at full $4.99/boost rate</x:v>
      </x:c>
      <x:c r="F67" s="75" t="str">
        <x:v>USD</x:v>
      </x:c>
      <x:c r="G67" s="75" t="str">
        <x:v>Monthly</x:v>
      </x:c>
      <x:c r="H67" s="75" t="str">
        <x:v>Per server</x:v>
      </x:c>
      <x:c r="I67" s="75" t="str">
        <x:v>Entire server</x:v>
      </x:c>
      <x:c r="J67" s="75" t="str">
        <x:v>Yes</x:v>
      </x:c>
      <x:c r="K67" s="75" t="str">
        <x:v>Entire server/community</x:v>
      </x:c>
      <x:c r="L67" s="75" t="str">
        <x:v>Active</x:v>
      </x:c>
      <x:c r="M67" s="75" t="str">
        <x:v>U/K</x:v>
      </x:c>
      <x:c r="N67" s="75" t="str">
        <x:v>https://support.discord.com/hc/en-us/articles/360028038352-Server-Boosting-FAQ</x:v>
      </x:c>
      <x:c r="O67" s="75" t="str">
        <x:v>2026-09-15</x:v>
      </x:c>
      <x:c r="P67" s="75" t="str">
        <x:v>Requires 14 boosts. Full-price equivalent shown before Nitro included boosts or discounts.</x:v>
      </x:c>
      <x:c r="Q67" s="75" t="str">
        <x:v>Primary / first-party source recorded</x:v>
      </x:c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</x:row>
    <x:row r="68" ht="60">
      <x:c r="A68" s="75" t="str">
        <x:v>Root</x:v>
      </x:c>
      <x:c r="B68" s="75" t="str">
        <x:v>Current</x:v>
      </x:c>
      <x:c r="C68" s="75" t="str">
        <x:v>Community resource / upgrade</x:v>
      </x:c>
      <x:c r="D68" s="75" t="str">
        <x:v>Core</x:v>
      </x:c>
      <x:c r="E68" s="75" t="str">
        <x:v>U/K</x:v>
      </x:c>
      <x:c r="F68" s="75" t="str">
        <x:v>USD / in-app</x:v>
      </x:c>
      <x:c r="G68" s="75" t="str">
        <x:v>U/K</x:v>
      </x:c>
      <x:c r="H68" s="75" t="str">
        <x:v>Per Core / community resource</x:v>
      </x:c>
      <x:c r="I68" s="75" t="str">
        <x:v>Community</x:v>
      </x:c>
      <x:c r="J68" s="75" t="str">
        <x:v>Yes</x:v>
      </x:c>
      <x:c r="K68" s="75" t="str">
        <x:v>Entire community</x:v>
      </x:c>
      <x:c r="L68" s="75" t="str">
        <x:v>Active</x:v>
      </x:c>
      <x:c r="M68" s="75" t="str">
        <x:v>U/K</x:v>
      </x:c>
      <x:c r="N68" s="75" t="str">
        <x:v>https://support.rootapp.com/docs/sudo/get-started/sudo-faqs/</x:v>
      </x:c>
      <x:c r="O68" s="75" t="str">
        <x:v>2026-09-15</x:v>
      </x:c>
      <x:c r="P68" s="75" t="str">
        <x:v>Sudo includes 1 Core each month; standalone Core price is not publicly verified.</x:v>
      </x:c>
      <x:c r="Q68" s="75" t="str">
        <x:v>Primary / first-party source recorded</x:v>
      </x:c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</x:row>
    <x:row r="69" ht="45">
      <x:c r="A69" s="75" t="str">
        <x:v>Discord</x:v>
      </x:c>
      <x:c r="B69" s="75" t="str">
        <x:v>Current</x:v>
      </x:c>
      <x:c r="C69" s="75" t="str">
        <x:v>Sponsored content</x:v>
      </x:c>
      <x:c r="D69" s="75" t="str">
        <x:v>Quests / sponsored formats</x:v>
      </x:c>
      <x:c r="E69" s="75" t="str">
        <x:v>U/K</x:v>
      </x:c>
      <x:c r="F69" s="75" t="str">
        <x:v>USD / commercial</x:v>
      </x:c>
      <x:c r="G69" s="75" t="str">
        <x:v>Campaign / commercial</x:v>
      </x:c>
      <x:c r="H69" s="75" t="str">
        <x:v>Advertiser</x:v>
      </x:c>
      <x:c r="I69" s="75" t="str">
        <x:v>Platform-wide</x:v>
      </x:c>
      <x:c r="J69" s="75" t="str">
        <x:v>No</x:v>
      </x:c>
      <x:c r="K69" s="75" t="str">
        <x:v>Users may receive sponsored content</x:v>
      </x:c>
      <x:c r="L69" s="75" t="str">
        <x:v>Active</x:v>
      </x:c>
      <x:c r="M69" s="75" t="str">
        <x:v>May expand as sponsored formats evolve</x:v>
      </x:c>
      <x:c r="N69" s="75" t="str">
        <x:v>https://discord.com/privacy</x:v>
      </x:c>
      <x:c r="O69" s="75" t="str">
        <x:v>2026-09-15</x:v>
      </x:c>
      <x:c r="P69" s="75" t="str">
        <x:v>Subscriptions, paid products and sponsored content fund Discord.</x:v>
      </x:c>
      <x:c r="Q69" s="75" t="str">
        <x:v>Primary / first-party source recorded</x:v>
      </x:c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</x:row>
    <x:row r="70" ht="75">
      <x:c r="A70" s="75" t="str">
        <x:v>Discord</x:v>
      </x:c>
      <x:c r="B70" s="75" t="str">
        <x:v>Current</x:v>
      </x:c>
      <x:c r="C70" s="75" t="str">
        <x:v>Creator monetization infrastructure</x:v>
      </x:c>
      <x:c r="D70" s="75" t="str">
        <x:v>Server Subscriptions / Server Shop / Premium Apps</x:v>
      </x:c>
      <x:c r="E70" s="75" t="str">
        <x:v>Creator-set / varies</x:v>
      </x:c>
      <x:c r="F70" s="75" t="str">
        <x:v>USD / localized</x:v>
      </x:c>
      <x:c r="G70" s="75" t="str">
        <x:v>Varies</x:v>
      </x:c>
      <x:c r="H70" s="75" t="str">
        <x:v>Buyer / server member</x:v>
      </x:c>
      <x:c r="I70" s="75" t="str">
        <x:v>Creator/server offering</x:v>
      </x:c>
      <x:c r="J70" s="75" t="str">
        <x:v>Yes</x:v>
      </x:c>
      <x:c r="K70" s="75" t="str">
        <x:v>Optional paid creator content</x:v>
      </x:c>
      <x:c r="L70" s="75" t="str">
        <x:v>Active</x:v>
      </x:c>
      <x:c r="M70" s="75" t="str">
        <x:v>U/K</x:v>
      </x:c>
      <x:c r="N70" s="75" t="str">
        <x:v>https://support.discord.com/hc/en-us/articles/5330075836311-Monetization-Terms</x:v>
      </x:c>
      <x:c r="O70" s="75" t="str">
        <x:v>2026-09-15</x:v>
      </x:c>
      <x:c r="P70" s="75" t="str">
        <x:v>Distinct from Discord own Nitro/Boost revenue.</x:v>
      </x:c>
      <x:c r="Q70" s="75" t="str">
        <x:v>Primary / first-party source recorded</x:v>
      </x:c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</x:row>
    <x:row r="71" ht="45">
      <x:c r="A71" s="75" t="str">
        <x:v>Fluxer</x:v>
      </x:c>
      <x:c r="B71" s="75" t="str">
        <x:v>Current</x:v>
      </x:c>
      <x:c r="C71" s="75" t="str">
        <x:v>Donations</x:v>
      </x:c>
      <x:c r="D71" s="75" t="str">
        <x:v>One-time / monthly / yearly donations</x:v>
      </x:c>
      <x:c r="E71" s="75" t="str">
        <x:v>Minimum 3 in selected currency</x:v>
      </x:c>
      <x:c r="F71" s="75" t="str">
        <x:v>Multiple</x:v>
      </x:c>
      <x:c r="G71" s="75" t="str">
        <x:v>One-time / monthly / yearly</x:v>
      </x:c>
      <x:c r="H71" s="75" t="str">
        <x:v>Donor</x:v>
      </x:c>
      <x:c r="I71" s="75" t="str">
        <x:v>Project funding</x:v>
      </x:c>
      <x:c r="J71" s="75" t="str">
        <x:v>No</x:v>
      </x:c>
      <x:c r="K71" s="75" t="str">
        <x:v>No entitlement required</x:v>
      </x:c>
      <x:c r="L71" s="75" t="str">
        <x:v>Active</x:v>
      </x:c>
      <x:c r="M71" s="75" t="str">
        <x:v>Continue funding without VC/outside investors</x:v>
      </x:c>
      <x:c r="N71" s="75" t="str">
        <x:v>https://fluxer.app/donate</x:v>
      </x:c>
      <x:c r="O71" s="75" t="str">
        <x:v>2026-09-15</x:v>
      </x:c>
      <x:c r="P71" s="75"/>
      <x:c r="Q71" s="75" t="str">
        <x:v>Primary / first-party source recorded</x:v>
      </x:c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</x:row>
    <x:row r="72" ht="30">
      <x:c r="A72" s="75" t="str">
        <x:v>Nerimity</x:v>
      </x:c>
      <x:c r="B72" s="75" t="str">
        <x:v>Current</x:v>
      </x:c>
      <x:c r="C72" s="75" t="str">
        <x:v>Donations</x:v>
      </x:c>
      <x:c r="D72" s="75" t="str">
        <x:v>Donation-funded service</x:v>
      </x:c>
      <x:c r="E72" s="75" t="str">
        <x:v>User-selected</x:v>
      </x:c>
      <x:c r="F72" s="75" t="str">
        <x:v>U/K</x:v>
      </x:c>
      <x:c r="G72" s="75" t="str">
        <x:v>Donation</x:v>
      </x:c>
      <x:c r="H72" s="75" t="str">
        <x:v>Donor</x:v>
      </x:c>
      <x:c r="I72" s="75" t="str">
        <x:v>Project funding</x:v>
      </x:c>
      <x:c r="J72" s="75" t="str">
        <x:v>No</x:v>
      </x:c>
      <x:c r="K72" s="75" t="str">
        <x:v>No paid entitlement verified</x:v>
      </x:c>
      <x:c r="L72" s="75" t="str">
        <x:v>Active</x:v>
      </x:c>
      <x:c r="M72" s="75" t="str">
        <x:v>U/K</x:v>
      </x:c>
      <x:c r="N72" s="75" t="str">
        <x:v>https://nerimity.com/</x:v>
      </x:c>
      <x:c r="O72" s="75" t="str">
        <x:v>2026-09-15</x:v>
      </x:c>
      <x:c r="P72" s="75" t="str">
        <x:v>Homepage says Nerimity runs on donations.</x:v>
      </x:c>
      <x:c r="Q72" s="75" t="str">
        <x:v>Primary / first-party source recorded</x:v>
      </x:c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</x:row>
    <x:row r="73" ht="45">
      <x:c r="A73" s="75" t="str">
        <x:v>Matrix</x:v>
      </x:c>
      <x:c r="B73" s="75" t="str">
        <x:v>Current</x:v>
      </x:c>
      <x:c r="C73" s="75" t="str">
        <x:v>Foundation support</x:v>
      </x:c>
      <x:c r="D73" s="75" t="str">
        <x:v>Donations / organizational sponsorship</x:v>
      </x:c>
      <x:c r="E73" s="75" t="str">
        <x:v>User-selected / sponsorship</x:v>
      </x:c>
      <x:c r="F73" s="75" t="str">
        <x:v>U/K</x:v>
      </x:c>
      <x:c r="G73" s="75" t="str">
        <x:v>One-time / recurring / sponsorship</x:v>
      </x:c>
      <x:c r="H73" s="75" t="str">
        <x:v>Donor / sponsor</x:v>
      </x:c>
      <x:c r="I73" s="75" t="str">
        <x:v>Protocol stewardship</x:v>
      </x:c>
      <x:c r="J73" s="75" t="str">
        <x:v>No</x:v>
      </x:c>
      <x:c r="K73" s="75" t="str">
        <x:v>No protocol entitlement</x:v>
      </x:c>
      <x:c r="L73" s="75" t="str">
        <x:v>Active</x:v>
      </x:c>
      <x:c r="M73" s="75" t="str">
        <x:v>Continue neutral protocol stewardship</x:v>
      </x:c>
      <x:c r="N73" s="75" t="str">
        <x:v>https://matrix.org/contact/</x:v>
      </x:c>
      <x:c r="O73" s="75" t="str">
        <x:v>2026-09-15</x:v>
      </x:c>
      <x:c r="P73" s="75" t="str">
        <x:v>Separate from provider/client pricing.</x:v>
      </x:c>
      <x:c r="Q73" s="75" t="str">
        <x:v>Primary / first-party source recorded</x:v>
      </x:c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</x:row>
    <x:row r="74" ht="45">
      <x:c r="A74" s="75" t="str">
        <x:v>Matrix</x:v>
      </x:c>
      <x:c r="B74" s="75" t="str">
        <x:v>Intended / Planned</x:v>
      </x:c>
      <x:c r="C74" s="75" t="str">
        <x:v>matrix.org homeserver usage plan</x:v>
      </x:c>
      <x:c r="D74" s="75" t="str">
        <x:v>Premium plan</x:v>
      </x:c>
      <x:c r="E74" s="75" t="str">
        <x:v>Price not finalized</x:v>
      </x:c>
      <x:c r="F74" s="75" t="str">
        <x:v>U/K</x:v>
      </x:c>
      <x:c r="G74" s="75" t="str">
        <x:v>U/K</x:v>
      </x:c>
      <x:c r="H74" s="75" t="str">
        <x:v>matrix.org account</x:v>
      </x:c>
      <x:c r="I74" s="75" t="str">
        <x:v>matrix.org homeserver account</x:v>
      </x:c>
      <x:c r="J74" s="75" t="str">
        <x:v>No</x:v>
      </x:c>
      <x:c r="K74" s="75" t="str">
        <x:v>Higher attachment/data limits and faster invite rate</x:v>
      </x:c>
      <x:c r="L74" s="75" t="str">
        <x:v>Planned</x:v>
      </x:c>
      <x:c r="M74" s="75" t="str">
        <x:v>Pricing will be published when usage plans become available</x:v>
      </x:c>
      <x:c r="N74" s="75" t="str">
        <x:v>https://matrix.org/homeserver/pricing/</x:v>
      </x:c>
      <x:c r="O74" s="75" t="str">
        <x:v>2026-09-15</x:v>
      </x:c>
      <x:c r="P74" s="75" t="str">
        <x:v>Only applies to matrix.org homeserver, not Matrix generally.</x:v>
      </x:c>
      <x:c r="Q74" s="75" t="str">
        <x:v>Primary / first-party source recorded</x:v>
      </x:c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</x:row>
    <x:row r="75" ht="45">
      <x:c r="A75" s="75" t="str">
        <x:v>Kloak</x:v>
      </x:c>
      <x:c r="B75" s="75" t="str">
        <x:v>Current</x:v>
      </x:c>
      <x:c r="C75" s="75" t="str">
        <x:v>Donations</x:v>
      </x:c>
      <x:c r="D75" s="75" t="str">
        <x:v>Self-funding + donations</x:v>
      </x:c>
      <x:c r="E75" s="75" t="str">
        <x:v>User-selected</x:v>
      </x:c>
      <x:c r="F75" s="75" t="str">
        <x:v>U/K</x:v>
      </x:c>
      <x:c r="G75" s="75" t="str">
        <x:v>Donation</x:v>
      </x:c>
      <x:c r="H75" s="75" t="str">
        <x:v>Donor</x:v>
      </x:c>
      <x:c r="I75" s="75" t="str">
        <x:v>Project funding</x:v>
      </x:c>
      <x:c r="J75" s="75" t="str">
        <x:v>No</x:v>
      </x:c>
      <x:c r="K75" s="75" t="str">
        <x:v>No subscription entitlement</x:v>
      </x:c>
      <x:c r="L75" s="75" t="str">
        <x:v>Active</x:v>
      </x:c>
      <x:c r="M75" s="75" t="str">
        <x:v>Kloak states no subscriptions, ads or data harvesting</x:v>
      </x:c>
      <x:c r="N75" s="75" t="str">
        <x:v>https://kloak.app/about</x:v>
      </x:c>
      <x:c r="O75" s="75" t="str">
        <x:v>2026-09-15</x:v>
      </x:c>
      <x:c r="P75" s="75"/>
      <x:c r="Q75" s="75" t="str">
        <x:v>Primary / first-party source recorded</x:v>
      </x:c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</x:row>
    <x:row r="76" ht="30">
      <x:c r="A76" s="75" t="str">
        <x:v>DCTS</x:v>
      </x:c>
      <x:c r="B76" s="75" t="str">
        <x:v>Current</x:v>
      </x:c>
      <x:c r="C76" s="75" t="str">
        <x:v>Donations</x:v>
      </x:c>
      <x:c r="D76" s="75" t="str">
        <x:v>PayPal / Ko-fi donations</x:v>
      </x:c>
      <x:c r="E76" s="75" t="str">
        <x:v>User-selected</x:v>
      </x:c>
      <x:c r="F76" s="75" t="str">
        <x:v>U/K</x:v>
      </x:c>
      <x:c r="G76" s="75" t="str">
        <x:v>Donation</x:v>
      </x:c>
      <x:c r="H76" s="75" t="str">
        <x:v>Donor</x:v>
      </x:c>
      <x:c r="I76" s="75" t="str">
        <x:v>Project funding</x:v>
      </x:c>
      <x:c r="J76" s="75" t="str">
        <x:v>No</x:v>
      </x:c>
      <x:c r="K76" s="75" t="str">
        <x:v>No paid entitlement</x:v>
      </x:c>
      <x:c r="L76" s="75" t="str">
        <x:v>Active</x:v>
      </x:c>
      <x:c r="M76" s="75" t="str">
        <x:v>Current development donation-funded</x:v>
      </x:c>
      <x:c r="N76" s="75" t="str">
        <x:v>https://docs.dcts.community/</x:v>
      </x:c>
      <x:c r="O76" s="75" t="str">
        <x:v>2026-09-15</x:v>
      </x:c>
      <x:c r="P76" s="75"/>
      <x:c r="Q76" s="75" t="str">
        <x:v>Primary / first-party source recorded</x:v>
      </x:c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</x:row>
    <x:row r="77" ht="45">
      <x:c r="A77" s="75" t="str">
        <x:v>DCTS</x:v>
      </x:c>
      <x:c r="B77" s="75" t="str">
        <x:v>Intended / Planned</x:v>
      </x:c>
      <x:c r="C77" s="75" t="str">
        <x:v>Managed hosting</x:v>
      </x:c>
      <x:c r="D77" s="75" t="str">
        <x:v>Managed hosting / VPS systems</x:v>
      </x:c>
      <x:c r="E77" s="75" t="str">
        <x:v>U/K</x:v>
      </x:c>
      <x:c r="F77" s="75" t="str">
        <x:v>U/K</x:v>
      </x:c>
      <x:c r="G77" s="75" t="str">
        <x:v>U/K</x:v>
      </x:c>
      <x:c r="H77" s="75" t="str">
        <x:v>Per instance / server</x:v>
      </x:c>
      <x:c r="I77" s="75" t="str">
        <x:v>Community/server</x:v>
      </x:c>
      <x:c r="J77" s="75" t="str">
        <x:v>Yes</x:v>
      </x:c>
      <x:c r="K77" s="75" t="str">
        <x:v>Managed server for less-technical operators</x:v>
      </x:c>
      <x:c r="L77" s="75" t="str">
        <x:v>Planned</x:v>
      </x:c>
      <x:c r="M77" s="75" t="str">
        <x:v>Hosting revenue intended to fund development</x:v>
      </x:c>
      <x:c r="N77" s="75" t="str">
        <x:v>https://docs.dcts.community/Lore/Principles</x:v>
      </x:c>
      <x:c r="O77" s="75" t="str">
        <x:v>2026-09-15</x:v>
      </x:c>
      <x:c r="P77" s="75"/>
      <x:c r="Q77" s="75" t="str">
        <x:v>Primary / first-party source recorded</x:v>
      </x:c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</x:row>
    <x:row r="78" ht="30">
      <x:c r="A78" s="75" t="str">
        <x:f>IF('Master'!C757="","",'Master'!C757)</x:f>
        <x:v>Donations</x:v>
      </x:c>
      <x:c r="B78" s="75" t="str">
        <x:f>IF('Master'!D757="","",'Master'!D757)</x:f>
        <x:v>pqp.gg</x:v>
      </x:c>
      <x:c r="C78" s="75" t="str">
        <x:f>IF('Master'!E757="","",'Master'!E757)</x:f>
        <x:v>Current</x:v>
      </x:c>
      <x:c r="D78" s="75" t="str">
        <x:f>IF('Master'!F757="","",'Master'!F757)</x:f>
        <x:v>Project donations</x:v>
      </x:c>
      <x:c r="E78" s="75" t="str">
        <x:f>IF('Master'!G757="","",'Master'!G757)</x:f>
        <x:v>User-selected</x:v>
      </x:c>
      <x:c r="F78" s="75" t="str">
        <x:f>IF('Master'!H757="","",'Master'!H757)</x:f>
        <x:v>N/A</x:v>
      </x:c>
      <x:c r="G78" s="75" t="str">
        <x:f>IF('Master'!I757="","",'Master'!I757)</x:f>
        <x:v>Donation</x:v>
      </x:c>
      <x:c r="H78" s="75" t="str">
        <x:f>IF('Master'!J757="","",'Master'!J757)</x:f>
        <x:v>Donor</x:v>
      </x:c>
      <x:c r="I78" s="75" t="str">
        <x:f>IF('Master'!K757="","",'Master'!K757)</x:f>
        <x:v>Project funding</x:v>
      </x:c>
      <x:c r="J78" s="75" t="str">
        <x:f>IF('Master'!L757="","",'Master'!L757)</x:f>
        <x:v>No</x:v>
      </x:c>
      <x:c r="K78" s="75" t="str">
        <x:f>IF('Master'!M757="","",'Master'!M757)</x:f>
        <x:v>Donations unlock nothing</x:v>
      </x:c>
      <x:c r="L78" s="75" t="str">
        <x:f>IF('Master'!N757="","",'Master'!N757)</x:f>
        <x:v>Active</x:v>
      </x:c>
      <x:c r="M78" s="75" t="str">
        <x:f>IF('Master'!O757="","",'Master'!O757)</x:f>
        <x:v>No feature unlocks</x:v>
      </x:c>
      <x:c r="N78" s="75" t="str">
        <x:f>IF('Master'!P757="","",'Master'!P757)</x:f>
        <x:v>https://pqp.gg/apoie</x:v>
      </x:c>
      <x:c r="O78" s="75" t="str">
        <x:f>IF('Master'!Q757="","",'Master'!Q757)</x:f>
        <x:v>2026-09-16</x:v>
      </x:c>
      <x:c r="P78" s="75" t="str">
        <x:f>IF('Master'!R757="","",'Master'!R757)</x:f>
        <x:v>Optional project support only; not a paid feature tier.</x:v>
      </x:c>
      <x:c r="Q78" s="75" t="str">
        <x:f>IF('Master'!S757="","",'Master'!S757)</x:f>
        <x:v>Primary / developer-provided response</x:v>
      </x:c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</x:row>
    <x:row r="79" ht="30">
      <x:c r="A79" s="75" t="str">
        <x:v>Hollow</x:v>
      </x:c>
      <x:c r="B79" s="75" t="str">
        <x:v>Declared future policy</x:v>
      </x:c>
      <x:c r="C79" s="75" t="str">
        <x:v>No paywalls</x:v>
      </x:c>
      <x:c r="D79" s="75" t="str">
        <x:v>No premium tier</x:v>
      </x:c>
      <x:c r="E79" s="75" t="str">
        <x:v>0</x:v>
      </x:c>
      <x:c r="F79" s="75" t="str">
        <x:v>N/A</x:v>
      </x:c>
      <x:c r="G79" s="75" t="str">
        <x:v>N/A</x:v>
      </x:c>
      <x:c r="H79" s="75" t="str">
        <x:v>N/A</x:v>
      </x:c>
      <x:c r="I79" s="75" t="str">
        <x:v>All users</x:v>
      </x:c>
      <x:c r="J79" s="75" t="str">
        <x:v>No</x:v>
      </x:c>
      <x:c r="K79" s="75" t="str">
        <x:v>All features open</x:v>
      </x:c>
      <x:c r="L79" s="75" t="str">
        <x:v>Declared</x:v>
      </x:c>
      <x:c r="M79" s="75" t="str">
        <x:v>Developer states Hollow will not have paywalls</x:v>
      </x:c>
      <x:c r="N79" s="75" t="str">
        <x:v>https://github.com/VitalikPro13/HOLLOW</x:v>
      </x:c>
      <x:c r="O79" s="75" t="str">
        <x:v>2026-09-15</x:v>
      </x:c>
      <x:c r="P79" s="75"/>
      <x:c r="Q79" s="75" t="str">
        <x:v>Primary / first-party source recorded</x:v>
      </x:c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</x:row>
    <x:row r="80" ht="45">
      <x:c r="A80" s="75" t="str">
        <x:v>Mezon</x:v>
      </x:c>
      <x:c r="B80" s="75" t="str">
        <x:v>Current</x:v>
      </x:c>
      <x:c r="C80" s="75" t="str">
        <x:v>In-app economy</x:v>
      </x:c>
      <x:c r="D80" s="75" t="str">
        <x:v>Mezon Token / Mezon Dong payments</x:v>
      </x:c>
      <x:c r="E80" s="75" t="str">
        <x:v>Transaction-dependent</x:v>
      </x:c>
      <x:c r="F80" s="75" t="str">
        <x:v>Token / Mezon Dong</x:v>
      </x:c>
      <x:c r="G80" s="75" t="str">
        <x:v>Per transaction</x:v>
      </x:c>
      <x:c r="H80" s="75" t="str">
        <x:v>User / merchant</x:v>
      </x:c>
      <x:c r="I80" s="75" t="str">
        <x:v>Marketplace/economy</x:v>
      </x:c>
      <x:c r="J80" s="75" t="str">
        <x:v>No</x:v>
      </x:c>
      <x:c r="K80" s="75" t="str">
        <x:v>Payments/transfers; communications stay free</x:v>
      </x:c>
      <x:c r="L80" s="75" t="str">
        <x:v>Active</x:v>
      </x:c>
      <x:c r="M80" s="75" t="str">
        <x:v>Marketplace/payment ecosystem may expand</x:v>
      </x:c>
      <x:c r="N80" s="75" t="str">
        <x:v>https://mezon.ai/docs/user/resources/FAQ/</x:v>
      </x:c>
      <x:c r="O80" s="75" t="str">
        <x:v>2026-09-15</x:v>
      </x:c>
      <x:c r="P80" s="75" t="str">
        <x:v>Platform transaction fee is U/K.</x:v>
      </x:c>
      <x:c r="Q80" s="75" t="str">
        <x:v>Primary / first-party source recorded</x:v>
      </x:c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</x:row>
    <x:row r="81" ht="45">
      <x:c r="A81" s="75" t="str">
        <x:v>Valour</x:v>
      </x:c>
      <x:c r="B81" s="75" t="str">
        <x:v>Current</x:v>
      </x:c>
      <x:c r="C81" s="75" t="str">
        <x:v>Supporter subscription</x:v>
      </x:c>
      <x:c r="D81" s="75" t="str">
        <x:v>Stargazer</x:v>
      </x:c>
      <x:c r="E81" s="75" t="str">
        <x:v>Price U/K</x:v>
      </x:c>
      <x:c r="F81" s="75" t="str">
        <x:v>U/K</x:v>
      </x:c>
      <x:c r="G81" s="75" t="str">
        <x:v>Recurring U/K</x:v>
      </x:c>
      <x:c r="H81" s="75" t="str">
        <x:v>Per user/supporter</x:v>
      </x:c>
      <x:c r="I81" s="75" t="str">
        <x:v>Personal account</x:v>
      </x:c>
      <x:c r="J81" s="75" t="str">
        <x:v>No</x:v>
      </x:c>
      <x:c r="K81" s="75" t="str">
        <x:v>Larger uploads; profile flair</x:v>
      </x:c>
      <x:c r="L81" s="75" t="str">
        <x:v>Active / optional</x:v>
      </x:c>
      <x:c r="M81" s="75" t="str">
        <x:v>Support intended to help make Valour sustainable/full-time</x:v>
      </x:c>
      <x:c r="N81" s="75" t="str">
        <x:v>https://valour.gg/faq/</x:v>
      </x:c>
      <x:c r="O81" s="75" t="str">
        <x:v>2026-09-15</x:v>
      </x:c>
      <x:c r="P81" s="75"/>
      <x:c r="Q81" s="75" t="str">
        <x:v>Primary / first-party source recorded</x:v>
      </x:c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</x:row>
    <x:row r="82" ht="30">
      <x:c r="A82" s="75" t="str">
        <x:v>Echon</x:v>
      </x:c>
      <x:c r="B82" s="75" t="str">
        <x:v>Intended / Planned</x:v>
      </x:c>
      <x:c r="C82" s="75" t="str">
        <x:v>Premium / boost tiers</x:v>
      </x:c>
      <x:c r="D82" s="75" t="str">
        <x:v>Premium / boost tiers</x:v>
      </x:c>
      <x:c r="E82" s="75" t="str">
        <x:v>U/K</x:v>
      </x:c>
      <x:c r="F82" s="75" t="str">
        <x:v>U/K</x:v>
      </x:c>
      <x:c r="G82" s="75" t="str">
        <x:v>U/K</x:v>
      </x:c>
      <x:c r="H82" s="75" t="str">
        <x:v>Scope U/K</x:v>
      </x:c>
      <x:c r="I82" s="75" t="str">
        <x:v>U/K</x:v>
      </x:c>
      <x:c r="J82" s="75" t="str">
        <x:v>U/K</x:v>
      </x:c>
      <x:c r="K82" s="75" t="str">
        <x:v>U/K</x:v>
      </x:c>
      <x:c r="L82" s="75" t="str">
        <x:v>Referenced as when active</x:v>
      </x:c>
      <x:c r="M82" s="75" t="str">
        <x:v>Paid premium/boost features are anticipated</x:v>
      </x:c>
      <x:c r="N82" s="75" t="str">
        <x:v>https://echon-voice.com/privacy</x:v>
      </x:c>
      <x:c r="O82" s="75" t="str">
        <x:v>2026-09-15</x:v>
      </x:c>
      <x:c r="P82" s="75"/>
      <x:c r="Q82" s="75" t="str">
        <x:v>Primary / first-party source recorded</x:v>
      </x:c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</x:row>
    <x:row r="83" ht="60">
      <x:c r="A83" s="75" t="str">
        <x:v>Loqa</x:v>
      </x:c>
      <x:c r="B83" s="75" t="str">
        <x:v>Current / infrastructure present</x:v>
      </x:c>
      <x:c r="C83" s="75" t="str">
        <x:v>Subscriptions / paid features</x:v>
      </x:c>
      <x:c r="D83" s="75" t="str">
        <x:v>Subscriptions, purchases and paid features</x:v>
      </x:c>
      <x:c r="E83" s="75" t="str">
        <x:v>U/K</x:v>
      </x:c>
      <x:c r="F83" s="75" t="str">
        <x:v>U/K</x:v>
      </x:c>
      <x:c r="G83" s="75" t="str">
        <x:v>U/K</x:v>
      </x:c>
      <x:c r="H83" s="75" t="str">
        <x:v>U/K</x:v>
      </x:c>
      <x:c r="I83" s="75" t="str">
        <x:v>Entitlement / store purchase</x:v>
      </x:c>
      <x:c r="J83" s="75" t="str">
        <x:v>U/K</x:v>
      </x:c>
      <x:c r="K83" s="75" t="str">
        <x:v>U/K</x:v>
      </x:c>
      <x:c r="L83" s="75" t="str">
        <x:v>Policy supports billing flows; live catalog U/K</x:v>
      </x:c>
      <x:c r="M83" s="75" t="str">
        <x:v>Paid surfaces/community-store transactions supported by policy</x:v>
      </x:c>
      <x:c r="N83" s="75" t="str">
        <x:v>https://loqa.chat/privacy/</x:v>
      </x:c>
      <x:c r="O83" s="75" t="str">
        <x:v>2026-09-15</x:v>
      </x:c>
      <x:c r="P83" s="75"/>
      <x:c r="Q83" s="75" t="str">
        <x:v>Primary / first-party source recorded</x:v>
      </x:c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</x:row>
    <x:row r="84" ht="45">
      <x:c r="A84" s="75" t="str">
        <x:v>Yapper</x:v>
      </x:c>
      <x:c r="B84" s="75" t="str">
        <x:v>Current</x:v>
      </x:c>
      <x:c r="C84" s="75" t="str">
        <x:v>Self-host license</x:v>
      </x:c>
      <x:c r="D84" s="75" t="str">
        <x:v>Maximum Control Self-Hosting License</x:v>
      </x:c>
      <x:c r="E84" s="75" t="str">
        <x:v>0</x:v>
      </x:c>
      <x:c r="F84" s="75" t="str">
        <x:v>USD</x:v>
      </x:c>
      <x:c r="G84" s="75" t="str">
        <x:v>No subscription</x:v>
      </x:c>
      <x:c r="H84" s="75" t="str">
        <x:v>Per self-host server</x:v>
      </x:c>
      <x:c r="I84" s="75" t="str">
        <x:v>Self-host server</x:v>
      </x:c>
      <x:c r="J84" s="75" t="str">
        <x:v>Self-host license</x:v>
      </x:c>
      <x:c r="K84" s="75" t="str">
        <x:v>Full control / unlimited users</x:v>
      </x:c>
      <x:c r="L84" s="75" t="str">
        <x:v>Active</x:v>
      </x:c>
      <x:c r="M84" s="75" t="str">
        <x:v>License model funds development; current self-host license is $0</x:v>
      </x:c>
      <x:c r="N84" s="75" t="str">
        <x:v>https://yapper.gg/pricing</x:v>
      </x:c>
      <x:c r="O84" s="75" t="str">
        <x:v>2026-09-15</x:v>
      </x:c>
      <x:c r="P84" s="75"/>
      <x:c r="Q84" s="75" t="str">
        <x:v>Primary / first-party source recorded</x:v>
      </x:c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</x:row>
    <x:row r="85" ht="45">
      <x:c r="A85" s="75" t="str">
        <x:v>Weered</x:v>
      </x:c>
      <x:c r="B85" s="75" t="str">
        <x:v>Current</x:v>
      </x:c>
      <x:c r="C85" s="75" t="str">
        <x:v>Community build services</x:v>
      </x:c>
      <x:c r="D85" s="75" t="str">
        <x:v>Crew / League / Network / Larger custom builds</x:v>
      </x:c>
      <x:c r="E85" s="75" t="str">
        <x:v>Quoted</x:v>
      </x:c>
      <x:c r="F85" s="75" t="str">
        <x:v>USD / quote</x:v>
      </x:c>
      <x:c r="G85" s="75" t="str">
        <x:v>Month-to-month</x:v>
      </x:c>
      <x:c r="H85" s="75" t="str">
        <x:v>Per community</x:v>
      </x:c>
      <x:c r="I85" s="75" t="str">
        <x:v>Entire community</x:v>
      </x:c>
      <x:c r="J85" s="75" t="str">
        <x:v>Yes</x:v>
      </x:c>
      <x:c r="K85" s="75" t="str">
        <x:v>Custom bots/features, branding, domain, managed infra</x:v>
      </x:c>
      <x:c r="L85" s="75" t="str">
        <x:v>Active</x:v>
      </x:c>
      <x:c r="M85" s="75" t="str">
        <x:v>First 10 builds: fee waived and rate locked at least 12 months</x:v>
      </x:c>
      <x:c r="N85" s="75" t="str">
        <x:v>https://weered.ca/pricing</x:v>
      </x:c>
      <x:c r="O85" s="75" t="str">
        <x:v>2026-09-15</x:v>
      </x:c>
      <x:c r="P85" s="75" t="str">
        <x:v>Priced by community size, not seats or boosts.</x:v>
      </x:c>
      <x:c r="Q85" s="75" t="str">
        <x:v>Primary / first-party source recorded</x:v>
      </x:c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</x:row>
    <x:row r="86" ht="45">
      <x:c r="A86" s="75" t="str">
        <x:v>Discord</x:v>
      </x:c>
      <x:c r="B86" s="75" t="str">
        <x:v>Intended / Planned</x:v>
      </x:c>
      <x:c r="C86" s="75" t="str">
        <x:v>Future monetization status</x:v>
      </x:c>
      <x:c r="D86" s="75" t="str">
        <x:v>No intended monetization publicly verified</x:v>
      </x:c>
      <x:c r="E86" s="75" t="str">
        <x:v>U/K</x:v>
      </x:c>
      <x:c r="F86" s="75" t="str">
        <x:v>U/K</x:v>
      </x:c>
      <x:c r="G86" s="75" t="str">
        <x:v>U/K</x:v>
      </x:c>
      <x:c r="H86" s="75" t="str">
        <x:v>U/K</x:v>
      </x:c>
      <x:c r="I86" s="75" t="str">
        <x:v>U/K</x:v>
      </x:c>
      <x:c r="J86" s="75" t="str">
        <x:v>U/K</x:v>
      </x:c>
      <x:c r="K86" s="75" t="str">
        <x:v>U/K</x:v>
      </x:c>
      <x:c r="L86" s="75" t="str">
        <x:v>Not publicly announced</x:v>
      </x:c>
      <x:c r="M86" s="75" t="str">
        <x:v>No intended monetization publicly verified</x:v>
      </x:c>
      <x:c r="N86" s="75" t="str">
        <x:v>U/K</x:v>
      </x:c>
      <x:c r="O86" s="75" t="str">
        <x:v>2026-09-15</x:v>
      </x:c>
      <x:c r="P86" s="75"/>
      <x:c r="Q86" s="75" t="str">
        <x:v>Needs primary-source verification</x:v>
      </x:c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</x:row>
    <x:row r="87" ht="45">
      <x:c r="A87" s="75" t="str">
        <x:v>Stoat</x:v>
      </x:c>
      <x:c r="B87" s="75" t="str">
        <x:v>Intended / Planned</x:v>
      </x:c>
      <x:c r="C87" s="75" t="str">
        <x:v>Future monetization status</x:v>
      </x:c>
      <x:c r="D87" s="75" t="str">
        <x:v>No intended monetization publicly verified</x:v>
      </x:c>
      <x:c r="E87" s="75" t="str">
        <x:v>U/K</x:v>
      </x:c>
      <x:c r="F87" s="75" t="str">
        <x:v>U/K</x:v>
      </x:c>
      <x:c r="G87" s="75" t="str">
        <x:v>U/K</x:v>
      </x:c>
      <x:c r="H87" s="75" t="str">
        <x:v>U/K</x:v>
      </x:c>
      <x:c r="I87" s="75" t="str">
        <x:v>U/K</x:v>
      </x:c>
      <x:c r="J87" s="75" t="str">
        <x:v>U/K</x:v>
      </x:c>
      <x:c r="K87" s="75" t="str">
        <x:v>U/K</x:v>
      </x:c>
      <x:c r="L87" s="75" t="str">
        <x:v>Not publicly announced</x:v>
      </x:c>
      <x:c r="M87" s="75" t="str">
        <x:v>No intended monetization publicly verified</x:v>
      </x:c>
      <x:c r="N87" s="75" t="str">
        <x:v>U/K</x:v>
      </x:c>
      <x:c r="O87" s="75" t="str">
        <x:v>2026-09-15</x:v>
      </x:c>
      <x:c r="P87" s="75"/>
      <x:c r="Q87" s="75" t="str">
        <x:v>Needs primary-source verification</x:v>
      </x:c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</x:row>
    <x:row r="88" ht="45">
      <x:c r="A88" s="75" t="str">
        <x:v>Fenrid</x:v>
      </x:c>
      <x:c r="B88" s="75" t="str">
        <x:v>Current model</x:v>
      </x:c>
      <x:c r="C88" s="75" t="str">
        <x:v>Current monetization status</x:v>
      </x:c>
      <x:c r="D88" s="75" t="str">
        <x:v>No current paid monetization publicly verified</x:v>
      </x:c>
      <x:c r="E88" s="75" t="str">
        <x:v>U/K</x:v>
      </x:c>
      <x:c r="F88" s="75" t="str">
        <x:v>U/K</x:v>
      </x:c>
      <x:c r="G88" s="75" t="str">
        <x:v>U/K</x:v>
      </x:c>
      <x:c r="H88" s="75" t="str">
        <x:v>U/K</x:v>
      </x:c>
      <x:c r="I88" s="75" t="str">
        <x:v>U/K</x:v>
      </x:c>
      <x:c r="J88" s="75" t="str">
        <x:v>U/K</x:v>
      </x:c>
      <x:c r="K88" s="75" t="str">
        <x:v>U/K</x:v>
      </x:c>
      <x:c r="L88" s="75" t="str">
        <x:v>U/K</x:v>
      </x:c>
      <x:c r="M88" s="75" t="str">
        <x:v>U/K</x:v>
      </x:c>
      <x:c r="N88" s="75" t="str">
        <x:v>U/K</x:v>
      </x:c>
      <x:c r="O88" s="75" t="str">
        <x:v>2026-09-15</x:v>
      </x:c>
      <x:c r="P88" s="75"/>
      <x:c r="Q88" s="75" t="str">
        <x:v>Needs primary-source verification</x:v>
      </x:c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</x:row>
    <x:row r="89" ht="45">
      <x:c r="A89" s="75" t="str">
        <x:v>Fluxer</x:v>
      </x:c>
      <x:c r="B89" s="75" t="str">
        <x:v>Intended / Planned</x:v>
      </x:c>
      <x:c r="C89" s="75" t="str">
        <x:v>Future monetization status</x:v>
      </x:c>
      <x:c r="D89" s="75" t="str">
        <x:v>No intended monetization publicly verified</x:v>
      </x:c>
      <x:c r="E89" s="75" t="str">
        <x:v>U/K</x:v>
      </x:c>
      <x:c r="F89" s="75" t="str">
        <x:v>U/K</x:v>
      </x:c>
      <x:c r="G89" s="75" t="str">
        <x:v>U/K</x:v>
      </x:c>
      <x:c r="H89" s="75" t="str">
        <x:v>U/K</x:v>
      </x:c>
      <x:c r="I89" s="75" t="str">
        <x:v>U/K</x:v>
      </x:c>
      <x:c r="J89" s="75" t="str">
        <x:v>U/K</x:v>
      </x:c>
      <x:c r="K89" s="75" t="str">
        <x:v>U/K</x:v>
      </x:c>
      <x:c r="L89" s="75" t="str">
        <x:v>Not publicly announced</x:v>
      </x:c>
      <x:c r="M89" s="75" t="str">
        <x:v>No intended monetization publicly verified</x:v>
      </x:c>
      <x:c r="N89" s="75" t="str">
        <x:v>U/K</x:v>
      </x:c>
      <x:c r="O89" s="75" t="str">
        <x:v>2026-09-15</x:v>
      </x:c>
      <x:c r="P89" s="75"/>
      <x:c r="Q89" s="75" t="str">
        <x:v>Needs primary-source verification</x:v>
      </x:c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</x:row>
    <x:row r="90" ht="45">
      <x:c r="A90" s="75" t="str">
        <x:v>Root</x:v>
      </x:c>
      <x:c r="B90" s="75" t="str">
        <x:v>Intended / Planned</x:v>
      </x:c>
      <x:c r="C90" s="75" t="str">
        <x:v>Future monetization status</x:v>
      </x:c>
      <x:c r="D90" s="75" t="str">
        <x:v>No intended monetization publicly verified</x:v>
      </x:c>
      <x:c r="E90" s="75" t="str">
        <x:v>U/K</x:v>
      </x:c>
      <x:c r="F90" s="75" t="str">
        <x:v>U/K</x:v>
      </x:c>
      <x:c r="G90" s="75" t="str">
        <x:v>U/K</x:v>
      </x:c>
      <x:c r="H90" s="75" t="str">
        <x:v>U/K</x:v>
      </x:c>
      <x:c r="I90" s="75" t="str">
        <x:v>U/K</x:v>
      </x:c>
      <x:c r="J90" s="75" t="str">
        <x:v>U/K</x:v>
      </x:c>
      <x:c r="K90" s="75" t="str">
        <x:v>U/K</x:v>
      </x:c>
      <x:c r="L90" s="75" t="str">
        <x:v>Not publicly announced</x:v>
      </x:c>
      <x:c r="M90" s="75" t="str">
        <x:v>No intended monetization publicly verified</x:v>
      </x:c>
      <x:c r="N90" s="75" t="str">
        <x:v>U/K</x:v>
      </x:c>
      <x:c r="O90" s="75" t="str">
        <x:v>2026-09-15</x:v>
      </x:c>
      <x:c r="P90" s="75"/>
      <x:c r="Q90" s="75" t="str">
        <x:v>Needs primary-source verification</x:v>
      </x:c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</x:row>
    <x:row r="91" ht="45">
      <x:c r="A91" s="75" t="str">
        <x:v>Spacebar</x:v>
      </x:c>
      <x:c r="B91" s="75" t="str">
        <x:v>Intended / Planned</x:v>
      </x:c>
      <x:c r="C91" s="75" t="str">
        <x:v>Future monetization status</x:v>
      </x:c>
      <x:c r="D91" s="75" t="str">
        <x:v>No intended monetization publicly verified</x:v>
      </x:c>
      <x:c r="E91" s="75" t="str">
        <x:v>U/K</x:v>
      </x:c>
      <x:c r="F91" s="75" t="str">
        <x:v>U/K</x:v>
      </x:c>
      <x:c r="G91" s="75" t="str">
        <x:v>U/K</x:v>
      </x:c>
      <x:c r="H91" s="75" t="str">
        <x:v>U/K</x:v>
      </x:c>
      <x:c r="I91" s="75" t="str">
        <x:v>U/K</x:v>
      </x:c>
      <x:c r="J91" s="75" t="str">
        <x:v>U/K</x:v>
      </x:c>
      <x:c r="K91" s="75" t="str">
        <x:v>U/K</x:v>
      </x:c>
      <x:c r="L91" s="75" t="str">
        <x:v>Not publicly announced</x:v>
      </x:c>
      <x:c r="M91" s="75" t="str">
        <x:v>No intended monetization publicly verified</x:v>
      </x:c>
      <x:c r="N91" s="75" t="str">
        <x:v>U/K</x:v>
      </x:c>
      <x:c r="O91" s="75" t="str">
        <x:v>2026-09-15</x:v>
      </x:c>
      <x:c r="P91" s="75"/>
      <x:c r="Q91" s="75" t="str">
        <x:v>Needs primary-source verification</x:v>
      </x:c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</x:row>
    <x:row r="92" ht="45">
      <x:c r="A92" s="75" t="str">
        <x:v>Mumble</x:v>
      </x:c>
      <x:c r="B92" s="75" t="str">
        <x:v>Intended / Planned</x:v>
      </x:c>
      <x:c r="C92" s="75" t="str">
        <x:v>Future monetization status</x:v>
      </x:c>
      <x:c r="D92" s="75" t="str">
        <x:v>No intended monetization publicly verified</x:v>
      </x:c>
      <x:c r="E92" s="75" t="str">
        <x:v>U/K</x:v>
      </x:c>
      <x:c r="F92" s="75" t="str">
        <x:v>U/K</x:v>
      </x:c>
      <x:c r="G92" s="75" t="str">
        <x:v>U/K</x:v>
      </x:c>
      <x:c r="H92" s="75" t="str">
        <x:v>U/K</x:v>
      </x:c>
      <x:c r="I92" s="75" t="str">
        <x:v>U/K</x:v>
      </x:c>
      <x:c r="J92" s="75" t="str">
        <x:v>U/K</x:v>
      </x:c>
      <x:c r="K92" s="75" t="str">
        <x:v>U/K</x:v>
      </x:c>
      <x:c r="L92" s="75" t="str">
        <x:v>Not publicly announced</x:v>
      </x:c>
      <x:c r="M92" s="75" t="str">
        <x:v>No intended monetization publicly verified</x:v>
      </x:c>
      <x:c r="N92" s="75" t="str">
        <x:v>U/K</x:v>
      </x:c>
      <x:c r="O92" s="75" t="str">
        <x:v>2026-09-15</x:v>
      </x:c>
      <x:c r="P92" s="75"/>
      <x:c r="Q92" s="75" t="str">
        <x:v>Needs primary-source verification</x:v>
      </x:c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</x:row>
    <x:row r="93" ht="45">
      <x:c r="A93" s="75" t="str">
        <x:v>TeamSpeak</x:v>
      </x:c>
      <x:c r="B93" s="75" t="str">
        <x:v>Intended / Planned</x:v>
      </x:c>
      <x:c r="C93" s="75" t="str">
        <x:v>Future monetization status</x:v>
      </x:c>
      <x:c r="D93" s="75" t="str">
        <x:v>No intended monetization publicly verified</x:v>
      </x:c>
      <x:c r="E93" s="75" t="str">
        <x:v>U/K</x:v>
      </x:c>
      <x:c r="F93" s="75" t="str">
        <x:v>U/K</x:v>
      </x:c>
      <x:c r="G93" s="75" t="str">
        <x:v>U/K</x:v>
      </x:c>
      <x:c r="H93" s="75" t="str">
        <x:v>U/K</x:v>
      </x:c>
      <x:c r="I93" s="75" t="str">
        <x:v>U/K</x:v>
      </x:c>
      <x:c r="J93" s="75" t="str">
        <x:v>U/K</x:v>
      </x:c>
      <x:c r="K93" s="75" t="str">
        <x:v>U/K</x:v>
      </x:c>
      <x:c r="L93" s="75" t="str">
        <x:v>Not publicly announced</x:v>
      </x:c>
      <x:c r="M93" s="75" t="str">
        <x:v>No intended monetization publicly verified</x:v>
      </x:c>
      <x:c r="N93" s="75" t="str">
        <x:v>U/K</x:v>
      </x:c>
      <x:c r="O93" s="75" t="str">
        <x:v>2026-09-15</x:v>
      </x:c>
      <x:c r="P93" s="75"/>
      <x:c r="Q93" s="75" t="str">
        <x:v>Needs primary-source verification</x:v>
      </x:c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</x:row>
    <x:row r="94" ht="45">
      <x:c r="A94" s="75" t="str">
        <x:v>Zulip</x:v>
      </x:c>
      <x:c r="B94" s="75" t="str">
        <x:v>Intended / Planned</x:v>
      </x:c>
      <x:c r="C94" s="75" t="str">
        <x:v>Future monetization status</x:v>
      </x:c>
      <x:c r="D94" s="75" t="str">
        <x:v>No intended monetization publicly verified</x:v>
      </x:c>
      <x:c r="E94" s="75" t="str">
        <x:v>U/K</x:v>
      </x:c>
      <x:c r="F94" s="75" t="str">
        <x:v>U/K</x:v>
      </x:c>
      <x:c r="G94" s="75" t="str">
        <x:v>U/K</x:v>
      </x:c>
      <x:c r="H94" s="75" t="str">
        <x:v>U/K</x:v>
      </x:c>
      <x:c r="I94" s="75" t="str">
        <x:v>U/K</x:v>
      </x:c>
      <x:c r="J94" s="75" t="str">
        <x:v>U/K</x:v>
      </x:c>
      <x:c r="K94" s="75" t="str">
        <x:v>U/K</x:v>
      </x:c>
      <x:c r="L94" s="75" t="str">
        <x:v>Not publicly announced</x:v>
      </x:c>
      <x:c r="M94" s="75" t="str">
        <x:v>No intended monetization publicly verified</x:v>
      </x:c>
      <x:c r="N94" s="75" t="str">
        <x:v>U/K</x:v>
      </x:c>
      <x:c r="O94" s="75" t="str">
        <x:v>2026-09-15</x:v>
      </x:c>
      <x:c r="P94" s="75"/>
      <x:c r="Q94" s="75" t="str">
        <x:v>Needs primary-source verification</x:v>
      </x:c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</x:row>
    <x:row r="95" ht="45">
      <x:c r="A95" s="75" t="str">
        <x:v>Mattermost</x:v>
      </x:c>
      <x:c r="B95" s="75" t="str">
        <x:v>Intended / Planned</x:v>
      </x:c>
      <x:c r="C95" s="75" t="str">
        <x:v>Future monetization status</x:v>
      </x:c>
      <x:c r="D95" s="75" t="str">
        <x:v>No intended monetization publicly verified</x:v>
      </x:c>
      <x:c r="E95" s="75" t="str">
        <x:v>U/K</x:v>
      </x:c>
      <x:c r="F95" s="75" t="str">
        <x:v>U/K</x:v>
      </x:c>
      <x:c r="G95" s="75" t="str">
        <x:v>U/K</x:v>
      </x:c>
      <x:c r="H95" s="75" t="str">
        <x:v>U/K</x:v>
      </x:c>
      <x:c r="I95" s="75" t="str">
        <x:v>U/K</x:v>
      </x:c>
      <x:c r="J95" s="75" t="str">
        <x:v>U/K</x:v>
      </x:c>
      <x:c r="K95" s="75" t="str">
        <x:v>U/K</x:v>
      </x:c>
      <x:c r="L95" s="75" t="str">
        <x:v>Not publicly announced</x:v>
      </x:c>
      <x:c r="M95" s="75" t="str">
        <x:v>No intended monetization publicly verified</x:v>
      </x:c>
      <x:c r="N95" s="75" t="str">
        <x:v>U/K</x:v>
      </x:c>
      <x:c r="O95" s="75" t="str">
        <x:v>2026-09-15</x:v>
      </x:c>
      <x:c r="P95" s="75"/>
      <x:c r="Q95" s="75" t="str">
        <x:v>Needs primary-source verification</x:v>
      </x:c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</x:row>
    <x:row r="96" ht="45">
      <x:c r="A96" s="75" t="str">
        <x:v>Rocket.Chat</x:v>
      </x:c>
      <x:c r="B96" s="75" t="str">
        <x:v>Intended / Planned</x:v>
      </x:c>
      <x:c r="C96" s="75" t="str">
        <x:v>Future monetization status</x:v>
      </x:c>
      <x:c r="D96" s="75" t="str">
        <x:v>No intended monetization publicly verified</x:v>
      </x:c>
      <x:c r="E96" s="75" t="str">
        <x:v>U/K</x:v>
      </x:c>
      <x:c r="F96" s="75" t="str">
        <x:v>U/K</x:v>
      </x:c>
      <x:c r="G96" s="75" t="str">
        <x:v>U/K</x:v>
      </x:c>
      <x:c r="H96" s="75" t="str">
        <x:v>U/K</x:v>
      </x:c>
      <x:c r="I96" s="75" t="str">
        <x:v>U/K</x:v>
      </x:c>
      <x:c r="J96" s="75" t="str">
        <x:v>U/K</x:v>
      </x:c>
      <x:c r="K96" s="75" t="str">
        <x:v>U/K</x:v>
      </x:c>
      <x:c r="L96" s="75" t="str">
        <x:v>Not publicly announced</x:v>
      </x:c>
      <x:c r="M96" s="75" t="str">
        <x:v>No intended monetization publicly verified</x:v>
      </x:c>
      <x:c r="N96" s="75" t="str">
        <x:v>U/K</x:v>
      </x:c>
      <x:c r="O96" s="75" t="str">
        <x:v>2026-09-15</x:v>
      </x:c>
      <x:c r="P96" s="75"/>
      <x:c r="Q96" s="75" t="str">
        <x:v>Needs primary-source verification</x:v>
      </x:c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</x:row>
    <x:row r="97" ht="45">
      <x:c r="A97" s="75" t="str">
        <x:v>GameVox</x:v>
      </x:c>
      <x:c r="B97" s="75" t="str">
        <x:v>Intended / Planned</x:v>
      </x:c>
      <x:c r="C97" s="75" t="str">
        <x:v>Future monetization status</x:v>
      </x:c>
      <x:c r="D97" s="75" t="str">
        <x:v>No intended monetization publicly verified</x:v>
      </x:c>
      <x:c r="E97" s="75" t="str">
        <x:v>U/K</x:v>
      </x:c>
      <x:c r="F97" s="75" t="str">
        <x:v>U/K</x:v>
      </x:c>
      <x:c r="G97" s="75" t="str">
        <x:v>U/K</x:v>
      </x:c>
      <x:c r="H97" s="75" t="str">
        <x:v>U/K</x:v>
      </x:c>
      <x:c r="I97" s="75" t="str">
        <x:v>U/K</x:v>
      </x:c>
      <x:c r="J97" s="75" t="str">
        <x:v>U/K</x:v>
      </x:c>
      <x:c r="K97" s="75" t="str">
        <x:v>U/K</x:v>
      </x:c>
      <x:c r="L97" s="75" t="str">
        <x:v>Not publicly announced</x:v>
      </x:c>
      <x:c r="M97" s="75" t="str">
        <x:v>No intended monetization publicly verified</x:v>
      </x:c>
      <x:c r="N97" s="75" t="str">
        <x:v>U/K</x:v>
      </x:c>
      <x:c r="O97" s="75" t="str">
        <x:v>2026-09-15</x:v>
      </x:c>
      <x:c r="P97" s="75"/>
      <x:c r="Q97" s="75" t="str">
        <x:v>Needs primary-source verification</x:v>
      </x:c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</x:row>
    <x:row r="98" ht="45">
      <x:c r="A98" s="75" t="str">
        <x:v>Nerimity</x:v>
      </x:c>
      <x:c r="B98" s="75" t="str">
        <x:v>Intended / Planned</x:v>
      </x:c>
      <x:c r="C98" s="75" t="str">
        <x:v>Future monetization status</x:v>
      </x:c>
      <x:c r="D98" s="75" t="str">
        <x:v>No intended monetization publicly verified</x:v>
      </x:c>
      <x:c r="E98" s="75" t="str">
        <x:v>U/K</x:v>
      </x:c>
      <x:c r="F98" s="75" t="str">
        <x:v>U/K</x:v>
      </x:c>
      <x:c r="G98" s="75" t="str">
        <x:v>U/K</x:v>
      </x:c>
      <x:c r="H98" s="75" t="str">
        <x:v>U/K</x:v>
      </x:c>
      <x:c r="I98" s="75" t="str">
        <x:v>U/K</x:v>
      </x:c>
      <x:c r="J98" s="75" t="str">
        <x:v>U/K</x:v>
      </x:c>
      <x:c r="K98" s="75" t="str">
        <x:v>U/K</x:v>
      </x:c>
      <x:c r="L98" s="75" t="str">
        <x:v>Not publicly announced</x:v>
      </x:c>
      <x:c r="M98" s="75" t="str">
        <x:v>No intended monetization publicly verified</x:v>
      </x:c>
      <x:c r="N98" s="75" t="str">
        <x:v>U/K</x:v>
      </x:c>
      <x:c r="O98" s="75" t="str">
        <x:v>2026-09-15</x:v>
      </x:c>
      <x:c r="P98" s="75"/>
      <x:c r="Q98" s="75" t="str">
        <x:v>Needs primary-source verification</x:v>
      </x:c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</x:row>
    <x:row r="99" ht="45">
      <x:c r="A99" s="75" t="str">
        <x:v>Osmium</x:v>
      </x:c>
      <x:c r="B99" s="75" t="str">
        <x:v>Intended / Planned</x:v>
      </x:c>
      <x:c r="C99" s="75" t="str">
        <x:v>Future monetization status</x:v>
      </x:c>
      <x:c r="D99" s="75" t="str">
        <x:v>No intended monetization publicly verified</x:v>
      </x:c>
      <x:c r="E99" s="75" t="str">
        <x:v>U/K</x:v>
      </x:c>
      <x:c r="F99" s="75" t="str">
        <x:v>U/K</x:v>
      </x:c>
      <x:c r="G99" s="75" t="str">
        <x:v>U/K</x:v>
      </x:c>
      <x:c r="H99" s="75" t="str">
        <x:v>U/K</x:v>
      </x:c>
      <x:c r="I99" s="75" t="str">
        <x:v>U/K</x:v>
      </x:c>
      <x:c r="J99" s="75" t="str">
        <x:v>U/K</x:v>
      </x:c>
      <x:c r="K99" s="75" t="str">
        <x:v>U/K</x:v>
      </x:c>
      <x:c r="L99" s="75" t="str">
        <x:v>Not publicly announced</x:v>
      </x:c>
      <x:c r="M99" s="75" t="str">
        <x:v>No intended monetization publicly verified</x:v>
      </x:c>
      <x:c r="N99" s="75" t="str">
        <x:v>U/K</x:v>
      </x:c>
      <x:c r="O99" s="75" t="str">
        <x:v>2026-09-15</x:v>
      </x:c>
      <x:c r="P99" s="75"/>
      <x:c r="Q99" s="75" t="str">
        <x:v>Needs primary-source verification</x:v>
      </x:c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</x:row>
    <x:row r="100" ht="45">
      <x:c r="A100" s="75" t="str">
        <x:v>Loqa</x:v>
      </x:c>
      <x:c r="B100" s="75" t="str">
        <x:v>Intended / Planned</x:v>
      </x:c>
      <x:c r="C100" s="75" t="str">
        <x:v>Future monetization status</x:v>
      </x:c>
      <x:c r="D100" s="75" t="str">
        <x:v>No intended monetization publicly verified</x:v>
      </x:c>
      <x:c r="E100" s="75" t="str">
        <x:v>U/K</x:v>
      </x:c>
      <x:c r="F100" s="75" t="str">
        <x:v>U/K</x:v>
      </x:c>
      <x:c r="G100" s="75" t="str">
        <x:v>U/K</x:v>
      </x:c>
      <x:c r="H100" s="75" t="str">
        <x:v>U/K</x:v>
      </x:c>
      <x:c r="I100" s="75" t="str">
        <x:v>U/K</x:v>
      </x:c>
      <x:c r="J100" s="75" t="str">
        <x:v>U/K</x:v>
      </x:c>
      <x:c r="K100" s="75" t="str">
        <x:v>U/K</x:v>
      </x:c>
      <x:c r="L100" s="75" t="str">
        <x:v>Not publicly announced</x:v>
      </x:c>
      <x:c r="M100" s="75" t="str">
        <x:v>No intended monetization publicly verified</x:v>
      </x:c>
      <x:c r="N100" s="75" t="str">
        <x:v>U/K</x:v>
      </x:c>
      <x:c r="O100" s="75" t="str">
        <x:v>2026-09-15</x:v>
      </x:c>
      <x:c r="P100" s="75"/>
      <x:c r="Q100" s="75" t="str">
        <x:v>Needs primary-source verification</x:v>
      </x:c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</x:row>
    <x:row r="101" ht="45">
      <x:c r="A101" s="75" t="str">
        <x:v>Venta</x:v>
      </x:c>
      <x:c r="B101" s="75" t="str">
        <x:v>Intended / Planned</x:v>
      </x:c>
      <x:c r="C101" s="75" t="str">
        <x:v>Future monetization status</x:v>
      </x:c>
      <x:c r="D101" s="75" t="str">
        <x:v>No intended monetization publicly verified</x:v>
      </x:c>
      <x:c r="E101" s="75" t="str">
        <x:v>U/K</x:v>
      </x:c>
      <x:c r="F101" s="75" t="str">
        <x:v>U/K</x:v>
      </x:c>
      <x:c r="G101" s="75" t="str">
        <x:v>U/K</x:v>
      </x:c>
      <x:c r="H101" s="75" t="str">
        <x:v>U/K</x:v>
      </x:c>
      <x:c r="I101" s="75" t="str">
        <x:v>U/K</x:v>
      </x:c>
      <x:c r="J101" s="75" t="str">
        <x:v>U/K</x:v>
      </x:c>
      <x:c r="K101" s="75" t="str">
        <x:v>U/K</x:v>
      </x:c>
      <x:c r="L101" s="75" t="str">
        <x:v>Not publicly announced</x:v>
      </x:c>
      <x:c r="M101" s="75" t="str">
        <x:v>No intended monetization publicly verified</x:v>
      </x:c>
      <x:c r="N101" s="75" t="str">
        <x:v>U/K</x:v>
      </x:c>
      <x:c r="O101" s="75" t="str">
        <x:v>2026-09-15</x:v>
      </x:c>
      <x:c r="P101" s="75"/>
      <x:c r="Q101" s="75" t="str">
        <x:v>Needs primary-source verification</x:v>
      </x:c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</x:row>
    <x:row r="102" ht="45">
      <x:c r="A102" s="75" t="str">
        <x:v>Mezon</x:v>
      </x:c>
      <x:c r="B102" s="75" t="str">
        <x:v>Intended / Planned</x:v>
      </x:c>
      <x:c r="C102" s="75" t="str">
        <x:v>Future monetization status</x:v>
      </x:c>
      <x:c r="D102" s="75" t="str">
        <x:v>No intended monetization publicly verified</x:v>
      </x:c>
      <x:c r="E102" s="75" t="str">
        <x:v>U/K</x:v>
      </x:c>
      <x:c r="F102" s="75" t="str">
        <x:v>U/K</x:v>
      </x:c>
      <x:c r="G102" s="75" t="str">
        <x:v>U/K</x:v>
      </x:c>
      <x:c r="H102" s="75" t="str">
        <x:v>U/K</x:v>
      </x:c>
      <x:c r="I102" s="75" t="str">
        <x:v>U/K</x:v>
      </x:c>
      <x:c r="J102" s="75" t="str">
        <x:v>U/K</x:v>
      </x:c>
      <x:c r="K102" s="75" t="str">
        <x:v>U/K</x:v>
      </x:c>
      <x:c r="L102" s="75" t="str">
        <x:v>Not publicly announced</x:v>
      </x:c>
      <x:c r="M102" s="75" t="str">
        <x:v>No intended monetization publicly verified</x:v>
      </x:c>
      <x:c r="N102" s="75" t="str">
        <x:v>U/K</x:v>
      </x:c>
      <x:c r="O102" s="75" t="str">
        <x:v>2026-09-15</x:v>
      </x:c>
      <x:c r="P102" s="75"/>
      <x:c r="Q102" s="75" t="str">
        <x:v>Needs primary-source verification</x:v>
      </x:c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</x:row>
    <x:row r="103" ht="45">
      <x:c r="A103" s="75" t="str">
        <x:v>Kloak</x:v>
      </x:c>
      <x:c r="B103" s="75" t="str">
        <x:v>Intended / Planned</x:v>
      </x:c>
      <x:c r="C103" s="75" t="str">
        <x:v>Future monetization status</x:v>
      </x:c>
      <x:c r="D103" s="75" t="str">
        <x:v>No intended monetization publicly verified</x:v>
      </x:c>
      <x:c r="E103" s="75" t="str">
        <x:v>U/K</x:v>
      </x:c>
      <x:c r="F103" s="75" t="str">
        <x:v>U/K</x:v>
      </x:c>
      <x:c r="G103" s="75" t="str">
        <x:v>U/K</x:v>
      </x:c>
      <x:c r="H103" s="75" t="str">
        <x:v>U/K</x:v>
      </x:c>
      <x:c r="I103" s="75" t="str">
        <x:v>U/K</x:v>
      </x:c>
      <x:c r="J103" s="75" t="str">
        <x:v>U/K</x:v>
      </x:c>
      <x:c r="K103" s="75" t="str">
        <x:v>U/K</x:v>
      </x:c>
      <x:c r="L103" s="75" t="str">
        <x:v>Not publicly announced</x:v>
      </x:c>
      <x:c r="M103" s="75" t="str">
        <x:v>No intended monetization publicly verified</x:v>
      </x:c>
      <x:c r="N103" s="75" t="str">
        <x:v>U/K</x:v>
      </x:c>
      <x:c r="O103" s="75" t="str">
        <x:v>2026-09-15</x:v>
      </x:c>
      <x:c r="P103" s="75"/>
      <x:c r="Q103" s="75" t="str">
        <x:v>Needs primary-source verification</x:v>
      </x:c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</x:row>
    <x:row r="104" ht="45">
      <x:c r="A104" s="75" t="str">
        <x:v>Yapper</x:v>
      </x:c>
      <x:c r="B104" s="75" t="str">
        <x:v>Intended / Planned</x:v>
      </x:c>
      <x:c r="C104" s="75" t="str">
        <x:v>Future monetization status</x:v>
      </x:c>
      <x:c r="D104" s="75" t="str">
        <x:v>No intended monetization publicly verified</x:v>
      </x:c>
      <x:c r="E104" s="75" t="str">
        <x:v>U/K</x:v>
      </x:c>
      <x:c r="F104" s="75" t="str">
        <x:v>U/K</x:v>
      </x:c>
      <x:c r="G104" s="75" t="str">
        <x:v>U/K</x:v>
      </x:c>
      <x:c r="H104" s="75" t="str">
        <x:v>U/K</x:v>
      </x:c>
      <x:c r="I104" s="75" t="str">
        <x:v>U/K</x:v>
      </x:c>
      <x:c r="J104" s="75" t="str">
        <x:v>U/K</x:v>
      </x:c>
      <x:c r="K104" s="75" t="str">
        <x:v>U/K</x:v>
      </x:c>
      <x:c r="L104" s="75" t="str">
        <x:v>Not publicly announced</x:v>
      </x:c>
      <x:c r="M104" s="75" t="str">
        <x:v>No intended monetization publicly verified</x:v>
      </x:c>
      <x:c r="N104" s="75" t="str">
        <x:v>U/K</x:v>
      </x:c>
      <x:c r="O104" s="75" t="str">
        <x:v>2026-09-15</x:v>
      </x:c>
      <x:c r="P104" s="75"/>
      <x:c r="Q104" s="75" t="str">
        <x:v>Needs primary-source verification</x:v>
      </x:c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</x:row>
    <x:row r="105" ht="45">
      <x:c r="A105" s="75" t="str">
        <x:v>Harmony</x:v>
      </x:c>
      <x:c r="B105" s="75" t="str">
        <x:v>Intended / Planned</x:v>
      </x:c>
      <x:c r="C105" s="75" t="str">
        <x:v>Future monetization status</x:v>
      </x:c>
      <x:c r="D105" s="75" t="str">
        <x:v>No intended monetization publicly verified</x:v>
      </x:c>
      <x:c r="E105" s="75" t="str">
        <x:v>U/K</x:v>
      </x:c>
      <x:c r="F105" s="75" t="str">
        <x:v>U/K</x:v>
      </x:c>
      <x:c r="G105" s="75" t="str">
        <x:v>U/K</x:v>
      </x:c>
      <x:c r="H105" s="75" t="str">
        <x:v>U/K</x:v>
      </x:c>
      <x:c r="I105" s="75" t="str">
        <x:v>U/K</x:v>
      </x:c>
      <x:c r="J105" s="75" t="str">
        <x:v>U/K</x:v>
      </x:c>
      <x:c r="K105" s="75" t="str">
        <x:v>U/K</x:v>
      </x:c>
      <x:c r="L105" s="75" t="str">
        <x:v>Not publicly announced</x:v>
      </x:c>
      <x:c r="M105" s="75" t="str">
        <x:v>No intended monetization publicly verified</x:v>
      </x:c>
      <x:c r="N105" s="75" t="str">
        <x:v>U/K</x:v>
      </x:c>
      <x:c r="O105" s="75" t="str">
        <x:v>2026-09-15</x:v>
      </x:c>
      <x:c r="P105" s="75"/>
      <x:c r="Q105" s="75" t="str">
        <x:v>Needs primary-source verification</x:v>
      </x:c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</x:row>
    <x:row r="106" ht="45">
      <x:c r="A106" s="75" t="str">
        <x:v>Roomy</x:v>
      </x:c>
      <x:c r="B106" s="75" t="str">
        <x:v>Intended / Planned</x:v>
      </x:c>
      <x:c r="C106" s="75" t="str">
        <x:v>Future monetization status</x:v>
      </x:c>
      <x:c r="D106" s="75" t="str">
        <x:v>No intended monetization publicly verified</x:v>
      </x:c>
      <x:c r="E106" s="75" t="str">
        <x:v>U/K</x:v>
      </x:c>
      <x:c r="F106" s="75" t="str">
        <x:v>U/K</x:v>
      </x:c>
      <x:c r="G106" s="75" t="str">
        <x:v>U/K</x:v>
      </x:c>
      <x:c r="H106" s="75" t="str">
        <x:v>U/K</x:v>
      </x:c>
      <x:c r="I106" s="75" t="str">
        <x:v>U/K</x:v>
      </x:c>
      <x:c r="J106" s="75" t="str">
        <x:v>U/K</x:v>
      </x:c>
      <x:c r="K106" s="75" t="str">
        <x:v>U/K</x:v>
      </x:c>
      <x:c r="L106" s="75" t="str">
        <x:v>Not publicly announced</x:v>
      </x:c>
      <x:c r="M106" s="75" t="str">
        <x:v>No intended monetization publicly verified</x:v>
      </x:c>
      <x:c r="N106" s="75" t="str">
        <x:v>U/K</x:v>
      </x:c>
      <x:c r="O106" s="75" t="str">
        <x:v>2026-09-15</x:v>
      </x:c>
      <x:c r="P106" s="75"/>
      <x:c r="Q106" s="75" t="str">
        <x:v>Needs primary-source verification</x:v>
      </x:c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</x:row>
    <x:row r="107" ht="45">
      <x:c r="A107" s="75" t="str">
        <x:v>Armada</x:v>
      </x:c>
      <x:c r="B107" s="75" t="str">
        <x:v>Intended / Planned</x:v>
      </x:c>
      <x:c r="C107" s="75" t="str">
        <x:v>Future monetization status</x:v>
      </x:c>
      <x:c r="D107" s="75" t="str">
        <x:v>No intended monetization publicly verified</x:v>
      </x:c>
      <x:c r="E107" s="75" t="str">
        <x:v>U/K</x:v>
      </x:c>
      <x:c r="F107" s="75" t="str">
        <x:v>U/K</x:v>
      </x:c>
      <x:c r="G107" s="75" t="str">
        <x:v>U/K</x:v>
      </x:c>
      <x:c r="H107" s="75" t="str">
        <x:v>U/K</x:v>
      </x:c>
      <x:c r="I107" s="75" t="str">
        <x:v>U/K</x:v>
      </x:c>
      <x:c r="J107" s="75" t="str">
        <x:v>U/K</x:v>
      </x:c>
      <x:c r="K107" s="75" t="str">
        <x:v>U/K</x:v>
      </x:c>
      <x:c r="L107" s="75" t="str">
        <x:v>Not publicly announced</x:v>
      </x:c>
      <x:c r="M107" s="75" t="str">
        <x:v>No intended monetization publicly verified</x:v>
      </x:c>
      <x:c r="N107" s="75" t="str">
        <x:v>U/K</x:v>
      </x:c>
      <x:c r="O107" s="75" t="str">
        <x:v>2026-09-15</x:v>
      </x:c>
      <x:c r="P107" s="75"/>
      <x:c r="Q107" s="75" t="str">
        <x:v>Needs primary-source verification</x:v>
      </x:c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</x:row>
    <x:row r="108" ht="45">
      <x:c r="A108" s="75" t="str">
        <x:v>Rift</x:v>
      </x:c>
      <x:c r="B108" s="75" t="str">
        <x:v>Intended / Planned</x:v>
      </x:c>
      <x:c r="C108" s="75" t="str">
        <x:v>Future monetization status</x:v>
      </x:c>
      <x:c r="D108" s="75" t="str">
        <x:v>Rift+ / Shard Forge or Shard Ember</x:v>
      </x:c>
      <x:c r="E108" s="75" t="str">
        <x:v>Rift+ $7m
Shard Ember $10/m
Shard Forge $25/m</x:v>
      </x:c>
      <x:c r="F108" s="75" t="str">
        <x:v>USD</x:v>
      </x:c>
      <x:c r="G108" s="75" t="str">
        <x:v>Monthly</x:v>
      </x:c>
      <x:c r="H108" s="75" t="str">
        <x:v>Self/Shard</x:v>
      </x:c>
      <x:c r="I108" s="75" t="str">
        <x:v>Self/Shard</x:v>
      </x:c>
      <x:c r="J108" s="75" t="str">
        <x:v>Yes - Shard</x:v>
      </x:c>
      <x:c r="K108" s="75" t="str">
        <x:v>Yes - Rift +</x:v>
      </x:c>
      <x:c r="L108" s="75" t="str">
        <x:v>Disabled</x:v>
      </x:c>
      <x:c r="M108" s="75" t="str">
        <x:v>Enabled with release</x:v>
      </x:c>
      <x:c r="N108" s="75" t="str">
        <x:v>U/K</x:v>
      </x:c>
      <x:c r="O108" s="75" t="str">
        <x:v>2026-09-15</x:v>
      </x:c>
      <x:c r="P108" s="75"/>
      <x:c r="Q108" s="75" t="str">
        <x:v>Needs primary-source verification</x:v>
      </x:c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</x:row>
    <x:row r="109" ht="45">
      <x:c r="A109" s="75" t="str">
        <x:f>IF('Master'!C758="","",'Master'!C758)</x:f>
        <x:v>Future monetization status</x:v>
      </x:c>
      <x:c r="B109" s="75" t="str">
        <x:f>IF('Master'!D758="","",'Master'!D758)</x:f>
        <x:v>pqp.gg</x:v>
      </x:c>
      <x:c r="C109" s="75" t="str">
        <x:f>IF('Master'!E758="","",'Master'!E758)</x:f>
        <x:v>Intended / Planned</x:v>
      </x:c>
      <x:c r="D109" s="75" t="str">
        <x:f>IF('Master'!F758="","",'Master'!F758)</x:f>
        <x:v>No additional monetization plan stated</x:v>
      </x:c>
      <x:c r="E109" s="75" t="str">
        <x:f>IF('Master'!G758="","",'Master'!G758)</x:f>
        <x:v>U/K</x:v>
      </x:c>
      <x:c r="F109" s="75" t="str">
        <x:f>IF('Master'!H758="","",'Master'!H758)</x:f>
        <x:v>U/K</x:v>
      </x:c>
      <x:c r="G109" s="75" t="str">
        <x:f>IF('Master'!I758="","",'Master'!I758)</x:f>
        <x:v>U/K</x:v>
      </x:c>
      <x:c r="H109" s="75" t="str">
        <x:f>IF('Master'!J758="","",'Master'!J758)</x:f>
        <x:v>U/K</x:v>
      </x:c>
      <x:c r="I109" s="75" t="str">
        <x:f>IF('Master'!K758="","",'Master'!K758)</x:f>
        <x:v>U/K</x:v>
      </x:c>
      <x:c r="J109" s="75" t="str">
        <x:f>IF('Master'!L758="","",'Master'!L758)</x:f>
        <x:v>U/K</x:v>
      </x:c>
      <x:c r="K109" s="75" t="str">
        <x:f>IF('Master'!M758="","",'Master'!M758)</x:f>
        <x:v>U/K</x:v>
      </x:c>
      <x:c r="L109" s="75" t="str">
        <x:f>IF('Master'!N758="","",'Master'!N758)</x:f>
        <x:v>Not publicly announced</x:v>
      </x:c>
      <x:c r="M109" s="75" t="str">
        <x:f>IF('Master'!O758="","",'Master'!O758)</x:f>
        <x:v>Developer response only confirms current free hosted + donations model</x:v>
      </x:c>
      <x:c r="N109" s="75" t="str">
        <x:f>IF('Master'!P758="","",'Master'!P758)</x:f>
        <x:v>https://pqp.gg/apoie</x:v>
      </x:c>
      <x:c r="O109" s="75" t="str">
        <x:f>IF('Master'!Q758="","",'Master'!Q758)</x:f>
        <x:v>2026-09-16</x:v>
      </x:c>
      <x:c r="P109" s="75" t="str">
        <x:f>IF('Master'!R758="","",'Master'!R758)</x:f>
        <x:v>Not VC-backed; no future paid roadmap stated.</x:v>
      </x:c>
      <x:c r="Q109" s="75" t="str">
        <x:f>IF('Master'!S758="","",'Master'!S758)</x:f>
        <x:v>Primary / developer-provided response</x:v>
      </x:c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</x:row>
    <x:row r="110" ht="45">
      <x:c r="A110" s="75" t="str">
        <x:v>Valour</x:v>
      </x:c>
      <x:c r="B110" s="75" t="str">
        <x:v>Intended / Planned</x:v>
      </x:c>
      <x:c r="C110" s="75" t="str">
        <x:v>Future monetization status</x:v>
      </x:c>
      <x:c r="D110" s="75" t="str">
        <x:v>No intended monetization publicly verified</x:v>
      </x:c>
      <x:c r="E110" s="75" t="str">
        <x:v>U/K</x:v>
      </x:c>
      <x:c r="F110" s="75" t="str">
        <x:v>U/K</x:v>
      </x:c>
      <x:c r="G110" s="75" t="str">
        <x:v>U/K</x:v>
      </x:c>
      <x:c r="H110" s="75" t="str">
        <x:v>U/K</x:v>
      </x:c>
      <x:c r="I110" s="75" t="str">
        <x:v>U/K</x:v>
      </x:c>
      <x:c r="J110" s="75" t="str">
        <x:v>U/K</x:v>
      </x:c>
      <x:c r="K110" s="75" t="str">
        <x:v>U/K</x:v>
      </x:c>
      <x:c r="L110" s="75" t="str">
        <x:v>Not publicly announced</x:v>
      </x:c>
      <x:c r="M110" s="75" t="str">
        <x:v>No intended monetization publicly verified</x:v>
      </x:c>
      <x:c r="N110" s="75" t="str">
        <x:v>U/K</x:v>
      </x:c>
      <x:c r="O110" s="75" t="str">
        <x:v>2026-09-15</x:v>
      </x:c>
      <x:c r="P110" s="75"/>
      <x:c r="Q110" s="75" t="str">
        <x:v>Needs primary-source verification</x:v>
      </x:c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</x:row>
    <x:row r="111" ht="45">
      <x:c r="A111" s="75" t="str">
        <x:v>Weered</x:v>
      </x:c>
      <x:c r="B111" s="75" t="str">
        <x:v>Intended / Planned</x:v>
      </x:c>
      <x:c r="C111" s="75" t="str">
        <x:v>Future monetization status</x:v>
      </x:c>
      <x:c r="D111" s="75" t="str">
        <x:v>No intended monetization publicly verified</x:v>
      </x:c>
      <x:c r="E111" s="75" t="str">
        <x:v>U/K</x:v>
      </x:c>
      <x:c r="F111" s="75" t="str">
        <x:v>U/K</x:v>
      </x:c>
      <x:c r="G111" s="75" t="str">
        <x:v>U/K</x:v>
      </x:c>
      <x:c r="H111" s="75" t="str">
        <x:v>U/K</x:v>
      </x:c>
      <x:c r="I111" s="75" t="str">
        <x:v>U/K</x:v>
      </x:c>
      <x:c r="J111" s="75" t="str">
        <x:v>U/K</x:v>
      </x:c>
      <x:c r="K111" s="75" t="str">
        <x:v>U/K</x:v>
      </x:c>
      <x:c r="L111" s="75" t="str">
        <x:v>Not publicly announced</x:v>
      </x:c>
      <x:c r="M111" s="75" t="str">
        <x:v>No intended monetization publicly verified</x:v>
      </x:c>
      <x:c r="N111" s="75" t="str">
        <x:v>U/K</x:v>
      </x:c>
      <x:c r="O111" s="75" t="str">
        <x:v>2026-09-15</x:v>
      </x:c>
      <x:c r="P111" s="75"/>
      <x:c r="Q111" s="75" t="str">
        <x:v>Needs primary-source verification</x:v>
      </x:c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</x:row>
  </x:sheetData>
  <x:mergeCells>
    <x:mergeCell ref="A1:Q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RowHeight="15"/>
  <x:cols>
    <x:col min="1" max="32" width="20" customWidth="1"/>
    <x:col min="1" max="1" width="22" hidden="0" customWidth="1"/>
    <x:col min="2" max="2" width="36" hidden="0" customWidth="1"/>
    <x:col min="3" max="3" width="36" hidden="0" customWidth="1"/>
    <x:col min="4" max="4" width="22" hidden="0" customWidth="1"/>
    <x:col min="5" max="5" width="18" hidden="0" customWidth="1"/>
    <x:col min="6" max="6" width="18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36" hidden="0" customWidth="1"/>
    <x:col min="13" max="13" width="22" hidden="0" customWidth="1"/>
    <x:col min="14" max="14" width="36" hidden="0" customWidth="1"/>
    <x:col min="15" max="15" width="18" hidden="0" customWidth="1"/>
    <x:col min="16" max="16" width="18" hidden="0" customWidth="1"/>
    <x:col min="17" max="17" width="36" hidden="0" customWidth="1"/>
    <x:col min="18" max="18" width="18" hidden="0" customWidth="1"/>
    <x:col min="19" max="19" width="18" hidden="0" customWidth="1"/>
    <x:col min="20" max="20" width="36" hidden="0" customWidth="1"/>
    <x:col min="21" max="21" width="36" hidden="0" customWidth="1"/>
    <x:col min="22" max="22" width="36" hidden="0" customWidth="1"/>
    <x:col min="23" max="23" width="36" hidden="0" customWidth="1"/>
    <x:col min="24" max="24" width="15" hidden="0" customWidth="1"/>
    <x:col min="25" max="25" width="22" hidden="0" customWidth="1"/>
  </x:cols>
  <x:sheetData>
    <x:row r="1" ht="28" customHeight="1">
      <x:c r="A1" s="130" t="str">
        <x:f>IFERROR(HYPERLINK("#'Sheet Directory'!A1","Terms &amp; Privacy — general policy comparison, with hosted vs self-host scope called out"),"Terms &amp; Privacy — general policy comparison, with hosted vs self-host scope called out")</x:f>
        <x:v>Terms &amp; Privacy — general policy comparison, with hosted vs self-host scope called out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  <x:c r="S1" s="130"/>
      <x:c r="T1" s="130"/>
      <x:c r="U1" s="130"/>
      <x:c r="V1" s="130"/>
      <x:c r="W1" s="130"/>
      <x:c r="X1" s="130"/>
      <x:c r="Y1" s="130"/>
      <x:c r="Z1" s="28"/>
      <x:c r="AA1" s="28"/>
      <x:c r="AB1" s="28"/>
      <x:c r="AC1" s="28"/>
      <x:c r="AD1" s="28"/>
      <x:c r="AE1" s="28"/>
      <x:c r="AF1" s="28"/>
    </x:row>
    <x:row r="2" ht="32" customHeight="1">
      <x:c r="A2" s="116" t="s">
        <x:v>169</x:v>
      </x:c>
      <x:c r="B2" s="116" t="s">
        <x:v>170</x:v>
      </x:c>
      <x:c r="C2" s="116" t="s">
        <x:v>171</x:v>
      </x:c>
      <x:c r="D2" s="116" t="s">
        <x:v>172</x:v>
      </x:c>
      <x:c r="E2" s="116" t="s">
        <x:v>173</x:v>
      </x:c>
      <x:c r="F2" s="116" t="s">
        <x:v>174</x:v>
      </x:c>
      <x:c r="G2" s="116" t="s">
        <x:v>175</x:v>
      </x:c>
      <x:c r="H2" s="116" t="s">
        <x:v>176</x:v>
      </x:c>
      <x:c r="I2" s="116" t="s">
        <x:v>177</x:v>
      </x:c>
      <x:c r="J2" s="116" t="s">
        <x:v>178</x:v>
      </x:c>
      <x:c r="K2" s="116" t="s">
        <x:v>179</x:v>
      </x:c>
      <x:c r="L2" s="116" t="s">
        <x:v>180</x:v>
      </x:c>
      <x:c r="M2" s="116" t="s">
        <x:v>181</x:v>
      </x:c>
      <x:c r="N2" s="116" t="s">
        <x:v>182</x:v>
      </x:c>
      <x:c r="O2" s="116" t="s">
        <x:v>183</x:v>
      </x:c>
      <x:c r="P2" s="116" t="s">
        <x:v>184</x:v>
      </x:c>
      <x:c r="Q2" s="116" t="s">
        <x:v>185</x:v>
      </x:c>
      <x:c r="R2" s="116" t="s">
        <x:v>186</x:v>
      </x:c>
      <x:c r="S2" s="116" t="s">
        <x:v>187</x:v>
      </x:c>
      <x:c r="T2" s="116" t="s">
        <x:v>188</x:v>
      </x:c>
      <x:c r="U2" s="116" t="s">
        <x:v>189</x:v>
      </x:c>
      <x:c r="V2" s="116" t="s">
        <x:v>190</x:v>
      </x:c>
      <x:c r="W2" s="116" t="s">
        <x:v>191</x:v>
      </x:c>
      <x:c r="X2" s="116" t="s">
        <x:v>192</x:v>
      </x:c>
      <x:c r="Y2" s="116" t="s">
        <x:v>193</x:v>
      </x:c>
      <x:c r="Z2" s="11"/>
      <x:c r="AA2" s="11"/>
      <x:c r="AB2" s="11"/>
      <x:c r="AC2" s="11"/>
      <x:c r="AD2" s="11"/>
      <x:c r="AE2" s="11"/>
      <x:c r="AF2" s="11"/>
    </x:row>
    <x:row r="3" ht="90">
      <x:c r="A3" s="75" t="s">
        <x:v>194</x:v>
      </x:c>
      <x:c r="B3" s="75" t="s">
        <x:v>195</x:v>
      </x:c>
      <x:c r="C3" s="75" t="s">
        <x:v>196</x:v>
      </x:c>
      <x:c r="D3" s="75" t="s">
        <x:v>197</x:v>
      </x:c>
      <x:c r="E3" s="75" t="s">
        <x:v>198</x:v>
      </x:c>
      <x:c r="F3" s="75" t="s">
        <x:v>79</x:v>
      </x:c>
      <x:c r="G3" s="75" t="s">
        <x:v>199</x:v>
      </x:c>
      <x:c r="H3" s="75" t="s">
        <x:v>79</x:v>
      </x:c>
      <x:c r="I3" s="75" t="s">
        <x:v>200</x:v>
      </x:c>
      <x:c r="J3" s="75" t="s">
        <x:v>73</x:v>
      </x:c>
      <x:c r="K3" s="75" t="s">
        <x:v>201</x:v>
      </x:c>
      <x:c r="L3" s="75" t="s">
        <x:v>202</x:v>
      </x:c>
      <x:c r="M3" s="75" t="s">
        <x:v>203</x:v>
      </x:c>
      <x:c r="N3" s="75" t="s">
        <x:v>204</x:v>
      </x:c>
      <x:c r="O3" s="75" t="s">
        <x:v>82</x:v>
      </x:c>
      <x:c r="P3" s="75" t="s">
        <x:v>205</x:v>
      </x:c>
      <x:c r="Q3" s="75" t="s">
        <x:v>206</x:v>
      </x:c>
      <x:c r="R3" s="75" t="s">
        <x:v>207</x:v>
      </x:c>
      <x:c r="S3" s="75" t="s">
        <x:v>208</x:v>
      </x:c>
      <x:c r="T3" s="75" t="s">
        <x:v>209</x:v>
      </x:c>
      <x:c r="U3" s="75" t="s">
        <x:v>210</x:v>
      </x:c>
      <x:c r="V3" s="75" t="s">
        <x:v>211</x:v>
      </x:c>
      <x:c r="W3" s="75" t="s">
        <x:v>212</x:v>
      </x:c>
      <x:c r="X3" s="75" t="s">
        <x:v>131</x:v>
      </x:c>
      <x:c r="Y3" s="75" t="s">
        <x:v>213</x:v>
      </x:c>
      <x:c r="Z3" s="2"/>
      <x:c r="AA3" s="2"/>
      <x:c r="AB3" s="2"/>
      <x:c r="AC3" s="2"/>
      <x:c r="AD3" s="2"/>
      <x:c r="AE3" s="2"/>
      <x:c r="AF3" s="2"/>
    </x:row>
    <x:row r="4" ht="75">
      <x:c r="A4" s="75" t="s">
        <x:v>214</x:v>
      </x:c>
      <x:c r="B4" s="75" t="s">
        <x:v>215</x:v>
      </x:c>
      <x:c r="C4" s="75" t="s">
        <x:v>216</x:v>
      </x:c>
      <x:c r="D4" s="75" t="s">
        <x:v>217</x:v>
      </x:c>
      <x:c r="E4" s="75" t="s">
        <x:v>218</x:v>
      </x:c>
      <x:c r="F4" s="75" t="s">
        <x:v>79</x:v>
      </x:c>
      <x:c r="G4" s="75" t="s">
        <x:v>219</x:v>
      </x:c>
      <x:c r="H4" s="75" t="s">
        <x:v>79</x:v>
      </x:c>
      <x:c r="I4" s="75" t="s">
        <x:v>73</x:v>
      </x:c>
      <x:c r="J4" s="75" t="s">
        <x:v>220</x:v>
      </x:c>
      <x:c r="K4" s="75" t="s">
        <x:v>221</x:v>
      </x:c>
      <x:c r="L4" s="75" t="s">
        <x:v>222</x:v>
      </x:c>
      <x:c r="M4" s="75" t="s">
        <x:v>223</x:v>
      </x:c>
      <x:c r="N4" s="75" t="s">
        <x:v>224</x:v>
      </x:c>
      <x:c r="O4" s="75" t="s">
        <x:v>82</x:v>
      </x:c>
      <x:c r="P4" s="75" t="s">
        <x:v>225</x:v>
      </x:c>
      <x:c r="Q4" s="75" t="s">
        <x:v>73</x:v>
      </x:c>
      <x:c r="R4" s="75" t="s">
        <x:v>226</x:v>
      </x:c>
      <x:c r="S4" s="75" t="s">
        <x:v>73</x:v>
      </x:c>
      <x:c r="T4" s="75" t="s">
        <x:v>227</x:v>
      </x:c>
      <x:c r="U4" s="75" t="s">
        <x:v>228</x:v>
      </x:c>
      <x:c r="V4" s="75" t="s">
        <x:v>229</x:v>
      </x:c>
      <x:c r="W4" s="75" t="s">
        <x:v>230</x:v>
      </x:c>
      <x:c r="X4" s="75" t="s">
        <x:v>131</x:v>
      </x:c>
      <x:c r="Y4" s="75" t="s">
        <x:v>213</x:v>
      </x:c>
      <x:c r="Z4" s="2"/>
      <x:c r="AA4" s="2"/>
      <x:c r="AB4" s="2"/>
      <x:c r="AC4" s="2"/>
      <x:c r="AD4" s="2"/>
      <x:c r="AE4" s="2"/>
      <x:c r="AF4" s="2"/>
    </x:row>
    <x:row r="5" ht="75">
      <x:c r="A5" s="75" t="s">
        <x:v>231</x:v>
      </x:c>
      <x:c r="B5" s="75" t="s">
        <x:v>232</x:v>
      </x:c>
      <x:c r="C5" s="75" t="s">
        <x:v>233</x:v>
      </x:c>
      <x:c r="D5" s="75" t="s">
        <x:v>234</x:v>
      </x:c>
      <x:c r="E5" s="75" t="s">
        <x:v>235</x:v>
      </x:c>
      <x:c r="F5" s="75" t="s">
        <x:v>73</x:v>
      </x:c>
      <x:c r="G5" s="75" t="s">
        <x:v>73</x:v>
      </x:c>
      <x:c r="H5" s="75" t="s">
        <x:v>236</x:v>
      </x:c>
      <x:c r="I5" s="75" t="s">
        <x:v>73</x:v>
      </x:c>
      <x:c r="J5" s="75" t="s">
        <x:v>73</x:v>
      </x:c>
      <x:c r="K5" s="75" t="s">
        <x:v>237</x:v>
      </x:c>
      <x:c r="L5" s="75" t="s">
        <x:v>238</x:v>
      </x:c>
      <x:c r="M5" s="75" t="s">
        <x:v>239</x:v>
      </x:c>
      <x:c r="N5" s="75" t="s">
        <x:v>240</x:v>
      </x:c>
      <x:c r="O5" s="75" t="s">
        <x:v>82</x:v>
      </x:c>
      <x:c r="P5" s="75" t="s">
        <x:v>241</x:v>
      </x:c>
      <x:c r="Q5" s="75" t="s">
        <x:v>73</x:v>
      </x:c>
      <x:c r="R5" s="75" t="s">
        <x:v>73</x:v>
      </x:c>
      <x:c r="S5" s="75" t="s">
        <x:v>242</x:v>
      </x:c>
      <x:c r="T5" s="75" t="s">
        <x:v>243</x:v>
      </x:c>
      <x:c r="U5" s="75" t="s">
        <x:v>244</x:v>
      </x:c>
      <x:c r="V5" s="75" t="s">
        <x:v>245</x:v>
      </x:c>
      <x:c r="W5" s="75" t="s">
        <x:v>246</x:v>
      </x:c>
      <x:c r="X5" s="75" t="s">
        <x:v>131</x:v>
      </x:c>
      <x:c r="Y5" s="75" t="s">
        <x:v>213</x:v>
      </x:c>
      <x:c r="Z5" s="2"/>
      <x:c r="AA5" s="2"/>
      <x:c r="AB5" s="2"/>
      <x:c r="AC5" s="2"/>
      <x:c r="AD5" s="2"/>
      <x:c r="AE5" s="2"/>
      <x:c r="AF5" s="2"/>
    </x:row>
    <x:row r="6" ht="75">
      <x:c r="A6" s="75" t="s">
        <x:v>247</x:v>
      </x:c>
      <x:c r="B6" s="75" t="s">
        <x:v>248</x:v>
      </x:c>
      <x:c r="C6" s="75" t="s">
        <x:v>249</x:v>
      </x:c>
      <x:c r="D6" s="75" t="s">
        <x:v>250</x:v>
      </x:c>
      <x:c r="E6" s="75" t="s">
        <x:v>251</x:v>
      </x:c>
      <x:c r="F6" s="75" t="s">
        <x:v>79</x:v>
      </x:c>
      <x:c r="G6" s="75" t="s">
        <x:v>252</x:v>
      </x:c>
      <x:c r="H6" s="75" t="s">
        <x:v>79</x:v>
      </x:c>
      <x:c r="I6" s="75" t="s">
        <x:v>73</x:v>
      </x:c>
      <x:c r="J6" s="75" t="s">
        <x:v>253</x:v>
      </x:c>
      <x:c r="K6" s="75" t="s">
        <x:v>254</x:v>
      </x:c>
      <x:c r="L6" s="75" t="s">
        <x:v>255</x:v>
      </x:c>
      <x:c r="M6" s="75" t="s">
        <x:v>250</x:v>
      </x:c>
      <x:c r="N6" s="75" t="s">
        <x:v>256</x:v>
      </x:c>
      <x:c r="O6" s="75" t="s">
        <x:v>82</x:v>
      </x:c>
      <x:c r="P6" s="75" t="s">
        <x:v>257</x:v>
      </x:c>
      <x:c r="Q6" s="75" t="s">
        <x:v>258</x:v>
      </x:c>
      <x:c r="R6" s="75" t="s">
        <x:v>259</x:v>
      </x:c>
      <x:c r="S6" s="75" t="s">
        <x:v>73</x:v>
      </x:c>
      <x:c r="T6" s="75" t="s">
        <x:v>260</x:v>
      </x:c>
      <x:c r="U6" s="75" t="s">
        <x:v>261</x:v>
      </x:c>
      <x:c r="V6" s="75" t="s">
        <x:v>262</x:v>
      </x:c>
      <x:c r="W6" s="75" t="s">
        <x:v>263</x:v>
      </x:c>
      <x:c r="X6" s="75" t="s">
        <x:v>131</x:v>
      </x:c>
      <x:c r="Y6" s="75" t="s">
        <x:v>213</x:v>
      </x:c>
      <x:c r="Z6" s="2"/>
      <x:c r="AA6" s="2"/>
      <x:c r="AB6" s="2"/>
      <x:c r="AC6" s="2"/>
      <x:c r="AD6" s="2"/>
      <x:c r="AE6" s="2"/>
      <x:c r="AF6" s="2"/>
    </x:row>
    <x:row r="7" ht="60">
      <x:c r="A7" s="75" t="s">
        <x:v>264</x:v>
      </x:c>
      <x:c r="B7" s="75" t="s">
        <x:v>265</x:v>
      </x:c>
      <x:c r="C7" s="75" t="s">
        <x:v>266</x:v>
      </x:c>
      <x:c r="D7" s="75" t="s">
        <x:v>267</x:v>
      </x:c>
      <x:c r="E7" s="75" t="s">
        <x:v>73</x:v>
      </x:c>
      <x:c r="F7" s="75" t="s">
        <x:v>268</x:v>
      </x:c>
      <x:c r="G7" s="75" t="s">
        <x:v>73</x:v>
      </x:c>
      <x:c r="H7" s="75" t="s">
        <x:v>79</x:v>
      </x:c>
      <x:c r="I7" s="75" t="s">
        <x:v>73</x:v>
      </x:c>
      <x:c r="J7" s="75" t="s">
        <x:v>269</x:v>
      </x:c>
      <x:c r="K7" s="75" t="s">
        <x:v>270</x:v>
      </x:c>
      <x:c r="L7" s="75" t="s">
        <x:v>271</x:v>
      </x:c>
      <x:c r="M7" s="75" t="s">
        <x:v>267</x:v>
      </x:c>
      <x:c r="N7" s="75" t="s">
        <x:v>272</x:v>
      </x:c>
      <x:c r="O7" s="75" t="s">
        <x:v>82</x:v>
      </x:c>
      <x:c r="P7" s="75" t="s">
        <x:v>73</x:v>
      </x:c>
      <x:c r="Q7" s="75" t="s">
        <x:v>273</x:v>
      </x:c>
      <x:c r="R7" s="75" t="s">
        <x:v>274</x:v>
      </x:c>
      <x:c r="S7" s="75" t="s">
        <x:v>275</x:v>
      </x:c>
      <x:c r="T7" s="75" t="s">
        <x:v>73</x:v>
      </x:c>
      <x:c r="U7" s="75" t="s">
        <x:v>276</x:v>
      </x:c>
      <x:c r="V7" s="75" t="s">
        <x:v>277</x:v>
      </x:c>
      <x:c r="W7" s="75" t="s">
        <x:v>278</x:v>
      </x:c>
      <x:c r="X7" s="75" t="s">
        <x:v>131</x:v>
      </x:c>
      <x:c r="Y7" s="75" t="s">
        <x:v>213</x:v>
      </x:c>
      <x:c r="Z7" s="2"/>
      <x:c r="AA7" s="2"/>
      <x:c r="AB7" s="2"/>
      <x:c r="AC7" s="2"/>
      <x:c r="AD7" s="2"/>
      <x:c r="AE7" s="2"/>
      <x:c r="AF7" s="2"/>
    </x:row>
    <x:row r="8" ht="75">
      <x:c r="A8" s="75" t="s">
        <x:v>97</x:v>
      </x:c>
      <x:c r="B8" s="75" t="s">
        <x:v>279</x:v>
      </x:c>
      <x:c r="C8" s="75" t="s">
        <x:v>280</x:v>
      </x:c>
      <x:c r="D8" s="75" t="s">
        <x:v>281</x:v>
      </x:c>
      <x:c r="E8" s="75" t="s">
        <x:v>73</x:v>
      </x:c>
      <x:c r="F8" s="75" t="s">
        <x:v>282</x:v>
      </x:c>
      <x:c r="G8" s="75" t="s">
        <x:v>283</x:v>
      </x:c>
      <x:c r="H8" s="75" t="s">
        <x:v>284</x:v>
      </x:c>
      <x:c r="I8" s="75" t="s">
        <x:v>73</x:v>
      </x:c>
      <x:c r="J8" s="75" t="s">
        <x:v>285</x:v>
      </x:c>
      <x:c r="K8" s="75" t="s">
        <x:v>286</x:v>
      </x:c>
      <x:c r="L8" s="75" t="s">
        <x:v>287</x:v>
      </x:c>
      <x:c r="M8" s="75" t="s">
        <x:v>288</x:v>
      </x:c>
      <x:c r="N8" s="75" t="s">
        <x:v>289</x:v>
      </x:c>
      <x:c r="O8" s="75" t="s">
        <x:v>73</x:v>
      </x:c>
      <x:c r="P8" s="75" t="s">
        <x:v>290</x:v>
      </x:c>
      <x:c r="Q8" s="75" t="s">
        <x:v>291</x:v>
      </x:c>
      <x:c r="R8" s="75" t="s">
        <x:v>292</x:v>
      </x:c>
      <x:c r="S8" s="75" t="s">
        <x:v>293</x:v>
      </x:c>
      <x:c r="T8" s="75" t="s">
        <x:v>294</x:v>
      </x:c>
      <x:c r="U8" s="75" t="s">
        <x:v>295</x:v>
      </x:c>
      <x:c r="V8" s="75" t="s">
        <x:v>296</x:v>
      </x:c>
      <x:c r="W8" s="75" t="s">
        <x:v>297</x:v>
      </x:c>
      <x:c r="X8" s="75" t="s">
        <x:v>131</x:v>
      </x:c>
      <x:c r="Y8" s="75" t="s">
        <x:v>213</x:v>
      </x:c>
      <x:c r="Z8" s="2"/>
      <x:c r="AA8" s="2"/>
      <x:c r="AB8" s="2"/>
      <x:c r="AC8" s="2"/>
      <x:c r="AD8" s="2"/>
      <x:c r="AE8" s="2"/>
      <x:c r="AF8" s="2"/>
    </x:row>
    <x:row r="9" ht="60">
      <x:c r="A9" s="75" t="s">
        <x:v>298</x:v>
      </x:c>
      <x:c r="B9" s="75" t="s">
        <x:v>299</x:v>
      </x:c>
      <x:c r="C9" s="75" t="s">
        <x:v>300</x:v>
      </x:c>
      <x:c r="D9" s="75" t="s">
        <x:v>301</x:v>
      </x:c>
      <x:c r="E9" s="75" t="s">
        <x:v>73</x:v>
      </x:c>
      <x:c r="F9" s="75" t="s">
        <x:v>73</x:v>
      </x:c>
      <x:c r="G9" s="75" t="s">
        <x:v>73</x:v>
      </x:c>
      <x:c r="H9" s="75" t="s">
        <x:v>73</x:v>
      </x:c>
      <x:c r="I9" s="75" t="s">
        <x:v>73</x:v>
      </x:c>
      <x:c r="J9" s="75" t="s">
        <x:v>73</x:v>
      </x:c>
      <x:c r="K9" s="75" t="s">
        <x:v>73</x:v>
      </x:c>
      <x:c r="L9" s="75" t="s">
        <x:v>73</x:v>
      </x:c>
      <x:c r="M9" s="75" t="s">
        <x:v>302</x:v>
      </x:c>
      <x:c r="N9" s="75" t="s">
        <x:v>73</x:v>
      </x:c>
      <x:c r="O9" s="75" t="s">
        <x:v>73</x:v>
      </x:c>
      <x:c r="P9" s="75" t="s">
        <x:v>73</x:v>
      </x:c>
      <x:c r="Q9" s="75" t="s">
        <x:v>73</x:v>
      </x:c>
      <x:c r="R9" s="75" t="s">
        <x:v>73</x:v>
      </x:c>
      <x:c r="S9" s="75" t="s">
        <x:v>73</x:v>
      </x:c>
      <x:c r="T9" s="75" t="s">
        <x:v>73</x:v>
      </x:c>
      <x:c r="U9" s="75" t="s">
        <x:v>73</x:v>
      </x:c>
      <x:c r="V9" s="75" t="s">
        <x:v>303</x:v>
      </x:c>
      <x:c r="W9" s="75" t="s">
        <x:v>304</x:v>
      </x:c>
      <x:c r="X9" s="75" t="s">
        <x:v>131</x:v>
      </x:c>
      <x:c r="Y9" s="75" t="s">
        <x:v>213</x:v>
      </x:c>
      <x:c r="Z9" s="2"/>
      <x:c r="AA9" s="2"/>
      <x:c r="AB9" s="2"/>
      <x:c r="AC9" s="2"/>
      <x:c r="AD9" s="2"/>
      <x:c r="AE9" s="2"/>
      <x:c r="AF9" s="2"/>
    </x:row>
    <x:row r="10" ht="60">
      <x:c r="A10" s="75" t="s">
        <x:v>305</x:v>
      </x:c>
      <x:c r="B10" s="75" t="s">
        <x:v>306</x:v>
      </x:c>
      <x:c r="C10" s="75" t="s">
        <x:v>307</x:v>
      </x:c>
      <x:c r="D10" s="75" t="s">
        <x:v>301</x:v>
      </x:c>
      <x:c r="E10" s="75" t="s">
        <x:v>73</x:v>
      </x:c>
      <x:c r="F10" s="75" t="s">
        <x:v>73</x:v>
      </x:c>
      <x:c r="G10" s="75" t="s">
        <x:v>73</x:v>
      </x:c>
      <x:c r="H10" s="75" t="s">
        <x:v>73</x:v>
      </x:c>
      <x:c r="I10" s="75" t="s">
        <x:v>73</x:v>
      </x:c>
      <x:c r="J10" s="75" t="s">
        <x:v>73</x:v>
      </x:c>
      <x:c r="K10" s="75" t="s">
        <x:v>73</x:v>
      </x:c>
      <x:c r="L10" s="75" t="s">
        <x:v>73</x:v>
      </x:c>
      <x:c r="M10" s="75" t="s">
        <x:v>302</x:v>
      </x:c>
      <x:c r="N10" s="75" t="s">
        <x:v>73</x:v>
      </x:c>
      <x:c r="O10" s="75" t="s">
        <x:v>73</x:v>
      </x:c>
      <x:c r="P10" s="75" t="s">
        <x:v>73</x:v>
      </x:c>
      <x:c r="Q10" s="75" t="s">
        <x:v>73</x:v>
      </x:c>
      <x:c r="R10" s="75" t="s">
        <x:v>73</x:v>
      </x:c>
      <x:c r="S10" s="75" t="s">
        <x:v>73</x:v>
      </x:c>
      <x:c r="T10" s="75" t="s">
        <x:v>73</x:v>
      </x:c>
      <x:c r="U10" s="75" t="s">
        <x:v>73</x:v>
      </x:c>
      <x:c r="V10" s="75" t="s">
        <x:v>303</x:v>
      </x:c>
      <x:c r="W10" s="75" t="s">
        <x:v>308</x:v>
      </x:c>
      <x:c r="X10" s="75" t="s">
        <x:v>131</x:v>
      </x:c>
      <x:c r="Y10" s="75" t="s">
        <x:v>213</x:v>
      </x:c>
      <x:c r="Z10" s="2"/>
      <x:c r="AA10" s="2"/>
      <x:c r="AB10" s="2"/>
      <x:c r="AC10" s="2"/>
      <x:c r="AD10" s="2"/>
      <x:c r="AE10" s="2"/>
      <x:c r="AF10" s="2"/>
    </x:row>
    <x:row r="11" ht="75">
      <x:c r="A11" s="75" t="s">
        <x:v>309</x:v>
      </x:c>
      <x:c r="B11" s="75" t="s">
        <x:v>310</x:v>
      </x:c>
      <x:c r="C11" s="75" t="s">
        <x:v>311</x:v>
      </x:c>
      <x:c r="D11" s="75" t="s">
        <x:v>312</x:v>
      </x:c>
      <x:c r="E11" s="75" t="s">
        <x:v>73</x:v>
      </x:c>
      <x:c r="F11" s="75" t="s">
        <x:v>73</x:v>
      </x:c>
      <x:c r="G11" s="75" t="s">
        <x:v>73</x:v>
      </x:c>
      <x:c r="H11" s="75" t="s">
        <x:v>73</x:v>
      </x:c>
      <x:c r="I11" s="75" t="s">
        <x:v>73</x:v>
      </x:c>
      <x:c r="J11" s="75" t="s">
        <x:v>313</x:v>
      </x:c>
      <x:c r="K11" s="75" t="s">
        <x:v>314</x:v>
      </x:c>
      <x:c r="L11" s="75" t="s">
        <x:v>315</x:v>
      </x:c>
      <x:c r="M11" s="75" t="s">
        <x:v>312</x:v>
      </x:c>
      <x:c r="N11" s="75" t="s">
        <x:v>316</x:v>
      </x:c>
      <x:c r="O11" s="75" t="s">
        <x:v>73</x:v>
      </x:c>
      <x:c r="P11" s="75" t="s">
        <x:v>73</x:v>
      </x:c>
      <x:c r="Q11" s="75" t="s">
        <x:v>73</x:v>
      </x:c>
      <x:c r="R11" s="75" t="s">
        <x:v>317</x:v>
      </x:c>
      <x:c r="S11" s="75" t="s">
        <x:v>73</x:v>
      </x:c>
      <x:c r="T11" s="75" t="s">
        <x:v>73</x:v>
      </x:c>
      <x:c r="U11" s="75" t="s">
        <x:v>73</x:v>
      </x:c>
      <x:c r="V11" s="75" t="s">
        <x:v>318</x:v>
      </x:c>
      <x:c r="W11" s="75" t="s">
        <x:v>319</x:v>
      </x:c>
      <x:c r="X11" s="75" t="s">
        <x:v>131</x:v>
      </x:c>
      <x:c r="Y11" s="75" t="s">
        <x:v>213</x:v>
      </x:c>
      <x:c r="Z11" s="2"/>
      <x:c r="AA11" s="2"/>
      <x:c r="AB11" s="2"/>
      <x:c r="AC11" s="2"/>
      <x:c r="AD11" s="2"/>
      <x:c r="AE11" s="2"/>
      <x:c r="AF11" s="2"/>
    </x:row>
    <x:row r="12" ht="75">
      <x:c r="A12" s="75" t="s">
        <x:v>320</x:v>
      </x:c>
      <x:c r="B12" s="75" t="s">
        <x:v>321</x:v>
      </x:c>
      <x:c r="C12" s="75" t="s">
        <x:v>322</x:v>
      </x:c>
      <x:c r="D12" s="75" t="s">
        <x:v>323</x:v>
      </x:c>
      <x:c r="E12" s="75" t="s">
        <x:v>324</x:v>
      </x:c>
      <x:c r="F12" s="75" t="s">
        <x:v>79</x:v>
      </x:c>
      <x:c r="G12" s="75" t="s">
        <x:v>73</x:v>
      </x:c>
      <x:c r="H12" s="75" t="s">
        <x:v>79</x:v>
      </x:c>
      <x:c r="I12" s="75" t="s">
        <x:v>73</x:v>
      </x:c>
      <x:c r="J12" s="75" t="s">
        <x:v>325</x:v>
      </x:c>
      <x:c r="K12" s="75" t="s">
        <x:v>326</x:v>
      </x:c>
      <x:c r="L12" s="75" t="s">
        <x:v>327</x:v>
      </x:c>
      <x:c r="M12" s="75" t="s">
        <x:v>328</x:v>
      </x:c>
      <x:c r="N12" s="75" t="s">
        <x:v>329</x:v>
      </x:c>
      <x:c r="O12" s="75" t="s">
        <x:v>82</x:v>
      </x:c>
      <x:c r="P12" s="75" t="s">
        <x:v>330</x:v>
      </x:c>
      <x:c r="Q12" s="75" t="s">
        <x:v>73</x:v>
      </x:c>
      <x:c r="R12" s="75" t="s">
        <x:v>331</x:v>
      </x:c>
      <x:c r="S12" s="75" t="s">
        <x:v>73</x:v>
      </x:c>
      <x:c r="T12" s="75" t="s">
        <x:v>332</x:v>
      </x:c>
      <x:c r="U12" s="75" t="s">
        <x:v>73</x:v>
      </x:c>
      <x:c r="V12" s="75" t="s">
        <x:v>333</x:v>
      </x:c>
      <x:c r="W12" s="75" t="s">
        <x:v>334</x:v>
      </x:c>
      <x:c r="X12" s="75" t="s">
        <x:v>131</x:v>
      </x:c>
      <x:c r="Y12" s="75" t="s">
        <x:v>213</x:v>
      </x:c>
      <x:c r="Z12" s="2"/>
      <x:c r="AA12" s="2"/>
      <x:c r="AB12" s="2"/>
      <x:c r="AC12" s="2"/>
      <x:c r="AD12" s="2"/>
      <x:c r="AE12" s="2"/>
      <x:c r="AF12" s="2"/>
    </x:row>
    <x:row r="13" ht="90">
      <x:c r="A13" s="75" t="s">
        <x:v>335</x:v>
      </x:c>
      <x:c r="B13" s="75" t="s">
        <x:v>336</x:v>
      </x:c>
      <x:c r="C13" s="75" t="s">
        <x:v>337</x:v>
      </x:c>
      <x:c r="D13" s="75" t="s">
        <x:v>338</x:v>
      </x:c>
      <x:c r="E13" s="75" t="s">
        <x:v>73</x:v>
      </x:c>
      <x:c r="F13" s="75" t="s">
        <x:v>339</x:v>
      </x:c>
      <x:c r="G13" s="75" t="s">
        <x:v>73</x:v>
      </x:c>
      <x:c r="H13" s="75" t="s">
        <x:v>340</x:v>
      </x:c>
      <x:c r="I13" s="75" t="s">
        <x:v>73</x:v>
      </x:c>
      <x:c r="J13" s="75" t="s">
        <x:v>73</x:v>
      </x:c>
      <x:c r="K13" s="75" t="s">
        <x:v>341</x:v>
      </x:c>
      <x:c r="L13" s="75" t="s">
        <x:v>342</x:v>
      </x:c>
      <x:c r="M13" s="75" t="s">
        <x:v>343</x:v>
      </x:c>
      <x:c r="N13" s="75" t="s">
        <x:v>344</x:v>
      </x:c>
      <x:c r="O13" s="75" t="s">
        <x:v>73</x:v>
      </x:c>
      <x:c r="P13" s="75" t="s">
        <x:v>345</x:v>
      </x:c>
      <x:c r="Q13" s="75" t="s">
        <x:v>346</x:v>
      </x:c>
      <x:c r="R13" s="75" t="s">
        <x:v>347</x:v>
      </x:c>
      <x:c r="S13" s="75" t="s">
        <x:v>73</x:v>
      </x:c>
      <x:c r="T13" s="75" t="s">
        <x:v>73</x:v>
      </x:c>
      <x:c r="U13" s="75" t="s">
        <x:v>348</x:v>
      </x:c>
      <x:c r="V13" s="75" t="s">
        <x:v>349</x:v>
      </x:c>
      <x:c r="W13" s="75" t="s">
        <x:v>350</x:v>
      </x:c>
      <x:c r="X13" s="75" t="s">
        <x:v>131</x:v>
      </x:c>
      <x:c r="Y13" s="75" t="s">
        <x:v>213</x:v>
      </x:c>
      <x:c r="Z13" s="2"/>
      <x:c r="AA13" s="2"/>
      <x:c r="AB13" s="2"/>
      <x:c r="AC13" s="2"/>
      <x:c r="AD13" s="2"/>
      <x:c r="AE13" s="2"/>
      <x:c r="AF13" s="2"/>
    </x:row>
    <x:row r="14" ht="75">
      <x:c r="A14" s="75" t="s">
        <x:v>351</x:v>
      </x:c>
      <x:c r="B14" s="75" t="s">
        <x:v>352</x:v>
      </x:c>
      <x:c r="C14" s="75" t="s">
        <x:v>353</x:v>
      </x:c>
      <x:c r="D14" s="75" t="s">
        <x:v>354</x:v>
      </x:c>
      <x:c r="E14" s="75" t="s">
        <x:v>73</x:v>
      </x:c>
      <x:c r="F14" s="75" t="s">
        <x:v>73</x:v>
      </x:c>
      <x:c r="G14" s="75" t="s">
        <x:v>73</x:v>
      </x:c>
      <x:c r="H14" s="75" t="s">
        <x:v>73</x:v>
      </x:c>
      <x:c r="I14" s="75" t="s">
        <x:v>73</x:v>
      </x:c>
      <x:c r="J14" s="75" t="s">
        <x:v>73</x:v>
      </x:c>
      <x:c r="K14" s="75" t="s">
        <x:v>355</x:v>
      </x:c>
      <x:c r="L14" s="75" t="s">
        <x:v>356</x:v>
      </x:c>
      <x:c r="M14" s="75" t="s">
        <x:v>357</x:v>
      </x:c>
      <x:c r="N14" s="75" t="s">
        <x:v>358</x:v>
      </x:c>
      <x:c r="O14" s="75" t="s">
        <x:v>73</x:v>
      </x:c>
      <x:c r="P14" s="75" t="s">
        <x:v>359</x:v>
      </x:c>
      <x:c r="Q14" s="75" t="s">
        <x:v>360</x:v>
      </x:c>
      <x:c r="R14" s="75" t="s">
        <x:v>361</x:v>
      </x:c>
      <x:c r="S14" s="75" t="s">
        <x:v>73</x:v>
      </x:c>
      <x:c r="T14" s="75" t="s">
        <x:v>73</x:v>
      </x:c>
      <x:c r="U14" s="75" t="s">
        <x:v>73</x:v>
      </x:c>
      <x:c r="V14" s="75" t="s">
        <x:v>362</x:v>
      </x:c>
      <x:c r="W14" s="75" t="s">
        <x:v>363</x:v>
      </x:c>
      <x:c r="X14" s="75" t="s">
        <x:v>131</x:v>
      </x:c>
      <x:c r="Y14" s="75" t="s">
        <x:v>213</x:v>
      </x:c>
      <x:c r="Z14" s="2"/>
      <x:c r="AA14" s="2"/>
      <x:c r="AB14" s="2"/>
      <x:c r="AC14" s="2"/>
      <x:c r="AD14" s="2"/>
      <x:c r="AE14" s="2"/>
      <x:c r="AF14" s="2"/>
    </x:row>
    <x:row r="15" ht="75">
      <x:c r="A15" s="75" t="s">
        <x:v>364</x:v>
      </x:c>
      <x:c r="B15" s="75" t="s">
        <x:v>365</x:v>
      </x:c>
      <x:c r="C15" s="75" t="s">
        <x:v>366</x:v>
      </x:c>
      <x:c r="D15" s="75" t="s">
        <x:v>367</x:v>
      </x:c>
      <x:c r="E15" s="75" t="s">
        <x:v>368</x:v>
      </x:c>
      <x:c r="F15" s="75" t="s">
        <x:v>79</x:v>
      </x:c>
      <x:c r="G15" s="75" t="s">
        <x:v>73</x:v>
      </x:c>
      <x:c r="H15" s="75" t="s">
        <x:v>79</x:v>
      </x:c>
      <x:c r="I15" s="75" t="s">
        <x:v>73</x:v>
      </x:c>
      <x:c r="J15" s="75" t="s">
        <x:v>73</x:v>
      </x:c>
      <x:c r="K15" s="75" t="s">
        <x:v>369</x:v>
      </x:c>
      <x:c r="L15" s="75" t="s">
        <x:v>370</x:v>
      </x:c>
      <x:c r="M15" s="75" t="s">
        <x:v>371</x:v>
      </x:c>
      <x:c r="N15" s="75" t="s">
        <x:v>372</x:v>
      </x:c>
      <x:c r="O15" s="75" t="s">
        <x:v>82</x:v>
      </x:c>
      <x:c r="P15" s="75" t="s">
        <x:v>373</x:v>
      </x:c>
      <x:c r="Q15" s="75" t="s">
        <x:v>73</x:v>
      </x:c>
      <x:c r="R15" s="75" t="s">
        <x:v>374</x:v>
      </x:c>
      <x:c r="S15" s="75" t="s">
        <x:v>73</x:v>
      </x:c>
      <x:c r="T15" s="75" t="s">
        <x:v>73</x:v>
      </x:c>
      <x:c r="U15" s="75" t="s">
        <x:v>375</x:v>
      </x:c>
      <x:c r="V15" s="75" t="s">
        <x:v>376</x:v>
      </x:c>
      <x:c r="W15" s="75" t="s">
        <x:v>377</x:v>
      </x:c>
      <x:c r="X15" s="75" t="s">
        <x:v>131</x:v>
      </x:c>
      <x:c r="Y15" s="75" t="s">
        <x:v>213</x:v>
      </x:c>
      <x:c r="Z15" s="2"/>
      <x:c r="AA15" s="2"/>
      <x:c r="AB15" s="2"/>
      <x:c r="AC15" s="2"/>
      <x:c r="AD15" s="2"/>
      <x:c r="AE15" s="2"/>
      <x:c r="AF15" s="2"/>
    </x:row>
    <x:row r="16" ht="60">
      <x:c r="A16" s="75" t="s">
        <x:v>378</x:v>
      </x:c>
      <x:c r="B16" s="75" t="s">
        <x:v>379</x:v>
      </x:c>
      <x:c r="C16" s="75" t="s">
        <x:v>380</x:v>
      </x:c>
      <x:c r="D16" s="75" t="s">
        <x:v>301</x:v>
      </x:c>
      <x:c r="E16" s="75" t="s">
        <x:v>73</x:v>
      </x:c>
      <x:c r="F16" s="75" t="s">
        <x:v>73</x:v>
      </x:c>
      <x:c r="G16" s="75" t="s">
        <x:v>73</x:v>
      </x:c>
      <x:c r="H16" s="75" t="s">
        <x:v>73</x:v>
      </x:c>
      <x:c r="I16" s="75" t="s">
        <x:v>73</x:v>
      </x:c>
      <x:c r="J16" s="75" t="s">
        <x:v>73</x:v>
      </x:c>
      <x:c r="K16" s="75" t="s">
        <x:v>73</x:v>
      </x:c>
      <x:c r="L16" s="75" t="s">
        <x:v>380</x:v>
      </x:c>
      <x:c r="M16" s="75" t="s">
        <x:v>302</x:v>
      </x:c>
      <x:c r="N16" s="75" t="s">
        <x:v>73</x:v>
      </x:c>
      <x:c r="O16" s="75" t="s">
        <x:v>73</x:v>
      </x:c>
      <x:c r="P16" s="75" t="s">
        <x:v>73</x:v>
      </x:c>
      <x:c r="Q16" s="75" t="s">
        <x:v>73</x:v>
      </x:c>
      <x:c r="R16" s="75" t="s">
        <x:v>73</x:v>
      </x:c>
      <x:c r="S16" s="75" t="s">
        <x:v>73</x:v>
      </x:c>
      <x:c r="T16" s="75" t="s">
        <x:v>73</x:v>
      </x:c>
      <x:c r="U16" s="75" t="s">
        <x:v>73</x:v>
      </x:c>
      <x:c r="V16" s="75" t="s">
        <x:v>303</x:v>
      </x:c>
      <x:c r="W16" s="75" t="s">
        <x:v>381</x:v>
      </x:c>
      <x:c r="X16" s="75" t="s">
        <x:v>131</x:v>
      </x:c>
      <x:c r="Y16" s="75" t="s">
        <x:v>213</x:v>
      </x:c>
      <x:c r="Z16" s="2"/>
      <x:c r="AA16" s="2"/>
      <x:c r="AB16" s="2"/>
      <x:c r="AC16" s="2"/>
      <x:c r="AD16" s="2"/>
      <x:c r="AE16" s="2"/>
      <x:c r="AF16" s="2"/>
    </x:row>
    <x:row r="17" ht="60">
      <x:c r="A17" s="75" t="s">
        <x:v>382</x:v>
      </x:c>
      <x:c r="B17" s="75" t="s">
        <x:v>383</x:v>
      </x:c>
      <x:c r="C17" s="75" t="s">
        <x:v>384</x:v>
      </x:c>
      <x:c r="D17" s="75" t="s">
        <x:v>385</x:v>
      </x:c>
      <x:c r="E17" s="75" t="s">
        <x:v>386</x:v>
      </x:c>
      <x:c r="F17" s="75" t="s">
        <x:v>79</x:v>
      </x:c>
      <x:c r="G17" s="75" t="s">
        <x:v>73</x:v>
      </x:c>
      <x:c r="H17" s="75" t="s">
        <x:v>79</x:v>
      </x:c>
      <x:c r="I17" s="75" t="s">
        <x:v>73</x:v>
      </x:c>
      <x:c r="J17" s="75" t="s">
        <x:v>73</x:v>
      </x:c>
      <x:c r="K17" s="75" t="s">
        <x:v>73</x:v>
      </x:c>
      <x:c r="L17" s="75" t="s">
        <x:v>387</x:v>
      </x:c>
      <x:c r="M17" s="75" t="s">
        <x:v>385</x:v>
      </x:c>
      <x:c r="N17" s="75" t="s">
        <x:v>388</x:v>
      </x:c>
      <x:c r="O17" s="75" t="s">
        <x:v>73</x:v>
      </x:c>
      <x:c r="P17" s="75" t="s">
        <x:v>73</x:v>
      </x:c>
      <x:c r="Q17" s="75" t="s">
        <x:v>73</x:v>
      </x:c>
      <x:c r="R17" s="75" t="s">
        <x:v>389</x:v>
      </x:c>
      <x:c r="S17" s="75" t="s">
        <x:v>73</x:v>
      </x:c>
      <x:c r="T17" s="75" t="s">
        <x:v>73</x:v>
      </x:c>
      <x:c r="U17" s="75" t="s">
        <x:v>73</x:v>
      </x:c>
      <x:c r="V17" s="75" t="s">
        <x:v>390</x:v>
      </x:c>
      <x:c r="W17" s="75" t="s">
        <x:v>391</x:v>
      </x:c>
      <x:c r="X17" s="75" t="s">
        <x:v>131</x:v>
      </x:c>
      <x:c r="Y17" s="75" t="s">
        <x:v>213</x:v>
      </x:c>
      <x:c r="Z17" s="2"/>
      <x:c r="AA17" s="2"/>
      <x:c r="AB17" s="2"/>
      <x:c r="AC17" s="2"/>
      <x:c r="AD17" s="2"/>
      <x:c r="AE17" s="2"/>
      <x:c r="AF17" s="2"/>
    </x:row>
    <x:row r="18" ht="75">
      <x:c r="A18" s="75" t="s">
        <x:v>392</x:v>
      </x:c>
      <x:c r="B18" s="75" t="s">
        <x:v>393</x:v>
      </x:c>
      <x:c r="C18" s="75" t="s">
        <x:v>394</x:v>
      </x:c>
      <x:c r="D18" s="75" t="s">
        <x:v>385</x:v>
      </x:c>
      <x:c r="E18" s="75" t="s">
        <x:v>395</x:v>
      </x:c>
      <x:c r="F18" s="75" t="s">
        <x:v>79</x:v>
      </x:c>
      <x:c r="G18" s="75" t="s">
        <x:v>396</x:v>
      </x:c>
      <x:c r="H18" s="75" t="s">
        <x:v>79</x:v>
      </x:c>
      <x:c r="I18" s="75" t="s">
        <x:v>397</x:v>
      </x:c>
      <x:c r="J18" s="75" t="s">
        <x:v>398</x:v>
      </x:c>
      <x:c r="K18" s="75" t="s">
        <x:v>399</x:v>
      </x:c>
      <x:c r="L18" s="75" t="s">
        <x:v>400</x:v>
      </x:c>
      <x:c r="M18" s="75" t="s">
        <x:v>401</x:v>
      </x:c>
      <x:c r="N18" s="75" t="s">
        <x:v>402</x:v>
      </x:c>
      <x:c r="O18" s="75" t="s">
        <x:v>82</x:v>
      </x:c>
      <x:c r="P18" s="75" t="s">
        <x:v>403</x:v>
      </x:c>
      <x:c r="Q18" s="75" t="s">
        <x:v>73</x:v>
      </x:c>
      <x:c r="R18" s="75" t="s">
        <x:v>404</x:v>
      </x:c>
      <x:c r="S18" s="75" t="s">
        <x:v>405</x:v>
      </x:c>
      <x:c r="T18" s="75" t="s">
        <x:v>406</x:v>
      </x:c>
      <x:c r="U18" s="75" t="s">
        <x:v>73</x:v>
      </x:c>
      <x:c r="V18" s="75" t="s">
        <x:v>407</x:v>
      </x:c>
      <x:c r="W18" s="75" t="s">
        <x:v>408</x:v>
      </x:c>
      <x:c r="X18" s="75" t="s">
        <x:v>131</x:v>
      </x:c>
      <x:c r="Y18" s="75" t="s">
        <x:v>213</x:v>
      </x:c>
      <x:c r="Z18" s="2"/>
      <x:c r="AA18" s="2"/>
      <x:c r="AB18" s="2"/>
      <x:c r="AC18" s="2"/>
      <x:c r="AD18" s="2"/>
      <x:c r="AE18" s="2"/>
      <x:c r="AF18" s="2"/>
    </x:row>
    <x:row r="19" ht="60">
      <x:c r="A19" s="75" t="s">
        <x:v>409</x:v>
      </x:c>
      <x:c r="B19" s="75" t="s">
        <x:v>410</x:v>
      </x:c>
      <x:c r="C19" s="75" t="s">
        <x:v>73</x:v>
      </x:c>
      <x:c r="D19" s="75" t="s">
        <x:v>301</x:v>
      </x:c>
      <x:c r="E19" s="75" t="s">
        <x:v>73</x:v>
      </x:c>
      <x:c r="F19" s="75" t="s">
        <x:v>73</x:v>
      </x:c>
      <x:c r="G19" s="75" t="s">
        <x:v>73</x:v>
      </x:c>
      <x:c r="H19" s="75" t="s">
        <x:v>73</x:v>
      </x:c>
      <x:c r="I19" s="75" t="s">
        <x:v>73</x:v>
      </x:c>
      <x:c r="J19" s="75" t="s">
        <x:v>73</x:v>
      </x:c>
      <x:c r="K19" s="75" t="s">
        <x:v>73</x:v>
      </x:c>
      <x:c r="L19" s="75" t="s">
        <x:v>73</x:v>
      </x:c>
      <x:c r="M19" s="75" t="s">
        <x:v>302</x:v>
      </x:c>
      <x:c r="N19" s="75" t="s">
        <x:v>73</x:v>
      </x:c>
      <x:c r="O19" s="75" t="s">
        <x:v>73</x:v>
      </x:c>
      <x:c r="P19" s="75" t="s">
        <x:v>73</x:v>
      </x:c>
      <x:c r="Q19" s="75" t="s">
        <x:v>73</x:v>
      </x:c>
      <x:c r="R19" s="75" t="s">
        <x:v>73</x:v>
      </x:c>
      <x:c r="S19" s="75" t="s">
        <x:v>73</x:v>
      </x:c>
      <x:c r="T19" s="75" t="s">
        <x:v>73</x:v>
      </x:c>
      <x:c r="U19" s="75" t="s">
        <x:v>73</x:v>
      </x:c>
      <x:c r="V19" s="75" t="s">
        <x:v>303</x:v>
      </x:c>
      <x:c r="W19" s="75" t="s">
        <x:v>411</x:v>
      </x:c>
      <x:c r="X19" s="75" t="s">
        <x:v>131</x:v>
      </x:c>
      <x:c r="Y19" s="75" t="s">
        <x:v>412</x:v>
      </x:c>
      <x:c r="Z19" s="2"/>
      <x:c r="AA19" s="2"/>
      <x:c r="AB19" s="2"/>
      <x:c r="AC19" s="2"/>
      <x:c r="AD19" s="2"/>
      <x:c r="AE19" s="2"/>
      <x:c r="AF19" s="2"/>
    </x:row>
    <x:row r="20" ht="60">
      <x:c r="A20" s="75" t="s">
        <x:v>413</x:v>
      </x:c>
      <x:c r="B20" s="75" t="s">
        <x:v>414</x:v>
      </x:c>
      <x:c r="C20" s="75" t="s">
        <x:v>415</x:v>
      </x:c>
      <x:c r="D20" s="75" t="s">
        <x:v>301</x:v>
      </x:c>
      <x:c r="E20" s="75" t="s">
        <x:v>73</x:v>
      </x:c>
      <x:c r="F20" s="75" t="s">
        <x:v>73</x:v>
      </x:c>
      <x:c r="G20" s="75" t="s">
        <x:v>73</x:v>
      </x:c>
      <x:c r="H20" s="75" t="s">
        <x:v>73</x:v>
      </x:c>
      <x:c r="I20" s="75" t="s">
        <x:v>73</x:v>
      </x:c>
      <x:c r="J20" s="75" t="s">
        <x:v>73</x:v>
      </x:c>
      <x:c r="K20" s="75" t="s">
        <x:v>73</x:v>
      </x:c>
      <x:c r="L20" s="75" t="s">
        <x:v>415</x:v>
      </x:c>
      <x:c r="M20" s="75" t="s">
        <x:v>302</x:v>
      </x:c>
      <x:c r="N20" s="75" t="s">
        <x:v>73</x:v>
      </x:c>
      <x:c r="O20" s="75" t="s">
        <x:v>73</x:v>
      </x:c>
      <x:c r="P20" s="75" t="s">
        <x:v>73</x:v>
      </x:c>
      <x:c r="Q20" s="75" t="s">
        <x:v>73</x:v>
      </x:c>
      <x:c r="R20" s="75" t="s">
        <x:v>73</x:v>
      </x:c>
      <x:c r="S20" s="75" t="s">
        <x:v>73</x:v>
      </x:c>
      <x:c r="T20" s="75" t="s">
        <x:v>73</x:v>
      </x:c>
      <x:c r="U20" s="75" t="s">
        <x:v>73</x:v>
      </x:c>
      <x:c r="V20" s="75" t="s">
        <x:v>303</x:v>
      </x:c>
      <x:c r="W20" s="75" t="s">
        <x:v>416</x:v>
      </x:c>
      <x:c r="X20" s="75" t="s">
        <x:v>131</x:v>
      </x:c>
      <x:c r="Y20" s="75" t="s">
        <x:v>213</x:v>
      </x:c>
      <x:c r="Z20" s="2"/>
      <x:c r="AA20" s="2"/>
      <x:c r="AB20" s="2"/>
      <x:c r="AC20" s="2"/>
      <x:c r="AD20" s="2"/>
      <x:c r="AE20" s="2"/>
      <x:c r="AF20" s="2"/>
    </x:row>
    <x:row r="21" ht="60">
      <x:c r="A21" s="75" t="s">
        <x:v>417</x:v>
      </x:c>
      <x:c r="B21" s="75" t="s">
        <x:v>418</x:v>
      </x:c>
      <x:c r="C21" s="75" t="s">
        <x:v>419</x:v>
      </x:c>
      <x:c r="D21" s="75" t="s">
        <x:v>420</x:v>
      </x:c>
      <x:c r="E21" s="75" t="s">
        <x:v>73</x:v>
      </x:c>
      <x:c r="F21" s="75" t="s">
        <x:v>79</x:v>
      </x:c>
      <x:c r="G21" s="75" t="s">
        <x:v>73</x:v>
      </x:c>
      <x:c r="H21" s="75" t="s">
        <x:v>79</x:v>
      </x:c>
      <x:c r="I21" s="75" t="s">
        <x:v>73</x:v>
      </x:c>
      <x:c r="J21" s="75" t="s">
        <x:v>73</x:v>
      </x:c>
      <x:c r="K21" s="75" t="s">
        <x:v>421</x:v>
      </x:c>
      <x:c r="L21" s="75" t="s">
        <x:v>422</x:v>
      </x:c>
      <x:c r="M21" s="75" t="s">
        <x:v>423</x:v>
      </x:c>
      <x:c r="N21" s="75" t="s">
        <x:v>73</x:v>
      </x:c>
      <x:c r="O21" s="75" t="s">
        <x:v>424</x:v>
      </x:c>
      <x:c r="P21" s="75" t="s">
        <x:v>425</x:v>
      </x:c>
      <x:c r="Q21" s="75" t="s">
        <x:v>73</x:v>
      </x:c>
      <x:c r="R21" s="75" t="s">
        <x:v>426</x:v>
      </x:c>
      <x:c r="S21" s="75" t="s">
        <x:v>73</x:v>
      </x:c>
      <x:c r="T21" s="75" t="s">
        <x:v>73</x:v>
      </x:c>
      <x:c r="U21" s="75" t="s">
        <x:v>73</x:v>
      </x:c>
      <x:c r="V21" s="75" t="s">
        <x:v>390</x:v>
      </x:c>
      <x:c r="W21" s="75" t="s">
        <x:v>427</x:v>
      </x:c>
      <x:c r="X21" s="75" t="s">
        <x:v>131</x:v>
      </x:c>
      <x:c r="Y21" s="75" t="s">
        <x:v>213</x:v>
      </x:c>
      <x:c r="Z21" s="2"/>
      <x:c r="AA21" s="2"/>
      <x:c r="AB21" s="2"/>
      <x:c r="AC21" s="2"/>
      <x:c r="AD21" s="2"/>
      <x:c r="AE21" s="2"/>
      <x:c r="AF21" s="2"/>
    </x:row>
    <x:row r="22" ht="75">
      <x:c r="A22" s="75" t="s">
        <x:v>428</x:v>
      </x:c>
      <x:c r="B22" s="75" t="s">
        <x:v>429</x:v>
      </x:c>
      <x:c r="C22" s="75" t="s">
        <x:v>73</x:v>
      </x:c>
      <x:c r="D22" s="75" t="s">
        <x:v>430</x:v>
      </x:c>
      <x:c r="E22" s="75" t="s">
        <x:v>73</x:v>
      </x:c>
      <x:c r="F22" s="75" t="s">
        <x:v>431</x:v>
      </x:c>
      <x:c r="G22" s="75" t="s">
        <x:v>73</x:v>
      </x:c>
      <x:c r="H22" s="75" t="s">
        <x:v>73</x:v>
      </x:c>
      <x:c r="I22" s="75" t="s">
        <x:v>73</x:v>
      </x:c>
      <x:c r="J22" s="75" t="s">
        <x:v>73</x:v>
      </x:c>
      <x:c r="K22" s="75" t="s">
        <x:v>432</x:v>
      </x:c>
      <x:c r="L22" s="75" t="s">
        <x:v>433</x:v>
      </x:c>
      <x:c r="M22" s="75" t="s">
        <x:v>434</x:v>
      </x:c>
      <x:c r="N22" s="75" t="s">
        <x:v>435</x:v>
      </x:c>
      <x:c r="O22" s="75" t="s">
        <x:v>82</x:v>
      </x:c>
      <x:c r="P22" s="75" t="s">
        <x:v>436</x:v>
      </x:c>
      <x:c r="Q22" s="75" t="s">
        <x:v>437</x:v>
      </x:c>
      <x:c r="R22" s="75" t="s">
        <x:v>438</x:v>
      </x:c>
      <x:c r="S22" s="75" t="s">
        <x:v>73</x:v>
      </x:c>
      <x:c r="T22" s="75" t="s">
        <x:v>73</x:v>
      </x:c>
      <x:c r="U22" s="75" t="s">
        <x:v>439</x:v>
      </x:c>
      <x:c r="V22" s="75" t="s">
        <x:v>440</x:v>
      </x:c>
      <x:c r="W22" s="75" t="s">
        <x:v>441</x:v>
      </x:c>
      <x:c r="X22" s="75" t="s">
        <x:v>131</x:v>
      </x:c>
      <x:c r="Y22" s="75" t="s">
        <x:v>213</x:v>
      </x:c>
      <x:c r="Z22" s="2"/>
      <x:c r="AA22" s="2"/>
      <x:c r="AB22" s="2"/>
      <x:c r="AC22" s="2"/>
      <x:c r="AD22" s="2"/>
      <x:c r="AE22" s="2"/>
      <x:c r="AF22" s="2"/>
    </x:row>
    <x:row r="23" ht="60">
      <x:c r="A23" s="75" t="s">
        <x:v>442</x:v>
      </x:c>
      <x:c r="B23" s="75" t="s">
        <x:v>443</x:v>
      </x:c>
      <x:c r="C23" s="75" t="s">
        <x:v>73</x:v>
      </x:c>
      <x:c r="D23" s="75" t="s">
        <x:v>301</x:v>
      </x:c>
      <x:c r="E23" s="75" t="s">
        <x:v>73</x:v>
      </x:c>
      <x:c r="F23" s="75" t="s">
        <x:v>73</x:v>
      </x:c>
      <x:c r="G23" s="75" t="s">
        <x:v>73</x:v>
      </x:c>
      <x:c r="H23" s="75" t="s">
        <x:v>73</x:v>
      </x:c>
      <x:c r="I23" s="75" t="s">
        <x:v>73</x:v>
      </x:c>
      <x:c r="J23" s="75" t="s">
        <x:v>73</x:v>
      </x:c>
      <x:c r="K23" s="75" t="s">
        <x:v>73</x:v>
      </x:c>
      <x:c r="L23" s="75" t="s">
        <x:v>73</x:v>
      </x:c>
      <x:c r="M23" s="75" t="s">
        <x:v>302</x:v>
      </x:c>
      <x:c r="N23" s="75" t="s">
        <x:v>73</x:v>
      </x:c>
      <x:c r="O23" s="75" t="s">
        <x:v>73</x:v>
      </x:c>
      <x:c r="P23" s="75" t="s">
        <x:v>73</x:v>
      </x:c>
      <x:c r="Q23" s="75" t="s">
        <x:v>73</x:v>
      </x:c>
      <x:c r="R23" s="75" t="s">
        <x:v>73</x:v>
      </x:c>
      <x:c r="S23" s="75" t="s">
        <x:v>73</x:v>
      </x:c>
      <x:c r="T23" s="75" t="s">
        <x:v>73</x:v>
      </x:c>
      <x:c r="U23" s="75" t="s">
        <x:v>73</x:v>
      </x:c>
      <x:c r="V23" s="75" t="s">
        <x:v>303</x:v>
      </x:c>
      <x:c r="W23" s="75" t="s">
        <x:v>444</x:v>
      </x:c>
      <x:c r="X23" s="75" t="s">
        <x:v>131</x:v>
      </x:c>
      <x:c r="Y23" s="75" t="s">
        <x:v>412</x:v>
      </x:c>
      <x:c r="Z23" s="2"/>
      <x:c r="AA23" s="2"/>
      <x:c r="AB23" s="2"/>
      <x:c r="AC23" s="2"/>
      <x:c r="AD23" s="2"/>
      <x:c r="AE23" s="2"/>
      <x:c r="AF23" s="2"/>
    </x:row>
    <x:row r="24" ht="60">
      <x:c r="A24" s="75" t="s">
        <x:v>445</x:v>
      </x:c>
      <x:c r="B24" s="75" t="s">
        <x:v>446</x:v>
      </x:c>
      <x:c r="C24" s="75" t="s">
        <x:v>73</x:v>
      </x:c>
      <x:c r="D24" s="75" t="s">
        <x:v>301</x:v>
      </x:c>
      <x:c r="E24" s="75" t="s">
        <x:v>73</x:v>
      </x:c>
      <x:c r="F24" s="75" t="s">
        <x:v>73</x:v>
      </x:c>
      <x:c r="G24" s="75" t="s">
        <x:v>73</x:v>
      </x:c>
      <x:c r="H24" s="75" t="s">
        <x:v>73</x:v>
      </x:c>
      <x:c r="I24" s="75" t="s">
        <x:v>73</x:v>
      </x:c>
      <x:c r="J24" s="75" t="s">
        <x:v>73</x:v>
      </x:c>
      <x:c r="K24" s="75" t="s">
        <x:v>73</x:v>
      </x:c>
      <x:c r="L24" s="75" t="s">
        <x:v>73</x:v>
      </x:c>
      <x:c r="M24" s="75" t="s">
        <x:v>302</x:v>
      </x:c>
      <x:c r="N24" s="75" t="s">
        <x:v>73</x:v>
      </x:c>
      <x:c r="O24" s="75" t="s">
        <x:v>73</x:v>
      </x:c>
      <x:c r="P24" s="75" t="s">
        <x:v>73</x:v>
      </x:c>
      <x:c r="Q24" s="75" t="s">
        <x:v>73</x:v>
      </x:c>
      <x:c r="R24" s="75" t="s">
        <x:v>73</x:v>
      </x:c>
      <x:c r="S24" s="75" t="s">
        <x:v>73</x:v>
      </x:c>
      <x:c r="T24" s="75" t="s">
        <x:v>73</x:v>
      </x:c>
      <x:c r="U24" s="75" t="s">
        <x:v>73</x:v>
      </x:c>
      <x:c r="V24" s="75" t="s">
        <x:v>303</x:v>
      </x:c>
      <x:c r="W24" s="75" t="s">
        <x:v>447</x:v>
      </x:c>
      <x:c r="X24" s="75" t="s">
        <x:v>131</x:v>
      </x:c>
      <x:c r="Y24" s="75" t="s">
        <x:v>412</x:v>
      </x:c>
      <x:c r="Z24" s="2"/>
      <x:c r="AA24" s="2"/>
      <x:c r="AB24" s="2"/>
      <x:c r="AC24" s="2"/>
      <x:c r="AD24" s="2"/>
      <x:c r="AE24" s="2"/>
      <x:c r="AF24" s="2"/>
    </x:row>
    <x:row r="25" ht="60">
      <x:c r="A25" s="75" t="s">
        <x:v>448</x:v>
      </x:c>
      <x:c r="B25" s="75" t="s">
        <x:v>449</x:v>
      </x:c>
      <x:c r="C25" s="75" t="s">
        <x:v>450</x:v>
      </x:c>
      <x:c r="D25" s="75" t="s">
        <x:v>301</x:v>
      </x:c>
      <x:c r="E25" s="75" t="s">
        <x:v>73</x:v>
      </x:c>
      <x:c r="F25" s="75" t="s">
        <x:v>73</x:v>
      </x:c>
      <x:c r="G25" s="75" t="s">
        <x:v>73</x:v>
      </x:c>
      <x:c r="H25" s="75" t="s">
        <x:v>73</x:v>
      </x:c>
      <x:c r="I25" s="75" t="s">
        <x:v>73</x:v>
      </x:c>
      <x:c r="J25" s="75" t="s">
        <x:v>73</x:v>
      </x:c>
      <x:c r="K25" s="75" t="s">
        <x:v>73</x:v>
      </x:c>
      <x:c r="L25" s="75" t="s">
        <x:v>450</x:v>
      </x:c>
      <x:c r="M25" s="75" t="s">
        <x:v>302</x:v>
      </x:c>
      <x:c r="N25" s="75" t="s">
        <x:v>73</x:v>
      </x:c>
      <x:c r="O25" s="75" t="s">
        <x:v>73</x:v>
      </x:c>
      <x:c r="P25" s="75" t="s">
        <x:v>73</x:v>
      </x:c>
      <x:c r="Q25" s="75" t="s">
        <x:v>73</x:v>
      </x:c>
      <x:c r="R25" s="75" t="s">
        <x:v>73</x:v>
      </x:c>
      <x:c r="S25" s="75" t="s">
        <x:v>73</x:v>
      </x:c>
      <x:c r="T25" s="75" t="s">
        <x:v>73</x:v>
      </x:c>
      <x:c r="U25" s="75" t="s">
        <x:v>73</x:v>
      </x:c>
      <x:c r="V25" s="75" t="s">
        <x:v>303</x:v>
      </x:c>
      <x:c r="W25" s="75" t="s">
        <x:v>451</x:v>
      </x:c>
      <x:c r="X25" s="75" t="s">
        <x:v>131</x:v>
      </x:c>
      <x:c r="Y25" s="75" t="s">
        <x:v>213</x:v>
      </x:c>
      <x:c r="Z25" s="2"/>
      <x:c r="AA25" s="2"/>
      <x:c r="AB25" s="2"/>
      <x:c r="AC25" s="2"/>
      <x:c r="AD25" s="2"/>
      <x:c r="AE25" s="2"/>
      <x:c r="AF25" s="2"/>
    </x:row>
    <x:row r="26" ht="60">
      <x:c r="A26" s="75" t="s">
        <x:v>452</x:v>
      </x:c>
      <x:c r="B26" s="75" t="s">
        <x:v>453</x:v>
      </x:c>
      <x:c r="C26" s="75" t="s">
        <x:v>454</x:v>
      </x:c>
      <x:c r="D26" s="75" t="s">
        <x:v>301</x:v>
      </x:c>
      <x:c r="E26" s="75" t="s">
        <x:v>73</x:v>
      </x:c>
      <x:c r="F26" s="75" t="s">
        <x:v>73</x:v>
      </x:c>
      <x:c r="G26" s="75" t="s">
        <x:v>73</x:v>
      </x:c>
      <x:c r="H26" s="75" t="s">
        <x:v>73</x:v>
      </x:c>
      <x:c r="I26" s="75" t="s">
        <x:v>73</x:v>
      </x:c>
      <x:c r="J26" s="75" t="s">
        <x:v>73</x:v>
      </x:c>
      <x:c r="K26" s="75" t="s">
        <x:v>73</x:v>
      </x:c>
      <x:c r="L26" s="75" t="s">
        <x:v>454</x:v>
      </x:c>
      <x:c r="M26" s="75" t="s">
        <x:v>302</x:v>
      </x:c>
      <x:c r="N26" s="75" t="s">
        <x:v>73</x:v>
      </x:c>
      <x:c r="O26" s="75" t="s">
        <x:v>73</x:v>
      </x:c>
      <x:c r="P26" s="75" t="s">
        <x:v>73</x:v>
      </x:c>
      <x:c r="Q26" s="75" t="s">
        <x:v>73</x:v>
      </x:c>
      <x:c r="R26" s="75" t="s">
        <x:v>73</x:v>
      </x:c>
      <x:c r="S26" s="75" t="s">
        <x:v>73</x:v>
      </x:c>
      <x:c r="T26" s="75" t="s">
        <x:v>73</x:v>
      </x:c>
      <x:c r="U26" s="75" t="s">
        <x:v>73</x:v>
      </x:c>
      <x:c r="V26" s="75" t="s">
        <x:v>303</x:v>
      </x:c>
      <x:c r="W26" s="75" t="s">
        <x:v>455</x:v>
      </x:c>
      <x:c r="X26" s="75" t="s">
        <x:v>131</x:v>
      </x:c>
      <x:c r="Y26" s="75" t="s">
        <x:v>213</x:v>
      </x:c>
      <x:c r="Z26" s="2"/>
      <x:c r="AA26" s="2"/>
      <x:c r="AB26" s="2"/>
      <x:c r="AC26" s="2"/>
      <x:c r="AD26" s="2"/>
      <x:c r="AE26" s="2"/>
      <x:c r="AF26" s="2"/>
    </x:row>
    <x:row r="27" ht="60">
      <x:c r="A27" s="75" t="s">
        <x:v>456</x:v>
      </x:c>
      <x:c r="B27" s="75" t="s">
        <x:v>457</x:v>
      </x:c>
      <x:c r="C27" s="75" t="s">
        <x:v>73</x:v>
      </x:c>
      <x:c r="D27" s="75" t="s">
        <x:v>301</x:v>
      </x:c>
      <x:c r="E27" s="75" t="s">
        <x:v>73</x:v>
      </x:c>
      <x:c r="F27" s="75" t="s">
        <x:v>73</x:v>
      </x:c>
      <x:c r="G27" s="75" t="s">
        <x:v>73</x:v>
      </x:c>
      <x:c r="H27" s="75" t="s">
        <x:v>73</x:v>
      </x:c>
      <x:c r="I27" s="75" t="s">
        <x:v>73</x:v>
      </x:c>
      <x:c r="J27" s="75" t="s">
        <x:v>73</x:v>
      </x:c>
      <x:c r="K27" s="75" t="s">
        <x:v>73</x:v>
      </x:c>
      <x:c r="L27" s="75" t="s">
        <x:v>73</x:v>
      </x:c>
      <x:c r="M27" s="75" t="s">
        <x:v>302</x:v>
      </x:c>
      <x:c r="N27" s="75" t="s">
        <x:v>73</x:v>
      </x:c>
      <x:c r="O27" s="75" t="s">
        <x:v>73</x:v>
      </x:c>
      <x:c r="P27" s="75" t="s">
        <x:v>73</x:v>
      </x:c>
      <x:c r="Q27" s="75" t="s">
        <x:v>73</x:v>
      </x:c>
      <x:c r="R27" s="75" t="s">
        <x:v>73</x:v>
      </x:c>
      <x:c r="S27" s="75" t="s">
        <x:v>73</x:v>
      </x:c>
      <x:c r="T27" s="75" t="s">
        <x:v>73</x:v>
      </x:c>
      <x:c r="U27" s="75" t="s">
        <x:v>73</x:v>
      </x:c>
      <x:c r="V27" s="75" t="s">
        <x:v>303</x:v>
      </x:c>
      <x:c r="W27" s="75" t="s">
        <x:v>458</x:v>
      </x:c>
      <x:c r="X27" s="75" t="s">
        <x:v>131</x:v>
      </x:c>
      <x:c r="Y27" s="75" t="s">
        <x:v>412</x:v>
      </x:c>
      <x:c r="Z27" s="2"/>
      <x:c r="AA27" s="2"/>
      <x:c r="AB27" s="2"/>
      <x:c r="AC27" s="2"/>
      <x:c r="AD27" s="2"/>
      <x:c r="AE27" s="2"/>
      <x:c r="AF27" s="2"/>
    </x:row>
    <x:row r="28" ht="75">
      <x:c r="A28" s="75" t="s">
        <x:v>459</x:v>
      </x:c>
      <x:c r="B28" s="75" t="s">
        <x:v>460</x:v>
      </x:c>
      <x:c r="C28" s="75" t="s">
        <x:v>461</x:v>
      </x:c>
      <x:c r="D28" s="75" t="s">
        <x:v>462</x:v>
      </x:c>
      <x:c r="E28" s="75" t="s">
        <x:v>463</x:v>
      </x:c>
      <x:c r="F28" s="75" t="s">
        <x:v>79</x:v>
      </x:c>
      <x:c r="G28" s="75" t="s">
        <x:v>73</x:v>
      </x:c>
      <x:c r="H28" s="75" t="s">
        <x:v>79</x:v>
      </x:c>
      <x:c r="I28" s="75" t="s">
        <x:v>73</x:v>
      </x:c>
      <x:c r="J28" s="75" t="s">
        <x:v>73</x:v>
      </x:c>
      <x:c r="K28" s="75" t="s">
        <x:v>464</x:v>
      </x:c>
      <x:c r="L28" s="75" t="s">
        <x:v>465</x:v>
      </x:c>
      <x:c r="M28" s="75" t="s">
        <x:v>462</x:v>
      </x:c>
      <x:c r="N28" s="75" t="s">
        <x:v>466</x:v>
      </x:c>
      <x:c r="O28" s="75" t="s">
        <x:v>82</x:v>
      </x:c>
      <x:c r="P28" s="75" t="s">
        <x:v>467</x:v>
      </x:c>
      <x:c r="Q28" s="75" t="s">
        <x:v>468</x:v>
      </x:c>
      <x:c r="R28" s="75" t="s">
        <x:v>469</x:v>
      </x:c>
      <x:c r="S28" s="75" t="s">
        <x:v>470</x:v>
      </x:c>
      <x:c r="T28" s="75" t="s">
        <x:v>471</x:v>
      </x:c>
      <x:c r="U28" s="75" t="s">
        <x:v>472</x:v>
      </x:c>
      <x:c r="V28" s="75" t="s">
        <x:v>277</x:v>
      </x:c>
      <x:c r="W28" s="75" t="s">
        <x:v>473</x:v>
      </x:c>
      <x:c r="X28" s="75" t="s">
        <x:v>131</x:v>
      </x:c>
      <x:c r="Y28" s="75" t="s">
        <x:v>213</x:v>
      </x:c>
      <x:c r="Z28" s="2"/>
      <x:c r="AA28" s="2"/>
      <x:c r="AB28" s="2"/>
      <x:c r="AC28" s="2"/>
      <x:c r="AD28" s="2"/>
      <x:c r="AE28" s="2"/>
      <x:c r="AF28" s="2"/>
    </x:row>
    <x:row r="29" ht="75">
      <x:c r="A29" s="75" t="str">
        <x:f>IF('Master'!C977="","",'Master'!C977)</x:f>
      </x:c>
      <x:c r="B29" s="75" t="str">
        <x:f>IF('Master'!D977="","",'Master'!D977)</x:f>
      </x:c>
      <x:c r="C29" s="75" t="str">
        <x:f>IF('Master'!E977="","",'Master'!E977)</x:f>
      </x:c>
      <x:c r="D29" s="75" t="str">
        <x:f>IF('Master'!F977="","",'Master'!F977)</x:f>
      </x:c>
      <x:c r="E29" s="75" t="str">
        <x:f>IF('Master'!G977="","",'Master'!G977)</x:f>
      </x:c>
      <x:c r="F29" s="75" t="str">
        <x:f>IF('Master'!H977="","",'Master'!H977)</x:f>
      </x:c>
      <x:c r="G29" s="75" t="str">
        <x:f>IF('Master'!I977="","",'Master'!I977)</x:f>
      </x:c>
      <x:c r="H29" s="75" t="str">
        <x:f>IF('Master'!J977="","",'Master'!J977)</x:f>
      </x:c>
      <x:c r="I29" s="75" t="str">
        <x:f>IF('Master'!K977="","",'Master'!K977)</x:f>
      </x:c>
      <x:c r="J29" s="75" t="str">
        <x:f>IF('Master'!L977="","",'Master'!L977)</x:f>
      </x:c>
      <x:c r="K29" s="75" t="str">
        <x:f>IF('Master'!M977="","",'Master'!M977)</x:f>
      </x:c>
      <x:c r="L29" s="75" t="str">
        <x:f>IF('Master'!N977="","",'Master'!N977)</x:f>
      </x:c>
      <x:c r="M29" s="75" t="str">
        <x:f>IF('Master'!O977="","",'Master'!O977)</x:f>
      </x:c>
      <x:c r="N29" s="75" t="str">
        <x:f>IF('Master'!P977="","",'Master'!P977)</x:f>
      </x:c>
      <x:c r="O29" s="75" t="str">
        <x:f>IF('Master'!Q977="","",'Master'!Q977)</x:f>
      </x:c>
      <x:c r="P29" s="75" t="str">
        <x:f>IF('Master'!R977="","",'Master'!R977)</x:f>
      </x:c>
      <x:c r="Q29" s="75" t="str">
        <x:f>IF('Master'!S977="","",'Master'!S977)</x:f>
      </x:c>
      <x:c r="R29" s="75" t="str">
        <x:f>IF('Master'!T977="","",'Master'!T977)</x:f>
      </x:c>
      <x:c r="S29" s="75" t="str">
        <x:f>IF('Master'!U977="","",'Master'!U977)</x:f>
      </x:c>
      <x:c r="T29" s="75" t="str">
        <x:f>IF('Master'!V977="","",'Master'!V977)</x:f>
      </x:c>
      <x:c r="U29" s="75" t="str">
        <x:f>IF('Master'!W977="","",'Master'!W977)</x:f>
      </x:c>
      <x:c r="V29" s="75" t="str">
        <x:f>IF('Master'!X977="","",'Master'!X977)</x:f>
      </x:c>
      <x:c r="W29" s="75" t="str">
        <x:f>IF('Master'!Y977="","",'Master'!Y977)</x:f>
      </x:c>
      <x:c r="X29" s="75" t="str">
        <x:f>IF('Master'!Z977="","",'Master'!Z977)</x:f>
      </x:c>
      <x:c r="Y29" s="75" t="str">
        <x:f>IF('Master'!AA977="","",'Master'!AA977)</x:f>
      </x:c>
      <x:c r="Z29" s="2"/>
      <x:c r="AA29" s="2"/>
      <x:c r="AB29" s="2"/>
      <x:c r="AC29" s="2"/>
      <x:c r="AD29" s="2"/>
      <x:c r="AE29" s="2"/>
      <x:c r="AF29" s="2"/>
    </x:row>
    <x:row r="30" ht="75">
      <x:c r="A30" s="75" t="s">
        <x:v>474</x:v>
      </x:c>
      <x:c r="B30" s="75" t="s">
        <x:v>475</x:v>
      </x:c>
      <x:c r="C30" s="75" t="s">
        <x:v>73</x:v>
      </x:c>
      <x:c r="D30" s="75" t="s">
        <x:v>430</x:v>
      </x:c>
      <x:c r="E30" s="75" t="s">
        <x:v>476</x:v>
      </x:c>
      <x:c r="F30" s="75" t="s">
        <x:v>73</x:v>
      </x:c>
      <x:c r="G30" s="75" t="s">
        <x:v>73</x:v>
      </x:c>
      <x:c r="H30" s="75" t="s">
        <x:v>73</x:v>
      </x:c>
      <x:c r="I30" s="75" t="s">
        <x:v>73</x:v>
      </x:c>
      <x:c r="J30" s="75" t="s">
        <x:v>477</x:v>
      </x:c>
      <x:c r="K30" s="75" t="s">
        <x:v>478</x:v>
      </x:c>
      <x:c r="L30" s="75" t="s">
        <x:v>479</x:v>
      </x:c>
      <x:c r="M30" s="75" t="s">
        <x:v>480</x:v>
      </x:c>
      <x:c r="N30" s="75" t="s">
        <x:v>481</x:v>
      </x:c>
      <x:c r="O30" s="75" t="s">
        <x:v>82</x:v>
      </x:c>
      <x:c r="P30" s="75" t="s">
        <x:v>482</x:v>
      </x:c>
      <x:c r="Q30" s="75" t="s">
        <x:v>483</x:v>
      </x:c>
      <x:c r="R30" s="75" t="s">
        <x:v>484</x:v>
      </x:c>
      <x:c r="S30" s="75" t="s">
        <x:v>485</x:v>
      </x:c>
      <x:c r="T30" s="75" t="s">
        <x:v>73</x:v>
      </x:c>
      <x:c r="U30" s="75" t="s">
        <x:v>486</x:v>
      </x:c>
      <x:c r="V30" s="75" t="s">
        <x:v>390</x:v>
      </x:c>
      <x:c r="W30" s="75" t="s">
        <x:v>487</x:v>
      </x:c>
      <x:c r="X30" s="75" t="s">
        <x:v>131</x:v>
      </x:c>
      <x:c r="Y30" s="75" t="s">
        <x:v>213</x:v>
      </x:c>
      <x:c r="Z30" s="2"/>
      <x:c r="AA30" s="2"/>
      <x:c r="AB30" s="2"/>
      <x:c r="AC30" s="2"/>
      <x:c r="AD30" s="2"/>
      <x:c r="AE30" s="2"/>
      <x:c r="AF30" s="2"/>
    </x:row>
    <x:row r="31" ht="60">
      <x:c r="A31" s="75" t="s">
        <x:v>488</x:v>
      </x:c>
      <x:c r="B31" s="75" t="s">
        <x:v>489</x:v>
      </x:c>
      <x:c r="C31" s="75" t="s">
        <x:v>73</x:v>
      </x:c>
      <x:c r="D31" s="75" t="s">
        <x:v>490</x:v>
      </x:c>
      <x:c r="E31" s="75" t="s">
        <x:v>73</x:v>
      </x:c>
      <x:c r="F31" s="75" t="s">
        <x:v>73</x:v>
      </x:c>
      <x:c r="G31" s="75" t="s">
        <x:v>73</x:v>
      </x:c>
      <x:c r="H31" s="75" t="s">
        <x:v>73</x:v>
      </x:c>
      <x:c r="I31" s="75" t="s">
        <x:v>73</x:v>
      </x:c>
      <x:c r="J31" s="75" t="s">
        <x:v>73</x:v>
      </x:c>
      <x:c r="K31" s="75" t="s">
        <x:v>491</x:v>
      </x:c>
      <x:c r="L31" s="75" t="s">
        <x:v>73</x:v>
      </x:c>
      <x:c r="M31" s="75" t="s">
        <x:v>492</x:v>
      </x:c>
      <x:c r="N31" s="75" t="s">
        <x:v>493</x:v>
      </x:c>
      <x:c r="O31" s="75" t="s">
        <x:v>82</x:v>
      </x:c>
      <x:c r="P31" s="75" t="s">
        <x:v>425</x:v>
      </x:c>
      <x:c r="Q31" s="75" t="s">
        <x:v>73</x:v>
      </x:c>
      <x:c r="R31" s="75" t="s">
        <x:v>494</x:v>
      </x:c>
      <x:c r="S31" s="75" t="s">
        <x:v>73</x:v>
      </x:c>
      <x:c r="T31" s="75" t="s">
        <x:v>73</x:v>
      </x:c>
      <x:c r="U31" s="75" t="s">
        <x:v>73</x:v>
      </x:c>
      <x:c r="V31" s="75" t="s">
        <x:v>495</x:v>
      </x:c>
      <x:c r="W31" s="75" t="s">
        <x:v>496</x:v>
      </x:c>
      <x:c r="X31" s="75" t="s">
        <x:v>131</x:v>
      </x:c>
      <x:c r="Y31" s="75" t="s">
        <x:v>412</x:v>
      </x:c>
      <x:c r="Z31" s="2"/>
      <x:c r="AA31" s="2"/>
      <x:c r="AB31" s="2"/>
      <x:c r="AC31" s="2"/>
      <x:c r="AD31" s="2"/>
      <x:c r="AE31" s="2"/>
      <x:c r="AF31" s="2"/>
    </x:row>
    <x:row r="32" ht="60">
      <x:c r="A32" s="75" t="s">
        <x:v>497</x:v>
      </x:c>
      <x:c r="B32" s="75" t="s">
        <x:v>498</x:v>
      </x:c>
      <x:c r="C32" s="75" t="s">
        <x:v>73</x:v>
      </x:c>
      <x:c r="D32" s="75" t="s">
        <x:v>499</x:v>
      </x:c>
      <x:c r="E32" s="75" t="s">
        <x:v>73</x:v>
      </x:c>
      <x:c r="F32" s="75" t="s">
        <x:v>73</x:v>
      </x:c>
      <x:c r="G32" s="75" t="s">
        <x:v>73</x:v>
      </x:c>
      <x:c r="H32" s="75" t="s">
        <x:v>73</x:v>
      </x:c>
      <x:c r="I32" s="75" t="s">
        <x:v>73</x:v>
      </x:c>
      <x:c r="J32" s="75" t="s">
        <x:v>500</x:v>
      </x:c>
      <x:c r="K32" s="75" t="s">
        <x:v>501</x:v>
      </x:c>
      <x:c r="L32" s="75" t="s">
        <x:v>73</x:v>
      </x:c>
      <x:c r="M32" s="75" t="s">
        <x:v>502</x:v>
      </x:c>
      <x:c r="N32" s="75" t="s">
        <x:v>503</x:v>
      </x:c>
      <x:c r="O32" s="75" t="s">
        <x:v>73</x:v>
      </x:c>
      <x:c r="P32" s="75" t="s">
        <x:v>73</x:v>
      </x:c>
      <x:c r="Q32" s="75" t="s">
        <x:v>73</x:v>
      </x:c>
      <x:c r="R32" s="75" t="s">
        <x:v>504</x:v>
      </x:c>
      <x:c r="S32" s="75" t="s">
        <x:v>73</x:v>
      </x:c>
      <x:c r="T32" s="75" t="s">
        <x:v>505</x:v>
      </x:c>
      <x:c r="U32" s="75" t="s">
        <x:v>506</x:v>
      </x:c>
      <x:c r="V32" s="75" t="s">
        <x:v>507</x:v>
      </x:c>
      <x:c r="W32" s="75" t="s">
        <x:v>508</x:v>
      </x:c>
      <x:c r="X32" s="75" t="s">
        <x:v>131</x:v>
      </x:c>
      <x:c r="Y32" s="75" t="s">
        <x:v>412</x:v>
      </x:c>
      <x:c r="Z32" s="2"/>
      <x:c r="AA32" s="2"/>
      <x:c r="AB32" s="2"/>
      <x:c r="AC32" s="2"/>
      <x:c r="AD32" s="2"/>
      <x:c r="AE32" s="2"/>
      <x:c r="AF32" s="2"/>
    </x:row>
  </x:sheetData>
  <x:mergeCells>
    <x:mergeCell ref="A1:Y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6" hidden="0" customWidth="1"/>
    <x:col min="3" max="3" width="18" hidden="0" customWidth="1"/>
    <x:col min="4" max="4" width="36" hidden="0" customWidth="1"/>
    <x:col min="5" max="5" width="22" hidden="0" customWidth="1"/>
    <x:col min="6" max="6" width="15" hidden="0" customWidth="1"/>
    <x:col min="7" max="7" width="22" hidden="0" customWidth="1"/>
    <x:col min="8" max="8" width="18" hidden="0" customWidth="1"/>
    <x:col min="9" max="9" width="18" hidden="0" customWidth="1"/>
  </x:cols>
  <x:sheetData>
    <x:row r="1" ht="28" customHeight="1">
      <x:c r="A1" s="130" t="str">
        <x:f>IFERROR(HYPERLINK("#'Sheet Directory'!A1","Discord Sources — researched as of 2026-09-15"),"Discord Sources — researched as of 2026-09-15")</x:f>
        <x:v>Discord Sources — researched as of 2026-09-15</x:v>
      </x:c>
      <x:c r="B1" s="130" t="s">
        <x:v>509</x:v>
      </x:c>
      <x:c r="C1" s="130"/>
      <x:c r="D1" s="130"/>
      <x:c r="E1" s="130"/>
      <x:c r="F1" s="130"/>
      <x:c r="G1" s="130"/>
      <x:c r="H1" s="130"/>
      <x:c r="I1" s="130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</x:row>
    <x:row r="2" ht="32" customHeight="1">
      <x:c r="A2" s="116" t="s">
        <x:v>510</x:v>
      </x:c>
      <x:c r="B2" s="116" t="s">
        <x:v>511</x:v>
      </x:c>
      <x:c r="C2" s="116" t="s">
        <x:v>512</x:v>
      </x:c>
      <x:c r="D2" s="116" t="s">
        <x:v>513</x:v>
      </x:c>
      <x:c r="E2" s="116" t="s">
        <x:v>514</x:v>
      </x:c>
      <x:c r="F2" s="116" t="s">
        <x:v>192</x:v>
      </x:c>
      <x:c r="G2" s="116" t="s">
        <x:v>515</x:v>
      </x:c>
      <x:c r="H2" s="116" t="s">
        <x:v>516</x:v>
      </x:c>
      <x:c r="I2" s="116" t="s">
        <x:v>517</x:v>
      </x:c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</x:row>
    <x:row r="3" ht="30">
      <x:c r="A3" s="75" t="s">
        <x:v>518</x:v>
      </x:c>
      <x:c r="B3" s="75" t="s">
        <x:v>519</x:v>
      </x:c>
      <x:c r="C3" s="75" t="s">
        <x:v>520</x:v>
      </x:c>
      <x:c r="D3" s="75" t="s">
        <x:v>521</x:v>
      </x:c>
      <x:c r="E3" s="75" t="s">
        <x:v>522</x:v>
      </x:c>
      <x:c r="F3" s="75" t="s">
        <x:v>131</x:v>
      </x:c>
      <x:c r="G3" s="75" t="s">
        <x:v>523</x:v>
      </x:c>
      <x:c r="H3" s="75" t="s">
        <x:v>524</x:v>
      </x:c>
      <x:c r="I3" s="75" t="s">
        <x:v>525</x:v>
      </x:c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</x:row>
    <x:row r="4" ht="30">
      <x:c r="A4" s="75" t="s">
        <x:v>526</x:v>
      </x:c>
      <x:c r="B4" s="75" t="s">
        <x:v>527</x:v>
      </x:c>
      <x:c r="C4" s="75" t="s">
        <x:v>528</x:v>
      </x:c>
      <x:c r="D4" s="75" t="s">
        <x:v>521</x:v>
      </x:c>
      <x:c r="E4" s="75" t="s">
        <x:v>522</x:v>
      </x:c>
      <x:c r="F4" s="75" t="s">
        <x:v>131</x:v>
      </x:c>
      <x:c r="G4" s="75" t="s">
        <x:v>523</x:v>
      </x:c>
      <x:c r="H4" s="75" t="s">
        <x:v>524</x:v>
      </x:c>
      <x:c r="I4" s="75" t="s">
        <x:v>525</x:v>
      </x:c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</x:row>
    <x:row r="5" ht="30">
      <x:c r="A5" s="75" t="s">
        <x:v>529</x:v>
      </x:c>
      <x:c r="B5" s="75" t="s">
        <x:v>530</x:v>
      </x:c>
      <x:c r="C5" s="75" t="s">
        <x:v>531</x:v>
      </x:c>
      <x:c r="D5" s="75" t="s">
        <x:v>521</x:v>
      </x:c>
      <x:c r="E5" s="75" t="s">
        <x:v>522</x:v>
      </x:c>
      <x:c r="F5" s="75" t="s">
        <x:v>131</x:v>
      </x:c>
      <x:c r="G5" s="75" t="s">
        <x:v>523</x:v>
      </x:c>
      <x:c r="H5" s="75" t="s">
        <x:v>524</x:v>
      </x:c>
      <x:c r="I5" s="75" t="s">
        <x:v>525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</x:row>
    <x:row r="6" ht="30">
      <x:c r="A6" s="75" t="s">
        <x:v>532</x:v>
      </x:c>
      <x:c r="B6" s="75" t="s">
        <x:v>202</x:v>
      </x:c>
      <x:c r="C6" s="75" t="s">
        <x:v>533</x:v>
      </x:c>
      <x:c r="D6" s="75" t="s">
        <x:v>521</x:v>
      </x:c>
      <x:c r="E6" s="75" t="s">
        <x:v>522</x:v>
      </x:c>
      <x:c r="F6" s="75" t="s">
        <x:v>131</x:v>
      </x:c>
      <x:c r="G6" s="75" t="s">
        <x:v>523</x:v>
      </x:c>
      <x:c r="H6" s="75" t="s">
        <x:v>524</x:v>
      </x:c>
      <x:c r="I6" s="75" t="s">
        <x:v>525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</x:row>
    <x:row r="7" ht="75">
      <x:c r="A7" s="75" t="s">
        <x:v>534</x:v>
      </x:c>
      <x:c r="B7" s="75" t="s">
        <x:v>535</x:v>
      </x:c>
      <x:c r="C7" s="75" t="s">
        <x:v>536</x:v>
      </x:c>
      <x:c r="D7" s="75" t="s">
        <x:v>521</x:v>
      </x:c>
      <x:c r="E7" s="75" t="s">
        <x:v>522</x:v>
      </x:c>
      <x:c r="F7" s="75" t="s">
        <x:v>131</x:v>
      </x:c>
      <x:c r="G7" s="75" t="s">
        <x:v>523</x:v>
      </x:c>
      <x:c r="H7" s="75" t="s">
        <x:v>524</x:v>
      </x:c>
      <x:c r="I7" s="75" t="s">
        <x:v>525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</x:row>
    <x:row r="8" ht="60">
      <x:c r="A8" s="75" t="s">
        <x:v>537</x:v>
      </x:c>
      <x:c r="B8" s="75" t="s">
        <x:v>538</x:v>
      </x:c>
      <x:c r="C8" s="75" t="s">
        <x:v>539</x:v>
      </x:c>
      <x:c r="D8" s="75" t="s">
        <x:v>521</x:v>
      </x:c>
      <x:c r="E8" s="75" t="s">
        <x:v>522</x:v>
      </x:c>
      <x:c r="F8" s="75" t="s">
        <x:v>131</x:v>
      </x:c>
      <x:c r="G8" s="75" t="s">
        <x:v>523</x:v>
      </x:c>
      <x:c r="H8" s="75" t="s">
        <x:v>524</x:v>
      </x:c>
      <x:c r="I8" s="75" t="s">
        <x:v>525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</x:row>
    <x:row r="9" ht="30">
      <x:c r="A9" s="75" t="s">
        <x:v>540</x:v>
      </x:c>
      <x:c r="B9" s="75" t="s">
        <x:v>541</x:v>
      </x:c>
      <x:c r="C9" s="75" t="s">
        <x:v>542</x:v>
      </x:c>
      <x:c r="D9" s="75" t="s">
        <x:v>521</x:v>
      </x:c>
      <x:c r="E9" s="75" t="s">
        <x:v>522</x:v>
      </x:c>
      <x:c r="F9" s="75" t="s">
        <x:v>131</x:v>
      </x:c>
      <x:c r="G9" s="75" t="s">
        <x:v>523</x:v>
      </x:c>
      <x:c r="H9" s="75" t="s">
        <x:v>524</x:v>
      </x:c>
      <x:c r="I9" s="75" t="s">
        <x:v>525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</x:row>
    <x:row r="10" ht="45">
      <x:c r="A10" s="75" t="s">
        <x:v>543</x:v>
      </x:c>
      <x:c r="B10" s="75" t="s">
        <x:v>544</x:v>
      </x:c>
      <x:c r="C10" s="75" t="s">
        <x:v>545</x:v>
      </x:c>
      <x:c r="D10" s="75" t="s">
        <x:v>521</x:v>
      </x:c>
      <x:c r="E10" s="75" t="s">
        <x:v>522</x:v>
      </x:c>
      <x:c r="F10" s="75" t="s">
        <x:v>131</x:v>
      </x:c>
      <x:c r="G10" s="75" t="s">
        <x:v>523</x:v>
      </x:c>
      <x:c r="H10" s="75" t="s">
        <x:v>524</x:v>
      </x:c>
      <x:c r="I10" s="75" t="s">
        <x:v>525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</x:row>
    <x:row r="11" ht="60">
      <x:c r="A11" s="75" t="s">
        <x:v>546</x:v>
      </x:c>
      <x:c r="B11" s="75" t="s">
        <x:v>547</x:v>
      </x:c>
      <x:c r="C11" s="75" t="s">
        <x:v>548</x:v>
      </x:c>
      <x:c r="D11" s="75" t="s">
        <x:v>521</x:v>
      </x:c>
      <x:c r="E11" s="75" t="s">
        <x:v>522</x:v>
      </x:c>
      <x:c r="F11" s="75" t="s">
        <x:v>131</x:v>
      </x:c>
      <x:c r="G11" s="75" t="s">
        <x:v>523</x:v>
      </x:c>
      <x:c r="H11" s="75" t="s">
        <x:v>524</x:v>
      </x:c>
      <x:c r="I11" s="75" t="s">
        <x:v>525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</x:row>
    <x:row r="12" ht="60">
      <x:c r="A12" s="75" t="s">
        <x:v>549</x:v>
      </x:c>
      <x:c r="B12" s="75" t="s">
        <x:v>550</x:v>
      </x:c>
      <x:c r="C12" s="75" t="s">
        <x:v>551</x:v>
      </x:c>
      <x:c r="D12" s="75" t="s">
        <x:v>521</x:v>
      </x:c>
      <x:c r="E12" s="75" t="s">
        <x:v>522</x:v>
      </x:c>
      <x:c r="F12" s="75" t="s">
        <x:v>131</x:v>
      </x:c>
      <x:c r="G12" s="75" t="s">
        <x:v>523</x:v>
      </x:c>
      <x:c r="H12" s="75" t="s">
        <x:v>524</x:v>
      </x:c>
      <x:c r="I12" s="75" t="s">
        <x:v>525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</x:row>
    <x:row r="13" ht="60">
      <x:c r="A13" s="75" t="s">
        <x:v>552</x:v>
      </x:c>
      <x:c r="B13" s="75" t="s">
        <x:v>553</x:v>
      </x:c>
      <x:c r="C13" s="75" t="s">
        <x:v>554</x:v>
      </x:c>
      <x:c r="D13" s="75" t="s">
        <x:v>521</x:v>
      </x:c>
      <x:c r="E13" s="75" t="s">
        <x:v>522</x:v>
      </x:c>
      <x:c r="F13" s="75" t="s">
        <x:v>131</x:v>
      </x:c>
      <x:c r="G13" s="75" t="s">
        <x:v>523</x:v>
      </x:c>
      <x:c r="H13" s="75" t="s">
        <x:v>524</x:v>
      </x:c>
      <x:c r="I13" s="75" t="s">
        <x:v>525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</x:row>
    <x:row r="14" ht="60">
      <x:c r="A14" s="75" t="s">
        <x:v>555</x:v>
      </x:c>
      <x:c r="B14" s="75" t="s">
        <x:v>556</x:v>
      </x:c>
      <x:c r="C14" s="75" t="s">
        <x:v>557</x:v>
      </x:c>
      <x:c r="D14" s="75" t="s">
        <x:v>521</x:v>
      </x:c>
      <x:c r="E14" s="75" t="s">
        <x:v>522</x:v>
      </x:c>
      <x:c r="F14" s="75" t="s">
        <x:v>131</x:v>
      </x:c>
      <x:c r="G14" s="75" t="s">
        <x:v>523</x:v>
      </x:c>
      <x:c r="H14" s="75" t="s">
        <x:v>524</x:v>
      </x:c>
      <x:c r="I14" s="75" t="s">
        <x:v>525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</x:row>
    <x:row r="15" ht="60">
      <x:c r="A15" s="75" t="s">
        <x:v>558</x:v>
      </x:c>
      <x:c r="B15" s="75" t="s">
        <x:v>559</x:v>
      </x:c>
      <x:c r="C15" s="75" t="s">
        <x:v>560</x:v>
      </x:c>
      <x:c r="D15" s="75" t="s">
        <x:v>521</x:v>
      </x:c>
      <x:c r="E15" s="75" t="s">
        <x:v>522</x:v>
      </x:c>
      <x:c r="F15" s="75" t="s">
        <x:v>131</x:v>
      </x:c>
      <x:c r="G15" s="75" t="s">
        <x:v>523</x:v>
      </x:c>
      <x:c r="H15" s="75" t="s">
        <x:v>524</x:v>
      </x:c>
      <x:c r="I15" s="75" t="s">
        <x:v>525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</x:row>
    <x:row r="16" ht="75">
      <x:c r="A16" s="75" t="s">
        <x:v>561</x:v>
      </x:c>
      <x:c r="B16" s="75" t="s">
        <x:v>562</x:v>
      </x:c>
      <x:c r="C16" s="75" t="s">
        <x:v>563</x:v>
      </x:c>
      <x:c r="D16" s="75" t="s">
        <x:v>521</x:v>
      </x:c>
      <x:c r="E16" s="75" t="s">
        <x:v>522</x:v>
      </x:c>
      <x:c r="F16" s="75" t="s">
        <x:v>131</x:v>
      </x:c>
      <x:c r="G16" s="75" t="s">
        <x:v>523</x:v>
      </x:c>
      <x:c r="H16" s="75" t="s">
        <x:v>524</x:v>
      </x:c>
      <x:c r="I16" s="75" t="s">
        <x:v>525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</x:row>
    <x:row r="17" ht="75">
      <x:c r="A17" s="75" t="s">
        <x:v>564</x:v>
      </x:c>
      <x:c r="B17" s="75" t="s">
        <x:v>565</x:v>
      </x:c>
      <x:c r="C17" s="75" t="s">
        <x:v>566</x:v>
      </x:c>
      <x:c r="D17" s="75" t="s">
        <x:v>521</x:v>
      </x:c>
      <x:c r="E17" s="75" t="s">
        <x:v>522</x:v>
      </x:c>
      <x:c r="F17" s="75" t="s">
        <x:v>131</x:v>
      </x:c>
      <x:c r="G17" s="75" t="s">
        <x:v>523</x:v>
      </x:c>
      <x:c r="H17" s="75" t="s">
        <x:v>524</x:v>
      </x:c>
      <x:c r="I17" s="75" t="s">
        <x:v>525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</x:row>
    <x:row r="18" ht="60">
      <x:c r="A18" s="75" t="s">
        <x:v>567</x:v>
      </x:c>
      <x:c r="B18" s="75" t="s">
        <x:v>568</x:v>
      </x:c>
      <x:c r="C18" s="75" t="s">
        <x:v>569</x:v>
      </x:c>
      <x:c r="D18" s="75" t="s">
        <x:v>521</x:v>
      </x:c>
      <x:c r="E18" s="75" t="s">
        <x:v>522</x:v>
      </x:c>
      <x:c r="F18" s="75" t="s">
        <x:v>131</x:v>
      </x:c>
      <x:c r="G18" s="75" t="s">
        <x:v>523</x:v>
      </x:c>
      <x:c r="H18" s="75" t="s">
        <x:v>524</x:v>
      </x:c>
      <x:c r="I18" s="75" t="s">
        <x:v>525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</x:row>
    <x:row r="19" ht="75">
      <x:c r="A19" s="75" t="s">
        <x:v>570</x:v>
      </x:c>
      <x:c r="B19" s="75" t="s">
        <x:v>571</x:v>
      </x:c>
      <x:c r="C19" s="75" t="s">
        <x:v>572</x:v>
      </x:c>
      <x:c r="D19" s="75" t="s">
        <x:v>521</x:v>
      </x:c>
      <x:c r="E19" s="75" t="s">
        <x:v>522</x:v>
      </x:c>
      <x:c r="F19" s="75" t="s">
        <x:v>131</x:v>
      </x:c>
      <x:c r="G19" s="75" t="s">
        <x:v>523</x:v>
      </x:c>
      <x:c r="H19" s="75" t="s">
        <x:v>524</x:v>
      </x:c>
      <x:c r="I19" s="75" t="s">
        <x:v>525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</x:row>
    <x:row r="20" ht="75">
      <x:c r="A20" s="75" t="s">
        <x:v>573</x:v>
      </x:c>
      <x:c r="B20" s="75" t="s">
        <x:v>574</x:v>
      </x:c>
      <x:c r="C20" s="75" t="s">
        <x:v>575</x:v>
      </x:c>
      <x:c r="D20" s="75" t="s">
        <x:v>521</x:v>
      </x:c>
      <x:c r="E20" s="75" t="s">
        <x:v>522</x:v>
      </x:c>
      <x:c r="F20" s="75" t="s">
        <x:v>131</x:v>
      </x:c>
      <x:c r="G20" s="75" t="s">
        <x:v>523</x:v>
      </x:c>
      <x:c r="H20" s="75" t="s">
        <x:v>524</x:v>
      </x:c>
      <x:c r="I20" s="75" t="s">
        <x:v>525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</x:row>
    <x:row r="21" ht="60">
      <x:c r="A21" s="75" t="s">
        <x:v>576</x:v>
      </x:c>
      <x:c r="B21" s="75" t="s">
        <x:v>577</x:v>
      </x:c>
      <x:c r="C21" s="75" t="s">
        <x:v>578</x:v>
      </x:c>
      <x:c r="D21" s="75" t="s">
        <x:v>521</x:v>
      </x:c>
      <x:c r="E21" s="75" t="s">
        <x:v>522</x:v>
      </x:c>
      <x:c r="F21" s="75" t="s">
        <x:v>131</x:v>
      </x:c>
      <x:c r="G21" s="75" t="s">
        <x:v>523</x:v>
      </x:c>
      <x:c r="H21" s="75" t="s">
        <x:v>524</x:v>
      </x:c>
      <x:c r="I21" s="75" t="s">
        <x:v>525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</x:row>
    <x:row r="22" ht="60">
      <x:c r="A22" s="75" t="s">
        <x:v>579</x:v>
      </x:c>
      <x:c r="B22" s="75" t="s">
        <x:v>580</x:v>
      </x:c>
      <x:c r="C22" s="75" t="s">
        <x:v>581</x:v>
      </x:c>
      <x:c r="D22" s="75" t="s">
        <x:v>521</x:v>
      </x:c>
      <x:c r="E22" s="75" t="s">
        <x:v>522</x:v>
      </x:c>
      <x:c r="F22" s="75" t="s">
        <x:v>131</x:v>
      </x:c>
      <x:c r="G22" s="75" t="s">
        <x:v>523</x:v>
      </x:c>
      <x:c r="H22" s="75" t="s">
        <x:v>524</x:v>
      </x:c>
      <x:c r="I22" s="75" t="s">
        <x:v>525</x:v>
      </x:c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</x:row>
    <x:row r="23" ht="30">
      <x:c r="A23" s="75" t="s">
        <x:v>582</x:v>
      </x:c>
      <x:c r="B23" s="75" t="s">
        <x:v>583</x:v>
      </x:c>
      <x:c r="C23" s="75" t="s">
        <x:v>584</x:v>
      </x:c>
      <x:c r="D23" s="75" t="s">
        <x:v>521</x:v>
      </x:c>
      <x:c r="E23" s="75" t="s">
        <x:v>522</x:v>
      </x:c>
      <x:c r="F23" s="75" t="s">
        <x:v>131</x:v>
      </x:c>
      <x:c r="G23" s="75" t="s">
        <x:v>523</x:v>
      </x:c>
      <x:c r="H23" s="75" t="s">
        <x:v>524</x:v>
      </x:c>
      <x:c r="I23" s="75" t="s">
        <x:v>525</x:v>
      </x:c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</x:row>
    <x:row r="24">
      <x:c r="A24" s="75" t="s">
        <x:v>585</x:v>
      </x:c>
      <x:c r="B24" s="75" t="s">
        <x:v>586</x:v>
      </x:c>
      <x:c r="C24" s="75" t="s">
        <x:v>587</x:v>
      </x:c>
      <x:c r="D24" s="75" t="s">
        <x:v>521</x:v>
      </x:c>
      <x:c r="E24" s="75" t="s">
        <x:v>522</x:v>
      </x:c>
      <x:c r="F24" s="75" t="s">
        <x:v>131</x:v>
      </x:c>
      <x:c r="G24" s="75" t="s">
        <x:v>523</x:v>
      </x:c>
      <x:c r="H24" s="75" t="s">
        <x:v>524</x:v>
      </x:c>
      <x:c r="I24" s="75" t="s">
        <x:v>525</x:v>
      </x:c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</x:row>
    <x:row r="25" ht="60">
      <x:c r="A25" s="75" t="s">
        <x:v>588</x:v>
      </x:c>
      <x:c r="B25" s="75" t="s">
        <x:v>589</x:v>
      </x:c>
      <x:c r="C25" s="75" t="s">
        <x:v>590</x:v>
      </x:c>
      <x:c r="D25" s="75" t="s">
        <x:v>521</x:v>
      </x:c>
      <x:c r="E25" s="75" t="s">
        <x:v>522</x:v>
      </x:c>
      <x:c r="F25" s="75" t="s">
        <x:v>131</x:v>
      </x:c>
      <x:c r="G25" s="75" t="s">
        <x:v>523</x:v>
      </x:c>
      <x:c r="H25" s="75" t="s">
        <x:v>524</x:v>
      </x:c>
      <x:c r="I25" s="75" t="s">
        <x:v>525</x:v>
      </x:c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</x:row>
    <x:row r="26" ht="45">
      <x:c r="A26" s="75" t="s">
        <x:v>591</x:v>
      </x:c>
      <x:c r="B26" s="75" t="s">
        <x:v>592</x:v>
      </x:c>
      <x:c r="C26" s="75" t="s">
        <x:v>593</x:v>
      </x:c>
      <x:c r="D26" s="75" t="s">
        <x:v>521</x:v>
      </x:c>
      <x:c r="E26" s="75" t="s">
        <x:v>522</x:v>
      </x:c>
      <x:c r="F26" s="75" t="s">
        <x:v>131</x:v>
      </x:c>
      <x:c r="G26" s="75" t="s">
        <x:v>523</x:v>
      </x:c>
      <x:c r="H26" s="75" t="s">
        <x:v>524</x:v>
      </x:c>
      <x:c r="I26" s="75" t="s">
        <x:v>525</x:v>
      </x:c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</x:row>
    <x:row r="27" ht="30">
      <x:c r="A27" s="75" t="s">
        <x:v>594</x:v>
      </x:c>
      <x:c r="B27" s="75" t="s">
        <x:v>595</x:v>
      </x:c>
      <x:c r="C27" s="75" t="s">
        <x:v>596</x:v>
      </x:c>
      <x:c r="D27" s="75" t="s">
        <x:v>521</x:v>
      </x:c>
      <x:c r="E27" s="75" t="s">
        <x:v>522</x:v>
      </x:c>
      <x:c r="F27" s="75" t="s">
        <x:v>131</x:v>
      </x:c>
      <x:c r="G27" s="75" t="s">
        <x:v>523</x:v>
      </x:c>
      <x:c r="H27" s="75" t="s">
        <x:v>524</x:v>
      </x:c>
      <x:c r="I27" s="75" t="s">
        <x:v>525</x:v>
      </x:c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</x:row>
    <x:row r="28" ht="75">
      <x:c r="A28" s="75" t="s">
        <x:v>597</x:v>
      </x:c>
      <x:c r="B28" s="75" t="s">
        <x:v>598</x:v>
      </x:c>
      <x:c r="C28" s="75" t="s">
        <x:v>599</x:v>
      </x:c>
      <x:c r="D28" s="75" t="s">
        <x:v>521</x:v>
      </x:c>
      <x:c r="E28" s="75" t="s">
        <x:v>522</x:v>
      </x:c>
      <x:c r="F28" s="75" t="s">
        <x:v>131</x:v>
      </x:c>
      <x:c r="G28" s="75" t="s">
        <x:v>523</x:v>
      </x:c>
      <x:c r="H28" s="75" t="s">
        <x:v>524</x:v>
      </x:c>
      <x:c r="I28" s="75" t="s">
        <x:v>525</x:v>
      </x:c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</x:row>
    <x:row r="29" ht="60">
      <x:c r="A29" s="75" t="s">
        <x:v>600</x:v>
      </x:c>
      <x:c r="B29" s="75" t="s">
        <x:v>601</x:v>
      </x:c>
      <x:c r="C29" s="75" t="s">
        <x:v>602</x:v>
      </x:c>
      <x:c r="D29" s="75" t="s">
        <x:v>521</x:v>
      </x:c>
      <x:c r="E29" s="75" t="s">
        <x:v>522</x:v>
      </x:c>
      <x:c r="F29" s="75" t="s">
        <x:v>131</x:v>
      </x:c>
      <x:c r="G29" s="75" t="s">
        <x:v>523</x:v>
      </x:c>
      <x:c r="H29" s="75" t="s">
        <x:v>524</x:v>
      </x:c>
      <x:c r="I29" s="75" t="s">
        <x:v>525</x:v>
      </x:c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</x:row>
    <x:row r="30" ht="30">
      <x:c r="A30" s="75" t="s">
        <x:v>603</x:v>
      </x:c>
      <x:c r="B30" s="75" t="s">
        <x:v>604</x:v>
      </x:c>
      <x:c r="C30" s="75" t="s">
        <x:v>605</x:v>
      </x:c>
      <x:c r="D30" s="75" t="s">
        <x:v>521</x:v>
      </x:c>
      <x:c r="E30" s="75" t="s">
        <x:v>522</x:v>
      </x:c>
      <x:c r="F30" s="75" t="s">
        <x:v>131</x:v>
      </x:c>
      <x:c r="G30" s="75" t="s">
        <x:v>523</x:v>
      </x:c>
      <x:c r="H30" s="75" t="s">
        <x:v>524</x:v>
      </x:c>
      <x:c r="I30" s="75" t="s">
        <x:v>525</x:v>
      </x:c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</x:row>
    <x:row r="31" ht="30">
      <x:c r="A31" s="75" t="s">
        <x:v>606</x:v>
      </x:c>
      <x:c r="B31" s="75" t="s">
        <x:v>607</x:v>
      </x:c>
      <x:c r="C31" s="75" t="s">
        <x:v>608</x:v>
      </x:c>
      <x:c r="D31" s="75" t="s">
        <x:v>521</x:v>
      </x:c>
      <x:c r="E31" s="75" t="s">
        <x:v>522</x:v>
      </x:c>
      <x:c r="F31" s="75" t="s">
        <x:v>131</x:v>
      </x:c>
      <x:c r="G31" s="75" t="s">
        <x:v>523</x:v>
      </x:c>
      <x:c r="H31" s="75" t="s">
        <x:v>524</x:v>
      </x:c>
      <x:c r="I31" s="75" t="s">
        <x:v>525</x:v>
      </x:c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</x:row>
    <x:row r="32" ht="30">
      <x:c r="A32" s="75" t="s">
        <x:v>609</x:v>
      </x:c>
      <x:c r="B32" s="75" t="s">
        <x:v>610</x:v>
      </x:c>
      <x:c r="C32" s="75" t="s">
        <x:v>611</x:v>
      </x:c>
      <x:c r="D32" s="75" t="s">
        <x:v>521</x:v>
      </x:c>
      <x:c r="E32" s="75" t="s">
        <x:v>522</x:v>
      </x:c>
      <x:c r="F32" s="75" t="s">
        <x:v>131</x:v>
      </x:c>
      <x:c r="G32" s="75" t="s">
        <x:v>523</x:v>
      </x:c>
      <x:c r="H32" s="75" t="s">
        <x:v>524</x:v>
      </x:c>
      <x:c r="I32" s="75" t="s">
        <x:v>525</x:v>
      </x:c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</x:row>
    <x:row r="33" ht="45">
      <x:c r="A33" s="75" t="s">
        <x:v>612</x:v>
      </x:c>
      <x:c r="B33" s="75" t="s">
        <x:v>613</x:v>
      </x:c>
      <x:c r="C33" s="75" t="s">
        <x:v>614</x:v>
      </x:c>
      <x:c r="D33" s="75" t="s">
        <x:v>521</x:v>
      </x:c>
      <x:c r="E33" s="75" t="s">
        <x:v>522</x:v>
      </x:c>
      <x:c r="F33" s="75" t="s">
        <x:v>131</x:v>
      </x:c>
      <x:c r="G33" s="75" t="s">
        <x:v>523</x:v>
      </x:c>
      <x:c r="H33" s="75" t="s">
        <x:v>524</x:v>
      </x:c>
      <x:c r="I33" s="75" t="s">
        <x:v>525</x:v>
      </x:c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</x:row>
    <x:row r="34" ht="30">
      <x:c r="A34" s="75" t="s">
        <x:v>615</x:v>
      </x:c>
      <x:c r="B34" s="75" t="s">
        <x:v>616</x:v>
      </x:c>
      <x:c r="C34" s="75" t="s">
        <x:v>617</x:v>
      </x:c>
      <x:c r="D34" s="75" t="s">
        <x:v>521</x:v>
      </x:c>
      <x:c r="E34" s="75" t="s">
        <x:v>522</x:v>
      </x:c>
      <x:c r="F34" s="75" t="s">
        <x:v>131</x:v>
      </x:c>
      <x:c r="G34" s="75" t="s">
        <x:v>523</x:v>
      </x:c>
      <x:c r="H34" s="75" t="s">
        <x:v>524</x:v>
      </x:c>
      <x:c r="I34" s="75" t="s">
        <x:v>525</x:v>
      </x:c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</x:row>
    <x:row r="35" ht="45">
      <x:c r="A35" s="75" t="s">
        <x:v>618</x:v>
      </x:c>
      <x:c r="B35" s="75" t="s">
        <x:v>619</x:v>
      </x:c>
      <x:c r="C35" s="75" t="s">
        <x:v>620</x:v>
      </x:c>
      <x:c r="D35" s="75" t="s">
        <x:v>521</x:v>
      </x:c>
      <x:c r="E35" s="75" t="s">
        <x:v>522</x:v>
      </x:c>
      <x:c r="F35" s="75" t="s">
        <x:v>131</x:v>
      </x:c>
      <x:c r="G35" s="75" t="s">
        <x:v>523</x:v>
      </x:c>
      <x:c r="H35" s="75" t="s">
        <x:v>524</x:v>
      </x:c>
      <x:c r="I35" s="75" t="s">
        <x:v>525</x:v>
      </x:c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</x:row>
    <x:row r="36" ht="75">
      <x:c r="A36" s="75" t="s">
        <x:v>621</x:v>
      </x:c>
      <x:c r="B36" s="75" t="s">
        <x:v>622</x:v>
      </x:c>
      <x:c r="C36" s="75" t="s">
        <x:v>623</x:v>
      </x:c>
      <x:c r="D36" s="75" t="s">
        <x:v>521</x:v>
      </x:c>
      <x:c r="E36" s="75" t="s">
        <x:v>522</x:v>
      </x:c>
      <x:c r="F36" s="75" t="s">
        <x:v>131</x:v>
      </x:c>
      <x:c r="G36" s="75" t="s">
        <x:v>523</x:v>
      </x:c>
      <x:c r="H36" s="75" t="s">
        <x:v>524</x:v>
      </x:c>
      <x:c r="I36" s="75" t="s">
        <x:v>525</x:v>
      </x:c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</x:row>
    <x:row r="37" ht="30">
      <x:c r="A37" s="75" t="s">
        <x:v>624</x:v>
      </x:c>
      <x:c r="B37" s="75" t="s">
        <x:v>625</x:v>
      </x:c>
      <x:c r="C37" s="75" t="s">
        <x:v>626</x:v>
      </x:c>
      <x:c r="D37" s="75" t="s">
        <x:v>521</x:v>
      </x:c>
      <x:c r="E37" s="75" t="s">
        <x:v>522</x:v>
      </x:c>
      <x:c r="F37" s="75" t="s">
        <x:v>131</x:v>
      </x:c>
      <x:c r="G37" s="75" t="s">
        <x:v>523</x:v>
      </x:c>
      <x:c r="H37" s="75" t="s">
        <x:v>524</x:v>
      </x:c>
      <x:c r="I37" s="75" t="s">
        <x:v>525</x:v>
      </x:c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</x:row>
    <x:row r="38" ht="60">
      <x:c r="A38" s="75" t="s">
        <x:v>627</x:v>
      </x:c>
      <x:c r="B38" s="75" t="s">
        <x:v>628</x:v>
      </x:c>
      <x:c r="C38" s="75" t="s">
        <x:v>629</x:v>
      </x:c>
      <x:c r="D38" s="75" t="s">
        <x:v>521</x:v>
      </x:c>
      <x:c r="E38" s="75" t="s">
        <x:v>522</x:v>
      </x:c>
      <x:c r="F38" s="75" t="s">
        <x:v>131</x:v>
      </x:c>
      <x:c r="G38" s="75" t="s">
        <x:v>523</x:v>
      </x:c>
      <x:c r="H38" s="75" t="s">
        <x:v>524</x:v>
      </x:c>
      <x:c r="I38" s="75" t="s">
        <x:v>525</x:v>
      </x:c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</x:row>
    <x:row r="39" ht="60">
      <x:c r="A39" s="75" t="s">
        <x:v>630</x:v>
      </x:c>
      <x:c r="B39" s="75" t="s">
        <x:v>631</x:v>
      </x:c>
      <x:c r="C39" s="75" t="s">
        <x:v>632</x:v>
      </x:c>
      <x:c r="D39" s="75" t="s">
        <x:v>521</x:v>
      </x:c>
      <x:c r="E39" s="75" t="s">
        <x:v>522</x:v>
      </x:c>
      <x:c r="F39" s="75" t="s">
        <x:v>131</x:v>
      </x:c>
      <x:c r="G39" s="75" t="s">
        <x:v>523</x:v>
      </x:c>
      <x:c r="H39" s="75" t="s">
        <x:v>524</x:v>
      </x:c>
      <x:c r="I39" s="75" t="s">
        <x:v>525</x:v>
      </x:c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</x:row>
    <x:row r="40" ht="30">
      <x:c r="A40" s="75" t="s">
        <x:v>633</x:v>
      </x:c>
      <x:c r="B40" s="75" t="s">
        <x:v>616</x:v>
      </x:c>
      <x:c r="C40" s="75" t="s">
        <x:v>634</x:v>
      </x:c>
      <x:c r="D40" s="75" t="s">
        <x:v>635</x:v>
      </x:c>
      <x:c r="E40" s="75" t="s">
        <x:v>522</x:v>
      </x:c>
      <x:c r="F40" s="75" t="s">
        <x:v>131</x:v>
      </x:c>
      <x:c r="G40" s="75" t="s">
        <x:v>523</x:v>
      </x:c>
      <x:c r="H40" s="75" t="s">
        <x:v>636</x:v>
      </x:c>
      <x:c r="I40" s="75" t="s">
        <x:v>525</x:v>
      </x:c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</x:row>
    <x:row r="41" ht="45">
      <x:c r="A41" s="75" t="s">
        <x:v>618</x:v>
      </x:c>
      <x:c r="B41" s="75" t="s">
        <x:v>619</x:v>
      </x:c>
      <x:c r="C41" s="75" t="s">
        <x:v>637</x:v>
      </x:c>
      <x:c r="D41" s="75" t="s">
        <x:v>638</x:v>
      </x:c>
      <x:c r="E41" s="75" t="s">
        <x:v>522</x:v>
      </x:c>
      <x:c r="F41" s="75" t="s">
        <x:v>131</x:v>
      </x:c>
      <x:c r="G41" s="75" t="s">
        <x:v>523</x:v>
      </x:c>
      <x:c r="H41" s="75" t="s">
        <x:v>636</x:v>
      </x:c>
      <x:c r="I41" s="75" t="s">
        <x:v>525</x:v>
      </x:c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</x:row>
    <x:row r="42" ht="45">
      <x:c r="A42" s="75" t="s">
        <x:v>639</x:v>
      </x:c>
      <x:c r="B42" s="75" t="s">
        <x:v>640</x:v>
      </x:c>
      <x:c r="C42" s="75" t="s">
        <x:v>641</x:v>
      </x:c>
      <x:c r="D42" s="75" t="s">
        <x:v>642</x:v>
      </x:c>
      <x:c r="E42" s="75" t="s">
        <x:v>522</x:v>
      </x:c>
      <x:c r="F42" s="75" t="s">
        <x:v>131</x:v>
      </x:c>
      <x:c r="G42" s="75" t="s">
        <x:v>523</x:v>
      </x:c>
      <x:c r="H42" s="75" t="s">
        <x:v>643</x:v>
      </x:c>
      <x:c r="I42" s="75" t="s">
        <x:v>525</x:v>
      </x:c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</x:row>
  </x:sheetData>
  <x:mergeCells>
    <x:mergeCell ref="A1:I1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36" hidden="0" customWidth="1"/>
    <x:col min="4" max="4" width="18" hidden="0" customWidth="1"/>
    <x:col min="5" max="5" width="15" hidden="0" customWidth="1"/>
    <x:col min="6" max="6" width="22" hidden="0" customWidth="1"/>
    <x:col min="7" max="7" width="22" hidden="0" customWidth="1"/>
    <x:col min="8" max="8" width="18" hidden="0" customWidth="1"/>
    <x:col min="9" max="9" width="18" hidden="0" customWidth="1"/>
  </x:cols>
  <x:sheetData>
    <x:row r="1" ht="28" customHeight="1">
      <x:c r="A1" s="130" t="str">
        <x:v>Research Sources — alternatives re-verified from first-party sources as of 2026-09-16</x:v>
      </x:c>
      <x:c r="B1" s="130"/>
      <x:c r="C1" s="130"/>
      <x:c r="D1" s="130"/>
      <x:c r="E1" s="130"/>
      <x:c r="F1" s="130"/>
      <x:c r="G1" s="130"/>
      <x:c r="H1" s="130"/>
      <x:c r="I1" s="130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</x:row>
    <x:row r="2" ht="32" customHeight="1">
      <x:c r="A2" s="116" t="s">
        <x:v>169</x:v>
      </x:c>
      <x:c r="B2" s="116" t="s">
        <x:v>510</x:v>
      </x:c>
      <x:c r="C2" s="116" t="s">
        <x:v>644</x:v>
      </x:c>
      <x:c r="D2" s="116" t="s">
        <x:v>512</x:v>
      </x:c>
      <x:c r="E2" s="116" t="s">
        <x:v>645</x:v>
      </x:c>
      <x:c r="F2" s="116" t="s">
        <x:v>514</x:v>
      </x:c>
      <x:c r="G2" s="116" t="s">
        <x:v>515</x:v>
      </x:c>
      <x:c r="H2" s="116" t="s">
        <x:v>516</x:v>
      </x:c>
      <x:c r="I2" s="116" t="s">
        <x:v>517</x:v>
      </x:c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</x:row>
    <x:row r="3" ht="30">
      <x:c r="A3" s="75" t="s">
        <x:v>214</x:v>
      </x:c>
      <x:c r="B3" s="75" t="s">
        <x:v>646</x:v>
      </x:c>
      <x:c r="C3" s="75" t="s">
        <x:v>647</x:v>
      </x:c>
      <x:c r="D3" s="75" t="s">
        <x:v>648</x:v>
      </x:c>
      <x:c r="E3" s="75" t="s">
        <x:v>131</x:v>
      </x:c>
      <x:c r="F3" s="75" t="s">
        <x:v>649</x:v>
      </x:c>
      <x:c r="G3" s="75" t="s">
        <x:v>523</x:v>
      </x:c>
      <x:c r="H3" s="75" t="s">
        <x:v>524</x:v>
      </x:c>
      <x:c r="I3" s="75" t="s">
        <x:v>525</x:v>
      </x:c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</x:row>
    <x:row r="4">
      <x:c r="A4" s="75" t="s">
        <x:v>214</x:v>
      </x:c>
      <x:c r="B4" s="75" t="s">
        <x:v>650</x:v>
      </x:c>
      <x:c r="C4" s="75" t="s">
        <x:v>651</x:v>
      </x:c>
      <x:c r="D4" s="75" t="s">
        <x:v>652</x:v>
      </x:c>
      <x:c r="E4" s="75" t="s">
        <x:v>131</x:v>
      </x:c>
      <x:c r="F4" s="75" t="s">
        <x:v>649</x:v>
      </x:c>
      <x:c r="G4" s="75" t="s">
        <x:v>523</x:v>
      </x:c>
      <x:c r="H4" s="75" t="s">
        <x:v>524</x:v>
      </x:c>
      <x:c r="I4" s="75" t="s">
        <x:v>525</x:v>
      </x:c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</x:row>
    <x:row r="5">
      <x:c r="A5" s="75" t="s">
        <x:v>214</x:v>
      </x:c>
      <x:c r="B5" s="75" t="s">
        <x:v>653</x:v>
      </x:c>
      <x:c r="C5" s="75" t="s">
        <x:v>654</x:v>
      </x:c>
      <x:c r="D5" s="75" t="s">
        <x:v>655</x:v>
      </x:c>
      <x:c r="E5" s="75" t="s">
        <x:v>131</x:v>
      </x:c>
      <x:c r="F5" s="75" t="s">
        <x:v>649</x:v>
      </x:c>
      <x:c r="G5" s="75" t="s">
        <x:v>523</x:v>
      </x:c>
      <x:c r="H5" s="75" t="s">
        <x:v>524</x:v>
      </x:c>
      <x:c r="I5" s="75" t="s">
        <x:v>525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</x:row>
    <x:row r="6">
      <x:c r="A6" s="75" t="s">
        <x:v>214</x:v>
      </x:c>
      <x:c r="B6" s="75" t="s">
        <x:v>656</x:v>
      </x:c>
      <x:c r="C6" s="75" t="s">
        <x:v>657</x:v>
      </x:c>
      <x:c r="D6" s="75" t="s">
        <x:v>658</x:v>
      </x:c>
      <x:c r="E6" s="75" t="s">
        <x:v>131</x:v>
      </x:c>
      <x:c r="F6" s="75" t="s">
        <x:v>649</x:v>
      </x:c>
      <x:c r="G6" s="75" t="s">
        <x:v>523</x:v>
      </x:c>
      <x:c r="H6" s="75" t="s">
        <x:v>524</x:v>
      </x:c>
      <x:c r="I6" s="75" t="s">
        <x:v>525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</x:row>
    <x:row r="7">
      <x:c r="A7" s="75" t="s">
        <x:v>231</x:v>
      </x:c>
      <x:c r="B7" s="75" t="s">
        <x:v>659</x:v>
      </x:c>
      <x:c r="C7" s="75" t="s">
        <x:v>660</x:v>
      </x:c>
      <x:c r="D7" s="75" t="s">
        <x:v>661</x:v>
      </x:c>
      <x:c r="E7" s="75" t="s">
        <x:v>131</x:v>
      </x:c>
      <x:c r="F7" s="75" t="s">
        <x:v>649</x:v>
      </x:c>
      <x:c r="G7" s="75" t="s">
        <x:v>523</x:v>
      </x:c>
      <x:c r="H7" s="75" t="s">
        <x:v>524</x:v>
      </x:c>
      <x:c r="I7" s="75" t="s">
        <x:v>525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</x:row>
    <x:row r="8" ht="30">
      <x:c r="A8" s="75" t="s">
        <x:v>231</x:v>
      </x:c>
      <x:c r="B8" s="75" t="s">
        <x:v>662</x:v>
      </x:c>
      <x:c r="C8" s="75" t="s">
        <x:v>663</x:v>
      </x:c>
      <x:c r="D8" s="75" t="s">
        <x:v>664</x:v>
      </x:c>
      <x:c r="E8" s="75" t="s">
        <x:v>131</x:v>
      </x:c>
      <x:c r="F8" s="75" t="s">
        <x:v>649</x:v>
      </x:c>
      <x:c r="G8" s="75" t="s">
        <x:v>523</x:v>
      </x:c>
      <x:c r="H8" s="75" t="s">
        <x:v>524</x:v>
      </x:c>
      <x:c r="I8" s="75" t="s">
        <x:v>525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</x:row>
    <x:row r="9">
      <x:c r="A9" s="75" t="s">
        <x:v>231</x:v>
      </x:c>
      <x:c r="B9" s="75" t="s">
        <x:v>665</x:v>
      </x:c>
      <x:c r="C9" s="75" t="s">
        <x:v>666</x:v>
      </x:c>
      <x:c r="D9" s="75" t="s">
        <x:v>667</x:v>
      </x:c>
      <x:c r="E9" s="75" t="s">
        <x:v>131</x:v>
      </x:c>
      <x:c r="F9" s="75" t="s">
        <x:v>649</x:v>
      </x:c>
      <x:c r="G9" s="75" t="s">
        <x:v>523</x:v>
      </x:c>
      <x:c r="H9" s="75" t="s">
        <x:v>524</x:v>
      </x:c>
      <x:c r="I9" s="75" t="s">
        <x:v>525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</x:row>
    <x:row r="10">
      <x:c r="A10" s="75" t="s">
        <x:v>247</x:v>
      </x:c>
      <x:c r="B10" s="75" t="s">
        <x:v>668</x:v>
      </x:c>
      <x:c r="C10" s="75" t="s">
        <x:v>255</x:v>
      </x:c>
      <x:c r="D10" s="75" t="s">
        <x:v>669</x:v>
      </x:c>
      <x:c r="E10" s="75" t="s">
        <x:v>131</x:v>
      </x:c>
      <x:c r="F10" s="75" t="s">
        <x:v>649</x:v>
      </x:c>
      <x:c r="G10" s="75" t="s">
        <x:v>523</x:v>
      </x:c>
      <x:c r="H10" s="75" t="s">
        <x:v>524</x:v>
      </x:c>
      <x:c r="I10" s="75" t="s">
        <x:v>525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</x:row>
    <x:row r="11">
      <x:c r="A11" s="75" t="s">
        <x:v>247</x:v>
      </x:c>
      <x:c r="B11" s="75" t="s">
        <x:v>670</x:v>
      </x:c>
      <x:c r="C11" s="75" t="s">
        <x:v>671</x:v>
      </x:c>
      <x:c r="D11" s="75" t="s">
        <x:v>672</x:v>
      </x:c>
      <x:c r="E11" s="75" t="s">
        <x:v>131</x:v>
      </x:c>
      <x:c r="F11" s="75" t="s">
        <x:v>649</x:v>
      </x:c>
      <x:c r="G11" s="75" t="s">
        <x:v>523</x:v>
      </x:c>
      <x:c r="H11" s="75" t="s">
        <x:v>524</x:v>
      </x:c>
      <x:c r="I11" s="75" t="s">
        <x:v>525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</x:row>
    <x:row r="12" ht="30">
      <x:c r="A12" s="75" t="s">
        <x:v>247</x:v>
      </x:c>
      <x:c r="B12" s="75" t="s">
        <x:v>673</x:v>
      </x:c>
      <x:c r="C12" s="75" t="s">
        <x:v>674</x:v>
      </x:c>
      <x:c r="D12" s="75" t="s">
        <x:v>675</x:v>
      </x:c>
      <x:c r="E12" s="75" t="s">
        <x:v>131</x:v>
      </x:c>
      <x:c r="F12" s="75" t="s">
        <x:v>649</x:v>
      </x:c>
      <x:c r="G12" s="75" t="s">
        <x:v>523</x:v>
      </x:c>
      <x:c r="H12" s="75" t="s">
        <x:v>524</x:v>
      </x:c>
      <x:c r="I12" s="75" t="s">
        <x:v>525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</x:row>
    <x:row r="13" ht="30">
      <x:c r="A13" s="75" t="s">
        <x:v>264</x:v>
      </x:c>
      <x:c r="B13" s="75" t="s">
        <x:v>676</x:v>
      </x:c>
      <x:c r="C13" s="75" t="s">
        <x:v>271</x:v>
      </x:c>
      <x:c r="D13" s="75" t="s">
        <x:v>677</x:v>
      </x:c>
      <x:c r="E13" s="75" t="s">
        <x:v>131</x:v>
      </x:c>
      <x:c r="F13" s="75" t="s">
        <x:v>649</x:v>
      </x:c>
      <x:c r="G13" s="75" t="s">
        <x:v>523</x:v>
      </x:c>
      <x:c r="H13" s="75" t="s">
        <x:v>524</x:v>
      </x:c>
      <x:c r="I13" s="75" t="s">
        <x:v>525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</x:row>
    <x:row r="14" ht="30">
      <x:c r="A14" s="75" t="s">
        <x:v>264</x:v>
      </x:c>
      <x:c r="B14" s="75" t="s">
        <x:v>678</x:v>
      </x:c>
      <x:c r="C14" s="75" t="s">
        <x:v>679</x:v>
      </x:c>
      <x:c r="D14" s="75" t="s">
        <x:v>680</x:v>
      </x:c>
      <x:c r="E14" s="75" t="s">
        <x:v>131</x:v>
      </x:c>
      <x:c r="F14" s="75" t="s">
        <x:v>649</x:v>
      </x:c>
      <x:c r="G14" s="75" t="s">
        <x:v>523</x:v>
      </x:c>
      <x:c r="H14" s="75" t="s">
        <x:v>524</x:v>
      </x:c>
      <x:c r="I14" s="75" t="s">
        <x:v>525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</x:row>
    <x:row r="15">
      <x:c r="A15" s="75" t="s">
        <x:v>264</x:v>
      </x:c>
      <x:c r="B15" s="75" t="s">
        <x:v>681</x:v>
      </x:c>
      <x:c r="C15" s="75" t="s">
        <x:v>682</x:v>
      </x:c>
      <x:c r="D15" s="75" t="s">
        <x:v>683</x:v>
      </x:c>
      <x:c r="E15" s="75" t="s">
        <x:v>131</x:v>
      </x:c>
      <x:c r="F15" s="75" t="s">
        <x:v>649</x:v>
      </x:c>
      <x:c r="G15" s="75" t="s">
        <x:v>523</x:v>
      </x:c>
      <x:c r="H15" s="75" t="s">
        <x:v>524</x:v>
      </x:c>
      <x:c r="I15" s="75" t="s">
        <x:v>525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</x:row>
    <x:row r="16">
      <x:c r="A16" s="75" t="s">
        <x:v>264</x:v>
      </x:c>
      <x:c r="B16" s="75" t="s">
        <x:v>684</x:v>
      </x:c>
      <x:c r="C16" s="75" t="s">
        <x:v>685</x:v>
      </x:c>
      <x:c r="D16" s="75" t="s">
        <x:v>686</x:v>
      </x:c>
      <x:c r="E16" s="75" t="s">
        <x:v>131</x:v>
      </x:c>
      <x:c r="F16" s="75" t="s">
        <x:v>649</x:v>
      </x:c>
      <x:c r="G16" s="75" t="s">
        <x:v>523</x:v>
      </x:c>
      <x:c r="H16" s="75" t="s">
        <x:v>524</x:v>
      </x:c>
      <x:c r="I16" s="75" t="s">
        <x:v>525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</x:row>
    <x:row r="17">
      <x:c r="A17" s="75" t="s">
        <x:v>264</x:v>
      </x:c>
      <x:c r="B17" s="75" t="s">
        <x:v>687</x:v>
      </x:c>
      <x:c r="C17" s="75" t="s">
        <x:v>688</x:v>
      </x:c>
      <x:c r="D17" s="75" t="s">
        <x:v>689</x:v>
      </x:c>
      <x:c r="E17" s="75" t="s">
        <x:v>131</x:v>
      </x:c>
      <x:c r="F17" s="75" t="s">
        <x:v>649</x:v>
      </x:c>
      <x:c r="G17" s="75" t="s">
        <x:v>523</x:v>
      </x:c>
      <x:c r="H17" s="75" t="s">
        <x:v>524</x:v>
      </x:c>
      <x:c r="I17" s="75" t="s">
        <x:v>525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</x:row>
    <x:row r="18">
      <x:c r="A18" s="75" t="s">
        <x:v>97</x:v>
      </x:c>
      <x:c r="B18" s="75" t="s">
        <x:v>690</x:v>
      </x:c>
      <x:c r="C18" s="75" t="s">
        <x:v>691</x:v>
      </x:c>
      <x:c r="D18" s="75" t="s">
        <x:v>692</x:v>
      </x:c>
      <x:c r="E18" s="75" t="s">
        <x:v>131</x:v>
      </x:c>
      <x:c r="F18" s="75" t="s">
        <x:v>649</x:v>
      </x:c>
      <x:c r="G18" s="75" t="s">
        <x:v>523</x:v>
      </x:c>
      <x:c r="H18" s="75" t="s">
        <x:v>524</x:v>
      </x:c>
      <x:c r="I18" s="75" t="s">
        <x:v>525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</x:row>
    <x:row r="19">
      <x:c r="A19" s="75" t="s">
        <x:v>97</x:v>
      </x:c>
      <x:c r="B19" s="75" t="s">
        <x:v>693</x:v>
      </x:c>
      <x:c r="C19" s="75" t="s">
        <x:v>694</x:v>
      </x:c>
      <x:c r="D19" s="75" t="s">
        <x:v>695</x:v>
      </x:c>
      <x:c r="E19" s="75" t="s">
        <x:v>131</x:v>
      </x:c>
      <x:c r="F19" s="75" t="s">
        <x:v>649</x:v>
      </x:c>
      <x:c r="G19" s="75" t="s">
        <x:v>523</x:v>
      </x:c>
      <x:c r="H19" s="75" t="s">
        <x:v>524</x:v>
      </x:c>
      <x:c r="I19" s="75" t="s">
        <x:v>525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</x:row>
    <x:row r="20">
      <x:c r="A20" s="75" t="s">
        <x:v>97</x:v>
      </x:c>
      <x:c r="B20" s="75" t="s">
        <x:v>696</x:v>
      </x:c>
      <x:c r="C20" s="75" t="s">
        <x:v>697</x:v>
      </x:c>
      <x:c r="D20" s="75" t="s">
        <x:v>698</x:v>
      </x:c>
      <x:c r="E20" s="75" t="s">
        <x:v>131</x:v>
      </x:c>
      <x:c r="F20" s="75" t="s">
        <x:v>649</x:v>
      </x:c>
      <x:c r="G20" s="75" t="s">
        <x:v>523</x:v>
      </x:c>
      <x:c r="H20" s="75" t="s">
        <x:v>524</x:v>
      </x:c>
      <x:c r="I20" s="75" t="s">
        <x:v>525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</x:row>
    <x:row r="21">
      <x:c r="A21" s="75" t="s">
        <x:v>298</x:v>
      </x:c>
      <x:c r="B21" s="75" t="s">
        <x:v>699</x:v>
      </x:c>
      <x:c r="C21" s="75" t="s">
        <x:v>700</x:v>
      </x:c>
      <x:c r="D21" s="75" t="s">
        <x:v>701</x:v>
      </x:c>
      <x:c r="E21" s="75" t="s">
        <x:v>131</x:v>
      </x:c>
      <x:c r="F21" s="75" t="s">
        <x:v>649</x:v>
      </x:c>
      <x:c r="G21" s="75" t="s">
        <x:v>523</x:v>
      </x:c>
      <x:c r="H21" s="75" t="s">
        <x:v>524</x:v>
      </x:c>
      <x:c r="I21" s="75" t="s">
        <x:v>525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</x:row>
    <x:row r="22">
      <x:c r="A22" s="75" t="s">
        <x:v>298</x:v>
      </x:c>
      <x:c r="B22" s="75" t="s">
        <x:v>702</x:v>
      </x:c>
      <x:c r="C22" s="75" t="s">
        <x:v>703</x:v>
      </x:c>
      <x:c r="D22" s="75" t="s">
        <x:v>704</x:v>
      </x:c>
      <x:c r="E22" s="75" t="s">
        <x:v>131</x:v>
      </x:c>
      <x:c r="F22" s="75" t="s">
        <x:v>649</x:v>
      </x:c>
      <x:c r="G22" s="75" t="s">
        <x:v>523</x:v>
      </x:c>
      <x:c r="H22" s="75" t="s">
        <x:v>524</x:v>
      </x:c>
      <x:c r="I22" s="75" t="s">
        <x:v>525</x:v>
      </x:c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</x:row>
    <x:row r="23">
      <x:c r="A23" s="75" t="s">
        <x:v>298</x:v>
      </x:c>
      <x:c r="B23" s="75" t="s">
        <x:v>705</x:v>
      </x:c>
      <x:c r="C23" s="75" t="s">
        <x:v>706</x:v>
      </x:c>
      <x:c r="D23" s="75" t="s">
        <x:v>707</x:v>
      </x:c>
      <x:c r="E23" s="75" t="s">
        <x:v>131</x:v>
      </x:c>
      <x:c r="F23" s="75" t="s">
        <x:v>649</x:v>
      </x:c>
      <x:c r="G23" s="75" t="s">
        <x:v>523</x:v>
      </x:c>
      <x:c r="H23" s="75" t="s">
        <x:v>524</x:v>
      </x:c>
      <x:c r="I23" s="75" t="s">
        <x:v>525</x:v>
      </x:c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</x:row>
    <x:row r="24">
      <x:c r="A24" s="75" t="s">
        <x:v>305</x:v>
      </x:c>
      <x:c r="B24" s="75" t="s">
        <x:v>708</x:v>
      </x:c>
      <x:c r="C24" s="75" t="s">
        <x:v>709</x:v>
      </x:c>
      <x:c r="D24" s="75" t="s">
        <x:v>710</x:v>
      </x:c>
      <x:c r="E24" s="75" t="s">
        <x:v>131</x:v>
      </x:c>
      <x:c r="F24" s="75" t="s">
        <x:v>649</x:v>
      </x:c>
      <x:c r="G24" s="75" t="s">
        <x:v>523</x:v>
      </x:c>
      <x:c r="H24" s="75" t="s">
        <x:v>524</x:v>
      </x:c>
      <x:c r="I24" s="75" t="s">
        <x:v>525</x:v>
      </x:c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</x:row>
    <x:row r="25">
      <x:c r="A25" s="75" t="s">
        <x:v>309</x:v>
      </x:c>
      <x:c r="B25" s="75" t="s">
        <x:v>711</x:v>
      </x:c>
      <x:c r="C25" s="75" t="s">
        <x:v>712</x:v>
      </x:c>
      <x:c r="D25" s="75" t="s">
        <x:v>713</x:v>
      </x:c>
      <x:c r="E25" s="75" t="s">
        <x:v>131</x:v>
      </x:c>
      <x:c r="F25" s="75" t="s">
        <x:v>649</x:v>
      </x:c>
      <x:c r="G25" s="75" t="s">
        <x:v>523</x:v>
      </x:c>
      <x:c r="H25" s="75" t="s">
        <x:v>524</x:v>
      </x:c>
      <x:c r="I25" s="75" t="s">
        <x:v>525</x:v>
      </x:c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</x:row>
    <x:row r="26">
      <x:c r="A26" s="75" t="s">
        <x:v>320</x:v>
      </x:c>
      <x:c r="B26" s="75" t="s">
        <x:v>714</x:v>
      </x:c>
      <x:c r="C26" s="75" t="s">
        <x:v>715</x:v>
      </x:c>
      <x:c r="D26" s="75" t="s">
        <x:v>716</x:v>
      </x:c>
      <x:c r="E26" s="75" t="s">
        <x:v>131</x:v>
      </x:c>
      <x:c r="F26" s="75" t="s">
        <x:v>649</x:v>
      </x:c>
      <x:c r="G26" s="75" t="s">
        <x:v>523</x:v>
      </x:c>
      <x:c r="H26" s="75" t="s">
        <x:v>524</x:v>
      </x:c>
      <x:c r="I26" s="75" t="s">
        <x:v>525</x:v>
      </x:c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</x:row>
    <x:row r="27">
      <x:c r="A27" s="75" t="s">
        <x:v>335</x:v>
      </x:c>
      <x:c r="B27" s="75" t="s">
        <x:v>717</x:v>
      </x:c>
      <x:c r="C27" s="75" t="s">
        <x:v>337</x:v>
      </x:c>
      <x:c r="D27" s="75" t="s">
        <x:v>718</x:v>
      </x:c>
      <x:c r="E27" s="75" t="s">
        <x:v>131</x:v>
      </x:c>
      <x:c r="F27" s="75" t="s">
        <x:v>649</x:v>
      </x:c>
      <x:c r="G27" s="75" t="s">
        <x:v>523</x:v>
      </x:c>
      <x:c r="H27" s="75" t="s">
        <x:v>524</x:v>
      </x:c>
      <x:c r="I27" s="75" t="s">
        <x:v>525</x:v>
      </x:c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</x:row>
    <x:row r="28">
      <x:c r="A28" s="75" t="s">
        <x:v>335</x:v>
      </x:c>
      <x:c r="B28" s="75" t="s">
        <x:v>708</x:v>
      </x:c>
      <x:c r="C28" s="75" t="s">
        <x:v>719</x:v>
      </x:c>
      <x:c r="D28" s="75" t="s">
        <x:v>720</x:v>
      </x:c>
      <x:c r="E28" s="75" t="s">
        <x:v>131</x:v>
      </x:c>
      <x:c r="F28" s="75" t="s">
        <x:v>649</x:v>
      </x:c>
      <x:c r="G28" s="75" t="s">
        <x:v>523</x:v>
      </x:c>
      <x:c r="H28" s="75" t="s">
        <x:v>524</x:v>
      </x:c>
      <x:c r="I28" s="75" t="s">
        <x:v>525</x:v>
      </x:c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</x:row>
    <x:row r="29">
      <x:c r="A29" s="75" t="s">
        <x:v>351</x:v>
      </x:c>
      <x:c r="B29" s="75" t="s">
        <x:v>708</x:v>
      </x:c>
      <x:c r="C29" s="75" t="s">
        <x:v>721</x:v>
      </x:c>
      <x:c r="D29" s="75" t="s">
        <x:v>722</x:v>
      </x:c>
      <x:c r="E29" s="75" t="s">
        <x:v>131</x:v>
      </x:c>
      <x:c r="F29" s="75" t="s">
        <x:v>649</x:v>
      </x:c>
      <x:c r="G29" s="75" t="s">
        <x:v>523</x:v>
      </x:c>
      <x:c r="H29" s="75" t="s">
        <x:v>524</x:v>
      </x:c>
      <x:c r="I29" s="75" t="s">
        <x:v>525</x:v>
      </x:c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</x:row>
    <x:row r="30" ht="30">
      <x:c r="A30" s="75" t="s">
        <x:v>351</x:v>
      </x:c>
      <x:c r="B30" s="75" t="s">
        <x:v>723</x:v>
      </x:c>
      <x:c r="C30" s="75" t="s">
        <x:v>724</x:v>
      </x:c>
      <x:c r="D30" s="75" t="s">
        <x:v>725</x:v>
      </x:c>
      <x:c r="E30" s="75" t="s">
        <x:v>131</x:v>
      </x:c>
      <x:c r="F30" s="75" t="s">
        <x:v>649</x:v>
      </x:c>
      <x:c r="G30" s="75" t="s">
        <x:v>523</x:v>
      </x:c>
      <x:c r="H30" s="75" t="s">
        <x:v>524</x:v>
      </x:c>
      <x:c r="I30" s="75" t="s">
        <x:v>525</x:v>
      </x:c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</x:row>
    <x:row r="31" ht="30">
      <x:c r="A31" s="75" t="s">
        <x:v>364</x:v>
      </x:c>
      <x:c r="B31" s="75" t="s">
        <x:v>726</x:v>
      </x:c>
      <x:c r="C31" s="75" t="s">
        <x:v>727</x:v>
      </x:c>
      <x:c r="D31" s="75" t="s">
        <x:v>728</x:v>
      </x:c>
      <x:c r="E31" s="75" t="s">
        <x:v>131</x:v>
      </x:c>
      <x:c r="F31" s="75" t="s">
        <x:v>649</x:v>
      </x:c>
      <x:c r="G31" s="75" t="s">
        <x:v>523</x:v>
      </x:c>
      <x:c r="H31" s="75" t="s">
        <x:v>524</x:v>
      </x:c>
      <x:c r="I31" s="75" t="s">
        <x:v>525</x:v>
      </x:c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</x:row>
    <x:row r="32">
      <x:c r="A32" s="75" t="s">
        <x:v>364</x:v>
      </x:c>
      <x:c r="B32" s="75" t="s">
        <x:v>729</x:v>
      </x:c>
      <x:c r="C32" s="75" t="s">
        <x:v>730</x:v>
      </x:c>
      <x:c r="D32" s="75" t="s">
        <x:v>731</x:v>
      </x:c>
      <x:c r="E32" s="75" t="s">
        <x:v>131</x:v>
      </x:c>
      <x:c r="F32" s="75" t="s">
        <x:v>649</x:v>
      </x:c>
      <x:c r="G32" s="75" t="s">
        <x:v>523</x:v>
      </x:c>
      <x:c r="H32" s="75" t="s">
        <x:v>524</x:v>
      </x:c>
      <x:c r="I32" s="75" t="s">
        <x:v>525</x:v>
      </x:c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</x:row>
    <x:row r="33">
      <x:c r="A33" s="75" t="s">
        <x:v>378</x:v>
      </x:c>
      <x:c r="B33" s="75" t="s">
        <x:v>732</x:v>
      </x:c>
      <x:c r="C33" s="75" t="s">
        <x:v>380</x:v>
      </x:c>
      <x:c r="D33" s="75" t="s">
        <x:v>733</x:v>
      </x:c>
      <x:c r="E33" s="75" t="s">
        <x:v>131</x:v>
      </x:c>
      <x:c r="F33" s="75" t="s">
        <x:v>649</x:v>
      </x:c>
      <x:c r="G33" s="75" t="s">
        <x:v>523</x:v>
      </x:c>
      <x:c r="H33" s="75" t="s">
        <x:v>524</x:v>
      </x:c>
      <x:c r="I33" s="75" t="s">
        <x:v>525</x:v>
      </x:c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</x:row>
    <x:row r="34">
      <x:c r="A34" s="75" t="s">
        <x:v>378</x:v>
      </x:c>
      <x:c r="B34" s="75" t="s">
        <x:v>734</x:v>
      </x:c>
      <x:c r="C34" s="75" t="s">
        <x:v>735</x:v>
      </x:c>
      <x:c r="D34" s="75" t="s">
        <x:v>736</x:v>
      </x:c>
      <x:c r="E34" s="75" t="s">
        <x:v>131</x:v>
      </x:c>
      <x:c r="F34" s="75" t="s">
        <x:v>649</x:v>
      </x:c>
      <x:c r="G34" s="75" t="s">
        <x:v>523</x:v>
      </x:c>
      <x:c r="H34" s="75" t="s">
        <x:v>524</x:v>
      </x:c>
      <x:c r="I34" s="75" t="s">
        <x:v>525</x:v>
      </x:c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</x:row>
    <x:row r="35">
      <x:c r="A35" s="75" t="s">
        <x:v>382</x:v>
      </x:c>
      <x:c r="B35" s="75" t="s">
        <x:v>732</x:v>
      </x:c>
      <x:c r="C35" s="75" t="s">
        <x:v>737</x:v>
      </x:c>
      <x:c r="D35" s="75" t="s">
        <x:v>738</x:v>
      </x:c>
      <x:c r="E35" s="75" t="s">
        <x:v>131</x:v>
      </x:c>
      <x:c r="F35" s="75" t="s">
        <x:v>649</x:v>
      </x:c>
      <x:c r="G35" s="75" t="s">
        <x:v>523</x:v>
      </x:c>
      <x:c r="H35" s="75" t="s">
        <x:v>524</x:v>
      </x:c>
      <x:c r="I35" s="75" t="s">
        <x:v>525</x:v>
      </x:c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</x:row>
    <x:row r="36">
      <x:c r="A36" s="75" t="s">
        <x:v>382</x:v>
      </x:c>
      <x:c r="B36" s="75" t="s">
        <x:v>739</x:v>
      </x:c>
      <x:c r="C36" s="75" t="s">
        <x:v>387</x:v>
      </x:c>
      <x:c r="D36" s="75" t="s">
        <x:v>740</x:v>
      </x:c>
      <x:c r="E36" s="75" t="s">
        <x:v>131</x:v>
      </x:c>
      <x:c r="F36" s="75" t="s">
        <x:v>649</x:v>
      </x:c>
      <x:c r="G36" s="75" t="s">
        <x:v>523</x:v>
      </x:c>
      <x:c r="H36" s="75" t="s">
        <x:v>524</x:v>
      </x:c>
      <x:c r="I36" s="75" t="s">
        <x:v>525</x:v>
      </x:c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</x:row>
    <x:row r="37">
      <x:c r="A37" s="75" t="s">
        <x:v>392</x:v>
      </x:c>
      <x:c r="B37" s="75" t="s">
        <x:v>732</x:v>
      </x:c>
      <x:c r="C37" s="75" t="s">
        <x:v>741</x:v>
      </x:c>
      <x:c r="D37" s="75" t="s">
        <x:v>742</x:v>
      </x:c>
      <x:c r="E37" s="75" t="s">
        <x:v>131</x:v>
      </x:c>
      <x:c r="F37" s="75" t="s">
        <x:v>649</x:v>
      </x:c>
      <x:c r="G37" s="75" t="s">
        <x:v>523</x:v>
      </x:c>
      <x:c r="H37" s="75" t="s">
        <x:v>524</x:v>
      </x:c>
      <x:c r="I37" s="75" t="s">
        <x:v>525</x:v>
      </x:c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</x:row>
    <x:row r="38" ht="30">
      <x:c r="A38" s="75" t="s">
        <x:v>409</x:v>
      </x:c>
      <x:c r="B38" s="75" t="s">
        <x:v>743</x:v>
      </x:c>
      <x:c r="C38" s="75" t="s">
        <x:v>744</x:v>
      </x:c>
      <x:c r="D38" s="75" t="s">
        <x:v>745</x:v>
      </x:c>
      <x:c r="E38" s="75" t="s">
        <x:v>131</x:v>
      </x:c>
      <x:c r="F38" s="75" t="s">
        <x:v>649</x:v>
      </x:c>
      <x:c r="G38" s="75" t="s">
        <x:v>523</x:v>
      </x:c>
      <x:c r="H38" s="75" t="s">
        <x:v>524</x:v>
      </x:c>
      <x:c r="I38" s="75" t="s">
        <x:v>525</x:v>
      </x:c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</x:row>
    <x:row r="39">
      <x:c r="A39" s="75" t="s">
        <x:v>413</x:v>
      </x:c>
      <x:c r="B39" s="75" t="s">
        <x:v>746</x:v>
      </x:c>
      <x:c r="C39" s="75" t="s">
        <x:v>747</x:v>
      </x:c>
      <x:c r="D39" s="75" t="s">
        <x:v>748</x:v>
      </x:c>
      <x:c r="E39" s="75" t="s">
        <x:v>131</x:v>
      </x:c>
      <x:c r="F39" s="75" t="s">
        <x:v>649</x:v>
      </x:c>
      <x:c r="G39" s="75" t="s">
        <x:v>523</x:v>
      </x:c>
      <x:c r="H39" s="75" t="s">
        <x:v>524</x:v>
      </x:c>
      <x:c r="I39" s="75" t="s">
        <x:v>525</x:v>
      </x:c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</x:row>
    <x:row r="40">
      <x:c r="A40" s="75" t="s">
        <x:v>413</x:v>
      </x:c>
      <x:c r="B40" s="75" t="s">
        <x:v>734</x:v>
      </x:c>
      <x:c r="C40" s="75" t="s">
        <x:v>749</x:v>
      </x:c>
      <x:c r="D40" s="75" t="s">
        <x:v>750</x:v>
      </x:c>
      <x:c r="E40" s="75" t="s">
        <x:v>131</x:v>
      </x:c>
      <x:c r="F40" s="75" t="s">
        <x:v>649</x:v>
      </x:c>
      <x:c r="G40" s="75" t="s">
        <x:v>523</x:v>
      </x:c>
      <x:c r="H40" s="75" t="s">
        <x:v>524</x:v>
      </x:c>
      <x:c r="I40" s="75" t="s">
        <x:v>525</x:v>
      </x:c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</x:row>
    <x:row r="41">
      <x:c r="A41" s="75" t="s">
        <x:v>417</x:v>
      </x:c>
      <x:c r="B41" s="75" t="s">
        <x:v>732</x:v>
      </x:c>
      <x:c r="C41" s="75" t="s">
        <x:v>751</x:v>
      </x:c>
      <x:c r="D41" s="75" t="s">
        <x:v>752</x:v>
      </x:c>
      <x:c r="E41" s="75" t="s">
        <x:v>131</x:v>
      </x:c>
      <x:c r="F41" s="75" t="s">
        <x:v>649</x:v>
      </x:c>
      <x:c r="G41" s="75" t="s">
        <x:v>523</x:v>
      </x:c>
      <x:c r="H41" s="75" t="s">
        <x:v>524</x:v>
      </x:c>
      <x:c r="I41" s="75" t="s">
        <x:v>525</x:v>
      </x:c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</x:row>
    <x:row r="42">
      <x:c r="A42" s="75" t="s">
        <x:v>417</x:v>
      </x:c>
      <x:c r="B42" s="75" t="s">
        <x:v>739</x:v>
      </x:c>
      <x:c r="C42" s="75" t="s">
        <x:v>422</x:v>
      </x:c>
      <x:c r="D42" s="75" t="s">
        <x:v>753</x:v>
      </x:c>
      <x:c r="E42" s="75" t="s">
        <x:v>131</x:v>
      </x:c>
      <x:c r="F42" s="75" t="s">
        <x:v>649</x:v>
      </x:c>
      <x:c r="G42" s="75" t="s">
        <x:v>523</x:v>
      </x:c>
      <x:c r="H42" s="75" t="s">
        <x:v>524</x:v>
      </x:c>
      <x:c r="I42" s="75" t="s">
        <x:v>525</x:v>
      </x:c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</x:row>
    <x:row r="43">
      <x:c r="A43" s="75" t="s">
        <x:v>428</x:v>
      </x:c>
      <x:c r="B43" s="75" t="s">
        <x:v>732</x:v>
      </x:c>
      <x:c r="C43" s="75" t="s">
        <x:v>754</x:v>
      </x:c>
      <x:c r="D43" s="75" t="s">
        <x:v>755</x:v>
      </x:c>
      <x:c r="E43" s="75" t="s">
        <x:v>131</x:v>
      </x:c>
      <x:c r="F43" s="75" t="s">
        <x:v>649</x:v>
      </x:c>
      <x:c r="G43" s="75" t="s">
        <x:v>523</x:v>
      </x:c>
      <x:c r="H43" s="75" t="s">
        <x:v>524</x:v>
      </x:c>
      <x:c r="I43" s="75" t="s">
        <x:v>525</x:v>
      </x:c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</x:row>
    <x:row r="44">
      <x:c r="A44" s="75" t="s">
        <x:v>428</x:v>
      </x:c>
      <x:c r="B44" s="75" t="s">
        <x:v>739</x:v>
      </x:c>
      <x:c r="C44" s="75" t="s">
        <x:v>433</x:v>
      </x:c>
      <x:c r="D44" s="75" t="s">
        <x:v>756</x:v>
      </x:c>
      <x:c r="E44" s="75" t="s">
        <x:v>131</x:v>
      </x:c>
      <x:c r="F44" s="75" t="s">
        <x:v>649</x:v>
      </x:c>
      <x:c r="G44" s="75" t="s">
        <x:v>523</x:v>
      </x:c>
      <x:c r="H44" s="75" t="s">
        <x:v>524</x:v>
      </x:c>
      <x:c r="I44" s="75" t="s">
        <x:v>525</x:v>
      </x:c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</x:row>
    <x:row r="45">
      <x:c r="A45" s="75" t="s">
        <x:v>757</x:v>
      </x:c>
      <x:c r="B45" s="75" t="s">
        <x:v>758</x:v>
      </x:c>
      <x:c r="C45" s="75" t="s">
        <x:v>759</x:v>
      </x:c>
      <x:c r="D45" s="75" t="s">
        <x:v>760</x:v>
      </x:c>
      <x:c r="E45" s="75" t="s">
        <x:v>131</x:v>
      </x:c>
      <x:c r="F45" s="75" t="s">
        <x:v>649</x:v>
      </x:c>
      <x:c r="G45" s="75" t="s">
        <x:v>523</x:v>
      </x:c>
      <x:c r="H45" s="75" t="s">
        <x:v>524</x:v>
      </x:c>
      <x:c r="I45" s="75" t="s">
        <x:v>525</x:v>
      </x:c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</x:row>
    <x:row r="46">
      <x:c r="A46" s="75" t="s">
        <x:v>445</x:v>
      </x:c>
      <x:c r="B46" s="75" t="s">
        <x:v>734</x:v>
      </x:c>
      <x:c r="C46" s="75" t="s">
        <x:v>761</x:v>
      </x:c>
      <x:c r="D46" s="75" t="s">
        <x:v>762</x:v>
      </x:c>
      <x:c r="E46" s="75" t="s">
        <x:v>131</x:v>
      </x:c>
      <x:c r="F46" s="75" t="s">
        <x:v>649</x:v>
      </x:c>
      <x:c r="G46" s="75" t="s">
        <x:v>523</x:v>
      </x:c>
      <x:c r="H46" s="75" t="s">
        <x:v>524</x:v>
      </x:c>
      <x:c r="I46" s="75" t="s">
        <x:v>525</x:v>
      </x:c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</x:row>
    <x:row r="47">
      <x:c r="A47" s="75" t="s">
        <x:v>448</x:v>
      </x:c>
      <x:c r="B47" s="75" t="s">
        <x:v>734</x:v>
      </x:c>
      <x:c r="C47" s="75" t="s">
        <x:v>450</x:v>
      </x:c>
      <x:c r="D47" s="75" t="s">
        <x:v>763</x:v>
      </x:c>
      <x:c r="E47" s="75" t="s">
        <x:v>131</x:v>
      </x:c>
      <x:c r="F47" s="75" t="s">
        <x:v>649</x:v>
      </x:c>
      <x:c r="G47" s="75" t="s">
        <x:v>523</x:v>
      </x:c>
      <x:c r="H47" s="75" t="s">
        <x:v>524</x:v>
      </x:c>
      <x:c r="I47" s="75" t="s">
        <x:v>525</x:v>
      </x:c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</x:row>
    <x:row r="48">
      <x:c r="A48" s="75" t="s">
        <x:v>452</x:v>
      </x:c>
      <x:c r="B48" s="75" t="s">
        <x:v>734</x:v>
      </x:c>
      <x:c r="C48" s="75" t="s">
        <x:v>454</x:v>
      </x:c>
      <x:c r="D48" s="75" t="s">
        <x:v>764</x:v>
      </x:c>
      <x:c r="E48" s="75" t="s">
        <x:v>131</x:v>
      </x:c>
      <x:c r="F48" s="75" t="s">
        <x:v>649</x:v>
      </x:c>
      <x:c r="G48" s="75" t="s">
        <x:v>523</x:v>
      </x:c>
      <x:c r="H48" s="75" t="s">
        <x:v>524</x:v>
      </x:c>
      <x:c r="I48" s="75" t="s">
        <x:v>525</x:v>
      </x:c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</x:row>
    <x:row r="49" ht="30">
      <x:c r="A49" s="75" t="s">
        <x:v>452</x:v>
      </x:c>
      <x:c r="B49" s="75" t="s">
        <x:v>765</x:v>
      </x:c>
      <x:c r="C49" s="75" t="s">
        <x:v>766</x:v>
      </x:c>
      <x:c r="D49" s="75" t="s">
        <x:v>767</x:v>
      </x:c>
      <x:c r="E49" s="75" t="s">
        <x:v>131</x:v>
      </x:c>
      <x:c r="F49" s="75" t="s">
        <x:v>649</x:v>
      </x:c>
      <x:c r="G49" s="75" t="s">
        <x:v>523</x:v>
      </x:c>
      <x:c r="H49" s="75" t="s">
        <x:v>524</x:v>
      </x:c>
      <x:c r="I49" s="75" t="s">
        <x:v>525</x:v>
      </x:c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</x:row>
    <x:row r="50">
      <x:c r="A50" s="75" t="s">
        <x:v>456</x:v>
      </x:c>
      <x:c r="B50" s="75" t="s">
        <x:v>768</x:v>
      </x:c>
      <x:c r="C50" s="75" t="s">
        <x:v>769</x:v>
      </x:c>
      <x:c r="D50" s="75" t="s">
        <x:v>770</x:v>
      </x:c>
      <x:c r="E50" s="75" t="s">
        <x:v>131</x:v>
      </x:c>
      <x:c r="F50" s="75" t="s">
        <x:v>649</x:v>
      </x:c>
      <x:c r="G50" s="75" t="s">
        <x:v>523</x:v>
      </x:c>
      <x:c r="H50" s="75" t="s">
        <x:v>524</x:v>
      </x:c>
      <x:c r="I50" s="75" t="s">
        <x:v>525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</x:row>
    <x:row r="51">
      <x:c r="A51" s="75" t="s">
        <x:v>456</x:v>
      </x:c>
      <x:c r="B51" s="75" t="s">
        <x:v>771</x:v>
      </x:c>
      <x:c r="C51" s="75" t="s">
        <x:v>772</x:v>
      </x:c>
      <x:c r="D51" s="75" t="s">
        <x:v>773</x:v>
      </x:c>
      <x:c r="E51" s="75" t="s">
        <x:v>131</x:v>
      </x:c>
      <x:c r="F51" s="75" t="s">
        <x:v>649</x:v>
      </x:c>
      <x:c r="G51" s="75" t="s">
        <x:v>523</x:v>
      </x:c>
      <x:c r="H51" s="75" t="s">
        <x:v>524</x:v>
      </x:c>
      <x:c r="I51" s="75" t="s">
        <x:v>525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</x:row>
    <x:row r="52">
      <x:c r="A52" s="75" t="s">
        <x:v>459</x:v>
      </x:c>
      <x:c r="B52" s="75" t="s">
        <x:v>732</x:v>
      </x:c>
      <x:c r="C52" s="75" t="s">
        <x:v>774</x:v>
      </x:c>
      <x:c r="D52" s="75" t="s">
        <x:v>775</x:v>
      </x:c>
      <x:c r="E52" s="75" t="s">
        <x:v>131</x:v>
      </x:c>
      <x:c r="F52" s="75" t="s">
        <x:v>649</x:v>
      </x:c>
      <x:c r="G52" s="75" t="s">
        <x:v>523</x:v>
      </x:c>
      <x:c r="H52" s="75" t="s">
        <x:v>524</x:v>
      </x:c>
      <x:c r="I52" s="75" t="s">
        <x:v>525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</x:row>
    <x:row r="53" ht="30">
      <x:c r="A53" s="75" t="str">
        <x:v>pqp.gg</x:v>
      </x:c>
      <x:c r="B53" s="75" t="str">
        <x:v>Product</x:v>
      </x:c>
      <x:c r="C53" s="75" t="str">
        <x:v>https://pqp.gg/</x:v>
      </x:c>
      <x:c r="D53" s="75" t="str">
        <x:v>Developer-provided product summary: free hosted + AGPL self-host; browser screen share 360p–1080p with tab audio; voice P2P/LiveKit split; layout-only Discord template import; data export; no public bot API.</x:v>
      </x:c>
      <x:c r="E53" s="75" t="str">
        <x:v>2026-09-16</x:v>
      </x:c>
      <x:c r="F53" s="75" t="str">
        <x:v>First-party / developer-provided</x:v>
      </x:c>
      <x:c r="G53" s="75" t="str">
        <x:v>Primary</x:v>
      </x:c>
      <x:c r="H53" s="75" t="str">
        <x:v>Multiple</x:v>
      </x:c>
      <x:c r="I53" s="75" t="str">
        <x:v>English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</x:row>
    <x:row r="54">
      <x:c r="A54" s="75" t="s">
        <x:v>474</x:v>
      </x:c>
      <x:c r="B54" s="75" t="s">
        <x:v>732</x:v>
      </x:c>
      <x:c r="C54" s="75" t="s">
        <x:v>776</x:v>
      </x:c>
      <x:c r="D54" s="75" t="s">
        <x:v>777</x:v>
      </x:c>
      <x:c r="E54" s="75" t="s">
        <x:v>131</x:v>
      </x:c>
      <x:c r="F54" s="75" t="s">
        <x:v>649</x:v>
      </x:c>
      <x:c r="G54" s="75" t="s">
        <x:v>523</x:v>
      </x:c>
      <x:c r="H54" s="75" t="s">
        <x:v>524</x:v>
      </x:c>
      <x:c r="I54" s="75" t="s">
        <x:v>525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</x:row>
    <x:row r="55">
      <x:c r="A55" s="75" t="s">
        <x:v>488</x:v>
      </x:c>
      <x:c r="B55" s="75" t="s">
        <x:v>778</x:v>
      </x:c>
      <x:c r="C55" s="75" t="s">
        <x:v>779</x:v>
      </x:c>
      <x:c r="D55" s="75" t="s">
        <x:v>780</x:v>
      </x:c>
      <x:c r="E55" s="75" t="s">
        <x:v>131</x:v>
      </x:c>
      <x:c r="F55" s="75" t="s">
        <x:v>649</x:v>
      </x:c>
      <x:c r="G55" s="75" t="s">
        <x:v>523</x:v>
      </x:c>
      <x:c r="H55" s="75" t="s">
        <x:v>524</x:v>
      </x:c>
      <x:c r="I55" s="75" t="s">
        <x:v>525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</x:row>
    <x:row r="56">
      <x:c r="A56" s="75" t="s">
        <x:v>488</x:v>
      </x:c>
      <x:c r="B56" s="75" t="s">
        <x:v>734</x:v>
      </x:c>
      <x:c r="C56" s="75" t="s">
        <x:v>781</x:v>
      </x:c>
      <x:c r="D56" s="75" t="s">
        <x:v>782</x:v>
      </x:c>
      <x:c r="E56" s="75" t="s">
        <x:v>131</x:v>
      </x:c>
      <x:c r="F56" s="75" t="s">
        <x:v>649</x:v>
      </x:c>
      <x:c r="G56" s="75" t="s">
        <x:v>523</x:v>
      </x:c>
      <x:c r="H56" s="75" t="s">
        <x:v>524</x:v>
      </x:c>
      <x:c r="I56" s="75" t="s">
        <x:v>525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</x:row>
    <x:row r="57">
      <x:c r="A57" s="75" t="s">
        <x:v>497</x:v>
      </x:c>
      <x:c r="B57" s="75" t="s">
        <x:v>732</x:v>
      </x:c>
      <x:c r="C57" s="75" t="s">
        <x:v>783</x:v>
      </x:c>
      <x:c r="D57" s="75" t="s">
        <x:v>784</x:v>
      </x:c>
      <x:c r="E57" s="75" t="s">
        <x:v>131</x:v>
      </x:c>
      <x:c r="F57" s="75" t="s">
        <x:v>649</x:v>
      </x:c>
      <x:c r="G57" s="75" t="s">
        <x:v>523</x:v>
      </x:c>
      <x:c r="H57" s="75" t="s">
        <x:v>524</x:v>
      </x:c>
      <x:c r="I57" s="75" t="s">
        <x:v>525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</x:row>
    <x:row r="58">
      <x:c r="A58" s="75" t="s">
        <x:v>497</x:v>
      </x:c>
      <x:c r="B58" s="75" t="s">
        <x:v>734</x:v>
      </x:c>
      <x:c r="C58" s="75" t="s">
        <x:v>785</x:v>
      </x:c>
      <x:c r="D58" s="75" t="s">
        <x:v>786</x:v>
      </x:c>
      <x:c r="E58" s="75" t="s">
        <x:v>131</x:v>
      </x:c>
      <x:c r="F58" s="75" t="s">
        <x:v>649</x:v>
      </x:c>
      <x:c r="G58" s="75" t="s">
        <x:v>523</x:v>
      </x:c>
      <x:c r="H58" s="75" t="s">
        <x:v>524</x:v>
      </x:c>
      <x:c r="I58" s="75" t="s">
        <x:v>525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</x:row>
    <x:row r="59" ht="30">
      <x:c r="A59" s="75" t="s">
        <x:v>194</x:v>
      </x:c>
      <x:c r="B59" s="75" t="s">
        <x:v>787</x:v>
      </x:c>
      <x:c r="C59" s="75" t="s">
        <x:v>788</x:v>
      </x:c>
      <x:c r="D59" s="75" t="s">
        <x:v>789</x:v>
      </x:c>
      <x:c r="E59" s="75" t="s">
        <x:v>131</x:v>
      </x:c>
      <x:c r="F59" s="75" t="s">
        <x:v>649</x:v>
      </x:c>
      <x:c r="G59" s="75" t="s">
        <x:v>523</x:v>
      </x:c>
      <x:c r="H59" s="75" t="s">
        <x:v>524</x:v>
      </x:c>
      <x:c r="I59" s="75" t="s">
        <x:v>525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</x:row>
    <x:row r="60" ht="30">
      <x:c r="A60" s="75" t="s">
        <x:v>194</x:v>
      </x:c>
      <x:c r="B60" s="75" t="s">
        <x:v>790</x:v>
      </x:c>
      <x:c r="C60" s="75" t="s">
        <x:v>628</x:v>
      </x:c>
      <x:c r="D60" s="75" t="s">
        <x:v>791</x:v>
      </x:c>
      <x:c r="E60" s="75" t="s">
        <x:v>131</x:v>
      </x:c>
      <x:c r="F60" s="75" t="s">
        <x:v>649</x:v>
      </x:c>
      <x:c r="G60" s="75" t="s">
        <x:v>523</x:v>
      </x:c>
      <x:c r="H60" s="75" t="s">
        <x:v>524</x:v>
      </x:c>
      <x:c r="I60" s="75" t="s">
        <x:v>525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</x:row>
    <x:row r="61">
      <x:c r="A61" s="75" t="s">
        <x:v>231</x:v>
      </x:c>
      <x:c r="B61" s="75" t="s">
        <x:v>792</x:v>
      </x:c>
      <x:c r="C61" s="75" t="s">
        <x:v>666</x:v>
      </x:c>
      <x:c r="D61" s="75" t="s">
        <x:v>793</x:v>
      </x:c>
      <x:c r="E61" s="75" t="s">
        <x:v>131</x:v>
      </x:c>
      <x:c r="F61" s="75" t="s">
        <x:v>649</x:v>
      </x:c>
      <x:c r="G61" s="75" t="s">
        <x:v>523</x:v>
      </x:c>
      <x:c r="H61" s="75" t="s">
        <x:v>524</x:v>
      </x:c>
      <x:c r="I61" s="75" t="s">
        <x:v>525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</x:row>
    <x:row r="62" ht="30">
      <x:c r="A62" s="75" t="s">
        <x:v>247</x:v>
      </x:c>
      <x:c r="B62" s="75" t="s">
        <x:v>794</x:v>
      </x:c>
      <x:c r="C62" s="75" t="s">
        <x:v>795</x:v>
      </x:c>
      <x:c r="D62" s="75" t="s">
        <x:v>796</x:v>
      </x:c>
      <x:c r="E62" s="75" t="s">
        <x:v>131</x:v>
      </x:c>
      <x:c r="F62" s="75" t="s">
        <x:v>649</x:v>
      </x:c>
      <x:c r="G62" s="75" t="s">
        <x:v>523</x:v>
      </x:c>
      <x:c r="H62" s="75" t="s">
        <x:v>524</x:v>
      </x:c>
      <x:c r="I62" s="75" t="s">
        <x:v>525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</x:row>
    <x:row r="63" ht="30">
      <x:c r="A63" s="75" t="s">
        <x:v>264</x:v>
      </x:c>
      <x:c r="B63" s="75" t="s">
        <x:v>797</x:v>
      </x:c>
      <x:c r="C63" s="75" t="s">
        <x:v>798</x:v>
      </x:c>
      <x:c r="D63" s="75" t="s">
        <x:v>799</x:v>
      </x:c>
      <x:c r="E63" s="75" t="s">
        <x:v>131</x:v>
      </x:c>
      <x:c r="F63" s="75" t="s">
        <x:v>649</x:v>
      </x:c>
      <x:c r="G63" s="75" t="s">
        <x:v>523</x:v>
      </x:c>
      <x:c r="H63" s="75" t="s">
        <x:v>524</x:v>
      </x:c>
      <x:c r="I63" s="75" t="s">
        <x:v>525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</x:row>
    <x:row r="64" ht="30">
      <x:c r="A64" s="75" t="s">
        <x:v>309</x:v>
      </x:c>
      <x:c r="B64" s="75" t="s">
        <x:v>800</x:v>
      </x:c>
      <x:c r="C64" s="75" t="s">
        <x:v>801</x:v>
      </x:c>
      <x:c r="D64" s="75" t="s">
        <x:v>802</x:v>
      </x:c>
      <x:c r="E64" s="75" t="s">
        <x:v>131</x:v>
      </x:c>
      <x:c r="F64" s="75" t="s">
        <x:v>649</x:v>
      </x:c>
      <x:c r="G64" s="75" t="s">
        <x:v>523</x:v>
      </x:c>
      <x:c r="H64" s="75" t="s">
        <x:v>524</x:v>
      </x:c>
      <x:c r="I64" s="75" t="s">
        <x:v>525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</x:row>
    <x:row r="65" ht="30">
      <x:c r="A65" s="75" t="s">
        <x:v>309</x:v>
      </x:c>
      <x:c r="B65" s="75" t="s">
        <x:v>803</x:v>
      </x:c>
      <x:c r="C65" s="75" t="s">
        <x:v>804</x:v>
      </x:c>
      <x:c r="D65" s="75" t="s">
        <x:v>805</x:v>
      </x:c>
      <x:c r="E65" s="75" t="s">
        <x:v>131</x:v>
      </x:c>
      <x:c r="F65" s="75" t="s">
        <x:v>649</x:v>
      </x:c>
      <x:c r="G65" s="75" t="s">
        <x:v>523</x:v>
      </x:c>
      <x:c r="H65" s="75" t="s">
        <x:v>524</x:v>
      </x:c>
      <x:c r="I65" s="75" t="s">
        <x:v>525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</x:row>
    <x:row r="66" ht="30">
      <x:c r="A66" s="75" t="s">
        <x:v>320</x:v>
      </x:c>
      <x:c r="B66" s="75" t="s">
        <x:v>806</x:v>
      </x:c>
      <x:c r="C66" s="75" t="s">
        <x:v>807</x:v>
      </x:c>
      <x:c r="D66" s="75" t="s">
        <x:v>808</x:v>
      </x:c>
      <x:c r="E66" s="75" t="s">
        <x:v>131</x:v>
      </x:c>
      <x:c r="F66" s="75" t="s">
        <x:v>649</x:v>
      </x:c>
      <x:c r="G66" s="75" t="s">
        <x:v>523</x:v>
      </x:c>
      <x:c r="H66" s="75" t="s">
        <x:v>524</x:v>
      </x:c>
      <x:c r="I66" s="75" t="s">
        <x:v>525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</x:row>
    <x:row r="67" ht="30">
      <x:c r="A67" s="75" t="s">
        <x:v>335</x:v>
      </x:c>
      <x:c r="B67" s="75" t="s">
        <x:v>809</x:v>
      </x:c>
      <x:c r="C67" s="75" t="s">
        <x:v>810</x:v>
      </x:c>
      <x:c r="D67" s="75" t="s">
        <x:v>811</x:v>
      </x:c>
      <x:c r="E67" s="75" t="s">
        <x:v>131</x:v>
      </x:c>
      <x:c r="F67" s="75" t="s">
        <x:v>649</x:v>
      </x:c>
      <x:c r="G67" s="75" t="s">
        <x:v>523</x:v>
      </x:c>
      <x:c r="H67" s="75" t="s">
        <x:v>524</x:v>
      </x:c>
      <x:c r="I67" s="75" t="s">
        <x:v>525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</x:row>
    <x:row r="68" ht="30">
      <x:c r="A68" s="75" t="s">
        <x:v>351</x:v>
      </x:c>
      <x:c r="B68" s="75" t="s">
        <x:v>812</x:v>
      </x:c>
      <x:c r="C68" s="75" t="s">
        <x:v>813</x:v>
      </x:c>
      <x:c r="D68" s="75" t="s">
        <x:v>814</x:v>
      </x:c>
      <x:c r="E68" s="75" t="s">
        <x:v>131</x:v>
      </x:c>
      <x:c r="F68" s="75" t="s">
        <x:v>649</x:v>
      </x:c>
      <x:c r="G68" s="75" t="s">
        <x:v>523</x:v>
      </x:c>
      <x:c r="H68" s="75" t="s">
        <x:v>524</x:v>
      </x:c>
      <x:c r="I68" s="75" t="s">
        <x:v>525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</x:row>
    <x:row r="69" ht="30">
      <x:c r="A69" s="75" t="s">
        <x:v>364</x:v>
      </x:c>
      <x:c r="B69" s="75" t="s">
        <x:v>815</x:v>
      </x:c>
      <x:c r="C69" s="75" t="s">
        <x:v>816</x:v>
      </x:c>
      <x:c r="D69" s="75" t="s">
        <x:v>817</x:v>
      </x:c>
      <x:c r="E69" s="75" t="s">
        <x:v>131</x:v>
      </x:c>
      <x:c r="F69" s="75" t="s">
        <x:v>649</x:v>
      </x:c>
      <x:c r="G69" s="75" t="s">
        <x:v>523</x:v>
      </x:c>
      <x:c r="H69" s="75" t="s">
        <x:v>524</x:v>
      </x:c>
      <x:c r="I69" s="75" t="s">
        <x:v>525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</x:row>
    <x:row r="70">
      <x:c r="A70" s="75" t="s">
        <x:v>364</x:v>
      </x:c>
      <x:c r="B70" s="75" t="s">
        <x:v>818</x:v>
      </x:c>
      <x:c r="C70" s="75" t="s">
        <x:v>819</x:v>
      </x:c>
      <x:c r="D70" s="75" t="s">
        <x:v>820</x:v>
      </x:c>
      <x:c r="E70" s="75" t="s">
        <x:v>131</x:v>
      </x:c>
      <x:c r="F70" s="75" t="s">
        <x:v>649</x:v>
      </x:c>
      <x:c r="G70" s="75" t="s">
        <x:v>523</x:v>
      </x:c>
      <x:c r="H70" s="75" t="s">
        <x:v>524</x:v>
      </x:c>
      <x:c r="I70" s="75" t="s">
        <x:v>525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</x:row>
    <x:row r="71" ht="30">
      <x:c r="A71" s="75" t="s">
        <x:v>413</x:v>
      </x:c>
      <x:c r="B71" s="75" t="s">
        <x:v>821</x:v>
      </x:c>
      <x:c r="C71" s="75" t="s">
        <x:v>747</x:v>
      </x:c>
      <x:c r="D71" s="75" t="s">
        <x:v>822</x:v>
      </x:c>
      <x:c r="E71" s="75" t="s">
        <x:v>131</x:v>
      </x:c>
      <x:c r="F71" s="75" t="s">
        <x:v>649</x:v>
      </x:c>
      <x:c r="G71" s="75" t="s">
        <x:v>523</x:v>
      </x:c>
      <x:c r="H71" s="75" t="s">
        <x:v>524</x:v>
      </x:c>
      <x:c r="I71" s="75" t="s">
        <x:v>525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</x:row>
    <x:row r="72" ht="30">
      <x:c r="A72" s="75" t="s">
        <x:v>459</x:v>
      </x:c>
      <x:c r="B72" s="75" t="s">
        <x:v>823</x:v>
      </x:c>
      <x:c r="C72" s="75" t="s">
        <x:v>824</x:v>
      </x:c>
      <x:c r="D72" s="75" t="s">
        <x:v>825</x:v>
      </x:c>
      <x:c r="E72" s="75" t="s">
        <x:v>131</x:v>
      </x:c>
      <x:c r="F72" s="75" t="s">
        <x:v>649</x:v>
      </x:c>
      <x:c r="G72" s="75" t="s">
        <x:v>523</x:v>
      </x:c>
      <x:c r="H72" s="75" t="s">
        <x:v>524</x:v>
      </x:c>
      <x:c r="I72" s="75" t="s">
        <x:v>525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</x:row>
    <x:row r="73">
      <x:c r="A73" s="75" t="s">
        <x:v>459</x:v>
      </x:c>
      <x:c r="B73" s="75" t="s">
        <x:v>826</x:v>
      </x:c>
      <x:c r="C73" s="75" t="s">
        <x:v>827</x:v>
      </x:c>
      <x:c r="D73" s="75" t="s">
        <x:v>828</x:v>
      </x:c>
      <x:c r="E73" s="75" t="s">
        <x:v>131</x:v>
      </x:c>
      <x:c r="F73" s="75" t="s">
        <x:v>649</x:v>
      </x:c>
      <x:c r="G73" s="75" t="s">
        <x:v>523</x:v>
      </x:c>
      <x:c r="H73" s="75" t="s">
        <x:v>524</x:v>
      </x:c>
      <x:c r="I73" s="75" t="s">
        <x:v>525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</x:row>
    <x:row r="74" ht="30">
      <x:c r="A74" s="75" t="s">
        <x:v>497</x:v>
      </x:c>
      <x:c r="B74" s="75" t="s">
        <x:v>829</x:v>
      </x:c>
      <x:c r="C74" s="75" t="s">
        <x:v>830</x:v>
      </x:c>
      <x:c r="D74" s="75" t="s">
        <x:v>831</x:v>
      </x:c>
      <x:c r="E74" s="75" t="s">
        <x:v>131</x:v>
      </x:c>
      <x:c r="F74" s="75" t="s">
        <x:v>649</x:v>
      </x:c>
      <x:c r="G74" s="75" t="s">
        <x:v>523</x:v>
      </x:c>
      <x:c r="H74" s="75" t="s">
        <x:v>524</x:v>
      </x:c>
      <x:c r="I74" s="75" t="s">
        <x:v>525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</x:row>
    <x:row r="75" ht="30">
      <x:c r="A75" s="75" t="s">
        <x:v>459</x:v>
      </x:c>
      <x:c r="B75" s="75" t="s">
        <x:v>832</x:v>
      </x:c>
      <x:c r="C75" s="75" t="s">
        <x:v>465</x:v>
      </x:c>
      <x:c r="D75" s="75" t="s">
        <x:v>833</x:v>
      </x:c>
      <x:c r="E75" s="75" t="s">
        <x:v>131</x:v>
      </x:c>
      <x:c r="F75" s="75" t="s">
        <x:v>649</x:v>
      </x:c>
      <x:c r="G75" s="75" t="s">
        <x:v>523</x:v>
      </x:c>
      <x:c r="H75" s="75" t="s">
        <x:v>524</x:v>
      </x:c>
      <x:c r="I75" s="75" t="s">
        <x:v>525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</x:row>
    <x:row r="76" ht="30">
      <x:c r="A76" s="75" t="s">
        <x:v>459</x:v>
      </x:c>
      <x:c r="B76" s="75" t="s">
        <x:v>834</x:v>
      </x:c>
      <x:c r="C76" s="75" t="s">
        <x:v>835</x:v>
      </x:c>
      <x:c r="D76" s="75" t="s">
        <x:v>836</x:v>
      </x:c>
      <x:c r="E76" s="75" t="s">
        <x:v>131</x:v>
      </x:c>
      <x:c r="F76" s="75" t="s">
        <x:v>649</x:v>
      </x:c>
      <x:c r="G76" s="75" t="s">
        <x:v>523</x:v>
      </x:c>
      <x:c r="H76" s="75" t="s">
        <x:v>524</x:v>
      </x:c>
      <x:c r="I76" s="75" t="s">
        <x:v>525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</x:row>
    <x:row r="77" ht="30">
      <x:c r="A77" s="75" t="s">
        <x:v>459</x:v>
      </x:c>
      <x:c r="B77" s="75" t="s">
        <x:v>837</x:v>
      </x:c>
      <x:c r="C77" s="75" t="s">
        <x:v>838</x:v>
      </x:c>
      <x:c r="D77" s="75" t="s">
        <x:v>839</x:v>
      </x:c>
      <x:c r="E77" s="75" t="s">
        <x:v>131</x:v>
      </x:c>
      <x:c r="F77" s="75" t="s">
        <x:v>649</x:v>
      </x:c>
      <x:c r="G77" s="75" t="s">
        <x:v>523</x:v>
      </x:c>
      <x:c r="H77" s="75" t="s">
        <x:v>524</x:v>
      </x:c>
      <x:c r="I77" s="75" t="s">
        <x:v>525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</x:row>
    <x:row r="78" ht="30">
      <x:c r="A78" s="75" t="s">
        <x:v>459</x:v>
      </x:c>
      <x:c r="B78" s="75" t="s">
        <x:v>840</x:v>
      </x:c>
      <x:c r="C78" s="75" t="s">
        <x:v>835</x:v>
      </x:c>
      <x:c r="D78" s="75" t="s">
        <x:v>841</x:v>
      </x:c>
      <x:c r="E78" s="75" t="s">
        <x:v>131</x:v>
      </x:c>
      <x:c r="F78" s="75" t="s">
        <x:v>522</x:v>
      </x:c>
      <x:c r="G78" s="75" t="s">
        <x:v>523</x:v>
      </x:c>
      <x:c r="H78" s="75" t="s">
        <x:v>842</x:v>
      </x:c>
      <x:c r="I78" s="75" t="s">
        <x:v>525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</x:row>
    <x:row r="79">
      <x:c r="A79" s="75" t="s">
        <x:v>459</x:v>
      </x:c>
      <x:c r="B79" s="75" t="s">
        <x:v>843</x:v>
      </x:c>
      <x:c r="C79" s="75" t="s">
        <x:v>838</x:v>
      </x:c>
      <x:c r="D79" s="75" t="s">
        <x:v>844</x:v>
      </x:c>
      <x:c r="E79" s="75" t="s">
        <x:v>131</x:v>
      </x:c>
      <x:c r="F79" s="75" t="s">
        <x:v>522</x:v>
      </x:c>
      <x:c r="G79" s="75" t="s">
        <x:v>523</x:v>
      </x:c>
      <x:c r="H79" s="75" t="s">
        <x:v>845</x:v>
      </x:c>
      <x:c r="I79" s="75" t="s">
        <x:v>525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</x:row>
    <x:row r="80" ht="30">
      <x:c r="A80" s="75" t="s">
        <x:v>335</x:v>
      </x:c>
      <x:c r="B80" s="75" t="s">
        <x:v>846</x:v>
      </x:c>
      <x:c r="C80" s="75" t="s">
        <x:v>847</x:v>
      </x:c>
      <x:c r="D80" s="75" t="s">
        <x:v>848</x:v>
      </x:c>
      <x:c r="E80" s="75" t="s">
        <x:v>131</x:v>
      </x:c>
      <x:c r="F80" s="75" t="s">
        <x:v>849</x:v>
      </x:c>
      <x:c r="G80" s="75" t="s">
        <x:v>523</x:v>
      </x:c>
      <x:c r="H80" s="75" t="s">
        <x:v>636</x:v>
      </x:c>
      <x:c r="I80" s="75" t="s">
        <x:v>525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</x:row>
    <x:row r="81" ht="30">
      <x:c r="A81" s="75" t="s">
        <x:v>351</x:v>
      </x:c>
      <x:c r="B81" s="75" t="s">
        <x:v>850</x:v>
      </x:c>
      <x:c r="C81" s="75" t="s">
        <x:v>851</x:v>
      </x:c>
      <x:c r="D81" s="75" t="s">
        <x:v>852</x:v>
      </x:c>
      <x:c r="E81" s="75" t="s">
        <x:v>131</x:v>
      </x:c>
      <x:c r="F81" s="75" t="s">
        <x:v>849</x:v>
      </x:c>
      <x:c r="G81" s="75" t="s">
        <x:v>523</x:v>
      </x:c>
      <x:c r="H81" s="75" t="s">
        <x:v>636</x:v>
      </x:c>
      <x:c r="I81" s="75" t="s">
        <x:v>525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</x:row>
    <x:row r="82" ht="30">
      <x:c r="A82" s="75" t="s">
        <x:v>320</x:v>
      </x:c>
      <x:c r="B82" s="75" t="s">
        <x:v>853</x:v>
      </x:c>
      <x:c r="C82" s="75" t="s">
        <x:v>854</x:v>
      </x:c>
      <x:c r="D82" s="75" t="s">
        <x:v>855</x:v>
      </x:c>
      <x:c r="E82" s="75" t="s">
        <x:v>131</x:v>
      </x:c>
      <x:c r="F82" s="75" t="s">
        <x:v>856</x:v>
      </x:c>
      <x:c r="G82" s="75" t="s">
        <x:v>523</x:v>
      </x:c>
      <x:c r="H82" s="75" t="s">
        <x:v>643</x:v>
      </x:c>
      <x:c r="I82" s="75" t="s">
        <x:v>525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</x:row>
    <x:row r="83" ht="30">
      <x:c r="A83" s="75" t="s">
        <x:v>857</x:v>
      </x:c>
      <x:c r="B83" s="75" t="s">
        <x:v>858</x:v>
      </x:c>
      <x:c r="C83" s="75" t="s">
        <x:v>859</x:v>
      </x:c>
      <x:c r="D83" s="75" t="s">
        <x:v>860</x:v>
      </x:c>
      <x:c r="E83" s="75" t="s">
        <x:v>131</x:v>
      </x:c>
      <x:c r="F83" s="75" t="s">
        <x:v>861</x:v>
      </x:c>
      <x:c r="G83" s="75" t="s">
        <x:v>523</x:v>
      </x:c>
      <x:c r="H83" s="75" t="s">
        <x:v>20</x:v>
      </x:c>
      <x:c r="I83" s="75" t="s">
        <x:v>525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</x:row>
    <x:row r="84" ht="30">
      <x:c r="A84" s="75" t="s">
        <x:v>194</x:v>
      </x:c>
      <x:c r="B84" s="75" t="s">
        <x:v>862</x:v>
      </x:c>
      <x:c r="C84" s="75" t="s">
        <x:v>547</x:v>
      </x:c>
      <x:c r="D84" s="75" t="s">
        <x:v>863</x:v>
      </x:c>
      <x:c r="E84" s="75" t="s">
        <x:v>131</x:v>
      </x:c>
      <x:c r="F84" s="75" t="s">
        <x:v>864</x:v>
      </x:c>
      <x:c r="G84" s="75" t="s">
        <x:v>523</x:v>
      </x:c>
      <x:c r="H84" s="75" t="s">
        <x:v>865</x:v>
      </x:c>
      <x:c r="I84" s="75" t="s">
        <x:v>525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</x:row>
    <x:row r="85" ht="30">
      <x:c r="A85" s="75" t="s">
        <x:v>214</x:v>
      </x:c>
      <x:c r="B85" s="75" t="s">
        <x:v>866</x:v>
      </x:c>
      <x:c r="C85" s="75" t="s">
        <x:v>867</x:v>
      </x:c>
      <x:c r="D85" s="75" t="s">
        <x:v>868</x:v>
      </x:c>
      <x:c r="E85" s="75" t="s">
        <x:v>131</x:v>
      </x:c>
      <x:c r="F85" s="75" t="s">
        <x:v>864</x:v>
      </x:c>
      <x:c r="G85" s="75" t="s">
        <x:v>523</x:v>
      </x:c>
      <x:c r="H85" s="75" t="s">
        <x:v>524</x:v>
      </x:c>
      <x:c r="I85" s="75" t="s">
        <x:v>525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</x:row>
    <x:row r="86" ht="30">
      <x:c r="A86" s="75" t="s">
        <x:v>231</x:v>
      </x:c>
      <x:c r="B86" s="75" t="s">
        <x:v>866</x:v>
      </x:c>
      <x:c r="C86" s="75" t="s">
        <x:v>660</x:v>
      </x:c>
      <x:c r="D86" s="75" t="s">
        <x:v>869</x:v>
      </x:c>
      <x:c r="E86" s="75" t="s">
        <x:v>131</x:v>
      </x:c>
      <x:c r="F86" s="75" t="s">
        <x:v>864</x:v>
      </x:c>
      <x:c r="G86" s="75" t="s">
        <x:v>523</x:v>
      </x:c>
      <x:c r="H86" s="75" t="s">
        <x:v>524</x:v>
      </x:c>
      <x:c r="I86" s="75" t="s">
        <x:v>525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</x:row>
    <x:row r="87">
      <x:c r="A87" s="75" t="s">
        <x:v>247</x:v>
      </x:c>
      <x:c r="B87" s="75" t="s">
        <x:v>870</x:v>
      </x:c>
      <x:c r="C87" s="75" t="s">
        <x:v>255</x:v>
      </x:c>
      <x:c r="D87" s="75" t="s">
        <x:v>871</x:v>
      </x:c>
      <x:c r="E87" s="75" t="s">
        <x:v>131</x:v>
      </x:c>
      <x:c r="F87" s="75" t="s">
        <x:v>864</x:v>
      </x:c>
      <x:c r="G87" s="75" t="s">
        <x:v>523</x:v>
      </x:c>
      <x:c r="H87" s="75" t="s">
        <x:v>872</x:v>
      </x:c>
      <x:c r="I87" s="75" t="s">
        <x:v>525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</x:row>
    <x:row r="88" ht="30">
      <x:c r="A88" s="75" t="s">
        <x:v>97</x:v>
      </x:c>
      <x:c r="B88" s="75" t="s">
        <x:v>873</x:v>
      </x:c>
      <x:c r="C88" s="75" t="s">
        <x:v>874</x:v>
      </x:c>
      <x:c r="D88" s="75" t="s">
        <x:v>875</x:v>
      </x:c>
      <x:c r="E88" s="75" t="s">
        <x:v>131</x:v>
      </x:c>
      <x:c r="F88" s="75" t="s">
        <x:v>876</x:v>
      </x:c>
      <x:c r="G88" s="75" t="s">
        <x:v>523</x:v>
      </x:c>
      <x:c r="H88" s="75" t="s">
        <x:v>524</x:v>
      </x:c>
      <x:c r="I88" s="75" t="s">
        <x:v>525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</x:row>
    <x:row r="89" ht="30">
      <x:c r="A89" s="75" t="s">
        <x:v>320</x:v>
      </x:c>
      <x:c r="B89" s="75" t="s">
        <x:v>877</x:v>
      </x:c>
      <x:c r="C89" s="75" t="s">
        <x:v>807</x:v>
      </x:c>
      <x:c r="D89" s="75" t="s">
        <x:v>878</x:v>
      </x:c>
      <x:c r="E89" s="75" t="s">
        <x:v>131</x:v>
      </x:c>
      <x:c r="F89" s="75" t="s">
        <x:v>864</x:v>
      </x:c>
      <x:c r="G89" s="75" t="s">
        <x:v>523</x:v>
      </x:c>
      <x:c r="H89" s="75" t="s">
        <x:v>524</x:v>
      </x:c>
      <x:c r="I89" s="75" t="s">
        <x:v>525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</x:row>
    <x:row r="90" ht="30">
      <x:c r="A90" s="75" t="s">
        <x:v>335</x:v>
      </x:c>
      <x:c r="B90" s="75" t="s">
        <x:v>879</x:v>
      </x:c>
      <x:c r="C90" s="75" t="s">
        <x:v>880</x:v>
      </x:c>
      <x:c r="D90" s="75" t="s">
        <x:v>881</x:v>
      </x:c>
      <x:c r="E90" s="75" t="s">
        <x:v>131</x:v>
      </x:c>
      <x:c r="F90" s="75" t="s">
        <x:v>882</x:v>
      </x:c>
      <x:c r="G90" s="75" t="s">
        <x:v>523</x:v>
      </x:c>
      <x:c r="H90" s="75" t="s">
        <x:v>524</x:v>
      </x:c>
      <x:c r="I90" s="75" t="s">
        <x:v>525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</x:row>
    <x:row r="91" ht="30">
      <x:c r="A91" s="75" t="s">
        <x:v>351</x:v>
      </x:c>
      <x:c r="B91" s="75" t="s">
        <x:v>883</x:v>
      </x:c>
      <x:c r="C91" s="75" t="s">
        <x:v>813</x:v>
      </x:c>
      <x:c r="D91" s="75" t="s">
        <x:v>884</x:v>
      </x:c>
      <x:c r="E91" s="75" t="s">
        <x:v>131</x:v>
      </x:c>
      <x:c r="F91" s="75" t="s">
        <x:v>882</x:v>
      </x:c>
      <x:c r="G91" s="75" t="s">
        <x:v>523</x:v>
      </x:c>
      <x:c r="H91" s="75" t="s">
        <x:v>524</x:v>
      </x:c>
      <x:c r="I91" s="75" t="s">
        <x:v>525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</x:row>
    <x:row r="92" ht="30">
      <x:c r="A92" s="75" t="s">
        <x:v>364</x:v>
      </x:c>
      <x:c r="B92" s="75" t="s">
        <x:v>646</x:v>
      </x:c>
      <x:c r="C92" s="75" t="s">
        <x:v>885</x:v>
      </x:c>
      <x:c r="D92" s="75" t="s">
        <x:v>886</x:v>
      </x:c>
      <x:c r="E92" s="75" t="s">
        <x:v>131</x:v>
      </x:c>
      <x:c r="F92" s="75" t="s">
        <x:v>864</x:v>
      </x:c>
      <x:c r="G92" s="75" t="s">
        <x:v>523</x:v>
      </x:c>
      <x:c r="H92" s="75" t="s">
        <x:v>887</x:v>
      </x:c>
      <x:c r="I92" s="75" t="s">
        <x:v>525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</x:row>
    <x:row r="93" ht="30">
      <x:c r="A93" s="75" t="s">
        <x:v>378</x:v>
      </x:c>
      <x:c r="B93" s="75" t="s">
        <x:v>888</x:v>
      </x:c>
      <x:c r="C93" s="75" t="s">
        <x:v>889</x:v>
      </x:c>
      <x:c r="D93" s="75" t="s">
        <x:v>890</x:v>
      </x:c>
      <x:c r="E93" s="75" t="s">
        <x:v>131</x:v>
      </x:c>
      <x:c r="F93" s="75" t="s">
        <x:v>891</x:v>
      </x:c>
      <x:c r="G93" s="75" t="s">
        <x:v>523</x:v>
      </x:c>
      <x:c r="H93" s="75" t="s">
        <x:v>892</x:v>
      </x:c>
      <x:c r="I93" s="75" t="s">
        <x:v>525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</x:row>
    <x:row r="94" ht="30">
      <x:c r="A94" s="75" t="s">
        <x:v>382</x:v>
      </x:c>
      <x:c r="B94" s="75" t="s">
        <x:v>893</x:v>
      </x:c>
      <x:c r="C94" s="75" t="s">
        <x:v>737</x:v>
      </x:c>
      <x:c r="D94" s="75" t="s">
        <x:v>894</x:v>
      </x:c>
      <x:c r="E94" s="75" t="s">
        <x:v>131</x:v>
      </x:c>
      <x:c r="F94" s="75" t="s">
        <x:v>864</x:v>
      </x:c>
      <x:c r="G94" s="75" t="s">
        <x:v>523</x:v>
      </x:c>
      <x:c r="H94" s="75" t="s">
        <x:v>524</x:v>
      </x:c>
      <x:c r="I94" s="75" t="s">
        <x:v>525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</x:row>
    <x:row r="95" ht="30">
      <x:c r="A95" s="75" t="s">
        <x:v>392</x:v>
      </x:c>
      <x:c r="B95" s="75" t="s">
        <x:v>866</x:v>
      </x:c>
      <x:c r="C95" s="75" t="s">
        <x:v>741</x:v>
      </x:c>
      <x:c r="D95" s="75" t="s">
        <x:v>895</x:v>
      </x:c>
      <x:c r="E95" s="75" t="s">
        <x:v>131</x:v>
      </x:c>
      <x:c r="F95" s="75" t="s">
        <x:v>864</x:v>
      </x:c>
      <x:c r="G95" s="75" t="s">
        <x:v>523</x:v>
      </x:c>
      <x:c r="H95" s="75" t="s">
        <x:v>524</x:v>
      </x:c>
      <x:c r="I95" s="75" t="s">
        <x:v>525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</x:row>
    <x:row r="96" ht="30">
      <x:c r="A96" s="75" t="s">
        <x:v>417</x:v>
      </x:c>
      <x:c r="B96" s="75" t="s">
        <x:v>866</x:v>
      </x:c>
      <x:c r="C96" s="75" t="s">
        <x:v>751</x:v>
      </x:c>
      <x:c r="D96" s="75" t="s">
        <x:v>896</x:v>
      </x:c>
      <x:c r="E96" s="75" t="s">
        <x:v>131</x:v>
      </x:c>
      <x:c r="F96" s="75" t="s">
        <x:v>864</x:v>
      </x:c>
      <x:c r="G96" s="75" t="s">
        <x:v>523</x:v>
      </x:c>
      <x:c r="H96" s="75" t="s">
        <x:v>524</x:v>
      </x:c>
      <x:c r="I96" s="75" t="s">
        <x:v>525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</x:row>
    <x:row r="97" ht="30">
      <x:c r="A97" s="75" t="s">
        <x:v>448</x:v>
      </x:c>
      <x:c r="B97" s="75" t="s">
        <x:v>866</x:v>
      </x:c>
      <x:c r="C97" s="75" t="s">
        <x:v>897</x:v>
      </x:c>
      <x:c r="D97" s="75" t="s">
        <x:v>898</x:v>
      </x:c>
      <x:c r="E97" s="75" t="s">
        <x:v>131</x:v>
      </x:c>
      <x:c r="F97" s="75" t="s">
        <x:v>864</x:v>
      </x:c>
      <x:c r="G97" s="75" t="s">
        <x:v>523</x:v>
      </x:c>
      <x:c r="H97" s="75" t="s">
        <x:v>524</x:v>
      </x:c>
      <x:c r="I97" s="75" t="s">
        <x:v>525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</x:row>
    <x:row r="98" ht="30">
      <x:c r="A98" s="75" t="s">
        <x:v>452</x:v>
      </x:c>
      <x:c r="B98" s="75" t="s">
        <x:v>899</x:v>
      </x:c>
      <x:c r="C98" s="75" t="s">
        <x:v>454</x:v>
      </x:c>
      <x:c r="D98" s="75" t="s">
        <x:v>900</x:v>
      </x:c>
      <x:c r="E98" s="75" t="s">
        <x:v>131</x:v>
      </x:c>
      <x:c r="F98" s="75" t="s">
        <x:v>901</x:v>
      </x:c>
      <x:c r="G98" s="75" t="s">
        <x:v>523</x:v>
      </x:c>
      <x:c r="H98" s="75" t="s">
        <x:v>524</x:v>
      </x:c>
      <x:c r="I98" s="75" t="s">
        <x:v>525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</x:row>
    <x:row r="99" ht="30">
      <x:c r="A99" s="75" t="s">
        <x:v>456</x:v>
      </x:c>
      <x:c r="B99" s="75" t="s">
        <x:v>768</x:v>
      </x:c>
      <x:c r="C99" s="75" t="s">
        <x:v>769</x:v>
      </x:c>
      <x:c r="D99" s="75" t="s">
        <x:v>902</x:v>
      </x:c>
      <x:c r="E99" s="75" t="s">
        <x:v>131</x:v>
      </x:c>
      <x:c r="F99" s="75" t="s">
        <x:v>864</x:v>
      </x:c>
      <x:c r="G99" s="75" t="s">
        <x:v>523</x:v>
      </x:c>
      <x:c r="H99" s="75" t="s">
        <x:v>524</x:v>
      </x:c>
      <x:c r="I99" s="75" t="s">
        <x:v>525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</x:row>
    <x:row r="100" ht="30">
      <x:c r="A100" s="75" t="s">
        <x:v>459</x:v>
      </x:c>
      <x:c r="B100" s="75" t="s">
        <x:v>903</x:v>
      </x:c>
      <x:c r="C100" s="75" t="s">
        <x:v>824</x:v>
      </x:c>
      <x:c r="D100" s="75" t="s">
        <x:v>904</x:v>
      </x:c>
      <x:c r="E100" s="75" t="s">
        <x:v>131</x:v>
      </x:c>
      <x:c r="F100" s="75" t="s">
        <x:v>864</x:v>
      </x:c>
      <x:c r="G100" s="75" t="s">
        <x:v>523</x:v>
      </x:c>
      <x:c r="H100" s="75" t="s">
        <x:v>905</x:v>
      </x:c>
      <x:c r="I100" s="75" t="s">
        <x:v>525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</x:row>
    <x:row r="101" ht="30">
      <x:c r="A101" s="75" t="s">
        <x:v>459</x:v>
      </x:c>
      <x:c r="B101" s="75" t="s">
        <x:v>768</x:v>
      </x:c>
      <x:c r="C101" s="75" t="s">
        <x:v>835</x:v>
      </x:c>
      <x:c r="D101" s="75" t="s">
        <x:v>906</x:v>
      </x:c>
      <x:c r="E101" s="75" t="s">
        <x:v>131</x:v>
      </x:c>
      <x:c r="F101" s="75" t="s">
        <x:v>864</x:v>
      </x:c>
      <x:c r="G101" s="75" t="s">
        <x:v>523</x:v>
      </x:c>
      <x:c r="H101" s="75" t="s">
        <x:v>524</x:v>
      </x:c>
      <x:c r="I101" s="75" t="s">
        <x:v>525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</x:row>
    <x:row r="102" ht="30">
      <x:c r="A102" s="75" t="str">
        <x:v>pqp.gg</x:v>
      </x:c>
      <x:c r="B102" s="75" t="str">
        <x:v>Product/features</x:v>
      </x:c>
      <x:c r="C102" s="75" t="str">
        <x:v>https://pqp.gg/</x:v>
      </x:c>
      <x:c r="D102" s="75" t="str">
        <x:v>Developer-provided product summary: free hosted + AGPL self-host; browser screen share 360p–1080p with tab audio; voice P2P/LiveKit split; layout-only Discord template import; data export; no public bot API.</x:v>
      </x:c>
      <x:c r="E102" s="75" t="str">
        <x:v>2026-09-16</x:v>
      </x:c>
      <x:c r="F102" s="75" t="str">
        <x:v>First-party / developer-provided</x:v>
      </x:c>
      <x:c r="G102" s="75" t="str">
        <x:v>Primary</x:v>
      </x:c>
      <x:c r="H102" s="75" t="str">
        <x:v>Multiple</x:v>
      </x:c>
      <x:c r="I102" s="75" t="str">
        <x:v>English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</x:row>
    <x:row r="103" ht="30">
      <x:c r="A103" s="75" t="s">
        <x:v>488</x:v>
      </x:c>
      <x:c r="B103" s="75" t="s">
        <x:v>778</x:v>
      </x:c>
      <x:c r="C103" s="75" t="s">
        <x:v>907</x:v>
      </x:c>
      <x:c r="D103" s="75" t="s">
        <x:v>908</x:v>
      </x:c>
      <x:c r="E103" s="75" t="s">
        <x:v>131</x:v>
      </x:c>
      <x:c r="F103" s="75" t="s">
        <x:v>901</x:v>
      </x:c>
      <x:c r="G103" s="75" t="s">
        <x:v>523</x:v>
      </x:c>
      <x:c r="H103" s="75" t="s">
        <x:v>524</x:v>
      </x:c>
      <x:c r="I103" s="75" t="s">
        <x:v>525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</x:row>
    <x:row r="104" ht="30">
      <x:c r="A104" s="75" t="s">
        <x:v>497</x:v>
      </x:c>
      <x:c r="B104" s="75" t="s">
        <x:v>899</x:v>
      </x:c>
      <x:c r="C104" s="75" t="s">
        <x:v>785</x:v>
      </x:c>
      <x:c r="D104" s="75" t="s">
        <x:v>909</x:v>
      </x:c>
      <x:c r="E104" s="75" t="s">
        <x:v>131</x:v>
      </x:c>
      <x:c r="F104" s="75" t="s">
        <x:v>901</x:v>
      </x:c>
      <x:c r="G104" s="75" t="s">
        <x:v>523</x:v>
      </x:c>
      <x:c r="H104" s="75" t="s">
        <x:v>524</x:v>
      </x:c>
      <x:c r="I104" s="75" t="s">
        <x:v>525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</x:row>
    <x:row r="105">
      <x:c r="A105" s="75" t="s">
        <x:v>910</x:v>
      </x:c>
      <x:c r="B105" s="75" t="s">
        <x:v>911</x:v>
      </x:c>
      <x:c r="C105" s="75" t="s">
        <x:v>912</x:v>
      </x:c>
      <x:c r="D105" s="75" t="s">
        <x:v>913</x:v>
      </x:c>
      <x:c r="E105" s="75" t="s">
        <x:v>131</x:v>
      </x:c>
      <x:c r="F105" s="75" t="s">
        <x:v>864</x:v>
      </x:c>
      <x:c r="G105" s="75" t="s">
        <x:v>523</x:v>
      </x:c>
      <x:c r="H105" s="75" t="s">
        <x:v>914</x:v>
      </x:c>
      <x:c r="I105" s="75" t="s">
        <x:v>525</x:v>
      </x:c>
    </x:row>
    <x:row r="106" ht="30">
      <x:c r="A106" s="75" t="s">
        <x:v>910</x:v>
      </x:c>
      <x:c r="B106" s="75" t="s">
        <x:v>915</x:v>
      </x:c>
      <x:c r="C106" s="75" t="s">
        <x:v>916</x:v>
      </x:c>
      <x:c r="D106" s="75" t="s">
        <x:v>917</x:v>
      </x:c>
      <x:c r="E106" s="75" t="s">
        <x:v>131</x:v>
      </x:c>
      <x:c r="F106" s="75" t="s">
        <x:v>918</x:v>
      </x:c>
      <x:c r="G106" s="75" t="s">
        <x:v>523</x:v>
      </x:c>
      <x:c r="H106" s="75" t="s">
        <x:v>524</x:v>
      </x:c>
      <x:c r="I106" s="75" t="s">
        <x:v>525</x:v>
      </x:c>
    </x:row>
    <x:row r="107" ht="30">
      <x:c r="A107" s="75" t="s">
        <x:v>910</x:v>
      </x:c>
      <x:c r="B107" s="75" t="s">
        <x:v>919</x:v>
      </x:c>
      <x:c r="C107" s="75" t="s">
        <x:v>920</x:v>
      </x:c>
      <x:c r="D107" s="75" t="s">
        <x:v>921</x:v>
      </x:c>
      <x:c r="E107" s="75" t="s">
        <x:v>131</x:v>
      </x:c>
      <x:c r="F107" s="75" t="s">
        <x:v>922</x:v>
      </x:c>
      <x:c r="G107" s="75" t="s">
        <x:v>523</x:v>
      </x:c>
      <x:c r="H107" s="75" t="s">
        <x:v>923</x:v>
      </x:c>
      <x:c r="I107" s="75" t="s">
        <x:v>525</x:v>
      </x:c>
    </x:row>
    <x:row r="108" ht="45">
      <x:c r="A108" s="75" t="s">
        <x:v>910</x:v>
      </x:c>
      <x:c r="B108" s="75" t="s">
        <x:v>924</x:v>
      </x:c>
      <x:c r="C108" s="75" t="s">
        <x:v>925</x:v>
      </x:c>
      <x:c r="D108" s="75" t="s">
        <x:v>926</x:v>
      </x:c>
      <x:c r="E108" s="75" t="s">
        <x:v>131</x:v>
      </x:c>
      <x:c r="F108" s="75" t="s">
        <x:v>922</x:v>
      </x:c>
      <x:c r="G108" s="75" t="s">
        <x:v>523</x:v>
      </x:c>
      <x:c r="H108" s="75" t="s">
        <x:v>927</x:v>
      </x:c>
      <x:c r="I108" s="75" t="s">
        <x:v>525</x:v>
      </x:c>
    </x:row>
    <x:row r="109" ht="30">
      <x:c r="A109" s="75" t="s">
        <x:v>910</x:v>
      </x:c>
      <x:c r="B109" s="75" t="s">
        <x:v>928</x:v>
      </x:c>
      <x:c r="C109" s="75" t="s">
        <x:v>929</x:v>
      </x:c>
      <x:c r="D109" s="75" t="s">
        <x:v>930</x:v>
      </x:c>
      <x:c r="E109" s="75" t="s">
        <x:v>131</x:v>
      </x:c>
      <x:c r="F109" s="75" t="s">
        <x:v>922</x:v>
      </x:c>
      <x:c r="G109" s="75" t="s">
        <x:v>523</x:v>
      </x:c>
      <x:c r="H109" s="75" t="s">
        <x:v>931</x:v>
      </x:c>
      <x:c r="I109" s="75" t="s">
        <x:v>525</x:v>
      </x:c>
    </x:row>
    <x:row r="110" ht="30">
      <x:c r="A110" s="75" t="s">
        <x:v>910</x:v>
      </x:c>
      <x:c r="B110" s="75" t="s">
        <x:v>932</x:v>
      </x:c>
      <x:c r="C110" s="75" t="s">
        <x:v>933</x:v>
      </x:c>
      <x:c r="D110" s="75" t="s">
        <x:v>934</x:v>
      </x:c>
      <x:c r="E110" s="75" t="s">
        <x:v>131</x:v>
      </x:c>
      <x:c r="F110" s="75" t="s">
        <x:v>922</x:v>
      </x:c>
      <x:c r="G110" s="75" t="s">
        <x:v>523</x:v>
      </x:c>
      <x:c r="H110" s="75" t="s">
        <x:v>935</x:v>
      </x:c>
      <x:c r="I110" s="75" t="s">
        <x:v>525</x:v>
      </x:c>
    </x:row>
    <x:row r="111" ht="30">
      <x:c r="A111" s="75" t="s">
        <x:v>910</x:v>
      </x:c>
      <x:c r="B111" s="75" t="s">
        <x:v>936</x:v>
      </x:c>
      <x:c r="C111" s="75" t="s">
        <x:v>937</x:v>
      </x:c>
      <x:c r="D111" s="75" t="s">
        <x:v>938</x:v>
      </x:c>
      <x:c r="E111" s="75" t="s">
        <x:v>131</x:v>
      </x:c>
      <x:c r="F111" s="75" t="s">
        <x:v>922</x:v>
      </x:c>
      <x:c r="G111" s="75" t="s">
        <x:v>523</x:v>
      </x:c>
      <x:c r="H111" s="75" t="s">
        <x:v>939</x:v>
      </x:c>
      <x:c r="I111" s="75" t="s">
        <x:v>525</x:v>
      </x:c>
    </x:row>
    <x:row r="112" ht="30">
      <x:c r="A112" s="75" t="s">
        <x:v>910</x:v>
      </x:c>
      <x:c r="B112" s="75" t="s">
        <x:v>940</x:v>
      </x:c>
      <x:c r="C112" s="75" t="s">
        <x:v>941</x:v>
      </x:c>
      <x:c r="D112" s="75" t="s">
        <x:v>942</x:v>
      </x:c>
      <x:c r="E112" s="75" t="s">
        <x:v>131</x:v>
      </x:c>
      <x:c r="F112" s="75" t="s">
        <x:v>922</x:v>
      </x:c>
      <x:c r="G112" s="75" t="s">
        <x:v>523</x:v>
      </x:c>
      <x:c r="H112" s="75" t="s">
        <x:v>943</x:v>
      </x:c>
      <x:c r="I112" s="75" t="s">
        <x:v>525</x:v>
      </x:c>
    </x:row>
    <x:row r="113" ht="30">
      <x:c r="A113" s="75" t="s">
        <x:v>910</x:v>
      </x:c>
      <x:c r="B113" s="75" t="s">
        <x:v>944</x:v>
      </x:c>
      <x:c r="C113" s="75" t="s">
        <x:v>945</x:v>
      </x:c>
      <x:c r="D113" s="75" t="s">
        <x:v>946</x:v>
      </x:c>
      <x:c r="E113" s="75" t="s">
        <x:v>131</x:v>
      </x:c>
      <x:c r="F113" s="75" t="s">
        <x:v>922</x:v>
      </x:c>
      <x:c r="G113" s="75" t="s">
        <x:v>523</x:v>
      </x:c>
      <x:c r="H113" s="75" t="s">
        <x:v>36</x:v>
      </x:c>
      <x:c r="I113" s="75" t="s">
        <x:v>525</x:v>
      </x:c>
    </x:row>
    <x:row r="114" ht="75">
      <x:c r="A114" s="75" t="s">
        <x:v>910</x:v>
      </x:c>
      <x:c r="B114" s="75" t="s">
        <x:v>947</x:v>
      </x:c>
      <x:c r="C114" s="75" t="s">
        <x:v>912</x:v>
      </x:c>
      <x:c r="D114" s="75" t="s">
        <x:v>948</x:v>
      </x:c>
      <x:c r="E114" s="75" t="s">
        <x:v>131</x:v>
      </x:c>
      <x:c r="F114" s="75" t="s">
        <x:v>949</x:v>
      </x:c>
      <x:c r="G114" s="75" t="s">
        <x:v>523</x:v>
      </x:c>
      <x:c r="H114" s="75" t="s">
        <x:v>524</x:v>
      </x:c>
      <x:c r="I114" s="75" t="s">
        <x:v>525</x:v>
      </x:c>
    </x:row>
    <x:row r="115">
      <x:c r="A115" s="75" t="str">
        <x:v>pqp.gg</x:v>
      </x:c>
      <x:c r="B115" s="75" t="str">
        <x:v>Repository</x:v>
      </x:c>
      <x:c r="C115" s="75" t="str">
        <x:v>https://github.com/rafaelcg/pqp</x:v>
      </x:c>
      <x:c r="D115" s="75" t="str">
        <x:v>AGPL-3.0 source and self-host documentation; README also states the project is built by two brothers, links Terms/Privacy, and documents current Android/mobile limitations.</x:v>
      </x:c>
      <x:c r="E115" s="75" t="str">
        <x:v>2026-09-16</x:v>
      </x:c>
      <x:c r="F115" s="75" t="str">
        <x:v>First-party project repository</x:v>
      </x:c>
      <x:c r="G115" s="75" t="str">
        <x:v>Primary</x:v>
      </x:c>
      <x:c r="H115" s="75" t="str">
        <x:v>Multiple</x:v>
      </x:c>
      <x:c r="I115" s="75" t="str">
        <x:v>English</x:v>
      </x:c>
    </x:row>
    <x:row r="116">
      <x:c r="A116" s="75" t="str">
        <x:v>pqp.gg</x:v>
      </x:c>
      <x:c r="B116" s="75" t="str">
        <x:v>Privacy</x:v>
      </x:c>
      <x:c r="C116" s="75" t="str">
        <x:v>https://pqp.gg/privacy</x:v>
      </x:c>
      <x:c r="D116" s="75" t="str">
        <x:v>Published privacy policy; developer response notes cookie-less Umami analytics plus signup conversion tag.</x:v>
      </x:c>
      <x:c r="E116" s="75" t="str">
        <x:v>2026-09-16</x:v>
      </x:c>
      <x:c r="F116" s="75" t="str">
        <x:v>First-party official</x:v>
      </x:c>
      <x:c r="G116" s="75" t="str">
        <x:v>Primary</x:v>
      </x:c>
      <x:c r="H116" s="75" t="str">
        <x:v>Hosted service</x:v>
      </x:c>
      <x:c r="I116" s="75" t="str">
        <x:v>English</x:v>
      </x:c>
    </x:row>
    <x:row r="117">
      <x:c r="A117" s="75" t="str">
        <x:v>pqp.gg</x:v>
      </x:c>
      <x:c r="B117" s="75" t="str">
        <x:v>Security contact</x:v>
      </x:c>
      <x:c r="C117" s="75" t="str">
        <x:v>https://pqp.gg/.well-known/security.txt</x:v>
      </x:c>
      <x:c r="D117" s="75" t="str">
        <x:v>Published security contact; no independent audit published yet.</x:v>
      </x:c>
      <x:c r="E117" s="75" t="str">
        <x:v>2026-09-16</x:v>
      </x:c>
      <x:c r="F117" s="75" t="str">
        <x:v>First-party official</x:v>
      </x:c>
      <x:c r="G117" s="75" t="str">
        <x:v>Primary</x:v>
      </x:c>
      <x:c r="H117" s="75" t="str">
        <x:v>Hosted service</x:v>
      </x:c>
      <x:c r="I117" s="75" t="str">
        <x:v>English</x:v>
      </x:c>
    </x:row>
    <x:row r="118">
      <x:c r="A118" s="75" t="str">
        <x:v>pqp.gg</x:v>
      </x:c>
      <x:c r="B118" s="75" t="str">
        <x:v>Release notes</x:v>
      </x:c>
      <x:c r="C118" s="75" t="str">
        <x:v>https://pqp.gg/blog</x:v>
      </x:c>
      <x:c r="D118" s="75" t="str">
        <x:v>Official release notes / product updates.</x:v>
      </x:c>
      <x:c r="E118" s="75" t="str">
        <x:v>2026-09-16</x:v>
      </x:c>
      <x:c r="F118" s="75" t="str">
        <x:v>First-party official</x:v>
      </x:c>
      <x:c r="G118" s="75" t="str">
        <x:v>Primary</x:v>
      </x:c>
      <x:c r="H118" s="75" t="str">
        <x:v>Hosted service</x:v>
      </x:c>
      <x:c r="I118" s="75" t="str">
        <x:v>English</x:v>
      </x:c>
    </x:row>
    <x:row r="119">
      <x:c r="A119" s="75" t="str">
        <x:v>pqp.gg</x:v>
      </x:c>
      <x:c r="B119" s="75" t="str">
        <x:v>Desktop</x:v>
      </x:c>
      <x:c r="C119" s="75" t="str">
        <x:v>https://pqp.gg/download</x:v>
      </x:c>
      <x:c r="D119" s="75" t="str">
        <x:v>Official Electron desktop download.</x:v>
      </x:c>
      <x:c r="E119" s="75" t="str">
        <x:v>2026-09-16</x:v>
      </x:c>
      <x:c r="F119" s="75" t="str">
        <x:v>First-party official</x:v>
      </x:c>
      <x:c r="G119" s="75" t="str">
        <x:v>Primary</x:v>
      </x:c>
      <x:c r="H119" s="75" t="str">
        <x:v>Client</x:v>
      </x:c>
      <x:c r="I119" s="75" t="str">
        <x:v>English</x:v>
      </x:c>
    </x:row>
    <x:row r="120">
      <x:c r="A120" s="75" t="str">
        <x:v>pqp.gg</x:v>
      </x:c>
      <x:c r="B120" s="75" t="str">
        <x:v>iOS beta</x:v>
      </x:c>
      <x:c r="C120" s="75" t="str">
        <x:v>https://pqp.gg/beta</x:v>
      </x:c>
      <x:c r="D120" s="75" t="str">
        <x:v>Native iOS TestFlight beta.</x:v>
      </x:c>
      <x:c r="E120" s="75" t="str">
        <x:v>2026-09-16</x:v>
      </x:c>
      <x:c r="F120" s="75" t="str">
        <x:v>First-party official</x:v>
      </x:c>
      <x:c r="G120" s="75" t="str">
        <x:v>Primary</x:v>
      </x:c>
      <x:c r="H120" s="75" t="str">
        <x:v>Client</x:v>
      </x:c>
      <x:c r="I120" s="75" t="str">
        <x:v>English</x:v>
      </x:c>
    </x:row>
    <x:row r="121">
      <x:c r="A121" s="75" t="str">
        <x:v>pqp.gg</x:v>
      </x:c>
      <x:c r="B121" s="75" t="str">
        <x:v>Android beta</x:v>
      </x:c>
      <x:c r="C121" s="75" t="str">
        <x:v>https://pqp.gg/android</x:v>
      </x:c>
      <x:c r="D121" s="75" t="str">
        <x:v>Native Android APK beta.</x:v>
      </x:c>
      <x:c r="E121" s="75" t="str">
        <x:v>2026-09-16</x:v>
      </x:c>
      <x:c r="F121" s="75" t="str">
        <x:v>First-party official</x:v>
      </x:c>
      <x:c r="G121" s="75" t="str">
        <x:v>Primary</x:v>
      </x:c>
      <x:c r="H121" s="75" t="str">
        <x:v>Client</x:v>
      </x:c>
      <x:c r="I121" s="75" t="str">
        <x:v>English</x:v>
      </x:c>
    </x:row>
    <x:row r="122">
      <x:c r="A122" s="75" t="str">
        <x:v>pqp.gg</x:v>
      </x:c>
      <x:c r="B122" s="75" t="str">
        <x:v>Donations</x:v>
      </x:c>
      <x:c r="C122" s="75" t="str">
        <x:v>https://pqp.gg/apoie</x:v>
      </x:c>
      <x:c r="D122" s="75" t="str">
        <x:v>Optional donations; donations unlock nothing.</x:v>
      </x:c>
      <x:c r="E122" s="75" t="str">
        <x:v>2026-09-16</x:v>
      </x:c>
      <x:c r="F122" s="75" t="str">
        <x:v>First-party official</x:v>
      </x:c>
      <x:c r="G122" s="75" t="str">
        <x:v>Primary</x:v>
      </x:c>
      <x:c r="H122" s="75" t="str">
        <x:v>Funding</x:v>
      </x:c>
      <x:c r="I122" s="75" t="str">
        <x:v>Portuguese</x:v>
      </x:c>
    </x:row>
    <x:row r="123">
      <x:c r="A123" s="75" t="str">
        <x:v>Stoat</x:v>
      </x:c>
      <x:c r="B123" s="75" t="str">
        <x:v>Video / screen share</x:v>
      </x:c>
      <x:c r="C123" s="75" t="str">
        <x:v>https://stoat.chat/release-notes/93eb1f4ec77444ca9fb13617e0e6c0b1</x:v>
      </x:c>
      <x:c r="D123" s="75" t="str">
        <x:v>17 Jul 2026 release: video + screen share in voice/DM/GDM, 720p30, screen/window audio, no stated simultaneous screen/camera limit, desktop/browser/mobile support.</x:v>
      </x:c>
      <x:c r="E123" s="75" t="str">
        <x:v>2026-09-16</x:v>
      </x:c>
      <x:c r="F123" s="75" t="str">
        <x:v>First-party official</x:v>
      </x:c>
      <x:c r="G123" s="75" t="str">
        <x:v>Primary</x:v>
      </x:c>
      <x:c r="H123" s="75" t="str">
        <x:v>Video &amp; Screen Sharing</x:v>
      </x:c>
      <x:c r="I123" s="75" t="str">
        <x:v>English</x:v>
      </x:c>
    </x:row>
    <x:row r="124">
      <x:c r="A124" s="75" t="str">
        <x:v>Harmony</x:v>
      </x:c>
      <x:c r="B124" s="75" t="str">
        <x:v>Current product / security / pricing</x:v>
      </x:c>
      <x:c r="C124" s="75" t="str">
        <x:v>https://joinharmony.app/</x:v>
      </x:c>
      <x:c r="D124" s="75" t="str">
        <x:v>Current Harmony product: AGPL-3.0, hosted + self-host, Tauri desktop (~80 MB vendor claim), vodozemac E2EE DMs, LiveKit voice, hosted free tier with 8 MB/file, mobile/bot API still upcoming.</x:v>
      </x:c>
      <x:c r="E124" s="75" t="str">
        <x:v>2026-09-16</x:v>
      </x:c>
      <x:c r="F124" s="75" t="str">
        <x:v>First-party official</x:v>
      </x:c>
      <x:c r="G124" s="75" t="str">
        <x:v>Primary</x:v>
      </x:c>
      <x:c r="H124" s="75" t="str">
        <x:v>Multiple</x:v>
      </x:c>
      <x:c r="I124" s="75" t="str">
        <x:v>English</x:v>
      </x:c>
    </x:row>
    <x:row r="125">
      <x:c r="A125" s="75" t="str">
        <x:v>Armada</x:v>
      </x:c>
      <x:c r="B125" s="75" t="str">
        <x:v>Discord migration</x:v>
      </x:c>
      <x:c r="C125" s="75" t="str">
        <x:v>https://soapbox.pub/blog/migrate-discord-server-to-armada</x:v>
      </x:c>
      <x:c r="D125" s="75" t="str">
        <x:v>Built-in Discord import: channels, roles, custom emoji, mapped permissions, up to 10,000 messages/channel for eligible servers, plus optional two-way bridge.</x:v>
      </x:c>
      <x:c r="E125" s="75" t="str">
        <x:v>2026-09-16</x:v>
      </x:c>
      <x:c r="F125" s="75" t="str">
        <x:v>First-party official</x:v>
      </x:c>
      <x:c r="G125" s="75" t="str">
        <x:v>Primary</x:v>
      </x:c>
      <x:c r="H125" s="75" t="str">
        <x:v>Portability / Bridging</x:v>
      </x:c>
      <x:c r="I125" s="75" t="str">
        <x:v>English</x:v>
      </x:c>
    </x:row>
    <x:row r="126">
      <x:c r="A126" s="75" t="str">
        <x:v>Discord</x:v>
      </x:c>
      <x:c r="B126" s="75" t="str">
        <x:v>File uploads</x:v>
      </x:c>
      <x:c r="C126" s="75" t="str">
        <x:v>https://support.discord.com/hc/en-us/articles/25444343291031-File-Attachments-FAQ</x:v>
      </x:c>
      <x:c r="D126" s="75" t="str">
        <x:v>As of Aug 2026: free attachment limit 20 MB; Nitro Basic 50 MB; Nitro up to 500 MB.</x:v>
      </x:c>
      <x:c r="E126" s="75" t="str">
        <x:v>2026-09-16</x:v>
      </x:c>
      <x:c r="F126" s="75" t="str">
        <x:v>First-party official</x:v>
      </x:c>
      <x:c r="G126" s="75" t="str">
        <x:v>Primary</x:v>
      </x:c>
      <x:c r="H126" s="75" t="str">
        <x:v>Files &amp; Storage</x:v>
      </x:c>
      <x:c r="I126" s="75" t="str">
        <x:v>English</x:v>
      </x:c>
    </x:row>
    <x:row r="127">
      <x:c r="A127" s="75" t="str">
        <x:v>TeamSpeak</x:v>
      </x:c>
      <x:c r="B127" s="75" t="str">
        <x:v>File transfers</x:v>
      </x:c>
      <x:c r="C127" s="75" t="str">
        <x:v>https://support.teamspeak.com/hc/en-us/articles/360002746378-Is-there-a-size-limit-to-the-files-I-can-send-transfer</x:v>
      </x:c>
      <x:c r="D127" s="75" t="str">
        <x:v>TeamSpeak support states a 10 MB per-file transfer limit as of Apr 2026.</x:v>
      </x:c>
      <x:c r="E127" s="75" t="str">
        <x:v>2026-09-16</x:v>
      </x:c>
      <x:c r="F127" s="75" t="str">
        <x:v>First-party official</x:v>
      </x:c>
      <x:c r="G127" s="75" t="str">
        <x:v>Primary</x:v>
      </x:c>
      <x:c r="H127" s="75" t="str">
        <x:v>Files &amp; Storage</x:v>
      </x:c>
      <x:c r="I127" s="75" t="str">
        <x:v>English</x:v>
      </x:c>
    </x:row>
    <x:row r="128">
      <x:c r="A128" s="75" t="str">
        <x:v>Mattermost</x:v>
      </x:c>
      <x:c r="B128" s="75" t="str">
        <x:v>Product limits</x:v>
      </x:c>
      <x:c r="C128" s="75" t="str">
        <x:v>https://docs.mattermost.com/administration-guide/manage/product-limits</x:v>
      </x:c>
      <x:c r="D128" s="75" t="str">
        <x:v>Mattermost documents a 100 MB hard limit for attachment files, configurable by administrators.</x:v>
      </x:c>
      <x:c r="E128" s="75" t="str">
        <x:v>2026-09-16</x:v>
      </x:c>
      <x:c r="F128" s="75" t="str">
        <x:v>First-party official</x:v>
      </x:c>
      <x:c r="G128" s="75" t="str">
        <x:v>Primary</x:v>
      </x:c>
      <x:c r="H128" s="75" t="str">
        <x:v>Files &amp; Storage</x:v>
      </x:c>
      <x:c r="I128" s="75" t="str">
        <x:v>English</x:v>
      </x:c>
    </x:row>
    <x:row r="129">
      <x:c r="A129" s="75" t="str">
        <x:v>Rocket.Chat</x:v>
      </x:c>
      <x:c r="B129" s="75" t="str">
        <x:v>File uploads</x:v>
      </x:c>
      <x:c r="C129" s="75" t="str">
        <x:v>https://docs.rocket.chat/docs/file-upload</x:v>
      </x:c>
      <x:c r="D129" s="75" t="str">
        <x:v>Self-managed workspaces configure maximum file upload size; -1 removes the Rocket.Chat application-level limit, subject to proxy/storage limits.</x:v>
      </x:c>
      <x:c r="E129" s="75" t="str">
        <x:v>2026-09-16</x:v>
      </x:c>
      <x:c r="F129" s="75" t="str">
        <x:v>First-party official</x:v>
      </x:c>
      <x:c r="G129" s="75" t="str">
        <x:v>Primary</x:v>
      </x:c>
      <x:c r="H129" s="75" t="str">
        <x:v>Files &amp; Storage</x:v>
      </x:c>
      <x:c r="I129" s="75" t="str">
        <x:v>English</x:v>
      </x:c>
    </x:row>
  </x:sheetData>
  <x:mergeCells>
    <x:mergeCell ref="A1:I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36" hidden="0" customWidth="1"/>
    <x:col min="4" max="4" width="22" hidden="0" customWidth="1"/>
    <x:col min="5" max="5" width="18" hidden="0" customWidth="1"/>
    <x:col min="6" max="6" width="22" hidden="0" customWidth="1"/>
    <x:col min="7" max="7" width="36" hidden="0" customWidth="1"/>
    <x:col min="8" max="8" width="15" hidden="0" customWidth="1"/>
  </x:cols>
  <x:sheetData>
    <x:row r="1" ht="28" customHeight="1">
      <x:c r="A1" s="130" t="str">
        <x:f>IFERROR(HYPERLINK("#'Sheet Directory'!A1","Website Links — categorized by source-page language (English default)"),"Website Links — categorized by source-page language (English default)")</x:f>
        <x:v>Website Links — categorized by source-page language (English default)</x:v>
      </x:c>
      <x:c r="B1" s="130"/>
      <x:c r="C1" s="130"/>
      <x:c r="D1" s="130"/>
      <x:c r="E1" s="130"/>
      <x:c r="F1" s="130"/>
      <x:c r="G1" s="130"/>
      <x:c r="H1" s="130"/>
    </x:row>
    <x:row r="2" ht="32" customHeight="1">
      <x:c r="A2" s="116" t="s">
        <x:v>169</x:v>
      </x:c>
      <x:c r="B2" s="116" t="s">
        <x:v>517</x:v>
      </x:c>
      <x:c r="C2" s="116" t="s">
        <x:v>644</x:v>
      </x:c>
      <x:c r="D2" s="116" t="s">
        <x:v>950</x:v>
      </x:c>
      <x:c r="E2" s="116" t="s">
        <x:v>510</x:v>
      </x:c>
      <x:c r="F2" s="116" t="s">
        <x:v>951</x:v>
      </x:c>
      <x:c r="G2" s="116" t="s">
        <x:v>513</x:v>
      </x:c>
      <x:c r="H2" s="116" t="s">
        <x:v>192</x:v>
      </x:c>
    </x:row>
    <x:row r="3" ht="22" customHeight="1">
      <x:c r="A3" s="139" t="s">
        <x:v>525</x:v>
      </x:c>
      <x:c r="B3" s="139"/>
      <x:c r="C3" s="139"/>
      <x:c r="D3" s="139"/>
      <x:c r="E3" s="139"/>
      <x:c r="F3" s="139"/>
      <x:c r="G3" s="139"/>
      <x:c r="H3" s="139"/>
    </x:row>
    <x:row r="4">
      <x:c r="A4" s="75" t="s">
        <x:v>448</x:v>
      </x:c>
      <x:c r="B4" s="75" t="s">
        <x:v>525</x:v>
      </x:c>
      <x:c r="C4" s="75" t="s">
        <x:v>897</x:v>
      </x:c>
      <x:c r="D4" s="75" t="s">
        <x:v>911</x:v>
      </x:c>
      <x:c r="E4" s="75" t="s">
        <x:v>732</x:v>
      </x:c>
      <x:c r="F4" s="75" t="s">
        <x:v>952</x:v>
      </x:c>
      <x:c r="G4" s="75" t="s">
        <x:v>953</x:v>
      </x:c>
      <x:c r="H4" s="75" t="str">
        <x:v>2026-09-16</x:v>
      </x:c>
    </x:row>
    <x:row r="5">
      <x:c r="A5" s="75" t="s">
        <x:v>456</x:v>
      </x:c>
      <x:c r="B5" s="75" t="s">
        <x:v>525</x:v>
      </x:c>
      <x:c r="C5" s="75" t="s">
        <x:v>769</x:v>
      </x:c>
      <x:c r="D5" s="75" t="s">
        <x:v>768</x:v>
      </x:c>
      <x:c r="E5" s="75" t="s">
        <x:v>732</x:v>
      </x:c>
      <x:c r="F5" s="75" t="s">
        <x:v>952</x:v>
      </x:c>
      <x:c r="G5" s="75" t="s">
        <x:v>954</x:v>
      </x:c>
      <x:c r="H5" s="75" t="str">
        <x:v>2026-09-16</x:v>
      </x:c>
    </x:row>
    <x:row r="6">
      <x:c r="A6" s="75" t="s">
        <x:v>194</x:v>
      </x:c>
      <x:c r="B6" s="75" t="s">
        <x:v>525</x:v>
      </x:c>
      <x:c r="C6" s="75" t="s">
        <x:v>955</x:v>
      </x:c>
      <x:c r="D6" s="75" t="s">
        <x:v>911</x:v>
      </x:c>
      <x:c r="E6" s="75" t="s">
        <x:v>732</x:v>
      </x:c>
      <x:c r="F6" s="75" t="s">
        <x:v>952</x:v>
      </x:c>
      <x:c r="G6" s="75" t="s">
        <x:v>956</x:v>
      </x:c>
      <x:c r="H6" s="75" t="str">
        <x:v>2026-09-16</x:v>
      </x:c>
    </x:row>
    <x:row r="7">
      <x:c r="A7" s="75" t="s">
        <x:v>474</x:v>
      </x:c>
      <x:c r="B7" s="75" t="s">
        <x:v>525</x:v>
      </x:c>
      <x:c r="C7" s="75" t="s">
        <x:v>776</x:v>
      </x:c>
      <x:c r="D7" s="75" t="s">
        <x:v>911</x:v>
      </x:c>
      <x:c r="E7" s="75" t="s">
        <x:v>732</x:v>
      </x:c>
      <x:c r="F7" s="75" t="s">
        <x:v>952</x:v>
      </x:c>
      <x:c r="G7" s="75" t="s">
        <x:v>957</x:v>
      </x:c>
      <x:c r="H7" s="75" t="str">
        <x:v>2026-09-16</x:v>
      </x:c>
    </x:row>
    <x:row r="8">
      <x:c r="A8" s="75" t="s">
        <x:v>231</x:v>
      </x:c>
      <x:c r="B8" s="75" t="s">
        <x:v>525</x:v>
      </x:c>
      <x:c r="C8" s="75" t="s">
        <x:v>660</x:v>
      </x:c>
      <x:c r="D8" s="75" t="s">
        <x:v>911</x:v>
      </x:c>
      <x:c r="E8" s="75" t="s">
        <x:v>732</x:v>
      </x:c>
      <x:c r="F8" s="75" t="s">
        <x:v>952</x:v>
      </x:c>
      <x:c r="G8" s="75" t="s">
        <x:v>956</x:v>
      </x:c>
      <x:c r="H8" s="75" t="str">
        <x:v>2026-09-16</x:v>
      </x:c>
    </x:row>
    <x:row r="9">
      <x:c r="A9" s="75" t="s">
        <x:v>247</x:v>
      </x:c>
      <x:c r="B9" s="75" t="s">
        <x:v>525</x:v>
      </x:c>
      <x:c r="C9" s="75" t="s">
        <x:v>958</x:v>
      </x:c>
      <x:c r="D9" s="75" t="s">
        <x:v>911</x:v>
      </x:c>
      <x:c r="E9" s="75" t="s">
        <x:v>732</x:v>
      </x:c>
      <x:c r="F9" s="75" t="s">
        <x:v>952</x:v>
      </x:c>
      <x:c r="G9" s="75" t="s">
        <x:v>956</x:v>
      </x:c>
      <x:c r="H9" s="75" t="str">
        <x:v>2026-09-16</x:v>
      </x:c>
    </x:row>
    <x:row r="10">
      <x:c r="A10" s="75" t="s">
        <x:v>364</x:v>
      </x:c>
      <x:c r="B10" s="75" t="s">
        <x:v>525</x:v>
      </x:c>
      <x:c r="C10" s="75" t="s">
        <x:v>727</x:v>
      </x:c>
      <x:c r="D10" s="75" t="s">
        <x:v>911</x:v>
      </x:c>
      <x:c r="E10" s="75" t="s">
        <x:v>732</x:v>
      </x:c>
      <x:c r="F10" s="75" t="s">
        <x:v>952</x:v>
      </x:c>
      <x:c r="G10" s="75" t="s">
        <x:v>957</x:v>
      </x:c>
      <x:c r="H10" s="75" t="str">
        <x:v>2026-09-16</x:v>
      </x:c>
    </x:row>
    <x:row r="11">
      <x:c r="A11" s="75" t="str">
        <x:v>Harmony</x:v>
      </x:c>
      <x:c r="B11" s="75" t="str">
        <x:v>English</x:v>
      </x:c>
      <x:c r="C11" s="75" t="str">
        <x:v>https://joinharmony.app/</x:v>
      </x:c>
      <x:c r="D11" s="75" t="str">
        <x:v>Homepage</x:v>
      </x:c>
      <x:c r="E11" s="75" t="str">
        <x:v>Product</x:v>
      </x:c>
      <x:c r="F11" s="75" t="str">
        <x:v>Verified</x:v>
      </x:c>
      <x:c r="G11" s="75" t="str">
        <x:v>Current official Harmony site: AGPL-3.0, E2EE DMs, Tauri desktop, LiveKit voice, hosted + self-hosted plans</x:v>
      </x:c>
      <x:c r="H11" s="75" t="str">
        <x:v>2026-09-16</x:v>
      </x:c>
    </x:row>
    <x:row r="12">
      <x:c r="A12" s="75" t="s">
        <x:v>452</x:v>
      </x:c>
      <x:c r="B12" s="75" t="s">
        <x:v>525</x:v>
      </x:c>
      <x:c r="C12" s="75" t="s">
        <x:v>454</x:v>
      </x:c>
      <x:c r="D12" s="75" t="s">
        <x:v>901</x:v>
      </x:c>
      <x:c r="E12" s="75" t="s">
        <x:v>732</x:v>
      </x:c>
      <x:c r="F12" s="75" t="s">
        <x:v>891</x:v>
      </x:c>
      <x:c r="G12" s="75" t="s">
        <x:v>959</x:v>
      </x:c>
      <x:c r="H12" s="75" t="str">
        <x:v>2026-09-16</x:v>
      </x:c>
    </x:row>
    <x:row r="13">
      <x:c r="A13" s="75" t="s">
        <x:v>910</x:v>
      </x:c>
      <x:c r="B13" s="75" t="s">
        <x:v>525</x:v>
      </x:c>
      <x:c r="C13" s="75" t="s">
        <x:v>912</x:v>
      </x:c>
      <x:c r="D13" s="75" t="s">
        <x:v>911</x:v>
      </x:c>
      <x:c r="E13" s="75" t="s">
        <x:v>732</x:v>
      </x:c>
      <x:c r="F13" s="75" t="s">
        <x:v>952</x:v>
      </x:c>
      <x:c r="G13" s="75" t="s">
        <x:v>960</x:v>
      </x:c>
      <x:c r="H13" s="75" t="str">
        <x:v>2026-09-16</x:v>
      </x:c>
    </x:row>
    <x:row r="14">
      <x:c r="A14" s="75" t="s">
        <x:v>910</x:v>
      </x:c>
      <x:c r="B14" s="75" t="s">
        <x:v>525</x:v>
      </x:c>
      <x:c r="C14" s="75" t="s">
        <x:v>916</x:v>
      </x:c>
      <x:c r="D14" s="75" t="s">
        <x:v>901</x:v>
      </x:c>
      <x:c r="E14" s="75" t="s">
        <x:v>961</x:v>
      </x:c>
      <x:c r="F14" s="75" t="s">
        <x:v>952</x:v>
      </x:c>
      <x:c r="G14" s="75" t="s">
        <x:v>962</x:v>
      </x:c>
      <x:c r="H14" s="75" t="str">
        <x:v>2026-09-16</x:v>
      </x:c>
    </x:row>
    <x:row r="15">
      <x:c r="A15" s="75" t="s">
        <x:v>417</x:v>
      </x:c>
      <x:c r="B15" s="75" t="s">
        <x:v>525</x:v>
      </x:c>
      <x:c r="C15" s="75" t="s">
        <x:v>751</x:v>
      </x:c>
      <x:c r="D15" s="75" t="s">
        <x:v>911</x:v>
      </x:c>
      <x:c r="E15" s="75" t="s">
        <x:v>732</x:v>
      </x:c>
      <x:c r="F15" s="75" t="s">
        <x:v>952</x:v>
      </x:c>
      <x:c r="G15" s="75" t="s">
        <x:v>957</x:v>
      </x:c>
      <x:c r="H15" s="75" t="str">
        <x:v>2026-09-16</x:v>
      </x:c>
    </x:row>
    <x:row r="16">
      <x:c r="A16" s="75" t="s">
        <x:v>392</x:v>
      </x:c>
      <x:c r="B16" s="75" t="s">
        <x:v>525</x:v>
      </x:c>
      <x:c r="C16" s="75" t="s">
        <x:v>741</x:v>
      </x:c>
      <x:c r="D16" s="75" t="s">
        <x:v>911</x:v>
      </x:c>
      <x:c r="E16" s="75" t="s">
        <x:v>732</x:v>
      </x:c>
      <x:c r="F16" s="75" t="s">
        <x:v>952</x:v>
      </x:c>
      <x:c r="G16" s="75" t="s">
        <x:v>957</x:v>
      </x:c>
      <x:c r="H16" s="75" t="str">
        <x:v>2026-09-16</x:v>
      </x:c>
    </x:row>
    <x:row r="17">
      <x:c r="A17" s="75" t="s">
        <x:v>97</x:v>
      </x:c>
      <x:c r="B17" s="75" t="s">
        <x:v>525</x:v>
      </x:c>
      <x:c r="C17" s="75" t="s">
        <x:v>963</x:v>
      </x:c>
      <x:c r="D17" s="75" t="s">
        <x:v>911</x:v>
      </x:c>
      <x:c r="E17" s="75" t="s">
        <x:v>964</x:v>
      </x:c>
      <x:c r="F17" s="75" t="s">
        <x:v>952</x:v>
      </x:c>
      <x:c r="G17" s="75" t="s">
        <x:v>965</x:v>
      </x:c>
      <x:c r="H17" s="75" t="str">
        <x:v>2026-09-16</x:v>
      </x:c>
    </x:row>
    <x:row r="18">
      <x:c r="A18" s="75" t="s">
        <x:v>335</x:v>
      </x:c>
      <x:c r="B18" s="75" t="s">
        <x:v>525</x:v>
      </x:c>
      <x:c r="C18" s="75" t="s">
        <x:v>966</x:v>
      </x:c>
      <x:c r="D18" s="75" t="s">
        <x:v>911</x:v>
      </x:c>
      <x:c r="E18" s="75" t="s">
        <x:v>732</x:v>
      </x:c>
      <x:c r="F18" s="75" t="s">
        <x:v>952</x:v>
      </x:c>
      <x:c r="G18" s="75" t="s">
        <x:v>957</x:v>
      </x:c>
      <x:c r="H18" s="75" t="str">
        <x:v>2026-09-16</x:v>
      </x:c>
    </x:row>
    <x:row r="19">
      <x:c r="A19" s="75" t="s">
        <x:v>413</x:v>
      </x:c>
      <x:c r="B19" s="75" t="s">
        <x:v>525</x:v>
      </x:c>
      <x:c r="C19" s="75" t="s">
        <x:v>747</x:v>
      </x:c>
      <x:c r="D19" s="75" t="s">
        <x:v>967</x:v>
      </x:c>
      <x:c r="E19" s="75" t="s">
        <x:v>732</x:v>
      </x:c>
      <x:c r="F19" s="75" t="s">
        <x:v>952</x:v>
      </x:c>
      <x:c r="G19" s="75" t="s">
        <x:v>968</x:v>
      </x:c>
      <x:c r="H19" s="75" t="str">
        <x:v>2026-09-16</x:v>
      </x:c>
    </x:row>
    <x:row r="20">
      <x:c r="A20" s="75" t="s">
        <x:v>305</x:v>
      </x:c>
      <x:c r="B20" s="75" t="s">
        <x:v>525</x:v>
      </x:c>
      <x:c r="C20" s="75" t="s">
        <x:v>307</x:v>
      </x:c>
      <x:c r="D20" s="75" t="s">
        <x:v>911</x:v>
      </x:c>
      <x:c r="E20" s="75" t="s">
        <x:v>732</x:v>
      </x:c>
      <x:c r="F20" s="75" t="s">
        <x:v>952</x:v>
      </x:c>
      <x:c r="G20" s="75" t="s">
        <x:v>969</x:v>
      </x:c>
      <x:c r="H20" s="75" t="str">
        <x:v>2026-09-16</x:v>
      </x:c>
    </x:row>
    <x:row r="21">
      <x:c r="A21" s="75" t="s">
        <x:v>378</x:v>
      </x:c>
      <x:c r="B21" s="75" t="s">
        <x:v>525</x:v>
      </x:c>
      <x:c r="C21" s="75" t="s">
        <x:v>380</x:v>
      </x:c>
      <x:c r="D21" s="75" t="s">
        <x:v>911</x:v>
      </x:c>
      <x:c r="E21" s="75" t="s">
        <x:v>732</x:v>
      </x:c>
      <x:c r="F21" s="75" t="s">
        <x:v>952</x:v>
      </x:c>
      <x:c r="G21" s="75" t="s">
        <x:v>970</x:v>
      </x:c>
      <x:c r="H21" s="75" t="str">
        <x:v>2026-09-16</x:v>
      </x:c>
    </x:row>
    <x:row r="22">
      <x:c r="A22" s="75" t="s">
        <x:v>382</x:v>
      </x:c>
      <x:c r="B22" s="75" t="s">
        <x:v>525</x:v>
      </x:c>
      <x:c r="C22" s="75" t="s">
        <x:v>737</x:v>
      </x:c>
      <x:c r="D22" s="75" t="s">
        <x:v>911</x:v>
      </x:c>
      <x:c r="E22" s="75" t="s">
        <x:v>732</x:v>
      </x:c>
      <x:c r="F22" s="75" t="s">
        <x:v>952</x:v>
      </x:c>
      <x:c r="G22" s="75" t="s">
        <x:v>957</x:v>
      </x:c>
      <x:c r="H22" s="75" t="str">
        <x:v>2026-09-16</x:v>
      </x:c>
    </x:row>
    <x:row r="23">
      <x:c r="A23" s="75" t="str">
        <x:v>pqp.gg</x:v>
      </x:c>
      <x:c r="B23" s="75" t="str">
        <x:v>English</x:v>
      </x:c>
      <x:c r="C23" s="75" t="str">
        <x:v>https://pqp.gg/</x:v>
      </x:c>
      <x:c r="D23" s="75" t="str">
        <x:v>Homepage</x:v>
      </x:c>
      <x:c r="E23" s="75" t="str">
        <x:v>Product</x:v>
      </x:c>
      <x:c r="F23" s="75" t="str">
        <x:v>Verified</x:v>
      </x:c>
      <x:c r="G23" s="75" t="str">
        <x:v>Official hosted product; Portuguese-first with English-accessible pages.</x:v>
      </x:c>
      <x:c r="H23" s="75" t="str">
        <x:v>2026-09-16</x:v>
      </x:c>
    </x:row>
    <x:row r="24">
      <x:c r="A24" s="75" t="s">
        <x:v>459</x:v>
      </x:c>
      <x:c r="B24" s="75" t="s">
        <x:v>525</x:v>
      </x:c>
      <x:c r="C24" s="75" t="s">
        <x:v>774</x:v>
      </x:c>
      <x:c r="D24" s="75" t="s">
        <x:v>911</x:v>
      </x:c>
      <x:c r="E24" s="75" t="s">
        <x:v>732</x:v>
      </x:c>
      <x:c r="F24" s="75" t="s">
        <x:v>952</x:v>
      </x:c>
      <x:c r="G24" s="75" t="s">
        <x:v>971</x:v>
      </x:c>
      <x:c r="H24" s="75" t="str">
        <x:v>2026-09-16</x:v>
      </x:c>
    </x:row>
    <x:row r="25">
      <x:c r="A25" s="75" t="s">
        <x:v>351</x:v>
      </x:c>
      <x:c r="B25" s="75" t="s">
        <x:v>525</x:v>
      </x:c>
      <x:c r="C25" s="75" t="s">
        <x:v>972</x:v>
      </x:c>
      <x:c r="D25" s="75" t="s">
        <x:v>911</x:v>
      </x:c>
      <x:c r="E25" s="75" t="s">
        <x:v>732</x:v>
      </x:c>
      <x:c r="F25" s="75" t="s">
        <x:v>952</x:v>
      </x:c>
      <x:c r="G25" s="75" t="s">
        <x:v>957</x:v>
      </x:c>
      <x:c r="H25" s="75" t="str">
        <x:v>2026-09-16</x:v>
      </x:c>
    </x:row>
    <x:row r="26">
      <x:c r="A26" s="75" t="s">
        <x:v>445</x:v>
      </x:c>
      <x:c r="B26" s="75" t="s">
        <x:v>525</x:v>
      </x:c>
      <x:c r="C26" s="75" t="s">
        <x:v>761</x:v>
      </x:c>
      <x:c r="D26" s="75" t="s">
        <x:v>901</x:v>
      </x:c>
      <x:c r="E26" s="75" t="s">
        <x:v>732</x:v>
      </x:c>
      <x:c r="F26" s="75" t="s">
        <x:v>891</x:v>
      </x:c>
      <x:c r="G26" s="75" t="s">
        <x:v>973</x:v>
      </x:c>
      <x:c r="H26" s="75" t="str">
        <x:v>2026-09-16</x:v>
      </x:c>
    </x:row>
    <x:row r="27">
      <x:c r="A27" s="75" t="s">
        <x:v>264</x:v>
      </x:c>
      <x:c r="B27" s="75" t="s">
        <x:v>525</x:v>
      </x:c>
      <x:c r="C27" s="75" t="s">
        <x:v>974</x:v>
      </x:c>
      <x:c r="D27" s="75" t="s">
        <x:v>911</x:v>
      </x:c>
      <x:c r="E27" s="75" t="s">
        <x:v>732</x:v>
      </x:c>
      <x:c r="F27" s="75" t="s">
        <x:v>952</x:v>
      </x:c>
      <x:c r="G27" s="75" t="s">
        <x:v>956</x:v>
      </x:c>
      <x:c r="H27" s="75" t="str">
        <x:v>2026-09-16</x:v>
      </x:c>
    </x:row>
    <x:row r="28">
      <x:c r="A28" s="75" t="s">
        <x:v>298</x:v>
      </x:c>
      <x:c r="B28" s="75" t="s">
        <x:v>525</x:v>
      </x:c>
      <x:c r="C28" s="75" t="s">
        <x:v>700</x:v>
      </x:c>
      <x:c r="D28" s="75" t="s">
        <x:v>967</x:v>
      </x:c>
      <x:c r="E28" s="75" t="s">
        <x:v>961</x:v>
      </x:c>
      <x:c r="F28" s="75" t="s">
        <x:v>952</x:v>
      </x:c>
      <x:c r="G28" s="75" t="s">
        <x:v>975</x:v>
      </x:c>
      <x:c r="H28" s="75" t="str">
        <x:v>2026-09-16</x:v>
      </x:c>
    </x:row>
    <x:row r="29">
      <x:c r="A29" s="75" t="s">
        <x:v>214</x:v>
      </x:c>
      <x:c r="B29" s="75" t="s">
        <x:v>525</x:v>
      </x:c>
      <x:c r="C29" s="75" t="s">
        <x:v>867</x:v>
      </x:c>
      <x:c r="D29" s="75" t="s">
        <x:v>911</x:v>
      </x:c>
      <x:c r="E29" s="75" t="s">
        <x:v>732</x:v>
      </x:c>
      <x:c r="F29" s="75" t="s">
        <x:v>952</x:v>
      </x:c>
      <x:c r="G29" s="75" t="s">
        <x:v>956</x:v>
      </x:c>
      <x:c r="H29" s="75" t="str">
        <x:v>2026-09-16</x:v>
      </x:c>
    </x:row>
    <x:row r="30">
      <x:c r="A30" s="75" t="s">
        <x:v>309</x:v>
      </x:c>
      <x:c r="B30" s="75" t="s">
        <x:v>525</x:v>
      </x:c>
      <x:c r="C30" s="75" t="s">
        <x:v>712</x:v>
      </x:c>
      <x:c r="D30" s="75" t="s">
        <x:v>911</x:v>
      </x:c>
      <x:c r="E30" s="75" t="s">
        <x:v>732</x:v>
      </x:c>
      <x:c r="F30" s="75" t="s">
        <x:v>952</x:v>
      </x:c>
      <x:c r="G30" s="75" t="s">
        <x:v>957</x:v>
      </x:c>
      <x:c r="H30" s="75" t="str">
        <x:v>2026-09-16</x:v>
      </x:c>
    </x:row>
    <x:row r="31">
      <x:c r="A31" s="75" t="s">
        <x:v>488</x:v>
      </x:c>
      <x:c r="B31" s="75" t="s">
        <x:v>525</x:v>
      </x:c>
      <x:c r="C31" s="75" t="s">
        <x:v>976</x:v>
      </x:c>
      <x:c r="D31" s="75" t="s">
        <x:v>911</x:v>
      </x:c>
      <x:c r="E31" s="75" t="s">
        <x:v>732</x:v>
      </x:c>
      <x:c r="F31" s="75" t="s">
        <x:v>952</x:v>
      </x:c>
      <x:c r="G31" s="75" t="s">
        <x:v>977</x:v>
      </x:c>
      <x:c r="H31" s="75" t="str">
        <x:v>2026-09-16</x:v>
      </x:c>
    </x:row>
    <x:row r="32" ht="30">
      <x:c r="A32" s="75" t="s">
        <x:v>409</x:v>
      </x:c>
      <x:c r="B32" s="75" t="s">
        <x:v>525</x:v>
      </x:c>
      <x:c r="C32" s="75" t="s">
        <x:v>744</x:v>
      </x:c>
      <x:c r="D32" s="75" t="s">
        <x:v>743</x:v>
      </x:c>
      <x:c r="E32" s="75" t="s">
        <x:v>961</x:v>
      </x:c>
      <x:c r="F32" s="75" t="s">
        <x:v>978</x:v>
      </x:c>
      <x:c r="G32" s="75" t="s">
        <x:v>979</x:v>
      </x:c>
      <x:c r="H32" s="75" t="str">
        <x:v>2026-09-16</x:v>
      </x:c>
    </x:row>
    <x:row r="33">
      <x:c r="A33" s="75" t="s">
        <x:v>497</x:v>
      </x:c>
      <x:c r="B33" s="75" t="s">
        <x:v>525</x:v>
      </x:c>
      <x:c r="C33" s="75" t="s">
        <x:v>980</x:v>
      </x:c>
      <x:c r="D33" s="75" t="s">
        <x:v>911</x:v>
      </x:c>
      <x:c r="E33" s="75" t="s">
        <x:v>732</x:v>
      </x:c>
      <x:c r="F33" s="75" t="s">
        <x:v>952</x:v>
      </x:c>
      <x:c r="G33" s="75" t="s">
        <x:v>957</x:v>
      </x:c>
      <x:c r="H33" s="75" t="str">
        <x:v>2026-09-16</x:v>
      </x:c>
    </x:row>
    <x:row r="34" ht="23.100000381469727" customHeight="1">
      <x:c r="A34" s="146" t="s">
        <x:v>428</x:v>
      </x:c>
      <x:c r="B34" s="146" t="s">
        <x:v>525</x:v>
      </x:c>
      <x:c r="C34" s="146" t="s">
        <x:v>754</x:v>
      </x:c>
      <x:c r="D34" s="146" t="s">
        <x:v>911</x:v>
      </x:c>
      <x:c r="E34" s="146" t="s">
        <x:v>732</x:v>
      </x:c>
      <x:c r="F34" s="146" t="s">
        <x:v>952</x:v>
      </x:c>
      <x:c r="G34" s="146" t="s">
        <x:v>957</x:v>
      </x:c>
      <x:c r="H34" s="146" t="str">
        <x:v>2026-09-16</x:v>
      </x:c>
    </x:row>
    <x:row r="35">
      <x:c r="A35" s="75" t="s">
        <x:v>320</x:v>
      </x:c>
      <x:c r="B35" s="75" t="s">
        <x:v>525</x:v>
      </x:c>
      <x:c r="C35" s="75" t="s">
        <x:v>981</x:v>
      </x:c>
      <x:c r="D35" s="75" t="s">
        <x:v>911</x:v>
      </x:c>
      <x:c r="E35" s="75" t="s">
        <x:v>732</x:v>
      </x:c>
      <x:c r="F35" s="75" t="s">
        <x:v>952</x:v>
      </x:c>
      <x:c r="G35" s="75" t="s">
        <x:v>957</x:v>
      </x:c>
      <x:c r="H35" s="75" t="str">
        <x:v>2026-09-16</x:v>
      </x:c>
    </x:row>
    <x:row r="36" ht="22" customHeight="1">
      <x:c r="A36" s="139" t="s">
        <x:v>982</x:v>
      </x:c>
      <x:c r="B36" s="139"/>
      <x:c r="C36" s="139"/>
      <x:c r="D36" s="139"/>
      <x:c r="E36" s="139"/>
      <x:c r="F36" s="139"/>
      <x:c r="G36" s="139"/>
      <x:c r="H36" s="139"/>
    </x:row>
    <x:row r="37" ht="23.100000381469727" customHeight="1">
      <x:c r="A37" s="146" t="s">
        <x:v>364</x:v>
      </x:c>
      <x:c r="B37" s="146" t="s">
        <x:v>982</x:v>
      </x:c>
      <x:c r="C37" s="146" t="s">
        <x:v>983</x:v>
      </x:c>
      <x:c r="D37" s="146" t="s">
        <x:v>984</x:v>
      </x:c>
      <x:c r="E37" s="146" t="s">
        <x:v>732</x:v>
      </x:c>
      <x:c r="F37" s="146" t="s">
        <x:v>952</x:v>
      </x:c>
      <x:c r="G37" s="146" t="s">
        <x:v>985</x:v>
      </x:c>
      <x:c r="H37" s="146" t="s">
        <x:v>131</x:v>
      </x:c>
    </x:row>
    <x:row r="38">
      <x:c r="A38" s="75" t="s">
        <x:v>459</x:v>
      </x:c>
      <x:c r="B38" s="75" t="s">
        <x:v>982</x:v>
      </x:c>
      <x:c r="C38" s="75" t="s">
        <x:v>986</x:v>
      </x:c>
      <x:c r="D38" s="75" t="s">
        <x:v>987</x:v>
      </x:c>
      <x:c r="E38" s="75" t="s">
        <x:v>988</x:v>
      </x:c>
      <x:c r="F38" s="75" t="s">
        <x:v>952</x:v>
      </x:c>
      <x:c r="G38" s="75" t="s">
        <x:v>989</x:v>
      </x:c>
      <x:c r="H38" s="75" t="s">
        <x:v>131</x:v>
      </x:c>
    </x:row>
    <x:row r="39" ht="22" customHeight="1">
      <x:c r="A39" s="139" t="s">
        <x:v>990</x:v>
      </x:c>
      <x:c r="B39" s="139"/>
      <x:c r="C39" s="139"/>
      <x:c r="D39" s="139"/>
      <x:c r="E39" s="139"/>
      <x:c r="F39" s="139"/>
      <x:c r="G39" s="139"/>
      <x:c r="H39" s="139"/>
    </x:row>
    <x:row r="40">
      <x:c r="A40" s="75" t="s">
        <x:v>364</x:v>
      </x:c>
      <x:c r="B40" s="75" t="s">
        <x:v>990</x:v>
      </x:c>
      <x:c r="C40" s="75" t="s">
        <x:v>991</x:v>
      </x:c>
      <x:c r="D40" s="75" t="s">
        <x:v>984</x:v>
      </x:c>
      <x:c r="E40" s="75" t="s">
        <x:v>732</x:v>
      </x:c>
      <x:c r="F40" s="75" t="s">
        <x:v>952</x:v>
      </x:c>
      <x:c r="G40" s="75" t="s">
        <x:v>992</x:v>
      </x:c>
      <x:c r="H40" s="75" t="s">
        <x:v>131</x:v>
      </x:c>
    </x:row>
    <x:row r="41" ht="22" customHeight="1">
      <x:c r="A41" s="139" t="s">
        <x:v>993</x:v>
      </x:c>
      <x:c r="B41" s="139"/>
      <x:c r="C41" s="139"/>
      <x:c r="D41" s="139"/>
      <x:c r="E41" s="139"/>
      <x:c r="F41" s="139"/>
      <x:c r="G41" s="139"/>
      <x:c r="H41" s="139"/>
    </x:row>
    <x:row r="42">
      <x:c r="A42" s="75" t="s">
        <x:v>364</x:v>
      </x:c>
      <x:c r="B42" s="75" t="s">
        <x:v>993</x:v>
      </x:c>
      <x:c r="C42" s="75" t="s">
        <x:v>994</x:v>
      </x:c>
      <x:c r="D42" s="75" t="s">
        <x:v>984</x:v>
      </x:c>
      <x:c r="E42" s="75" t="s">
        <x:v>732</x:v>
      </x:c>
      <x:c r="F42" s="75" t="s">
        <x:v>952</x:v>
      </x:c>
      <x:c r="G42" s="75" t="s">
        <x:v>995</x:v>
      </x:c>
      <x:c r="H42" s="75" t="s">
        <x:v>131</x:v>
      </x:c>
    </x:row>
    <x:row r="43" ht="22" customHeight="1">
      <x:c r="A43" s="139" t="s">
        <x:v>996</x:v>
      </x:c>
      <x:c r="B43" s="139"/>
      <x:c r="C43" s="139"/>
      <x:c r="D43" s="139"/>
      <x:c r="E43" s="139"/>
      <x:c r="F43" s="139"/>
      <x:c r="G43" s="139"/>
      <x:c r="H43" s="139"/>
    </x:row>
    <x:row r="44">
      <x:c r="A44" s="75" t="s">
        <x:v>364</x:v>
      </x:c>
      <x:c r="B44" s="75" t="s">
        <x:v>996</x:v>
      </x:c>
      <x:c r="C44" s="75" t="s">
        <x:v>997</x:v>
      </x:c>
      <x:c r="D44" s="75" t="s">
        <x:v>984</x:v>
      </x:c>
      <x:c r="E44" s="75" t="s">
        <x:v>732</x:v>
      </x:c>
      <x:c r="F44" s="75" t="s">
        <x:v>952</x:v>
      </x:c>
      <x:c r="G44" s="75" t="s">
        <x:v>998</x:v>
      </x:c>
      <x:c r="H44" s="75" t="s">
        <x:v>131</x:v>
      </x:c>
    </x:row>
    <x:row r="45">
      <x:c r="A45" s="75" t="s">
        <x:v>459</x:v>
      </x:c>
      <x:c r="B45" s="75" t="s">
        <x:v>996</x:v>
      </x:c>
      <x:c r="C45" s="75" t="s">
        <x:v>999</x:v>
      </x:c>
      <x:c r="D45" s="75" t="s">
        <x:v>984</x:v>
      </x:c>
      <x:c r="E45" s="75" t="s">
        <x:v>732</x:v>
      </x:c>
      <x:c r="F45" s="75" t="s">
        <x:v>952</x:v>
      </x:c>
      <x:c r="G45" s="75" t="s">
        <x:v>1000</x:v>
      </x:c>
      <x:c r="H45" s="75" t="s">
        <x:v>131</x:v>
      </x:c>
    </x:row>
    <x:row r="46">
      <x:c r="A46" s="75" t="str">
        <x:v>pqp.gg</x:v>
      </x:c>
      <x:c r="B46" s="75" t="str">
        <x:v>English</x:v>
      </x:c>
      <x:c r="C46" s="75" t="str">
        <x:v>https://github.com/rafaelcg/pqp</x:v>
      </x:c>
      <x:c r="D46" s="75" t="str">
        <x:v>Project repository</x:v>
      </x:c>
      <x:c r="E46" s="75" t="str">
        <x:v>Project</x:v>
      </x:c>
      <x:c r="F46" s="75" t="str">
        <x:v>Verified</x:v>
      </x:c>
      <x:c r="G46" s="75" t="str">
        <x:v>AGPL-3.0 source and self-host docs</x:v>
      </x:c>
      <x:c r="H46" s="75" t="str">
        <x:v>2026-09-16</x:v>
      </x:c>
    </x:row>
    <x:row r="47">
      <x:c r="A47" s="75" t="str">
        <x:v>pqp.gg</x:v>
      </x:c>
      <x:c r="B47" s="75" t="str">
        <x:v>English</x:v>
      </x:c>
      <x:c r="C47" s="75" t="str">
        <x:v>https://pqp.gg/privacy</x:v>
      </x:c>
      <x:c r="D47" s="75" t="str">
        <x:v>Privacy policy</x:v>
      </x:c>
      <x:c r="E47" s="75" t="str">
        <x:v>Legal / Privacy</x:v>
      </x:c>
      <x:c r="F47" s="75" t="str">
        <x:v>Verified</x:v>
      </x:c>
      <x:c r="G47" s="75" t="str">
        <x:v>Official privacy policy</x:v>
      </x:c>
      <x:c r="H47" s="75" t="str">
        <x:v>2026-09-16</x:v>
      </x:c>
    </x:row>
    <x:row r="48">
      <x:c r="A48" s="75" t="str">
        <x:v>pqp.gg</x:v>
      </x:c>
      <x:c r="B48" s="75" t="str">
        <x:v>English</x:v>
      </x:c>
      <x:c r="C48" s="75" t="str">
        <x:v>https://pqp.gg/.well-known/security.txt</x:v>
      </x:c>
      <x:c r="D48" s="75" t="str">
        <x:v>Security contact</x:v>
      </x:c>
      <x:c r="E48" s="75" t="str">
        <x:v>Security</x:v>
      </x:c>
      <x:c r="F48" s="75" t="str">
        <x:v>Verified</x:v>
      </x:c>
      <x:c r="G48" s="75" t="str">
        <x:v>Official security.txt contact</x:v>
      </x:c>
      <x:c r="H48" s="75" t="str">
        <x:v>2026-09-16</x:v>
      </x:c>
    </x:row>
    <x:row r="49">
      <x:c r="A49" s="75" t="str">
        <x:v>pqp.gg</x:v>
      </x:c>
      <x:c r="B49" s="75" t="str">
        <x:v>English</x:v>
      </x:c>
      <x:c r="C49" s="75" t="str">
        <x:v>https://pqp.gg/blog</x:v>
      </x:c>
      <x:c r="D49" s="75" t="str">
        <x:v>Release notes</x:v>
      </x:c>
      <x:c r="E49" s="75" t="str">
        <x:v>Project health</x:v>
      </x:c>
      <x:c r="F49" s="75" t="str">
        <x:v>Verified</x:v>
      </x:c>
      <x:c r="G49" s="75" t="str">
        <x:v>Official blog / release notes</x:v>
      </x:c>
      <x:c r="H49" s="75" t="str">
        <x:v>2026-09-16</x:v>
      </x:c>
    </x:row>
    <x:row r="50">
      <x:c r="A50" s="75" t="str">
        <x:v>pqp.gg</x:v>
      </x:c>
      <x:c r="B50" s="75" t="str">
        <x:v>English</x:v>
      </x:c>
      <x:c r="C50" s="75" t="str">
        <x:v>https://pqp.gg/download</x:v>
      </x:c>
      <x:c r="D50" s="75" t="str">
        <x:v>Desktop download</x:v>
      </x:c>
      <x:c r="E50" s="75" t="str">
        <x:v>Client</x:v>
      </x:c>
      <x:c r="F50" s="75" t="str">
        <x:v>Verified</x:v>
      </x:c>
      <x:c r="G50" s="75" t="str">
        <x:v>Official Electron desktop download</x:v>
      </x:c>
      <x:c r="H50" s="75" t="str">
        <x:v>2026-09-16</x:v>
      </x:c>
    </x:row>
    <x:row r="51">
      <x:c r="A51" s="75" t="str">
        <x:v>pqp.gg</x:v>
      </x:c>
      <x:c r="B51" s="75" t="str">
        <x:v>English</x:v>
      </x:c>
      <x:c r="C51" s="75" t="str">
        <x:v>https://pqp.gg/beta</x:v>
      </x:c>
      <x:c r="D51" s="75" t="str">
        <x:v>iOS beta</x:v>
      </x:c>
      <x:c r="E51" s="75" t="str">
        <x:v>Client</x:v>
      </x:c>
      <x:c r="F51" s="75" t="str">
        <x:v>Verified</x:v>
      </x:c>
      <x:c r="G51" s="75" t="str">
        <x:v>Official TestFlight beta page</x:v>
      </x:c>
      <x:c r="H51" s="75" t="str">
        <x:v>2026-09-16</x:v>
      </x:c>
    </x:row>
    <x:row r="52">
      <x:c r="A52" s="75" t="str">
        <x:v>pqp.gg</x:v>
      </x:c>
      <x:c r="B52" s="75" t="str">
        <x:v>English</x:v>
      </x:c>
      <x:c r="C52" s="75" t="str">
        <x:v>https://pqp.gg/android</x:v>
      </x:c>
      <x:c r="D52" s="75" t="str">
        <x:v>Android beta</x:v>
      </x:c>
      <x:c r="E52" s="75" t="str">
        <x:v>Client</x:v>
      </x:c>
      <x:c r="F52" s="75" t="str">
        <x:v>Verified</x:v>
      </x:c>
      <x:c r="G52" s="75" t="str">
        <x:v>Official Android APK page</x:v>
      </x:c>
      <x:c r="H52" s="75" t="str">
        <x:v>2026-09-16</x:v>
      </x:c>
    </x:row>
    <x:row r="53">
      <x:c r="A53" s="75" t="str">
        <x:v>pqp.gg</x:v>
      </x:c>
      <x:c r="B53" s="75" t="str">
        <x:v>Portuguese</x:v>
      </x:c>
      <x:c r="C53" s="75" t="str">
        <x:v>https://pqp.gg/apoie</x:v>
      </x:c>
      <x:c r="D53" s="75" t="str">
        <x:v>Donations</x:v>
      </x:c>
      <x:c r="E53" s="75" t="str">
        <x:v>Funding</x:v>
      </x:c>
      <x:c r="F53" s="75" t="str">
        <x:v>Verified</x:v>
      </x:c>
      <x:c r="G53" s="75" t="str">
        <x:v>Optional donations; no feature unlocks</x:v>
      </x:c>
      <x:c r="H53" s="75" t="str">
        <x:v>2026-09-16</x:v>
      </x:c>
    </x:row>
    <x:row r="54">
      <x:c r="A54" s="75" t="str">
        <x:v>Harmony</x:v>
      </x:c>
      <x:c r="B54" s="75" t="str">
        <x:v>English</x:v>
      </x:c>
      <x:c r="C54" s="75" t="str">
        <x:v>https://github.com/MathMan05/Fermi</x:v>
      </x:c>
      <x:c r="D54" s="75" t="str">
        <x:v>Client repository</x:v>
      </x:c>
      <x:c r="E54" s="75" t="str">
        <x:v>Legacy / Client</x:v>
      </x:c>
      <x:c r="F54" s="75" t="str">
        <x:v>Verified project repository</x:v>
      </x:c>
      <x:c r="G54" s="75" t="str">
        <x:v>Fermi client repository retained as supporting/legacy source; current product homepage is joinharmony.app</x:v>
      </x:c>
      <x:c r="H54" s="75" t="str">
        <x:v>2026-09-16</x:v>
      </x:c>
    </x:row>
  </x:sheetData>
  <x:mergeCells>
    <x:mergeCell ref="A1:H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RowHeight="15"/>
  <x:cols>
    <x:col min="1" max="1" width="22" hidden="0" customWidth="1"/>
    <x:col min="2" max="3" width="16" customWidth="1"/>
    <x:col min="4" max="4" width="18" hidden="0" customWidth="1"/>
    <x:col min="5" max="5" width="18" hidden="0" customWidth="1"/>
    <x:col min="6" max="6" width="22" hidden="0" customWidth="1"/>
    <x:col min="7" max="7" width="36" hidden="0" customWidth="1"/>
    <x:col min="2" max="2" width="18" hidden="0" customWidth="1"/>
    <x:col min="3" max="3" width="18" hidden="0" customWidth="1"/>
  </x:cols>
  <x:sheetData>
    <x:row r="1" ht="28" customHeight="1">
      <x:c r="A1" s="130" t="str">
        <x:v>Verification Coverage — platform-by-platform source pass — 2026-09-16</x:v>
      </x:c>
      <x:c r="B1" s="130"/>
      <x:c r="C1" s="130"/>
      <x:c r="D1" s="130"/>
      <x:c r="E1" s="130"/>
      <x:c r="F1" s="130"/>
      <x:c r="G1" s="130"/>
    </x:row>
    <x:row r="2" ht="32" customHeight="1">
      <x:c r="A2" s="116" t="s">
        <x:v>169</x:v>
      </x:c>
      <x:c r="B2" s="116" t="s">
        <x:v>1001</x:v>
      </x:c>
      <x:c r="C2" s="116" t="s">
        <x:v>1002</x:v>
      </x:c>
      <x:c r="D2" s="116" t="str">
        <x:v>Net Unknowns Resolved</x:v>
      </x:c>
      <x:c r="E2" s="116" t="str">
        <x:v>Net Reduction</x:v>
      </x:c>
      <x:c r="F2" s="116" t="s">
        <x:v>1003</x:v>
      </x:c>
      <x:c r="G2" s="116" t="s">
        <x:v>513</x:v>
      </x:c>
    </x:row>
    <x:row r="3" ht="30">
      <x:c r="A3" s="75" t="s">
        <x:v>194</x:v>
      </x:c>
      <x:c r="B3" s="75" t="n">
        <x:v>284</x:v>
      </x:c>
      <x:c r="C3" s="75" t="n">
        <x:v>284</x:v>
      </x:c>
      <x:c r="D3" s="75" t="n">
        <x:v>0</x:v>
      </x:c>
      <x:c r="E3" s="158" t="n">
        <x:f>IF(B3=0,0,D3/B3)</x:f>
        <x:v>0</x:v>
      </x:c>
      <x:c r="F3" s="75" t="str">
        <x:v>Revalidated — official/first-party sources</x:v>
      </x:c>
      <x:c r="G3" s="75" t="str">
        <x:v>Platform-level public sources were rechecked on 2026-09-16. Blanks/qualified language remain where a current first-party claim was not found or behavior is deployment/client dependent.</x:v>
      </x:c>
    </x:row>
    <x:row r="4" ht="30">
      <x:c r="A4" s="75" t="s">
        <x:v>214</x:v>
      </x:c>
      <x:c r="B4" s="75" t="n">
        <x:v>654</x:v>
      </x:c>
      <x:c r="C4" s="75" t="n">
        <x:v>623</x:v>
      </x:c>
      <x:c r="D4" s="75" t="n">
        <x:v>31</x:v>
      </x:c>
      <x:c r="E4" s="158" t="n">
        <x:f>IF(B4=0,0,D4/B4)</x:f>
        <x:v>0.047400611620795105</x:v>
      </x:c>
      <x:c r="F4" s="75" t="str">
        <x:v>Revalidated — official/first-party sources</x:v>
      </x:c>
      <x:c r="G4" s="75" t="str">
        <x:v>Platform-level public sources were rechecked on 2026-09-16. Blanks/qualified language remain where a current first-party claim was not found or behavior is deployment/client dependent.</x:v>
      </x:c>
    </x:row>
    <x:row r="5" ht="30">
      <x:c r="A5" s="75" t="s">
        <x:v>231</x:v>
      </x:c>
      <x:c r="B5" s="75" t="n">
        <x:v>662</x:v>
      </x:c>
      <x:c r="C5" s="75" t="n">
        <x:v>663</x:v>
      </x:c>
      <x:c r="D5" s="75" t="n">
        <x:v>-1</x:v>
      </x:c>
      <x:c r="E5" s="158" t="n">
        <x:f>IF(B5=0,0,D5/B5)</x:f>
        <x:v>-0.0015105740181268882</x:v>
      </x:c>
      <x:c r="F5" s="75" t="str">
        <x:v>Revalidated — official/first-party sources</x:v>
      </x:c>
      <x:c r="G5" s="75" t="str">
        <x:v>Platform-level public sources were rechecked on 2026-09-16. Blanks/qualified language remain where a current first-party claim was not found or behavior is deployment/client dependent.</x:v>
      </x:c>
    </x:row>
    <x:row r="6" ht="30">
      <x:c r="A6" s="75" t="s">
        <x:v>247</x:v>
      </x:c>
      <x:c r="B6" s="75" t="n">
        <x:v>558</x:v>
      </x:c>
      <x:c r="C6" s="75" t="n">
        <x:v>558</x:v>
      </x:c>
      <x:c r="D6" s="75" t="n">
        <x:v>0</x:v>
      </x:c>
      <x:c r="E6" s="158" t="n">
        <x:f>IF(B6=0,0,D6/B6)</x:f>
        <x:v>0</x:v>
      </x:c>
      <x:c r="F6" s="75" t="str">
        <x:v>Revalidated — official/first-party sources</x:v>
      </x:c>
      <x:c r="G6" s="75" t="str">
        <x:v>Platform-level public sources were rechecked on 2026-09-16. Blanks/qualified language remain where a current first-party claim was not found or behavior is deployment/client dependent.</x:v>
      </x:c>
    </x:row>
    <x:row r="7" ht="30">
      <x:c r="A7" s="75" t="s">
        <x:v>264</x:v>
      </x:c>
      <x:c r="B7" s="75" t="n">
        <x:v>587</x:v>
      </x:c>
      <x:c r="C7" s="75" t="n">
        <x:v>587</x:v>
      </x:c>
      <x:c r="D7" s="75" t="n">
        <x:v>0</x:v>
      </x:c>
      <x:c r="E7" s="158" t="n">
        <x:f>IF(B7=0,0,D7/B7)</x:f>
        <x:v>0</x:v>
      </x:c>
      <x:c r="F7" s="75" t="str">
        <x:v>Revalidated — official/first-party sources</x:v>
      </x:c>
      <x:c r="G7" s="75" t="str">
        <x:v>Platform-level public sources were rechecked on 2026-09-16. Blanks/qualified language remain where a current first-party claim was not found or behavior is deployment/client dependent.</x:v>
      </x:c>
    </x:row>
    <x:row r="8" ht="30">
      <x:c r="A8" s="75" t="s">
        <x:v>97</x:v>
      </x:c>
      <x:c r="B8" s="75" t="n">
        <x:v>451</x:v>
      </x:c>
      <x:c r="C8" s="75" t="n">
        <x:v>452</x:v>
      </x:c>
      <x:c r="D8" s="75" t="n">
        <x:v>-1</x:v>
      </x:c>
      <x:c r="E8" s="158" t="n">
        <x:f>IF(B8=0,0,D8/B8)</x:f>
        <x:v>-0.0022172949002217295</x:v>
      </x:c>
      <x:c r="F8" s="75" t="str">
        <x:v>Revalidated — official/first-party sources</x:v>
      </x:c>
      <x:c r="G8" s="75" t="str">
        <x:v>Platform-level public sources were rechecked on 2026-09-16. Blanks/qualified language remain where a current first-party claim was not found or behavior is deployment/client dependent.</x:v>
      </x:c>
    </x:row>
    <x:row r="9" ht="30">
      <x:c r="A9" s="75" t="s">
        <x:v>298</x:v>
      </x:c>
      <x:c r="B9" s="75" t="n">
        <x:v>657</x:v>
      </x:c>
      <x:c r="C9" s="75" t="n">
        <x:v>658</x:v>
      </x:c>
      <x:c r="D9" s="75" t="n">
        <x:v>-1</x:v>
      </x:c>
      <x:c r="E9" s="158" t="n">
        <x:f>IF(B9=0,0,D9/B9)</x:f>
        <x:v>-0.0015220700152207</x:v>
      </x:c>
      <x:c r="F9" s="75" t="str">
        <x:v>Revalidated — official/first-party sources</x:v>
      </x:c>
      <x:c r="G9" s="75" t="str">
        <x:v>Platform-level public sources were rechecked on 2026-09-16. Blanks/qualified language remain where a current first-party claim was not found or behavior is deployment/client dependent.</x:v>
      </x:c>
    </x:row>
    <x:row r="10" ht="30">
      <x:c r="A10" s="75" t="s">
        <x:v>305</x:v>
      </x:c>
      <x:c r="B10" s="75" t="n">
        <x:v>545</x:v>
      </x:c>
      <x:c r="C10" s="75" t="n">
        <x:v>546</x:v>
      </x:c>
      <x:c r="D10" s="75" t="n">
        <x:v>-1</x:v>
      </x:c>
      <x:c r="E10" s="158" t="n">
        <x:f>IF(B10=0,0,D10/B10)</x:f>
        <x:v>-0.001834862385321101</x:v>
      </x:c>
      <x:c r="F10" s="75" t="str">
        <x:v>Revalidated — official/first-party sources</x:v>
      </x:c>
      <x:c r="G10" s="75" t="str">
        <x:v>Platform-level public sources were rechecked on 2026-09-16. Blanks/qualified language remain where a current first-party claim was not found or behavior is deployment/client dependent.</x:v>
      </x:c>
    </x:row>
    <x:row r="11" ht="30">
      <x:c r="A11" s="75" t="s">
        <x:v>309</x:v>
      </x:c>
      <x:c r="B11" s="75" t="n">
        <x:v>679</x:v>
      </x:c>
      <x:c r="C11" s="75" t="n">
        <x:v>676</x:v>
      </x:c>
      <x:c r="D11" s="75" t="n">
        <x:v>3</x:v>
      </x:c>
      <x:c r="E11" s="158" t="n">
        <x:f>IF(B11=0,0,D11/B11)</x:f>
        <x:v>0.004418262150220913</x:v>
      </x:c>
      <x:c r="F11" s="75" t="str">
        <x:v>Revalidated — official/first-party sources</x:v>
      </x:c>
      <x:c r="G11" s="75" t="str">
        <x:v>Platform-level public sources were rechecked on 2026-09-16. Blanks/qualified language remain where a current first-party claim was not found or behavior is deployment/client dependent.</x:v>
      </x:c>
    </x:row>
    <x:row r="12" ht="30">
      <x:c r="A12" s="75" t="s">
        <x:v>320</x:v>
      </x:c>
      <x:c r="B12" s="75" t="n">
        <x:v>509</x:v>
      </x:c>
      <x:c r="C12" s="75" t="n">
        <x:v>510</x:v>
      </x:c>
      <x:c r="D12" s="75" t="n">
        <x:v>-1</x:v>
      </x:c>
      <x:c r="E12" s="158" t="n">
        <x:f>IF(B12=0,0,D12/B12)</x:f>
        <x:v>-0.0019646365422396855</x:v>
      </x:c>
      <x:c r="F12" s="75" t="str">
        <x:v>Revalidated — official/first-party sources</x:v>
      </x:c>
      <x:c r="G12" s="75" t="str">
        <x:v>Platform-level public sources were rechecked on 2026-09-16. Blanks/qualified language remain where a current first-party claim was not found or behavior is deployment/client dependent.</x:v>
      </x:c>
    </x:row>
    <x:row r="13" ht="30">
      <x:c r="A13" s="75" t="s">
        <x:v>335</x:v>
      </x:c>
      <x:c r="B13" s="75" t="n">
        <x:v>493</x:v>
      </x:c>
      <x:c r="C13" s="75" t="n">
        <x:v>492</x:v>
      </x:c>
      <x:c r="D13" s="75" t="n">
        <x:v>1</x:v>
      </x:c>
      <x:c r="E13" s="158" t="n">
        <x:f>IF(B13=0,0,D13/B13)</x:f>
        <x:v>0.002028397565922921</x:v>
      </x:c>
      <x:c r="F13" s="75" t="str">
        <x:v>Revalidated — official/first-party sources</x:v>
      </x:c>
      <x:c r="G13" s="75" t="str">
        <x:v>Platform-level public sources were rechecked on 2026-09-16. Blanks/qualified language remain where a current first-party claim was not found or behavior is deployment/client dependent.</x:v>
      </x:c>
    </x:row>
    <x:row r="14" ht="30">
      <x:c r="A14" s="75" t="s">
        <x:v>351</x:v>
      </x:c>
      <x:c r="B14" s="75" t="n">
        <x:v>509</x:v>
      </x:c>
      <x:c r="C14" s="75" t="n">
        <x:v>508</x:v>
      </x:c>
      <x:c r="D14" s="75" t="n">
        <x:v>1</x:v>
      </x:c>
      <x:c r="E14" s="158" t="n">
        <x:f>IF(B14=0,0,D14/B14)</x:f>
        <x:v>0.0019646365422396855</x:v>
      </x:c>
      <x:c r="F14" s="75" t="str">
        <x:v>Revalidated — official/first-party sources</x:v>
      </x:c>
      <x:c r="G14" s="75" t="str">
        <x:v>Platform-level public sources were rechecked on 2026-09-16. Blanks/qualified language remain where a current first-party claim was not found or behavior is deployment/client dependent.</x:v>
      </x:c>
    </x:row>
    <x:row r="15" ht="30">
      <x:c r="A15" s="75" t="s">
        <x:v>364</x:v>
      </x:c>
      <x:c r="B15" s="75" t="n">
        <x:v>596</x:v>
      </x:c>
      <x:c r="C15" s="75" t="n">
        <x:v>596</x:v>
      </x:c>
      <x:c r="D15" s="75" t="n">
        <x:v>0</x:v>
      </x:c>
      <x:c r="E15" s="158" t="n">
        <x:f>IF(B15=0,0,D15/B15)</x:f>
        <x:v>0</x:v>
      </x:c>
      <x:c r="F15" s="75" t="str">
        <x:v>Revalidated — official/first-party sources</x:v>
      </x:c>
      <x:c r="G15" s="75" t="str">
        <x:v>Platform-level public sources were rechecked on 2026-09-16. Blanks/qualified language remain where a current first-party claim was not found or behavior is deployment/client dependent.</x:v>
      </x:c>
    </x:row>
    <x:row r="16" ht="30">
      <x:c r="A16" s="75" t="s">
        <x:v>378</x:v>
      </x:c>
      <x:c r="B16" s="75" t="n">
        <x:v>706</x:v>
      </x:c>
      <x:c r="C16" s="75" t="n">
        <x:v>707</x:v>
      </x:c>
      <x:c r="D16" s="75" t="n">
        <x:v>-1</x:v>
      </x:c>
      <x:c r="E16" s="158" t="n">
        <x:f>IF(B16=0,0,D16/B16)</x:f>
        <x:v>-0.00141643059490085</x:v>
      </x:c>
      <x:c r="F16" s="75" t="str">
        <x:v>Revalidated — limited indexable official material</x:v>
      </x:c>
      <x:c r="G16" s="75" t="str">
        <x:v>Official presence was rechecked; some technical details remain unverified because current first-party material is limited or not readily indexable.</x:v>
      </x:c>
    </x:row>
    <x:row r="17" ht="30">
      <x:c r="A17" s="75" t="s">
        <x:v>382</x:v>
      </x:c>
      <x:c r="B17" s="75" t="n">
        <x:v>717</x:v>
      </x:c>
      <x:c r="C17" s="75" t="n">
        <x:v>717</x:v>
      </x:c>
      <x:c r="D17" s="75" t="n">
        <x:v>0</x:v>
      </x:c>
      <x:c r="E17" s="158" t="n">
        <x:f>IF(B17=0,0,D17/B17)</x:f>
        <x:v>0</x:v>
      </x:c>
      <x:c r="F17" s="75" t="str">
        <x:v>Revalidated — official/first-party sources</x:v>
      </x:c>
      <x:c r="G17" s="75" t="str">
        <x:v>Platform-level public sources were rechecked on 2026-09-16. Blanks/qualified language remain where a current first-party claim was not found or behavior is deployment/client dependent.</x:v>
      </x:c>
    </x:row>
    <x:row r="18" ht="30">
      <x:c r="A18" s="75" t="s">
        <x:v>392</x:v>
      </x:c>
      <x:c r="B18" s="75" t="n">
        <x:v>699</x:v>
      </x:c>
      <x:c r="C18" s="75" t="n">
        <x:v>700</x:v>
      </x:c>
      <x:c r="D18" s="75" t="n">
        <x:v>-1</x:v>
      </x:c>
      <x:c r="E18" s="158" t="n">
        <x:f>IF(B18=0,0,D18/B18)</x:f>
        <x:v>-0.001430615164520744</x:v>
      </x:c>
      <x:c r="F18" s="75" t="str">
        <x:v>Revalidated — official/first-party sources</x:v>
      </x:c>
      <x:c r="G18" s="75" t="str">
        <x:v>Platform-level public sources were rechecked on 2026-09-16. Blanks/qualified language remain where a current first-party claim was not found or behavior is deployment/client dependent.</x:v>
      </x:c>
    </x:row>
    <x:row r="19" ht="30">
      <x:c r="A19" s="75" t="s">
        <x:v>409</x:v>
      </x:c>
      <x:c r="B19" s="75" t="n">
        <x:v>779</x:v>
      </x:c>
      <x:c r="C19" s="75" t="n">
        <x:v>779</x:v>
      </x:c>
      <x:c r="D19" s="75" t="n">
        <x:v>0</x:v>
      </x:c>
      <x:c r="E19" s="158" t="n">
        <x:f>IF(B19=0,0,D19/B19)</x:f>
        <x:v>0</x:v>
      </x:c>
      <x:c r="F19" s="75" t="str">
        <x:v>Revalidated — sparse developer/first-party coverage</x:v>
      </x:c>
      <x:c r="G19" s="75" t="str">
        <x:v>Public first-party documentation remains sparse. Existing qualified/blank values are retained where current claims could not be independently confirmed.</x:v>
      </x:c>
    </x:row>
    <x:row r="20" ht="30">
      <x:c r="A20" s="75" t="s">
        <x:v>413</x:v>
      </x:c>
      <x:c r="B20" s="75" t="n">
        <x:v>669</x:v>
      </x:c>
      <x:c r="C20" s="75" t="n">
        <x:v>669</x:v>
      </x:c>
      <x:c r="D20" s="75" t="n">
        <x:v>0</x:v>
      </x:c>
      <x:c r="E20" s="158" t="n">
        <x:f>IF(B20=0,0,D20/B20)</x:f>
        <x:v>0</x:v>
      </x:c>
      <x:c r="F20" s="75" t="str">
        <x:v>Revalidated — official docs/repository</x:v>
      </x:c>
      <x:c r="G20" s="75" t="str">
        <x:v>Official documentation/repository claims were checked; unusually broad performance/security claims remain attributed to the project rather than independently benchmarked.</x:v>
      </x:c>
    </x:row>
    <x:row r="21" ht="30">
      <x:c r="A21" s="75" t="s">
        <x:v>417</x:v>
      </x:c>
      <x:c r="B21" s="75" t="n">
        <x:v>751</x:v>
      </x:c>
      <x:c r="C21" s="75" t="n">
        <x:v>751</x:v>
      </x:c>
      <x:c r="D21" s="75" t="n">
        <x:v>0</x:v>
      </x:c>
      <x:c r="E21" s="158" t="n">
        <x:f>IF(B21=0,0,D21/B21)</x:f>
        <x:v>0</x:v>
      </x:c>
      <x:c r="F21" s="75" t="str">
        <x:v>Revalidated — official/first-party sources</x:v>
      </x:c>
      <x:c r="G21" s="75" t="str">
        <x:v>Platform-level public sources were rechecked on 2026-09-16. Blanks/qualified language remain where a current first-party claim was not found or behavior is deployment/client dependent.</x:v>
      </x:c>
    </x:row>
    <x:row r="22" ht="30">
      <x:c r="A22" s="75" t="s">
        <x:v>428</x:v>
      </x:c>
      <x:c r="B22" s="75" t="n">
        <x:v>718</x:v>
      </x:c>
      <x:c r="C22" s="75" t="n">
        <x:v>717</x:v>
      </x:c>
      <x:c r="D22" s="75" t="n">
        <x:v>1</x:v>
      </x:c>
      <x:c r="E22" s="158" t="n">
        <x:f>IF(B22=0,0,D22/B22)</x:f>
        <x:v>0.001392757660167131</x:v>
      </x:c>
      <x:c r="F22" s="75" t="str">
        <x:v>Revalidated — official/first-party sources</x:v>
      </x:c>
      <x:c r="G22" s="75" t="str">
        <x:v>Platform-level public sources were rechecked on 2026-09-16. Blanks/qualified language remain where a current first-party claim was not found or behavior is deployment/client dependent.</x:v>
      </x:c>
    </x:row>
    <x:row r="23" ht="30">
      <x:c r="A23" s="75" t="s">
        <x:v>442</x:v>
      </x:c>
      <x:c r="B23" s="75" t="n">
        <x:v>674</x:v>
      </x:c>
      <x:c r="C23" s="75" t="n">
        <x:v>668</x:v>
      </x:c>
      <x:c r="D23" s="75" t="n">
        <x:v>6</x:v>
      </x:c>
      <x:c r="E23" s="158" t="n">
        <x:f>IF(B23=0,0,D23/B23)</x:f>
        <x:v>0.008902077151335312</x:v>
      </x:c>
      <x:c r="F23" s="75" t="str">
        <x:v>Revalidated — current official product site</x:v>
      </x:c>
      <x:c r="G23" s="75" t="str">
        <x:v>Major stale Fermi-era assumptions were corrected from the current Harmony site: hosted + self-host, AGPL-3.0, E2EE DMs, LiveKit voice, Tauri desktop and current pricing/roadmap.</x:v>
      </x:c>
    </x:row>
    <x:row r="24" ht="30">
      <x:c r="A24" s="75" t="s">
        <x:v>445</x:v>
      </x:c>
      <x:c r="B24" s="75" t="n">
        <x:v>672</x:v>
      </x:c>
      <x:c r="C24" s="75" t="n">
        <x:v>672</x:v>
      </x:c>
      <x:c r="D24" s="75" t="n">
        <x:v>0</x:v>
      </x:c>
      <x:c r="E24" s="158" t="n">
        <x:f>IF(B24=0,0,D24/B24)</x:f>
        <x:v>0</x:v>
      </x:c>
      <x:c r="F24" s="75" t="str">
        <x:v>Revalidated — official/first-party sources</x:v>
      </x:c>
      <x:c r="G24" s="75" t="str">
        <x:v>Platform-level public sources were rechecked on 2026-09-16. Blanks/qualified language remain where a current first-party claim was not found or behavior is deployment/client dependent.</x:v>
      </x:c>
    </x:row>
    <x:row r="25" ht="30">
      <x:c r="A25" s="75" t="s">
        <x:v>448</x:v>
      </x:c>
      <x:c r="B25" s="75" t="n">
        <x:v>708</x:v>
      </x:c>
      <x:c r="C25" s="75" t="n">
        <x:v>704</x:v>
      </x:c>
      <x:c r="D25" s="75" t="n">
        <x:v>4</x:v>
      </x:c>
      <x:c r="E25" s="158" t="n">
        <x:f>IF(B25=0,0,D25/B25)</x:f>
        <x:v>0.005649717514124294</x:v>
      </x:c>
      <x:c r="F25" s="75" t="str">
        <x:v>Revalidated — official/first-party sources</x:v>
      </x:c>
      <x:c r="G25" s="75" t="str">
        <x:v>Platform-level public sources were rechecked on 2026-09-16. Blanks/qualified language remain where a current first-party claim was not found or behavior is deployment/client dependent.</x:v>
      </x:c>
    </x:row>
    <x:row r="26" ht="30">
      <x:c r="A26" s="75" t="s">
        <x:v>452</x:v>
      </x:c>
      <x:c r="B26" s="75" t="n">
        <x:v>658</x:v>
      </x:c>
      <x:c r="C26" s="75" t="n">
        <x:v>659</x:v>
      </x:c>
      <x:c r="D26" s="75" t="n">
        <x:v>-1</x:v>
      </x:c>
      <x:c r="E26" s="158" t="n">
        <x:f>IF(B26=0,0,D26/B26)</x:f>
        <x:v>-0.001519756838905775</x:v>
      </x:c>
      <x:c r="F26" s="75" t="str">
        <x:v>Revalidated — official/first-party sources</x:v>
      </x:c>
      <x:c r="G26" s="75" t="str">
        <x:v>Platform-level public sources were rechecked on 2026-09-16. Blanks/qualified language remain where a current first-party claim was not found or behavior is deployment/client dependent.</x:v>
      </x:c>
    </x:row>
    <x:row r="27" ht="30">
      <x:c r="A27" s="75" t="s">
        <x:v>456</x:v>
      </x:c>
      <x:c r="B27" s="75" t="n">
        <x:v>641</x:v>
      </x:c>
      <x:c r="C27" s="75" t="n">
        <x:v>642</x:v>
      </x:c>
      <x:c r="D27" s="75" t="n">
        <x:v>-1</x:v>
      </x:c>
      <x:c r="E27" s="158" t="n">
        <x:f>IF(B27=0,0,D27/B27)</x:f>
        <x:v>-0.0015600624024961</x:v>
      </x:c>
      <x:c r="F27" s="75" t="str">
        <x:v>Revalidated — official/first-party sources</x:v>
      </x:c>
      <x:c r="G27" s="75" t="str">
        <x:v>Platform-level public sources were rechecked on 2026-09-16. Blanks/qualified language remain where a current first-party claim was not found or behavior is deployment/client dependent.</x:v>
      </x:c>
    </x:row>
    <x:row r="28" ht="30">
      <x:c r="A28" s="75" t="s">
        <x:v>459</x:v>
      </x:c>
      <x:c r="B28" s="75" t="n">
        <x:v>286</x:v>
      </x:c>
      <x:c r="C28" s="75" t="n">
        <x:v>286</x:v>
      </x:c>
      <x:c r="D28" s="75" t="n">
        <x:v>0</x:v>
      </x:c>
      <x:c r="E28" s="158" t="n">
        <x:f>IF(B28=0,0,D28/B28)</x:f>
        <x:v>0</x:v>
      </x:c>
      <x:c r="F28" s="75" t="str">
        <x:v>User-verified; public sources consistency-checked</x:v>
      </x:c>
      <x:c r="G28" s="75" t="str">
        <x:v>Rift substantive answers are preserved from the user's direct experience/accessibility. Public sources were used only for consistency checks; no external-source overwrite was applied.</x:v>
      </x:c>
    </x:row>
    <x:row r="29" ht="30">
      <x:c r="A29" s="75" t="s">
        <x:v>1004</x:v>
      </x:c>
      <x:c r="B29" s="75" t="n">
        <x:v>522</x:v>
      </x:c>
      <x:c r="C29" s="75" t="n">
        <x:v>511</x:v>
      </x:c>
      <x:c r="D29" s="75" t="n">
        <x:v>11</x:v>
      </x:c>
      <x:c r="E29" s="158" t="n">
        <x:f>IF(B29=0,0,D29/B29)</x:f>
        <x:v>0.0210727969348659</x:v>
      </x:c>
      <x:c r="F29" s="75" t="str">
        <x:v>Revalidated — developer response + official/first-party sources</x:v>
      </x:c>
      <x:c r="G29" s="75" t="str">
        <x:v>PQP is grounded in the supplied developer response and official site/repo/privacy/security/release/client pages; unsupported hard numbers remain explicitly unclaimed.</x:v>
      </x:c>
    </x:row>
    <x:row r="30" ht="30">
      <x:c r="A30" s="75" t="s">
        <x:v>474</x:v>
      </x:c>
      <x:c r="B30" s="75" t="n">
        <x:v>695</x:v>
      </x:c>
      <x:c r="C30" s="75" t="n">
        <x:v>696</x:v>
      </x:c>
      <x:c r="D30" s="75" t="n">
        <x:v>-1</x:v>
      </x:c>
      <x:c r="E30" s="158" t="n">
        <x:f>IF(B30=0,0,D30/B30)</x:f>
        <x:v>-0.0014388489208633094</x:v>
      </x:c>
      <x:c r="F30" s="75" t="str">
        <x:v>Revalidated — official/first-party sources</x:v>
      </x:c>
      <x:c r="G30" s="75" t="str">
        <x:v>Platform-level public sources were rechecked on 2026-09-16. Blanks/qualified language remain where a current first-party claim was not found or behavior is deployment/client dependent.</x:v>
      </x:c>
    </x:row>
    <x:row r="31" ht="30">
      <x:c r="A31" s="75" t="s">
        <x:v>488</x:v>
      </x:c>
      <x:c r="B31" s="75" t="n">
        <x:v>687</x:v>
      </x:c>
      <x:c r="C31" s="75" t="n">
        <x:v>688</x:v>
      </x:c>
      <x:c r="D31" s="75" t="n">
        <x:v>-1</x:v>
      </x:c>
      <x:c r="E31" s="158" t="n">
        <x:f>IF(B31=0,0,D31/B31)</x:f>
        <x:v>-0.001455604075691412</x:v>
      </x:c>
      <x:c r="F31" s="75" t="str">
        <x:v>Revalidated — official/first-party sources</x:v>
      </x:c>
      <x:c r="G31" s="75" t="str">
        <x:v>Platform-level public sources were rechecked on 2026-09-16. Blanks/qualified language remain where a current first-party claim was not found or behavior is deployment/client dependent.</x:v>
      </x:c>
    </x:row>
    <x:row r="32" ht="30">
      <x:c r="A32" s="75" t="s">
        <x:v>497</x:v>
      </x:c>
      <x:c r="B32" s="75" t="n">
        <x:v>653</x:v>
      </x:c>
      <x:c r="C32" s="75" t="n">
        <x:v>654</x:v>
      </x:c>
      <x:c r="D32" s="75" t="n">
        <x:v>-1</x:v>
      </x:c>
      <x:c r="E32" s="158" t="n">
        <x:f>IF(B32=0,0,D32/B32)</x:f>
        <x:v>-0.0015313935681470138</x:v>
      </x:c>
      <x:c r="F32" s="75" t="str">
        <x:v>Revalidated — official/first-party sources</x:v>
      </x:c>
      <x:c r="G32" s="75" t="str">
        <x:v>Platform-level public sources were rechecked on 2026-09-16. Blanks/qualified language remain where a current first-party claim was not found or behavior is deployment/client dependent.</x:v>
      </x:c>
    </x:row>
    <x:row r="33" ht="30">
      <x:c r="A33" s="75" t="s">
        <x:v>910</x:v>
      </x:c>
      <x:c r="B33" s="75" t="n">
        <x:v>201</x:v>
      </x:c>
      <x:c r="C33" s="75" t="n">
        <x:v>201</x:v>
      </x:c>
      <x:c r="D33" s="75" t="n">
        <x:v>0</x:v>
      </x:c>
      <x:c r="E33" s="158" t="n">
        <x:f>IF(B33=0,0,D33/B33)</x:f>
        <x:v>0</x:v>
      </x:c>
      <x:c r="F33" s="75" t="str">
        <x:v>Revalidated — official/first-party sources</x:v>
      </x:c>
      <x:c r="G33" s="75" t="str">
        <x:v>Platform-level public sources were rechecked on 2026-09-16. Blanks/qualified language remain where a current first-party claim was not found or behavior is deployment/client dependent.</x:v>
      </x:c>
    </x:row>
  </x:sheetData>
  <x:mergeCells>
    <x:mergeCell ref="A1:G1"/>
  </x:mergeCells>
  <x:conditionalFormatting sqref="E3:E32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defaultRowHeight="15"/>
  <x:cols>
    <x:col min="1" max="9" width="22" customWidth="1"/>
    <x:col min="10" max="10" width="18" hidden="0" customWidth="1"/>
    <x:col min="1" max="1" width="18" hidden="0" customWidth="1"/>
    <x:col min="2" max="2" width="18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28" customHeight="1">
      <x:c r="A1" s="162" t="s">
        <x:v>169</x:v>
      </x:c>
      <x:c r="B1" s="162" t="s">
        <x:v>1005</x:v>
      </x:c>
      <x:c r="C1" s="162" t="s">
        <x:v>1006</x:v>
      </x:c>
      <x:c r="D1" s="162" t="s">
        <x:v>1007</x:v>
      </x:c>
      <x:c r="E1" s="162" t="s">
        <x:v>1008</x:v>
      </x:c>
      <x:c r="F1" s="162" t="s">
        <x:v>1009</x:v>
      </x:c>
      <x:c r="G1" s="162" t="s">
        <x:v>192</x:v>
      </x:c>
      <x:c r="H1" s="162" t="s">
        <x:v>1003</x:v>
      </x:c>
      <x:c r="I1" s="162"/>
      <x:c r="J1" s="162" t="str">
        <x:f>IFERROR(HYPERLINK("#'Sheet Directory'!A1","← Directory"),"← Directory")</x:f>
        <x:v>← Directory</x:v>
      </x:c>
    </x:row>
    <x:row r="2" ht="32" customHeight="1">
      <x:c r="A2" s="116" t="s">
        <x:v>364</x:v>
      </x:c>
      <x:c r="B2" s="116" t="s">
        <x:v>79</x:v>
      </x:c>
      <x:c r="C2" s="116" t="s">
        <x:v>1010</x:v>
      </x:c>
      <x:c r="D2" s="116" t="s">
        <x:v>727</x:v>
      </x:c>
      <x:c r="E2" s="116" t="s">
        <x:v>1011</x:v>
      </x:c>
      <x:c r="F2" s="116" t="s">
        <x:v>1012</x:v>
      </x:c>
      <x:c r="G2" s="116" t="s">
        <x:v>131</x:v>
      </x:c>
      <x:c r="H2" s="116" t="s">
        <x:v>1013</x:v>
      </x:c>
      <x:c r="I2" s="116"/>
      <x:c r="J2" s="116"/>
    </x:row>
    <x:row r="3" ht="75">
      <x:c r="A3" s="75" t="s">
        <x:v>378</x:v>
      </x:c>
      <x:c r="B3" s="75" t="s">
        <x:v>79</x:v>
      </x:c>
      <x:c r="C3" s="75" t="s">
        <x:v>1014</x:v>
      </x:c>
      <x:c r="D3" s="75" t="s">
        <x:v>380</x:v>
      </x:c>
      <x:c r="E3" s="75" t="s">
        <x:v>1015</x:v>
      </x:c>
      <x:c r="F3" s="75" t="s">
        <x:v>1016</x:v>
      </x:c>
      <x:c r="G3" s="75" t="s">
        <x:v>131</x:v>
      </x:c>
      <x:c r="H3" s="75" t="s">
        <x:v>1013</x:v>
      </x:c>
      <x:c r="I3" s="75"/>
      <x:c r="J3" s="75"/>
    </x:row>
    <x:row r="4" ht="75">
      <x:c r="A4" s="75" t="s">
        <x:v>382</x:v>
      </x:c>
      <x:c r="B4" s="75" t="s">
        <x:v>79</x:v>
      </x:c>
      <x:c r="C4" s="75" t="s">
        <x:v>1017</x:v>
      </x:c>
      <x:c r="D4" s="75" t="s">
        <x:v>737</x:v>
      </x:c>
      <x:c r="E4" s="75" t="s">
        <x:v>1018</x:v>
      </x:c>
      <x:c r="F4" s="75" t="s">
        <x:v>1019</x:v>
      </x:c>
      <x:c r="G4" s="75" t="s">
        <x:v>131</x:v>
      </x:c>
      <x:c r="H4" s="75" t="s">
        <x:v>1013</x:v>
      </x:c>
      <x:c r="I4" s="75"/>
      <x:c r="J4" s="75"/>
    </x:row>
    <x:row r="5" ht="75">
      <x:c r="A5" s="75" t="s">
        <x:v>392</x:v>
      </x:c>
      <x:c r="B5" s="75" t="s">
        <x:v>79</x:v>
      </x:c>
      <x:c r="C5" s="75" t="s">
        <x:v>1014</x:v>
      </x:c>
      <x:c r="D5" s="75" t="s">
        <x:v>741</x:v>
      </x:c>
      <x:c r="E5" s="75" t="s">
        <x:v>1011</x:v>
      </x:c>
      <x:c r="F5" s="75" t="s">
        <x:v>711</x:v>
      </x:c>
      <x:c r="G5" s="75" t="s">
        <x:v>131</x:v>
      </x:c>
      <x:c r="H5" s="75" t="s">
        <x:v>1013</x:v>
      </x:c>
      <x:c r="I5" s="75"/>
      <x:c r="J5" s="75"/>
    </x:row>
    <x:row r="6" ht="75">
      <x:c r="A6" s="75" t="s">
        <x:v>409</x:v>
      </x:c>
      <x:c r="B6" s="75" t="s">
        <x:v>79</x:v>
      </x:c>
      <x:c r="C6" s="75" t="s">
        <x:v>744</x:v>
      </x:c>
      <x:c r="D6" s="75" t="s">
        <x:v>1020</x:v>
      </x:c>
      <x:c r="E6" s="75" t="s">
        <x:v>1021</x:v>
      </x:c>
      <x:c r="F6" s="75" t="s">
        <x:v>1022</x:v>
      </x:c>
      <x:c r="G6" s="75" t="s">
        <x:v>131</x:v>
      </x:c>
      <x:c r="H6" s="75" t="s">
        <x:v>1013</x:v>
      </x:c>
      <x:c r="I6" s="75"/>
      <x:c r="J6" s="75"/>
    </x:row>
    <x:row r="7" ht="75">
      <x:c r="A7" s="75" t="s">
        <x:v>413</x:v>
      </x:c>
      <x:c r="B7" s="75" t="s">
        <x:v>79</x:v>
      </x:c>
      <x:c r="C7" s="75" t="s">
        <x:v>1010</x:v>
      </x:c>
      <x:c r="D7" s="75" t="s">
        <x:v>1023</x:v>
      </x:c>
      <x:c r="E7" s="75" t="s">
        <x:v>1015</x:v>
      </x:c>
      <x:c r="F7" s="75" t="s">
        <x:v>1024</x:v>
      </x:c>
      <x:c r="G7" s="75" t="s">
        <x:v>131</x:v>
      </x:c>
      <x:c r="H7" s="75" t="s">
        <x:v>1013</x:v>
      </x:c>
      <x:c r="I7" s="75"/>
      <x:c r="J7" s="75"/>
    </x:row>
    <x:row r="8" ht="75">
      <x:c r="A8" s="75" t="s">
        <x:v>417</x:v>
      </x:c>
      <x:c r="B8" s="75" t="s">
        <x:v>79</x:v>
      </x:c>
      <x:c r="C8" s="75" t="s">
        <x:v>1025</x:v>
      </x:c>
      <x:c r="D8" s="75" t="s">
        <x:v>751</x:v>
      </x:c>
      <x:c r="E8" s="75" t="s">
        <x:v>1026</x:v>
      </x:c>
      <x:c r="F8" s="75" t="s">
        <x:v>1027</x:v>
      </x:c>
      <x:c r="G8" s="75" t="s">
        <x:v>131</x:v>
      </x:c>
      <x:c r="H8" s="75" t="s">
        <x:v>1013</x:v>
      </x:c>
      <x:c r="I8" s="75"/>
      <x:c r="J8" s="75"/>
    </x:row>
    <x:row r="9" ht="75">
      <x:c r="A9" s="75" t="s">
        <x:v>428</x:v>
      </x:c>
      <x:c r="B9" s="75" t="s">
        <x:v>79</x:v>
      </x:c>
      <x:c r="C9" s="75" t="s">
        <x:v>1028</x:v>
      </x:c>
      <x:c r="D9" s="75" t="s">
        <x:v>754</x:v>
      </x:c>
      <x:c r="E9" s="75" t="s">
        <x:v>1029</x:v>
      </x:c>
      <x:c r="F9" s="75" t="s">
        <x:v>1030</x:v>
      </x:c>
      <x:c r="G9" s="75" t="s">
        <x:v>131</x:v>
      </x:c>
      <x:c r="H9" s="75" t="s">
        <x:v>1013</x:v>
      </x:c>
      <x:c r="I9" s="75"/>
      <x:c r="J9" s="75"/>
    </x:row>
    <x:row r="10" ht="30">
      <x:c r="A10" s="75" t="s">
        <x:v>442</x:v>
      </x:c>
      <x:c r="B10" s="75" t="s">
        <x:v>79</x:v>
      </x:c>
      <x:c r="C10" s="75" t="s">
        <x:v>1031</x:v>
      </x:c>
      <x:c r="D10" s="75" t="s">
        <x:v>1032</x:v>
      </x:c>
      <x:c r="E10" s="75" t="s">
        <x:v>1033</x:v>
      </x:c>
      <x:c r="F10" s="75" t="s">
        <x:v>1034</x:v>
      </x:c>
      <x:c r="G10" s="75" t="s">
        <x:v>131</x:v>
      </x:c>
      <x:c r="H10" s="75" t="s">
        <x:v>1013</x:v>
      </x:c>
      <x:c r="I10" s="75"/>
      <x:c r="J10" s="75"/>
    </x:row>
    <x:row r="11" ht="75">
      <x:c r="A11" s="75" t="s">
        <x:v>445</x:v>
      </x:c>
      <x:c r="B11" s="75" t="s">
        <x:v>79</x:v>
      </x:c>
      <x:c r="C11" s="75" t="s">
        <x:v>1035</x:v>
      </x:c>
      <x:c r="D11" s="75" t="s">
        <x:v>761</x:v>
      </x:c>
      <x:c r="E11" s="75" t="s">
        <x:v>136</x:v>
      </x:c>
      <x:c r="F11" s="75" t="s">
        <x:v>1036</x:v>
      </x:c>
      <x:c r="G11" s="75" t="s">
        <x:v>131</x:v>
      </x:c>
      <x:c r="H11" s="75" t="s">
        <x:v>1013</x:v>
      </x:c>
      <x:c r="I11" s="75"/>
      <x:c r="J11" s="75"/>
    </x:row>
    <x:row r="12" ht="75">
      <x:c r="A12" s="75" t="s">
        <x:v>448</x:v>
      </x:c>
      <x:c r="B12" s="75" t="s">
        <x:v>79</x:v>
      </x:c>
      <x:c r="C12" s="75" t="s">
        <x:v>1037</x:v>
      </x:c>
      <x:c r="D12" s="75" t="s">
        <x:v>450</x:v>
      </x:c>
      <x:c r="E12" s="75" t="s">
        <x:v>1038</x:v>
      </x:c>
      <x:c r="F12" s="75" t="s">
        <x:v>1039</x:v>
      </x:c>
      <x:c r="G12" s="75" t="s">
        <x:v>131</x:v>
      </x:c>
      <x:c r="H12" s="75" t="s">
        <x:v>1013</x:v>
      </x:c>
      <x:c r="I12" s="75"/>
      <x:c r="J12" s="75"/>
    </x:row>
    <x:row r="13" ht="75">
      <x:c r="A13" s="75" t="s">
        <x:v>452</x:v>
      </x:c>
      <x:c r="B13" s="75" t="s">
        <x:v>79</x:v>
      </x:c>
      <x:c r="C13" s="75" t="s">
        <x:v>766</x:v>
      </x:c>
      <x:c r="D13" s="75" t="s">
        <x:v>454</x:v>
      </x:c>
      <x:c r="E13" s="75" t="s">
        <x:v>1021</x:v>
      </x:c>
      <x:c r="F13" s="75" t="s">
        <x:v>1040</x:v>
      </x:c>
      <x:c r="G13" s="75" t="s">
        <x:v>131</x:v>
      </x:c>
      <x:c r="H13" s="75" t="s">
        <x:v>1013</x:v>
      </x:c>
      <x:c r="I13" s="75"/>
      <x:c r="J13" s="75"/>
    </x:row>
    <x:row r="14" ht="75">
      <x:c r="A14" s="75" t="s">
        <x:v>456</x:v>
      </x:c>
      <x:c r="B14" s="75" t="s">
        <x:v>79</x:v>
      </x:c>
      <x:c r="C14" s="75" t="s">
        <x:v>1041</x:v>
      </x:c>
      <x:c r="D14" s="75" t="s">
        <x:v>1042</x:v>
      </x:c>
      <x:c r="E14" s="75" t="s">
        <x:v>1038</x:v>
      </x:c>
      <x:c r="F14" s="75" t="s">
        <x:v>1024</x:v>
      </x:c>
      <x:c r="G14" s="75" t="s">
        <x:v>131</x:v>
      </x:c>
      <x:c r="H14" s="75" t="s">
        <x:v>1013</x:v>
      </x:c>
      <x:c r="I14" s="75"/>
      <x:c r="J14" s="75"/>
    </x:row>
    <x:row r="15" ht="75">
      <x:c r="A15" s="75" t="s">
        <x:v>459</x:v>
      </x:c>
      <x:c r="B15" s="75" t="s">
        <x:v>79</x:v>
      </x:c>
      <x:c r="C15" s="75" t="s">
        <x:v>1037</x:v>
      </x:c>
      <x:c r="D15" s="75" t="s">
        <x:v>774</x:v>
      </x:c>
      <x:c r="E15" s="75" t="s">
        <x:v>1043</x:v>
      </x:c>
      <x:c r="F15" s="75" t="s">
        <x:v>711</x:v>
      </x:c>
      <x:c r="G15" s="75" t="s">
        <x:v>131</x:v>
      </x:c>
      <x:c r="H15" s="75" t="s">
        <x:v>1013</x:v>
      </x:c>
      <x:c r="I15" s="75"/>
      <x:c r="J15" s="75"/>
    </x:row>
    <x:row r="16" ht="75">
      <x:c r="A16" s="75" t="s">
        <x:v>1004</x:v>
      </x:c>
      <x:c r="B16" s="75" t="s">
        <x:v>79</x:v>
      </x:c>
      <x:c r="C16" s="75" t="s">
        <x:v>1037</x:v>
      </x:c>
      <x:c r="D16" s="75" t="s">
        <x:v>1044</x:v>
      </x:c>
      <x:c r="E16" s="75" t="s">
        <x:v>1045</x:v>
      </x:c>
      <x:c r="F16" s="75" t="s">
        <x:v>1016</x:v>
      </x:c>
      <x:c r="G16" s="75" t="s">
        <x:v>131</x:v>
      </x:c>
      <x:c r="H16" s="75" t="s">
        <x:v>1013</x:v>
      </x:c>
      <x:c r="I16" s="75"/>
      <x:c r="J16" s="75"/>
    </x:row>
    <x:row r="17" ht="75">
      <x:c r="A17" s="75" t="s">
        <x:v>474</x:v>
      </x:c>
      <x:c r="B17" s="75" t="s">
        <x:v>79</x:v>
      </x:c>
      <x:c r="C17" s="75" t="s">
        <x:v>1046</x:v>
      </x:c>
      <x:c r="D17" s="75" t="s">
        <x:v>776</x:v>
      </x:c>
      <x:c r="E17" s="75" t="s">
        <x:v>1047</x:v>
      </x:c>
      <x:c r="F17" s="75" t="s">
        <x:v>1048</x:v>
      </x:c>
      <x:c r="G17" s="75" t="s">
        <x:v>131</x:v>
      </x:c>
      <x:c r="H17" s="75" t="s">
        <x:v>1013</x:v>
      </x:c>
      <x:c r="I17" s="75"/>
      <x:c r="J17" s="75"/>
    </x:row>
    <x:row r="18" ht="30">
      <x:c r="A18" s="75" t="s">
        <x:v>488</x:v>
      </x:c>
      <x:c r="B18" s="75" t="s">
        <x:v>79</x:v>
      </x:c>
      <x:c r="C18" s="75" t="s">
        <x:v>1031</x:v>
      </x:c>
      <x:c r="D18" s="75" t="s">
        <x:v>976</x:v>
      </x:c>
      <x:c r="E18" s="75" t="s">
        <x:v>1026</x:v>
      </x:c>
      <x:c r="F18" s="75" t="s">
        <x:v>1016</x:v>
      </x:c>
      <x:c r="G18" s="75" t="s">
        <x:v>131</x:v>
      </x:c>
      <x:c r="H18" s="75" t="s">
        <x:v>1013</x:v>
      </x:c>
      <x:c r="I18" s="75"/>
      <x:c r="J18" s="75"/>
    </x:row>
    <x:row r="19" ht="30">
      <x:c r="A19" s="75" t="s">
        <x:v>497</x:v>
      </x:c>
      <x:c r="B19" s="75" t="s">
        <x:v>79</x:v>
      </x:c>
      <x:c r="C19" s="75" t="s">
        <x:v>1031</x:v>
      </x:c>
      <x:c r="D19" s="75" t="s">
        <x:v>783</x:v>
      </x:c>
      <x:c r="E19" s="75" t="s">
        <x:v>1018</x:v>
      </x:c>
      <x:c r="F19" s="75" t="s">
        <x:v>1049</x:v>
      </x:c>
      <x:c r="G19" s="75" t="s">
        <x:v>131</x:v>
      </x:c>
      <x:c r="H19" s="75" t="s">
        <x:v>1013</x:v>
      </x:c>
      <x:c r="I19" s="75"/>
      <x:c r="J19" s="75"/>
    </x:row>
    <x:row r="20" ht="75">
      <x:c r="A20" s="75" t="s">
        <x:v>1050</x:v>
      </x:c>
      <x:c r="B20" s="75" t="s">
        <x:v>1051</x:v>
      </x:c>
      <x:c r="C20" s="75" t="s">
        <x:v>1010</x:v>
      </x:c>
      <x:c r="D20" s="75" t="s">
        <x:v>73</x:v>
      </x:c>
      <x:c r="E20" s="75" t="s">
        <x:v>1033</x:v>
      </x:c>
      <x:c r="F20" s="75" t="s">
        <x:v>1052</x:v>
      </x:c>
      <x:c r="G20" s="75" t="s">
        <x:v>131</x:v>
      </x:c>
      <x:c r="H20" s="75" t="s">
        <x:v>1053</x:v>
      </x:c>
      <x:c r="I20" s="75"/>
      <x:c r="J20" s="75"/>
    </x:row>
    <x:row r="21" ht="75">
      <x:c r="A21" s="75" t="s">
        <x:v>1054</x:v>
      </x:c>
      <x:c r="B21" s="75" t="s">
        <x:v>1051</x:v>
      </x:c>
      <x:c r="C21" s="75" t="s">
        <x:v>1014</x:v>
      </x:c>
      <x:c r="D21" s="75" t="s">
        <x:v>73</x:v>
      </x:c>
      <x:c r="E21" s="75" t="s">
        <x:v>1055</x:v>
      </x:c>
      <x:c r="F21" s="75" t="s">
        <x:v>1056</x:v>
      </x:c>
      <x:c r="G21" s="75" t="s">
        <x:v>131</x:v>
      </x:c>
      <x:c r="H21" s="75" t="s">
        <x:v>1053</x:v>
      </x:c>
      <x:c r="I21" s="75"/>
      <x:c r="J21" s="75"/>
    </x:row>
    <x:row r="22" ht="75">
      <x:c r="A22" s="75" t="s">
        <x:v>1057</x:v>
      </x:c>
      <x:c r="B22" s="75" t="s">
        <x:v>1058</x:v>
      </x:c>
      <x:c r="C22" s="75" t="s">
        <x:v>1014</x:v>
      </x:c>
      <x:c r="D22" s="75" t="s">
        <x:v>1059</x:v>
      </x:c>
      <x:c r="E22" s="75" t="s">
        <x:v>1060</x:v>
      </x:c>
      <x:c r="F22" s="75" t="s">
        <x:v>1061</x:v>
      </x:c>
      <x:c r="G22" s="75" t="s">
        <x:v>131</x:v>
      </x:c>
      <x:c r="H22" s="75" t="s">
        <x:v>1013</x:v>
      </x:c>
      <x:c r="I22" s="75"/>
      <x:c r="J22" s="75"/>
    </x:row>
  </x:sheetData>
  <x:mergeCells>
    <x:mergeCell ref="A1:J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0" hidden="0" customWidth="1"/>
    <x:col min="35" max="35" width="42" hidden="0" customWidth="1"/>
  </x:cols>
  <x:sheetData>
    <x:row r="1" ht="28" customHeight="1">
      <x:c r="A1" s="115" t="str">
        <x:v>Master — canonical platform data | deduplicated &amp; styled | last verified 2026-09-16</x:v>
      </x:c>
      <x:c r="B1" s="115"/>
      <x:c r="C1" s="115"/>
      <x:c r="D1" s="115"/>
      <x:c r="E1" s="115"/>
      <x:c r="F1" s="115"/>
      <x:c r="G1" s="115"/>
      <x:c r="H1" s="115"/>
      <x:c r="I1" s="115"/>
      <x:c r="J1" s="115"/>
      <x:c r="K1" s="115"/>
      <x:c r="L1" s="115"/>
      <x:c r="M1" s="115"/>
      <x:c r="N1" s="115"/>
      <x:c r="O1" s="115"/>
      <x:c r="P1" s="115"/>
      <x:c r="Q1" s="115"/>
      <x:c r="R1" s="115"/>
      <x:c r="S1" s="115"/>
      <x:c r="T1" s="115"/>
      <x:c r="U1" s="115"/>
      <x:c r="V1" s="115"/>
      <x:c r="W1" s="115"/>
      <x:c r="X1" s="115"/>
      <x:c r="Y1" s="115"/>
      <x:c r="Z1" s="115"/>
      <x:c r="AA1" s="115"/>
      <x:c r="AB1" s="115"/>
      <x:c r="AC1" s="115"/>
      <x:c r="AD1" s="115"/>
      <x:c r="AE1" s="115"/>
      <x:c r="AF1" s="115"/>
      <x:c r="AG1" s="115"/>
      <x:c r="AH1" s="115"/>
      <x:c r="AI1" s="115"/>
    </x:row>
    <x:row r="2" ht="32" customHeight="1">
      <x:c r="A2" s="116" t="str">
        <x:v>Section</x:v>
      </x:c>
      <x:c r="B2" s="116" t="str">
        <x:v>Metric</x:v>
      </x:c>
      <x:c r="C2" s="116" t="str">
        <x:v>Discord</x:v>
      </x:c>
      <x:c r="D2" s="116" t="str">
        <x:v>Armada</x:v>
      </x:c>
      <x:c r="E2" s="116" t="str">
        <x:v>DCTS</x:v>
      </x:c>
      <x:c r="F2" s="116" t="str">
        <x:v>Echon</x:v>
      </x:c>
      <x:c r="G2" s="116" t="str">
        <x:v>Fenrid</x:v>
      </x:c>
      <x:c r="H2" s="116" t="str">
        <x:v>Fluxer</x:v>
      </x:c>
      <x:c r="I2" s="116" t="str">
        <x:v>GameVox</x:v>
      </x:c>
      <x:c r="J2" s="116" t="str">
        <x:v>Harmony</x:v>
      </x:c>
      <x:c r="K2" s="116" t="str">
        <x:v>Hollow</x:v>
      </x:c>
      <x:c r="L2" s="116" t="str">
        <x:v>Kaede Chat</x:v>
      </x:c>
      <x:c r="M2" s="116" t="str">
        <x:v>Kloak</x:v>
      </x:c>
      <x:c r="N2" s="116" t="str">
        <x:v>Loqa</x:v>
      </x:c>
      <x:c r="O2" s="116" t="str">
        <x:v>Matrix</x:v>
      </x:c>
      <x:c r="P2" s="116" t="str">
        <x:v>Mattermost</x:v>
      </x:c>
      <x:c r="Q2" s="116" t="str">
        <x:v>Mezon</x:v>
      </x:c>
      <x:c r="R2" s="116" t="str">
        <x:v>Mumble</x:v>
      </x:c>
      <x:c r="S2" s="116" t="str">
        <x:v>Nerimity</x:v>
      </x:c>
      <x:c r="T2" s="116" t="str">
        <x:v>Osmium</x:v>
      </x:c>
      <x:c r="U2" s="116" t="str">
        <x:v>pqp.gg</x:v>
      </x:c>
      <x:c r="V2" s="116" t="str">
        <x:v>Rift</x:v>
      </x:c>
      <x:c r="W2" s="116" t="str">
        <x:v>Rocket.Chat</x:v>
      </x:c>
      <x:c r="X2" s="116" t="str">
        <x:v>Roomy</x:v>
      </x:c>
      <x:c r="Y2" s="116" t="str">
        <x:v>Root</x:v>
      </x:c>
      <x:c r="Z2" s="116" t="str">
        <x:v>Spacebar</x:v>
      </x:c>
      <x:c r="AA2" s="116" t="str">
        <x:v>Stoat</x:v>
      </x:c>
      <x:c r="AB2" s="116" t="str">
        <x:v>TeamSpeak</x:v>
      </x:c>
      <x:c r="AC2" s="116" t="str">
        <x:v>Valour</x:v>
      </x:c>
      <x:c r="AD2" s="116" t="str">
        <x:v>Venta</x:v>
      </x:c>
      <x:c r="AE2" s="116" t="str">
        <x:v>Weered</x:v>
      </x:c>
      <x:c r="AF2" s="116" t="str">
        <x:v>Yapper</x:v>
      </x:c>
      <x:c r="AG2" s="116" t="str">
        <x:v>Zulip</x:v>
      </x:c>
      <x:c r="AH2" s="116" t="str">
        <x:v>Source Row</x:v>
      </x:c>
      <x:c r="AI2" s="116" t="str">
        <x:v>Notes</x:v>
      </x:c>
    </x:row>
    <x:row r="3">
      <x:c r="A3" s="119" t="str">
        <x:v>At a Glance</x:v>
      </x:c>
      <x:c r="B3" s="121" t="str">
        <x:v>Executive Summary</x:v>
      </x:c>
      <x:c r="C3" s="75"/>
      <x:c r="D3" s="75"/>
      <x:c r="E3" s="75"/>
      <x:c r="F3" s="75"/>
      <x:c r="G3" s="75"/>
      <x:c r="H3" s="75"/>
      <x:c r="I3" s="75"/>
      <x:c r="J3" s="75"/>
      <x:c r="K3" s="75"/>
      <x:c r="L3" s="75" t="str">
        <x:v>Core Discord-style messaging is implemented; public docs add federation-aware search, private media storage and moderation/audit behavior</x:v>
      </x:c>
      <x:c r="M3" s="75"/>
      <x:c r="N3" s="75"/>
      <x:c r="O3" s="75"/>
      <x:c r="P3" s="75"/>
      <x:c r="Q3" s="75"/>
      <x:c r="R3" s="75"/>
      <x:c r="S3" s="75"/>
      <x:c r="T3" s="75"/>
      <x:c r="U3" s="75"/>
      <x:c r="V3" s="75"/>
      <x:c r="W3" s="75"/>
      <x:c r="X3" s="75"/>
      <x:c r="Y3" s="75"/>
      <x:c r="Z3" s="75"/>
      <x:c r="AA3" s="75"/>
      <x:c r="AB3" s="75"/>
      <x:c r="AC3" s="78"/>
      <x:c r="AD3" s="75"/>
      <x:c r="AE3" s="75"/>
      <x:c r="AF3" s="75"/>
      <x:c r="AG3" s="75"/>
      <x:c r="AH3" s="122" t="n">
        <x:v>3</x:v>
      </x:c>
      <x:c r="AI3" s="123" t="str">
        <x:v>Canonical source for At a Glance!3</x:v>
      </x:c>
    </x:row>
    <x:row r="4">
      <x:c r="A4" s="119" t="str">
        <x:v>At a Glance</x:v>
      </x:c>
      <x:c r="B4" s="121" t="str">
        <x:v>Client / Server License</x:v>
      </x:c>
      <x:c r="C4" s="75" t="str">
        <x:v>Proprietary / Proprietary</x:v>
      </x:c>
      <x:c r="D4" s="75" t="str">
        <x:v>FOSS (AGPL-3.0) / FOSS (AGPL-3.0 components)</x:v>
      </x:c>
      <x:c r="E4" s="75" t="str">
        <x:v>FOSS AGPL-3.0 / FOSS AGPL-3.0</x:v>
      </x:c>
      <x:c r="F4" s="75" t="str">
        <x:v>Proprietary / Proprietary Rust backend</x:v>
      </x:c>
      <x:c r="G4" s="75" t="str">
        <x:v>Proprietary during alpha; open-source release planned / Proprietary during alpha; open-source release planned</x:v>
      </x:c>
      <x:c r="H4" s="75" t="str">
        <x:v>FOSS (AGPL-3.0) / FOSS (AGPL-3.0)</x:v>
      </x:c>
      <x:c r="I4" s="75" t="str">
        <x:v>Proprietary / Proprietary</x:v>
      </x:c>
      <x:c r="J4" s="75" t="str">
        <x:v>FOSS (AGPL-3.0) / FOSS (AGPL-3.0)</x:v>
      </x:c>
      <x:c r="K4" s="75" t="str">
        <x:v>Open source / Open source relay/server</x:v>
      </x:c>
      <x:c r="L4" s="75" t="str">
        <x:v>MIT</x:v>
      </x:c>
      <x:c r="M4" s="75" t="str">
        <x:v>Proprietary / Proprietary</x:v>
      </x:c>
      <x:c r="N4" s="75"/>
      <x:c r="O4" s="75" t="str">
        <x:v>Varies by client; many FOSS (e.g., Element, Element X, Cinny) / Varies by homeserver; Synapse is AGPLv3/commercial dual model</x:v>
      </x:c>
      <x:c r="P4" s="75" t="str">
        <x:v>FOSS/open-source clients; exact repo license varies / Open source Team Edition / AGPL-source plus commercial Enterprise editions</x:v>
      </x:c>
      <x:c r="Q4" s="75" t="str">
        <x:v>Open-source client code / Open-source server stack/components</x:v>
      </x:c>
      <x:c r="R4" s="75" t="str">
        <x:v>FOSS (BSD-style / BSD-3-Clause) / FOSS (BSD-style / BSD-3-Clause)</x:v>
      </x:c>
      <x:c r="S4" s="75" t="str">
        <x:v>FOSS GPL-family components / FOSS GPL-3.0 server/web components</x:v>
      </x:c>
      <x:c r="T4" s="75"/>
      <x:c r="U4" s="75" t="str">
        <x:v>AGPL-3.0 / AGPL-3.0</x:v>
      </x:c>
      <x:c r="V4" s="75" t="str">
        <x:v>Proprietary / Proprietary</x:v>
      </x:c>
      <x:c r="W4" s="75" t="str">
        <x:v>FOSS core client; MIT components / enterprise extensions / FOSS core (MIT) + enterprise-licensed portions</x:v>
      </x:c>
      <x:c r="X4" s="75" t="str">
        <x:v>MPL-2.0 project / MPL-2.0 project/server components</x:v>
      </x:c>
      <x:c r="Y4" s="75" t="str">
        <x:v>Proprietary / Proprietary</x:v>
      </x:c>
      <x:c r="Z4" s="75" t="str">
        <x:v>FOSS (AGPL-3.0 project components) / FOSS (AGPL-3.0)</x:v>
      </x:c>
      <x:c r="AA4" s="75" t="str">
        <x:v>FOSS (web client AGPL-3.0; clients vary) / FOSS (backend generally AGPL-3.0)</x:v>
      </x:c>
      <x:c r="AB4" s="75" t="str">
        <x:v>Proprietary / Proprietary</x:v>
      </x:c>
      <x:c r="AC4" s="78" t="str">
        <x:v>AGPL-3.0 / AGPL-3.0</x:v>
      </x:c>
      <x:c r="AD4" s="75" t="str">
        <x:v>Client source planned; not yet fully public / Backend source public</x:v>
      </x:c>
      <x:c r="AE4" s="75" t="str">
        <x:v>Source-available (Elastic 2.0); self-host allowed subject to license</x:v>
      </x:c>
      <x:c r="AF4" s="75"/>
      <x:c r="AG4" s="75" t="str">
        <x:v>FOSS (Apache-2.0) / FOSS (Apache-2.0 server/web app)</x:v>
      </x:c>
      <x:c r="AH4" s="122" t="n">
        <x:v>7</x:v>
      </x:c>
      <x:c r="AI4" s="123" t="str">
        <x:v>Canonical source for At a Glance!7</x:v>
      </x:c>
    </x:row>
    <x:row r="5">
      <x:c r="A5" s="119" t="str">
        <x:v>At a Glance</x:v>
      </x:c>
      <x:c r="B5" s="121" t="str">
        <x:v>Default E2EE (DMs)</x:v>
      </x:c>
      <x:c r="C5" s="75" t="str">
        <x:v>No for text DMs; DM voice/video calls are E2EE</x:v>
      </x:c>
      <x:c r="D5" s="75" t="str">
        <x:v>Yes — E2EE community/DM design</x:v>
      </x:c>
      <x:c r="E5" s="75" t="str">
        <x:v>Yes — desktop server DMs can be E2EE; decentralized messenger always E2EE</x:v>
      </x:c>
      <x:c r="F5" s="75" t="str">
        <x:v>No E2EE text claim</x:v>
      </x:c>
      <x:c r="G5" s="75" t="str">
        <x:v>Yes — DM text E2EE by default</x:v>
      </x:c>
      <x:c r="H5" s="75" t="str">
        <x:v>No — latest 2026 privacy policy says nothing is E2EE yet</x:v>
      </x:c>
      <x:c r="I5" s="75" t="str">
        <x:v>No text E2EE claim</x:v>
      </x:c>
      <x:c r="J5" s="75" t="str">
        <x:v>Yes — direct-message E2EE live (vodozemac)</x:v>
      </x:c>
      <x:c r="K5" s="75" t="str">
        <x:v>Yes</x:v>
      </x:c>
      <x:c r="L5" s="75" t="str">
        <x:v>Optional MLS 1.0; not default</x:v>
      </x:c>
      <x:c r="M5" s="75" t="str">
        <x:v>E2EE not yet verified/currently WIP</x:v>
      </x:c>
      <x:c r="N5" s="75" t="str">
        <x:v>Eligible content only — app displays E2EE status</x:v>
      </x:c>
      <x:c r="O5" s="75" t="str">
        <x:v>Supported by Matrix E2EE; default behavior is client-dependent</x:v>
      </x:c>
      <x:c r="P5" s="75" t="str">
        <x:v>No native E2EE for server-stored messages</x:v>
      </x:c>
      <x:c r="Q5" s="75" t="str">
        <x:v>E2EE claimed</x:v>
      </x:c>
      <x:c r="R5" s="75" t="str">
        <x:v>N/A — not a Discord-style persistent DM platform</x:v>
      </x:c>
      <x:c r="S5" s="75" t="str">
        <x:v>No public default E2EE verified</x:v>
      </x:c>
      <x:c r="T5" s="75" t="str">
        <x:v>No E2EE text claim</x:v>
      </x:c>
      <x:c r="U5" s="75" t="str">
        <x:v>No — not marketed as an E2EE product feature</x:v>
      </x:c>
      <x:c r="V5" s="75" t="str">
        <x:v>Yes — DM text E2EE (Signal-style X3DH/Double Ratchet)</x:v>
      </x:c>
      <x:c r="W5" s="75" t="str">
        <x:v>E2EE available for certain conversations but deployment/client constraints apply</x:v>
      </x:c>
      <x:c r="X5" s="75" t="str">
        <x:v>No E2EE chat claim verified</x:v>
      </x:c>
      <x:c r="Y5" s="75" t="str">
        <x:v>No text E2EE disclosed</x:v>
      </x:c>
      <x:c r="Z5" s="75" t="str">
        <x:v>No documented default text E2EE</x:v>
      </x:c>
      <x:c r="AA5" s="75" t="str">
        <x:v>No default text E2EE verified</x:v>
      </x:c>
      <x:c r="AB5" s="75"/>
      <x:c r="AC5" s="78" t="str">
        <x:v>No default E2EE claim</x:v>
      </x:c>
      <x:c r="AD5" s="75" t="str">
        <x:v>Default unencrypted; per-conversation E2EE planned/opt-in</x:v>
      </x:c>
      <x:c r="AE5" s="75" t="str">
        <x:v>No E2EE text claim</x:v>
      </x:c>
      <x:c r="AF5" s="75" t="str">
        <x:v>Server/operator controlled; E2EE not claimed</x:v>
      </x:c>
      <x:c r="AG5" s="75" t="str">
        <x:v>No native E2EE for server-stored chat</x:v>
      </x:c>
      <x:c r="AH5" s="122" t="n">
        <x:v>8</x:v>
      </x:c>
      <x:c r="AI5" s="123" t="str">
        <x:v>Canonical source for At a Glance!8</x:v>
      </x:c>
    </x:row>
    <x:row r="6">
      <x:c r="A6" s="119" t="str">
        <x:v>At a Glance</x:v>
      </x:c>
      <x:c r="B6" s="121" t="str">
        <x:v>Default E2EE (Channels)</x:v>
      </x:c>
      <x:c r="C6" s="75" t="str">
        <x:v>No for text channels/rooms; voice/video channels are E2EE except Stage</x:v>
      </x:c>
      <x:c r="D6" s="75" t="str">
        <x:v>Yes — encrypted communities</x:v>
      </x:c>
      <x:c r="E6" s="75" t="str">
        <x:v>Server channels generally not E2EE</x:v>
      </x:c>
      <x:c r="F6" s="75" t="str">
        <x:v>No</x:v>
      </x:c>
      <x:c r="G6" s="75" t="str">
        <x:v>No — server/community text channels are plaintext to server</x:v>
      </x:c>
      <x:c r="H6" s="75" t="str">
        <x:v>No</x:v>
      </x:c>
      <x:c r="I6" s="75" t="str">
        <x:v>No channel text E2EE claim</x:v>
      </x:c>
      <x:c r="J6" s="75" t="str">
        <x:v>No channel E2EE claim; published E2EE is for DMs</x:v>
      </x:c>
      <x:c r="K6" s="75" t="str">
        <x:v>Encrypted private channels; public channels intentionally unencrypted</x:v>
      </x:c>
      <x:c r="L6" s="75" t="str">
        <x:v>Optional MLS 1.0; not default</x:v>
      </x:c>
      <x:c r="M6" s="75"/>
      <x:c r="N6" s="75" t="str">
        <x:v>Eligible content only</x:v>
      </x:c>
      <x:c r="O6" s="75" t="str">
        <x:v>Supported for encrypted rooms; not every room is encrypted</x:v>
      </x:c>
      <x:c r="P6" s="75" t="str">
        <x:v>No</x:v>
      </x:c>
      <x:c r="Q6" s="75"/>
      <x:c r="R6" s="75" t="str">
        <x:v>N/A</x:v>
      </x:c>
      <x:c r="S6" s="75" t="str">
        <x:v>No</x:v>
      </x:c>
      <x:c r="T6" s="75" t="str">
        <x:v>No</x:v>
      </x:c>
      <x:c r="U6" s="75" t="str">
        <x:v>No — not marketed as an E2EE product feature</x:v>
      </x:c>
      <x:c r="V6" s="75" t="str">
        <x:v>No — Shard/community channel text is encrypted at rest, not E2EE</x:v>
      </x:c>
      <x:c r="W6" s="75" t="str">
        <x:v>Encrypted rooms supported locally; federation docs note E2EE is not supported across federated servers</x:v>
      </x:c>
      <x:c r="X6" s="75" t="str">
        <x:v>No</x:v>
      </x:c>
      <x:c r="Y6" s="75" t="str">
        <x:v>No text E2EE disclosed</x:v>
      </x:c>
      <x:c r="Z6" s="75" t="str">
        <x:v>No documented channel E2EE</x:v>
      </x:c>
      <x:c r="AA6" s="75" t="str">
        <x:v>No default channel E2EE</x:v>
      </x:c>
      <x:c r="AB6" s="75"/>
      <x:c r="AC6" s="78" t="str">
        <x:v>No</x:v>
      </x:c>
      <x:c r="AD6" s="75"/>
      <x:c r="AE6" s="75" t="str">
        <x:v>No</x:v>
      </x:c>
      <x:c r="AF6" s="75"/>
      <x:c r="AG6" s="75" t="str">
        <x:v>No</x:v>
      </x:c>
      <x:c r="AH6" s="122" t="n">
        <x:v>9</x:v>
      </x:c>
      <x:c r="AI6" s="123" t="str">
        <x:v>Canonical source for At a Glance!9</x:v>
      </x:c>
    </x:row>
    <x:row r="7">
      <x:c r="A7" s="119" t="str">
        <x:v>At a Glance</x:v>
      </x:c>
      <x:c r="B7" s="121" t="str">
        <x:v>Max Screen Share (Free Res/FPS)</x:v>
      </x:c>
      <x:c r="C7" s="75" t="str">
        <x:v>720p / 30 fps</x:v>
      </x:c>
      <x:c r="D7" s="75"/>
      <x:c r="E7" s="75" t="str">
        <x:v>Up to 4K theoretical/configurable / Up to 60/120 depending docs/version</x:v>
      </x:c>
      <x:c r="F7" s="75"/>
      <x:c r="G7" s="75"/>
      <x:c r="H7" s="75" t="str">
        <x:v>720p / 30 fps</x:v>
      </x:c>
      <x:c r="I7" s="75" t="str">
        <x:v>1080p / 30 fps</x:v>
      </x:c>
      <x:c r="J7" s="75" t="str">
        <x:v>Not publicly claimed</x:v>
      </x:c>
      <x:c r="K7" s="75"/>
      <x:c r="L7" s="75" t="str">
        <x:v>4K native Source preset at 30 FPS is publicly documented; browser Source has an 8K defensive bound. Developer questionnaire reported 4K60.</x:v>
      </x:c>
      <x:c r="M7" s="75"/>
      <x:c r="N7" s="75"/>
      <x:c r="O7" s="75" t="str">
        <x:v>Varies by client / Varies by client</x:v>
      </x:c>
      <x:c r="P7" s="75"/>
      <x:c r="Q7" s="75"/>
      <x:c r="R7" s="75" t="str">
        <x:v>N/A / N/A</x:v>
      </x:c>
      <x:c r="S7" s="75"/>
      <x:c r="T7" s="75"/>
      <x:c r="U7" s="75" t="str">
        <x:v>360p–1080p free; FPS not publicly claimed; browser tab audio; up to 4 presenters in big rooms</x:v>
      </x:c>
      <x:c r="V7" s="75" t="str">
        <x:v>1080p60 free; 1440p60 with Rift+</x:v>
      </x:c>
      <x:c r="W7" s="75"/>
      <x:c r="X7" s="75"/>
      <x:c r="Y7" s="75" t="str">
        <x:v>720p Game Mode / Source mode / 30 fps Game Mode / 5 fps Source mode</x:v>
      </x:c>
      <x:c r="Z7" s="75"/>
      <x:c r="AA7" s="75" t="str">
        <x:v>720p / 30 fps</x:v>
      </x:c>
      <x:c r="AB7" s="75"/>
      <x:c r="AC7" s="78"/>
      <x:c r="AD7" s="75"/>
      <x:c r="AE7" s="75"/>
      <x:c r="AF7" s="75" t="str">
        <x:v>Up to 1440p included</x:v>
      </x:c>
      <x:c r="AG7" s="75" t="str">
        <x:v>External call provider-dependent / Provider-dependent</x:v>
      </x:c>
      <x:c r="AH7" s="122" t="n">
        <x:v>10</x:v>
      </x:c>
      <x:c r="AI7" s="123" t="str">
        <x:v>Canonical source for At a Glance!10</x:v>
      </x:c>
    </x:row>
    <x:row r="8">
      <x:c r="A8" s="119" t="str">
        <x:v>At a Glance</x:v>
      </x:c>
      <x:c r="B8" s="121" t="str">
        <x:v>User Data Scraped for AI Training?</x:v>
      </x:c>
      <x:c r="C8" s="75" t="str">
        <x:v>No — Discord states AI companies may not train models using user messages</x:v>
      </x:c>
      <x:c r="D8" s="75" t="str">
        <x:v>Encrypted/no central host</x:v>
      </x:c>
      <x:c r="E8" s="75" t="str">
        <x:v>Self-host controlled</x:v>
      </x:c>
      <x:c r="F8" s="75" t="str">
        <x:v>No — privacy policy says content not used for AI training</x:v>
      </x:c>
      <x:c r="G8" s="75"/>
      <x:c r="H8" s="75" t="str">
        <x:v>No — explicit privacy policy</x:v>
      </x:c>
      <x:c r="I8" s="75"/>
      <x:c r="J8" s="75" t="str">
        <x:v>No — official site says no AI training on chats; self-host sends no telemetry</x:v>
      </x:c>
      <x:c r="K8" s="75" t="str">
        <x:v>No central plaintext service</x:v>
      </x:c>
      <x:c r="L8" s="75" t="str">
        <x:v>No — developer states user data is not used for AI training</x:v>
      </x:c>
      <x:c r="M8" s="75" t="str">
        <x:v>No behavioral tracking; AI training not specifically documented</x:v>
      </x:c>
      <x:c r="N8" s="75"/>
      <x:c r="O8" s="75" t="str">
        <x:v>Provider-specific — Matrix has no single data controller</x:v>
      </x:c>
      <x:c r="P8" s="75" t="str">
        <x:v>Deployment/provider-specific</x:v>
      </x:c>
      <x:c r="Q8" s="75"/>
      <x:c r="R8" s="75" t="str">
        <x:v>N/A — no central hosted content service</x:v>
      </x:c>
      <x:c r="S8" s="75"/>
      <x:c r="T8" s="75"/>
      <x:c r="U8" s="75" t="str">
        <x:v>No user-content training claim provided; robots.txt Content Signal includes ai-train=no</x:v>
      </x:c>
      <x:c r="V8" s="75" t="str">
        <x:v>No — explicit no-training statement</x:v>
      </x:c>
      <x:c r="W8" s="75" t="str">
        <x:v>Deployment/provider-specific</x:v>
      </x:c>
      <x:c r="X8" s="75" t="str">
        <x:v>Provider-dependent</x:v>
      </x:c>
      <x:c r="Y8" s="75" t="str">
        <x:v>No — privacy policy says no model training</x:v>
      </x:c>
      <x:c r="Z8" s="75" t="str">
        <x:v>Self-host operator-controlled</x:v>
      </x:c>
      <x:c r="AA8" s="75"/>
      <x:c r="AB8" s="75"/>
      <x:c r="AC8" s="78"/>
      <x:c r="AD8" s="75"/>
      <x:c r="AE8" s="75"/>
      <x:c r="AF8" s="75" t="str">
        <x:v>No central training of self-host content</x:v>
      </x:c>
      <x:c r="AG8" s="75"/>
      <x:c r="AH8" s="122" t="n">
        <x:v>14</x:v>
      </x:c>
      <x:c r="AI8" s="123" t="str">
        <x:v>Canonical source for At a Glance!14</x:v>
      </x:c>
    </x:row>
    <x:row r="9">
      <x:c r="A9" s="119" t="str">
        <x:v>At a Glance</x:v>
      </x:c>
      <x:c r="B9" s="121" t="str">
        <x:v>Primary Business Model</x:v>
      </x:c>
      <x:c r="C9" s="75" t="str">
        <x:v>Freemium — Nitro/paid products + sponsored content</x:v>
      </x:c>
      <x:c r="D9" s="75" t="str">
        <x:v>Free/open source; community/grant/donation funded; no ads or data sales</x:v>
      </x:c>
      <x:c r="E9" s="75" t="str">
        <x:v>Free AGPL self-hosting/donations</x:v>
      </x:c>
      <x:c r="F9" s="75" t="str">
        <x:v>Free/private early product</x:v>
      </x:c>
      <x:c r="G9" s="75" t="str">
        <x:v>Freemium/subscription plans; alpha</x:v>
      </x:c>
      <x:c r="H9" s="75" t="str">
        <x:v>Subscriber/donor-funded freemium; no VC</x:v>
      </x:c>
      <x:c r="I9" s="75" t="str">
        <x:v>Free + self-host/server licensing</x:v>
      </x:c>
      <x:c r="J9" s="75" t="str">
        <x:v>Free hosted tier + paid hosting plans/early access; AGPL self-hosting is free</x:v>
      </x:c>
      <x:c r="K9" s="75" t="str">
        <x:v>Free open source / solo project</x:v>
      </x:c>
      <x:c r="L9" s="75" t="str">
        <x:v>Free/currently unmonetized; future monetization planned but not yet defined</x:v>
      </x:c>
      <x:c r="M9" s="75" t="str">
        <x:v>Free/community project</x:v>
      </x:c>
      <x:c r="N9" s="75" t="str">
        <x:v>Free core; optional managed self-hosting/premium planned</x:v>
      </x:c>
      <x:c r="O9" s="75" t="str">
        <x:v>Open protocol/foundation ecosystem + commercial providers</x:v>
      </x:c>
      <x:c r="P9" s="75" t="str">
        <x:v>Enterprise subscriptions + open-source/self-hosted editions</x:v>
      </x:c>
      <x:c r="Q9" s="75" t="str">
        <x:v>Free platform / company-backed</x:v>
      </x:c>
      <x:c r="R9" s="75" t="str">
        <x:v>Free open source; third-party hosting</x:v>
      </x:c>
      <x:c r="S9" s="75" t="str">
        <x:v>Donation-funded free service</x:v>
      </x:c>
      <x:c r="T9" s="75" t="str">
        <x:v>Free core + Premium subscriptions; zero ads/no third-party data sharing</x:v>
      </x:c>
      <x:c r="U9" s="75" t="str">
        <x:v>Free hosted + optional donations + AGPL self-host; donations unlock nothing; not VC-backed</x:v>
      </x:c>
      <x:c r="V9" s="75" t="str">
        <x:v>Subscriptions, not advertising; no investors</x:v>
      </x:c>
      <x:c r="W9" s="75" t="str">
        <x:v>Cloud/enterprise subscriptions + open-source core</x:v>
      </x:c>
      <x:c r="X9" s="75" t="str">
        <x:v>Open-source community project</x:v>
      </x:c>
      <x:c r="Y9" s="75" t="str">
        <x:v>Private freemium + Sudo subscription</x:v>
      </x:c>
      <x:c r="Z9" s="75" t="str">
        <x:v>Free open-source self-hosting</x:v>
      </x:c>
      <x:c r="AA9" s="75" t="str">
        <x:v>Free and open source; no ads/data sales</x:v>
      </x:c>
      <x:c r="AB9" s="75" t="str">
        <x:v>Commercial licenses/hosting</x:v>
      </x:c>
      <x:c r="AC9" s="78" t="str">
        <x:v>Free + Stargazer subscriptions/Patreon</x:v>
      </x:c>
      <x:c r="AD9" s="75" t="str">
        <x:v>Early open-source/community project</x:v>
      </x:c>
      <x:c r="AE9" s="75" t="str">
        <x:v>Free core + paid custom/private lobby tiers</x:v>
      </x:c>
      <x:c r="AF9" s="75" t="str">
        <x:v>Paid self-host license + managed hosting</x:v>
      </x:c>
      <x:c r="AG9" s="75" t="str">
        <x:v>Cloud subscriptions + open-source self-hosting</x:v>
      </x:c>
      <x:c r="AH9" s="122" t="n">
        <x:v>15</x:v>
      </x:c>
      <x:c r="AI9" s="123" t="str">
        <x:v>Canonical source for At a Glance!15</x:v>
      </x:c>
    </x:row>
    <x:row r="10">
      <x:c r="A10" s="119" t="str">
        <x:v>At a Glance</x:v>
      </x:c>
      <x:c r="B10" s="121" t="str">
        <x:v>Standout Advantage vs. Discord</x:v>
      </x:c>
      <x:c r="C10" s="75" t="str">
        <x:v>Baseline/reference platform — N/A</x:v>
      </x:c>
      <x:c r="D10" s="75" t="str">
        <x:v>Portable key identity + E2EE + no central host required</x:v>
      </x:c>
      <x:c r="E10" s="75" t="str">
        <x:v>Self-host-only + cross-server E2EE messenger + high configurable screen share</x:v>
      </x:c>
      <x:c r="F10" s="75" t="str">
        <x:v>Cross-platform LiveKit voice/chat/screen with Discord-like UX</x:v>
      </x:c>
      <x:c r="G10" s="75" t="str">
        <x:v>Default E2EE private DMs + built-in community/events focus</x:v>
      </x:c>
      <x:c r="H10" s="75" t="str">
        <x:v>Open source + self-hosting + Discord-like UX</x:v>
      </x:c>
      <x:c r="I10" s="75" t="str">
        <x:v>Strong Discord migration tooling + self-hosting + voice focus</x:v>
      </x:c>
      <x:c r="J10" s="75" t="str">
        <x:v>AGPL self-hosting + E2EE DMs + lightweight Tauri desktop + simple PostgreSQL deployment</x:v>
      </x:c>
      <x:c r="K10" s="75" t="str">
        <x:v>Local-first E2EE + portable key identity + self-host relay</x:v>
      </x:c>
      <x:c r="L10" s="75" t="str">
        <x:v>Federation that feels like email, optional MLS E2EE, self-hosting, custom CSS/theme support</x:v>
      </x:c>
      <x:c r="M10" s="75" t="str">
        <x:v>No-email/phone identity + privacy focus + rich channel types</x:v>
      </x:c>
      <x:c r="N10" s="75" t="str">
        <x:v>Discord-like API compatibility + federation/self-hosting direction</x:v>
      </x:c>
      <x:c r="O10" s="75" t="str">
        <x:v>Open federated protocol, self-hosting, client choice, E2EE-capable rooms</x:v>
      </x:c>
      <x:c r="P10" s="75" t="str">
        <x:v>Enterprise self-hosting/data sovereignty + mature admin tooling</x:v>
      </x:c>
      <x:c r="Q10" s="75" t="str">
        <x:v>Native high-performance clients + no-paywall media + built-in AI</x:v>
      </x:c>
      <x:c r="R10" s="75" t="str">
        <x:v>Mature low-latency self-hosted voice + positional audio</x:v>
      </x:c>
      <x:c r="S10" s="75" t="str">
        <x:v>Open source, lightweight Discord-like community chat</x:v>
      </x:c>
      <x:c r="T10" s="75" t="str">
        <x:v>Regional data placement + broad native client support</x:v>
      </x:c>
      <x:c r="U10" s="75" t="str">
        <x:v>Browser screen share works in Brazil; AGPL/self-hostable; Portuguese-first</x:v>
      </x:c>
      <x:c r="V10" s="75" t="str">
        <x:v>No email/phone/ID + EXIF stripping + no AI training + portal workspace</x:v>
      </x:c>
      <x:c r="W10" s="75" t="str">
        <x:v>Self-hosting + enterprise collaboration + federation options</x:v>
      </x:c>
      <x:c r="X10" s="75" t="str">
        <x:v>ATProto identity/data model + bidirectional Discord bridge + docs/gardening features</x:v>
      </x:c>
      <x:c r="Y10" s="75" t="str">
        <x:v>Very Discord-like migration path + integrated hosted Apps/Bots</x:v>
      </x:c>
      <x:c r="Z10" s="75" t="str">
        <x:v>Discord API compatibility + complete operator control</x:v>
      </x:c>
      <x:c r="AA10" s="75" t="str">
        <x:v>FOSS + self-hosting with Discord-like UX</x:v>
      </x:c>
      <x:c r="AB10" s="75" t="str">
        <x:v>Mature low-latency voice and self-hosted server control</x:v>
      </x:c>
      <x:c r="AC10" s="78" t="str">
        <x:v>Fully open-source + self-host + importer + rich community features</x:v>
      </x:c>
      <x:c r="AD10" s="75" t="str">
        <x:v>Open-source/self-host/federation direction</x:v>
      </x:c>
      <x:c r="AE10" s="75" t="str">
        <x:v>Game-native lobbies with deep API integrations and built-in voice/video</x:v>
      </x:c>
      <x:c r="AF10" s="75" t="str">
        <x:v>Self-hosted voice/chat/screen + spatial audio</x:v>
      </x:c>
      <x:c r="AG10" s="75" t="str">
        <x:v>Exceptional topic-based organized text + open source/self-hosting</x:v>
      </x:c>
      <x:c r="AH10" s="122" t="n">
        <x:v>17</x:v>
      </x:c>
      <x:c r="AI10" s="123" t="str">
        <x:v>Canonical source for At a Glance!17</x:v>
      </x:c>
    </x:row>
    <x:row r="11">
      <x:c r="A11" s="119" t="str">
        <x:v>At a Glance</x:v>
      </x:c>
      <x:c r="B11" s="121" t="str">
        <x:v>Biggest Current Limitation</x:v>
      </x:c>
      <x:c r="C11" s="75" t="str">
        <x:v>Text messages are not E2EE; no self-hosting/federation; centralized proprietary service</x:v>
      </x:c>
      <x:c r="D11" s="75" t="str">
        <x:v>Young ecosystem; setup/relay/bot UX still maturing</x:v>
      </x:c>
      <x:c r="E11" s="75"/>
      <x:c r="F11" s="75" t="str">
        <x:v>Centralized/closed source; privacy/crypto/audit details sparse</x:v>
      </x:c>
      <x:c r="G11" s="75" t="str">
        <x:v>Alpha; proprietary today; no self-hosting/federation; cryptography still maturing</x:v>
      </x:c>
      <x:c r="H11" s="75" t="str">
        <x:v>Public beta; no text E2EE yet; federation not yet available</x:v>
      </x:c>
      <x:c r="I11" s="75" t="str">
        <x:v>Proprietary; federation/text E2EE not verified</x:v>
      </x:c>
      <x:c r="J11" s="75" t="str">
        <x:v>Daily-driver polish is still in progress; mobile apps, discovery and bot API are next/in development</x:v>
      </x:c>
      <x:c r="K11" s="75" t="str">
        <x:v>Very early/solo; no mature Discord migration or persistent voice-room ecosystem</x:v>
      </x:c>
      <x:c r="L11" s="75" t="str">
        <x:v>Solo developer; developer reports brief backend downtime on some releases while zero-downtime work is in progress</x:v>
      </x:c>
      <x:c r="M11" s="75" t="str">
        <x:v>Centralized/closed source; E2EE deployment/audits not mature</x:v>
      </x:c>
      <x:c r="N11" s="75" t="str">
        <x:v>Early beta; mobile/export/federation details still evolving</x:v>
      </x:c>
      <x:c r="O11" s="75" t="str">
        <x:v>UX/features vary substantially by client/homeserver; no single Matrix app</x:v>
      </x:c>
      <x:c r="P11" s="75" t="str">
        <x:v>Not gaming/community-first; no native E2EE for server-stored messages</x:v>
      </x:c>
      <x:c r="Q11" s="75"/>
      <x:c r="R11" s="75" t="str">
        <x:v>Voice-first, not a full Discord community/text replacement</x:v>
      </x:c>
      <x:c r="S11" s="75" t="str">
        <x:v>No federation; self-hosting unsupported as a normal use case; limited media documentation</x:v>
      </x:c>
      <x:c r="T11" s="75" t="str">
        <x:v>Centralized/proprietary model; text E2EE/self-hosting not verified</x:v>
      </x:c>
      <x:c r="U11" s="75" t="str">
        <x:v>Young beta; no public bot API; mobile via TestFlight/APK; Discord import is layout-only; QoL still catching up</x:v>
      </x:c>
      <x:c r="V11" s="75" t="str">
        <x:v>Centralized/closed source; E2EE and detailed media limits not published</x:v>
      </x:c>
      <x:c r="W11" s="75" t="str">
        <x:v>Media/federation/E2EE behavior is deployment/version dependent; less Discord-like voice UX</x:v>
      </x:c>
      <x:c r="X11" s="75" t="str">
        <x:v>Early and text-focused; not yet a full Discord media replacement</x:v>
      </x:c>
      <x:c r="Y11" s="75" t="str">
        <x:v>Closed source, centralized, no text E2EE/self-hosting</x:v>
      </x:c>
      <x:c r="Z11" s="75" t="str">
        <x:v>Alpha/WIP; separate instances do not federate; setup is technical</x:v>
      </x:c>
      <x:c r="AA11" s="75" t="str">
        <x:v>No federation; text E2EE not verified/default; feature completeness still maturing</x:v>
      </x:c>
      <x:c r="AB11" s="75" t="str">
        <x:v>Less Discord-like community/text ecosystem; TS6 is still beta</x:v>
      </x:c>
      <x:c r="AC11" s="78" t="str">
        <x:v>Alpha; iOS/media/E2EE details incomplete</x:v>
      </x:c>
      <x:c r="AD11" s="75" t="str">
        <x:v>Experimental; federation/E2EE/client source are still in progress</x:v>
      </x:c>
      <x:c r="AE11" s="75" t="str">
        <x:v>Centralized/solo beta; no E2EE, self-hosting, federation or Discord migration</x:v>
      </x:c>
      <x:c r="AF11" s="75" t="str">
        <x:v>Proprietary and non-federated; smaller ecosystem</x:v>
      </x:c>
      <x:c r="AG11" s="75" t="str">
        <x:v>Voice/video depend on external providers; less gaming/community oriented</x:v>
      </x:c>
      <x:c r="AH11" s="122" t="n">
        <x:v>18</x:v>
      </x:c>
      <x:c r="AI11" s="123" t="str">
        <x:v>Canonical source for At a Glance!18</x:v>
      </x:c>
    </x:row>
    <x:row r="12">
      <x:c r="A12" s="119" t="str">
        <x:v>At a Glance</x:v>
      </x:c>
      <x:c r="B12" s="121" t="str">
        <x:v>Platform Model Snapshot</x:v>
      </x:c>
      <x:c r="C12" s="75"/>
      <x:c r="D12" s="75"/>
      <x:c r="E12" s="75"/>
      <x:c r="F12" s="75"/>
      <x:c r="G12" s="75"/>
      <x:c r="H12" s="75"/>
      <x:c r="I12" s="75"/>
      <x:c r="J12" s="75"/>
      <x:c r="K12" s="75"/>
      <x:c r="L12" s="75" t="str">
        <x:v>Federated home-instance model with one account usable across other Kaede homes</x:v>
      </x:c>
      <x:c r="M12" s="75"/>
      <x:c r="N12" s="75"/>
      <x:c r="O12" s="75"/>
      <x:c r="P12" s="75"/>
      <x:c r="Q12" s="75"/>
      <x:c r="R12" s="75"/>
      <x:c r="S12" s="75"/>
      <x:c r="T12" s="75"/>
      <x:c r="U12" s="75"/>
      <x:c r="V12" s="75"/>
      <x:c r="W12" s="75"/>
      <x:c r="X12" s="75"/>
      <x:c r="Y12" s="75"/>
      <x:c r="Z12" s="75"/>
      <x:c r="AA12" s="75"/>
      <x:c r="AB12" s="75"/>
      <x:c r="AC12" s="78"/>
      <x:c r="AD12" s="75"/>
      <x:c r="AE12" s="75"/>
      <x:c r="AF12" s="75"/>
      <x:c r="AG12" s="75"/>
      <x:c r="AH12" s="122" t="n">
        <x:v>19</x:v>
      </x:c>
      <x:c r="AI12" s="123" t="str">
        <x:v>Canonical source for At a Glance!19</x:v>
      </x:c>
    </x:row>
    <x:row r="13">
      <x:c r="A13" s="119" t="str">
        <x:v>At a Glance</x:v>
      </x:c>
      <x:c r="B13" s="121" t="str">
        <x:v>Free Plan?</x:v>
      </x:c>
      <x:c r="C13" s="75" t="str">
        <x:v>Yes</x:v>
      </x:c>
      <x:c r="D13" s="75" t="str">
        <x:v>Yes</x:v>
      </x:c>
      <x:c r="E13" s="75" t="str">
        <x:v>Yes</x:v>
      </x:c>
      <x:c r="F13" s="75"/>
      <x:c r="G13" s="75" t="str">
        <x:v>Yes</x:v>
      </x:c>
      <x:c r="H13" s="75" t="str">
        <x:v>Yes</x:v>
      </x:c>
      <x:c r="I13" s="75" t="str">
        <x:v>Yes</x:v>
      </x:c>
      <x:c r="J13" s="75" t="str">
        <x:v>Yes</x:v>
      </x:c>
      <x:c r="K13" s="75" t="str">
        <x:v>Yes</x:v>
      </x:c>
      <x:c r="L13" s="75" t="str">
        <x:v>Yes — official instance currently free; MIT self-hosting is free</x:v>
      </x:c>
      <x:c r="M13" s="75" t="str">
        <x:v>Yes</x:v>
      </x:c>
      <x:c r="N13" s="75" t="str">
        <x:v>Yes</x:v>
      </x:c>
      <x:c r="O13" s="75" t="str">
        <x:v>Yes</x:v>
      </x:c>
      <x:c r="P13" s="75" t="str">
        <x:v>Yes</x:v>
      </x:c>
      <x:c r="Q13" s="75" t="str">
        <x:v>Yes</x:v>
      </x:c>
      <x:c r="R13" s="75" t="str">
        <x:v>Yes</x:v>
      </x:c>
      <x:c r="S13" s="75" t="str">
        <x:v>Yes</x:v>
      </x:c>
      <x:c r="T13" s="75"/>
      <x:c r="U13" s="75" t="str">
        <x:v>Yes — hosted service is free</x:v>
      </x:c>
      <x:c r="V13" s="75" t="str">
        <x:v>Yes</x:v>
      </x:c>
      <x:c r="W13" s="75" t="str">
        <x:v>Yes</x:v>
      </x:c>
      <x:c r="X13" s="75" t="str">
        <x:v>Yes</x:v>
      </x:c>
      <x:c r="Y13" s="75" t="str">
        <x:v>Yes</x:v>
      </x:c>
      <x:c r="Z13" s="75" t="str">
        <x:v>Yes</x:v>
      </x:c>
      <x:c r="AA13" s="75" t="str">
        <x:v>Yes</x:v>
      </x:c>
      <x:c r="AB13" s="75" t="str">
        <x:v>Yes</x:v>
      </x:c>
      <x:c r="AC13" s="78" t="str">
        <x:v>Yes</x:v>
      </x:c>
      <x:c r="AD13" s="75"/>
      <x:c r="AE13" s="75" t="str">
        <x:v>Yes</x:v>
      </x:c>
      <x:c r="AF13" s="75"/>
      <x:c r="AG13" s="75" t="str">
        <x:v>Yes</x:v>
      </x:c>
      <x:c r="AH13" s="122" t="n">
        <x:v>29</x:v>
      </x:c>
      <x:c r="AI13" s="123" t="str">
        <x:v>Canonical source for At a Glance!29</x:v>
      </x:c>
    </x:row>
    <x:row r="14">
      <x:c r="A14" s="119" t="str">
        <x:v>At a Glance</x:v>
      </x:c>
      <x:c r="B14" s="121" t="str">
        <x:v># Public Paid Options</x:v>
      </x:c>
      <x:c r="C14" s="75" t="str">
        <x:v>4</x:v>
      </x:c>
      <x:c r="D14" s="75" t="str">
        <x:v>0</x:v>
      </x:c>
      <x:c r="E14" s="75" t="str">
        <x:v>0</x:v>
      </x:c>
      <x:c r="F14" s="75" t="str">
        <x:v>0</x:v>
      </x:c>
      <x:c r="G14" s="75" t="str">
        <x:v>3</x:v>
      </x:c>
      <x:c r="H14" s="75" t="str">
        <x:v>1</x:v>
      </x:c>
      <x:c r="I14" s="75" t="str">
        <x:v>4</x:v>
      </x:c>
      <x:c r="J14" s="75" t="str">
        <x:v>0</x:v>
      </x:c>
      <x:c r="K14" s="75" t="str">
        <x:v>0</x:v>
      </x:c>
      <x:c r="L14" s="75" t="str">
        <x:v>0</x:v>
      </x:c>
      <x:c r="M14" s="75" t="str">
        <x:v>0</x:v>
      </x:c>
      <x:c r="N14" s="75" t="str">
        <x:v>0</x:v>
      </x:c>
      <x:c r="O14" s="75" t="str">
        <x:v>0</x:v>
      </x:c>
      <x:c r="P14" s="75" t="str">
        <x:v>4</x:v>
      </x:c>
      <x:c r="Q14" s="75" t="str">
        <x:v>0</x:v>
      </x:c>
      <x:c r="R14" s="75" t="str">
        <x:v>0</x:v>
      </x:c>
      <x:c r="S14" s="75" t="str">
        <x:v>0</x:v>
      </x:c>
      <x:c r="T14" s="75" t="str">
        <x:v>0</x:v>
      </x:c>
      <x:c r="U14" s="75" t="n">
        <x:v>0</x:v>
      </x:c>
      <x:c r="V14" s="75" t="str">
        <x:v>3</x:v>
      </x:c>
      <x:c r="W14" s="75" t="str">
        <x:v>3</x:v>
      </x:c>
      <x:c r="X14" s="75" t="str">
        <x:v>0</x:v>
      </x:c>
      <x:c r="Y14" s="75" t="str">
        <x:v>1</x:v>
      </x:c>
      <x:c r="Z14" s="75" t="str">
        <x:v>0</x:v>
      </x:c>
      <x:c r="AA14" s="75" t="str">
        <x:v>0</x:v>
      </x:c>
      <x:c r="AB14" s="75" t="str">
        <x:v>10</x:v>
      </x:c>
      <x:c r="AC14" s="78" t="str">
        <x:v>1</x:v>
      </x:c>
      <x:c r="AD14" s="75" t="str">
        <x:v>0</x:v>
      </x:c>
      <x:c r="AE14" s="75" t="str">
        <x:v>5</x:v>
      </x:c>
      <x:c r="AF14" s="75" t="str">
        <x:v>1</x:v>
      </x:c>
      <x:c r="AG14" s="75" t="str">
        <x:v>5</x:v>
      </x:c>
      <x:c r="AH14" s="122" t="n">
        <x:v>30</x:v>
      </x:c>
      <x:c r="AI14" s="123" t="str">
        <x:v>Canonical source for At a Glance!30</x:v>
      </x:c>
    </x:row>
    <x:row r="15">
      <x:c r="A15" s="119" t="str">
        <x:v>At a Glance</x:v>
      </x:c>
      <x:c r="B15" s="121" t="str">
        <x:v>Paid Options / Tiers</x:v>
      </x:c>
      <x:c r="C15" s="75" t="str">
        <x:v>Nitro Basic; Nitro; Server Boost; Nitro Classic</x:v>
      </x:c>
      <x:c r="D15" s="75" t="str">
        <x:v>No public paid tier verified</x:v>
      </x:c>
      <x:c r="E15" s="75" t="str">
        <x:v>No public paid tier verified</x:v>
      </x:c>
      <x:c r="F15" s="75" t="str">
        <x:v>No public paid tier verified</x:v>
      </x:c>
      <x:c r="G15" s="75" t="str">
        <x:v>Surge; Flare; Prime</x:v>
      </x:c>
      <x:c r="H15" s="75" t="str">
        <x:v>Plutonium</x:v>
      </x:c>
      <x:c r="I15" s="75" t="str">
        <x:v>Silver; Gold; Diamond; Self-Hosted Server License</x:v>
      </x:c>
      <x:c r="J15" s="75" t="str">
        <x:v>No public paid tier verified</x:v>
      </x:c>
      <x:c r="K15" s="75" t="str">
        <x:v>No public paid tier verified</x:v>
      </x:c>
      <x:c r="L15" s="75" t="str">
        <x:v>None</x:v>
      </x:c>
      <x:c r="M15" s="75" t="str">
        <x:v>No public paid tier verified</x:v>
      </x:c>
      <x:c r="N15" s="75" t="str">
        <x:v>No public paid tier verified</x:v>
      </x:c>
      <x:c r="O15" s="75" t="str">
        <x:v>No public paid tier verified</x:v>
      </x:c>
      <x:c r="P15" s="75" t="str">
        <x:v>Professional; Enterprise; Enterprise Advanced; Premier Support</x:v>
      </x:c>
      <x:c r="Q15" s="75" t="str">
        <x:v>No public paid tier verified</x:v>
      </x:c>
      <x:c r="R15" s="75" t="str">
        <x:v>No public paid tier verified</x:v>
      </x:c>
      <x:c r="S15" s="75" t="str">
        <x:v>No public paid tier verified</x:v>
      </x:c>
      <x:c r="T15" s="75" t="str">
        <x:v>No public paid tier verified</x:v>
      </x:c>
      <x:c r="U15" s="75" t="str">
        <x:v>None — donations unlock nothing</x:v>
      </x:c>
      <x:c r="V15" s="75" t="str">
        <x:v>Rift+; Shard Ember; Shard Forge</x:v>
      </x:c>
      <x:c r="W15" s="75" t="str">
        <x:v>Commercial; Government; Defense</x:v>
      </x:c>
      <x:c r="X15" s="75" t="str">
        <x:v>No public paid tier verified</x:v>
      </x:c>
      <x:c r="Y15" s="75" t="str">
        <x:v>Sudo</x:v>
      </x:c>
      <x:c r="Z15" s="75" t="str">
        <x:v>No public paid tier verified</x:v>
      </x:c>
      <x:c r="AA15" s="75" t="str">
        <x:v>No public paid tier verified</x:v>
      </x:c>
      <x:c r="AB15" s="75" t="str">
        <x:v>Crew; Team; Faction; Gamer / Activation 64 slots; Gamer / Activation 128 slots; Gamer / Activation 256 slots; Gamer / Activation 512 slots; Gamer / Activation 1024 slots; Commercial License; TeamSpeak SDK License</x:v>
      </x:c>
      <x:c r="AC15" s="78" t="str">
        <x:v>Stargazer</x:v>
      </x:c>
      <x:c r="AD15" s="75" t="str">
        <x:v>No public paid tier verified</x:v>
      </x:c>
      <x:c r="AE15" s="75" t="str">
        <x:v>Run your own; Have it built — Crew; Have it built — League; Have it built — Network; Have it built — Larger</x:v>
      </x:c>
      <x:c r="AF15" s="75" t="str">
        <x:v>Yapper Hosting — 1 Year</x:v>
      </x:c>
      <x:c r="AG15" s="75" t="str">
        <x:v>Cloud Standard; Cloud Plus; Self-hosted Basic; Self-hosted Business; Self-hosted Enterprise</x:v>
      </x:c>
      <x:c r="AH15" s="122" t="n">
        <x:v>31</x:v>
      </x:c>
      <x:c r="AI15" s="123" t="str">
        <x:v>Canonical source for At a Glance!31</x:v>
      </x:c>
    </x:row>
    <x:row r="16">
      <x:c r="A16" s="119" t="str">
        <x:v>At a Glance</x:v>
      </x:c>
      <x:c r="B16" s="121" t="str">
        <x:v>Self-Hosting?</x:v>
      </x:c>
      <x:c r="C16" s="75" t="str">
        <x:v>No</x:v>
      </x:c>
      <x:c r="D16" s="75" t="str">
        <x:v>Yes — relays/self-host</x:v>
      </x:c>
      <x:c r="E16" s="75" t="str">
        <x:v>Yes</x:v>
      </x:c>
      <x:c r="F16" s="75" t="str">
        <x:v>No</x:v>
      </x:c>
      <x:c r="G16" s="75" t="str">
        <x:v>No currently</x:v>
      </x:c>
      <x:c r="H16" s="75" t="str">
        <x:v>Yes</x:v>
      </x:c>
      <x:c r="I16" s="75" t="str">
        <x:v>Yes</x:v>
      </x:c>
      <x:c r="J16" s="75" t="str">
        <x:v>Yes</x:v>
      </x:c>
      <x:c r="K16" s="75" t="str">
        <x:v>Yes</x:v>
      </x:c>
      <x:c r="L16" s="75" t="str">
        <x:v>Yes</x:v>
      </x:c>
      <x:c r="M16" s="75" t="str">
        <x:v>No</x:v>
      </x:c>
      <x:c r="N16" s="75" t="str">
        <x:v>Yes</x:v>
      </x:c>
      <x:c r="O16" s="75" t="str">
        <x:v>Yes</x:v>
      </x:c>
      <x:c r="P16" s="75" t="str">
        <x:v>Yes</x:v>
      </x:c>
      <x:c r="Q16" s="75"/>
      <x:c r="R16" s="75" t="str">
        <x:v>Yes</x:v>
      </x:c>
      <x:c r="S16" s="75" t="str">
        <x:v>Technically possible but explicitly not intended/supported</x:v>
      </x:c>
      <x:c r="T16" s="75" t="str">
        <x:v>No</x:v>
      </x:c>
      <x:c r="U16" s="75" t="str">
        <x:v>Yes</x:v>
      </x:c>
      <x:c r="V16" s="75" t="str">
        <x:v>No</x:v>
      </x:c>
      <x:c r="W16" s="75" t="str">
        <x:v>Yes</x:v>
      </x:c>
      <x:c r="X16" s="75" t="str">
        <x:v>Partially via ATProto/PDS model</x:v>
      </x:c>
      <x:c r="Y16" s="75" t="str">
        <x:v>No</x:v>
      </x:c>
      <x:c r="Z16" s="75" t="str">
        <x:v>Yes</x:v>
      </x:c>
      <x:c r="AA16" s="75" t="str">
        <x:v>Yes</x:v>
      </x:c>
      <x:c r="AB16" s="75" t="str">
        <x:v>Yes</x:v>
      </x:c>
      <x:c r="AC16" s="78" t="str">
        <x:v>Yes</x:v>
      </x:c>
      <x:c r="AD16" s="75" t="str">
        <x:v>In development</x:v>
      </x:c>
      <x:c r="AE16" s="75" t="str">
        <x:v>No</x:v>
      </x:c>
      <x:c r="AF16" s="75" t="str">
        <x:v>Yes</x:v>
      </x:c>
      <x:c r="AG16" s="75" t="str">
        <x:v>Yes</x:v>
      </x:c>
      <x:c r="AH16" s="122" t="n">
        <x:v>32</x:v>
      </x:c>
      <x:c r="AI16" s="123" t="str">
        <x:v>Canonical source for At a Glance!32</x:v>
      </x:c>
    </x:row>
    <x:row r="17">
      <x:c r="A17" s="119" t="str">
        <x:v>At a Glance</x:v>
      </x:c>
      <x:c r="B17" s="121" t="str">
        <x:v>DM Text E2EE?</x:v>
      </x:c>
      <x:c r="C17" s="75" t="str">
        <x:v>No (text)</x:v>
      </x:c>
      <x:c r="D17" s="75" t="str">
        <x:v>Yes</x:v>
      </x:c>
      <x:c r="E17" s="75" t="str">
        <x:v>Yes for desktop server DMs when enabled; messenger always yes</x:v>
      </x:c>
      <x:c r="F17" s="75" t="str">
        <x:v>No default text E2EE verified</x:v>
      </x:c>
      <x:c r="G17" s="75" t="str">
        <x:v>Yes</x:v>
      </x:c>
      <x:c r="H17" s="75" t="str">
        <x:v>No</x:v>
      </x:c>
      <x:c r="I17" s="75" t="str">
        <x:v>No</x:v>
      </x:c>
      <x:c r="J17" s="75" t="str">
        <x:v>No</x:v>
      </x:c>
      <x:c r="K17" s="75" t="str">
        <x:v>Yes</x:v>
      </x:c>
      <x:c r="L17" s="75" t="str">
        <x:v>Optional MLS 1.0</x:v>
      </x:c>
      <x:c r="M17" s="75"/>
      <x:c r="N17" s="75" t="str">
        <x:v>Eligible content only — app displays E2EE status</x:v>
      </x:c>
      <x:c r="O17" s="75" t="str">
        <x:v>Supported; default depends on client/room</x:v>
      </x:c>
      <x:c r="P17" s="75" t="str">
        <x:v>No</x:v>
      </x:c>
      <x:c r="Q17" s="75" t="str">
        <x:v>E2EE claimed</x:v>
      </x:c>
      <x:c r="R17" s="75" t="str">
        <x:v>N/A</x:v>
      </x:c>
      <x:c r="S17" s="75" t="str">
        <x:v>No default E2EE verified</x:v>
      </x:c>
      <x:c r="T17" s="75" t="str">
        <x:v>No</x:v>
      </x:c>
      <x:c r="U17" s="75" t="str">
        <x:v>No E2EE claim</x:v>
      </x:c>
      <x:c r="V17" s="75" t="str">
        <x:v>Yes — Signal-style X3DH/Double Ratchet</x:v>
      </x:c>
      <x:c r="W17" s="75" t="str">
        <x:v>Available in supported E2EE conversations</x:v>
      </x:c>
      <x:c r="X17" s="75" t="str">
        <x:v>No default E2EE verified</x:v>
      </x:c>
      <x:c r="Y17" s="75" t="str">
        <x:v>No claim / treated as server-readable</x:v>
      </x:c>
      <x:c r="Z17" s="75" t="str">
        <x:v>No documented default</x:v>
      </x:c>
      <x:c r="AA17" s="75" t="str">
        <x:v>No default E2EE verified</x:v>
      </x:c>
      <x:c r="AB17" s="75"/>
      <x:c r="AC17" s="78" t="str">
        <x:v>No default E2EE claim</x:v>
      </x:c>
      <x:c r="AD17" s="75" t="str">
        <x:v>No by default</x:v>
      </x:c>
      <x:c r="AE17" s="75" t="str">
        <x:v>No</x:v>
      </x:c>
      <x:c r="AF17" s="75"/>
      <x:c r="AG17" s="75" t="str">
        <x:v>No</x:v>
      </x:c>
      <x:c r="AH17" s="122" t="n">
        <x:v>34</x:v>
      </x:c>
      <x:c r="AI17" s="123" t="str">
        <x:v>Canonical source for At a Glance!34</x:v>
      </x:c>
    </x:row>
    <x:row r="18">
      <x:c r="A18" s="119" t="str">
        <x:v>At a Glance</x:v>
      </x:c>
      <x:c r="B18" s="121" t="str">
        <x:v>Free Max Upload</x:v>
      </x:c>
      <x:c r="C18" s="75" t="str">
        <x:v>20</x:v>
      </x:c>
      <x:c r="D18" s="75"/>
      <x:c r="E18" s="75"/>
      <x:c r="F18" s="75"/>
      <x:c r="G18" s="75"/>
      <x:c r="H18" s="75" t="str">
        <x:v>25</x:v>
      </x:c>
      <x:c r="I18" s="75" t="str">
        <x:v>500</x:v>
      </x:c>
      <x:c r="J18" s="75"/>
      <x:c r="K18" s="75" t="str">
        <x:v>34 MB direct P2P; larger via Hollow Share</x:v>
      </x:c>
      <x:c r="L18" s="75" t="str">
        <x:v>15 MB official instance; self-host configurable</x:v>
      </x:c>
      <x:c r="M18" s="75"/>
      <x:c r="N18" s="75"/>
      <x:c r="O18" s="75"/>
      <x:c r="P18" s="75"/>
      <x:c r="Q18" s="75" t="str">
        <x:v>100 for video/other; images 50</x:v>
      </x:c>
      <x:c r="R18" s="75"/>
      <x:c r="S18" s="75"/>
      <x:c r="T18" s="75"/>
      <x:c r="U18" s="75" t="str">
        <x:v>Not publicly claimed</x:v>
      </x:c>
      <x:c r="V18" s="75" t="str">
        <x:v>50</x:v>
      </x:c>
      <x:c r="W18" s="75" t="str">
        <x:v>Yes — multimedia/file sharing; plan/config limits vary</x:v>
      </x:c>
      <x:c r="X18" s="75"/>
      <x:c r="Y18" s="75" t="str">
        <x:v>25</x:v>
      </x:c>
      <x:c r="Z18" s="75"/>
      <x:c r="AA18" s="75" t="str">
        <x:v>20 MB</x:v>
      </x:c>
      <x:c r="AB18" s="75"/>
      <x:c r="AC18" s="78"/>
      <x:c r="AD18" s="75"/>
      <x:c r="AE18" s="75"/>
      <x:c r="AF18" s="75" t="str">
        <x:v>Configurable by server operator</x:v>
      </x:c>
      <x:c r="AG18" s="75" t="str">
        <x:v>5 GB total cloud storage on Free plan</x:v>
      </x:c>
      <x:c r="AH18" s="122" t="n">
        <x:v>35</x:v>
      </x:c>
      <x:c r="AI18" s="123" t="str">
        <x:v>Canonical source for At a Glance!35</x:v>
      </x:c>
    </x:row>
    <x:row r="19">
      <x:c r="A19" s="119" t="str">
        <x:v>At a Glance</x:v>
      </x:c>
      <x:c r="B19" s="121" t="str">
        <x:v>Free Max Screen Share</x:v>
      </x:c>
      <x:c r="C19" s="75" t="str">
        <x:v>720p / 30 FPS</x:v>
      </x:c>
      <x:c r="D19" s="75"/>
      <x:c r="E19" s="75" t="str">
        <x:v>Up to 4K / Up to 60/120 by version/config FPS</x:v>
      </x:c>
      <x:c r="F19" s="75"/>
      <x:c r="G19" s="75"/>
      <x:c r="H19" s="75" t="str">
        <x:v>720p / 30 FPS</x:v>
      </x:c>
      <x:c r="I19" s="75" t="str">
        <x:v>1080p / 30 FPS</x:v>
      </x:c>
      <x:c r="J19" s="75" t="str">
        <x:v>N/A / N/A FPS</x:v>
      </x:c>
      <x:c r="K19" s="75"/>
      <x:c r="L19" s="75" t="str">
        <x:v>4K30 native documented; developer questionnaire reported 4K60</x:v>
      </x:c>
      <x:c r="M19" s="75"/>
      <x:c r="N19" s="75"/>
      <x:c r="O19" s="75" t="str">
        <x:v>Client-dependent / Client-dependent FPS</x:v>
      </x:c>
      <x:c r="P19" s="75" t="str">
        <x:v>Deployment/plan dependent / Deployment/plan dependent FPS</x:v>
      </x:c>
      <x:c r="Q19" s="75"/>
      <x:c r="R19" s="75" t="str">
        <x:v>N/A / N/A FPS</x:v>
      </x:c>
      <x:c r="S19" s="75"/>
      <x:c r="T19" s="75"/>
      <x:c r="U19" s="75" t="str">
        <x:v>1080p</x:v>
      </x:c>
      <x:c r="V19" s="75" t="str">
        <x:v>720p / 60 FPS</x:v>
      </x:c>
      <x:c r="W19" s="75" t="str">
        <x:v>Provider-dependent / Provider-dependent FPS</x:v>
      </x:c>
      <x:c r="X19" s="75" t="str">
        <x:v>N/A / N/A FPS</x:v>
      </x:c>
      <x:c r="Y19" s="75" t="str">
        <x:v>720p game / Source text mode / 30 game / 5 source FPS</x:v>
      </x:c>
      <x:c r="Z19" s="75" t="str">
        <x:v>Operator/config dependent</x:v>
      </x:c>
      <x:c r="AA19" s="75"/>
      <x:c r="AB19" s="75"/>
      <x:c r="AC19" s="78"/>
      <x:c r="AD19" s="75"/>
      <x:c r="AE19" s="75"/>
      <x:c r="AF19" s="75" t="str">
        <x:v>Up to 1440p</x:v>
      </x:c>
      <x:c r="AG19" s="75" t="str">
        <x:v>Provider-dependent / Provider-dependent FPS</x:v>
      </x:c>
      <x:c r="AH19" s="122" t="n">
        <x:v>36</x:v>
      </x:c>
      <x:c r="AI19" s="123" t="str">
        <x:v>Canonical source for At a Glance!36</x:v>
      </x:c>
    </x:row>
    <x:row r="20">
      <x:c r="A20" s="119" t="str">
        <x:v>At a Glance</x:v>
      </x:c>
      <x:c r="B20" s="121" t="str">
        <x:v>1080p Access</x:v>
      </x:c>
      <x:c r="C20" s="75" t="str">
        <x:v>Paid — Nitro</x:v>
      </x:c>
      <x:c r="D20" s="75"/>
      <x:c r="E20" s="75"/>
      <x:c r="F20" s="75"/>
      <x:c r="G20" s="75"/>
      <x:c r="H20" s="75" t="str">
        <x:v>Paid — Plutonium</x:v>
      </x:c>
      <x:c r="I20" s="75" t="str">
        <x:v>Free 30 FPS; Gold+ 60 FPS</x:v>
      </x:c>
      <x:c r="J20" s="75"/>
      <x:c r="K20" s="75"/>
      <x:c r="L20" s="75" t="str">
        <x:v>Free/current</x:v>
      </x:c>
      <x:c r="M20" s="75"/>
      <x:c r="N20" s="75"/>
      <x:c r="O20" s="75"/>
      <x:c r="P20" s="75"/>
      <x:c r="Q20" s="75" t="str">
        <x:v>Free</x:v>
      </x:c>
      <x:c r="R20" s="75"/>
      <x:c r="S20" s="75"/>
      <x:c r="T20" s="75"/>
      <x:c r="U20" s="75" t="str">
        <x:v>Free</x:v>
      </x:c>
      <x:c r="V20" s="75" t="str">
        <x:v>Paid — Rift+ or Shard Ember</x:v>
      </x:c>
      <x:c r="W20" s="75"/>
      <x:c r="X20" s="75"/>
      <x:c r="Y20" s="75" t="str">
        <x:v>Paid — Sudo</x:v>
      </x:c>
      <x:c r="Z20" s="75"/>
      <x:c r="AA20" s="75"/>
      <x:c r="AB20" s="75" t="str">
        <x:v>Configurable/P2P</x:v>
      </x:c>
      <x:c r="AC20" s="78"/>
      <x:c r="AD20" s="75"/>
      <x:c r="AE20" s="75" t="str">
        <x:v>Free if supported</x:v>
      </x:c>
      <x:c r="AF20" s="75"/>
      <x:c r="AG20" s="75"/>
      <x:c r="AH20" s="122" t="n">
        <x:v>37</x:v>
      </x:c>
      <x:c r="AI20" s="123" t="str">
        <x:v>Canonical source for At a Glance!37</x:v>
      </x:c>
    </x:row>
    <x:row r="21">
      <x:c r="A21" s="119" t="str">
        <x:v>At a Glance</x:v>
      </x:c>
      <x:c r="B21" s="121" t="str">
        <x:v>1440p Access</x:v>
      </x:c>
      <x:c r="C21" s="75"/>
      <x:c r="D21" s="75"/>
      <x:c r="E21" s="75"/>
      <x:c r="F21" s="75"/>
      <x:c r="G21" s="75"/>
      <x:c r="H21" s="75" t="str">
        <x:v>Paid — Plutonium</x:v>
      </x:c>
      <x:c r="I21" s="75" t="str">
        <x:v>Paid — Diamond</x:v>
      </x:c>
      <x:c r="J21" s="75"/>
      <x:c r="K21" s="75"/>
      <x:c r="L21" s="75" t="str">
        <x:v>Free/current</x:v>
      </x:c>
      <x:c r="M21" s="75"/>
      <x:c r="N21" s="75"/>
      <x:c r="O21" s="75"/>
      <x:c r="P21" s="75"/>
      <x:c r="Q21" s="75" t="str">
        <x:v>Free if supported; no paywall</x:v>
      </x:c>
      <x:c r="R21" s="75"/>
      <x:c r="S21" s="75"/>
      <x:c r="T21" s="75"/>
      <x:c r="U21" s="75" t="str">
        <x:v>No — current published hosted range tops out at 1080p</x:v>
      </x:c>
      <x:c r="V21" s="75" t="str">
        <x:v>Paid — Shard Forge</x:v>
      </x:c>
      <x:c r="W21" s="75"/>
      <x:c r="X21" s="75"/>
      <x:c r="Y21" s="75" t="str">
        <x:v>Paid — Sudo</x:v>
      </x:c>
      <x:c r="Z21" s="75"/>
      <x:c r="AA21" s="75"/>
      <x:c r="AB21" s="75"/>
      <x:c r="AC21" s="78"/>
      <x:c r="AD21" s="75"/>
      <x:c r="AE21" s="75" t="str">
        <x:v>Free if supported</x:v>
      </x:c>
      <x:c r="AF21" s="75"/>
      <x:c r="AG21" s="75"/>
      <x:c r="AH21" s="122" t="n">
        <x:v>38</x:v>
      </x:c>
      <x:c r="AI21" s="123" t="str">
        <x:v>Canonical source for At a Glance!38</x:v>
      </x:c>
    </x:row>
    <x:row r="22">
      <x:c r="A22" s="119" t="str">
        <x:v>At a Glance</x:v>
      </x:c>
      <x:c r="B22" s="121" t="str">
        <x:v>4K Access</x:v>
      </x:c>
      <x:c r="C22" s="75" t="str">
        <x:v>Paid — Nitro</x:v>
      </x:c>
      <x:c r="D22" s="75"/>
      <x:c r="E22" s="75"/>
      <x:c r="F22" s="75"/>
      <x:c r="G22" s="75"/>
      <x:c r="H22" s="75" t="str">
        <x:v>Paid — Plutonium</x:v>
      </x:c>
      <x:c r="I22" s="75" t="str">
        <x:v>Paid — Diamond</x:v>
      </x:c>
      <x:c r="J22" s="75"/>
      <x:c r="K22" s="75"/>
      <x:c r="L22" s="75" t="str">
        <x:v>Free/current</x:v>
      </x:c>
      <x:c r="M22" s="75"/>
      <x:c r="N22" s="75"/>
      <x:c r="O22" s="75"/>
      <x:c r="P22" s="75"/>
      <x:c r="Q22" s="75" t="str">
        <x:v>Free if supported; no paywall</x:v>
      </x:c>
      <x:c r="R22" s="75"/>
      <x:c r="S22" s="75"/>
      <x:c r="T22" s="75"/>
      <x:c r="U22" s="75" t="str">
        <x:v>No — current published hosted range tops out at 1080p</x:v>
      </x:c>
      <x:c r="V22" s="75" t="str">
        <x:v>N/A</x:v>
      </x:c>
      <x:c r="W22" s="75"/>
      <x:c r="X22" s="75"/>
      <x:c r="Y22" s="75" t="str">
        <x:v>N/A</x:v>
      </x:c>
      <x:c r="Z22" s="75"/>
      <x:c r="AA22" s="75"/>
      <x:c r="AB22" s="75"/>
      <x:c r="AC22" s="78"/>
      <x:c r="AD22" s="75"/>
      <x:c r="AE22" s="75" t="str">
        <x:v>Free if supported</x:v>
      </x:c>
      <x:c r="AF22" s="75"/>
      <x:c r="AG22" s="75"/>
      <x:c r="AH22" s="122" t="n">
        <x:v>39</x:v>
      </x:c>
      <x:c r="AI22" s="123" t="str">
        <x:v>Canonical source for At a Glance!39</x:v>
      </x:c>
    </x:row>
    <x:row r="23">
      <x:c r="A23" s="119" t="str">
        <x:v>At a Glance</x:v>
      </x:c>
      <x:c r="B23" s="121" t="str">
        <x:v>Voice Bitrate: Base → Max</x:v>
      </x:c>
      <x:c r="C23" s="75" t="str">
        <x:v>96 → 384 kbps</x:v>
      </x:c>
      <x:c r="D23" s="75"/>
      <x:c r="E23" s="75"/>
      <x:c r="F23" s="75"/>
      <x:c r="G23" s="75"/>
      <x:c r="H23" s="75"/>
      <x:c r="I23" s="75" t="str">
        <x:v>64 → 256 kbps</x:v>
      </x:c>
      <x:c r="J23" s="75"/>
      <x:c r="K23" s="75"/>
      <x:c r="L23" s="75" t="str">
        <x:v>24/48/96/128 kbps → 128 kbps</x:v>
      </x:c>
      <x:c r="M23" s="75"/>
      <x:c r="N23" s="75"/>
      <x:c r="O23" s="75"/>
      <x:c r="P23" s="75"/>
      <x:c r="Q23" s="75"/>
      <x:c r="R23" s="75"/>
      <x:c r="S23" s="75"/>
      <x:c r="T23" s="75"/>
      <x:c r="U23" s="75" t="str">
        <x:v>Not publicly claimed</x:v>
      </x:c>
      <x:c r="V23" s="75" t="str">
        <x:v>96 → 192 kbps</x:v>
      </x:c>
      <x:c r="W23" s="75"/>
      <x:c r="X23" s="75"/>
      <x:c r="Y23" s="75"/>
      <x:c r="Z23" s="75"/>
      <x:c r="AA23" s="75"/>
      <x:c r="AB23" s="75"/>
      <x:c r="AC23" s="78"/>
      <x:c r="AD23" s="75"/>
      <x:c r="AE23" s="75"/>
      <x:c r="AF23" s="75"/>
      <x:c r="AG23" s="75"/>
      <x:c r="AH23" s="122" t="n">
        <x:v>40</x:v>
      </x:c>
      <x:c r="AI23" s="123" t="str">
        <x:v>Canonical source for At a Glance!40</x:v>
      </x:c>
    </x:row>
    <x:row r="24">
      <x:c r="A24" s="119" t="str">
        <x:v>At a Glance</x:v>
      </x:c>
      <x:c r="B24" s="121" t="str">
        <x:v>Primary Pricing Model</x:v>
      </x:c>
      <x:c r="C24" s="75" t="str">
        <x:v>Per user; Per boost</x:v>
      </x:c>
      <x:c r="D24" s="75" t="str">
        <x:v>Free/open source; no ads and no paid tier</x:v>
      </x:c>
      <x:c r="E24" s="75" t="str">
        <x:v>Free/open-source self-hosted/decentralized project</x:v>
      </x:c>
      <x:c r="F24" s="75" t="str">
        <x:v>Free core with Premium/Boost tiers when active</x:v>
      </x:c>
      <x:c r="G24" s="75" t="str">
        <x:v>Subscription</x:v>
      </x:c>
      <x:c r="H24" s="75" t="str">
        <x:v>Per user</x:v>
      </x:c>
      <x:c r="I24" s="75" t="str">
        <x:v>Per server; Per self-hosted server</x:v>
      </x:c>
      <x:c r="J24" s="75" t="str">
        <x:v>Open-source client ecosystem; platform monetization not established</x:v>
      </x:c>
      <x:c r="K24" s="75" t="str">
        <x:v>Open-source distributed/self-hostable messenger</x:v>
      </x:c>
      <x:c r="L24" s="75" t="str">
        <x:v>Free/currently unmonetized; self-funded</x:v>
      </x:c>
      <x:c r="M24" s="75" t="str">
        <x:v>Self-funded/donation-supported passion project; no ads/subscriptions/data harvesting</x:v>
      </x:c>
      <x:c r="N24" s="75" t="str">
        <x:v>Free core; optional managed self-hosting/premium planned</x:v>
      </x:c>
      <x:c r="O24" s="75"/>
      <x:c r="P24" s="75" t="str">
        <x:v>Annual seat license; Add-on</x:v>
      </x:c>
      <x:c r="Q24" s="75" t="str">
        <x:v>Free platform; no premium communication tier documented</x:v>
      </x:c>
      <x:c r="R24" s="75" t="str">
        <x:v>Free/open-source self-hosted voice platform</x:v>
      </x:c>
      <x:c r="S24" s="75" t="str">
        <x:v>Open-source community chat</x:v>
      </x:c>
      <x:c r="T24" s="75" t="str">
        <x:v>Free core + Premium subscriptions; zero ads/no third-party data sharing</x:v>
      </x:c>
      <x:c r="U24" s="75" t="str">
        <x:v>Free hosted; optional donations; free AGPL self-hosting</x:v>
      </x:c>
      <x:c r="V24" s="75" t="str">
        <x:v>Per user; Per community / Shard</x:v>
      </x:c>
      <x:c r="W24" s="75" t="str">
        <x:v>Organization / deployment</x:v>
      </x:c>
      <x:c r="X24" s="75" t="str">
        <x:v>Open-source project</x:v>
      </x:c>
      <x:c r="Y24" s="75" t="str">
        <x:v>Per user</x:v>
      </x:c>
      <x:c r="Z24" s="75" t="str">
        <x:v>Self-hosted open-source project</x:v>
      </x:c>
      <x:c r="AA24" s="75" t="str">
        <x:v>Free and open source; no ads/data sales</x:v>
      </x:c>
      <x:c r="AB24" s="75" t="str">
        <x:v>Per hosted community; Per self-host license; Custom</x:v>
      </x:c>
      <x:c r="AC24" s="78" t="str">
        <x:v>Per supporter</x:v>
      </x:c>
      <x:c r="AD24" s="75" t="str">
        <x:v>Early-stage open-source Discord alternative; monetization not clearly documented</x:v>
      </x:c>
      <x:c r="AE24" s="75" t="str">
        <x:v>Per lobby; Per community build</x:v>
      </x:c>
      <x:c r="AF24" s="75" t="str">
        <x:v>Per managed server</x:v>
      </x:c>
      <x:c r="AG24" s="75" t="str">
        <x:v>Per user; Per user; 10-user minimum; Per user; 25-user minimum; Custom</x:v>
      </x:c>
      <x:c r="AH24" s="122" t="n">
        <x:v>41</x:v>
      </x:c>
      <x:c r="AI24" s="123" t="str">
        <x:v>Canonical source for At a Glance!41</x:v>
      </x:c>
    </x:row>
    <x:row r="25">
      <x:c r="A25" s="119" t="str">
        <x:v>At a Glance</x:v>
      </x:c>
      <x:c r="B25" s="121" t="str">
        <x:v>Current Monetization</x:v>
      </x:c>
      <x:c r="C25" s="75" t="str">
        <x:v>Nitro/Nitro Basic subscriptions, Server Boosts, Shop and app ecosystem</x:v>
      </x:c>
      <x:c r="D25" s="75" t="str">
        <x:v>No Armada subscription: N/A</x:v>
      </x:c>
      <x:c r="E25" s="75" t="str">
        <x:v>No DCTS subscription: N/A; PayPal / Ko-fi donations: User-selected</x:v>
      </x:c>
      <x:c r="F25" s="75" t="str">
        <x:v>No public fixed-price paid tier verified: N/A</x:v>
      </x:c>
      <x:c r="G25" s="75" t="str">
        <x:v>No current paid monetization verified / see Monetization Detail</x:v>
      </x:c>
      <x:c r="H25" s="75" t="str">
        <x:v>Plutonium: 4.99/mo; 49.99/yr; One-time / monthly / yearly donations: Minimum 3 in selected currency</x:v>
      </x:c>
      <x:c r="I25" s="75" t="str">
        <x:v>Silver: 4.99/mo; Gold: 9.99/mo; Diamond: 19.99/mo; Self-Hosted Server License: 2.00/mo; 15.00/yr</x:v>
      </x:c>
      <x:c r="J25" s="75" t="str">
        <x:v>No central paid tier: N/A</x:v>
      </x:c>
      <x:c r="K25" s="75" t="str">
        <x:v>No Hollow subscription: N/A</x:v>
      </x:c>
      <x:c r="L25" s="75" t="str">
        <x:v>None currently</x:v>
      </x:c>
      <x:c r="M25" s="75" t="str">
        <x:v>No public fixed-price paid tier verified: N/A; Self-funding + donations: User-selected</x:v>
      </x:c>
      <x:c r="N25" s="75" t="str">
        <x:v>Core features free; premium managed hosting planned</x:v>
      </x:c>
      <x:c r="O25" s="75" t="str">
        <x:v>No Matrix-wide paid tier: N/A; Donations / organizational sponsorship: User-selected / sponsorship</x:v>
      </x:c>
      <x:c r="P25" s="75" t="str">
        <x:v>Professional: Contact Sales / Quote; Enterprise: Contact Sales / Quote; Enterprise Advanced: Contact Sales / Quote; Premier Support: Contact Sales / Quote</x:v>
      </x:c>
      <x:c r="Q25" s="75" t="str">
        <x:v>No premium communication subscription: N/A; Mezon Token / Mezon Dong payments: Transaction-dependent</x:v>
      </x:c>
      <x:c r="R25" s="75" t="str">
        <x:v>No Mumble subscription: N/A</x:v>
      </x:c>
      <x:c r="S25" s="75" t="str">
        <x:v>No paid subscription verified: N/A; Donation-funded service: User-selected</x:v>
      </x:c>
      <x:c r="T25" s="75" t="str">
        <x:v>No public fixed-price paid tier verified: N/A</x:v>
      </x:c>
      <x:c r="U25" s="75" t="str">
        <x:v>Optional donations only; donations unlock nothing</x:v>
      </x:c>
      <x:c r="V25" s="75" t="str">
        <x:v>Rift+: 7.00/mo; 70.00/yr; Shard Ember: 10.00/mo; Shard Forge: 25.00/mo</x:v>
      </x:c>
      <x:c r="W25" s="75" t="str">
        <x:v>Commercial: Contact Sales / Quote; Government: Contact Sales / Quote; Defense: Contact Sales / Quote</x:v>
      </x:c>
      <x:c r="X25" s="75" t="str">
        <x:v>No paid Roomy subscription verified: N/A</x:v>
      </x:c>
      <x:c r="Y25" s="75"/>
      <x:c r="Z25" s="75" t="str">
        <x:v>No central paid tier: N/A</x:v>
      </x:c>
      <x:c r="AA25" s="75" t="str">
        <x:v>No public fixed-price paid tier verified: N/A</x:v>
      </x:c>
      <x:c r="AB25" s="75" t="str"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AC25" s="78" t="str">
        <x:v>Optional Stargazer subscriptions/Patreon</x:v>
      </x:c>
      <x:c r="AD25" s="75" t="str">
        <x:v>No public fixed-price paid tier verified: N/A</x:v>
      </x:c>
      <x:c r="AE25" s="75" t="str">
        <x:v>Run your own: 6.00/mo; Have it built — Crew: Contact Sales / Quote; Have it built — League: Contact Sales / Quote; Have it built — Network: Contact Sales / Quote; Have it built — Larger: Contact Sales / Quote; Crew / League / Network / Larger custom builds: Quoted</x:v>
      </x:c>
      <x:c r="AF25" s="75" t="str">
        <x:v>Yapper Hosting — 1 Year: 45.00 promo / 90.00 regular/yr; Maximum Control Self-Hosting License: 0</x:v>
      </x:c>
      <x:c r="AG25" s="75" t="str">
        <x:v>Cloud Standard: 8.00/mo; 80.04/yr; Cloud Plus: 12.00/mo; 120.00/yr; Self-hosted Basic: 3.50/mo; Self-hosted Business: 8.00/mo; 80.04/yr; Self-hosted Enterprise: Contact Sales / Quote</x:v>
      </x:c>
      <x:c r="AH25" s="122" t="n">
        <x:v>43</x:v>
      </x:c>
      <x:c r="AI25" s="123" t="str">
        <x:v>Canonical source for At a Glance!43</x:v>
      </x:c>
    </x:row>
    <x:row r="26">
      <x:c r="A26" s="119" t="str">
        <x:v>At a Glance</x:v>
      </x:c>
      <x:c r="B26" s="121" t="str">
        <x:v>Intended Monetization</x:v>
      </x:c>
      <x:c r="C26" s="75"/>
      <x:c r="D26" s="75"/>
      <x:c r="E26" s="75"/>
      <x:c r="F26" s="75"/>
      <x:c r="G26" s="75" t="str">
        <x:v>Surge: 4.99/mo; Flare: 9.99/mo; Prime: 24.99/mo</x:v>
      </x:c>
      <x:c r="H26" s="75" t="str">
        <x:v>Subscriptions/donations; creator payments planned</x:v>
      </x:c>
      <x:c r="I26" s="75"/>
      <x:c r="J26" s="75"/>
      <x:c r="K26" s="75" t="str">
        <x:v>No premium tier: 0</x:v>
      </x:c>
      <x:c r="L26" s="75" t="str">
        <x:v>Future monetization planned, model TBD</x:v>
      </x:c>
      <x:c r="M26" s="75"/>
      <x:c r="N26" s="75"/>
      <x:c r="O26" s="75" t="str">
        <x:v>Premium plan: Price not finalized</x:v>
      </x:c>
      <x:c r="P26" s="75"/>
      <x:c r="Q26" s="75"/>
      <x:c r="R26" s="75"/>
      <x:c r="S26" s="75"/>
      <x:c r="T26" s="75"/>
      <x:c r="U26" s="75"/>
      <x:c r="V26" s="75" t="str">
        <x:v>Subscriptions fund operations</x:v>
      </x:c>
      <x:c r="W26" s="75"/>
      <x:c r="X26" s="75"/>
      <x:c r="Y26" s="75"/>
      <x:c r="Z26" s="75"/>
      <x:c r="AA26" s="75"/>
      <x:c r="AB26" s="75"/>
      <x:c r="AC26" s="78"/>
      <x:c r="AD26" s="75"/>
      <x:c r="AE26" s="75"/>
      <x:c r="AF26" s="75"/>
      <x:c r="AG26" s="75"/>
      <x:c r="AH26" s="122" t="n">
        <x:v>44</x:v>
      </x:c>
      <x:c r="AI26" s="123" t="str">
        <x:v>Canonical source for At a Glance!44</x:v>
      </x:c>
    </x:row>
    <x:row r="27">
      <x:c r="A27" s="119" t="str">
        <x:v>At a Glance</x:v>
      </x:c>
      <x:c r="B27" s="121" t="str">
        <x:v>Server / Community Upgrade Model</x:v>
      </x:c>
      <x:c r="C27" s="75" t="str"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D27" s="75"/>
      <x:c r="E27" s="75"/>
      <x:c r="F27" s="75"/>
      <x:c r="G27" s="75"/>
      <x:c r="H27" s="75"/>
      <x:c r="I27" s="75" t="str">
        <x:v>Silver: 4.99/mo; Gold: 9.99/mo; Diamond: 19.99/mo</x:v>
      </x:c>
      <x:c r="J27" s="75"/>
      <x:c r="K27" s="75"/>
      <x:c r="L27" s="75" t="str">
        <x:v>No paid server/community tier currently</x:v>
      </x:c>
      <x:c r="M27" s="75"/>
      <x:c r="N27" s="75"/>
      <x:c r="O27" s="75"/>
      <x:c r="P27" s="75"/>
      <x:c r="Q27" s="75"/>
      <x:c r="R27" s="75"/>
      <x:c r="S27" s="75"/>
      <x:c r="T27" s="75"/>
      <x:c r="U27" s="75" t="str">
        <x:v>None — no paid feature tier</x:v>
      </x:c>
      <x:c r="V27" s="75" t="str">
        <x:v>Ember $10/mo; Forge $25/mo</x:v>
      </x:c>
      <x:c r="W27" s="75"/>
      <x:c r="X27" s="75"/>
      <x:c r="Y27" s="75"/>
      <x:c r="Z27" s="75"/>
      <x:c r="AA27" s="75"/>
      <x:c r="AB27" s="75" t="str">
        <x:v>Crew: 4.99/mo; 53.99/yr; Team: 8.99/mo; 96.99/yr; Faction: 17.99/mo; 194.99/yr</x:v>
      </x:c>
      <x:c r="AC27" s="78"/>
      <x:c r="AD27" s="75"/>
      <x:c r="AE27" s="75" t="str">
        <x:v>Run your own: 6.00/mo; Have it built — Crew: Contact Sales / Quote; Have it built — League: Contact Sales / Quote; Have it built — Network: Contact Sales / Quote; Have it built — Larger: Contact Sales / Quote; Crew / League / Network / Larger custom builds: Quoted</x:v>
      </x:c>
      <x:c r="AF27" s="75"/>
      <x:c r="AG27" s="75"/>
      <x:c r="AH27" s="122" t="n">
        <x:v>45</x:v>
      </x:c>
      <x:c r="AI27" s="123" t="str">
        <x:v>Canonical source for At a Glance!45</x:v>
      </x:c>
    </x:row>
    <x:row r="28">
      <x:c r="A28" s="119" t="str">
        <x:v>At a Glance</x:v>
      </x:c>
      <x:c r="B28" s="121" t="str">
        <x:v>User-Level Paid Model</x:v>
      </x:c>
      <x:c r="C28" s="75" t="str">
        <x:v>Nitro Basic: 2.99/mo; 29.99/yr; Nitro: 9.99/mo; 99.99/yr; Nitro Classic: 4.99/mo; 49.99/yr</x:v>
      </x:c>
      <x:c r="D28" s="75"/>
      <x:c r="E28" s="75"/>
      <x:c r="F28" s="75"/>
      <x:c r="G28" s="75"/>
      <x:c r="H28" s="75" t="str">
        <x:v>Plutonium: 4.99/mo; 49.99/yr</x:v>
      </x:c>
      <x:c r="I28" s="75"/>
      <x:c r="J28" s="75"/>
      <x:c r="K28" s="75"/>
      <x:c r="L28" s="75" t="str">
        <x:v>No paid user tier currently</x:v>
      </x:c>
      <x:c r="M28" s="75"/>
      <x:c r="N28" s="75"/>
      <x:c r="O28" s="75"/>
      <x:c r="P28" s="75"/>
      <x:c r="Q28" s="75"/>
      <x:c r="R28" s="75"/>
      <x:c r="S28" s="75"/>
      <x:c r="T28" s="75"/>
      <x:c r="U28" s="75" t="str">
        <x:v>None — no paid feature tier</x:v>
      </x:c>
      <x:c r="V28" s="75" t="str">
        <x:v>Rift+: 7.00/mo; 70.00/yr</x:v>
      </x:c>
      <x:c r="W28" s="75"/>
      <x:c r="X28" s="75"/>
      <x:c r="Y28" s="75"/>
      <x:c r="Z28" s="75"/>
      <x:c r="AA28" s="75"/>
      <x:c r="AB28" s="75"/>
      <x:c r="AC28" s="78"/>
      <x:c r="AD28" s="75"/>
      <x:c r="AE28" s="75"/>
      <x:c r="AF28" s="75"/>
      <x:c r="AG28" s="75"/>
      <x:c r="AH28" s="122" t="n">
        <x:v>46</x:v>
      </x:c>
      <x:c r="AI28" s="123" t="str">
        <x:v>Canonical source for At a Glance!46</x:v>
      </x:c>
    </x:row>
    <x:row r="29">
      <x:c r="A29" s="119" t="str">
        <x:v>At a Glance</x:v>
      </x:c>
      <x:c r="B29" s="121" t="str">
        <x:v>Terms / Legal URL</x:v>
      </x:c>
      <x:c r="C29" s="75" t="str">
        <x:v>https://discord.com/terms</x:v>
      </x:c>
      <x:c r="D29" s="75" t="str">
        <x:v>https://github.com/soapbox-pub/armada</x:v>
      </x:c>
      <x:c r="E29" s="75"/>
      <x:c r="F29" s="75"/>
      <x:c r="G29" s="75" t="str">
        <x:v>https://fenrid.com/terms</x:v>
      </x:c>
      <x:c r="H29" s="75" t="str">
        <x:v>https://fluxer.app/terms</x:v>
      </x:c>
      <x:c r="I29" s="75" t="str">
        <x:v>https://gamevox.com/terms/</x:v>
      </x:c>
      <x:c r="J29" s="75"/>
      <x:c r="K29" s="75" t="str">
        <x:v>https://github.com/VitalikPro13/HOLLOW</x:v>
      </x:c>
      <x:c r="L29" s="75"/>
      <x:c r="M29" s="75" t="str">
        <x:v>https://kloak.app/terms</x:v>
      </x:c>
      <x:c r="N29" s="75" t="str">
        <x:v>https://loqa.chat/terms/</x:v>
      </x:c>
      <x:c r="O29" s="75" t="str">
        <x:v>https://matrix.org/legal/terms-and-conditions/</x:v>
      </x:c>
      <x:c r="P29" s="75" t="str">
        <x:v>https://docs.mattermost.com/product-overview/faq-license</x:v>
      </x:c>
      <x:c r="Q29" s="75" t="str">
        <x:v>https://dong.mezon.ai/</x:v>
      </x:c>
      <x:c r="R29" s="75" t="str">
        <x:v>https://www.mumble.info/</x:v>
      </x:c>
      <x:c r="S29" s="75" t="str">
        <x:v>https://nerimity.com/</x:v>
      </x:c>
      <x:c r="T29" s="75" t="str">
        <x:v>https://osmium.chat/terms/</x:v>
      </x:c>
      <x:c r="U29" s="75" t="str">
        <x:v>https://pqp.gg/terms</x:v>
      </x:c>
      <x:c r="V29" s="75" t="str">
        <x:v>https://therift.chat/terms/</x:v>
      </x:c>
      <x:c r="W29" s="75" t="str">
        <x:v>https://docs.rocket.chat/docs/legal-center</x:v>
      </x:c>
      <x:c r="X29" s="75"/>
      <x:c r="Y29" s="75" t="str">
        <x:v>https://www.rootapp.com/terms-of-use</x:v>
      </x:c>
      <x:c r="Z29" s="75" t="str">
        <x:v>https://spacebar.chat/</x:v>
      </x:c>
      <x:c r="AA29" s="75" t="str">
        <x:v>https://stoat.chat/legal/terms</x:v>
      </x:c>
      <x:c r="AB29" s="75" t="str">
        <x:v>https://www.teamspeak.com/en/terms-and-conditions</x:v>
      </x:c>
      <x:c r="AC29" s="78"/>
      <x:c r="AD29" s="75"/>
      <x:c r="AE29" s="75"/>
      <x:c r="AF29" s="75"/>
      <x:c r="AG29" s="75" t="str">
        <x:v>https://zulip.com/policies/terms</x:v>
      </x:c>
      <x:c r="AH29" s="122" t="n">
        <x:v>47</x:v>
      </x:c>
      <x:c r="AI29" s="123" t="str">
        <x:v>Canonical source for At a Glance!47</x:v>
      </x:c>
    </x:row>
    <x:row r="30">
      <x:c r="A30" s="119" t="str">
        <x:v>At a Glance</x:v>
      </x:c>
      <x:c r="B30" s="121" t="str">
        <x:v>Privacy Policy URL</x:v>
      </x:c>
      <x:c r="C30" s="75" t="str">
        <x:v>https://discord.com/privacy</x:v>
      </x:c>
      <x:c r="D30" s="75" t="str">
        <x:v>https://github.com/soapbox-pub/armada</x:v>
      </x:c>
      <x:c r="E30" s="75"/>
      <x:c r="F30" s="75" t="str">
        <x:v>https://echon-voice.com/privacy</x:v>
      </x:c>
      <x:c r="G30" s="75" t="str">
        <x:v>https://fenrid.com/privacy</x:v>
      </x:c>
      <x:c r="H30" s="75" t="str">
        <x:v>https://fluxer.app/privacy</x:v>
      </x:c>
      <x:c r="I30" s="75" t="str">
        <x:v>https://gamevox.com/privacy/</x:v>
      </x:c>
      <x:c r="J30" s="75"/>
      <x:c r="K30" s="75" t="str">
        <x:v>https://github.com/VitalikPro13/HOLLOW</x:v>
      </x:c>
      <x:c r="L30" s="75"/>
      <x:c r="M30" s="75" t="str">
        <x:v>https://kloak.app/privacy</x:v>
      </x:c>
      <x:c r="N30" s="75" t="str">
        <x:v>https://loqa.chat/privacy/</x:v>
      </x:c>
      <x:c r="O30" s="75" t="str">
        <x:v>https://matrix.org/legal/privacy-notice/</x:v>
      </x:c>
      <x:c r="P30" s="75" t="str">
        <x:v>https://mattermost.com/privacy-policy/</x:v>
      </x:c>
      <x:c r="Q30" s="75" t="str">
        <x:v>https://dong.mezon.ai/</x:v>
      </x:c>
      <x:c r="R30" s="75"/>
      <x:c r="S30" s="75" t="str">
        <x:v>https://nerimity.com/</x:v>
      </x:c>
      <x:c r="T30" s="75" t="str">
        <x:v>https://osmium.chat/privacy/</x:v>
      </x:c>
      <x:c r="U30" s="75" t="str">
        <x:v>https://pqp.gg/privacy</x:v>
      </x:c>
      <x:c r="V30" s="75" t="str">
        <x:v>https://therift.chat/privacy/</x:v>
      </x:c>
      <x:c r="W30" s="75" t="str">
        <x:v>https://docs.rocket.chat/docs/privacy-policy</x:v>
      </x:c>
      <x:c r="X30" s="75"/>
      <x:c r="Y30" s="75" t="str">
        <x:v>https://www.rootapp.com/privacy-policy</x:v>
      </x:c>
      <x:c r="Z30" s="75"/>
      <x:c r="AA30" s="75" t="str">
        <x:v>https://stoat.chat/legal/privacy</x:v>
      </x:c>
      <x:c r="AB30" s="75" t="str">
        <x:v>https://www.teamspeak.com/en/privacy-policy</x:v>
      </x:c>
      <x:c r="AC30" s="78"/>
      <x:c r="AD30" s="75"/>
      <x:c r="AE30" s="75"/>
      <x:c r="AF30" s="75" t="str">
        <x:v>https://yapper.gg/privacy-policy</x:v>
      </x:c>
      <x:c r="AG30" s="75" t="str">
        <x:v>https://zulip.com/policies/privacy</x:v>
      </x:c>
      <x:c r="AH30" s="122" t="n">
        <x:v>48</x:v>
      </x:c>
      <x:c r="AI30" s="123" t="str">
        <x:v>Canonical source for At a Glance!48</x:v>
      </x:c>
    </x:row>
    <x:row r="31">
      <x:c r="A31" s="119" t="str">
        <x:v>At a Glance</x:v>
      </x:c>
      <x:c r="B31" s="121" t="str">
        <x:v>Policy Scope / Notes</x:v>
      </x:c>
      <x:c r="C31" s="75" t="str">
        <x:v>Discord-operated centralized service — Paid Services and Monetization Terms additionally govern purchases/sales.</x:v>
      </x:c>
      <x:c r="D31" s="75" t="str">
        <x:v>Open-source Nostr/Concord client/relay ecosystem — No central consumer service terms; relay/provider policies apply.</x:v>
      </x:c>
      <x:c r="E31" s="75" t="str">
        <x:v>Self-host-first open-source platform — No centralized consumer ToS/privacy verified; instance operator policies apply.</x:v>
      </x:c>
      <x:c r="F31" s="75" t="str">
        <x:v>Echon-hosted centralized service — Premium/boost amounts and exact scope are not public.</x:v>
      </x:c>
      <x:c r="G31" s="75" t="str">
        <x:v>Pre-launch waitlist policies; full production policy not yet verified — Treat these as waitlist policies, not a complete production-service legal package.</x:v>
      </x:c>
      <x:c r="H31" s="75" t="str">
        <x:v>fluxer.app hosted service; self-host operators may have separate policies — Voice/video/screen E2EE is in development, not current.</x:v>
      </x:c>
      <x:c r="I31" s="75" t="str">
        <x:v>Cloud account/service plus cloud-hosted or self-hosted community servers — No data sale or advertising stated.</x:v>
      </x:c>
      <x:c r="J31" s="75" t="str">
        <x:v>Open-source Harmony platform/server; Fermi is a client — No central consumer service policy verified; self-host operator policy applies.</x:v>
      </x:c>
      <x:c r="K31" s="75" t="str">
        <x:v>Local-first distributed app with optional relays — Repository contains Terms/Privacy docs; exact file URLs not normalized here.</x:v>
      </x:c>
      <x:c r="L31" s="75" t="str">
        <x:v>Operator-configurable legal pages; default self-host deploy explicitly shows a non-policy notice until operator legal fields are configured</x:v>
      </x:c>
      <x:c r="M31" s="75" t="str">
        <x:v>Kloak-hosted privacy-focused service — Kloak states no subscriptions, ads or data harvesting.</x:v>
      </x:c>
      <x:c r="N31" s="75" t="str">
        <x:v>Loqa-operated service plus evolving federation/self-host features — E2EE coverage varies by content type.</x:v>
      </x:c>
      <x:c r="O31" s="75" t="str">
        <x:v>No Matrix-wide ToS; these links apply only to the matrix.org homeserver — Keep Matrix protocol, matrix.org homeserver and Element client separate.</x:v>
      </x:c>
      <x:c r="P31" s="75" t="str">
        <x:v>Cloud and self-hosted enterprise collaboration; local org terms may apply — Obligations differ by Team Edition, Enterprise and Cloud.</x:v>
      </x:c>
      <x:c r="Q31" s="75"/>
      <x:c r="R31" s="75" t="str">
        <x:v>Open-source self-hosted voice software — No central hosted-service ToS; third-party host/operator policies apply.</x:v>
      </x:c>
      <x:c r="S31" s="75" t="str">
        <x:v>Nerimity-hosted service; open-source code — Homepage links Terms and Privacy; exact standalone URLs were not indexed.</x:v>
      </x:c>
      <x:c r="T31" s="75" t="str">
        <x:v>Osmium-hosted centralized service — Encrypted transport does not itself mean E2EE.</x:v>
      </x:c>
      <x:c r="U31" s="75" t="str">
        <x:v>Hosted service privacy policy is published; hosted in São Paulo; self-host operator controls its own deployment/policy</x:v>
      </x:c>
      <x:c r="V31" s="75" t="str">
        <x:v>Rift-operated centralized service — No email, phone or government ID required.</x:v>
      </x:c>
      <x:c r="W31" s="75" t="str">
        <x:v>Cloud and self-managed deployments; offering-specific terms — Use Legal Center for current agreements and archived versions.</x:v>
      </x:c>
      <x:c r="X31" s="75" t="str">
        <x:v>Open-source ATProto application/appserver — Provider/PDS/appserver policies apply; no Roomy consumer policy verified.</x:v>
      </x:c>
      <x:c r="Y31" s="75" t="str">
        <x:v>Root-operated centralized service — Developer Terms separately govern Apps/Bots and hosted runtime.</x:v>
      </x:c>
      <x:c r="Z31" s="75" t="str">
        <x:v>Self-hosted open-source Discord-compatible software — No central consumer service policy; operator policies apply.</x:v>
      </x:c>
      <x:c r="AA31" s="75" t="str">
        <x:v>Stoat-hosted service; self-host instances are separate operators — Read shared policies together with Stoat-specific supplements.</x:v>
      </x:c>
      <x:c r="AB31" s="75" t="str">
        <x:v>Software, accounts, hosted communities, licenses and related services — Authorized third-party hosts may impose additional policies.</x:v>
      </x:c>
      <x:c r="AC31" s="78" t="str">
        <x:v>Valour-hosted service plus AGPL self-host/federated nodes — FAQ says no phone/ID, no ads, no data selling; AGPL client/server.</x:v>
      </x:c>
      <x:c r="AD31" s="75" t="str">
        <x:v>Early hosted project moving toward self-host/federation — Formal public legal policy coverage is incomplete.</x:v>
      </x:c>
      <x:c r="AE31" s="75" t="str">
        <x:v>Weered-hosted lobby/community service — No seat limits/boosts; paid model is lobby ownership/custom builds.</x:v>
      </x:c>
      <x:c r="AF31" s="75" t="str">
        <x:v>yapper.gg account/license service plus self-host or managed server — Managed hosting and self-host privacy responsibilities differ.</x:v>
      </x:c>
      <x:c r="AG31" s="75" t="str">
        <x:v>Zulip Cloud plus subscriptions; self-host operator policies also matter — Treat Zulip Cloud and self-hosted Zulip separately.</x:v>
      </x:c>
      <x:c r="AH31" s="122" t="n">
        <x:v>49</x:v>
      </x:c>
      <x:c r="AI31" s="123" t="str">
        <x:v>Canonical source for At a Glance!49</x:v>
      </x:c>
    </x:row>
    <x:row r="32">
      <x:c r="A32" s="119" t="str">
        <x:v>At a Glance</x:v>
      </x:c>
      <x:c r="B32" s="121" t="str">
        <x:v>Native Forum / Threaded Knowledge Space</x:v>
      </x:c>
      <x:c r="C32" s="75" t="str">
        <x:v>Yes — Forum Channels</x:v>
      </x:c>
      <x:c r="D32" s="75" t="str">
        <x:v>Yes — threads; Buzz compatibility also exposes forums</x:v>
      </x:c>
      <x:c r="E32" s="75"/>
      <x:c r="F32" s="75"/>
      <x:c r="G32" s="75"/>
      <x:c r="H32" s="75"/>
      <x:c r="I32" s="75"/>
      <x:c r="J32" s="75"/>
      <x:c r="K32" s="75"/>
      <x:c r="L32" s="75" t="str">
        <x:v>Yes</x:v>
      </x:c>
      <x:c r="M32" s="75" t="str">
        <x:v>Yes</x:v>
      </x:c>
      <x:c r="N32" s="75" t="str">
        <x:v>Yes — threads and forums</x:v>
      </x:c>
      <x:c r="O32" s="75" t="str">
        <x:v>Client/room conventions</x:v>
      </x:c>
      <x:c r="P32" s="75"/>
      <x:c r="Q32" s="75"/>
      <x:c r="R32" s="75"/>
      <x:c r="S32" s="75"/>
      <x:c r="T32" s="75"/>
      <x:c r="U32" s="75"/>
      <x:c r="V32" s="75" t="str">
        <x:v>Yes — Forum channels</x:v>
      </x:c>
      <x:c r="W32" s="75"/>
      <x:c r="X32" s="75" t="str">
        <x:v>Yes/Partial — forum/group-chat model</x:v>
      </x:c>
      <x:c r="Y32" s="75"/>
      <x:c r="Z32" s="75"/>
      <x:c r="AA32" s="75"/>
      <x:c r="AB32" s="75"/>
      <x:c r="AC32" s="78" t="str">
        <x:v>Yes — thread feed</x:v>
      </x:c>
      <x:c r="AD32" s="75"/>
      <x:c r="AE32" s="75" t="str">
        <x:v>Yes</x:v>
      </x:c>
      <x:c r="AF32" s="75"/>
      <x:c r="AG32" s="75" t="str">
        <x:v>Topics rather than forum channel</x:v>
      </x:c>
      <x:c r="AH32" s="122" t="n">
        <x:v>51</x:v>
      </x:c>
      <x:c r="AI32" s="123" t="str">
        <x:v>Canonical source for At a Glance!51</x:v>
      </x:c>
    </x:row>
    <x:row r="33">
      <x:c r="A33" s="119" t="str">
        <x:v>At a Glance</x:v>
      </x:c>
      <x:c r="B33" s="121" t="str">
        <x:v>Native Gallery / Media-First Space</x:v>
      </x:c>
      <x:c r="C33" s="75" t="str">
        <x:v>Partial — Forum Gallery View</x:v>
      </x:c>
      <x:c r="D33" s="75"/>
      <x:c r="E33" s="75"/>
      <x:c r="F33" s="75"/>
      <x:c r="G33" s="75"/>
      <x:c r="H33" s="75"/>
      <x:c r="I33" s="75"/>
      <x:c r="J33" s="75"/>
      <x:c r="K33" s="75"/>
      <x:c r="L33" s="75" t="str">
        <x:v>No dedicated gallery channel</x:v>
      </x:c>
      <x:c r="M33" s="75"/>
      <x:c r="N33" s="75"/>
      <x:c r="O33" s="75"/>
      <x:c r="P33" s="75"/>
      <x:c r="Q33" s="75"/>
      <x:c r="R33" s="75"/>
      <x:c r="S33" s="75"/>
      <x:c r="T33" s="75"/>
      <x:c r="U33" s="75"/>
      <x:c r="V33" s="75" t="str">
        <x:v>Yes — Gallery channel</x:v>
      </x:c>
      <x:c r="W33" s="75"/>
      <x:c r="X33" s="75"/>
      <x:c r="Y33" s="75"/>
      <x:c r="Z33" s="75"/>
      <x:c r="AA33" s="75"/>
      <x:c r="AB33" s="75"/>
      <x:c r="AC33" s="78"/>
      <x:c r="AD33" s="75"/>
      <x:c r="AE33" s="75"/>
      <x:c r="AF33" s="75"/>
      <x:c r="AG33" s="75"/>
      <x:c r="AH33" s="122" t="n">
        <x:v>52</x:v>
      </x:c>
      <x:c r="AI33" s="123" t="str">
        <x:v>Canonical source for At a Glance!52</x:v>
      </x:c>
    </x:row>
    <x:row r="34">
      <x:c r="A34" s="119" t="str">
        <x:v>At a Glance</x:v>
      </x:c>
      <x:c r="B34" s="121" t="str">
        <x:v>Native Ticket / Support Workflow</x:v>
      </x:c>
      <x:c r="C34" s="75" t="str">
        <x:v>No native; apps/bots</x:v>
      </x:c>
      <x:c r="D34" s="75"/>
      <x:c r="E34" s="75"/>
      <x:c r="F34" s="75"/>
      <x:c r="G34" s="75"/>
      <x:c r="H34" s="75"/>
      <x:c r="I34" s="75"/>
      <x:c r="J34" s="75"/>
      <x:c r="K34" s="75"/>
      <x:c r="L34" s="75" t="str">
        <x:v>No dedicated ticket/support channel</x:v>
      </x:c>
      <x:c r="M34" s="75"/>
      <x:c r="N34" s="75"/>
      <x:c r="O34" s="75"/>
      <x:c r="P34" s="75" t="str">
        <x:v>Plugins/integrations</x:v>
      </x:c>
      <x:c r="Q34" s="75"/>
      <x:c r="R34" s="75"/>
      <x:c r="S34" s="75"/>
      <x:c r="T34" s="75"/>
      <x:c r="U34" s="75"/>
      <x:c r="V34" s="75" t="str">
        <x:v>Yes — built-in Ticket channel</x:v>
      </x:c>
      <x:c r="W34" s="75" t="str">
        <x:v>Apps/integrations</x:v>
      </x:c>
      <x:c r="X34" s="75"/>
      <x:c r="Y34" s="75"/>
      <x:c r="Z34" s="75"/>
      <x:c r="AA34" s="75"/>
      <x:c r="AB34" s="75"/>
      <x:c r="AC34" s="78"/>
      <x:c r="AD34" s="75"/>
      <x:c r="AE34" s="75"/>
      <x:c r="AF34" s="75"/>
      <x:c r="AG34" s="75"/>
      <x:c r="AH34" s="122" t="n">
        <x:v>53</x:v>
      </x:c>
      <x:c r="AI34" s="123" t="str">
        <x:v>Canonical source for At a Glance!53</x:v>
      </x:c>
    </x:row>
    <x:row r="35">
      <x:c r="A35" s="119" t="str">
        <x:v>At a Glance</x:v>
      </x:c>
      <x:c r="B35" s="121" t="str">
        <x:v>Saved Multi-Panel Layouts / Workspaces</x:v>
      </x:c>
      <x:c r="C35" s="75" t="str">
        <x:v>No general user-arranged workspace</x:v>
      </x:c>
      <x:c r="D35" s="75"/>
      <x:c r="E35" s="75"/>
      <x:c r="F35" s="75"/>
      <x:c r="G35" s="75"/>
      <x:c r="H35" s="75"/>
      <x:c r="I35" s="75"/>
      <x:c r="J35" s="75"/>
      <x:c r="K35" s="75"/>
      <x:c r="L35" s="75" t="str">
        <x:v>No saved multi-panel workspace/layout feature documented</x:v>
      </x:c>
      <x:c r="M35" s="75"/>
      <x:c r="N35" s="75"/>
      <x:c r="O35" s="75" t="str">
        <x:v>Client-dependent</x:v>
      </x:c>
      <x:c r="P35" s="75"/>
      <x:c r="Q35" s="75"/>
      <x:c r="R35" s="75"/>
      <x:c r="S35" s="75"/>
      <x:c r="T35" s="75"/>
      <x:c r="U35" s="75"/>
      <x:c r="V35" s="75" t="str">
        <x:v>Yes — drag/resize/save named layouts</x:v>
      </x:c>
      <x:c r="W35" s="75"/>
      <x:c r="X35" s="75"/>
      <x:c r="Y35" s="75"/>
      <x:c r="Z35" s="75"/>
      <x:c r="AA35" s="75"/>
      <x:c r="AB35" s="75"/>
      <x:c r="AC35" s="78"/>
      <x:c r="AD35" s="75"/>
      <x:c r="AE35" s="75"/>
      <x:c r="AF35" s="75"/>
      <x:c r="AG35" s="75"/>
      <x:c r="AH35" s="122" t="n">
        <x:v>55</x:v>
      </x:c>
      <x:c r="AI35" s="123" t="str">
        <x:v>Canonical source for At a Glance!55</x:v>
      </x:c>
    </x:row>
    <x:row r="36">
      <x:c r="A36" s="119" t="str">
        <x:v>Core Features</x:v>
      </x:c>
      <x:c r="B36" s="121" t="str">
        <x:v>1:1 DMs</x:v>
      </x:c>
      <x:c r="C36" s="75" t="str">
        <x:v>Yes</x:v>
      </x:c>
      <x:c r="D36" s="75" t="str">
        <x:v>Yes</x:v>
      </x:c>
      <x:c r="E36" s="75" t="str">
        <x:v>Yes</x:v>
      </x:c>
      <x:c r="F36" s="75" t="str">
        <x:v>Yes</x:v>
      </x:c>
      <x:c r="G36" s="75" t="str">
        <x:v>Yes</x:v>
      </x:c>
      <x:c r="H36" s="75" t="str">
        <x:v>Yes</x:v>
      </x:c>
      <x:c r="I36" s="75" t="str">
        <x:v>Yes</x:v>
      </x:c>
      <x:c r="J36" s="75" t="str">
        <x:v>Yes</x:v>
      </x:c>
      <x:c r="K36" s="75" t="str">
        <x:v>Yes</x:v>
      </x:c>
      <x:c r="L36" s="75" t="str">
        <x:v>Yes</x:v>
      </x:c>
      <x:c r="M36" s="75" t="str">
        <x:v>Yes</x:v>
      </x:c>
      <x:c r="N36" s="75" t="str">
        <x:v>Yes</x:v>
      </x:c>
      <x:c r="O36" s="75" t="str">
        <x:v>Yes — rooms/DMs</x:v>
      </x:c>
      <x:c r="P36" s="75" t="str">
        <x:v>Yes</x:v>
      </x:c>
      <x:c r="Q36" s="75" t="str">
        <x:v>Yes</x:v>
      </x:c>
      <x:c r="R36" s="75" t="str">
        <x:v>Limited user text messages</x:v>
      </x:c>
      <x:c r="S36" s="75" t="str">
        <x:v>Yes</x:v>
      </x:c>
      <x:c r="T36" s="75" t="str">
        <x:v>Yes</x:v>
      </x:c>
      <x:c r="U36" s="75" t="str">
        <x:v>Yes</x:v>
      </x:c>
      <x:c r="V36" s="75" t="str">
        <x:v>Yes</x:v>
      </x:c>
      <x:c r="W36" s="75" t="str">
        <x:v>Yes</x:v>
      </x:c>
      <x:c r="X36" s="75"/>
      <x:c r="Y36" s="75" t="str">
        <x:v>Yes</x:v>
      </x:c>
      <x:c r="Z36" s="75" t="str">
        <x:v>Yes</x:v>
      </x:c>
      <x:c r="AA36" s="75" t="str">
        <x:v>Yes</x:v>
      </x:c>
      <x:c r="AB36" s="75" t="str">
        <x:v>Yes/TS6 chat</x:v>
      </x:c>
      <x:c r="AC36" s="78" t="str">
        <x:v>Yes</x:v>
      </x:c>
      <x:c r="AD36" s="75" t="str">
        <x:v>Yes</x:v>
      </x:c>
      <x:c r="AE36" s="75" t="str">
        <x:v>Yes</x:v>
      </x:c>
      <x:c r="AF36" s="75" t="str">
        <x:v>Yes</x:v>
      </x:c>
      <x:c r="AG36" s="75" t="str">
        <x:v>Yes</x:v>
      </x:c>
      <x:c r="AH36" s="122" t="n">
        <x:v>4</x:v>
      </x:c>
      <x:c r="AI36" s="123" t="str">
        <x:v>Canonical source for Core Features!4</x:v>
      </x:c>
    </x:row>
    <x:row r="37">
      <x:c r="A37" s="119" t="str">
        <x:v>Core Features</x:v>
      </x:c>
      <x:c r="B37" s="121" t="str">
        <x:v>Group DMs</x:v>
      </x:c>
      <x:c r="C37" s="75" t="str">
        <x:v>Yes</x:v>
      </x:c>
      <x:c r="D37" s="75" t="str">
        <x:v>Yes</x:v>
      </x:c>
      <x:c r="E37" s="75"/>
      <x:c r="F37" s="75" t="str">
        <x:v>Yes</x:v>
      </x:c>
      <x:c r="G37" s="75" t="str">
        <x:v>Yes</x:v>
      </x:c>
      <x:c r="H37" s="75" t="str">
        <x:v>Yes</x:v>
      </x:c>
      <x:c r="I37" s="75" t="str">
        <x:v>Yes</x:v>
      </x:c>
      <x:c r="J37" s="75"/>
      <x:c r="K37" s="75"/>
      <x:c r="L37" s="75" t="str">
        <x:v>Yes</x:v>
      </x:c>
      <x:c r="M37" s="75" t="str">
        <x:v>Yes</x:v>
      </x:c>
      <x:c r="N37" s="75" t="str">
        <x:v>Yes</x:v>
      </x:c>
      <x:c r="O37" s="75" t="str">
        <x:v>Yes — rooms can be private multi-user</x:v>
      </x:c>
      <x:c r="P37" s="75" t="str">
        <x:v>Yes</x:v>
      </x:c>
      <x:c r="Q37" s="75" t="str">
        <x:v>Yes</x:v>
      </x:c>
      <x:c r="R37" s="75" t="str">
        <x:v>No persistent group-DM model</x:v>
      </x:c>
      <x:c r="S37" s="75" t="str">
        <x:v>Yes</x:v>
      </x:c>
      <x:c r="T37" s="75" t="str">
        <x:v>Yes</x:v>
      </x:c>
      <x:c r="U37" s="75" t="str">
        <x:v>Yes</x:v>
      </x:c>
      <x:c r="V37" s="75" t="str">
        <x:v>Yes</x:v>
      </x:c>
      <x:c r="W37" s="75" t="str">
        <x:v>Yes</x:v>
      </x:c>
      <x:c r="X37" s="75" t="str">
        <x:v>Group spaces</x:v>
      </x:c>
      <x:c r="Y37" s="75" t="str">
        <x:v>Yes</x:v>
      </x:c>
      <x:c r="Z37" s="75" t="str">
        <x:v>Yes</x:v>
      </x:c>
      <x:c r="AA37" s="75" t="str">
        <x:v>Yes</x:v>
      </x:c>
      <x:c r="AB37" s="75"/>
      <x:c r="AC37" s="78" t="str">
        <x:v>Yes</x:v>
      </x:c>
      <x:c r="AD37" s="75"/>
      <x:c r="AE37" s="75" t="str">
        <x:v>Yes</x:v>
      </x:c>
      <x:c r="AF37" s="75"/>
      <x:c r="AG37" s="75" t="str">
        <x:v>Yes</x:v>
      </x:c>
      <x:c r="AH37" s="122" t="n">
        <x:v>5</x:v>
      </x:c>
      <x:c r="AI37" s="123" t="str">
        <x:v>Canonical source for Core Features!5</x:v>
      </x:c>
    </x:row>
    <x:row r="38">
      <x:c r="A38" s="119" t="str">
        <x:v>Core Features</x:v>
      </x:c>
      <x:c r="B38" s="121" t="str">
        <x:v>Communities / Servers / Workspaces</x:v>
      </x:c>
      <x:c r="C38" s="75" t="str">
        <x:v>Yes — servers/guilds</x:v>
      </x:c>
      <x:c r="D38" s="75" t="str">
        <x:v>Yes</x:v>
      </x:c>
      <x:c r="E38" s="75"/>
      <x:c r="F38" s="75" t="str">
        <x:v>Yes — servers</x:v>
      </x:c>
      <x:c r="G38" s="75" t="str">
        <x:v>Yes</x:v>
      </x:c>
      <x:c r="H38" s="75"/>
      <x:c r="I38" s="75" t="str">
        <x:v>Yes — servers</x:v>
      </x:c>
      <x:c r="J38" s="75"/>
      <x:c r="K38" s="75" t="str">
        <x:v>Yes — servers</x:v>
      </x:c>
      <x:c r="L38" s="75" t="str">
        <x:v>Yes</x:v>
      </x:c>
      <x:c r="M38" s="75" t="str">
        <x:v>Yes</x:v>
      </x:c>
      <x:c r="N38" s="75" t="str">
        <x:v>Yes — servers/categories</x:v>
      </x:c>
      <x:c r="O38" s="75" t="str">
        <x:v>Yes — rooms/spaces</x:v>
      </x:c>
      <x:c r="P38" s="75" t="str">
        <x:v>Yes — workspaces/teams</x:v>
      </x:c>
      <x:c r="Q38" s="75" t="str">
        <x:v>Yes — Clans</x:v>
      </x:c>
      <x:c r="R38" s="75" t="str">
        <x:v>Yes — servers/channels</x:v>
      </x:c>
      <x:c r="S38" s="75" t="str">
        <x:v>Yes — servers</x:v>
      </x:c>
      <x:c r="T38" s="75" t="str">
        <x:v>Yes — communities</x:v>
      </x:c>
      <x:c r="U38" s="75" t="str">
        <x:v>Yes</x:v>
      </x:c>
      <x:c r="V38" s="75" t="str">
        <x:v>Yes — Shards</x:v>
      </x:c>
      <x:c r="W38" s="75" t="str">
        <x:v>Yes — workspaces</x:v>
      </x:c>
      <x:c r="X38" s="75" t="str">
        <x:v>Yes — Roomy spaces</x:v>
      </x:c>
      <x:c r="Y38" s="75" t="str">
        <x:v>Yes</x:v>
      </x:c>
      <x:c r="Z38" s="75" t="str">
        <x:v>Discord-compatible server model</x:v>
      </x:c>
      <x:c r="AA38" s="75" t="str">
        <x:v>Yes</x:v>
      </x:c>
      <x:c r="AB38" s="75" t="str">
        <x:v>Yes — servers/communities</x:v>
      </x:c>
      <x:c r="AC38" s="78" t="str">
        <x:v>Yes — planets</x:v>
      </x:c>
      <x:c r="AD38" s="75"/>
      <x:c r="AE38" s="75" t="str">
        <x:v>Yes — lobbies/crews</x:v>
      </x:c>
      <x:c r="AF38" s="75" t="str">
        <x:v>Yes — self-hosted servers</x:v>
      </x:c>
      <x:c r="AG38" s="75" t="str">
        <x:v>Yes — organizations</x:v>
      </x:c>
      <x:c r="AH38" s="122" t="n">
        <x:v>6</x:v>
      </x:c>
      <x:c r="AI38" s="123" t="str">
        <x:v>Canonical source for Core Features!6</x:v>
      </x:c>
    </x:row>
    <x:row r="39">
      <x:c r="A39" s="119" t="str">
        <x:v>Core Features</x:v>
      </x:c>
      <x:c r="B39" s="121" t="str">
        <x:v>Text Channels / Rooms</x:v>
      </x:c>
      <x:c r="C39" s="75" t="str">
        <x:v>Yes</x:v>
      </x:c>
      <x:c r="D39" s="75" t="str">
        <x:v>Yes</x:v>
      </x:c>
      <x:c r="E39" s="75"/>
      <x:c r="F39" s="75" t="str">
        <x:v>Yes</x:v>
      </x:c>
      <x:c r="G39" s="75" t="str">
        <x:v>Yes</x:v>
      </x:c>
      <x:c r="H39" s="75"/>
      <x:c r="I39" s="75" t="str">
        <x:v>Yes</x:v>
      </x:c>
      <x:c r="J39" s="75"/>
      <x:c r="K39" s="75" t="str">
        <x:v>Yes</x:v>
      </x:c>
      <x:c r="L39" s="75" t="str">
        <x:v>Yes</x:v>
      </x:c>
      <x:c r="M39" s="75" t="str">
        <x:v>Yes</x:v>
      </x:c>
      <x:c r="N39" s="75" t="str">
        <x:v>Yes</x:v>
      </x:c>
      <x:c r="O39" s="75" t="str">
        <x:v>Yes</x:v>
      </x:c>
      <x:c r="P39" s="75" t="str">
        <x:v>Yes — public/private channels</x:v>
      </x:c>
      <x:c r="Q39" s="75" t="str">
        <x:v>Yes</x:v>
      </x:c>
      <x:c r="R39" s="75" t="str">
        <x:v>Partial — channel text chat; voice-first</x:v>
      </x:c>
      <x:c r="S39" s="75" t="str">
        <x:v>Yes — server channels</x:v>
      </x:c>
      <x:c r="T39" s="75" t="str">
        <x:v>Yes — real-time messaging</x:v>
      </x:c>
      <x:c r="U39" s="75" t="str">
        <x:v>Yes</x:v>
      </x:c>
      <x:c r="V39" s="75" t="str">
        <x:v>Yes</x:v>
      </x:c>
      <x:c r="W39" s="75" t="str">
        <x:v>Yes — channels/groups/DMs</x:v>
      </x:c>
      <x:c r="X39" s="75" t="str">
        <x:v>Yes — group chat</x:v>
      </x:c>
      <x:c r="Y39" s="75" t="str">
        <x:v>Yes</x:v>
      </x:c>
      <x:c r="Z39" s="75" t="str">
        <x:v>Yes/Partial — Discord API parity varies by implementation</x:v>
      </x:c>
      <x:c r="AA39" s="75" t="str">
        <x:v>Yes</x:v>
      </x:c>
      <x:c r="AB39" s="75" t="str">
        <x:v>Partial — chat exists; persistent server text channels remain limited/planned in TS6</x:v>
      </x:c>
      <x:c r="AC39" s="78" t="str">
        <x:v>Yes</x:v>
      </x:c>
      <x:c r="AD39" s="75"/>
      <x:c r="AE39" s="75" t="str">
        <x:v>Yes</x:v>
      </x:c>
      <x:c r="AF39" s="75" t="str">
        <x:v>Yes</x:v>
      </x:c>
      <x:c r="AG39" s="75" t="str">
        <x:v>Yes</x:v>
      </x:c>
      <x:c r="AH39" s="122" t="n">
        <x:v>7</x:v>
      </x:c>
      <x:c r="AI39" s="123" t="str">
        <x:v>Canonical source for Core Features!7</x:v>
      </x:c>
    </x:row>
    <x:row r="40">
      <x:c r="A40" s="119" t="str">
        <x:v>Core Features</x:v>
      </x:c>
      <x:c r="B40" s="121" t="str">
        <x:v>Voice Channels / Rooms</x:v>
      </x:c>
      <x:c r="C40" s="75" t="str">
        <x:v>Yes</x:v>
      </x:c>
      <x:c r="D40" s="75" t="str">
        <x:v>Yes</x:v>
      </x:c>
      <x:c r="E40" s="75" t="str">
        <x:v>Yes</x:v>
      </x:c>
      <x:c r="F40" s="75" t="str">
        <x:v>Yes</x:v>
      </x:c>
      <x:c r="G40" s="75" t="str">
        <x:v>Yes</x:v>
      </x:c>
      <x:c r="H40" s="75"/>
      <x:c r="I40" s="75" t="str">
        <x:v>Yes</x:v>
      </x:c>
      <x:c r="J40" s="75"/>
      <x:c r="K40" s="75" t="str">
        <x:v>Yes</x:v>
      </x:c>
      <x:c r="L40" s="75" t="str">
        <x:v>Yes</x:v>
      </x:c>
      <x:c r="M40" s="75" t="str">
        <x:v>Yes</x:v>
      </x:c>
      <x:c r="N40" s="75" t="str">
        <x:v>Yes</x:v>
      </x:c>
      <x:c r="O40" s="75" t="str">
        <x:v>Yes — client-dependent</x:v>
      </x:c>
      <x:c r="P40" s="75" t="str">
        <x:v>Yes — calls</x:v>
      </x:c>
      <x:c r="Q40" s="75" t="str">
        <x:v>Yes</x:v>
      </x:c>
      <x:c r="R40" s="75" t="str">
        <x:v>Yes</x:v>
      </x:c>
      <x:c r="S40" s="75"/>
      <x:c r="T40" s="75" t="str">
        <x:v>Yes</x:v>
      </x:c>
      <x:c r="U40" s="75" t="str">
        <x:v>Yes</x:v>
      </x:c>
      <x:c r="V40" s="75" t="str">
        <x:v>Yes</x:v>
      </x:c>
      <x:c r="W40" s="75" t="str">
        <x:v>Yes — Rocket.Chat Voice + conference integrations</x:v>
      </x:c>
      <x:c r="X40" s="75"/>
      <x:c r="Y40" s="75" t="str">
        <x:v>Yes</x:v>
      </x:c>
      <x:c r="Z40" s="75" t="str">
        <x:v>Optional WebRTC media implementation</x:v>
      </x:c>
      <x:c r="AA40" s="75" t="str">
        <x:v>Yes</x:v>
      </x:c>
      <x:c r="AB40" s="75" t="str">
        <x:v>Yes</x:v>
      </x:c>
      <x:c r="AC40" s="78" t="str">
        <x:v>Yes</x:v>
      </x:c>
      <x:c r="AD40" s="75"/>
      <x:c r="AE40" s="75" t="str">
        <x:v>Yes</x:v>
      </x:c>
      <x:c r="AF40" s="75" t="str">
        <x:v>Yes</x:v>
      </x:c>
      <x:c r="AG40" s="75" t="str">
        <x:v>Provider integration (Zoom/Jitsi/etc.), not a persistent native voice-room model</x:v>
      </x:c>
      <x:c r="AH40" s="122" t="n">
        <x:v>8</x:v>
      </x:c>
      <x:c r="AI40" s="123" t="str">
        <x:v>Canonical source for Core Features!8</x:v>
      </x:c>
    </x:row>
    <x:row r="41">
      <x:c r="A41" s="119" t="str">
        <x:v>Core Features</x:v>
      </x:c>
      <x:c r="B41" s="121" t="str">
        <x:v>Categories / Channel Organization</x:v>
      </x:c>
      <x:c r="C41" s="75" t="str">
        <x:v>Yes — servers, categories, text/voice/forum/stage channels</x:v>
      </x:c>
      <x:c r="D41" s="75" t="str">
        <x:v>Yes — communities/channels/threads</x:v>
      </x:c>
      <x:c r="E41" s="75" t="str">
        <x:v>Yes — servers/channels</x:v>
      </x:c>
      <x:c r="F41" s="75" t="str">
        <x:v>Yes — servers/channels/roles</x:v>
      </x:c>
      <x:c r="G41" s="75" t="str">
        <x:v>Yes — communities/categories/text/voice</x:v>
      </x:c>
      <x:c r="H41" s="75" t="str">
        <x:v>Yes</x:v>
      </x:c>
      <x:c r="I41" s="75" t="str">
        <x:v>Yes — servers/categories/text/voice</x:v>
      </x:c>
      <x:c r="J41" s="75" t="str">
        <x:v>Yes — guild/channel model</x:v>
      </x:c>
      <x:c r="K41" s="75" t="str">
        <x:v>Yes — encrypted communities/public channels</x:v>
      </x:c>
      <x:c r="L41" s="75" t="str">
        <x:v>Yes</x:v>
      </x:c>
      <x:c r="M41" s="75" t="str">
        <x:v>Yes — servers/channels/roles</x:v>
      </x:c>
      <x:c r="N41" s="75" t="str">
        <x:v>Yes — servers/categories/text/voice/forum/stage</x:v>
      </x:c>
      <x:c r="O41" s="75" t="str">
        <x:v>Yes — rooms + Spaces; exact UX client-dependent</x:v>
      </x:c>
      <x:c r="P41" s="75" t="str">
        <x:v>Yes — teams/channels</x:v>
      </x:c>
      <x:c r="Q41" s="75" t="str">
        <x:v>Yes — clans/channels</x:v>
      </x:c>
      <x:c r="R41" s="75" t="str">
        <x:v>Yes — hierarchical voice channels</x:v>
      </x:c>
      <x:c r="S41" s="75" t="str">
        <x:v>Yes — communities/channels</x:v>
      </x:c>
      <x:c r="T41" s="75" t="str">
        <x:v>Yes — communities/channels</x:v>
      </x:c>
      <x:c r="U41" s="75" t="str">
        <x:v>Yes — communities/channels</x:v>
      </x:c>
      <x:c r="V41" s="75" t="str">
        <x:v>Yes — communities/channels</x:v>
      </x:c>
      <x:c r="W41" s="75" t="str">
        <x:v>Yes — workspaces/teams/channels</x:v>
      </x:c>
      <x:c r="X41" s="75" t="str">
        <x:v>Yes — spaces/group chat</x:v>
      </x:c>
      <x:c r="Y41" s="75" t="str">
        <x:v>Yes — communities/channel groups/text/voice</x:v>
      </x:c>
      <x:c r="Z41" s="75" t="str">
        <x:v>Yes — Discord-compatible model</x:v>
      </x:c>
      <x:c r="AA41" s="75" t="str">
        <x:v>Yes — servers/categories/text/voice</x:v>
      </x:c>
      <x:c r="AB41" s="75" t="str">
        <x:v>Yes — servers/channels</x:v>
      </x:c>
      <x:c r="AC41" s="78" t="str">
        <x:v>Yes — planets/channels</x:v>
      </x:c>
      <x:c r="AD41" s="75" t="str">
        <x:v>Yes — Discord-like guild/channel model</x:v>
      </x:c>
      <x:c r="AE41" s="75" t="str">
        <x:v>Lobby/room model rather than servers/channels</x:v>
      </x:c>
      <x:c r="AF41" s="75" t="str">
        <x:v>Yes — rooms/channels</x:v>
      </x:c>
      <x:c r="AG41" s="75" t="str">
        <x:v>Yes — organizations/streams/topics</x:v>
      </x:c>
      <x:c r="AH41" s="122" t="n">
        <x:v>9</x:v>
      </x:c>
      <x:c r="AI41" s="123" t="str">
        <x:v>Canonical source for Core Features!9</x:v>
      </x:c>
    </x:row>
    <x:row r="42">
      <x:c r="A42" s="119" t="str">
        <x:v>Core Features</x:v>
      </x:c>
      <x:c r="B42" s="121" t="str">
        <x:v>Markdown Text</x:v>
      </x:c>
      <x:c r="C42" s="75" t="str">
        <x:v>Yes — Discord Markdown subset</x:v>
      </x:c>
      <x:c r="D42" s="75"/>
      <x:c r="E42" s="75" t="str">
        <x:v>Yes</x:v>
      </x:c>
      <x:c r="F42" s="75" t="str">
        <x:v>Yes</x:v>
      </x:c>
      <x:c r="G42" s="75" t="str">
        <x:v>Yes</x:v>
      </x:c>
      <x:c r="H42" s="75" t="str">
        <x:v>Yes</x:v>
      </x:c>
      <x:c r="I42" s="75" t="str">
        <x:v>Yes</x:v>
      </x:c>
      <x:c r="J42" s="75" t="str">
        <x:v>Yes/Discord-like</x:v>
      </x:c>
      <x:c r="K42" s="75"/>
      <x:c r="L42" s="75" t="str">
        <x:v>Yes</x:v>
      </x:c>
      <x:c r="M42" s="75"/>
      <x:c r="N42" s="75" t="str">
        <x:v>Yes</x:v>
      </x:c>
      <x:c r="O42" s="75" t="str">
        <x:v>Client-dependent</x:v>
      </x:c>
      <x:c r="P42" s="75" t="str">
        <x:v>Yes</x:v>
      </x:c>
      <x:c r="Q42" s="75" t="str">
        <x:v>Yes</x:v>
      </x:c>
      <x:c r="R42" s="75" t="str">
        <x:v>No</x:v>
      </x:c>
      <x:c r="S42" s="75" t="str">
        <x:v>Yes</x:v>
      </x:c>
      <x:c r="T42" s="75"/>
      <x:c r="U42" s="75" t="str">
        <x:v>Yes</x:v>
      </x:c>
      <x:c r="V42" s="75" t="str">
        <x:v>Yes</x:v>
      </x:c>
      <x:c r="W42" s="75" t="str">
        <x:v>Yes</x:v>
      </x:c>
      <x:c r="X42" s="75"/>
      <x:c r="Y42" s="75" t="str">
        <x:v>Yes</x:v>
      </x:c>
      <x:c r="Z42" s="75" t="str">
        <x:v>Yes/Discord-compatible target</x:v>
      </x:c>
      <x:c r="AA42" s="75" t="str">
        <x:v>Yes</x:v>
      </x:c>
      <x:c r="AB42" s="75"/>
      <x:c r="AC42" s="78" t="str">
        <x:v>Yes</x:v>
      </x:c>
      <x:c r="AD42" s="75"/>
      <x:c r="AE42" s="75" t="str">
        <x:v>Yes</x:v>
      </x:c>
      <x:c r="AF42" s="75"/>
      <x:c r="AG42" s="75" t="str">
        <x:v>Yes</x:v>
      </x:c>
      <x:c r="AH42" s="122" t="n">
        <x:v>10</x:v>
      </x:c>
      <x:c r="AI42" s="123" t="str">
        <x:v>Canonical source for Core Features!10</x:v>
      </x:c>
    </x:row>
    <x:row r="43">
      <x:c r="A43" s="119" t="str">
        <x:v>Core Features</x:v>
      </x:c>
      <x:c r="B43" s="121" t="str">
        <x:v>Core Notifications</x:v>
      </x:c>
      <x:c r="C43" s="75" t="str">
        <x:v>Yes</x:v>
      </x:c>
      <x:c r="D43" s="75" t="str">
        <x:v>Yes</x:v>
      </x:c>
      <x:c r="E43" s="75" t="str">
        <x:v>Yes</x:v>
      </x:c>
      <x:c r="F43" s="75" t="str">
        <x:v>Yes</x:v>
      </x:c>
      <x:c r="G43" s="75" t="str">
        <x:v>Yes</x:v>
      </x:c>
      <x:c r="H43" s="75" t="str">
        <x:v>Yes</x:v>
      </x:c>
      <x:c r="I43" s="75" t="str">
        <x:v>Yes</x:v>
      </x:c>
      <x:c r="J43" s="75"/>
      <x:c r="K43" s="75" t="str">
        <x:v>Local notifications</x:v>
      </x:c>
      <x:c r="L43" s="75" t="str">
        <x:v>Yes</x:v>
      </x:c>
      <x:c r="M43" s="75" t="str">
        <x:v>Yes</x:v>
      </x:c>
      <x:c r="N43" s="75" t="str">
        <x:v>Yes</x:v>
      </x:c>
      <x:c r="O43" s="75" t="str">
        <x:v>Client-dependent</x:v>
      </x:c>
      <x:c r="P43" s="75" t="str">
        <x:v>Yes</x:v>
      </x:c>
      <x:c r="Q43" s="75" t="str">
        <x:v>Yes</x:v>
      </x:c>
      <x:c r="R43" s="75" t="str">
        <x:v>Client notifications</x:v>
      </x:c>
      <x:c r="S43" s="75" t="str">
        <x:v>Yes</x:v>
      </x:c>
      <x:c r="T43" s="75" t="str">
        <x:v>Yes</x:v>
      </x:c>
      <x:c r="U43" s="75" t="str">
        <x:v>Yes</x:v>
      </x:c>
      <x:c r="V43" s="75" t="str">
        <x:v>Yes</x:v>
      </x:c>
      <x:c r="W43" s="75" t="str">
        <x:v>Yes</x:v>
      </x:c>
      <x:c r="X43" s="75"/>
      <x:c r="Y43" s="75" t="str">
        <x:v>Yes</x:v>
      </x:c>
      <x:c r="Z43" s="75" t="str">
        <x:v>Yes</x:v>
      </x:c>
      <x:c r="AA43" s="75" t="str">
        <x:v>Yes</x:v>
      </x:c>
      <x:c r="AB43" s="75" t="str">
        <x:v>Yes</x:v>
      </x:c>
      <x:c r="AC43" s="78" t="str">
        <x:v>Yes</x:v>
      </x:c>
      <x:c r="AD43" s="75"/>
      <x:c r="AE43" s="75" t="str">
        <x:v>Yes</x:v>
      </x:c>
      <x:c r="AF43" s="75" t="str">
        <x:v>Yes</x:v>
      </x:c>
      <x:c r="AG43" s="75" t="str">
        <x:v>Yes</x:v>
      </x:c>
      <x:c r="AH43" s="122" t="n">
        <x:v>11</x:v>
      </x:c>
      <x:c r="AI43" s="123" t="str">
        <x:v>Canonical source for Core Features!11</x:v>
      </x:c>
    </x:row>
    <x:row r="44">
      <x:c r="A44" s="119" t="str">
        <x:v>Core Features</x:v>
      </x:c>
      <x:c r="B44" s="121" t="str">
        <x:v>File Uploads</x:v>
      </x:c>
      <x:c r="C44" s="75" t="str">
        <x:v>Yes</x:v>
      </x:c>
      <x:c r="D44" s="75" t="str">
        <x:v>Yes</x:v>
      </x:c>
      <x:c r="E44" s="75" t="str">
        <x:v>Yes</x:v>
      </x:c>
      <x:c r="F44" s="75" t="str">
        <x:v>Yes</x:v>
      </x:c>
      <x:c r="G44" s="75" t="str">
        <x:v>Yes</x:v>
      </x:c>
      <x:c r="H44" s="75" t="str">
        <x:v>Yes</x:v>
      </x:c>
      <x:c r="I44" s="75" t="str">
        <x:v>Yes</x:v>
      </x:c>
      <x:c r="J44" s="75" t="str">
        <x:v>Yes</x:v>
      </x:c>
      <x:c r="K44" s="75" t="str">
        <x:v>Yes/local files</x:v>
      </x:c>
      <x:c r="L44" s="75" t="str">
        <x:v>Yes</x:v>
      </x:c>
      <x:c r="M44" s="75" t="str">
        <x:v>Yes</x:v>
      </x:c>
      <x:c r="N44" s="75" t="str">
        <x:v>Yes</x:v>
      </x:c>
      <x:c r="O44" s="75" t="str">
        <x:v>Yes</x:v>
      </x:c>
      <x:c r="P44" s="75" t="str">
        <x:v>Yes</x:v>
      </x:c>
      <x:c r="Q44" s="75" t="str">
        <x:v>Yes</x:v>
      </x:c>
      <x:c r="R44" s="75" t="str">
        <x:v>No</x:v>
      </x:c>
      <x:c r="S44" s="75" t="str">
        <x:v>Yes</x:v>
      </x:c>
      <x:c r="T44" s="75" t="str">
        <x:v>Yes</x:v>
      </x:c>
      <x:c r="U44" s="75" t="str">
        <x:v>Yes</x:v>
      </x:c>
      <x:c r="V44" s="75" t="str">
        <x:v>Yes</x:v>
      </x:c>
      <x:c r="W44" s="75" t="str">
        <x:v>Yes</x:v>
      </x:c>
      <x:c r="X44" s="75" t="str">
        <x:v>Yes</x:v>
      </x:c>
      <x:c r="Y44" s="75" t="str">
        <x:v>Yes</x:v>
      </x:c>
      <x:c r="Z44" s="75" t="str">
        <x:v>Yes</x:v>
      </x:c>
      <x:c r="AA44" s="75" t="str">
        <x:v>Yes</x:v>
      </x:c>
      <x:c r="AB44" s="75"/>
      <x:c r="AC44" s="78" t="str">
        <x:v>Yes</x:v>
      </x:c>
      <x:c r="AD44" s="75" t="str">
        <x:v>Yes</x:v>
      </x:c>
      <x:c r="AE44" s="75" t="str">
        <x:v>Yes</x:v>
      </x:c>
      <x:c r="AF44" s="75" t="str">
        <x:v>Yes</x:v>
      </x:c>
      <x:c r="AG44" s="75" t="str">
        <x:v>Yes</x:v>
      </x:c>
      <x:c r="AH44" s="122" t="n">
        <x:v>13</x:v>
      </x:c>
      <x:c r="AI44" s="123" t="str">
        <x:v>Canonical source for Core Features!13</x:v>
      </x:c>
    </x:row>
    <x:row r="45">
      <x:c r="A45" s="119" t="str">
        <x:v>Core Features</x:v>
      </x:c>
      <x:c r="B45" s="121" t="str">
        <x:v>Free / Base File Upload Limit</x:v>
      </x:c>
      <x:c r="C45" s="75" t="str">
        <x:v>20 MB</x:v>
      </x:c>
      <x:c r="D45" s="75" t="str">
        <x:v>Relay-dependent</x:v>
      </x:c>
      <x:c r="E45" s="75" t="str">
        <x:v>Operator configured</x:v>
      </x:c>
      <x:c r="F45" s="75"/>
      <x:c r="G45" s="75"/>
      <x:c r="H45" s="75" t="str">
        <x:v>25 MB free</x:v>
      </x:c>
      <x:c r="I45" s="75" t="str">
        <x:v>500 MB free</x:v>
      </x:c>
      <x:c r="J45" s="75" t="str">
        <x:v>8 MB on hosted Free tier</x:v>
      </x:c>
      <x:c r="K45" s="75" t="str">
        <x:v>Local/device storage</x:v>
      </x:c>
      <x:c r="L45" s="75" t="str">
        <x:v>15 MB on official federated instance; self-host limits are configurable (developer report)</x:v>
      </x:c>
      <x:c r="M45" s="75"/>
      <x:c r="N45" s="75"/>
      <x:c r="O45" s="75" t="str">
        <x:v>Homeserver-dependent</x:v>
      </x:c>
      <x:c r="P45" s="75" t="str">
        <x:v>100 MB hard limit; configurable</x:v>
      </x:c>
      <x:c r="Q45" s="75" t="str">
        <x:v>50 MB images; 100 MB video/other files</x:v>
      </x:c>
      <x:c r="R45" s="75" t="str">
        <x:v>N/A</x:v>
      </x:c>
      <x:c r="S45" s="75"/>
      <x:c r="T45" s="75"/>
      <x:c r="U45" s="75" t="str">
        <x:v>Not publicly claimed</x:v>
      </x:c>
      <x:c r="V45" s="75" t="str">
        <x:v>50 MB free; Rift+ 300 MB personal uploads; Shard tiers vary</x:v>
      </x:c>
      <x:c r="W45" s="75" t="str">
        <x:v>Configurable by workspace / proxy</x:v>
      </x:c>
      <x:c r="X45" s="75"/>
      <x:c r="Y45" s="75" t="str">
        <x:v>25 MB</x:v>
      </x:c>
      <x:c r="Z45" s="75" t="str">
        <x:v>Operator-configurable</x:v>
      </x:c>
      <x:c r="AA45" s="75" t="str">
        <x:v>20 MB</x:v>
      </x:c>
      <x:c r="AB45" s="75" t="str">
        <x:v>10 MB</x:v>
      </x:c>
      <x:c r="AC45" s="78"/>
      <x:c r="AD45" s="75"/>
      <x:c r="AE45" s="75"/>
      <x:c r="AF45" s="75" t="str">
        <x:v>Configurable by server operator</x:v>
      </x:c>
      <x:c r="AG45" s="75" t="str">
        <x:v>Plan/server configurable</x:v>
      </x:c>
      <x:c r="AH45" s="122" t="n">
        <x:v>14</x:v>
      </x:c>
      <x:c r="AI45" s="123" t="str">
        <x:v>Canonical source for Core Features!14</x:v>
      </x:c>
    </x:row>
    <x:row r="46">
      <x:c r="A46" s="119" t="str">
        <x:v>Core Features</x:v>
      </x:c>
      <x:c r="B46" s="121" t="str">
        <x:v>Pinned Messages</x:v>
      </x:c>
      <x:c r="C46" s="75" t="str">
        <x:v>Yes</x:v>
      </x:c>
      <x:c r="D46" s="75"/>
      <x:c r="E46" s="75"/>
      <x:c r="F46" s="75" t="str">
        <x:v>Yes</x:v>
      </x:c>
      <x:c r="G46" s="75"/>
      <x:c r="H46" s="75" t="str">
        <x:v>Yes</x:v>
      </x:c>
      <x:c r="I46" s="75" t="str">
        <x:v>Yes</x:v>
      </x:c>
      <x:c r="J46" s="75"/>
      <x:c r="K46" s="75"/>
      <x:c r="L46" s="75" t="str">
        <x:v>Yes</x:v>
      </x:c>
      <x:c r="M46" s="75"/>
      <x:c r="N46" s="75" t="str">
        <x:v>Yes</x:v>
      </x:c>
      <x:c r="O46" s="75" t="str">
        <x:v>Client-dependent</x:v>
      </x:c>
      <x:c r="P46" s="75" t="str">
        <x:v>Yes</x:v>
      </x:c>
      <x:c r="Q46" s="75" t="str">
        <x:v>Yes</x:v>
      </x:c>
      <x:c r="R46" s="75" t="str">
        <x:v>N/A</x:v>
      </x:c>
      <x:c r="S46" s="75" t="str">
        <x:v>Yes</x:v>
      </x:c>
      <x:c r="T46" s="75" t="str">
        <x:v>Yes</x:v>
      </x:c>
      <x:c r="U46" s="75" t="str">
        <x:v>Yes</x:v>
      </x:c>
      <x:c r="V46" s="75" t="str">
        <x:v>Yes — channel pins + Shard pin feed</x:v>
      </x:c>
      <x:c r="W46" s="75" t="str">
        <x:v>Yes</x:v>
      </x:c>
      <x:c r="X46" s="75"/>
      <x:c r="Y46" s="75" t="str">
        <x:v>Yes</x:v>
      </x:c>
      <x:c r="Z46" s="75" t="str">
        <x:v>Yes</x:v>
      </x:c>
      <x:c r="AA46" s="75" t="str">
        <x:v>Yes</x:v>
      </x:c>
      <x:c r="AB46" s="75"/>
      <x:c r="AC46" s="78" t="str">
        <x:v>Yes</x:v>
      </x:c>
      <x:c r="AD46" s="75"/>
      <x:c r="AE46" s="75"/>
      <x:c r="AF46" s="75"/>
      <x:c r="AG46" s="75" t="str">
        <x:v>Yes</x:v>
      </x:c>
      <x:c r="AH46" s="122" t="n">
        <x:v>19</x:v>
      </x:c>
      <x:c r="AI46" s="123" t="str">
        <x:v>Canonical source for Core Features!19</x:v>
      </x:c>
    </x:row>
    <x:row r="47">
      <x:c r="A47" s="119" t="str">
        <x:v>Core Features</x:v>
      </x:c>
      <x:c r="B47" s="121" t="str">
        <x:v>Search</x:v>
      </x:c>
      <x:c r="C47" s="75" t="str">
        <x:v>Yes — server message search; Server Discovery exists for eligible public communities</x:v>
      </x:c>
      <x:c r="D47" s="75"/>
      <x:c r="E47" s="75" t="str">
        <x:v>Yes</x:v>
      </x:c>
      <x:c r="F47" s="75" t="str">
        <x:v>Yes</x:v>
      </x:c>
      <x:c r="G47" s="75" t="str">
        <x:v>Yes</x:v>
      </x:c>
      <x:c r="H47" s="75" t="str">
        <x:v>Yes</x:v>
      </x:c>
      <x:c r="I47" s="75" t="str">
        <x:v>Yes</x:v>
      </x:c>
      <x:c r="J47" s="75"/>
      <x:c r="K47" s="75"/>
      <x:c r="L47" s="75" t="str">
        <x:v>Yes — typo-tolerant search with filters; federated authorities are queried directly; developer reports no search-depth cap</x:v>
      </x:c>
      <x:c r="M47" s="75"/>
      <x:c r="N47" s="75" t="str">
        <x:v>Yes</x:v>
      </x:c>
      <x:c r="O47" s="75" t="str">
        <x:v>Client-dependent</x:v>
      </x:c>
      <x:c r="P47" s="75" t="str">
        <x:v>Yes</x:v>
      </x:c>
      <x:c r="Q47" s="75" t="str">
        <x:v>Yes</x:v>
      </x:c>
      <x:c r="R47" s="75" t="str">
        <x:v>N/A</x:v>
      </x:c>
      <x:c r="S47" s="75" t="str">
        <x:v>Yes</x:v>
      </x:c>
      <x:c r="T47" s="75" t="str">
        <x:v>Yes</x:v>
      </x:c>
      <x:c r="U47" s="75" t="str">
        <x:v>Yes</x:v>
      </x:c>
      <x:c r="V47" s="75" t="str">
        <x:v>Yes</x:v>
      </x:c>
      <x:c r="W47" s="75" t="str">
        <x:v>Yes</x:v>
      </x:c>
      <x:c r="X47" s="75"/>
      <x:c r="Y47" s="75" t="str">
        <x:v>Yes</x:v>
      </x:c>
      <x:c r="Z47" s="75" t="str">
        <x:v>Yes/target</x:v>
      </x:c>
      <x:c r="AA47" s="75" t="str">
        <x:v>Yes</x:v>
      </x:c>
      <x:c r="AB47" s="75"/>
      <x:c r="AC47" s="78" t="str">
        <x:v>Yes</x:v>
      </x:c>
      <x:c r="AD47" s="75"/>
      <x:c r="AE47" s="75" t="str">
        <x:v>Yes</x:v>
      </x:c>
      <x:c r="AF47" s="75"/>
      <x:c r="AG47" s="75" t="str">
        <x:v>Yes</x:v>
      </x:c>
      <x:c r="AH47" s="122" t="n">
        <x:v>20</x:v>
      </x:c>
      <x:c r="AI47" s="123" t="str">
        <x:v>Canonical source for Core Features!20</x:v>
      </x:c>
    </x:row>
    <x:row r="48">
      <x:c r="A48" s="119" t="str">
        <x:v>Core Features</x:v>
      </x:c>
      <x:c r="B48" s="121" t="str">
        <x:v>Invites</x:v>
      </x:c>
      <x:c r="C48" s="75" t="str">
        <x:v>Yes</x:v>
      </x:c>
      <x:c r="D48" s="75"/>
      <x:c r="E48" s="75"/>
      <x:c r="F48" s="75"/>
      <x:c r="G48" s="75"/>
      <x:c r="H48" s="75"/>
      <x:c r="I48" s="75"/>
      <x:c r="J48" s="75"/>
      <x:c r="K48" s="75"/>
      <x:c r="L48" s="75" t="str">
        <x:v>Yes</x:v>
      </x:c>
      <x:c r="M48" s="75"/>
      <x:c r="N48" s="75"/>
      <x:c r="O48" s="75" t="str">
        <x:v>Yes</x:v>
      </x:c>
      <x:c r="P48" s="75"/>
      <x:c r="Q48" s="75"/>
      <x:c r="R48" s="75"/>
      <x:c r="S48" s="75" t="str">
        <x:v>Yes</x:v>
      </x:c>
      <x:c r="T48" s="75"/>
      <x:c r="U48" s="75"/>
      <x:c r="V48" s="75" t="str">
        <x:v>Yes</x:v>
      </x:c>
      <x:c r="W48" s="75"/>
      <x:c r="X48" s="75"/>
      <x:c r="Y48" s="75" t="str">
        <x:v>Yes</x:v>
      </x:c>
      <x:c r="Z48" s="75"/>
      <x:c r="AA48" s="75" t="str">
        <x:v>Yes</x:v>
      </x:c>
      <x:c r="AB48" s="75"/>
      <x:c r="AC48" s="78"/>
      <x:c r="AD48" s="75"/>
      <x:c r="AE48" s="75"/>
      <x:c r="AF48" s="75"/>
      <x:c r="AG48" s="75" t="str">
        <x:v>Yes</x:v>
      </x:c>
      <x:c r="AH48" s="122" t="n">
        <x:v>21</x:v>
      </x:c>
      <x:c r="AI48" s="123" t="str">
        <x:v>Canonical source for Core Features!21</x:v>
      </x:c>
    </x:row>
    <x:row r="49">
      <x:c r="A49" s="119" t="str">
        <x:v>Basic Features</x:v>
      </x:c>
      <x:c r="B49" s="121" t="str">
        <x:v>Server Search</x:v>
      </x:c>
      <x:c r="C49" s="75" t="str">
        <x:v>Yes — server message search; Server Discovery exists for eligible public communities</x:v>
      </x:c>
      <x:c r="D49" s="75"/>
      <x:c r="E49" s="75" t="str">
        <x:v>Yes</x:v>
      </x:c>
      <x:c r="F49" s="75" t="str">
        <x:v>Yes</x:v>
      </x:c>
      <x:c r="G49" s="75" t="str">
        <x:v>Yes</x:v>
      </x:c>
      <x:c r="H49" s="75" t="str">
        <x:v>Yes</x:v>
      </x:c>
      <x:c r="I49" s="75" t="str">
        <x:v>Yes</x:v>
      </x:c>
      <x:c r="J49" s="75"/>
      <x:c r="K49" s="75"/>
      <x:c r="L49" s="75" t="str">
        <x:v>Yes</x:v>
      </x:c>
      <x:c r="M49" s="75"/>
      <x:c r="N49" s="75" t="str">
        <x:v>Yes</x:v>
      </x:c>
      <x:c r="O49" s="75" t="str">
        <x:v>Client-dependent</x:v>
      </x:c>
      <x:c r="P49" s="75" t="str">
        <x:v>Yes</x:v>
      </x:c>
      <x:c r="Q49" s="75" t="str">
        <x:v>Yes</x:v>
      </x:c>
      <x:c r="R49" s="75" t="str">
        <x:v>N/A</x:v>
      </x:c>
      <x:c r="S49" s="75" t="str">
        <x:v>Yes</x:v>
      </x:c>
      <x:c r="T49" s="75" t="str">
        <x:v>Yes</x:v>
      </x:c>
      <x:c r="U49" s="75" t="str">
        <x:v>Yes</x:v>
      </x:c>
      <x:c r="V49" s="75" t="str">
        <x:v>Yes</x:v>
      </x:c>
      <x:c r="W49" s="75" t="str">
        <x:v>Yes</x:v>
      </x:c>
      <x:c r="X49" s="75"/>
      <x:c r="Y49" s="75" t="str">
        <x:v>Yes</x:v>
      </x:c>
      <x:c r="Z49" s="75" t="str">
        <x:v>Yes/target</x:v>
      </x:c>
      <x:c r="AA49" s="75" t="str">
        <x:v>Yes</x:v>
      </x:c>
      <x:c r="AB49" s="75"/>
      <x:c r="AC49" s="78" t="str">
        <x:v>Yes</x:v>
      </x:c>
      <x:c r="AD49" s="75"/>
      <x:c r="AE49" s="75" t="str">
        <x:v>Yes</x:v>
      </x:c>
      <x:c r="AF49" s="75"/>
      <x:c r="AG49" s="75" t="str">
        <x:v>Yes</x:v>
      </x:c>
      <x:c r="AH49" s="122" t="n">
        <x:v>4</x:v>
      </x:c>
      <x:c r="AI49" s="123" t="str">
        <x:v>Canonical source for Basic Features!4</x:v>
      </x:c>
    </x:row>
    <x:row r="50">
      <x:c r="A50" s="119" t="str">
        <x:v>Basic Features</x:v>
      </x:c>
      <x:c r="B50" s="121" t="str">
        <x:v>DM Search</x:v>
      </x:c>
      <x:c r="C50" s="75" t="str">
        <x:v>Yes</x:v>
      </x:c>
      <x:c r="D50" s="75"/>
      <x:c r="E50" s="75"/>
      <x:c r="F50" s="75" t="str">
        <x:v>Yes</x:v>
      </x:c>
      <x:c r="G50" s="75" t="str">
        <x:v>Yes</x:v>
      </x:c>
      <x:c r="H50" s="75" t="str">
        <x:v>Yes</x:v>
      </x:c>
      <x:c r="I50" s="75"/>
      <x:c r="J50" s="75"/>
      <x:c r="K50" s="75"/>
      <x:c r="L50" s="75" t="str">
        <x:v>Yes</x:v>
      </x:c>
      <x:c r="M50" s="75"/>
      <x:c r="N50" s="75" t="str">
        <x:v>Yes</x:v>
      </x:c>
      <x:c r="O50" s="75" t="str">
        <x:v>Client-dependent</x:v>
      </x:c>
      <x:c r="P50" s="75" t="str">
        <x:v>Yes</x:v>
      </x:c>
      <x:c r="Q50" s="75" t="str">
        <x:v>Yes</x:v>
      </x:c>
      <x:c r="R50" s="75" t="str">
        <x:v>N/A</x:v>
      </x:c>
      <x:c r="S50" s="75" t="str">
        <x:v>Yes</x:v>
      </x:c>
      <x:c r="T50" s="75" t="str">
        <x:v>Yes</x:v>
      </x:c>
      <x:c r="U50" s="75" t="str">
        <x:v>Yes</x:v>
      </x:c>
      <x:c r="V50" s="75" t="str">
        <x:v>Yes</x:v>
      </x:c>
      <x:c r="W50" s="75" t="str">
        <x:v>Yes</x:v>
      </x:c>
      <x:c r="X50" s="75"/>
      <x:c r="Y50" s="75" t="str">
        <x:v>Yes</x:v>
      </x:c>
      <x:c r="Z50" s="75" t="str">
        <x:v>Yes/target</x:v>
      </x:c>
      <x:c r="AA50" s="75" t="str">
        <x:v>Yes</x:v>
      </x:c>
      <x:c r="AB50" s="75"/>
      <x:c r="AC50" s="78"/>
      <x:c r="AD50" s="75"/>
      <x:c r="AE50" s="75" t="str">
        <x:v>Yes</x:v>
      </x:c>
      <x:c r="AF50" s="75"/>
      <x:c r="AG50" s="75" t="str">
        <x:v>Yes</x:v>
      </x:c>
      <x:c r="AH50" s="122" t="n">
        <x:v>5</x:v>
      </x:c>
      <x:c r="AI50" s="123" t="str">
        <x:v>Canonical source for Basic Features!5</x:v>
      </x:c>
    </x:row>
    <x:row r="51">
      <x:c r="A51" s="119" t="str">
        <x:v>Basic Features</x:v>
      </x:c>
      <x:c r="B51" s="121" t="str">
        <x:v>Channel / Room Search</x:v>
      </x:c>
      <x:c r="C51" s="75" t="str">
        <x:v>Yes</x:v>
      </x:c>
      <x:c r="D51" s="75"/>
      <x:c r="E51" s="75"/>
      <x:c r="F51" s="75"/>
      <x:c r="G51" s="75"/>
      <x:c r="H51" s="75"/>
      <x:c r="I51" s="75"/>
      <x:c r="J51" s="75"/>
      <x:c r="K51" s="75"/>
      <x:c r="L51" s="75" t="str">
        <x:v>Yes</x:v>
      </x:c>
      <x:c r="M51" s="75"/>
      <x:c r="N51" s="75" t="str">
        <x:v>Yes</x:v>
      </x:c>
      <x:c r="O51" s="75" t="str">
        <x:v>Client-dependent</x:v>
      </x:c>
      <x:c r="P51" s="75" t="str">
        <x:v>Yes</x:v>
      </x:c>
      <x:c r="Q51" s="75"/>
      <x:c r="R51" s="75"/>
      <x:c r="S51" s="75"/>
      <x:c r="T51" s="75"/>
      <x:c r="U51" s="75" t="str">
        <x:v>Yes</x:v>
      </x:c>
      <x:c r="V51" s="75" t="str">
        <x:v>Yes</x:v>
      </x:c>
      <x:c r="W51" s="75" t="str">
        <x:v>Yes</x:v>
      </x:c>
      <x:c r="X51" s="75"/>
      <x:c r="Y51" s="75"/>
      <x:c r="Z51" s="75"/>
      <x:c r="AA51" s="75"/>
      <x:c r="AB51" s="75"/>
      <x:c r="AC51" s="78"/>
      <x:c r="AD51" s="75"/>
      <x:c r="AE51" s="75"/>
      <x:c r="AF51" s="75"/>
      <x:c r="AG51" s="75" t="str">
        <x:v>Yes</x:v>
      </x:c>
      <x:c r="AH51" s="122" t="n">
        <x:v>6</x:v>
      </x:c>
      <x:c r="AI51" s="123" t="str">
        <x:v>Canonical source for Basic Features!6</x:v>
      </x:c>
    </x:row>
    <x:row r="52">
      <x:c r="A52" s="119" t="str">
        <x:v>Basic Features</x:v>
      </x:c>
      <x:c r="B52" s="121" t="str">
        <x:v>Message Reactions</x:v>
      </x:c>
      <x:c r="C52" s="75" t="str">
        <x:v>Yes</x:v>
      </x:c>
      <x:c r="D52" s="75" t="str">
        <x:v>Yes</x:v>
      </x:c>
      <x:c r="E52" s="75"/>
      <x:c r="F52" s="75" t="str">
        <x:v>Yes</x:v>
      </x:c>
      <x:c r="G52" s="75" t="str">
        <x:v>Yes</x:v>
      </x:c>
      <x:c r="H52" s="75"/>
      <x:c r="I52" s="75" t="str">
        <x:v>Yes</x:v>
      </x:c>
      <x:c r="J52" s="75"/>
      <x:c r="K52" s="75"/>
      <x:c r="L52" s="75" t="str">
        <x:v>Yes</x:v>
      </x:c>
      <x:c r="M52" s="75"/>
      <x:c r="N52" s="75" t="str">
        <x:v>Yes</x:v>
      </x:c>
      <x:c r="O52" s="75" t="str">
        <x:v>Yes</x:v>
      </x:c>
      <x:c r="P52" s="75"/>
      <x:c r="Q52" s="75" t="str">
        <x:v>Yes</x:v>
      </x:c>
      <x:c r="R52" s="75"/>
      <x:c r="S52" s="75" t="str">
        <x:v>Yes</x:v>
      </x:c>
      <x:c r="T52" s="75"/>
      <x:c r="U52" s="75" t="str">
        <x:v>Yes</x:v>
      </x:c>
      <x:c r="V52" s="75" t="str">
        <x:v>Yes</x:v>
      </x:c>
      <x:c r="W52" s="75" t="str">
        <x:v>Yes</x:v>
      </x:c>
      <x:c r="X52" s="75"/>
      <x:c r="Y52" s="75" t="str">
        <x:v>Yes</x:v>
      </x:c>
      <x:c r="Z52" s="75"/>
      <x:c r="AA52" s="75" t="str">
        <x:v>Yes</x:v>
      </x:c>
      <x:c r="AB52" s="75"/>
      <x:c r="AC52" s="78"/>
      <x:c r="AD52" s="75"/>
      <x:c r="AE52" s="75" t="str">
        <x:v>Yes</x:v>
      </x:c>
      <x:c r="AF52" s="75"/>
      <x:c r="AG52" s="75" t="str">
        <x:v>Yes</x:v>
      </x:c>
      <x:c r="AH52" s="122" t="n">
        <x:v>8</x:v>
      </x:c>
      <x:c r="AI52" s="123" t="str">
        <x:v>Canonical metric shared by: Core Features: Message Reactions | Basic Features: Message Reactions</x:v>
      </x:c>
    </x:row>
    <x:row r="53">
      <x:c r="A53" s="119" t="str">
        <x:v>Basic Features</x:v>
      </x:c>
      <x:c r="B53" s="121" t="str">
        <x:v>Inline Replies</x:v>
      </x:c>
      <x:c r="C53" s="75" t="str">
        <x:v>Yes</x:v>
      </x:c>
      <x:c r="D53" s="75" t="str">
        <x:v>Yes</x:v>
      </x:c>
      <x:c r="E53" s="75" t="str">
        <x:v>Yes</x:v>
      </x:c>
      <x:c r="F53" s="75" t="str">
        <x:v>Yes</x:v>
      </x:c>
      <x:c r="G53" s="75" t="str">
        <x:v>Yes</x:v>
      </x:c>
      <x:c r="H53" s="75" t="str">
        <x:v>Yes</x:v>
      </x:c>
      <x:c r="I53" s="75" t="str">
        <x:v>Yes</x:v>
      </x:c>
      <x:c r="J53" s="75"/>
      <x:c r="K53" s="75" t="str">
        <x:v>Yes</x:v>
      </x:c>
      <x:c r="L53" s="75" t="str">
        <x:v>Yes</x:v>
      </x:c>
      <x:c r="M53" s="75"/>
      <x:c r="N53" s="75" t="str">
        <x:v>Yes</x:v>
      </x:c>
      <x:c r="O53" s="75" t="str">
        <x:v>Yes via reply relation</x:v>
      </x:c>
      <x:c r="P53" s="75" t="str">
        <x:v>Yes</x:v>
      </x:c>
      <x:c r="Q53" s="75" t="str">
        <x:v>Yes</x:v>
      </x:c>
      <x:c r="R53" s="75" t="str">
        <x:v>Limited text replies N/A</x:v>
      </x:c>
      <x:c r="S53" s="75" t="str">
        <x:v>Yes</x:v>
      </x:c>
      <x:c r="T53" s="75" t="str">
        <x:v>Yes</x:v>
      </x:c>
      <x:c r="U53" s="75" t="str">
        <x:v>Yes</x:v>
      </x:c>
      <x:c r="V53" s="75" t="str">
        <x:v>Yes</x:v>
      </x:c>
      <x:c r="W53" s="75" t="str">
        <x:v>Yes</x:v>
      </x:c>
      <x:c r="X53" s="75"/>
      <x:c r="Y53" s="75" t="str">
        <x:v>Yes</x:v>
      </x:c>
      <x:c r="Z53" s="75" t="str">
        <x:v>Yes</x:v>
      </x:c>
      <x:c r="AA53" s="75" t="str">
        <x:v>Yes</x:v>
      </x:c>
      <x:c r="AB53" s="75"/>
      <x:c r="AC53" s="78" t="str">
        <x:v>Yes</x:v>
      </x:c>
      <x:c r="AD53" s="75"/>
      <x:c r="AE53" s="75" t="str">
        <x:v>Yes</x:v>
      </x:c>
      <x:c r="AF53" s="75"/>
      <x:c r="AG53" s="75" t="str">
        <x:v>Yes</x:v>
      </x:c>
      <x:c r="AH53" s="122" t="n">
        <x:v>9</x:v>
      </x:c>
      <x:c r="AI53" s="123" t="str">
        <x:v>Canonical metric shared by: Core Features: Inline Replies | Basic Features: Inline Replies</x:v>
      </x:c>
    </x:row>
    <x:row r="54">
      <x:c r="A54" s="119" t="str">
        <x:v>Basic Features</x:v>
      </x:c>
      <x:c r="B54" s="121" t="str">
        <x:v>Message Editing</x:v>
      </x:c>
      <x:c r="C54" s="75" t="str">
        <x:v>Yes</x:v>
      </x:c>
      <x:c r="D54" s="75"/>
      <x:c r="E54" s="75"/>
      <x:c r="F54" s="75"/>
      <x:c r="G54" s="75"/>
      <x:c r="H54" s="75"/>
      <x:c r="I54" s="75"/>
      <x:c r="J54" s="75"/>
      <x:c r="K54" s="75"/>
      <x:c r="L54" s="75" t="str">
        <x:v>Yes</x:v>
      </x:c>
      <x:c r="M54" s="75"/>
      <x:c r="N54" s="75"/>
      <x:c r="O54" s="75" t="str">
        <x:v>Yes</x:v>
      </x:c>
      <x:c r="P54" s="75"/>
      <x:c r="Q54" s="75"/>
      <x:c r="R54" s="75"/>
      <x:c r="S54" s="75" t="str">
        <x:v>Yes</x:v>
      </x:c>
      <x:c r="T54" s="75"/>
      <x:c r="U54" s="75"/>
      <x:c r="V54" s="75" t="str">
        <x:v>Yes</x:v>
      </x:c>
      <x:c r="W54" s="75"/>
      <x:c r="X54" s="75"/>
      <x:c r="Y54" s="75" t="str">
        <x:v>Yes</x:v>
      </x:c>
      <x:c r="Z54" s="75"/>
      <x:c r="AA54" s="75" t="str">
        <x:v>Yes</x:v>
      </x:c>
      <x:c r="AB54" s="75"/>
      <x:c r="AC54" s="78"/>
      <x:c r="AD54" s="75"/>
      <x:c r="AE54" s="75"/>
      <x:c r="AF54" s="75"/>
      <x:c r="AG54" s="75" t="str">
        <x:v>Yes</x:v>
      </x:c>
      <x:c r="AH54" s="122" t="n">
        <x:v>10</x:v>
      </x:c>
      <x:c r="AI54" s="123" t="str">
        <x:v>Canonical metric shared by: Core Features: Message Editing | Basic Features: Message Editing</x:v>
      </x:c>
    </x:row>
    <x:row r="55">
      <x:c r="A55" s="119" t="str">
        <x:v>Basic Features</x:v>
      </x:c>
      <x:c r="B55" s="121" t="str">
        <x:v>Message Deletion</x:v>
      </x:c>
      <x:c r="C55" s="75" t="str">
        <x:v>Yes</x:v>
      </x:c>
      <x:c r="D55" s="75"/>
      <x:c r="E55" s="75"/>
      <x:c r="F55" s="75"/>
      <x:c r="G55" s="75"/>
      <x:c r="H55" s="75"/>
      <x:c r="I55" s="75"/>
      <x:c r="J55" s="75"/>
      <x:c r="K55" s="75"/>
      <x:c r="L55" s="75" t="str">
        <x:v>Yes</x:v>
      </x:c>
      <x:c r="M55" s="75"/>
      <x:c r="N55" s="75"/>
      <x:c r="O55" s="75" t="str">
        <x:v>Yes</x:v>
      </x:c>
      <x:c r="P55" s="75"/>
      <x:c r="Q55" s="75"/>
      <x:c r="R55" s="75"/>
      <x:c r="S55" s="75"/>
      <x:c r="T55" s="75"/>
      <x:c r="U55" s="75"/>
      <x:c r="V55" s="75" t="str">
        <x:v>Yes</x:v>
      </x:c>
      <x:c r="W55" s="75"/>
      <x:c r="X55" s="75"/>
      <x:c r="Y55" s="75" t="str">
        <x:v>Yes</x:v>
      </x:c>
      <x:c r="Z55" s="75"/>
      <x:c r="AA55" s="75" t="str">
        <x:v>Yes</x:v>
      </x:c>
      <x:c r="AB55" s="75"/>
      <x:c r="AC55" s="78"/>
      <x:c r="AD55" s="75"/>
      <x:c r="AE55" s="75"/>
      <x:c r="AF55" s="75"/>
      <x:c r="AG55" s="75" t="str">
        <x:v>Yes</x:v>
      </x:c>
      <x:c r="AH55" s="122" t="n">
        <x:v>11</x:v>
      </x:c>
      <x:c r="AI55" s="123" t="str">
        <x:v>Canonical metric shared by: Core Features: Message Deletion | Basic Features: Message Deletion</x:v>
      </x:c>
    </x:row>
    <x:row r="56">
      <x:c r="A56" s="119" t="str">
        <x:v>Basic Features</x:v>
      </x:c>
      <x:c r="B56" s="121" t="str">
        <x:v>Spoiler Formatting</x:v>
      </x:c>
      <x:c r="C56" s="75" t="str">
        <x:v>Yes</x:v>
      </x:c>
      <x:c r="D56" s="75"/>
      <x:c r="E56" s="75"/>
      <x:c r="F56" s="75"/>
      <x:c r="G56" s="75"/>
      <x:c r="H56" s="75"/>
      <x:c r="I56" s="75"/>
      <x:c r="J56" s="75"/>
      <x:c r="K56" s="75"/>
      <x:c r="L56" s="75" t="str">
        <x:v>Yes</x:v>
      </x:c>
      <x:c r="M56" s="75"/>
      <x:c r="N56" s="75"/>
      <x:c r="O56" s="75" t="str">
        <x:v>Client-dependent</x:v>
      </x:c>
      <x:c r="P56" s="75"/>
      <x:c r="Q56" s="75"/>
      <x:c r="R56" s="75"/>
      <x:c r="S56" s="75"/>
      <x:c r="T56" s="75"/>
      <x:c r="U56" s="75"/>
      <x:c r="V56" s="75" t="str">
        <x:v>Yes</x:v>
      </x:c>
      <x:c r="W56" s="75"/>
      <x:c r="X56" s="75"/>
      <x:c r="Y56" s="75"/>
      <x:c r="Z56" s="75"/>
      <x:c r="AA56" s="75"/>
      <x:c r="AB56" s="75"/>
      <x:c r="AC56" s="78"/>
      <x:c r="AD56" s="75"/>
      <x:c r="AE56" s="75"/>
      <x:c r="AF56" s="75"/>
      <x:c r="AG56" s="75" t="str">
        <x:v>Yes</x:v>
      </x:c>
      <x:c r="AH56" s="122" t="n">
        <x:v>12</x:v>
      </x:c>
      <x:c r="AI56" s="123" t="str">
        <x:v>Canonical source for Basic Features!12</x:v>
      </x:c>
    </x:row>
    <x:row r="57">
      <x:c r="A57" s="119" t="str">
        <x:v>Basic Features</x:v>
      </x:c>
      <x:c r="B57" s="121" t="str">
        <x:v>Code Blocks</x:v>
      </x:c>
      <x:c r="C57" s="75" t="str">
        <x:v>Yes</x:v>
      </x:c>
      <x:c r="D57" s="75"/>
      <x:c r="E57" s="75"/>
      <x:c r="F57" s="75"/>
      <x:c r="G57" s="75"/>
      <x:c r="H57" s="75"/>
      <x:c r="I57" s="75"/>
      <x:c r="J57" s="75"/>
      <x:c r="K57" s="75"/>
      <x:c r="L57" s="75" t="str">
        <x:v>Yes</x:v>
      </x:c>
      <x:c r="M57" s="75"/>
      <x:c r="N57" s="75"/>
      <x:c r="O57" s="75" t="str">
        <x:v>Client-dependent</x:v>
      </x:c>
      <x:c r="P57" s="75"/>
      <x:c r="Q57" s="75"/>
      <x:c r="R57" s="75"/>
      <x:c r="S57" s="75"/>
      <x:c r="T57" s="75"/>
      <x:c r="U57" s="75"/>
      <x:c r="V57" s="75" t="str">
        <x:v>Yes</x:v>
      </x:c>
      <x:c r="W57" s="75"/>
      <x:c r="X57" s="75"/>
      <x:c r="Y57" s="75"/>
      <x:c r="Z57" s="75"/>
      <x:c r="AA57" s="75"/>
      <x:c r="AB57" s="75"/>
      <x:c r="AC57" s="78"/>
      <x:c r="AD57" s="75"/>
      <x:c r="AE57" s="75"/>
      <x:c r="AF57" s="75"/>
      <x:c r="AG57" s="75" t="str">
        <x:v>Yes</x:v>
      </x:c>
      <x:c r="AH57" s="122" t="n">
        <x:v>13</x:v>
      </x:c>
      <x:c r="AI57" s="123" t="str">
        <x:v>Canonical source for Basic Features!13</x:v>
      </x:c>
    </x:row>
    <x:row r="58">
      <x:c r="A58" s="119" t="str">
        <x:v>Basic Features</x:v>
      </x:c>
      <x:c r="B58" s="121" t="str">
        <x:v>Voice Messages</x:v>
      </x:c>
      <x:c r="C58" s="75" t="str">
        <x:v>Yes</x:v>
      </x:c>
      <x:c r="D58" s="75"/>
      <x:c r="E58" s="75"/>
      <x:c r="F58" s="75"/>
      <x:c r="G58" s="75"/>
      <x:c r="H58" s="75"/>
      <x:c r="I58" s="75"/>
      <x:c r="J58" s="75"/>
      <x:c r="K58" s="75"/>
      <x:c r="L58" s="75" t="str">
        <x:v>Yes — voice messages (developer report)</x:v>
      </x:c>
      <x:c r="M58" s="75"/>
      <x:c r="N58" s="75" t="str">
        <x:v>Yes — voice notes + transcription</x:v>
      </x:c>
      <x:c r="O58" s="75" t="str">
        <x:v>Client-dependent</x:v>
      </x:c>
      <x:c r="P58" s="75"/>
      <x:c r="Q58" s="75"/>
      <x:c r="R58" s="75"/>
      <x:c r="S58" s="75"/>
      <x:c r="T58" s="75" t="str">
        <x:v>Yes</x:v>
      </x:c>
      <x:c r="U58" s="75"/>
      <x:c r="V58" s="75" t="str">
        <x:v>Yes</x:v>
      </x:c>
      <x:c r="W58" s="75"/>
      <x:c r="X58" s="75"/>
      <x:c r="Y58" s="75"/>
      <x:c r="Z58" s="75"/>
      <x:c r="AA58" s="75"/>
      <x:c r="AB58" s="75"/>
      <x:c r="AC58" s="78"/>
      <x:c r="AD58" s="75"/>
      <x:c r="AE58" s="75"/>
      <x:c r="AF58" s="75"/>
      <x:c r="AG58" s="75"/>
      <x:c r="AH58" s="122" t="n">
        <x:v>14</x:v>
      </x:c>
      <x:c r="AI58" s="123" t="str">
        <x:v>Canonical source for Basic Features!14</x:v>
      </x:c>
    </x:row>
    <x:row r="59">
      <x:c r="A59" s="119" t="str">
        <x:v>Basic Features</x:v>
      </x:c>
      <x:c r="B59" s="121" t="str">
        <x:v>Integrated Emoji</x:v>
      </x:c>
      <x:c r="C59" s="75" t="str">
        <x:v>Yes</x:v>
      </x:c>
      <x:c r="D59" s="75"/>
      <x:c r="E59" s="75" t="str">
        <x:v>Yes</x:v>
      </x:c>
      <x:c r="F59" s="75" t="str">
        <x:v>Yes</x:v>
      </x:c>
      <x:c r="G59" s="75" t="str">
        <x:v>Yes</x:v>
      </x:c>
      <x:c r="H59" s="75" t="str">
        <x:v>Yes</x:v>
      </x:c>
      <x:c r="I59" s="75" t="str">
        <x:v>Yes</x:v>
      </x:c>
      <x:c r="J59" s="75" t="str">
        <x:v>Yes</x:v>
      </x:c>
      <x:c r="K59" s="75"/>
      <x:c r="L59" s="75" t="str">
        <x:v>Yes</x:v>
      </x:c>
      <x:c r="M59" s="75" t="str">
        <x:v>Yes</x:v>
      </x:c>
      <x:c r="N59" s="75" t="str">
        <x:v>Yes</x:v>
      </x:c>
      <x:c r="O59" s="75" t="str">
        <x:v>Client-dependent</x:v>
      </x:c>
      <x:c r="P59" s="75" t="str">
        <x:v>Yes</x:v>
      </x:c>
      <x:c r="Q59" s="75" t="str">
        <x:v>Yes</x:v>
      </x:c>
      <x:c r="R59" s="75" t="str">
        <x:v>N/A</x:v>
      </x:c>
      <x:c r="S59" s="75" t="str">
        <x:v>Yes</x:v>
      </x:c>
      <x:c r="T59" s="75" t="str">
        <x:v>Yes</x:v>
      </x:c>
      <x:c r="U59" s="75" t="str">
        <x:v>Yes</x:v>
      </x:c>
      <x:c r="V59" s="75" t="str">
        <x:v>Yes</x:v>
      </x:c>
      <x:c r="W59" s="75" t="str">
        <x:v>Yes</x:v>
      </x:c>
      <x:c r="X59" s="75"/>
      <x:c r="Y59" s="75" t="str">
        <x:v>Yes</x:v>
      </x:c>
      <x:c r="Z59" s="75" t="str">
        <x:v>Yes</x:v>
      </x:c>
      <x:c r="AA59" s="75" t="str">
        <x:v>Yes</x:v>
      </x:c>
      <x:c r="AB59" s="75" t="str">
        <x:v>Yes</x:v>
      </x:c>
      <x:c r="AC59" s="78" t="str">
        <x:v>Yes</x:v>
      </x:c>
      <x:c r="AD59" s="75"/>
      <x:c r="AE59" s="75" t="str">
        <x:v>Yes</x:v>
      </x:c>
      <x:c r="AF59" s="75"/>
      <x:c r="AG59" s="75" t="str">
        <x:v>Yes</x:v>
      </x:c>
      <x:c r="AH59" s="122" t="n">
        <x:v>16</x:v>
      </x:c>
      <x:c r="AI59" s="123" t="str">
        <x:v>Canonical source for Basic Features!16</x:v>
      </x:c>
    </x:row>
    <x:row r="60">
      <x:c r="A60" s="119" t="str">
        <x:v>Basic Features</x:v>
      </x:c>
      <x:c r="B60" s="121" t="str">
        <x:v>Custom Emoji</x:v>
      </x:c>
      <x:c r="C60" s="75" t="str">
        <x:v>Yes</x:v>
      </x:c>
      <x:c r="D60" s="75"/>
      <x:c r="E60" s="75"/>
      <x:c r="F60" s="75" t="str">
        <x:v>Yes</x:v>
      </x:c>
      <x:c r="G60" s="75" t="str">
        <x:v>Yes</x:v>
      </x:c>
      <x:c r="H60" s="75" t="str">
        <x:v>Yes</x:v>
      </x:c>
      <x:c r="I60" s="75" t="str">
        <x:v>Yes</x:v>
      </x:c>
      <x:c r="J60" s="75" t="str">
        <x:v>Yes</x:v>
      </x:c>
      <x:c r="K60" s="75"/>
      <x:c r="L60" s="75" t="str">
        <x:v>Yes</x:v>
      </x:c>
      <x:c r="M60" s="75"/>
      <x:c r="N60" s="75" t="str">
        <x:v>Yes</x:v>
      </x:c>
      <x:c r="O60" s="75" t="str">
        <x:v>Client-dependent</x:v>
      </x:c>
      <x:c r="P60" s="75" t="str">
        <x:v>Custom emoji yes</x:v>
      </x:c>
      <x:c r="Q60" s="75" t="str">
        <x:v>Yes</x:v>
      </x:c>
      <x:c r="R60" s="75" t="str">
        <x:v>N/A</x:v>
      </x:c>
      <x:c r="S60" s="75" t="str">
        <x:v>Yes</x:v>
      </x:c>
      <x:c r="T60" s="75" t="str">
        <x:v>Yes</x:v>
      </x:c>
      <x:c r="U60" s="75" t="str">
        <x:v>Yes</x:v>
      </x:c>
      <x:c r="V60" s="75" t="str">
        <x:v>Yes</x:v>
      </x:c>
      <x:c r="W60" s="75" t="str">
        <x:v>Yes</x:v>
      </x:c>
      <x:c r="X60" s="75"/>
      <x:c r="Y60" s="75" t="str">
        <x:v>Yes</x:v>
      </x:c>
      <x:c r="Z60" s="75" t="str">
        <x:v>Yes</x:v>
      </x:c>
      <x:c r="AA60" s="75" t="str">
        <x:v>Yes</x:v>
      </x:c>
      <x:c r="AB60" s="75"/>
      <x:c r="AC60" s="78" t="str">
        <x:v>Yes</x:v>
      </x:c>
      <x:c r="AD60" s="75"/>
      <x:c r="AE60" s="75"/>
      <x:c r="AF60" s="75"/>
      <x:c r="AG60" s="75" t="str">
        <x:v>Yes</x:v>
      </x:c>
      <x:c r="AH60" s="122" t="n">
        <x:v>17</x:v>
      </x:c>
      <x:c r="AI60" s="123" t="str">
        <x:v>Canonical source for Basic Features!17</x:v>
      </x:c>
    </x:row>
    <x:row r="61">
      <x:c r="A61" s="119" t="str">
        <x:v>Basic Features</x:v>
      </x:c>
      <x:c r="B61" s="121" t="str">
        <x:v>Custom Stickers</x:v>
      </x:c>
      <x:c r="C61" s="75" t="str">
        <x:v>Yes</x:v>
      </x:c>
      <x:c r="D61" s="75"/>
      <x:c r="E61" s="75"/>
      <x:c r="F61" s="75"/>
      <x:c r="G61" s="75"/>
      <x:c r="H61" s="75"/>
      <x:c r="I61" s="75"/>
      <x:c r="J61" s="75"/>
      <x:c r="K61" s="75"/>
      <x:c r="L61" s="75" t="str">
        <x:v>Yes</x:v>
      </x:c>
      <x:c r="M61" s="75"/>
      <x:c r="N61" s="75" t="str">
        <x:v>Yes</x:v>
      </x:c>
      <x:c r="O61" s="75" t="str">
        <x:v>Client-dependent</x:v>
      </x:c>
      <x:c r="P61" s="75"/>
      <x:c r="Q61" s="75"/>
      <x:c r="R61" s="75"/>
      <x:c r="S61" s="75"/>
      <x:c r="T61" s="75" t="str">
        <x:v>Yes</x:v>
      </x:c>
      <x:c r="U61" s="75"/>
      <x:c r="V61" s="75" t="str">
        <x:v>Yes</x:v>
      </x:c>
      <x:c r="W61" s="75"/>
      <x:c r="X61" s="75"/>
      <x:c r="Y61" s="75"/>
      <x:c r="Z61" s="75"/>
      <x:c r="AA61" s="75"/>
      <x:c r="AB61" s="75"/>
      <x:c r="AC61" s="78"/>
      <x:c r="AD61" s="75"/>
      <x:c r="AE61" s="75"/>
      <x:c r="AF61" s="75"/>
      <x:c r="AG61" s="75"/>
      <x:c r="AH61" s="122" t="n">
        <x:v>18</x:v>
      </x:c>
      <x:c r="AI61" s="123" t="str">
        <x:v>Canonical source for Basic Features!18</x:v>
      </x:c>
    </x:row>
    <x:row r="62">
      <x:c r="A62" s="119" t="str">
        <x:v>Basic Features</x:v>
      </x:c>
      <x:c r="B62" s="121" t="str">
        <x:v>Pinned Server Messages</x:v>
      </x:c>
      <x:c r="C62" s="75" t="str">
        <x:v>Yes</x:v>
      </x:c>
      <x:c r="D62" s="75"/>
      <x:c r="E62" s="75"/>
      <x:c r="F62" s="75" t="str">
        <x:v>Yes</x:v>
      </x:c>
      <x:c r="G62" s="75"/>
      <x:c r="H62" s="75" t="str">
        <x:v>Yes</x:v>
      </x:c>
      <x:c r="I62" s="75" t="str">
        <x:v>Yes</x:v>
      </x:c>
      <x:c r="J62" s="75"/>
      <x:c r="K62" s="75"/>
      <x:c r="L62" s="75" t="str">
        <x:v>Yes</x:v>
      </x:c>
      <x:c r="M62" s="75"/>
      <x:c r="N62" s="75" t="str">
        <x:v>Yes</x:v>
      </x:c>
      <x:c r="O62" s="75" t="str">
        <x:v>Client-dependent</x:v>
      </x:c>
      <x:c r="P62" s="75" t="str">
        <x:v>Yes</x:v>
      </x:c>
      <x:c r="Q62" s="75" t="str">
        <x:v>Yes</x:v>
      </x:c>
      <x:c r="R62" s="75" t="str">
        <x:v>N/A</x:v>
      </x:c>
      <x:c r="S62" s="75" t="str">
        <x:v>Yes</x:v>
      </x:c>
      <x:c r="T62" s="75" t="str">
        <x:v>Yes</x:v>
      </x:c>
      <x:c r="U62" s="75" t="str">
        <x:v>Yes</x:v>
      </x:c>
      <x:c r="V62" s="75" t="str">
        <x:v>Yes</x:v>
      </x:c>
      <x:c r="W62" s="75" t="str">
        <x:v>Yes</x:v>
      </x:c>
      <x:c r="X62" s="75"/>
      <x:c r="Y62" s="75" t="str">
        <x:v>Yes</x:v>
      </x:c>
      <x:c r="Z62" s="75" t="str">
        <x:v>Yes</x:v>
      </x:c>
      <x:c r="AA62" s="75" t="str">
        <x:v>Yes</x:v>
      </x:c>
      <x:c r="AB62" s="75"/>
      <x:c r="AC62" s="78" t="str">
        <x:v>Yes</x:v>
      </x:c>
      <x:c r="AD62" s="75"/>
      <x:c r="AE62" s="75"/>
      <x:c r="AF62" s="75"/>
      <x:c r="AG62" s="75" t="str">
        <x:v>Yes</x:v>
      </x:c>
      <x:c r="AH62" s="122" t="n">
        <x:v>19</x:v>
      </x:c>
      <x:c r="AI62" s="123" t="str">
        <x:v>Canonical source for Basic Features!19</x:v>
      </x:c>
    </x:row>
    <x:row r="63">
      <x:c r="A63" s="119" t="str">
        <x:v>Basic Features</x:v>
      </x:c>
      <x:c r="B63" s="121" t="str">
        <x:v>Pinned DM Messages</x:v>
      </x:c>
      <x:c r="C63" s="75" t="str">
        <x:v>Yes</x:v>
      </x:c>
      <x:c r="D63" s="75"/>
      <x:c r="E63" s="75"/>
      <x:c r="F63" s="75" t="str">
        <x:v>Yes</x:v>
      </x:c>
      <x:c r="G63" s="75"/>
      <x:c r="H63" s="75" t="str">
        <x:v>Yes</x:v>
      </x:c>
      <x:c r="I63" s="75" t="str">
        <x:v>Yes</x:v>
      </x:c>
      <x:c r="J63" s="75"/>
      <x:c r="K63" s="75"/>
      <x:c r="L63" s="75" t="str">
        <x:v>Yes</x:v>
      </x:c>
      <x:c r="M63" s="75"/>
      <x:c r="N63" s="75" t="str">
        <x:v>Yes</x:v>
      </x:c>
      <x:c r="O63" s="75" t="str">
        <x:v>Client-dependent</x:v>
      </x:c>
      <x:c r="P63" s="75" t="str">
        <x:v>Yes</x:v>
      </x:c>
      <x:c r="Q63" s="75" t="str">
        <x:v>Yes</x:v>
      </x:c>
      <x:c r="R63" s="75" t="str">
        <x:v>N/A</x:v>
      </x:c>
      <x:c r="S63" s="75" t="str">
        <x:v>Yes</x:v>
      </x:c>
      <x:c r="T63" s="75" t="str">
        <x:v>Yes</x:v>
      </x:c>
      <x:c r="U63" s="75" t="str">
        <x:v>Yes</x:v>
      </x:c>
      <x:c r="V63" s="75" t="str">
        <x:v>Yes</x:v>
      </x:c>
      <x:c r="W63" s="75" t="str">
        <x:v>Yes</x:v>
      </x:c>
      <x:c r="X63" s="75"/>
      <x:c r="Y63" s="75" t="str">
        <x:v>Yes</x:v>
      </x:c>
      <x:c r="Z63" s="75" t="str">
        <x:v>Yes</x:v>
      </x:c>
      <x:c r="AA63" s="75" t="str">
        <x:v>Yes</x:v>
      </x:c>
      <x:c r="AB63" s="75"/>
      <x:c r="AC63" s="78"/>
      <x:c r="AD63" s="75"/>
      <x:c r="AE63" s="75"/>
      <x:c r="AF63" s="75"/>
      <x:c r="AG63" s="75" t="str">
        <x:v>Yes</x:v>
      </x:c>
      <x:c r="AH63" s="122" t="n">
        <x:v>20</x:v>
      </x:c>
      <x:c r="AI63" s="123" t="str">
        <x:v>Canonical source for Basic Features!20</x:v>
      </x:c>
    </x:row>
    <x:row r="64">
      <x:c r="A64" s="119" t="str">
        <x:v>Basic Features</x:v>
      </x:c>
      <x:c r="B64" s="121" t="str">
        <x:v>User Profiles</x:v>
      </x:c>
      <x:c r="C64" s="75" t="str">
        <x:v>Yes</x:v>
      </x:c>
      <x:c r="D64" s="75" t="str">
        <x:v>Key-based profile</x:v>
      </x:c>
      <x:c r="E64" s="75" t="str">
        <x:v>Yes</x:v>
      </x:c>
      <x:c r="F64" s="75" t="str">
        <x:v>Yes</x:v>
      </x:c>
      <x:c r="G64" s="75" t="str">
        <x:v>Yes</x:v>
      </x:c>
      <x:c r="H64" s="75" t="str">
        <x:v>Yes</x:v>
      </x:c>
      <x:c r="I64" s="75" t="str">
        <x:v>Yes</x:v>
      </x:c>
      <x:c r="J64" s="75"/>
      <x:c r="K64" s="75" t="str">
        <x:v>Key-based profile</x:v>
      </x:c>
      <x:c r="L64" s="75" t="str">
        <x:v>Yes</x:v>
      </x:c>
      <x:c r="M64" s="75" t="str">
        <x:v>Yes</x:v>
      </x:c>
      <x:c r="N64" s="75" t="str">
        <x:v>Yes</x:v>
      </x:c>
      <x:c r="O64" s="75" t="str">
        <x:v>Client-dependent</x:v>
      </x:c>
      <x:c r="P64" s="75" t="str">
        <x:v>Yes</x:v>
      </x:c>
      <x:c r="Q64" s="75" t="str">
        <x:v>Yes</x:v>
      </x:c>
      <x:c r="R64" s="75" t="str">
        <x:v>User identities</x:v>
      </x:c>
      <x:c r="S64" s="75" t="str">
        <x:v>Yes</x:v>
      </x:c>
      <x:c r="T64" s="75" t="str">
        <x:v>Yes</x:v>
      </x:c>
      <x:c r="U64" s="75" t="str">
        <x:v>Yes</x:v>
      </x:c>
      <x:c r="V64" s="75" t="str">
        <x:v>Yes</x:v>
      </x:c>
      <x:c r="W64" s="75" t="str">
        <x:v>Yes</x:v>
      </x:c>
      <x:c r="X64" s="75" t="str">
        <x:v>ATProto profile</x:v>
      </x:c>
      <x:c r="Y64" s="75" t="str">
        <x:v>Yes</x:v>
      </x:c>
      <x:c r="Z64" s="75" t="str">
        <x:v>Yes</x:v>
      </x:c>
      <x:c r="AA64" s="75" t="str">
        <x:v>Yes</x:v>
      </x:c>
      <x:c r="AB64" s="75" t="str">
        <x:v>Yes</x:v>
      </x:c>
      <x:c r="AC64" s="78" t="str">
        <x:v>Yes</x:v>
      </x:c>
      <x:c r="AD64" s="75" t="str">
        <x:v>Yes</x:v>
      </x:c>
      <x:c r="AE64" s="75" t="str">
        <x:v>Yes</x:v>
      </x:c>
      <x:c r="AF64" s="75" t="str">
        <x:v>Yes</x:v>
      </x:c>
      <x:c r="AG64" s="75" t="str">
        <x:v>Yes</x:v>
      </x:c>
      <x:c r="AH64" s="122" t="n">
        <x:v>22</x:v>
      </x:c>
      <x:c r="AI64" s="123" t="str">
        <x:v>Canonical source for Basic Features!22</x:v>
      </x:c>
    </x:row>
    <x:row r="65">
      <x:c r="A65" s="119" t="str">
        <x:v>Basic Features</x:v>
      </x:c>
      <x:c r="B65" s="121" t="str">
        <x:v>Per-Community Profiles</x:v>
      </x:c>
      <x:c r="C65" s="75" t="str">
        <x:v>Yes — per-server profiles; some customization requires Nitro</x:v>
      </x:c>
      <x:c r="D65" s="75" t="str">
        <x:v>Nostr identity</x:v>
      </x:c>
      <x:c r="E65" s="75" t="str">
        <x:v>Server profile</x:v>
      </x:c>
      <x:c r="F65" s="75"/>
      <x:c r="G65" s="75"/>
      <x:c r="H65" s="75"/>
      <x:c r="I65" s="75"/>
      <x:c r="J65" s="75"/>
      <x:c r="K65" s="75" t="str">
        <x:v>N/A</x:v>
      </x:c>
      <x:c r="L65" s="75"/>
      <x:c r="M65" s="75"/>
      <x:c r="N65" s="75"/>
      <x:c r="O65" s="75" t="str">
        <x:v>Client-dependent</x:v>
      </x:c>
      <x:c r="P65" s="75" t="str">
        <x:v>Yes</x:v>
      </x:c>
      <x:c r="Q65" s="75"/>
      <x:c r="R65" s="75" t="str">
        <x:v>Server-specific</x:v>
      </x:c>
      <x:c r="S65" s="75"/>
      <x:c r="T65" s="75"/>
      <x:c r="U65" s="75"/>
      <x:c r="V65" s="75" t="str">
        <x:v>Yes</x:v>
      </x:c>
      <x:c r="W65" s="75" t="str">
        <x:v>Yes</x:v>
      </x:c>
      <x:c r="X65" s="75" t="str">
        <x:v>ATProto identity</x:v>
      </x:c>
      <x:c r="Y65" s="75"/>
      <x:c r="Z65" s="75" t="str">
        <x:v>Yes/target</x:v>
      </x:c>
      <x:c r="AA65" s="75" t="str">
        <x:v>Yes — server-specific profiles free</x:v>
      </x:c>
      <x:c r="AB65" s="75"/>
      <x:c r="AC65" s="78" t="str">
        <x:v>Planet profile</x:v>
      </x:c>
      <x:c r="AD65" s="75"/>
      <x:c r="AE65" s="75" t="str">
        <x:v>Crew/lobby identity</x:v>
      </x:c>
      <x:c r="AF65" s="75"/>
      <x:c r="AG65" s="75" t="str">
        <x:v>Per-organization profile</x:v>
      </x:c>
      <x:c r="AH65" s="122" t="n">
        <x:v>23</x:v>
      </x:c>
      <x:c r="AI65" s="123" t="str">
        <x:v>Canonical source for Basic Features!23</x:v>
      </x:c>
    </x:row>
    <x:row r="66">
      <x:c r="A66" s="119" t="str">
        <x:v>Basic Features</x:v>
      </x:c>
      <x:c r="B66" s="121" t="str">
        <x:v>Member Lists</x:v>
      </x:c>
      <x:c r="C66" s="75" t="str">
        <x:v>Yes</x:v>
      </x:c>
      <x:c r="D66" s="75"/>
      <x:c r="E66" s="75" t="str">
        <x:v>Yes</x:v>
      </x:c>
      <x:c r="F66" s="75" t="str">
        <x:v>Yes</x:v>
      </x:c>
      <x:c r="G66" s="75" t="str">
        <x:v>Yes</x:v>
      </x:c>
      <x:c r="H66" s="75" t="str">
        <x:v>Yes</x:v>
      </x:c>
      <x:c r="I66" s="75" t="str">
        <x:v>Yes</x:v>
      </x:c>
      <x:c r="J66" s="75"/>
      <x:c r="K66" s="75"/>
      <x:c r="L66" s="75" t="str">
        <x:v>Yes</x:v>
      </x:c>
      <x:c r="M66" s="75" t="str">
        <x:v>Yes</x:v>
      </x:c>
      <x:c r="N66" s="75" t="str">
        <x:v>Yes</x:v>
      </x:c>
      <x:c r="O66" s="75" t="str">
        <x:v>Client-dependent</x:v>
      </x:c>
      <x:c r="P66" s="75" t="str">
        <x:v>Yes</x:v>
      </x:c>
      <x:c r="Q66" s="75" t="str">
        <x:v>Yes</x:v>
      </x:c>
      <x:c r="R66" s="75" t="str">
        <x:v>Yes</x:v>
      </x:c>
      <x:c r="S66" s="75" t="str">
        <x:v>Yes</x:v>
      </x:c>
      <x:c r="T66" s="75" t="str">
        <x:v>Yes</x:v>
      </x:c>
      <x:c r="U66" s="75" t="str">
        <x:v>Yes</x:v>
      </x:c>
      <x:c r="V66" s="75" t="str">
        <x:v>Yes</x:v>
      </x:c>
      <x:c r="W66" s="75" t="str">
        <x:v>Yes</x:v>
      </x:c>
      <x:c r="X66" s="75"/>
      <x:c r="Y66" s="75" t="str">
        <x:v>Yes</x:v>
      </x:c>
      <x:c r="Z66" s="75" t="str">
        <x:v>Yes</x:v>
      </x:c>
      <x:c r="AA66" s="75" t="str">
        <x:v>Yes</x:v>
      </x:c>
      <x:c r="AB66" s="75" t="str">
        <x:v>Yes</x:v>
      </x:c>
      <x:c r="AC66" s="78" t="str">
        <x:v>Yes</x:v>
      </x:c>
      <x:c r="AD66" s="75"/>
      <x:c r="AE66" s="75" t="str">
        <x:v>Yes</x:v>
      </x:c>
      <x:c r="AF66" s="75"/>
      <x:c r="AG66" s="75" t="str">
        <x:v>Yes</x:v>
      </x:c>
      <x:c r="AH66" s="122" t="n">
        <x:v>24</x:v>
      </x:c>
      <x:c r="AI66" s="123" t="str">
        <x:v>Canonical source for Basic Features!24</x:v>
      </x:c>
    </x:row>
    <x:row r="67">
      <x:c r="A67" s="119" t="str">
        <x:v>Basic Features</x:v>
      </x:c>
      <x:c r="B67" s="121" t="str">
        <x:v>Presence / Status</x:v>
      </x:c>
      <x:c r="C67" s="75" t="str">
        <x:v>Yes</x:v>
      </x:c>
      <x:c r="D67" s="75"/>
      <x:c r="E67" s="75"/>
      <x:c r="F67" s="75"/>
      <x:c r="G67" s="75"/>
      <x:c r="H67" s="75"/>
      <x:c r="I67" s="75"/>
      <x:c r="J67" s="75"/>
      <x:c r="K67" s="75"/>
      <x:c r="L67" s="75" t="str">
        <x:v>Yes</x:v>
      </x:c>
      <x:c r="M67" s="75"/>
      <x:c r="N67" s="75" t="str">
        <x:v>Yes</x:v>
      </x:c>
      <x:c r="O67" s="75" t="str">
        <x:v>Client-dependent</x:v>
      </x:c>
      <x:c r="P67" s="75"/>
      <x:c r="Q67" s="75"/>
      <x:c r="R67" s="75"/>
      <x:c r="S67" s="75" t="str">
        <x:v>Yes</x:v>
      </x:c>
      <x:c r="T67" s="75"/>
      <x:c r="U67" s="75"/>
      <x:c r="V67" s="75" t="str">
        <x:v>Yes</x:v>
      </x:c>
      <x:c r="W67" s="75"/>
      <x:c r="X67" s="75"/>
      <x:c r="Y67" s="75"/>
      <x:c r="Z67" s="75"/>
      <x:c r="AA67" s="75" t="str">
        <x:v>Yes</x:v>
      </x:c>
      <x:c r="AB67" s="75"/>
      <x:c r="AC67" s="78"/>
      <x:c r="AD67" s="75"/>
      <x:c r="AE67" s="75"/>
      <x:c r="AF67" s="75"/>
      <x:c r="AG67" s="75" t="str">
        <x:v>Yes</x:v>
      </x:c>
      <x:c r="AH67" s="122" t="n">
        <x:v>25</x:v>
      </x:c>
      <x:c r="AI67" s="123" t="str">
        <x:v>Canonical source for Basic Features!25</x:v>
      </x:c>
    </x:row>
    <x:row r="68">
      <x:c r="A68" s="119" t="str">
        <x:v>Basic Features</x:v>
      </x:c>
      <x:c r="B68" s="121" t="str">
        <x:v>Block / Mute Users</x:v>
      </x:c>
      <x:c r="C68" s="75" t="str">
        <x:v>Yes</x:v>
      </x:c>
      <x:c r="D68" s="75"/>
      <x:c r="E68" s="75"/>
      <x:c r="F68" s="75"/>
      <x:c r="G68" s="75"/>
      <x:c r="H68" s="75"/>
      <x:c r="I68" s="75"/>
      <x:c r="J68" s="75"/>
      <x:c r="K68" s="75"/>
      <x:c r="L68" s="75" t="str">
        <x:v>Yes</x:v>
      </x:c>
      <x:c r="M68" s="75"/>
      <x:c r="N68" s="75"/>
      <x:c r="O68" s="75" t="str">
        <x:v>Client-dependent</x:v>
      </x:c>
      <x:c r="P68" s="75"/>
      <x:c r="Q68" s="75"/>
      <x:c r="R68" s="75"/>
      <x:c r="S68" s="75"/>
      <x:c r="T68" s="75"/>
      <x:c r="U68" s="75"/>
      <x:c r="V68" s="75" t="str">
        <x:v>Yes</x:v>
      </x:c>
      <x:c r="W68" s="75"/>
      <x:c r="X68" s="75"/>
      <x:c r="Y68" s="75"/>
      <x:c r="Z68" s="75"/>
      <x:c r="AA68" s="75" t="str">
        <x:v>Yes</x:v>
      </x:c>
      <x:c r="AB68" s="75"/>
      <x:c r="AC68" s="78"/>
      <x:c r="AD68" s="75"/>
      <x:c r="AE68" s="75"/>
      <x:c r="AF68" s="75"/>
      <x:c r="AG68" s="75" t="str">
        <x:v>Yes</x:v>
      </x:c>
      <x:c r="AH68" s="122" t="n">
        <x:v>26</x:v>
      </x:c>
      <x:c r="AI68" s="123" t="str">
        <x:v>Canonical source for Basic Features!26</x:v>
      </x:c>
    </x:row>
    <x:row r="69">
      <x:c r="A69" s="119" t="str">
        <x:v>Advanced Features</x:v>
      </x:c>
      <x:c r="B69" s="121" t="str">
        <x:v>Granular Role Permissions</x:v>
      </x:c>
      <x:c r="C69" s="75" t="str">
        <x:v>Yes</x:v>
      </x:c>
      <x:c r="D69" s="75" t="str">
        <x:v>Yes</x:v>
      </x:c>
      <x:c r="E69" s="75" t="str">
        <x:v>Yes</x:v>
      </x:c>
      <x:c r="F69" s="75" t="str">
        <x:v>Yes</x:v>
      </x:c>
      <x:c r="G69" s="75" t="str">
        <x:v>Yes</x:v>
      </x:c>
      <x:c r="H69" s="75" t="str">
        <x:v>Yes</x:v>
      </x:c>
      <x:c r="I69" s="75" t="str">
        <x:v>Yes</x:v>
      </x:c>
      <x:c r="J69" s="75" t="str">
        <x:v>Discord-compatible</x:v>
      </x:c>
      <x:c r="K69" s="75"/>
      <x:c r="L69" s="75" t="str">
        <x:v>Yes</x:v>
      </x:c>
      <x:c r="M69" s="75" t="str">
        <x:v>Yes</x:v>
      </x:c>
      <x:c r="N69" s="75" t="str">
        <x:v>Yes</x:v>
      </x:c>
      <x:c r="O69" s="75" t="str">
        <x:v>Yes via room power levels</x:v>
      </x:c>
      <x:c r="P69" s="75" t="str">
        <x:v>Yes</x:v>
      </x:c>
      <x:c r="Q69" s="75" t="str">
        <x:v>Yes</x:v>
      </x:c>
      <x:c r="R69" s="75" t="str">
        <x:v>Yes — detailed ACLs</x:v>
      </x:c>
      <x:c r="S69" s="75" t="str">
        <x:v>Yes</x:v>
      </x:c>
      <x:c r="T69" s="75" t="str">
        <x:v>Yes</x:v>
      </x:c>
      <x:c r="U69" s="75" t="str">
        <x:v>Yes — allow / inherit / deny per channel</x:v>
      </x:c>
      <x:c r="V69" s="75" t="str">
        <x:v>Yes</x:v>
      </x:c>
      <x:c r="W69" s="75" t="str">
        <x:v>Yes</x:v>
      </x:c>
      <x:c r="X69" s="75"/>
      <x:c r="Y69" s="75" t="str">
        <x:v>Yes</x:v>
      </x:c>
      <x:c r="Z69" s="75" t="str">
        <x:v>Yes</x:v>
      </x:c>
      <x:c r="AA69" s="75" t="str">
        <x:v>Yes</x:v>
      </x:c>
      <x:c r="AB69" s="75" t="str">
        <x:v>Yes</x:v>
      </x:c>
      <x:c r="AC69" s="78" t="str">
        <x:v>Yes</x:v>
      </x:c>
      <x:c r="AD69" s="75"/>
      <x:c r="AE69" s="75" t="str">
        <x:v>Yes</x:v>
      </x:c>
      <x:c r="AF69" s="75" t="str">
        <x:v>Server permissions</x:v>
      </x:c>
      <x:c r="AG69" s="75" t="str">
        <x:v>Yes</x:v>
      </x:c>
      <x:c r="AH69" s="122" t="n">
        <x:v>4</x:v>
      </x:c>
      <x:c r="AI69" s="123" t="str">
        <x:v>Canonical source for Advanced Features!4</x:v>
      </x:c>
    </x:row>
    <x:row r="70">
      <x:c r="A70" s="119" t="str">
        <x:v>Advanced Features</x:v>
      </x:c>
      <x:c r="B70" s="121" t="str">
        <x:v>Hierarchies</x:v>
      </x:c>
      <x:c r="C70" s="75" t="str">
        <x:v>Yes — role hierarchy</x:v>
      </x:c>
      <x:c r="D70" s="75"/>
      <x:c r="E70" s="75" t="str">
        <x:v>Yes</x:v>
      </x:c>
      <x:c r="F70" s="75" t="str">
        <x:v>Yes</x:v>
      </x:c>
      <x:c r="G70" s="75" t="str">
        <x:v>Yes</x:v>
      </x:c>
      <x:c r="H70" s="75" t="str">
        <x:v>Yes</x:v>
      </x:c>
      <x:c r="I70" s="75" t="str">
        <x:v>Yes</x:v>
      </x:c>
      <x:c r="J70" s="75" t="str">
        <x:v>Discord-compatible</x:v>
      </x:c>
      <x:c r="K70" s="75"/>
      <x:c r="L70" s="75" t="str">
        <x:v>Yes</x:v>
      </x:c>
      <x:c r="M70" s="75" t="str">
        <x:v>Yes</x:v>
      </x:c>
      <x:c r="N70" s="75" t="str">
        <x:v>Yes</x:v>
      </x:c>
      <x:c r="O70" s="75" t="str">
        <x:v>Spaces/rooms hierarchy supported</x:v>
      </x:c>
      <x:c r="P70" s="75" t="str">
        <x:v>Teams/channels</x:v>
      </x:c>
      <x:c r="Q70" s="75" t="str">
        <x:v>Yes</x:v>
      </x:c>
      <x:c r="R70" s="75" t="str">
        <x:v>Yes — channel hierarchy</x:v>
      </x:c>
      <x:c r="S70" s="75" t="str">
        <x:v>Yes</x:v>
      </x:c>
      <x:c r="T70" s="75" t="str">
        <x:v>Yes</x:v>
      </x:c>
      <x:c r="U70" s="75" t="str">
        <x:v>Yes</x:v>
      </x:c>
      <x:c r="V70" s="75" t="str">
        <x:v>Yes</x:v>
      </x:c>
      <x:c r="W70" s="75" t="str">
        <x:v>Teams/channels</x:v>
      </x:c>
      <x:c r="X70" s="75" t="str">
        <x:v>Spaces</x:v>
      </x:c>
      <x:c r="Y70" s="75" t="str">
        <x:v>Yes</x:v>
      </x:c>
      <x:c r="Z70" s="75" t="str">
        <x:v>Yes</x:v>
      </x:c>
      <x:c r="AA70" s="75" t="str">
        <x:v>Yes</x:v>
      </x:c>
      <x:c r="AB70" s="75" t="str">
        <x:v>Yes</x:v>
      </x:c>
      <x:c r="AC70" s="78" t="str">
        <x:v>Yes</x:v>
      </x:c>
      <x:c r="AD70" s="75"/>
      <x:c r="AE70" s="75" t="str">
        <x:v>Lobby/room hierarchy</x:v>
      </x:c>
      <x:c r="AF70" s="75"/>
      <x:c r="AG70" s="75" t="str">
        <x:v>Stream/topic hierarchy</x:v>
      </x:c>
      <x:c r="AH70" s="122" t="n">
        <x:v>5</x:v>
      </x:c>
      <x:c r="AI70" s="123" t="str">
        <x:v>Canonical source for Advanced Features!5</x:v>
      </x:c>
    </x:row>
    <x:row r="71">
      <x:c r="A71" s="119" t="str">
        <x:v>Advanced Features</x:v>
      </x:c>
      <x:c r="B71" s="121" t="str">
        <x:v>Channel Overrides</x:v>
      </x:c>
      <x:c r="C71" s="75" t="str">
        <x:v>Yes</x:v>
      </x:c>
      <x:c r="D71" s="75"/>
      <x:c r="E71" s="75" t="str">
        <x:v>Yes</x:v>
      </x:c>
      <x:c r="F71" s="75" t="str">
        <x:v>Yes</x:v>
      </x:c>
      <x:c r="G71" s="75" t="str">
        <x:v>Yes — channel-level permissions</x:v>
      </x:c>
      <x:c r="H71" s="75" t="str">
        <x:v>Yes</x:v>
      </x:c>
      <x:c r="I71" s="75" t="str">
        <x:v>Yes</x:v>
      </x:c>
      <x:c r="J71" s="75" t="str">
        <x:v>Discord-compatible</x:v>
      </x:c>
      <x:c r="K71" s="75"/>
      <x:c r="L71" s="75" t="str">
        <x:v>Yes</x:v>
      </x:c>
      <x:c r="M71" s="75" t="str">
        <x:v>Yes</x:v>
      </x:c>
      <x:c r="N71" s="75" t="str">
        <x:v>Yes</x:v>
      </x:c>
      <x:c r="O71" s="75" t="str">
        <x:v>Room-level permissions</x:v>
      </x:c>
      <x:c r="P71" s="75" t="str">
        <x:v>Yes</x:v>
      </x:c>
      <x:c r="Q71" s="75" t="str">
        <x:v>Yes</x:v>
      </x:c>
      <x:c r="R71" s="75" t="str">
        <x:v>Yes — ACL inheritance/overrides</x:v>
      </x:c>
      <x:c r="S71" s="75" t="str">
        <x:v>Yes</x:v>
      </x:c>
      <x:c r="T71" s="75" t="str">
        <x:v>Yes</x:v>
      </x:c>
      <x:c r="U71" s="75" t="str">
        <x:v>Yes — per-channel role permissions</x:v>
      </x:c>
      <x:c r="V71" s="75" t="str">
        <x:v>Yes</x:v>
      </x:c>
      <x:c r="W71" s="75" t="str">
        <x:v>Yes</x:v>
      </x:c>
      <x:c r="X71" s="75"/>
      <x:c r="Y71" s="75" t="str">
        <x:v>Yes</x:v>
      </x:c>
      <x:c r="Z71" s="75" t="str">
        <x:v>Yes</x:v>
      </x:c>
      <x:c r="AA71" s="75" t="str">
        <x:v>Yes</x:v>
      </x:c>
      <x:c r="AB71" s="75" t="str">
        <x:v>Yes</x:v>
      </x:c>
      <x:c r="AC71" s="78" t="str">
        <x:v>Yes</x:v>
      </x:c>
      <x:c r="AD71" s="75"/>
      <x:c r="AE71" s="75" t="str">
        <x:v>Yes</x:v>
      </x:c>
      <x:c r="AF71" s="75"/>
      <x:c r="AG71" s="75" t="str">
        <x:v>Stream permissions</x:v>
      </x:c>
      <x:c r="AH71" s="122" t="n">
        <x:v>6</x:v>
      </x:c>
      <x:c r="AI71" s="123" t="str">
        <x:v>Canonical source for Advanced Features!6</x:v>
      </x:c>
    </x:row>
    <x:row r="72">
      <x:c r="A72" s="119" t="str">
        <x:v>Advanced Features</x:v>
      </x:c>
      <x:c r="B72" s="121" t="str">
        <x:v>Three-State Allow / Deny / Inherit</x:v>
      </x:c>
      <x:c r="C72" s="75" t="str">
        <x:v>Partial / permission overwrites</x:v>
      </x:c>
      <x:c r="D72" s="75"/>
      <x:c r="E72" s="75"/>
      <x:c r="F72" s="75"/>
      <x:c r="G72" s="75"/>
      <x:c r="H72" s="75"/>
      <x:c r="I72" s="75"/>
      <x:c r="J72" s="75"/>
      <x:c r="K72" s="75"/>
      <x:c r="L72" s="75" t="str">
        <x:v>Not explicitly documented as a three-state UI model</x:v>
      </x:c>
      <x:c r="M72" s="75"/>
      <x:c r="N72" s="75"/>
      <x:c r="O72" s="75"/>
      <x:c r="P72" s="75"/>
      <x:c r="Q72" s="75"/>
      <x:c r="R72" s="75"/>
      <x:c r="S72" s="75"/>
      <x:c r="T72" s="75"/>
      <x:c r="U72" s="75" t="str">
        <x:v>Yes</x:v>
      </x:c>
      <x:c r="V72" s="75" t="str">
        <x:v>Yes — explicit allow/deny/inherit</x:v>
      </x:c>
      <x:c r="W72" s="75"/>
      <x:c r="X72" s="75"/>
      <x:c r="Y72" s="75"/>
      <x:c r="Z72" s="75"/>
      <x:c r="AA72" s="75"/>
      <x:c r="AB72" s="75"/>
      <x:c r="AC72" s="78"/>
      <x:c r="AD72" s="75"/>
      <x:c r="AE72" s="75"/>
      <x:c r="AF72" s="75"/>
      <x:c r="AG72" s="75"/>
      <x:c r="AH72" s="122" t="n">
        <x:v>7</x:v>
      </x:c>
      <x:c r="AI72" s="123" t="str">
        <x:v>Canonical source for Advanced Features!7</x:v>
      </x:c>
    </x:row>
    <x:row r="73">
      <x:c r="A73" s="119" t="str">
        <x:v>Advanced Features</x:v>
      </x:c>
      <x:c r="B73" s="121" t="str">
        <x:v>Forum Channels / Boards</x:v>
      </x:c>
      <x:c r="C73" s="75" t="str">
        <x:v>Yes — Forum Channels</x:v>
      </x:c>
      <x:c r="D73" s="75" t="str">
        <x:v>Threads</x:v>
      </x:c>
      <x:c r="E73" s="75"/>
      <x:c r="F73" s="75"/>
      <x:c r="G73" s="75" t="str">
        <x:v>Planned; not current</x:v>
      </x:c>
      <x:c r="H73" s="75"/>
      <x:c r="I73" s="75" t="str">
        <x:v>No native forums verified</x:v>
      </x:c>
      <x:c r="J73" s="75"/>
      <x:c r="K73" s="75" t="str">
        <x:v>No</x:v>
      </x:c>
      <x:c r="L73" s="75" t="str">
        <x:v>Yes</x:v>
      </x:c>
      <x:c r="M73" s="75" t="str">
        <x:v>Yes</x:v>
      </x:c>
      <x:c r="N73" s="75" t="str">
        <x:v>Yes</x:v>
      </x:c>
      <x:c r="O73" s="75" t="str">
        <x:v>Client-dependent</x:v>
      </x:c>
      <x:c r="P73" s="75" t="str">
        <x:v>No native forum channel</x:v>
      </x:c>
      <x:c r="Q73" s="75"/>
      <x:c r="R73" s="75" t="str">
        <x:v>N/A</x:v>
      </x:c>
      <x:c r="S73" s="75"/>
      <x:c r="T73" s="75"/>
      <x:c r="U73" s="75"/>
      <x:c r="V73" s="75" t="str">
        <x:v>Yes</x:v>
      </x:c>
      <x:c r="W73" s="75" t="str">
        <x:v>Discussions/threads rather than forum channel</x:v>
      </x:c>
      <x:c r="X73" s="75" t="str">
        <x:v>Forum-like docs/posts</x:v>
      </x:c>
      <x:c r="Y73" s="75" t="str">
        <x:v>No dedicated forum channel verified</x:v>
      </x:c>
      <x:c r="Z73" s="75"/>
      <x:c r="AA73" s="75" t="str">
        <x:v>No native forums verified</x:v>
      </x:c>
      <x:c r="AB73" s="75" t="str">
        <x:v>No native forum verified</x:v>
      </x:c>
      <x:c r="AC73" s="78" t="str">
        <x:v>Thread feed</x:v>
      </x:c>
      <x:c r="AD73" s="75"/>
      <x:c r="AE73" s="75" t="str">
        <x:v>Persistent channels/threads</x:v>
      </x:c>
      <x:c r="AF73" s="75" t="str">
        <x:v>No</x:v>
      </x:c>
      <x:c r="AG73" s="75" t="str">
        <x:v>Topic model functions like structured threads rather than forums</x:v>
      </x:c>
      <x:c r="AH73" s="122" t="n">
        <x:v>9</x:v>
      </x:c>
      <x:c r="AI73" s="123" t="str">
        <x:v>Canonical source for Advanced Features!9</x:v>
      </x:c>
    </x:row>
    <x:row r="74">
      <x:c r="A74" s="119" t="str">
        <x:v>Advanced Features</x:v>
      </x:c>
      <x:c r="B74" s="121" t="str">
        <x:v>Threads</x:v>
      </x:c>
      <x:c r="C74" s="75" t="str">
        <x:v>Yes</x:v>
      </x:c>
      <x:c r="D74" s="75" t="str">
        <x:v>Yes</x:v>
      </x:c>
      <x:c r="E74" s="75"/>
      <x:c r="F74" s="75" t="str">
        <x:v>Yes</x:v>
      </x:c>
      <x:c r="G74" s="75" t="str">
        <x:v>Planned; not current</x:v>
      </x:c>
      <x:c r="H74" s="75"/>
      <x:c r="I74" s="75"/>
      <x:c r="J74" s="75" t="str">
        <x:v>Threads supported</x:v>
      </x:c>
      <x:c r="K74" s="75"/>
      <x:c r="L74" s="75" t="str">
        <x:v>Yes</x:v>
      </x:c>
      <x:c r="M74" s="75" t="str">
        <x:v>Yes</x:v>
      </x:c>
      <x:c r="N74" s="75" t="str">
        <x:v>Yes</x:v>
      </x:c>
      <x:c r="O74" s="75" t="str">
        <x:v>Threads supported by capable clients</x:v>
      </x:c>
      <x:c r="P74" s="75" t="str">
        <x:v>Yes</x:v>
      </x:c>
      <x:c r="Q74" s="75" t="str">
        <x:v>Yes</x:v>
      </x:c>
      <x:c r="R74" s="75" t="str">
        <x:v>N/A</x:v>
      </x:c>
      <x:c r="S74" s="75"/>
      <x:c r="T74" s="75"/>
      <x:c r="U74" s="75" t="str">
        <x:v>Yes</x:v>
      </x:c>
      <x:c r="V74" s="75" t="str">
        <x:v>Yes</x:v>
      </x:c>
      <x:c r="W74" s="75" t="str">
        <x:v>Yes</x:v>
      </x:c>
      <x:c r="X74" s="75" t="str">
        <x:v>Yes — document/thread model</x:v>
      </x:c>
      <x:c r="Y74" s="75"/>
      <x:c r="Z74" s="75"/>
      <x:c r="AA74" s="75"/>
      <x:c r="AB74" s="75"/>
      <x:c r="AC74" s="78" t="str">
        <x:v>Yes</x:v>
      </x:c>
      <x:c r="AD74" s="75"/>
      <x:c r="AE74" s="75" t="str">
        <x:v>Yes</x:v>
      </x:c>
      <x:c r="AF74" s="75" t="str">
        <x:v>No</x:v>
      </x:c>
      <x:c r="AG74" s="75" t="str">
        <x:v>Yes — topics are first-class threading</x:v>
      </x:c>
      <x:c r="AH74" s="122" t="n">
        <x:v>10</x:v>
      </x:c>
      <x:c r="AI74" s="123" t="str">
        <x:v>Canonical source for Advanced Features!10</x:v>
      </x:c>
    </x:row>
    <x:row r="75">
      <x:c r="A75" s="119" t="str">
        <x:v>Advanced Features</x:v>
      </x:c>
      <x:c r="B75" s="121" t="str">
        <x:v>Private Threads</x:v>
      </x:c>
      <x:c r="C75" s="75" t="str">
        <x:v>Yes</x:v>
      </x:c>
      <x:c r="D75" s="75"/>
      <x:c r="E75" s="75"/>
      <x:c r="F75" s="75"/>
      <x:c r="G75" s="75"/>
      <x:c r="H75" s="75"/>
      <x:c r="I75" s="75"/>
      <x:c r="J75" s="75"/>
      <x:c r="K75" s="75"/>
      <x:c r="L75" s="75" t="str">
        <x:v>Yes</x:v>
      </x:c>
      <x:c r="M75" s="75"/>
      <x:c r="N75" s="75"/>
      <x:c r="O75" s="75"/>
      <x:c r="P75" s="75"/>
      <x:c r="Q75" s="75"/>
      <x:c r="R75" s="75"/>
      <x:c r="S75" s="75"/>
      <x:c r="T75" s="75"/>
      <x:c r="U75" s="75"/>
      <x:c r="V75" s="75" t="str">
        <x:v>Yes</x:v>
      </x:c>
      <x:c r="W75" s="75"/>
      <x:c r="X75" s="75"/>
      <x:c r="Y75" s="75"/>
      <x:c r="Z75" s="75"/>
      <x:c r="AA75" s="75"/>
      <x:c r="AB75" s="75"/>
      <x:c r="AC75" s="78"/>
      <x:c r="AD75" s="75"/>
      <x:c r="AE75" s="75"/>
      <x:c r="AF75" s="75"/>
      <x:c r="AG75" s="75"/>
      <x:c r="AH75" s="122" t="n">
        <x:v>11</x:v>
      </x:c>
      <x:c r="AI75" s="123" t="str">
        <x:v>Canonical source for Advanced Features!11</x:v>
      </x:c>
    </x:row>
    <x:row r="76">
      <x:c r="A76" s="119" t="str">
        <x:v>Advanced Features</x:v>
      </x:c>
      <x:c r="B76" s="121" t="str">
        <x:v>Forum Tags / Flair</x:v>
      </x:c>
      <x:c r="C76" s="75" t="str">
        <x:v>Yes</x:v>
      </x:c>
      <x:c r="D76" s="75"/>
      <x:c r="E76" s="75"/>
      <x:c r="F76" s="75"/>
      <x:c r="G76" s="75"/>
      <x:c r="H76" s="75"/>
      <x:c r="I76" s="75"/>
      <x:c r="J76" s="75"/>
      <x:c r="K76" s="75"/>
      <x:c r="L76" s="75" t="str">
        <x:v>Yes — forum/thread metadata includes tags; exact tag UX/limits not fully reviewed</x:v>
      </x:c>
      <x:c r="M76" s="75"/>
      <x:c r="N76" s="75"/>
      <x:c r="O76" s="75"/>
      <x:c r="P76" s="75"/>
      <x:c r="Q76" s="75"/>
      <x:c r="R76" s="75"/>
      <x:c r="S76" s="75"/>
      <x:c r="T76" s="75"/>
      <x:c r="U76" s="75"/>
      <x:c r="V76" s="75" t="str">
        <x:v>Yes — tags, flair, tag groups &amp; filters</x:v>
      </x:c>
      <x:c r="W76" s="75"/>
      <x:c r="X76" s="75"/>
      <x:c r="Y76" s="75"/>
      <x:c r="Z76" s="75"/>
      <x:c r="AA76" s="75"/>
      <x:c r="AB76" s="75"/>
      <x:c r="AC76" s="78"/>
      <x:c r="AD76" s="75"/>
      <x:c r="AE76" s="75"/>
      <x:c r="AF76" s="75"/>
      <x:c r="AG76" s="75"/>
      <x:c r="AH76" s="122" t="n">
        <x:v>12</x:v>
      </x:c>
      <x:c r="AI76" s="123" t="str">
        <x:v>Canonical source for Advanced Features!12</x:v>
      </x:c>
    </x:row>
    <x:row r="77">
      <x:c r="A77" s="119" t="str">
        <x:v>Advanced Features</x:v>
      </x:c>
      <x:c r="B77" s="121" t="str">
        <x:v>Polls</x:v>
      </x:c>
      <x:c r="C77" s="75" t="str">
        <x:v>Yes</x:v>
      </x:c>
      <x:c r="D77" s="75"/>
      <x:c r="E77" s="75"/>
      <x:c r="F77" s="75"/>
      <x:c r="G77" s="75"/>
      <x:c r="H77" s="75"/>
      <x:c r="I77" s="75" t="str">
        <x:v>Yes</x:v>
      </x:c>
      <x:c r="J77" s="75"/>
      <x:c r="K77" s="75" t="str">
        <x:v>No</x:v>
      </x:c>
      <x:c r="L77" s="75" t="str">
        <x:v>Polls exist as message/application content; no dedicated poll channel type verified</x:v>
      </x:c>
      <x:c r="M77" s="75"/>
      <x:c r="N77" s="75" t="str">
        <x:v>Yes</x:v>
      </x:c>
      <x:c r="O77" s="75" t="str">
        <x:v>Matrix poll events supported by capable clients</x:v>
      </x:c>
      <x:c r="P77" s="75" t="str">
        <x:v>Polls via integrations/plugins</x:v>
      </x:c>
      <x:c r="Q77" s="75"/>
      <x:c r="R77" s="75" t="str">
        <x:v>N/A</x:v>
      </x:c>
      <x:c r="S77" s="75"/>
      <x:c r="T77" s="75"/>
      <x:c r="U77" s="75" t="str">
        <x:v>Yes</x:v>
      </x:c>
      <x:c r="V77" s="75" t="str">
        <x:v>Yes</x:v>
      </x:c>
      <x:c r="W77" s="75" t="str">
        <x:v>Polls/apps</x:v>
      </x:c>
      <x:c r="X77" s="75"/>
      <x:c r="Y77" s="75" t="str">
        <x:v>Polling via app</x:v>
      </x:c>
      <x:c r="Z77" s="75"/>
      <x:c r="AA77" s="75" t="str">
        <x:v>No native polls verified</x:v>
      </x:c>
      <x:c r="AB77" s="75"/>
      <x:c r="AC77" s="78"/>
      <x:c r="AD77" s="75"/>
      <x:c r="AE77" s="75"/>
      <x:c r="AF77" s="75" t="str">
        <x:v>No</x:v>
      </x:c>
      <x:c r="AG77" s="75"/>
      <x:c r="AH77" s="122" t="n">
        <x:v>13</x:v>
      </x:c>
      <x:c r="AI77" s="123" t="str">
        <x:v>Canonical source for Advanced Features!13</x:v>
      </x:c>
    </x:row>
    <x:row r="78">
      <x:c r="A78" s="119" t="str">
        <x:v>Advanced Features</x:v>
      </x:c>
      <x:c r="B78" s="121" t="str">
        <x:v>Scheduled Community Events</x:v>
      </x:c>
      <x:c r="C78" s="75" t="str">
        <x:v>Yes — Scheduled Events</x:v>
      </x:c>
      <x:c r="D78" s="75" t="str">
        <x:v>Yes</x:v>
      </x:c>
      <x:c r="E78" s="75"/>
      <x:c r="F78" s="75"/>
      <x:c r="G78" s="75" t="str">
        <x:v>Yes — events</x:v>
      </x:c>
      <x:c r="H78" s="75"/>
      <x:c r="I78" s="75" t="str">
        <x:v>Yes</x:v>
      </x:c>
      <x:c r="J78" s="75"/>
      <x:c r="K78" s="75" t="str">
        <x:v>No</x:v>
      </x:c>
      <x:c r="L78" s="75" t="str">
        <x:v>Yes</x:v>
      </x:c>
      <x:c r="M78" s="75" t="str">
        <x:v>Yes — calendars/events</x:v>
      </x:c>
      <x:c r="N78" s="75" t="str">
        <x:v>Yes</x:v>
      </x:c>
      <x:c r="O78" s="75" t="str">
        <x:v>Client-dependent</x:v>
      </x:c>
      <x:c r="P78" s="75" t="str">
        <x:v>Playbooks/events/integrations; no Discord Scheduled Events equivalent</x:v>
      </x:c>
      <x:c r="Q78" s="75" t="str">
        <x:v>Yes</x:v>
      </x:c>
      <x:c r="R78" s="75" t="str">
        <x:v>N/A</x:v>
      </x:c>
      <x:c r="S78" s="75"/>
      <x:c r="T78" s="75"/>
      <x:c r="U78" s="75"/>
      <x:c r="V78" s="75" t="str">
        <x:v>Yes</x:v>
      </x:c>
      <x:c r="W78" s="75" t="str">
        <x:v>Calendar/apps/integrations; no Discord event equivalent core</x:v>
      </x:c>
      <x:c r="X78" s="75"/>
      <x:c r="Y78" s="75" t="str">
        <x:v>Events/raid planning via apps</x:v>
      </x:c>
      <x:c r="Z78" s="75"/>
      <x:c r="AA78" s="75" t="str">
        <x:v>No native scheduled events verified</x:v>
      </x:c>
      <x:c r="AB78" s="75"/>
      <x:c r="AC78" s="78" t="str">
        <x:v>Events/economy tooling</x:v>
      </x:c>
      <x:c r="AD78" s="75"/>
      <x:c r="AE78" s="75" t="str">
        <x:v>Built-in events/tournaments</x:v>
      </x:c>
      <x:c r="AF78" s="75" t="str">
        <x:v>No</x:v>
      </x:c>
      <x:c r="AG78" s="75" t="str">
        <x:v>No Discord-style server events; integrations possible</x:v>
      </x:c>
      <x:c r="AH78" s="122" t="n">
        <x:v>14</x:v>
      </x:c>
      <x:c r="AI78" s="123" t="str">
        <x:v>Canonical source for Advanced Features!14</x:v>
      </x:c>
    </x:row>
    <x:row r="79">
      <x:c r="A79" s="119" t="str">
        <x:v>Advanced Features</x:v>
      </x:c>
      <x:c r="B79" s="121" t="str">
        <x:v>Forms / Structured Responses</x:v>
      </x:c>
      <x:c r="C79" s="75" t="str">
        <x:v>Via apps/bots; no native channel form</x:v>
      </x:c>
      <x:c r="D79" s="75"/>
      <x:c r="E79" s="75"/>
      <x:c r="F79" s="75"/>
      <x:c r="G79" s="75"/>
      <x:c r="H79" s="75"/>
      <x:c r="I79" s="75"/>
      <x:c r="J79" s="75"/>
      <x:c r="K79" s="75"/>
      <x:c r="L79" s="75"/>
      <x:c r="M79" s="75"/>
      <x:c r="N79" s="75"/>
      <x:c r="O79" s="75"/>
      <x:c r="P79" s="75" t="str">
        <x:v>Plugins/integrations</x:v>
      </x:c>
      <x:c r="Q79" s="75"/>
      <x:c r="R79" s="75"/>
      <x:c r="S79" s="75"/>
      <x:c r="T79" s="75"/>
      <x:c r="U79" s="75"/>
      <x:c r="V79" s="75" t="str">
        <x:v>Yes — native forms</x:v>
      </x:c>
      <x:c r="W79" s="75" t="str">
        <x:v>Apps/integrations</x:v>
      </x:c>
      <x:c r="X79" s="75"/>
      <x:c r="Y79" s="75"/>
      <x:c r="Z79" s="75"/>
      <x:c r="AA79" s="75"/>
      <x:c r="AB79" s="75"/>
      <x:c r="AC79" s="78"/>
      <x:c r="AD79" s="75"/>
      <x:c r="AE79" s="75"/>
      <x:c r="AF79" s="75"/>
      <x:c r="AG79" s="75"/>
      <x:c r="AH79" s="122" t="n">
        <x:v>15</x:v>
      </x:c>
      <x:c r="AI79" s="123" t="str">
        <x:v>Canonical source for Advanced Features!15</x:v>
      </x:c>
    </x:row>
    <x:row r="80">
      <x:c r="A80" s="119" t="str">
        <x:v>Advanced Features</x:v>
      </x:c>
      <x:c r="B80" s="121" t="str">
        <x:v>Scheduled Messages</x:v>
      </x:c>
      <x:c r="C80" s="75" t="str">
        <x:v>No native scheduled send</x:v>
      </x:c>
      <x:c r="D80" s="75"/>
      <x:c r="E80" s="75"/>
      <x:c r="F80" s="75"/>
      <x:c r="G80" s="75"/>
      <x:c r="H80" s="75"/>
      <x:c r="I80" s="75"/>
      <x:c r="J80" s="75"/>
      <x:c r="K80" s="75"/>
      <x:c r="L80" s="75"/>
      <x:c r="M80" s="75"/>
      <x:c r="N80" s="75"/>
      <x:c r="O80" s="75"/>
      <x:c r="P80" s="75"/>
      <x:c r="Q80" s="75"/>
      <x:c r="R80" s="75"/>
      <x:c r="S80" s="75"/>
      <x:c r="T80" s="75"/>
      <x:c r="U80" s="75"/>
      <x:c r="V80" s="75" t="str">
        <x:v>Yes</x:v>
      </x:c>
      <x:c r="W80" s="75"/>
      <x:c r="X80" s="75"/>
      <x:c r="Y80" s="75"/>
      <x:c r="Z80" s="75"/>
      <x:c r="AA80" s="75"/>
      <x:c r="AB80" s="75"/>
      <x:c r="AC80" s="78"/>
      <x:c r="AD80" s="75"/>
      <x:c r="AE80" s="75"/>
      <x:c r="AF80" s="75"/>
      <x:c r="AG80" s="75" t="str">
        <x:v>Yes — scheduled messages</x:v>
      </x:c>
      <x:c r="AH80" s="122" t="n">
        <x:v>17</x:v>
      </x:c>
      <x:c r="AI80" s="123" t="str">
        <x:v>Canonical source for Advanced Features!17</x:v>
      </x:c>
    </x:row>
    <x:row r="81">
      <x:c r="A81" s="119" t="str">
        <x:v>Advanced Features</x:v>
      </x:c>
      <x:c r="B81" s="121" t="str">
        <x:v>Disappearing / Auto-Delete Messages</x:v>
      </x:c>
      <x:c r="C81" s="75" t="str">
        <x:v>No general native per-channel timer</x:v>
      </x:c>
      <x:c r="D81" s="75"/>
      <x:c r="E81" s="75"/>
      <x:c r="F81" s="75"/>
      <x:c r="G81" s="75"/>
      <x:c r="H81" s="75"/>
      <x:c r="I81" s="75"/>
      <x:c r="J81" s="75"/>
      <x:c r="K81" s="75"/>
      <x:c r="L81" s="75"/>
      <x:c r="M81" s="75"/>
      <x:c r="N81" s="75"/>
      <x:c r="O81" s="75" t="str">
        <x:v>Client/server dependent</x:v>
      </x:c>
      <x:c r="P81" s="75"/>
      <x:c r="Q81" s="75"/>
      <x:c r="R81" s="75"/>
      <x:c r="S81" s="75"/>
      <x:c r="T81" s="75"/>
      <x:c r="U81" s="75"/>
      <x:c r="V81" s="75" t="str">
        <x:v>Yes — per-channel</x:v>
      </x:c>
      <x:c r="W81" s="75"/>
      <x:c r="X81" s="75"/>
      <x:c r="Y81" s="75"/>
      <x:c r="Z81" s="75"/>
      <x:c r="AA81" s="75"/>
      <x:c r="AB81" s="75"/>
      <x:c r="AC81" s="78"/>
      <x:c r="AD81" s="75"/>
      <x:c r="AE81" s="75"/>
      <x:c r="AF81" s="75"/>
      <x:c r="AG81" s="75"/>
      <x:c r="AH81" s="122" t="n">
        <x:v>18</x:v>
      </x:c>
      <x:c r="AI81" s="123" t="str">
        <x:v>Canonical source for Advanced Features!18</x:v>
      </x:c>
    </x:row>
    <x:row r="82">
      <x:c r="A82" s="119" t="str">
        <x:v>Advanced Features</x:v>
      </x:c>
      <x:c r="B82" s="121" t="str">
        <x:v>Message Forwarding Controls</x:v>
      </x:c>
      <x:c r="C82" s="75" t="str">
        <x:v>Limited</x:v>
      </x:c>
      <x:c r="D82" s="75"/>
      <x:c r="E82" s="75"/>
      <x:c r="F82" s="75"/>
      <x:c r="G82" s="75"/>
      <x:c r="H82" s="75"/>
      <x:c r="I82" s="75"/>
      <x:c r="J82" s="75"/>
      <x:c r="K82" s="75"/>
      <x:c r="L82" s="75" t="str">
        <x:v>Yes — secure forwarding supports plaintext↔E2EE policy checks and attachment re-encryption</x:v>
      </x:c>
      <x:c r="M82" s="75"/>
      <x:c r="N82" s="75"/>
      <x:c r="O82" s="75" t="str">
        <x:v>Client-dependent</x:v>
      </x:c>
      <x:c r="P82" s="75"/>
      <x:c r="Q82" s="75"/>
      <x:c r="R82" s="75"/>
      <x:c r="S82" s="75"/>
      <x:c r="T82" s="75"/>
      <x:c r="U82" s="75"/>
      <x:c r="V82" s="75" t="str">
        <x:v>Yes</x:v>
      </x:c>
      <x:c r="W82" s="75"/>
      <x:c r="X82" s="75"/>
      <x:c r="Y82" s="75"/>
      <x:c r="Z82" s="75"/>
      <x:c r="AA82" s="75"/>
      <x:c r="AB82" s="75"/>
      <x:c r="AC82" s="78"/>
      <x:c r="AD82" s="75"/>
      <x:c r="AE82" s="75"/>
      <x:c r="AF82" s="75"/>
      <x:c r="AG82" s="75"/>
      <x:c r="AH82" s="122" t="n">
        <x:v>19</x:v>
      </x:c>
      <x:c r="AI82" s="123" t="str">
        <x:v>Canonical source for Advanced Features!19</x:v>
      </x:c>
    </x:row>
    <x:row r="83">
      <x:c r="A83" s="119" t="str">
        <x:v>Advanced Features</x:v>
      </x:c>
      <x:c r="B83" s="121" t="str">
        <x:v>Reply to Multiple Messages</x:v>
      </x:c>
      <x:c r="C83" s="75" t="str">
        <x:v>No native multi-reply composer</x:v>
      </x:c>
      <x:c r="D83" s="75"/>
      <x:c r="E83" s="75"/>
      <x:c r="F83" s="75"/>
      <x:c r="G83" s="75"/>
      <x:c r="H83" s="75"/>
      <x:c r="I83" s="75"/>
      <x:c r="J83" s="75"/>
      <x:c r="K83" s="75"/>
      <x:c r="L83" s="75"/>
      <x:c r="M83" s="75"/>
      <x:c r="N83" s="75"/>
      <x:c r="O83" s="75"/>
      <x:c r="P83" s="75"/>
      <x:c r="Q83" s="75"/>
      <x:c r="R83" s="75"/>
      <x:c r="S83" s="75"/>
      <x:c r="T83" s="75"/>
      <x:c r="U83" s="75"/>
      <x:c r="V83" s="75" t="str">
        <x:v>Yes</x:v>
      </x:c>
      <x:c r="W83" s="75"/>
      <x:c r="X83" s="75"/>
      <x:c r="Y83" s="75"/>
      <x:c r="Z83" s="75"/>
      <x:c r="AA83" s="75"/>
      <x:c r="AB83" s="75"/>
      <x:c r="AC83" s="78"/>
      <x:c r="AD83" s="75"/>
      <x:c r="AE83" s="75"/>
      <x:c r="AF83" s="75"/>
      <x:c r="AG83" s="75"/>
      <x:c r="AH83" s="122" t="n">
        <x:v>20</x:v>
      </x:c>
      <x:c r="AI83" s="123" t="str">
        <x:v>Canonical source for Advanced Features!20</x:v>
      </x:c>
    </x:row>
    <x:row r="84">
      <x:c r="A84" s="119" t="str">
        <x:v>Channel Types</x:v>
      </x:c>
      <x:c r="B84" s="121" t="str">
        <x:v>Text</x:v>
      </x:c>
      <x:c r="C84" s="75" t="str">
        <x:v>Yes — Text channel</x:v>
      </x:c>
      <x:c r="D84" s="75" t="str">
        <x:v>Yes</x:v>
      </x:c>
      <x:c r="E84" s="75"/>
      <x:c r="F84" s="75" t="str">
        <x:v>Yes</x:v>
      </x:c>
      <x:c r="G84" s="75" t="str">
        <x:v>Yes</x:v>
      </x:c>
      <x:c r="H84" s="75"/>
      <x:c r="I84" s="75" t="str">
        <x:v>Yes</x:v>
      </x:c>
      <x:c r="J84" s="75"/>
      <x:c r="K84" s="75" t="str">
        <x:v>Yes</x:v>
      </x:c>
      <x:c r="L84" s="75" t="str">
        <x:v>Yes</x:v>
      </x:c>
      <x:c r="M84" s="75" t="str">
        <x:v>Yes</x:v>
      </x:c>
      <x:c r="N84" s="75" t="str">
        <x:v>Yes</x:v>
      </x:c>
      <x:c r="O84" s="75" t="str">
        <x:v>Room (client convention)</x:v>
      </x:c>
      <x:c r="P84" s="75" t="str">
        <x:v>Yes — public/private channels</x:v>
      </x:c>
      <x:c r="Q84" s="75" t="str">
        <x:v>Yes</x:v>
      </x:c>
      <x:c r="R84" s="75" t="str">
        <x:v>Partial — channel text chat; voice-first</x:v>
      </x:c>
      <x:c r="S84" s="75" t="str">
        <x:v>Yes — server channels</x:v>
      </x:c>
      <x:c r="T84" s="75" t="str">
        <x:v>Yes — real-time messaging</x:v>
      </x:c>
      <x:c r="U84" s="75" t="str">
        <x:v>Yes</x:v>
      </x:c>
      <x:c r="V84" s="75" t="str">
        <x:v>Yes</x:v>
      </x:c>
      <x:c r="W84" s="75" t="str">
        <x:v>Yes — channels/groups/DMs</x:v>
      </x:c>
      <x:c r="X84" s="75" t="str">
        <x:v>Yes — group chat</x:v>
      </x:c>
      <x:c r="Y84" s="75" t="str">
        <x:v>Yes</x:v>
      </x:c>
      <x:c r="Z84" s="75" t="str">
        <x:v>Yes/Partial — Discord API parity varies by implementation</x:v>
      </x:c>
      <x:c r="AA84" s="75" t="str">
        <x:v>Yes</x:v>
      </x:c>
      <x:c r="AB84" s="75" t="str">
        <x:v>Partial — chat exists; persistent server text channels remain limited/planned in TS6</x:v>
      </x:c>
      <x:c r="AC84" s="78" t="str">
        <x:v>Yes</x:v>
      </x:c>
      <x:c r="AD84" s="75"/>
      <x:c r="AE84" s="75" t="str">
        <x:v>Yes</x:v>
      </x:c>
      <x:c r="AF84" s="75" t="str">
        <x:v>Yes</x:v>
      </x:c>
      <x:c r="AG84" s="75" t="str">
        <x:v>Channel/stream</x:v>
      </x:c>
      <x:c r="AH84" s="122" t="n">
        <x:v>4</x:v>
      </x:c>
      <x:c r="AI84" s="123" t="str">
        <x:v>Canonical source for Channel Types!4</x:v>
      </x:c>
    </x:row>
    <x:row r="85">
      <x:c r="A85" s="119" t="str">
        <x:v>Channel Types</x:v>
      </x:c>
      <x:c r="B85" s="121" t="str">
        <x:v>Voice</x:v>
      </x:c>
      <x:c r="C85" s="75" t="str">
        <x:v>Yes — Voice channel</x:v>
      </x:c>
      <x:c r="D85" s="75" t="str">
        <x:v>Yes</x:v>
      </x:c>
      <x:c r="E85" s="75" t="str">
        <x:v>Yes</x:v>
      </x:c>
      <x:c r="F85" s="75" t="str">
        <x:v>Yes</x:v>
      </x:c>
      <x:c r="G85" s="75" t="str">
        <x:v>Yes</x:v>
      </x:c>
      <x:c r="H85" s="75"/>
      <x:c r="I85" s="75" t="str">
        <x:v>Yes</x:v>
      </x:c>
      <x:c r="J85" s="75"/>
      <x:c r="K85" s="75" t="str">
        <x:v>Yes</x:v>
      </x:c>
      <x:c r="L85" s="75" t="str">
        <x:v>Yes</x:v>
      </x:c>
      <x:c r="M85" s="75" t="str">
        <x:v>Yes</x:v>
      </x:c>
      <x:c r="N85" s="75" t="str">
        <x:v>Yes</x:v>
      </x:c>
      <x:c r="O85" s="75" t="str">
        <x:v>Yes — client-dependent</x:v>
      </x:c>
      <x:c r="P85" s="75" t="str">
        <x:v>Yes — calls</x:v>
      </x:c>
      <x:c r="Q85" s="75" t="str">
        <x:v>Yes</x:v>
      </x:c>
      <x:c r="R85" s="75" t="str">
        <x:v>Yes</x:v>
      </x:c>
      <x:c r="S85" s="75"/>
      <x:c r="T85" s="75" t="str">
        <x:v>Yes</x:v>
      </x:c>
      <x:c r="U85" s="75" t="str">
        <x:v>Yes</x:v>
      </x:c>
      <x:c r="V85" s="75" t="str">
        <x:v>Yes</x:v>
      </x:c>
      <x:c r="W85" s="75" t="str">
        <x:v>Yes — Rocket.Chat Voice + conference integrations</x:v>
      </x:c>
      <x:c r="X85" s="75"/>
      <x:c r="Y85" s="75" t="str">
        <x:v>Yes</x:v>
      </x:c>
      <x:c r="Z85" s="75" t="str">
        <x:v>Optional WebRTC media implementation</x:v>
      </x:c>
      <x:c r="AA85" s="75" t="str">
        <x:v>Yes</x:v>
      </x:c>
      <x:c r="AB85" s="75" t="str">
        <x:v>Yes</x:v>
      </x:c>
      <x:c r="AC85" s="78" t="str">
        <x:v>Yes</x:v>
      </x:c>
      <x:c r="AD85" s="75"/>
      <x:c r="AE85" s="75" t="str">
        <x:v>Yes</x:v>
      </x:c>
      <x:c r="AF85" s="75" t="str">
        <x:v>Yes</x:v>
      </x:c>
      <x:c r="AG85" s="75" t="str">
        <x:v>Provider integration (Zoom/Jitsi/etc.), not a persistent native voice-room model</x:v>
      </x:c>
      <x:c r="AH85" s="122" t="n">
        <x:v>5</x:v>
      </x:c>
      <x:c r="AI85" s="123" t="str">
        <x:v>Canonical source for Channel Types!5</x:v>
      </x:c>
    </x:row>
    <x:row r="86">
      <x:c r="A86" s="119" t="str">
        <x:v>Channel Types</x:v>
      </x:c>
      <x:c r="B86" s="121" t="str">
        <x:v>Voice Room Launcher / Temporary Voice</x:v>
      </x:c>
      <x:c r="C86" s="75" t="str">
        <x:v>No native launcher; bots can create temp rooms</x:v>
      </x:c>
      <x:c r="D86" s="75"/>
      <x:c r="E86" s="75"/>
      <x:c r="F86" s="75"/>
      <x:c r="G86" s="75"/>
      <x:c r="H86" s="75"/>
      <x:c r="I86" s="75"/>
      <x:c r="J86" s="75"/>
      <x:c r="K86" s="75"/>
      <x:c r="L86" s="75" t="str">
        <x:v>No temporary/launcher voice-channel type documented</x:v>
      </x:c>
      <x:c r="M86" s="75"/>
      <x:c r="N86" s="75"/>
      <x:c r="O86" s="75"/>
      <x:c r="P86" s="75"/>
      <x:c r="Q86" s="75"/>
      <x:c r="R86" s="75"/>
      <x:c r="S86" s="75"/>
      <x:c r="T86" s="75"/>
      <x:c r="U86" s="75"/>
      <x:c r="V86" s="75" t="str">
        <x:v>Yes — auto-spawn/delete voice rooms</x:v>
      </x:c>
      <x:c r="W86" s="75"/>
      <x:c r="X86" s="75"/>
      <x:c r="Y86" s="75"/>
      <x:c r="Z86" s="75"/>
      <x:c r="AA86" s="75"/>
      <x:c r="AB86" s="75"/>
      <x:c r="AC86" s="78"/>
      <x:c r="AD86" s="75"/>
      <x:c r="AE86" s="75"/>
      <x:c r="AF86" s="75"/>
      <x:c r="AG86" s="75"/>
      <x:c r="AH86" s="122" t="n">
        <x:v>6</x:v>
      </x:c>
      <x:c r="AI86" s="123" t="str">
        <x:v>Canonical source for Channel Types!6</x:v>
      </x:c>
    </x:row>
    <x:row r="87">
      <x:c r="A87" s="119" t="str">
        <x:v>Channel Types</x:v>
      </x:c>
      <x:c r="B87" s="121" t="str">
        <x:v>Forum</x:v>
      </x:c>
      <x:c r="C87" s="75" t="str">
        <x:v>Yes — Forum channel</x:v>
      </x:c>
      <x:c r="D87" s="75"/>
      <x:c r="E87" s="75"/>
      <x:c r="F87" s="75"/>
      <x:c r="G87" s="75"/>
      <x:c r="H87" s="75"/>
      <x:c r="I87" s="75"/>
      <x:c r="J87" s="75"/>
      <x:c r="K87" s="75"/>
      <x:c r="L87" s="75"/>
      <x:c r="M87" s="75" t="str">
        <x:v>Yes</x:v>
      </x:c>
      <x:c r="N87" s="75" t="str">
        <x:v>Yes</x:v>
      </x:c>
      <x:c r="O87" s="75" t="str">
        <x:v>Client-dependent / room conventions</x:v>
      </x:c>
      <x:c r="P87" s="75" t="str">
        <x:v>No native forum channel</x:v>
      </x:c>
      <x:c r="Q87" s="75"/>
      <x:c r="R87" s="75"/>
      <x:c r="S87" s="75"/>
      <x:c r="T87" s="75"/>
      <x:c r="U87" s="75"/>
      <x:c r="V87" s="75" t="str">
        <x:v>Yes — tags, flair, voting</x:v>
      </x:c>
      <x:c r="W87" s="75"/>
      <x:c r="X87" s="75" t="str">
        <x:v>Yes/Partial — forum/group-chat model</x:v>
      </x:c>
      <x:c r="Y87" s="75"/>
      <x:c r="Z87" s="75"/>
      <x:c r="AA87" s="75"/>
      <x:c r="AB87" s="75"/>
      <x:c r="AC87" s="78" t="str">
        <x:v>Yes — thread feed</x:v>
      </x:c>
      <x:c r="AD87" s="75"/>
      <x:c r="AE87" s="75" t="str">
        <x:v>Yes</x:v>
      </x:c>
      <x:c r="AF87" s="75"/>
      <x:c r="AG87" s="75"/>
      <x:c r="AH87" s="122" t="n">
        <x:v>7</x:v>
      </x:c>
      <x:c r="AI87" s="123" t="str">
        <x:v>Canonical source for Channel Types!7</x:v>
      </x:c>
    </x:row>
    <x:row r="88">
      <x:c r="A88" s="119" t="str">
        <x:v>Channel Types</x:v>
      </x:c>
      <x:c r="B88" s="121" t="str">
        <x:v>Gallery / Media Grid</x:v>
      </x:c>
      <x:c r="C88" s="75" t="str">
        <x:v>Partial — Forum Gallery View</x:v>
      </x:c>
      <x:c r="D88" s="75" t="str">
        <x:v>No</x:v>
      </x:c>
      <x:c r="E88" s="75" t="str">
        <x:v>No</x:v>
      </x:c>
      <x:c r="F88" s="75" t="str">
        <x:v>No</x:v>
      </x:c>
      <x:c r="G88" s="75" t="str">
        <x:v>No native</x:v>
      </x:c>
      <x:c r="H88" s="75" t="str">
        <x:v>No native</x:v>
      </x:c>
      <x:c r="I88" s="75" t="str">
        <x:v>No</x:v>
      </x:c>
      <x:c r="J88" s="75" t="str">
        <x:v>No</x:v>
      </x:c>
      <x:c r="K88" s="75" t="str">
        <x:v>No</x:v>
      </x:c>
      <x:c r="L88" s="75" t="str">
        <x:v>No dedicated gallery/media-grid channel documented</x:v>
      </x:c>
      <x:c r="M88" s="75" t="str">
        <x:v>Media Channels</x:v>
      </x:c>
      <x:c r="N88" s="75" t="str">
        <x:v>Media/forum view</x:v>
      </x:c>
      <x:c r="O88" s="75" t="str">
        <x:v>Extensible/client-dependent</x:v>
      </x:c>
      <x:c r="P88" s="75" t="str">
        <x:v>No</x:v>
      </x:c>
      <x:c r="Q88" s="75" t="str">
        <x:v>No native</x:v>
      </x:c>
      <x:c r="R88" s="75" t="str">
        <x:v>N/A</x:v>
      </x:c>
      <x:c r="S88" s="75" t="str">
        <x:v>No</x:v>
      </x:c>
      <x:c r="T88" s="75" t="str">
        <x:v>No</x:v>
      </x:c>
      <x:c r="U88" s="75" t="str">
        <x:v>No</x:v>
      </x:c>
      <x:c r="V88" s="75" t="str">
        <x:v>Yes — native Gallery channel</x:v>
      </x:c>
      <x:c r="W88" s="75" t="str">
        <x:v>No</x:v>
      </x:c>
      <x:c r="X88" s="75"/>
      <x:c r="Y88" s="75" t="str">
        <x:v>Via app</x:v>
      </x:c>
      <x:c r="Z88" s="75" t="str">
        <x:v>No native</x:v>
      </x:c>
      <x:c r="AA88" s="75" t="str">
        <x:v>No native</x:v>
      </x:c>
      <x:c r="AB88" s="75" t="str">
        <x:v>N/A</x:v>
      </x:c>
      <x:c r="AC88" s="78" t="str">
        <x:v>No</x:v>
      </x:c>
      <x:c r="AD88" s="75" t="str">
        <x:v>No</x:v>
      </x:c>
      <x:c r="AE88" s="75" t="str">
        <x:v>No</x:v>
      </x:c>
      <x:c r="AF88" s="75" t="str">
        <x:v>No</x:v>
      </x:c>
      <x:c r="AG88" s="75" t="str">
        <x:v>No</x:v>
      </x:c>
      <x:c r="AH88" s="122" t="n">
        <x:v>8</x:v>
      </x:c>
      <x:c r="AI88" s="123" t="str">
        <x:v>Canonical source for Channel Types!8</x:v>
      </x:c>
    </x:row>
    <x:row r="89">
      <x:c r="A89" s="119" t="str">
        <x:v>Channel Types</x:v>
      </x:c>
      <x:c r="B89" s="121" t="str">
        <x:v>Announcement / Read-Only Broadcast</x:v>
      </x:c>
      <x:c r="C89" s="75" t="str">
        <x:v>Yes — Announcement channel</x:v>
      </x:c>
      <x:c r="D89" s="75"/>
      <x:c r="E89" s="75"/>
      <x:c r="F89" s="75"/>
      <x:c r="G89" s="75"/>
      <x:c r="H89" s="75"/>
      <x:c r="I89" s="75"/>
      <x:c r="J89" s="75"/>
      <x:c r="K89" s="75"/>
      <x:c r="L89" s="75" t="str">
        <x:v>Yes — announcement channels/threads are documented and developer also reports announcements</x:v>
      </x:c>
      <x:c r="M89" s="75"/>
      <x:c r="N89" s="75"/>
      <x:c r="O89" s="75" t="str">
        <x:v>Permissions-based room</x:v>
      </x:c>
      <x:c r="P89" s="75"/>
      <x:c r="Q89" s="75"/>
      <x:c r="R89" s="75"/>
      <x:c r="S89" s="75"/>
      <x:c r="T89" s="75"/>
      <x:c r="U89" s="75"/>
      <x:c r="V89" s="75" t="str">
        <x:v>Yes — Announcements</x:v>
      </x:c>
      <x:c r="W89" s="75"/>
      <x:c r="X89" s="75"/>
      <x:c r="Y89" s="75"/>
      <x:c r="Z89" s="75"/>
      <x:c r="AA89" s="75"/>
      <x:c r="AB89" s="75"/>
      <x:c r="AC89" s="78"/>
      <x:c r="AD89" s="75"/>
      <x:c r="AE89" s="75"/>
      <x:c r="AF89" s="75"/>
      <x:c r="AG89" s="75"/>
      <x:c r="AH89" s="122" t="n">
        <x:v>9</x:v>
      </x:c>
      <x:c r="AI89" s="123" t="str">
        <x:v>Canonical source for Channel Types!9</x:v>
      </x:c>
    </x:row>
    <x:row r="90">
      <x:c r="A90" s="119" t="str">
        <x:v>Channel Types</x:v>
      </x:c>
      <x:c r="B90" s="121" t="str">
        <x:v>Stage / Broadcast Voice</x:v>
      </x:c>
      <x:c r="C90" s="75" t="str">
        <x:v>Yes — Stage channel</x:v>
      </x:c>
      <x:c r="D90" s="75"/>
      <x:c r="E90" s="75"/>
      <x:c r="F90" s="75"/>
      <x:c r="G90" s="75"/>
      <x:c r="H90" s="75"/>
      <x:c r="I90" s="75"/>
      <x:c r="J90" s="75"/>
      <x:c r="K90" s="75"/>
      <x:c r="L90" s="75" t="str">
        <x:v>Yes — developer reports Stage channels</x:v>
      </x:c>
      <x:c r="M90" s="75"/>
      <x:c r="N90" s="75"/>
      <x:c r="O90" s="75"/>
      <x:c r="P90" s="75"/>
      <x:c r="Q90" s="75"/>
      <x:c r="R90" s="75"/>
      <x:c r="S90" s="75"/>
      <x:c r="T90" s="75"/>
      <x:c r="U90" s="75"/>
      <x:c r="V90" s="75" t="str">
        <x:v>No dedicated Stage channel; voice room launcher + permissions</x:v>
      </x:c>
      <x:c r="W90" s="75"/>
      <x:c r="X90" s="75"/>
      <x:c r="Y90" s="75"/>
      <x:c r="Z90" s="75"/>
      <x:c r="AA90" s="75"/>
      <x:c r="AB90" s="75" t="str">
        <x:v>Permissions-based</x:v>
      </x:c>
      <x:c r="AC90" s="78"/>
      <x:c r="AD90" s="75"/>
      <x:c r="AE90" s="75"/>
      <x:c r="AF90" s="75"/>
      <x:c r="AG90" s="75"/>
      <x:c r="AH90" s="122" t="n">
        <x:v>10</x:v>
      </x:c>
      <x:c r="AI90" s="123" t="str">
        <x:v>Canonical source for Channel Types!10</x:v>
      </x:c>
    </x:row>
    <x:row r="91">
      <x:c r="A91" s="119" t="str">
        <x:v>Channel Types</x:v>
      </x:c>
      <x:c r="B91" s="121" t="str">
        <x:v>Polls</x:v>
      </x:c>
      <x:c r="C91" s="75" t="str">
        <x:v>No dedicated channel; native poll messages</x:v>
      </x:c>
      <x:c r="D91" s="75" t="str">
        <x:v>No</x:v>
      </x:c>
      <x:c r="E91" s="75" t="str">
        <x:v>No</x:v>
      </x:c>
      <x:c r="F91" s="75" t="str">
        <x:v>No</x:v>
      </x:c>
      <x:c r="G91" s="75"/>
      <x:c r="H91" s="75"/>
      <x:c r="I91" s="75" t="str">
        <x:v>Yes</x:v>
      </x:c>
      <x:c r="J91" s="75" t="str">
        <x:v>No</x:v>
      </x:c>
      <x:c r="K91" s="75" t="str">
        <x:v>No</x:v>
      </x:c>
      <x:c r="L91" s="75" t="str">
        <x:v>Polls are native message/application content, not a dedicated channel type</x:v>
      </x:c>
      <x:c r="M91" s="75"/>
      <x:c r="N91" s="75" t="str">
        <x:v>Native polls</x:v>
      </x:c>
      <x:c r="O91" s="75" t="str">
        <x:v>Poll events in capable clients</x:v>
      </x:c>
      <x:c r="P91" s="75" t="str">
        <x:v>Poll integrations</x:v>
      </x:c>
      <x:c r="Q91" s="75" t="str">
        <x:v>No native</x:v>
      </x:c>
      <x:c r="R91" s="75" t="str">
        <x:v>N/A</x:v>
      </x:c>
      <x:c r="S91" s="75" t="str">
        <x:v>No</x:v>
      </x:c>
      <x:c r="T91" s="75" t="str">
        <x:v>No</x:v>
      </x:c>
      <x:c r="U91" s="75" t="str">
        <x:v>Yes — native polls</x:v>
      </x:c>
      <x:c r="V91" s="75" t="str">
        <x:v>Yes — native Poll channel</x:v>
      </x:c>
      <x:c r="W91" s="75" t="str">
        <x:v>Poll apps</x:v>
      </x:c>
      <x:c r="X91" s="75" t="str">
        <x:v>No</x:v>
      </x:c>
      <x:c r="Y91" s="75" t="str">
        <x:v>Via Polling App</x:v>
      </x:c>
      <x:c r="Z91" s="75"/>
      <x:c r="AA91" s="75" t="str">
        <x:v>No native</x:v>
      </x:c>
      <x:c r="AB91" s="75" t="str">
        <x:v>N/A</x:v>
      </x:c>
      <x:c r="AC91" s="78"/>
      <x:c r="AD91" s="75" t="str">
        <x:v>No</x:v>
      </x:c>
      <x:c r="AE91" s="75"/>
      <x:c r="AF91" s="75" t="str">
        <x:v>No</x:v>
      </x:c>
      <x:c r="AG91" s="75" t="str">
        <x:v>Via integrations</x:v>
      </x:c>
      <x:c r="AH91" s="122" t="n">
        <x:v>12</x:v>
      </x:c>
      <x:c r="AI91" s="123" t="str">
        <x:v>Canonical source for Channel Types!12</x:v>
      </x:c>
    </x:row>
    <x:row r="92">
      <x:c r="A92" s="119" t="str">
        <x:v>Channel Types</x:v>
      </x:c>
      <x:c r="B92" s="121" t="str">
        <x:v>Tickets</x:v>
      </x:c>
      <x:c r="C92" s="75" t="str">
        <x:v>No native ticket channel; bots/apps commonly provide tickets</x:v>
      </x:c>
      <x:c r="D92" s="75" t="str">
        <x:v>No</x:v>
      </x:c>
      <x:c r="E92" s="75" t="str">
        <x:v>No</x:v>
      </x:c>
      <x:c r="F92" s="75" t="str">
        <x:v>No</x:v>
      </x:c>
      <x:c r="G92" s="75" t="str">
        <x:v>No native</x:v>
      </x:c>
      <x:c r="H92" s="75" t="str">
        <x:v>No native</x:v>
      </x:c>
      <x:c r="I92" s="75" t="str">
        <x:v>No</x:v>
      </x:c>
      <x:c r="J92" s="75" t="str">
        <x:v>No</x:v>
      </x:c>
      <x:c r="K92" s="75" t="str">
        <x:v>No</x:v>
      </x:c>
      <x:c r="L92" s="75" t="str">
        <x:v>No native ticket/counting/highlights/welcome/wiki/document/live-board/roster/web-link/RSS/whiteboard/tabletop channel type documented</x:v>
      </x:c>
      <x:c r="M92" s="75" t="str">
        <x:v>No</x:v>
      </x:c>
      <x:c r="N92" s="75" t="str">
        <x:v>No</x:v>
      </x:c>
      <x:c r="O92" s="75" t="str">
        <x:v>Via integrations/bots</x:v>
      </x:c>
      <x:c r="P92" s="75" t="str">
        <x:v>Integrations</x:v>
      </x:c>
      <x:c r="Q92" s="75" t="str">
        <x:v>No native</x:v>
      </x:c>
      <x:c r="R92" s="75" t="str">
        <x:v>N/A</x:v>
      </x:c>
      <x:c r="S92" s="75" t="str">
        <x:v>No</x:v>
      </x:c>
      <x:c r="T92" s="75" t="str">
        <x:v>No</x:v>
      </x:c>
      <x:c r="U92" s="75" t="str">
        <x:v>No</x:v>
      </x:c>
      <x:c r="V92" s="75" t="str">
        <x:v>Yes — private support threads/status/assignee/transcript</x:v>
      </x:c>
      <x:c r="W92" s="75" t="str">
        <x:v>Apps</x:v>
      </x:c>
      <x:c r="X92" s="75" t="str">
        <x:v>No</x:v>
      </x:c>
      <x:c r="Y92" s="75" t="str">
        <x:v>Via app</x:v>
      </x:c>
      <x:c r="Z92" s="75" t="str">
        <x:v>No native</x:v>
      </x:c>
      <x:c r="AA92" s="75" t="str">
        <x:v>No native</x:v>
      </x:c>
      <x:c r="AB92" s="75" t="str">
        <x:v>N/A</x:v>
      </x:c>
      <x:c r="AC92" s="78" t="str">
        <x:v>No</x:v>
      </x:c>
      <x:c r="AD92" s="75" t="str">
        <x:v>No</x:v>
      </x:c>
      <x:c r="AE92" s="75"/>
      <x:c r="AF92" s="75" t="str">
        <x:v>No</x:v>
      </x:c>
      <x:c r="AG92" s="75" t="str">
        <x:v>Via integrations</x:v>
      </x:c>
      <x:c r="AH92" s="122" t="n">
        <x:v>13</x:v>
      </x:c>
      <x:c r="AI92" s="123" t="str">
        <x:v>Canonical source for Channel Types!13</x:v>
      </x:c>
    </x:row>
    <x:row r="93">
      <x:c r="A93" s="119" t="str">
        <x:v>Channel Types</x:v>
      </x:c>
      <x:c r="B93" s="121" t="str">
        <x:v>Counting</x:v>
      </x:c>
      <x:c r="C93" s="75" t="str">
        <x:v>No native channel type; bots/apps can emulate counting</x:v>
      </x:c>
      <x:c r="D93" s="75" t="str">
        <x:v>No</x:v>
      </x:c>
      <x:c r="E93" s="75" t="str">
        <x:v>No</x:v>
      </x:c>
      <x:c r="F93" s="75" t="str">
        <x:v>No</x:v>
      </x:c>
      <x:c r="G93" s="75" t="str">
        <x:v>No native</x:v>
      </x:c>
      <x:c r="H93" s="75" t="str">
        <x:v>No native</x:v>
      </x:c>
      <x:c r="I93" s="75" t="str">
        <x:v>No</x:v>
      </x:c>
      <x:c r="J93" s="75" t="str">
        <x:v>No</x:v>
      </x:c>
      <x:c r="K93" s="75" t="str">
        <x:v>No</x:v>
      </x:c>
      <x:c r="L93" s="75" t="str">
        <x:v>No native ticket/counting/highlights/welcome/wiki/document/live-board/roster/web-link/RSS/whiteboard/tabletop channel type documented</x:v>
      </x:c>
      <x:c r="M93" s="75" t="str">
        <x:v>No</x:v>
      </x:c>
      <x:c r="N93" s="75" t="str">
        <x:v>No native</x:v>
      </x:c>
      <x:c r="O93" s="75" t="str">
        <x:v>Extensible/client-dependent</x:v>
      </x:c>
      <x:c r="P93" s="75" t="str">
        <x:v>No</x:v>
      </x:c>
      <x:c r="Q93" s="75" t="str">
        <x:v>No native</x:v>
      </x:c>
      <x:c r="R93" s="75" t="str">
        <x:v>N/A</x:v>
      </x:c>
      <x:c r="S93" s="75" t="str">
        <x:v>No</x:v>
      </x:c>
      <x:c r="T93" s="75" t="str">
        <x:v>No</x:v>
      </x:c>
      <x:c r="U93" s="75" t="str">
        <x:v>No</x:v>
      </x:c>
      <x:c r="V93" s="75" t="str">
        <x:v>Yes — native count, leaderboard, history</x:v>
      </x:c>
      <x:c r="W93" s="75" t="str">
        <x:v>No</x:v>
      </x:c>
      <x:c r="X93" s="75" t="str">
        <x:v>No</x:v>
      </x:c>
      <x:c r="Y93" s="75" t="str">
        <x:v>Via app</x:v>
      </x:c>
      <x:c r="Z93" s="75" t="str">
        <x:v>No native</x:v>
      </x:c>
      <x:c r="AA93" s="75" t="str">
        <x:v>No native</x:v>
      </x:c>
      <x:c r="AB93" s="75" t="str">
        <x:v>N/A</x:v>
      </x:c>
      <x:c r="AC93" s="78" t="str">
        <x:v>No</x:v>
      </x:c>
      <x:c r="AD93" s="75" t="str">
        <x:v>No</x:v>
      </x:c>
      <x:c r="AE93" s="75" t="str">
        <x:v>No</x:v>
      </x:c>
      <x:c r="AF93" s="75" t="str">
        <x:v>No</x:v>
      </x:c>
      <x:c r="AG93" s="75" t="str">
        <x:v>No</x:v>
      </x:c>
      <x:c r="AH93" s="122" t="n">
        <x:v>14</x:v>
      </x:c>
      <x:c r="AI93" s="123" t="str">
        <x:v>Canonical source for Channel Types!14</x:v>
      </x:c>
    </x:row>
    <x:row r="94">
      <x:c r="A94" s="119" t="str">
        <x:v>Channel Types</x:v>
      </x:c>
      <x:c r="B94" s="121" t="str">
        <x:v>Highlights</x:v>
      </x:c>
      <x:c r="C94" s="75" t="str">
        <x:v>No dedicated native channel; pins/forums can approximate</x:v>
      </x:c>
      <x:c r="D94" s="75"/>
      <x:c r="E94" s="75"/>
      <x:c r="F94" s="75"/>
      <x:c r="G94" s="75"/>
      <x:c r="H94" s="75"/>
      <x:c r="I94" s="75"/>
      <x:c r="J94" s="75"/>
      <x:c r="K94" s="75"/>
      <x:c r="L94" s="75" t="str">
        <x:v>No native ticket/counting/highlights/welcome/wiki/document/live-board/roster/web-link/RSS/whiteboard/tabletop channel type documented</x:v>
      </x:c>
      <x:c r="M94" s="75"/>
      <x:c r="N94" s="75"/>
      <x:c r="O94" s="75"/>
      <x:c r="P94" s="75"/>
      <x:c r="Q94" s="75"/>
      <x:c r="R94" s="75"/>
      <x:c r="S94" s="75"/>
      <x:c r="T94" s="75"/>
      <x:c r="U94" s="75"/>
      <x:c r="V94" s="75" t="str">
        <x:v>Yes — native Highlights channel</x:v>
      </x:c>
      <x:c r="W94" s="75"/>
      <x:c r="X94" s="75"/>
      <x:c r="Y94" s="75"/>
      <x:c r="Z94" s="75"/>
      <x:c r="AA94" s="75"/>
      <x:c r="AB94" s="75"/>
      <x:c r="AC94" s="78"/>
      <x:c r="AD94" s="75"/>
      <x:c r="AE94" s="75"/>
      <x:c r="AF94" s="75"/>
      <x:c r="AG94" s="75"/>
      <x:c r="AH94" s="122" t="n">
        <x:v>15</x:v>
      </x:c>
      <x:c r="AI94" s="123" t="str">
        <x:v>Canonical source for Channel Types!15</x:v>
      </x:c>
    </x:row>
    <x:row r="95">
      <x:c r="A95" s="119" t="str">
        <x:v>Channel Types</x:v>
      </x:c>
      <x:c r="B95" s="121" t="str">
        <x:v>Arrivals / Welcome</x:v>
      </x:c>
      <x:c r="C95" s="75" t="str">
        <x:v>No dedicated arrival channel; system channels can announce joins</x:v>
      </x:c>
      <x:c r="D95" s="75" t="str">
        <x:v>No</x:v>
      </x:c>
      <x:c r="E95" s="75" t="str">
        <x:v>No</x:v>
      </x:c>
      <x:c r="F95" s="75" t="str">
        <x:v>No</x:v>
      </x:c>
      <x:c r="G95" s="75" t="str">
        <x:v>No native</x:v>
      </x:c>
      <x:c r="H95" s="75" t="str">
        <x:v>No native</x:v>
      </x:c>
      <x:c r="I95" s="75" t="str">
        <x:v>No</x:v>
      </x:c>
      <x:c r="J95" s="75" t="str">
        <x:v>No</x:v>
      </x:c>
      <x:c r="K95" s="75" t="str">
        <x:v>No</x:v>
      </x:c>
      <x:c r="L95" s="75" t="str">
        <x:v>No native ticket/counting/highlights/welcome/wiki/document/live-board/roster/web-link/RSS/whiteboard/tabletop channel type documented</x:v>
      </x:c>
      <x:c r="M95" s="75" t="str">
        <x:v>No</x:v>
      </x:c>
      <x:c r="N95" s="75" t="str">
        <x:v>No</x:v>
      </x:c>
      <x:c r="O95" s="75" t="str">
        <x:v>Client-dependent</x:v>
      </x:c>
      <x:c r="P95" s="75" t="str">
        <x:v>No</x:v>
      </x:c>
      <x:c r="Q95" s="75" t="str">
        <x:v>No native</x:v>
      </x:c>
      <x:c r="R95" s="75" t="str">
        <x:v>N/A</x:v>
      </x:c>
      <x:c r="S95" s="75" t="str">
        <x:v>No</x:v>
      </x:c>
      <x:c r="T95" s="75" t="str">
        <x:v>No</x:v>
      </x:c>
      <x:c r="U95" s="75" t="str">
        <x:v>No</x:v>
      </x:c>
      <x:c r="V95" s="75" t="str">
        <x:v>Yes  - Shard Settings Option</x:v>
      </x:c>
      <x:c r="W95" s="75" t="str">
        <x:v>No</x:v>
      </x:c>
      <x:c r="X95" s="75" t="str">
        <x:v>No</x:v>
      </x:c>
      <x:c r="Y95" s="75" t="str">
        <x:v>Via app</x:v>
      </x:c>
      <x:c r="Z95" s="75" t="str">
        <x:v>No native</x:v>
      </x:c>
      <x:c r="AA95" s="75" t="str">
        <x:v>No native</x:v>
      </x:c>
      <x:c r="AB95" s="75" t="str">
        <x:v>N/A</x:v>
      </x:c>
      <x:c r="AC95" s="78" t="str">
        <x:v>No</x:v>
      </x:c>
      <x:c r="AD95" s="75" t="str">
        <x:v>No</x:v>
      </x:c>
      <x:c r="AE95" s="75" t="str">
        <x:v>Arrivals/presence</x:v>
      </x:c>
      <x:c r="AF95" s="75" t="str">
        <x:v>No</x:v>
      </x:c>
      <x:c r="AG95" s="75" t="str">
        <x:v>No</x:v>
      </x:c>
      <x:c r="AH95" s="122" t="n">
        <x:v>16</x:v>
      </x:c>
      <x:c r="AI95" s="123" t="str">
        <x:v>Canonical source for Channel Types!16</x:v>
      </x:c>
    </x:row>
    <x:row r="96">
      <x:c r="A96" s="119" t="str">
        <x:v>Channel Types</x:v>
      </x:c>
      <x:c r="B96" s="121" t="str">
        <x:v>Forms / Applications</x:v>
      </x:c>
      <x:c r="C96" s="75" t="str">
        <x:v>No native form channel; apps/bots</x:v>
      </x:c>
      <x:c r="D96" s="75"/>
      <x:c r="E96" s="75"/>
      <x:c r="F96" s="75"/>
      <x:c r="G96" s="75"/>
      <x:c r="H96" s="75"/>
      <x:c r="I96" s="75"/>
      <x:c r="J96" s="75"/>
      <x:c r="K96" s="75"/>
      <x:c r="L96" s="75"/>
      <x:c r="M96" s="75"/>
      <x:c r="N96" s="75"/>
      <x:c r="O96" s="75"/>
      <x:c r="P96" s="75"/>
      <x:c r="Q96" s="75"/>
      <x:c r="R96" s="75"/>
      <x:c r="S96" s="75"/>
      <x:c r="T96" s="75"/>
      <x:c r="U96" s="75"/>
      <x:c r="V96" s="75" t="str">
        <x:v>Yes — forms can be posted in channels</x:v>
      </x:c>
      <x:c r="W96" s="75"/>
      <x:c r="X96" s="75"/>
      <x:c r="Y96" s="75"/>
      <x:c r="Z96" s="75"/>
      <x:c r="AA96" s="75"/>
      <x:c r="AB96" s="75"/>
      <x:c r="AC96" s="78"/>
      <x:c r="AD96" s="75"/>
      <x:c r="AE96" s="75"/>
      <x:c r="AF96" s="75"/>
      <x:c r="AG96" s="75"/>
      <x:c r="AH96" s="122" t="n">
        <x:v>17</x:v>
      </x:c>
      <x:c r="AI96" s="123" t="str">
        <x:v>Canonical source for Channel Types!17</x:v>
      </x:c>
    </x:row>
    <x:row r="97">
      <x:c r="A97" s="119" t="str">
        <x:v>Channel Types</x:v>
      </x:c>
      <x:c r="B97" s="121" t="str">
        <x:v>Wiki</x:v>
      </x:c>
      <x:c r="C97" s="75" t="str">
        <x:v>No native wiki channel type</x:v>
      </x:c>
      <x:c r="D97" s="75" t="str">
        <x:v>No</x:v>
      </x:c>
      <x:c r="E97" s="75" t="str">
        <x:v>No</x:v>
      </x:c>
      <x:c r="F97" s="75" t="str">
        <x:v>No</x:v>
      </x:c>
      <x:c r="G97" s="75" t="str">
        <x:v>No native</x:v>
      </x:c>
      <x:c r="H97" s="75" t="str">
        <x:v>No native</x:v>
      </x:c>
      <x:c r="I97" s="75" t="str">
        <x:v>No</x:v>
      </x:c>
      <x:c r="J97" s="75" t="str">
        <x:v>No</x:v>
      </x:c>
      <x:c r="K97" s="75" t="str">
        <x:v>No</x:v>
      </x:c>
      <x:c r="L97" s="75" t="str">
        <x:v>No native ticket/counting/highlights/welcome/wiki/document/live-board/roster/web-link/RSS/whiteboard/tabletop channel type documented</x:v>
      </x:c>
      <x:c r="M97" s="75" t="str">
        <x:v>No</x:v>
      </x:c>
      <x:c r="N97" s="75" t="str">
        <x:v>No</x:v>
      </x:c>
      <x:c r="O97" s="75" t="str">
        <x:v>Extensible/client-dependent</x:v>
      </x:c>
      <x:c r="P97" s="75" t="str">
        <x:v>No</x:v>
      </x:c>
      <x:c r="Q97" s="75" t="str">
        <x:v>No native</x:v>
      </x:c>
      <x:c r="R97" s="75" t="str">
        <x:v>N/A</x:v>
      </x:c>
      <x:c r="S97" s="75" t="str">
        <x:v>No</x:v>
      </x:c>
      <x:c r="T97" s="75" t="str">
        <x:v>No</x:v>
      </x:c>
      <x:c r="U97" s="75" t="str">
        <x:v>No</x:v>
      </x:c>
      <x:c r="V97" s="75" t="str">
        <x:v>Yes — pages, sections, drafts, files</x:v>
      </x:c>
      <x:c r="W97" s="75" t="str">
        <x:v>No</x:v>
      </x:c>
      <x:c r="X97" s="75" t="str">
        <x:v>Wiki/docs-like</x:v>
      </x:c>
      <x:c r="Y97" s="75" t="str">
        <x:v>Via app</x:v>
      </x:c>
      <x:c r="Z97" s="75" t="str">
        <x:v>No native</x:v>
      </x:c>
      <x:c r="AA97" s="75" t="str">
        <x:v>No native</x:v>
      </x:c>
      <x:c r="AB97" s="75" t="str">
        <x:v>N/A</x:v>
      </x:c>
      <x:c r="AC97" s="78" t="str">
        <x:v>Wiki</x:v>
      </x:c>
      <x:c r="AD97" s="75" t="str">
        <x:v>No</x:v>
      </x:c>
      <x:c r="AE97" s="75" t="str">
        <x:v>No</x:v>
      </x:c>
      <x:c r="AF97" s="75" t="str">
        <x:v>No</x:v>
      </x:c>
      <x:c r="AG97" s="75" t="str">
        <x:v>No</x:v>
      </x:c>
      <x:c r="AH97" s="122" t="n">
        <x:v>19</x:v>
      </x:c>
      <x:c r="AI97" s="123" t="str">
        <x:v>Canonical source for Channel Types!19</x:v>
      </x:c>
    </x:row>
    <x:row r="98">
      <x:c r="A98" s="119" t="str">
        <x:v>Channel Types</x:v>
      </x:c>
      <x:c r="B98" s="121" t="str">
        <x:v>Document</x:v>
      </x:c>
      <x:c r="C98" s="75" t="str">
        <x:v>No native document channel type</x:v>
      </x:c>
      <x:c r="D98" s="75" t="str">
        <x:v>No</x:v>
      </x:c>
      <x:c r="E98" s="75" t="str">
        <x:v>No</x:v>
      </x:c>
      <x:c r="F98" s="75" t="str">
        <x:v>No</x:v>
      </x:c>
      <x:c r="G98" s="75" t="str">
        <x:v>No native</x:v>
      </x:c>
      <x:c r="H98" s="75" t="str">
        <x:v>No native</x:v>
      </x:c>
      <x:c r="I98" s="75" t="str">
        <x:v>No</x:v>
      </x:c>
      <x:c r="J98" s="75" t="str">
        <x:v>No</x:v>
      </x:c>
      <x:c r="K98" s="75" t="str">
        <x:v>No</x:v>
      </x:c>
      <x:c r="L98" s="75" t="str">
        <x:v>No native ticket/counting/highlights/welcome/wiki/document/live-board/roster/web-link/RSS/whiteboard/tabletop channel type documented</x:v>
      </x:c>
      <x:c r="M98" s="75" t="str">
        <x:v>No</x:v>
      </x:c>
      <x:c r="N98" s="75" t="str">
        <x:v>No</x:v>
      </x:c>
      <x:c r="O98" s="75" t="str">
        <x:v>Extensible/client-dependent</x:v>
      </x:c>
      <x:c r="P98" s="75" t="str">
        <x:v>No</x:v>
      </x:c>
      <x:c r="Q98" s="75" t="str">
        <x:v>No native</x:v>
      </x:c>
      <x:c r="R98" s="75" t="str">
        <x:v>N/A</x:v>
      </x:c>
      <x:c r="S98" s="75" t="str">
        <x:v>No</x:v>
      </x:c>
      <x:c r="T98" s="75" t="str">
        <x:v>No</x:v>
      </x:c>
      <x:c r="U98" s="75" t="str">
        <x:v>No</x:v>
      </x:c>
      <x:c r="V98" s="75" t="str">
        <x:v>Yes — document channel, folders, whiteboards</x:v>
      </x:c>
      <x:c r="W98" s="75" t="str">
        <x:v>No</x:v>
      </x:c>
      <x:c r="X98" s="75" t="str">
        <x:v>Documentation pages</x:v>
      </x:c>
      <x:c r="Y98" s="75" t="str">
        <x:v>Via app</x:v>
      </x:c>
      <x:c r="Z98" s="75" t="str">
        <x:v>No native</x:v>
      </x:c>
      <x:c r="AA98" s="75" t="str">
        <x:v>No native</x:v>
      </x:c>
      <x:c r="AB98" s="75" t="str">
        <x:v>N/A</x:v>
      </x:c>
      <x:c r="AC98" s="78" t="str">
        <x:v>Wiki</x:v>
      </x:c>
      <x:c r="AD98" s="75" t="str">
        <x:v>No</x:v>
      </x:c>
      <x:c r="AE98" s="75" t="str">
        <x:v>No</x:v>
      </x:c>
      <x:c r="AF98" s="75" t="str">
        <x:v>No</x:v>
      </x:c>
      <x:c r="AG98" s="75" t="str">
        <x:v>No</x:v>
      </x:c>
      <x:c r="AH98" s="122" t="n">
        <x:v>20</x:v>
      </x:c>
      <x:c r="AI98" s="123" t="str">
        <x:v>Canonical source for Channel Types!20</x:v>
      </x:c>
    </x:row>
    <x:row r="99">
      <x:c r="A99" s="119" t="str">
        <x:v>Channel Types</x:v>
      </x:c>
      <x:c r="B99" s="121" t="str">
        <x:v>Tasks / Kanban</x:v>
      </x:c>
      <x:c r="C99" s="75" t="str">
        <x:v>No native task channel type</x:v>
      </x:c>
      <x:c r="D99" s="75" t="str">
        <x:v>No</x:v>
      </x:c>
      <x:c r="E99" s="75" t="str">
        <x:v>No</x:v>
      </x:c>
      <x:c r="F99" s="75" t="str">
        <x:v>No</x:v>
      </x:c>
      <x:c r="G99" s="75" t="str">
        <x:v>No native</x:v>
      </x:c>
      <x:c r="H99" s="75" t="str">
        <x:v>No native</x:v>
      </x:c>
      <x:c r="I99" s="75" t="str">
        <x:v>No</x:v>
      </x:c>
      <x:c r="J99" s="75" t="str">
        <x:v>No</x:v>
      </x:c>
      <x:c r="K99" s="75" t="str">
        <x:v>No</x:v>
      </x:c>
      <x:c r="L99" s="75" t="str">
        <x:v>Yes — type-17 task tracker with boards, lanes and tasks</x:v>
      </x:c>
      <x:c r="M99" s="75" t="str">
        <x:v>Tasks</x:v>
      </x:c>
      <x:c r="N99" s="75" t="str">
        <x:v>No</x:v>
      </x:c>
      <x:c r="O99" s="75" t="str">
        <x:v>Extensible/client-dependent</x:v>
      </x:c>
      <x:c r="P99" s="75" t="str">
        <x:v>Boards/tasks via products/plugins</x:v>
      </x:c>
      <x:c r="Q99" s="75" t="str">
        <x:v>No native</x:v>
      </x:c>
      <x:c r="R99" s="75" t="str">
        <x:v>N/A</x:v>
      </x:c>
      <x:c r="S99" s="75" t="str">
        <x:v>No</x:v>
      </x:c>
      <x:c r="T99" s="75" t="str">
        <x:v>No</x:v>
      </x:c>
      <x:c r="U99" s="75" t="str">
        <x:v>No</x:v>
      </x:c>
      <x:c r="V99" s="75" t="str">
        <x:v>Yes — task boards, assignees, blockers, archive</x:v>
      </x:c>
      <x:c r="W99" s="75" t="str">
        <x:v>Apps</x:v>
      </x:c>
      <x:c r="X99" s="75" t="str">
        <x:v>No</x:v>
      </x:c>
      <x:c r="Y99" s="75" t="str">
        <x:v>Via app</x:v>
      </x:c>
      <x:c r="Z99" s="75" t="str">
        <x:v>No native</x:v>
      </x:c>
      <x:c r="AA99" s="75" t="str">
        <x:v>No native</x:v>
      </x:c>
      <x:c r="AB99" s="75" t="str">
        <x:v>N/A</x:v>
      </x:c>
      <x:c r="AC99" s="78" t="str">
        <x:v>No</x:v>
      </x:c>
      <x:c r="AD99" s="75" t="str">
        <x:v>No</x:v>
      </x:c>
      <x:c r="AE99" s="75" t="str">
        <x:v>Tasks/modules</x:v>
      </x:c>
      <x:c r="AF99" s="75" t="str">
        <x:v>No</x:v>
      </x:c>
      <x:c r="AG99" s="75" t="str">
        <x:v>No dedicated task channel</x:v>
      </x:c>
      <x:c r="AH99" s="122" t="n">
        <x:v>21</x:v>
      </x:c>
      <x:c r="AI99" s="123" t="str">
        <x:v>Canonical source for Channel Types!21</x:v>
      </x:c>
    </x:row>
    <x:row r="100">
      <x:c r="A100" s="119" t="str">
        <x:v>Channel Types</x:v>
      </x:c>
      <x:c r="B100" s="121" t="str">
        <x:v>Live Board / Status Board</x:v>
      </x:c>
      <x:c r="C100" s="75" t="str">
        <x:v>No native</x:v>
      </x:c>
      <x:c r="D100" s="75"/>
      <x:c r="E100" s="75"/>
      <x:c r="F100" s="75"/>
      <x:c r="G100" s="75"/>
      <x:c r="H100" s="75"/>
      <x:c r="I100" s="75"/>
      <x:c r="J100" s="75"/>
      <x:c r="K100" s="75"/>
      <x:c r="L100" s="75" t="str">
        <x:v>No native ticket/counting/highlights/welcome/wiki/document/live-board/roster/web-link/RSS/whiteboard/tabletop channel type documented</x:v>
      </x:c>
      <x:c r="M100" s="75"/>
      <x:c r="N100" s="75"/>
      <x:c r="O100" s="75"/>
      <x:c r="P100" s="75"/>
      <x:c r="Q100" s="75"/>
      <x:c r="R100" s="75"/>
      <x:c r="S100" s="75"/>
      <x:c r="T100" s="75"/>
      <x:c r="U100" s="75"/>
      <x:c r="V100" s="75" t="str">
        <x:v>Yes — live status cards / tool-fed boards</x:v>
      </x:c>
      <x:c r="W100" s="75"/>
      <x:c r="X100" s="75"/>
      <x:c r="Y100" s="75"/>
      <x:c r="Z100" s="75"/>
      <x:c r="AA100" s="75"/>
      <x:c r="AB100" s="75"/>
      <x:c r="AC100" s="78"/>
      <x:c r="AD100" s="75"/>
      <x:c r="AE100" s="75"/>
      <x:c r="AF100" s="75"/>
      <x:c r="AG100" s="75"/>
      <x:c r="AH100" s="122" t="n">
        <x:v>22</x:v>
      </x:c>
      <x:c r="AI100" s="123" t="str">
        <x:v>Canonical source for Channel Types!22</x:v>
      </x:c>
    </x:row>
    <x:row r="101">
      <x:c r="A101" s="119" t="str">
        <x:v>Channel Types</x:v>
      </x:c>
      <x:c r="B101" s="121" t="str">
        <x:v>Roster / Team List</x:v>
      </x:c>
      <x:c r="C101" s="75" t="str">
        <x:v>No native roster channel type</x:v>
      </x:c>
      <x:c r="D101" s="75" t="str">
        <x:v>No</x:v>
      </x:c>
      <x:c r="E101" s="75" t="str">
        <x:v>No</x:v>
      </x:c>
      <x:c r="F101" s="75" t="str">
        <x:v>No</x:v>
      </x:c>
      <x:c r="G101" s="75" t="str">
        <x:v>No native</x:v>
      </x:c>
      <x:c r="H101" s="75" t="str">
        <x:v>No native</x:v>
      </x:c>
      <x:c r="I101" s="75" t="str">
        <x:v>No</x:v>
      </x:c>
      <x:c r="J101" s="75" t="str">
        <x:v>No</x:v>
      </x:c>
      <x:c r="K101" s="75" t="str">
        <x:v>No</x:v>
      </x:c>
      <x:c r="L101" s="75" t="str">
        <x:v>No native ticket/counting/highlights/welcome/wiki/document/live-board/roster/web-link/RSS/whiteboard/tabletop channel type documented</x:v>
      </x:c>
      <x:c r="M101" s="75" t="str">
        <x:v>No</x:v>
      </x:c>
      <x:c r="N101" s="75" t="str">
        <x:v>No</x:v>
      </x:c>
      <x:c r="O101" s="75" t="str">
        <x:v>Extensible/client-dependent</x:v>
      </x:c>
      <x:c r="P101" s="75" t="str">
        <x:v>No</x:v>
      </x:c>
      <x:c r="Q101" s="75" t="str">
        <x:v>No native</x:v>
      </x:c>
      <x:c r="R101" s="75" t="str">
        <x:v>N/A</x:v>
      </x:c>
      <x:c r="S101" s="75" t="str">
        <x:v>No</x:v>
      </x:c>
      <x:c r="T101" s="75" t="str">
        <x:v>No</x:v>
      </x:c>
      <x:c r="U101" s="75" t="str">
        <x:v>No</x:v>
      </x:c>
      <x:c r="V101" s="75" t="str">
        <x:v>Experimental — dynamic role/member-derived roster</x:v>
      </x:c>
      <x:c r="W101" s="75" t="str">
        <x:v>No</x:v>
      </x:c>
      <x:c r="X101" s="75" t="str">
        <x:v>No</x:v>
      </x:c>
      <x:c r="Y101" s="75" t="str">
        <x:v>Via app (Raid Planner)</x:v>
      </x:c>
      <x:c r="Z101" s="75" t="str">
        <x:v>No native</x:v>
      </x:c>
      <x:c r="AA101" s="75" t="str">
        <x:v>No native</x:v>
      </x:c>
      <x:c r="AB101" s="75" t="str">
        <x:v>N/A</x:v>
      </x:c>
      <x:c r="AC101" s="78" t="str">
        <x:v>No</x:v>
      </x:c>
      <x:c r="AD101" s="75" t="str">
        <x:v>No</x:v>
      </x:c>
      <x:c r="AE101" s="75" t="str">
        <x:v>Roster/team modules</x:v>
      </x:c>
      <x:c r="AF101" s="75" t="str">
        <x:v>No</x:v>
      </x:c>
      <x:c r="AG101" s="75" t="str">
        <x:v>No</x:v>
      </x:c>
      <x:c r="AH101" s="122" t="n">
        <x:v>23</x:v>
      </x:c>
      <x:c r="AI101" s="123" t="str">
        <x:v>Canonical source for Channel Types!23</x:v>
      </x:c>
    </x:row>
    <x:row r="102">
      <x:c r="A102" s="119" t="str">
        <x:v>Channel Types</x:v>
      </x:c>
      <x:c r="B102" s="121" t="str">
        <x:v>Web Link / Shortcut</x:v>
      </x:c>
      <x:c r="C102" s="75" t="str">
        <x:v>No native web-link channel type; links/embeds can be posted</x:v>
      </x:c>
      <x:c r="D102" s="75" t="str">
        <x:v>No</x:v>
      </x:c>
      <x:c r="E102" s="75" t="str">
        <x:v>No</x:v>
      </x:c>
      <x:c r="F102" s="75" t="str">
        <x:v>No</x:v>
      </x:c>
      <x:c r="G102" s="75" t="str">
        <x:v>No native</x:v>
      </x:c>
      <x:c r="H102" s="75" t="str">
        <x:v>No native</x:v>
      </x:c>
      <x:c r="I102" s="75" t="str">
        <x:v>No</x:v>
      </x:c>
      <x:c r="J102" s="75" t="str">
        <x:v>No</x:v>
      </x:c>
      <x:c r="K102" s="75" t="str">
        <x:v>No</x:v>
      </x:c>
      <x:c r="L102" s="75" t="str">
        <x:v>No native ticket/counting/highlights/welcome/wiki/document/live-board/roster/web-link/RSS/whiteboard/tabletop channel type documented</x:v>
      </x:c>
      <x:c r="M102" s="75" t="str">
        <x:v>No</x:v>
      </x:c>
      <x:c r="N102" s="75" t="str">
        <x:v>No</x:v>
      </x:c>
      <x:c r="O102" s="75" t="str">
        <x:v>Extensible/client-dependent</x:v>
      </x:c>
      <x:c r="P102" s="75" t="str">
        <x:v>No</x:v>
      </x:c>
      <x:c r="Q102" s="75" t="str">
        <x:v>No native</x:v>
      </x:c>
      <x:c r="R102" s="75" t="str">
        <x:v>N/A</x:v>
      </x:c>
      <x:c r="S102" s="75" t="str">
        <x:v>No</x:v>
      </x:c>
      <x:c r="T102" s="75" t="str">
        <x:v>No</x:v>
      </x:c>
      <x:c r="U102" s="75" t="str">
        <x:v>No</x:v>
      </x:c>
      <x:c r="V102" s="75" t="str">
        <x:v>Yes — Link channel</x:v>
      </x:c>
      <x:c r="W102" s="75" t="str">
        <x:v>No</x:v>
      </x:c>
      <x:c r="X102" s="75" t="str">
        <x:v>ATProto links</x:v>
      </x:c>
      <x:c r="Y102" s="75" t="str">
        <x:v>Via app</x:v>
      </x:c>
      <x:c r="Z102" s="75" t="str">
        <x:v>No native</x:v>
      </x:c>
      <x:c r="AA102" s="75" t="str">
        <x:v>No native</x:v>
      </x:c>
      <x:c r="AB102" s="75" t="str">
        <x:v>N/A</x:v>
      </x:c>
      <x:c r="AC102" s="78" t="str">
        <x:v>No</x:v>
      </x:c>
      <x:c r="AD102" s="75" t="str">
        <x:v>No</x:v>
      </x:c>
      <x:c r="AE102" s="75" t="str">
        <x:v>Web/media stage</x:v>
      </x:c>
      <x:c r="AF102" s="75" t="str">
        <x:v>No</x:v>
      </x:c>
      <x:c r="AG102" s="75" t="str">
        <x:v>No</x:v>
      </x:c>
      <x:c r="AH102" s="122" t="n">
        <x:v>24</x:v>
      </x:c>
      <x:c r="AI102" s="123" t="str">
        <x:v>Canonical source for Channel Types!24</x:v>
      </x:c>
    </x:row>
    <x:row r="103">
      <x:c r="A103" s="119" t="str">
        <x:v>Channel Types</x:v>
      </x:c>
      <x:c r="B103" s="121" t="str">
        <x:v>Calendar / Events</x:v>
      </x:c>
      <x:c r="C103" s="75" t="str">
        <x:v>Partial — Scheduled Events, not a channel</x:v>
      </x:c>
      <x:c r="D103" s="75" t="str">
        <x:v>No</x:v>
      </x:c>
      <x:c r="E103" s="75" t="str">
        <x:v>No</x:v>
      </x:c>
      <x:c r="F103" s="75" t="str">
        <x:v>No</x:v>
      </x:c>
      <x:c r="G103" s="75" t="str">
        <x:v>Events rather than calendar channel</x:v>
      </x:c>
      <x:c r="H103" s="75" t="str">
        <x:v>No native</x:v>
      </x:c>
      <x:c r="I103" s="75" t="str">
        <x:v>Events</x:v>
      </x:c>
      <x:c r="J103" s="75" t="str">
        <x:v>No</x:v>
      </x:c>
      <x:c r="K103" s="75" t="str">
        <x:v>No</x:v>
      </x:c>
      <x:c r="L103" s="75" t="str">
        <x:v>Scheduled events exist, but no dedicated calendar channel type verified</x:v>
      </x:c>
      <x:c r="M103" s="75" t="str">
        <x:v>Calendar</x:v>
      </x:c>
      <x:c r="N103" s="75" t="str">
        <x:v>No</x:v>
      </x:c>
      <x:c r="O103" s="75" t="str">
        <x:v>Client-dependent</x:v>
      </x:c>
      <x:c r="P103" s="75" t="str">
        <x:v>No</x:v>
      </x:c>
      <x:c r="Q103" s="75" t="str">
        <x:v>No native</x:v>
      </x:c>
      <x:c r="R103" s="75" t="str">
        <x:v>N/A</x:v>
      </x:c>
      <x:c r="S103" s="75" t="str">
        <x:v>No</x:v>
      </x:c>
      <x:c r="T103" s="75" t="str">
        <x:v>No</x:v>
      </x:c>
      <x:c r="U103" s="75" t="str">
        <x:v>No</x:v>
      </x:c>
      <x:c r="V103" s="75" t="str">
        <x:v>Yes — Shard events + multiple calendars</x:v>
      </x:c>
      <x:c r="W103" s="75" t="str">
        <x:v>Calendar apps/integrations</x:v>
      </x:c>
      <x:c r="X103" s="75" t="str">
        <x:v>No</x:v>
      </x:c>
      <x:c r="Y103" s="75" t="str">
        <x:v>Via app</x:v>
      </x:c>
      <x:c r="Z103" s="75" t="str">
        <x:v>No native</x:v>
      </x:c>
      <x:c r="AA103" s="75" t="str">
        <x:v>No native</x:v>
      </x:c>
      <x:c r="AB103" s="75" t="str">
        <x:v>N/A</x:v>
      </x:c>
      <x:c r="AC103" s="78"/>
      <x:c r="AD103" s="75" t="str">
        <x:v>No</x:v>
      </x:c>
      <x:c r="AE103" s="75" t="str">
        <x:v>Events</x:v>
      </x:c>
      <x:c r="AF103" s="75" t="str">
        <x:v>No</x:v>
      </x:c>
      <x:c r="AG103" s="75" t="str">
        <x:v>No dedicated calendar; integrations</x:v>
      </x:c>
      <x:c r="AH103" s="122" t="n">
        <x:v>25</x:v>
      </x:c>
      <x:c r="AI103" s="123" t="str">
        <x:v>Canonical source for Channel Types!25</x:v>
      </x:c>
    </x:row>
    <x:row r="104">
      <x:c r="A104" s="119" t="str">
        <x:v>Channel Types</x:v>
      </x:c>
      <x:c r="B104" s="121" t="str">
        <x:v>RSS / Feed</x:v>
      </x:c>
      <x:c r="C104" s="75" t="str">
        <x:v>No native; webhooks/apps</x:v>
      </x:c>
      <x:c r="D104" s="75" t="str">
        <x:v>No</x:v>
      </x:c>
      <x:c r="E104" s="75" t="str">
        <x:v>No</x:v>
      </x:c>
      <x:c r="F104" s="75" t="str">
        <x:v>No</x:v>
      </x:c>
      <x:c r="G104" s="75" t="str">
        <x:v>No native</x:v>
      </x:c>
      <x:c r="H104" s="75" t="str">
        <x:v>No native</x:v>
      </x:c>
      <x:c r="I104" s="75" t="str">
        <x:v>No</x:v>
      </x:c>
      <x:c r="J104" s="75" t="str">
        <x:v>No</x:v>
      </x:c>
      <x:c r="K104" s="75" t="str">
        <x:v>No</x:v>
      </x:c>
      <x:c r="L104" s="75" t="str">
        <x:v>No native ticket/counting/highlights/welcome/wiki/document/live-board/roster/web-link/RSS/whiteboard/tabletop channel type documented</x:v>
      </x:c>
      <x:c r="M104" s="75" t="str">
        <x:v>No</x:v>
      </x:c>
      <x:c r="N104" s="75" t="str">
        <x:v>No</x:v>
      </x:c>
      <x:c r="O104" s="75" t="str">
        <x:v>Via integrations/bots</x:v>
      </x:c>
      <x:c r="P104" s="75" t="str">
        <x:v>Integrations</x:v>
      </x:c>
      <x:c r="Q104" s="75" t="str">
        <x:v>No native</x:v>
      </x:c>
      <x:c r="R104" s="75" t="str">
        <x:v>N/A</x:v>
      </x:c>
      <x:c r="S104" s="75" t="str">
        <x:v>No</x:v>
      </x:c>
      <x:c r="T104" s="75" t="str">
        <x:v>No</x:v>
      </x:c>
      <x:c r="U104" s="75" t="str">
        <x:v>No</x:v>
      </x:c>
      <x:c r="V104" s="75" t="str">
        <x:v>Portal rather than channel — built-in RSS reader</x:v>
      </x:c>
      <x:c r="W104" s="75" t="str">
        <x:v>Apps</x:v>
      </x:c>
      <x:c r="X104" s="75" t="str">
        <x:v>No</x:v>
      </x:c>
      <x:c r="Y104" s="75" t="str">
        <x:v>Via app</x:v>
      </x:c>
      <x:c r="Z104" s="75" t="str">
        <x:v>No native</x:v>
      </x:c>
      <x:c r="AA104" s="75" t="str">
        <x:v>No native</x:v>
      </x:c>
      <x:c r="AB104" s="75" t="str">
        <x:v>N/A</x:v>
      </x:c>
      <x:c r="AC104" s="78" t="str">
        <x:v>No</x:v>
      </x:c>
      <x:c r="AD104" s="75" t="str">
        <x:v>No</x:v>
      </x:c>
      <x:c r="AE104" s="75"/>
      <x:c r="AF104" s="75" t="str">
        <x:v>No</x:v>
      </x:c>
      <x:c r="AG104" s="75" t="str">
        <x:v>Via integrations</x:v>
      </x:c>
      <x:c r="AH104" s="122" t="n">
        <x:v>26</x:v>
      </x:c>
      <x:c r="AI104" s="123" t="str">
        <x:v>Canonical source for Channel Types!26</x:v>
      </x:c>
    </x:row>
    <x:row r="105">
      <x:c r="A105" s="119" t="str">
        <x:v>Channel Types</x:v>
      </x:c>
      <x:c r="B105" s="121" t="str">
        <x:v>Whiteboard</x:v>
      </x:c>
      <x:c r="C105" s="75" t="str">
        <x:v>Activities/apps</x:v>
      </x:c>
      <x:c r="D105" s="75"/>
      <x:c r="E105" s="75"/>
      <x:c r="F105" s="75"/>
      <x:c r="G105" s="75"/>
      <x:c r="H105" s="75"/>
      <x:c r="I105" s="75"/>
      <x:c r="J105" s="75"/>
      <x:c r="K105" s="75"/>
      <x:c r="L105" s="75" t="str">
        <x:v>No native ticket/counting/highlights/welcome/wiki/document/live-board/roster/web-link/RSS/whiteboard/tabletop channel type documented</x:v>
      </x:c>
      <x:c r="M105" s="75"/>
      <x:c r="N105" s="75"/>
      <x:c r="O105" s="75"/>
      <x:c r="P105" s="75"/>
      <x:c r="Q105" s="75"/>
      <x:c r="R105" s="75"/>
      <x:c r="S105" s="75"/>
      <x:c r="T105" s="75"/>
      <x:c r="U105" s="75"/>
      <x:c r="V105" s="75" t="str">
        <x:v>Yes — within Documents</x:v>
      </x:c>
      <x:c r="W105" s="75"/>
      <x:c r="X105" s="75"/>
      <x:c r="Y105" s="75"/>
      <x:c r="Z105" s="75"/>
      <x:c r="AA105" s="75"/>
      <x:c r="AB105" s="75"/>
      <x:c r="AC105" s="78"/>
      <x:c r="AD105" s="75"/>
      <x:c r="AE105" s="75"/>
      <x:c r="AF105" s="75"/>
      <x:c r="AG105" s="75"/>
      <x:c r="AH105" s="122" t="n">
        <x:v>27</x:v>
      </x:c>
      <x:c r="AI105" s="123" t="str">
        <x:v>Canonical source for Channel Types!27</x:v>
      </x:c>
    </x:row>
    <x:row r="106">
      <x:c r="A106" s="119" t="str">
        <x:v>Channel Types</x:v>
      </x:c>
      <x:c r="B106" s="121" t="str">
        <x:v>Tabletop</x:v>
      </x:c>
      <x:c r="C106" s="75" t="str">
        <x:v>Activities/apps</x:v>
      </x:c>
      <x:c r="D106" s="75"/>
      <x:c r="E106" s="75"/>
      <x:c r="F106" s="75"/>
      <x:c r="G106" s="75"/>
      <x:c r="H106" s="75"/>
      <x:c r="I106" s="75"/>
      <x:c r="J106" s="75"/>
      <x:c r="K106" s="75"/>
      <x:c r="L106" s="75" t="str">
        <x:v>No native ticket/counting/highlights/welcome/wiki/document/live-board/roster/web-link/RSS/whiteboard/tabletop channel type documented</x:v>
      </x:c>
      <x:c r="M106" s="75"/>
      <x:c r="N106" s="75"/>
      <x:c r="O106" s="75"/>
      <x:c r="P106" s="75"/>
      <x:c r="Q106" s="75"/>
      <x:c r="R106" s="75"/>
      <x:c r="S106" s="75"/>
      <x:c r="T106" s="75"/>
      <x:c r="U106" s="75"/>
      <x:c r="V106" s="75" t="str">
        <x:v>Experimental — dedicated Tabletop workspace/channel</x:v>
      </x:c>
      <x:c r="W106" s="75"/>
      <x:c r="X106" s="75"/>
      <x:c r="Y106" s="75"/>
      <x:c r="Z106" s="75"/>
      <x:c r="AA106" s="75"/>
      <x:c r="AB106" s="75"/>
      <x:c r="AC106" s="78"/>
      <x:c r="AD106" s="75"/>
      <x:c r="AE106" s="75"/>
      <x:c r="AF106" s="75"/>
      <x:c r="AG106" s="75"/>
      <x:c r="AH106" s="122" t="n">
        <x:v>28</x:v>
      </x:c>
      <x:c r="AI106" s="123" t="str">
        <x:v>Canonical source for Channel Types!28</x:v>
      </x:c>
    </x:row>
    <x:row r="107">
      <x:c r="A107" s="119" t="str">
        <x:v>Extra Features</x:v>
      </x:c>
      <x:c r="B107" s="121" t="str">
        <x:v>Rich Presence</x:v>
      </x:c>
      <x:c r="C107" s="75" t="str">
        <x:v>Yes — Rich Presence</x:v>
      </x:c>
      <x:c r="D107" s="75"/>
      <x:c r="E107" s="75"/>
      <x:c r="F107" s="75"/>
      <x:c r="G107" s="75"/>
      <x:c r="H107" s="75" t="str">
        <x:v>Yes</x:v>
      </x:c>
      <x:c r="I107" s="75" t="str">
        <x:v>Rich presence/overlay</x:v>
      </x:c>
      <x:c r="J107" s="75"/>
      <x:c r="K107" s="75" t="str">
        <x:v>Twitch integration/badges</x:v>
      </x:c>
      <x:c r="L107" s="75" t="str">
        <x:v>Yes — developer-reported</x:v>
      </x:c>
      <x:c r="M107" s="75"/>
      <x:c r="N107" s="75"/>
      <x:c r="O107" s="75" t="str">
        <x:v>Client-dependent</x:v>
      </x:c>
      <x:c r="P107" s="75" t="str">
        <x:v>Integrations/status</x:v>
      </x:c>
      <x:c r="Q107" s="75"/>
      <x:c r="R107" s="75" t="str">
        <x:v>Game integration/positional audio</x:v>
      </x:c>
      <x:c r="S107" s="75" t="str">
        <x:v>Rich Presence extension</x:v>
      </x:c>
      <x:c r="T107" s="75"/>
      <x:c r="U107" s="75" t="str">
        <x:v>Not claimed as a headline feature</x:v>
      </x:c>
      <x:c r="V107" s="75" t="str">
        <x:v>Portal/tool integrations</x:v>
      </x:c>
      <x:c r="W107" s="75" t="str">
        <x:v>Integrations/status</x:v>
      </x:c>
      <x:c r="X107" s="75"/>
      <x:c r="Y107" s="75"/>
      <x:c r="Z107" s="75" t="str">
        <x:v>Discord-compatible target</x:v>
      </x:c>
      <x:c r="AA107" s="75" t="str">
        <x:v>Yes</x:v>
      </x:c>
      <x:c r="AB107" s="75" t="str">
        <x:v>Game-oriented presence/plugins</x:v>
      </x:c>
      <x:c r="AC107" s="78"/>
      <x:c r="AD107" s="75"/>
      <x:c r="AE107" s="75" t="str">
        <x:v>Deep game presence</x:v>
      </x:c>
      <x:c r="AF107" s="75"/>
      <x:c r="AG107" s="75" t="str">
        <x:v>No game rich presence</x:v>
      </x:c>
      <x:c r="AH107" s="122" t="n">
        <x:v>4</x:v>
      </x:c>
      <x:c r="AI107" s="123" t="str">
        <x:v>Canonical source for Extra Features!4</x:v>
      </x:c>
    </x:row>
    <x:row r="108">
      <x:c r="A108" s="119" t="str">
        <x:v>Extra Features</x:v>
      </x:c>
      <x:c r="B108" s="121" t="str">
        <x:v>Server / Community Soundboards</x:v>
      </x:c>
      <x:c r="C108" s="75" t="str">
        <x:v>Yes — server Soundboard</x:v>
      </x:c>
      <x:c r="D108" s="75" t="str">
        <x:v>No</x:v>
      </x:c>
      <x:c r="E108" s="75"/>
      <x:c r="F108" s="75" t="str">
        <x:v>No</x:v>
      </x:c>
      <x:c r="G108" s="75"/>
      <x:c r="H108" s="75"/>
      <x:c r="I108" s="75" t="str">
        <x:v>Yes — imported soundboard</x:v>
      </x:c>
      <x:c r="J108" s="75"/>
      <x:c r="K108" s="75" t="str">
        <x:v>No</x:v>
      </x:c>
      <x:c r="L108" s="75" t="str">
        <x:v>Yes — guild soundboards are exposed in the official Python SDK</x:v>
      </x:c>
      <x:c r="M108" s="75"/>
      <x:c r="N108" s="75"/>
      <x:c r="O108" s="75" t="str">
        <x:v>Client-dependent</x:v>
      </x:c>
      <x:c r="P108" s="75" t="str">
        <x:v>No native soundboard</x:v>
      </x:c>
      <x:c r="Q108" s="75"/>
      <x:c r="R108" s="75" t="str">
        <x:v>No</x:v>
      </x:c>
      <x:c r="S108" s="75" t="str">
        <x:v>No</x:v>
      </x:c>
      <x:c r="T108" s="75"/>
      <x:c r="U108" s="75" t="str">
        <x:v>Not claimed as a Discord-parity feature</x:v>
      </x:c>
      <x:c r="V108" s="75" t="str">
        <x:v>Yes</x:v>
      </x:c>
      <x:c r="W108" s="75" t="str">
        <x:v>No native gaming soundboard</x:v>
      </x:c>
      <x:c r="X108" s="75" t="str">
        <x:v>No</x:v>
      </x:c>
      <x:c r="Y108" s="75"/>
      <x:c r="Z108" s="75"/>
      <x:c r="AA108" s="75" t="str">
        <x:v>No native soundboard verified</x:v>
      </x:c>
      <x:c r="AB108" s="75"/>
      <x:c r="AC108" s="78" t="str">
        <x:v>No</x:v>
      </x:c>
      <x:c r="AD108" s="75"/>
      <x:c r="AE108" s="75" t="str">
        <x:v>No</x:v>
      </x:c>
      <x:c r="AF108" s="75" t="str">
        <x:v>No</x:v>
      </x:c>
      <x:c r="AG108" s="75" t="str">
        <x:v>No</x:v>
      </x:c>
      <x:c r="AH108" s="122" t="n">
        <x:v>6</x:v>
      </x:c>
      <x:c r="AI108" s="123" t="str">
        <x:v>Canonical source for Extra Features!6</x:v>
      </x:c>
    </x:row>
    <x:row r="109">
      <x:c r="A109" s="119" t="str">
        <x:v>Extra Features</x:v>
      </x:c>
      <x:c r="B109" s="121" t="str">
        <x:v>Personal Soundboard</x:v>
      </x:c>
      <x:c r="C109" s="75" t="str">
        <x:v>Partial — server soundboards can be used/favorited; no separate personal soundboard</x:v>
      </x:c>
      <x:c r="D109" s="75" t="str">
        <x:v>No</x:v>
      </x:c>
      <x:c r="E109" s="75"/>
      <x:c r="F109" s="75" t="str">
        <x:v>No</x:v>
      </x:c>
      <x:c r="G109" s="75"/>
      <x:c r="H109" s="75"/>
      <x:c r="I109" s="75"/>
      <x:c r="J109" s="75"/>
      <x:c r="K109" s="75" t="str">
        <x:v>No</x:v>
      </x:c>
      <x:c r="L109" s="75" t="str">
        <x:v>Scope not separately documented; guild soundboards are verified</x:v>
      </x:c>
      <x:c r="M109" s="75"/>
      <x:c r="N109" s="75"/>
      <x:c r="O109" s="75" t="str">
        <x:v>Client-dependent</x:v>
      </x:c>
      <x:c r="P109" s="75" t="str">
        <x:v>No</x:v>
      </x:c>
      <x:c r="Q109" s="75"/>
      <x:c r="R109" s="75" t="str">
        <x:v>No</x:v>
      </x:c>
      <x:c r="S109" s="75" t="str">
        <x:v>No</x:v>
      </x:c>
      <x:c r="T109" s="75"/>
      <x:c r="U109" s="75" t="str">
        <x:v>Not claimed as a Discord-parity feature</x:v>
      </x:c>
      <x:c r="V109" s="75" t="str">
        <x:v>Yes</x:v>
      </x:c>
      <x:c r="W109" s="75" t="str">
        <x:v>No</x:v>
      </x:c>
      <x:c r="X109" s="75" t="str">
        <x:v>No</x:v>
      </x:c>
      <x:c r="Y109" s="75"/>
      <x:c r="Z109" s="75"/>
      <x:c r="AA109" s="75" t="str">
        <x:v>No</x:v>
      </x:c>
      <x:c r="AB109" s="75"/>
      <x:c r="AC109" s="78" t="str">
        <x:v>No</x:v>
      </x:c>
      <x:c r="AD109" s="75"/>
      <x:c r="AE109" s="75" t="str">
        <x:v>No</x:v>
      </x:c>
      <x:c r="AF109" s="75" t="str">
        <x:v>No</x:v>
      </x:c>
      <x:c r="AG109" s="75" t="str">
        <x:v>No</x:v>
      </x:c>
      <x:c r="AH109" s="122" t="n">
        <x:v>7</x:v>
      </x:c>
      <x:c r="AI109" s="123" t="str">
        <x:v>Canonical source for Extra Features!7</x:v>
      </x:c>
    </x:row>
    <x:row r="110">
      <x:c r="A110" s="119" t="str">
        <x:v>Extra Features</x:v>
      </x:c>
      <x:c r="B110" s="121" t="str">
        <x:v>Voice Changer</x:v>
      </x:c>
      <x:c r="C110" s="75" t="str">
        <x:v>No native</x:v>
      </x:c>
      <x:c r="D110" s="75"/>
      <x:c r="E110" s="75"/>
      <x:c r="F110" s="75"/>
      <x:c r="G110" s="75"/>
      <x:c r="H110" s="75"/>
      <x:c r="I110" s="75"/>
      <x:c r="J110" s="75"/>
      <x:c r="K110" s="75"/>
      <x:c r="L110" s="75" t="str">
        <x:v>No native voice changer documented</x:v>
      </x:c>
      <x:c r="M110" s="75"/>
      <x:c r="N110" s="75"/>
      <x:c r="O110" s="75"/>
      <x:c r="P110" s="75"/>
      <x:c r="Q110" s="75"/>
      <x:c r="R110" s="75"/>
      <x:c r="S110" s="75"/>
      <x:c r="T110" s="75"/>
      <x:c r="U110" s="75"/>
      <x:c r="V110" s="75" t="str">
        <x:v>Yes</x:v>
      </x:c>
      <x:c r="W110" s="75"/>
      <x:c r="X110" s="75"/>
      <x:c r="Y110" s="75"/>
      <x:c r="Z110" s="75"/>
      <x:c r="AA110" s="75"/>
      <x:c r="AB110" s="75" t="str">
        <x:v>Plugin dependent</x:v>
      </x:c>
      <x:c r="AC110" s="78"/>
      <x:c r="AD110" s="75"/>
      <x:c r="AE110" s="75"/>
      <x:c r="AF110" s="75"/>
      <x:c r="AG110" s="75"/>
      <x:c r="AH110" s="122" t="n">
        <x:v>8</x:v>
      </x:c>
      <x:c r="AI110" s="123" t="str">
        <x:v>Canonical source for Extra Features!8</x:v>
      </x:c>
    </x:row>
    <x:row r="111">
      <x:c r="A111" s="119" t="str">
        <x:v>Extra Features</x:v>
      </x:c>
      <x:c r="B111" s="121" t="str">
        <x:v>Leveling / XP</x:v>
      </x:c>
      <x:c r="C111" s="75" t="str">
        <x:v>No native; bots/apps</x:v>
      </x:c>
      <x:c r="D111" s="75"/>
      <x:c r="E111" s="75"/>
      <x:c r="F111" s="75"/>
      <x:c r="G111" s="75"/>
      <x:c r="H111" s="75"/>
      <x:c r="I111" s="75"/>
      <x:c r="J111" s="75"/>
      <x:c r="K111" s="75"/>
      <x:c r="L111" s="75" t="str">
        <x:v>No native leveling/XP system documented</x:v>
      </x:c>
      <x:c r="M111" s="75"/>
      <x:c r="N111" s="75"/>
      <x:c r="O111" s="75"/>
      <x:c r="P111" s="75"/>
      <x:c r="Q111" s="75"/>
      <x:c r="R111" s="75"/>
      <x:c r="S111" s="75"/>
      <x:c r="T111" s="75"/>
      <x:c r="U111" s="75"/>
      <x:c r="V111" s="75" t="str">
        <x:v>Yes — opt-in XP, roles/unlocks, leaderboard</x:v>
      </x:c>
      <x:c r="W111" s="75"/>
      <x:c r="X111" s="75"/>
      <x:c r="Y111" s="75"/>
      <x:c r="Z111" s="75"/>
      <x:c r="AA111" s="75"/>
      <x:c r="AB111" s="75"/>
      <x:c r="AC111" s="78"/>
      <x:c r="AD111" s="75"/>
      <x:c r="AE111" s="75"/>
      <x:c r="AF111" s="75"/>
      <x:c r="AG111" s="75"/>
      <x:c r="AH111" s="122" t="n">
        <x:v>10</x:v>
      </x:c>
      <x:c r="AI111" s="123" t="str">
        <x:v>Canonical source for Extra Features!10</x:v>
      </x:c>
    </x:row>
    <x:row r="112">
      <x:c r="A112" s="119" t="str">
        <x:v>Extra Features</x:v>
      </x:c>
      <x:c r="B112" s="121" t="str">
        <x:v>Giveaways / Raffles</x:v>
      </x:c>
      <x:c r="C112" s="75" t="str">
        <x:v>No native; bots/apps</x:v>
      </x:c>
      <x:c r="D112" s="75"/>
      <x:c r="E112" s="75"/>
      <x:c r="F112" s="75"/>
      <x:c r="G112" s="75"/>
      <x:c r="H112" s="75"/>
      <x:c r="I112" s="75"/>
      <x:c r="J112" s="75"/>
      <x:c r="K112" s="75"/>
      <x:c r="L112" s="75" t="str">
        <x:v>No native giveaways/raffles system documented</x:v>
      </x:c>
      <x:c r="M112" s="75"/>
      <x:c r="N112" s="75"/>
      <x:c r="O112" s="75"/>
      <x:c r="P112" s="75"/>
      <x:c r="Q112" s="75"/>
      <x:c r="R112" s="75"/>
      <x:c r="S112" s="75"/>
      <x:c r="T112" s="75"/>
      <x:c r="U112" s="75"/>
      <x:c r="V112" s="75" t="str">
        <x:v>Yes — verifiable cryptographic draw</x:v>
      </x:c>
      <x:c r="W112" s="75"/>
      <x:c r="X112" s="75"/>
      <x:c r="Y112" s="75"/>
      <x:c r="Z112" s="75"/>
      <x:c r="AA112" s="75"/>
      <x:c r="AB112" s="75"/>
      <x:c r="AC112" s="78"/>
      <x:c r="AD112" s="75"/>
      <x:c r="AE112" s="75"/>
      <x:c r="AF112" s="75"/>
      <x:c r="AG112" s="75"/>
      <x:c r="AH112" s="122" t="n">
        <x:v>11</x:v>
      </x:c>
      <x:c r="AI112" s="123" t="str">
        <x:v>Canonical source for Extra Features!11</x:v>
      </x:c>
    </x:row>
    <x:row r="113">
      <x:c r="A113" s="119" t="str">
        <x:v>Extra Features</x:v>
      </x:c>
      <x:c r="B113" s="121" t="str">
        <x:v>Reaction Roles</x:v>
      </x:c>
      <x:c r="C113" s="75" t="str">
        <x:v>No native general reaction-role builder; bots/apps</x:v>
      </x:c>
      <x:c r="D113" s="75"/>
      <x:c r="E113" s="75"/>
      <x:c r="F113" s="75"/>
      <x:c r="G113" s="75"/>
      <x:c r="H113" s="75"/>
      <x:c r="I113" s="75"/>
      <x:c r="J113" s="75"/>
      <x:c r="K113" s="75"/>
      <x:c r="L113" s="75"/>
      <x:c r="M113" s="75"/>
      <x:c r="N113" s="75"/>
      <x:c r="O113" s="75"/>
      <x:c r="P113" s="75"/>
      <x:c r="Q113" s="75"/>
      <x:c r="R113" s="75"/>
      <x:c r="S113" s="75"/>
      <x:c r="T113" s="75"/>
      <x:c r="U113" s="75"/>
      <x:c r="V113" s="75" t="str">
        <x:v>Yes</x:v>
      </x:c>
      <x:c r="W113" s="75"/>
      <x:c r="X113" s="75"/>
      <x:c r="Y113" s="75"/>
      <x:c r="Z113" s="75"/>
      <x:c r="AA113" s="75"/>
      <x:c r="AB113" s="75"/>
      <x:c r="AC113" s="78"/>
      <x:c r="AD113" s="75"/>
      <x:c r="AE113" s="75"/>
      <x:c r="AF113" s="75"/>
      <x:c r="AG113" s="75"/>
      <x:c r="AH113" s="122" t="n">
        <x:v>12</x:v>
      </x:c>
      <x:c r="AI113" s="123" t="str">
        <x:v>Canonical source for Extra Features!12</x:v>
      </x:c>
    </x:row>
    <x:row r="114">
      <x:c r="A114" s="119" t="str">
        <x:v>Extra Features</x:v>
      </x:c>
      <x:c r="B114" s="121" t="str">
        <x:v>Live Stream Alerts</x:v>
      </x:c>
      <x:c r="C114" s="75" t="str">
        <x:v>Bots/webhooks/apps</x:v>
      </x:c>
      <x:c r="D114" s="75"/>
      <x:c r="E114" s="75"/>
      <x:c r="F114" s="75"/>
      <x:c r="G114" s="75"/>
      <x:c r="H114" s="75"/>
      <x:c r="I114" s="75"/>
      <x:c r="J114" s="75"/>
      <x:c r="K114" s="75"/>
      <x:c r="L114" s="75"/>
      <x:c r="M114" s="75"/>
      <x:c r="N114" s="75"/>
      <x:c r="O114" s="75"/>
      <x:c r="P114" s="75"/>
      <x:c r="Q114" s="75"/>
      <x:c r="R114" s="75"/>
      <x:c r="S114" s="75"/>
      <x:c r="T114" s="75"/>
      <x:c r="U114" s="75"/>
      <x:c r="V114" s="75" t="str">
        <x:v>Yes — Twitch EventSub live alerts</x:v>
      </x:c>
      <x:c r="W114" s="75"/>
      <x:c r="X114" s="75"/>
      <x:c r="Y114" s="75"/>
      <x:c r="Z114" s="75"/>
      <x:c r="AA114" s="75"/>
      <x:c r="AB114" s="75"/>
      <x:c r="AC114" s="78"/>
      <x:c r="AD114" s="75"/>
      <x:c r="AE114" s="75"/>
      <x:c r="AF114" s="75"/>
      <x:c r="AG114" s="75"/>
      <x:c r="AH114" s="122" t="n">
        <x:v>13</x:v>
      </x:c>
      <x:c r="AI114" s="123" t="str">
        <x:v>Canonical source for Extra Features!13</x:v>
      </x:c>
    </x:row>
    <x:row r="115">
      <x:c r="A115" s="119" t="str">
        <x:v>Extra Features</x:v>
      </x:c>
      <x:c r="B115" s="121" t="str">
        <x:v>Shared Availability</x:v>
      </x:c>
      <x:c r="C115" s="75" t="str">
        <x:v>No dedicated native availability tool</x:v>
      </x:c>
      <x:c r="D115" s="75"/>
      <x:c r="E115" s="75"/>
      <x:c r="F115" s="75"/>
      <x:c r="G115" s="75"/>
      <x:c r="H115" s="75"/>
      <x:c r="I115" s="75"/>
      <x:c r="J115" s="75"/>
      <x:c r="K115" s="75"/>
      <x:c r="L115" s="75"/>
      <x:c r="M115" s="75"/>
      <x:c r="N115" s="75"/>
      <x:c r="O115" s="75"/>
      <x:c r="P115" s="75"/>
      <x:c r="Q115" s="75"/>
      <x:c r="R115" s="75"/>
      <x:c r="S115" s="75"/>
      <x:c r="T115" s="75"/>
      <x:c r="U115" s="75"/>
      <x:c r="V115" s="75" t="str">
        <x:v>Yes</x:v>
      </x:c>
      <x:c r="W115" s="75"/>
      <x:c r="X115" s="75"/>
      <x:c r="Y115" s="75"/>
      <x:c r="Z115" s="75"/>
      <x:c r="AA115" s="75"/>
      <x:c r="AB115" s="75"/>
      <x:c r="AC115" s="78"/>
      <x:c r="AD115" s="75"/>
      <x:c r="AE115" s="75"/>
      <x:c r="AF115" s="75"/>
      <x:c r="AG115" s="75"/>
      <x:c r="AH115" s="122" t="n">
        <x:v>14</x:v>
      </x:c>
      <x:c r="AI115" s="123" t="str">
        <x:v>Canonical source for Extra Features!14</x:v>
      </x:c>
    </x:row>
    <x:row r="116">
      <x:c r="A116" s="119" t="str">
        <x:v>Extra Features</x:v>
      </x:c>
      <x:c r="B116" s="121" t="str">
        <x:v>Text Macros</x:v>
      </x:c>
      <x:c r="C116" s="75" t="str">
        <x:v>No native macro system</x:v>
      </x:c>
      <x:c r="D116" s="75"/>
      <x:c r="E116" s="75"/>
      <x:c r="F116" s="75"/>
      <x:c r="G116" s="75"/>
      <x:c r="H116" s="75"/>
      <x:c r="I116" s="75"/>
      <x:c r="J116" s="75"/>
      <x:c r="K116" s="75"/>
      <x:c r="L116" s="75"/>
      <x:c r="M116" s="75"/>
      <x:c r="N116" s="75"/>
      <x:c r="O116" s="75"/>
      <x:c r="P116" s="75"/>
      <x:c r="Q116" s="75"/>
      <x:c r="R116" s="75"/>
      <x:c r="S116" s="75"/>
      <x:c r="T116" s="75"/>
      <x:c r="U116" s="75"/>
      <x:c r="V116" s="75" t="str">
        <x:v>Yes</x:v>
      </x:c>
      <x:c r="W116" s="75"/>
      <x:c r="X116" s="75"/>
      <x:c r="Y116" s="75"/>
      <x:c r="Z116" s="75"/>
      <x:c r="AA116" s="75"/>
      <x:c r="AB116" s="75"/>
      <x:c r="AC116" s="78"/>
      <x:c r="AD116" s="75"/>
      <x:c r="AE116" s="75"/>
      <x:c r="AF116" s="75"/>
      <x:c r="AG116" s="75"/>
      <x:c r="AH116" s="122" t="n">
        <x:v>15</x:v>
      </x:c>
      <x:c r="AI116" s="123" t="str">
        <x:v>Canonical source for Extra Features!15</x:v>
      </x:c>
    </x:row>
    <x:row r="117">
      <x:c r="A117" s="119" t="str">
        <x:v>Extra Features</x:v>
      </x:c>
      <x:c r="B117" s="121" t="str">
        <x:v>Dice Rolls</x:v>
      </x:c>
      <x:c r="C117" s="75" t="str">
        <x:v>Apps/bots</x:v>
      </x:c>
      <x:c r="D117" s="75"/>
      <x:c r="E117" s="75"/>
      <x:c r="F117" s="75"/>
      <x:c r="G117" s="75"/>
      <x:c r="H117" s="75"/>
      <x:c r="I117" s="75"/>
      <x:c r="J117" s="75"/>
      <x:c r="K117" s="75"/>
      <x:c r="L117" s="75"/>
      <x:c r="M117" s="75"/>
      <x:c r="N117" s="75"/>
      <x:c r="O117" s="75"/>
      <x:c r="P117" s="75"/>
      <x:c r="Q117" s="75"/>
      <x:c r="R117" s="75"/>
      <x:c r="S117" s="75"/>
      <x:c r="T117" s="75"/>
      <x:c r="U117" s="75" t="str">
        <x:v>Yes — /roll, /flip and /draw</x:v>
      </x:c>
      <x:c r="V117" s="75" t="str">
        <x:v>Yes</x:v>
      </x:c>
      <x:c r="W117" s="75"/>
      <x:c r="X117" s="75"/>
      <x:c r="Y117" s="75"/>
      <x:c r="Z117" s="75"/>
      <x:c r="AA117" s="75"/>
      <x:c r="AB117" s="75"/>
      <x:c r="AC117" s="78"/>
      <x:c r="AD117" s="75"/>
      <x:c r="AE117" s="75"/>
      <x:c r="AF117" s="75"/>
      <x:c r="AG117" s="75"/>
      <x:c r="AH117" s="122" t="n">
        <x:v>16</x:v>
      </x:c>
      <x:c r="AI117" s="123" t="str">
        <x:v>Canonical source for Extra Features!16</x:v>
      </x:c>
    </x:row>
    <x:row r="118">
      <x:c r="A118" s="119" t="str">
        <x:v>Extra Features</x:v>
      </x:c>
      <x:c r="B118" s="121" t="str">
        <x:v>Tabletop</x:v>
      </x:c>
      <x:c r="C118" s="75" t="str">
        <x:v>Activities/apps can provide tabletop</x:v>
      </x:c>
      <x:c r="D118" s="75" t="str">
        <x:v>No</x:v>
      </x:c>
      <x:c r="E118" s="75" t="str">
        <x:v>No</x:v>
      </x:c>
      <x:c r="F118" s="75" t="str">
        <x:v>No</x:v>
      </x:c>
      <x:c r="G118" s="75" t="str">
        <x:v>No</x:v>
      </x:c>
      <x:c r="H118" s="75" t="str">
        <x:v>No</x:v>
      </x:c>
      <x:c r="I118" s="75" t="str">
        <x:v>No dedicated tabletop</x:v>
      </x:c>
      <x:c r="J118" s="75" t="str">
        <x:v>No</x:v>
      </x:c>
      <x:c r="K118" s="75" t="str">
        <x:v>No</x:v>
      </x:c>
      <x:c r="L118" s="75" t="str">
        <x:v>No native ticket/counting/highlights/welcome/wiki/document/live-board/roster/web-link/RSS/whiteboard/tabletop channel type documented</x:v>
      </x:c>
      <x:c r="M118" s="75" t="str">
        <x:v>No</x:v>
      </x:c>
      <x:c r="N118" s="75" t="str">
        <x:v>No</x:v>
      </x:c>
      <x:c r="O118" s="75" t="str">
        <x:v>Client-dependent</x:v>
      </x:c>
      <x:c r="P118" s="75" t="str">
        <x:v>No</x:v>
      </x:c>
      <x:c r="Q118" s="75" t="str">
        <x:v>No</x:v>
      </x:c>
      <x:c r="R118" s="75" t="str">
        <x:v>No</x:v>
      </x:c>
      <x:c r="S118" s="75" t="str">
        <x:v>No</x:v>
      </x:c>
      <x:c r="T118" s="75" t="str">
        <x:v>No</x:v>
      </x:c>
      <x:c r="U118" s="75" t="str">
        <x:v>No</x:v>
      </x:c>
      <x:c r="V118" s="75" t="str">
        <x:v>Experimental — native Tabletop workspace</x:v>
      </x:c>
      <x:c r="W118" s="75" t="str">
        <x:v>No</x:v>
      </x:c>
      <x:c r="X118" s="75" t="str">
        <x:v>No</x:v>
      </x:c>
      <x:c r="Y118" s="75" t="str">
        <x:v>Apps can implement tabletop-like experiences</x:v>
      </x:c>
      <x:c r="Z118" s="75" t="str">
        <x:v>No</x:v>
      </x:c>
      <x:c r="AA118" s="75" t="str">
        <x:v>No</x:v>
      </x:c>
      <x:c r="AB118" s="75" t="str">
        <x:v>No</x:v>
      </x:c>
      <x:c r="AC118" s="78" t="str">
        <x:v>No</x:v>
      </x:c>
      <x:c r="AD118" s="75" t="str">
        <x:v>No</x:v>
      </x:c>
      <x:c r="AE118" s="75" t="str">
        <x:v>Yes — D&amp;D module/maps</x:v>
      </x:c>
      <x:c r="AF118" s="75" t="str">
        <x:v>No</x:v>
      </x:c>
      <x:c r="AG118" s="75" t="str">
        <x:v>No</x:v>
      </x:c>
      <x:c r="AH118" s="122" t="n">
        <x:v>18</x:v>
      </x:c>
      <x:c r="AI118" s="123" t="str">
        <x:v>Canonical source for Extra Features!18</x:v>
      </x:c>
    </x:row>
    <x:row r="119">
      <x:c r="A119" s="119" t="str">
        <x:v>Extra Features</x:v>
      </x:c>
      <x:c r="B119" s="121" t="str">
        <x:v>Music Creation / Studio</x:v>
      </x:c>
      <x:c r="C119" s="75" t="str">
        <x:v>No native DAW</x:v>
      </x:c>
      <x:c r="D119" s="75"/>
      <x:c r="E119" s="75"/>
      <x:c r="F119" s="75"/>
      <x:c r="G119" s="75"/>
      <x:c r="H119" s="75"/>
      <x:c r="I119" s="75"/>
      <x:c r="J119" s="75"/>
      <x:c r="K119" s="75"/>
      <x:c r="L119" s="75"/>
      <x:c r="M119" s="75"/>
      <x:c r="N119" s="75"/>
      <x:c r="O119" s="75"/>
      <x:c r="P119" s="75"/>
      <x:c r="Q119" s="75"/>
      <x:c r="R119" s="75"/>
      <x:c r="S119" s="75"/>
      <x:c r="T119" s="75"/>
      <x:c r="U119" s="75"/>
      <x:c r="V119" s="75" t="str">
        <x:v>Experimental — Rift Studio</x:v>
      </x:c>
      <x:c r="W119" s="75"/>
      <x:c r="X119" s="75"/>
      <x:c r="Y119" s="75"/>
      <x:c r="Z119" s="75"/>
      <x:c r="AA119" s="75"/>
      <x:c r="AB119" s="75"/>
      <x:c r="AC119" s="78"/>
      <x:c r="AD119" s="75"/>
      <x:c r="AE119" s="75"/>
      <x:c r="AF119" s="75"/>
      <x:c r="AG119" s="75"/>
      <x:c r="AH119" s="122" t="n">
        <x:v>20</x:v>
      </x:c>
      <x:c r="AI119" s="123" t="str">
        <x:v>Canonical source for Extra Features!20</x:v>
      </x:c>
    </x:row>
    <x:row r="120">
      <x:c r="A120" s="119" t="str">
        <x:v>Extra Features</x:v>
      </x:c>
      <x:c r="B120" s="121" t="str">
        <x:v>Watch Parties</x:v>
      </x:c>
      <x:c r="C120" s="75" t="str">
        <x:v>Activities can provide co-watching</x:v>
      </x:c>
      <x:c r="D120" s="75"/>
      <x:c r="E120" s="75"/>
      <x:c r="F120" s="75"/>
      <x:c r="G120" s="75"/>
      <x:c r="H120" s="75"/>
      <x:c r="I120" s="75"/>
      <x:c r="J120" s="75"/>
      <x:c r="K120" s="75"/>
      <x:c r="L120" s="75"/>
      <x:c r="M120" s="75"/>
      <x:c r="N120" s="75"/>
      <x:c r="O120" s="75"/>
      <x:c r="P120" s="75"/>
      <x:c r="Q120" s="75"/>
      <x:c r="R120" s="75"/>
      <x:c r="S120" s="75"/>
      <x:c r="T120" s="75"/>
      <x:c r="U120" s="75" t="str">
        <x:v>Yes</x:v>
      </x:c>
      <x:c r="V120" s="75" t="str">
        <x:v>Yes — synchronized YouTube/Twitch Watch Party</x:v>
      </x:c>
      <x:c r="W120" s="75"/>
      <x:c r="X120" s="75"/>
      <x:c r="Y120" s="75"/>
      <x:c r="Z120" s="75"/>
      <x:c r="AA120" s="75"/>
      <x:c r="AB120" s="75"/>
      <x:c r="AC120" s="78"/>
      <x:c r="AD120" s="75"/>
      <x:c r="AE120" s="75"/>
      <x:c r="AF120" s="75"/>
      <x:c r="AG120" s="75"/>
      <x:c r="AH120" s="122" t="n">
        <x:v>21</x:v>
      </x:c>
      <x:c r="AI120" s="123" t="str">
        <x:v>Canonical source for Extra Features!21</x:v>
      </x:c>
    </x:row>
    <x:row r="121">
      <x:c r="A121" s="119" t="str">
        <x:v>Embedded Apps</x:v>
      </x:c>
      <x:c r="B121" s="121" t="str">
        <x:v>Embedded App / Widget Framework</x:v>
      </x:c>
      <x:c r="C121" s="75" t="str">
        <x:v>Yes — Activities / Embedded App SDK</x:v>
      </x:c>
      <x:c r="D121" s="75"/>
      <x:c r="E121" s="75"/>
      <x:c r="F121" s="75"/>
      <x:c r="G121" s="75"/>
      <x:c r="H121" s="75"/>
      <x:c r="I121" s="75"/>
      <x:c r="J121" s="75"/>
      <x:c r="K121" s="75"/>
      <x:c r="L121" s="75" t="str">
        <x:v>No embedded widget/activity runtime; bot/application ecosystem instead</x:v>
      </x:c>
      <x:c r="M121" s="75"/>
      <x:c r="N121" s="75"/>
      <x:c r="O121" s="75" t="str">
        <x:v>Client-dependent — Element supports room widgets/custom embedded web pages; not Matrix-wide</x:v>
      </x:c>
      <x:c r="P121" s="75" t="str">
        <x:v>Yes — webapp plugins can inject React/root components</x:v>
      </x:c>
      <x:c r="Q121" s="75"/>
      <x:c r="R121" s="75"/>
      <x:c r="S121" s="75"/>
      <x:c r="T121" s="75"/>
      <x:c r="U121" s="75"/>
      <x:c r="V121" s="75" t="str">
        <x:v>Yes — Portals + built-in workspaces</x:v>
      </x:c>
      <x:c r="W121" s="75" t="str">
        <x:v>Yes — Apps-Engine packages install directly into workspace</x:v>
      </x:c>
      <x:c r="X121" s="75" t="str">
        <x:v>No dedicated embedded-app marketplace documented</x:v>
      </x:c>
      <x:c r="Y121" s="75" t="str">
        <x:v>Yes — hosted Root Apps can provide GUI surfaces</x:v>
      </x:c>
      <x:c r="Z121" s="75"/>
      <x:c r="AA121" s="75"/>
      <x:c r="AB121" s="75"/>
      <x:c r="AC121" s="78" t="str">
        <x:v>No dedicated embedded-app framework documented</x:v>
      </x:c>
      <x:c r="AD121" s="75"/>
      <x:c r="AE121" s="75"/>
      <x:c r="AF121" s="75"/>
      <x:c r="AG121" s="75" t="str">
        <x:v>No comparable embedded UI framework; bots/integrations instead</x:v>
      </x:c>
      <x:c r="AH121" s="122" t="n">
        <x:v>4</x:v>
      </x:c>
      <x:c r="AI121" s="123" t="str">
        <x:v>Canonical metric shared by: At a Glance: Embedded App / Widget Framework | Embedded Apps: Embedded App / Widget Framework</x:v>
      </x:c>
    </x:row>
    <x:row r="122">
      <x:c r="A122" s="119" t="str">
        <x:v>Embedded Apps</x:v>
      </x:c>
      <x:c r="B122" s="121" t="str">
        <x:v>Third-Party App Development SDK / Framework</x:v>
      </x:c>
      <x:c r="C122" s="75" t="str">
        <x:v>Yes — @discord/embedded-app-sdk</x:v>
      </x:c>
      <x:c r="D122" s="75"/>
      <x:c r="E122" s="75"/>
      <x:c r="F122" s="75"/>
      <x:c r="G122" s="75"/>
      <x:c r="H122" s="75"/>
      <x:c r="I122" s="75"/>
      <x:c r="J122" s="75"/>
      <x:c r="K122" s="75"/>
      <x:c r="L122" s="75" t="str">
        <x:v>Yes for bots/apps — Python SDK plus scoped REST/Gateway APIs; not an iframe runtime</x:v>
      </x:c>
      <x:c r="M122" s="75"/>
      <x:c r="N122" s="75"/>
      <x:c r="O122" s="75" t="str">
        <x:v>Client/integration-manager dependent</x:v>
      </x:c>
      <x:c r="P122" s="75" t="str">
        <x:v>Yes — plugin webapp APIs</x:v>
      </x:c>
      <x:c r="Q122" s="75"/>
      <x:c r="R122" s="75"/>
      <x:c r="S122" s="75"/>
      <x:c r="T122" s="75"/>
      <x:c r="U122" s="75"/>
      <x:c r="V122" s="75"/>
      <x:c r="W122" s="75" t="str">
        <x:v>Yes — Apps-Engine (TypeScript)</x:v>
      </x:c>
      <x:c r="X122" s="75"/>
      <x:c r="Y122" s="75"/>
      <x:c r="Z122" s="75"/>
      <x:c r="AA122" s="75"/>
      <x:c r="AB122" s="75"/>
      <x:c r="AC122" s="78"/>
      <x:c r="AD122" s="75"/>
      <x:c r="AE122" s="75"/>
      <x:c r="AF122" s="75"/>
      <x:c r="AG122" s="75" t="str">
        <x:v>APIs/bot frameworks, not embedded UI</x:v>
      </x:c>
      <x:c r="AH122" s="122" t="n">
        <x:v>5</x:v>
      </x:c>
      <x:c r="AI122" s="123" t="str">
        <x:v>Canonical source for Embedded Apps!5</x:v>
      </x:c>
    </x:row>
    <x:row r="123">
      <x:c r="A123" s="119" t="str">
        <x:v>Embedded Apps</x:v>
      </x:c>
      <x:c r="B123" s="121" t="str">
        <x:v>App Directory / Marketplace</x:v>
      </x:c>
      <x:c r="C123" s="75" t="str">
        <x:v>Yes — App Directory / platform apps</x:v>
      </x:c>
      <x:c r="D123" s="75"/>
      <x:c r="E123" s="75"/>
      <x:c r="F123" s="75"/>
      <x:c r="G123" s="75"/>
      <x:c r="H123" s="75"/>
      <x:c r="I123" s="75"/>
      <x:c r="J123" s="75"/>
      <x:c r="K123" s="75"/>
      <x:c r="L123" s="75" t="str">
        <x:v>Yes — federated App Directory for reviewed applications/bots</x:v>
      </x:c>
      <x:c r="M123" s="75"/>
      <x:c r="N123" s="75"/>
      <x:c r="O123" s="75" t="str">
        <x:v>Client-dependent integration manager/catalog</x:v>
      </x:c>
      <x:c r="P123" s="75" t="str">
        <x:v>Plugin marketplace/ecosystem</x:v>
      </x:c>
      <x:c r="Q123" s="75"/>
      <x:c r="R123" s="75"/>
      <x:c r="S123" s="75"/>
      <x:c r="T123" s="75"/>
      <x:c r="U123" s="75"/>
      <x:c r="V123" s="75" t="str">
        <x:v>No public marketplace documented</x:v>
      </x:c>
      <x:c r="W123" s="75" t="str">
        <x:v>Yes — Marketplace</x:v>
      </x:c>
      <x:c r="X123" s="75"/>
      <x:c r="Y123" s="75"/>
      <x:c r="Z123" s="75"/>
      <x:c r="AA123" s="75"/>
      <x:c r="AB123" s="75"/>
      <x:c r="AC123" s="78"/>
      <x:c r="AD123" s="75"/>
      <x:c r="AE123" s="75"/>
      <x:c r="AF123" s="75"/>
      <x:c r="AG123" s="75" t="str">
        <x:v>Yes — integration directory, not embedded apps</x:v>
      </x:c>
      <x:c r="AH123" s="122" t="n">
        <x:v>6</x:v>
      </x:c>
      <x:c r="AI123" s="123" t="str">
        <x:v>Canonical source for Embedded Apps!6</x:v>
      </x:c>
    </x:row>
    <x:row r="124">
      <x:c r="A124" s="119" t="str">
        <x:v>Embedded Apps</x:v>
      </x:c>
      <x:c r="B124" s="121" t="str">
        <x:v>Runs Inside Chat Client</x:v>
      </x:c>
      <x:c r="C124" s="75" t="str">
        <x:v>Yes — Activities run inside Discord</x:v>
      </x:c>
      <x:c r="D124" s="75"/>
      <x:c r="E124" s="75"/>
      <x:c r="F124" s="75"/>
      <x:c r="G124" s="75"/>
      <x:c r="H124" s="75"/>
      <x:c r="I124" s="75"/>
      <x:c r="J124" s="75"/>
      <x:c r="K124" s="75"/>
      <x:c r="L124" s="75" t="str">
        <x:v>Commands/App Launcher integrate with the composer; no arbitrary embedded web-app runtime</x:v>
      </x:c>
      <x:c r="M124" s="75"/>
      <x:c r="N124" s="75"/>
      <x:c r="O124" s="75" t="str">
        <x:v>Client-dependent widgets</x:v>
      </x:c>
      <x:c r="P124" s="75" t="str">
        <x:v>Yes — plugins can extend web/desktop UI</x:v>
      </x:c>
      <x:c r="Q124" s="75"/>
      <x:c r="R124" s="75"/>
      <x:c r="S124" s="75"/>
      <x:c r="T124" s="75"/>
      <x:c r="U124" s="75"/>
      <x:c r="V124" s="75" t="str">
        <x:v>Yes — Portals live in the Rift workspace</x:v>
      </x:c>
      <x:c r="W124" s="75" t="str">
        <x:v>Yes — apps extend workspace</x:v>
      </x:c>
      <x:c r="X124" s="75"/>
      <x:c r="Y124" s="75"/>
      <x:c r="Z124" s="75"/>
      <x:c r="AA124" s="75"/>
      <x:c r="AB124" s="75"/>
      <x:c r="AC124" s="78"/>
      <x:c r="AD124" s="75"/>
      <x:c r="AE124" s="75"/>
      <x:c r="AF124" s="75"/>
      <x:c r="AG124" s="75" t="str">
        <x:v>Integrations generally act through messages/bots</x:v>
      </x:c>
      <x:c r="AH124" s="122" t="n">
        <x:v>7</x:v>
      </x:c>
      <x:c r="AI124" s="123" t="str">
        <x:v>Canonical source for Embedded Apps!7</x:v>
      </x:c>
    </x:row>
    <x:row r="125">
      <x:c r="A125" s="119" t="str">
        <x:v>Embedded Apps</x:v>
      </x:c>
      <x:c r="B125" s="121" t="str">
        <x:v>Shared / Synchronized Multi-User Sessions</x:v>
      </x:c>
      <x:c r="C125" s="75" t="str">
        <x:v>Yes — Activities are multiplayer/social sessions</x:v>
      </x:c>
      <x:c r="D125" s="75"/>
      <x:c r="E125" s="75"/>
      <x:c r="F125" s="75"/>
      <x:c r="G125" s="75"/>
      <x:c r="H125" s="75"/>
      <x:c r="I125" s="75"/>
      <x:c r="J125" s="75"/>
      <x:c r="K125" s="75"/>
      <x:c r="L125" s="75" t="str">
        <x:v>No dedicated synchronized embedded-app session framework</x:v>
      </x:c>
      <x:c r="M125" s="75"/>
      <x:c r="N125" s="75"/>
      <x:c r="O125" s="75" t="str">
        <x:v>Widget-dependent</x:v>
      </x:c>
      <x:c r="P125" s="75" t="str">
        <x:v>Plugin-dependent</x:v>
      </x:c>
      <x:c r="Q125" s="75"/>
      <x:c r="R125" s="75"/>
      <x:c r="S125" s="75"/>
      <x:c r="T125" s="75"/>
      <x:c r="U125" s="75"/>
      <x:c r="V125" s="75" t="str">
        <x:v>Yes — Watch Parties; Arcade/Tabletop collaborative experiences</x:v>
      </x:c>
      <x:c r="W125" s="75" t="str">
        <x:v>App-dependent</x:v>
      </x:c>
      <x:c r="X125" s="75"/>
      <x:c r="Y125" s="75"/>
      <x:c r="Z125" s="75"/>
      <x:c r="AA125" s="75"/>
      <x:c r="AB125" s="75"/>
      <x:c r="AC125" s="78"/>
      <x:c r="AD125" s="75"/>
      <x:c r="AE125" s="75"/>
      <x:c r="AF125" s="75"/>
      <x:c r="AG125" s="75" t="str">
        <x:v>Bot/integration-dependent</x:v>
      </x:c>
      <x:c r="AH125" s="122" t="n">
        <x:v>8</x:v>
      </x:c>
      <x:c r="AI125" s="123" t="str">
        <x:v>Canonical source for Embedded Apps!8</x:v>
      </x:c>
    </x:row>
    <x:row r="126">
      <x:c r="A126" s="119" t="str">
        <x:v>Embedded Apps</x:v>
      </x:c>
      <x:c r="B126" s="121" t="str">
        <x:v>Launch from Channel / Conversation</x:v>
      </x:c>
      <x:c r="C126" s="75" t="str">
        <x:v>Yes — channels, DMs, App Launcher</x:v>
      </x:c>
      <x:c r="D126" s="75"/>
      <x:c r="E126" s="75"/>
      <x:c r="F126" s="75"/>
      <x:c r="G126" s="75"/>
      <x:c r="H126" s="75"/>
      <x:c r="I126" s="75"/>
      <x:c r="J126" s="75"/>
      <x:c r="K126" s="75"/>
      <x:c r="L126" s="75" t="str">
        <x:v>Yes — App Launcher/slash commands can launch app interactions from a conversation</x:v>
      </x:c>
      <x:c r="M126" s="75"/>
      <x:c r="N126" s="75"/>
      <x:c r="O126" s="75" t="str">
        <x:v>Client-dependent room widgets</x:v>
      </x:c>
      <x:c r="P126" s="75" t="str">
        <x:v>Plugin-dependent</x:v>
      </x:c>
      <x:c r="Q126" s="75"/>
      <x:c r="R126" s="75"/>
      <x:c r="S126" s="75"/>
      <x:c r="T126" s="75"/>
      <x:c r="U126" s="75"/>
      <x:c r="V126" s="75" t="str">
        <x:v>Yes — Portals alongside chat; some tools post into channels</x:v>
      </x:c>
      <x:c r="W126" s="75" t="str">
        <x:v>App-dependent</x:v>
      </x:c>
      <x:c r="X126" s="75"/>
      <x:c r="Y126" s="75"/>
      <x:c r="Z126" s="75"/>
      <x:c r="AA126" s="75"/>
      <x:c r="AB126" s="75"/>
      <x:c r="AC126" s="78"/>
      <x:c r="AD126" s="75"/>
      <x:c r="AE126" s="75"/>
      <x:c r="AF126" s="75"/>
      <x:c r="AG126" s="75" t="str">
        <x:v>Bots/integrations can be invoked in conversation</x:v>
      </x:c>
      <x:c r="AH126" s="122" t="n">
        <x:v>9</x:v>
      </x:c>
      <x:c r="AI126" s="123" t="str">
        <x:v>Canonical source for Embedded Apps!9</x:v>
      </x:c>
    </x:row>
    <x:row r="127">
      <x:c r="A127" s="119" t="str">
        <x:v>Embedded Apps</x:v>
      </x:c>
      <x:c r="B127" s="121" t="str">
        <x:v>Mobile Embedded App Support</x:v>
      </x:c>
      <x:c r="C127" s="75" t="str">
        <x:v>Yes — Embedded App SDK supports iOS/Android</x:v>
      </x:c>
      <x:c r="D127" s="75"/>
      <x:c r="E127" s="75"/>
      <x:c r="F127" s="75"/>
      <x:c r="G127" s="75"/>
      <x:c r="H127" s="75"/>
      <x:c r="I127" s="75"/>
      <x:c r="J127" s="75"/>
      <x:c r="K127" s="75"/>
      <x:c r="L127" s="75" t="str">
        <x:v>Yes for bot/app interactions on mobile; no embedded iframe/activity runtime</x:v>
      </x:c>
      <x:c r="M127" s="75"/>
      <x:c r="N127" s="75"/>
      <x:c r="O127" s="75" t="str">
        <x:v>Client/widget dependent</x:v>
      </x:c>
      <x:c r="P127" s="75" t="str">
        <x:v>Plugin/mobile support varies</x:v>
      </x:c>
      <x:c r="Q127" s="75"/>
      <x:c r="R127" s="75"/>
      <x:c r="S127" s="75"/>
      <x:c r="T127" s="75"/>
      <x:c r="U127" s="75"/>
      <x:c r="V127" s="75" t="str">
        <x:v>Web/PWA/mobile behavior varies by Portal; no dedicated mobile app marketplace</x:v>
      </x:c>
      <x:c r="W127" s="75" t="str">
        <x:v>App/mobile support varies</x:v>
      </x:c>
      <x:c r="X127" s="75"/>
      <x:c r="Y127" s="75"/>
      <x:c r="Z127" s="75"/>
      <x:c r="AA127" s="75"/>
      <x:c r="AB127" s="75"/>
      <x:c r="AC127" s="78"/>
      <x:c r="AD127" s="75"/>
      <x:c r="AE127" s="75"/>
      <x:c r="AF127" s="75"/>
      <x:c r="AG127" s="75" t="str">
        <x:v>Integrations available; not embedded UI</x:v>
      </x:c>
      <x:c r="AH127" s="122" t="n">
        <x:v>10</x:v>
      </x:c>
      <x:c r="AI127" s="123" t="str">
        <x:v>Canonical source for Embedded Apps!10</x:v>
      </x:c>
    </x:row>
    <x:row r="128">
      <x:c r="A128" s="119" t="str">
        <x:v>Embedded Apps</x:v>
      </x:c>
      <x:c r="B128" s="121" t="str">
        <x:v>Drag / Resize Embedded Apps</x:v>
      </x:c>
      <x:c r="C128" s="75" t="str">
        <x:v>No general workspace layout</x:v>
      </x:c>
      <x:c r="D128" s="75"/>
      <x:c r="E128" s="75"/>
      <x:c r="F128" s="75"/>
      <x:c r="G128" s="75"/>
      <x:c r="H128" s="75"/>
      <x:c r="I128" s="75"/>
      <x:c r="J128" s="75"/>
      <x:c r="K128" s="75"/>
      <x:c r="L128" s="75" t="str">
        <x:v>No dedicated embedded-app implementation documented</x:v>
      </x:c>
      <x:c r="M128" s="75"/>
      <x:c r="N128" s="75"/>
      <x:c r="O128" s="75" t="str">
        <x:v>Client-dependent</x:v>
      </x:c>
      <x:c r="P128" s="75" t="str">
        <x:v>Plugin-dependent</x:v>
      </x:c>
      <x:c r="Q128" s="75"/>
      <x:c r="R128" s="75"/>
      <x:c r="S128" s="75"/>
      <x:c r="T128" s="75"/>
      <x:c r="U128" s="75"/>
      <x:c r="V128" s="75" t="str">
        <x:v>Yes</x:v>
      </x:c>
      <x:c r="W128" s="75" t="str">
        <x:v>App-dependent</x:v>
      </x:c>
      <x:c r="X128" s="75"/>
      <x:c r="Y128" s="75"/>
      <x:c r="Z128" s="75"/>
      <x:c r="AA128" s="75"/>
      <x:c r="AB128" s="75"/>
      <x:c r="AC128" s="78"/>
      <x:c r="AD128" s="75"/>
      <x:c r="AE128" s="75"/>
      <x:c r="AF128" s="75"/>
      <x:c r="AG128" s="75"/>
      <x:c r="AH128" s="122" t="n">
        <x:v>12</x:v>
      </x:c>
      <x:c r="AI128" s="123" t="str">
        <x:v>Canonical source for Embedded Apps!12</x:v>
      </x:c>
    </x:row>
    <x:row r="129">
      <x:c r="A129" s="119" t="str">
        <x:v>Embedded Apps</x:v>
      </x:c>
      <x:c r="B129" s="121" t="str">
        <x:v>Multiple Apps Visible Beside Chat</x:v>
      </x:c>
      <x:c r="C129" s="75" t="str">
        <x:v>Limited — Activity/PiP model, not freeform dashboard</x:v>
      </x:c>
      <x:c r="D129" s="75"/>
      <x:c r="E129" s="75"/>
      <x:c r="F129" s="75"/>
      <x:c r="G129" s="75"/>
      <x:c r="H129" s="75"/>
      <x:c r="I129" s="75"/>
      <x:c r="J129" s="75"/>
      <x:c r="K129" s="75"/>
      <x:c r="L129" s="75" t="str">
        <x:v>No dedicated embedded-app implementation documented</x:v>
      </x:c>
      <x:c r="M129" s="75"/>
      <x:c r="N129" s="75"/>
      <x:c r="O129" s="75" t="str">
        <x:v>Client-dependent</x:v>
      </x:c>
      <x:c r="P129" s="75" t="str">
        <x:v>Plugin-dependent</x:v>
      </x:c>
      <x:c r="Q129" s="75"/>
      <x:c r="R129" s="75"/>
      <x:c r="S129" s="75"/>
      <x:c r="T129" s="75"/>
      <x:c r="U129" s="75"/>
      <x:c r="V129" s="75" t="str">
        <x:v>Yes — multi-panel workspace</x:v>
      </x:c>
      <x:c r="W129" s="75" t="str">
        <x:v>App-dependent</x:v>
      </x:c>
      <x:c r="X129" s="75"/>
      <x:c r="Y129" s="75"/>
      <x:c r="Z129" s="75"/>
      <x:c r="AA129" s="75"/>
      <x:c r="AB129" s="75"/>
      <x:c r="AC129" s="78"/>
      <x:c r="AD129" s="75"/>
      <x:c r="AE129" s="75"/>
      <x:c r="AF129" s="75"/>
      <x:c r="AG129" s="75"/>
      <x:c r="AH129" s="122" t="n">
        <x:v>13</x:v>
      </x:c>
      <x:c r="AI129" s="123" t="str">
        <x:v>Canonical source for Embedded Apps!13</x:v>
      </x:c>
    </x:row>
    <x:row r="130">
      <x:c r="A130" s="119" t="str">
        <x:v>Embedded Apps</x:v>
      </x:c>
      <x:c r="B130" s="121" t="str">
        <x:v>Save Named App Layouts / Workspaces</x:v>
      </x:c>
      <x:c r="C130" s="75" t="str">
        <x:v>No general feature</x:v>
      </x:c>
      <x:c r="D130" s="75"/>
      <x:c r="E130" s="75"/>
      <x:c r="F130" s="75"/>
      <x:c r="G130" s="75"/>
      <x:c r="H130" s="75"/>
      <x:c r="I130" s="75"/>
      <x:c r="J130" s="75"/>
      <x:c r="K130" s="75"/>
      <x:c r="L130" s="75" t="str">
        <x:v>No dedicated embedded-app implementation documented</x:v>
      </x:c>
      <x:c r="M130" s="75"/>
      <x:c r="N130" s="75"/>
      <x:c r="O130" s="75" t="str">
        <x:v>Client-dependent</x:v>
      </x:c>
      <x:c r="P130" s="75" t="str">
        <x:v>No general user layout feature</x:v>
      </x:c>
      <x:c r="Q130" s="75"/>
      <x:c r="R130" s="75"/>
      <x:c r="S130" s="75"/>
      <x:c r="T130" s="75"/>
      <x:c r="U130" s="75"/>
      <x:c r="V130" s="75" t="str">
        <x:v>Yes</x:v>
      </x:c>
      <x:c r="W130" s="75" t="str">
        <x:v>No general user layout feature</x:v>
      </x:c>
      <x:c r="X130" s="75"/>
      <x:c r="Y130" s="75"/>
      <x:c r="Z130" s="75"/>
      <x:c r="AA130" s="75"/>
      <x:c r="AB130" s="75"/>
      <x:c r="AC130" s="78"/>
      <x:c r="AD130" s="75"/>
      <x:c r="AE130" s="75"/>
      <x:c r="AF130" s="75"/>
      <x:c r="AG130" s="75"/>
      <x:c r="AH130" s="122" t="n">
        <x:v>14</x:v>
      </x:c>
      <x:c r="AI130" s="123" t="str">
        <x:v>Canonical source for Embedded Apps!14</x:v>
      </x:c>
    </x:row>
    <x:row r="131">
      <x:c r="A131" s="119" t="str">
        <x:v>Embedded Apps</x:v>
      </x:c>
      <x:c r="B131" s="121" t="str">
        <x:v>Pop App / Chat into Separate Window</x:v>
      </x:c>
      <x:c r="C131" s="75" t="str">
        <x:v>Activity/PiP behavior varies</x:v>
      </x:c>
      <x:c r="D131" s="75"/>
      <x:c r="E131" s="75"/>
      <x:c r="F131" s="75"/>
      <x:c r="G131" s="75"/>
      <x:c r="H131" s="75"/>
      <x:c r="I131" s="75"/>
      <x:c r="J131" s="75"/>
      <x:c r="K131" s="75"/>
      <x:c r="L131" s="75" t="str">
        <x:v>No dedicated embedded-app implementation documented</x:v>
      </x:c>
      <x:c r="M131" s="75"/>
      <x:c r="N131" s="75"/>
      <x:c r="O131" s="75" t="str">
        <x:v>Client-dependent</x:v>
      </x:c>
      <x:c r="P131" s="75" t="str">
        <x:v>Client/plugin dependent</x:v>
      </x:c>
      <x:c r="Q131" s="75"/>
      <x:c r="R131" s="75"/>
      <x:c r="S131" s="75"/>
      <x:c r="T131" s="75"/>
      <x:c r="U131" s="75"/>
      <x:c r="V131" s="75" t="str">
        <x:v>Yes — tear out chat or Portal to own window</x:v>
      </x:c>
      <x:c r="W131" s="75" t="str">
        <x:v>Client/app dependent</x:v>
      </x:c>
      <x:c r="X131" s="75"/>
      <x:c r="Y131" s="75"/>
      <x:c r="Z131" s="75"/>
      <x:c r="AA131" s="75"/>
      <x:c r="AB131" s="75"/>
      <x:c r="AC131" s="78"/>
      <x:c r="AD131" s="75"/>
      <x:c r="AE131" s="75"/>
      <x:c r="AF131" s="75"/>
      <x:c r="AG131" s="75"/>
      <x:c r="AH131" s="122" t="n">
        <x:v>15</x:v>
      </x:c>
      <x:c r="AI131" s="123" t="str">
        <x:v>Canonical source for Embedded Apps!15</x:v>
      </x:c>
    </x:row>
    <x:row r="132">
      <x:c r="A132" s="119" t="str">
        <x:v>Embedded Apps</x:v>
      </x:c>
      <x:c r="B132" s="121" t="str">
        <x:v>Per-User Personal Apps / Widgets</x:v>
      </x:c>
      <x:c r="C132" s="75" t="str">
        <x:v>Yes — user-installed apps / Activities</x:v>
      </x:c>
      <x:c r="D132" s="75"/>
      <x:c r="E132" s="75"/>
      <x:c r="F132" s="75"/>
      <x:c r="G132" s="75"/>
      <x:c r="H132" s="75"/>
      <x:c r="I132" s="75"/>
      <x:c r="J132" s="75"/>
      <x:c r="K132" s="75"/>
      <x:c r="L132" s="75" t="str">
        <x:v>No dedicated embedded-app implementation documented</x:v>
      </x:c>
      <x:c r="M132" s="75"/>
      <x:c r="N132" s="75"/>
      <x:c r="O132" s="75" t="str">
        <x:v>Client-dependent</x:v>
      </x:c>
      <x:c r="P132" s="75" t="str">
        <x:v>Plugin/admin controlled</x:v>
      </x:c>
      <x:c r="Q132" s="75"/>
      <x:c r="R132" s="75"/>
      <x:c r="S132" s="75"/>
      <x:c r="T132" s="75"/>
      <x:c r="U132" s="75"/>
      <x:c r="V132" s="75" t="str">
        <x:v>Yes — personal Portals such as to-dos/watchlists</x:v>
      </x:c>
      <x:c r="W132" s="75" t="str">
        <x:v>Workspace/admin controlled</x:v>
      </x:c>
      <x:c r="X132" s="75"/>
      <x:c r="Y132" s="75"/>
      <x:c r="Z132" s="75"/>
      <x:c r="AA132" s="75"/>
      <x:c r="AB132" s="75"/>
      <x:c r="AC132" s="78"/>
      <x:c r="AD132" s="75"/>
      <x:c r="AE132" s="75"/>
      <x:c r="AF132" s="75"/>
      <x:c r="AG132" s="75" t="str">
        <x:v>Personal bots/integrations possible</x:v>
      </x:c>
      <x:c r="AH132" s="122" t="n">
        <x:v>16</x:v>
      </x:c>
      <x:c r="AI132" s="123" t="str">
        <x:v>Canonical source for Embedded Apps!16</x:v>
      </x:c>
    </x:row>
    <x:row r="133">
      <x:c r="A133" s="119" t="str">
        <x:v>Embedded Apps</x:v>
      </x:c>
      <x:c r="B133" s="121" t="str">
        <x:v>Per-Community / Shared Apps</x:v>
      </x:c>
      <x:c r="C133" s="75" t="str">
        <x:v>Yes — guild-installed apps/Activities</x:v>
      </x:c>
      <x:c r="D133" s="75"/>
      <x:c r="E133" s="75"/>
      <x:c r="F133" s="75"/>
      <x:c r="G133" s="75"/>
      <x:c r="H133" s="75"/>
      <x:c r="I133" s="75"/>
      <x:c r="J133" s="75"/>
      <x:c r="K133" s="75"/>
      <x:c r="L133" s="75" t="str">
        <x:v>No dedicated embedded-app implementation documented</x:v>
      </x:c>
      <x:c r="M133" s="75"/>
      <x:c r="N133" s="75"/>
      <x:c r="O133" s="75" t="str">
        <x:v>Room widgets</x:v>
      </x:c>
      <x:c r="P133" s="75" t="str">
        <x:v>Workspace plugins</x:v>
      </x:c>
      <x:c r="Q133" s="75"/>
      <x:c r="R133" s="75"/>
      <x:c r="S133" s="75"/>
      <x:c r="T133" s="75"/>
      <x:c r="U133" s="75"/>
      <x:c r="V133" s="75" t="str">
        <x:v>Yes — Shard-aware tools/events + shared sessions</x:v>
      </x:c>
      <x:c r="W133" s="75" t="str">
        <x:v>Workspace apps</x:v>
      </x:c>
      <x:c r="X133" s="75"/>
      <x:c r="Y133" s="75"/>
      <x:c r="Z133" s="75"/>
      <x:c r="AA133" s="75"/>
      <x:c r="AB133" s="75"/>
      <x:c r="AC133" s="78"/>
      <x:c r="AD133" s="75"/>
      <x:c r="AE133" s="75"/>
      <x:c r="AF133" s="75"/>
      <x:c r="AG133" s="75" t="str">
        <x:v>Organization integrations</x:v>
      </x:c>
      <x:c r="AH133" s="122" t="n">
        <x:v>17</x:v>
      </x:c>
      <x:c r="AI133" s="123" t="str">
        <x:v>Canonical source for Embedded Apps!17</x:v>
      </x:c>
    </x:row>
    <x:row r="134">
      <x:c r="A134" s="119" t="str">
        <x:v>Embedded Apps</x:v>
      </x:c>
      <x:c r="B134" s="121" t="str">
        <x:v>YouTube Viewer</x:v>
      </x:c>
      <x:c r="C134" s="75" t="str">
        <x:v>Via Activities/apps</x:v>
      </x:c>
      <x:c r="D134" s="75"/>
      <x:c r="E134" s="75"/>
      <x:c r="F134" s="75"/>
      <x:c r="G134" s="75"/>
      <x:c r="H134" s="75"/>
      <x:c r="I134" s="75"/>
      <x:c r="J134" s="75"/>
      <x:c r="K134" s="75"/>
      <x:c r="L134" s="75" t="str">
        <x:v>No dedicated embedded-app implementation documented</x:v>
      </x:c>
      <x:c r="M134" s="75"/>
      <x:c r="N134" s="75"/>
      <x:c r="O134" s="75" t="str">
        <x:v>Widget/integration dependent</x:v>
      </x:c>
      <x:c r="P134" s="75"/>
      <x:c r="Q134" s="75"/>
      <x:c r="R134" s="75"/>
      <x:c r="S134" s="75"/>
      <x:c r="T134" s="75"/>
      <x:c r="U134" s="75"/>
      <x:c r="V134" s="75" t="str">
        <x:v>Yes — YouTube Portal</x:v>
      </x:c>
      <x:c r="W134" s="75"/>
      <x:c r="X134" s="75"/>
      <x:c r="Y134" s="75"/>
      <x:c r="Z134" s="75"/>
      <x:c r="AA134" s="75"/>
      <x:c r="AB134" s="75"/>
      <x:c r="AC134" s="78"/>
      <x:c r="AD134" s="75"/>
      <x:c r="AE134" s="75"/>
      <x:c r="AF134" s="75"/>
      <x:c r="AG134" s="75"/>
      <x:c r="AH134" s="122" t="n">
        <x:v>19</x:v>
      </x:c>
      <x:c r="AI134" s="123" t="str">
        <x:v>Canonical source for Embedded Apps!19</x:v>
      </x:c>
    </x:row>
    <x:row r="135">
      <x:c r="A135" s="119" t="str">
        <x:v>Embedded Apps</x:v>
      </x:c>
      <x:c r="B135" s="121" t="str">
        <x:v>Twitch Viewer</x:v>
      </x:c>
      <x:c r="C135" s="75" t="str">
        <x:v>Via apps/links</x:v>
      </x:c>
      <x:c r="D135" s="75"/>
      <x:c r="E135" s="75"/>
      <x:c r="F135" s="75"/>
      <x:c r="G135" s="75"/>
      <x:c r="H135" s="75"/>
      <x:c r="I135" s="75"/>
      <x:c r="J135" s="75"/>
      <x:c r="K135" s="75"/>
      <x:c r="L135" s="75" t="str">
        <x:v>No dedicated embedded-app implementation documented</x:v>
      </x:c>
      <x:c r="M135" s="75"/>
      <x:c r="N135" s="75"/>
      <x:c r="O135" s="75" t="str">
        <x:v>Widget/integration dependent</x:v>
      </x:c>
      <x:c r="P135" s="75"/>
      <x:c r="Q135" s="75"/>
      <x:c r="R135" s="75"/>
      <x:c r="S135" s="75"/>
      <x:c r="T135" s="75"/>
      <x:c r="U135" s="75"/>
      <x:c r="V135" s="75" t="str">
        <x:v>Yes — Twitch Portal</x:v>
      </x:c>
      <x:c r="W135" s="75"/>
      <x:c r="X135" s="75"/>
      <x:c r="Y135" s="75"/>
      <x:c r="Z135" s="75"/>
      <x:c r="AA135" s="75"/>
      <x:c r="AB135" s="75"/>
      <x:c r="AC135" s="78"/>
      <x:c r="AD135" s="75"/>
      <x:c r="AE135" s="75"/>
      <x:c r="AF135" s="75"/>
      <x:c r="AG135" s="75"/>
      <x:c r="AH135" s="122" t="n">
        <x:v>20</x:v>
      </x:c>
      <x:c r="AI135" s="123" t="str">
        <x:v>Canonical source for Embedded Apps!20</x:v>
      </x:c>
    </x:row>
    <x:row r="136">
      <x:c r="A136" s="119" t="str">
        <x:v>Embedded Apps</x:v>
      </x:c>
      <x:c r="B136" s="121" t="str">
        <x:v>Synchronized Watch Party</x:v>
      </x:c>
      <x:c r="C136" s="75" t="str">
        <x:v>Yes — Activities can provide co-watching</x:v>
      </x:c>
      <x:c r="D136" s="75"/>
      <x:c r="E136" s="75"/>
      <x:c r="F136" s="75"/>
      <x:c r="G136" s="75"/>
      <x:c r="H136" s="75"/>
      <x:c r="I136" s="75"/>
      <x:c r="J136" s="75"/>
      <x:c r="K136" s="75"/>
      <x:c r="L136" s="75" t="str">
        <x:v>No dedicated embedded-app implementation documented</x:v>
      </x:c>
      <x:c r="M136" s="75"/>
      <x:c r="N136" s="75"/>
      <x:c r="O136" s="75" t="str">
        <x:v>Widget-dependent</x:v>
      </x:c>
      <x:c r="P136" s="75"/>
      <x:c r="Q136" s="75"/>
      <x:c r="R136" s="75"/>
      <x:c r="S136" s="75"/>
      <x:c r="T136" s="75"/>
      <x:c r="U136" s="75"/>
      <x:c r="V136" s="75" t="str">
        <x:v>Yes — host-synchronized YouTube/Twitch Watch Party</x:v>
      </x:c>
      <x:c r="W136" s="75"/>
      <x:c r="X136" s="75"/>
      <x:c r="Y136" s="75"/>
      <x:c r="Z136" s="75"/>
      <x:c r="AA136" s="75"/>
      <x:c r="AB136" s="75"/>
      <x:c r="AC136" s="78"/>
      <x:c r="AD136" s="75"/>
      <x:c r="AE136" s="75"/>
      <x:c r="AF136" s="75"/>
      <x:c r="AG136" s="75"/>
      <x:c r="AH136" s="122" t="n">
        <x:v>21</x:v>
      </x:c>
      <x:c r="AI136" s="123" t="str">
        <x:v>Canonical source for Embedded Apps!21</x:v>
      </x:c>
    </x:row>
    <x:row r="137">
      <x:c r="A137" s="119" t="str">
        <x:v>Embedded Apps</x:v>
      </x:c>
      <x:c r="B137" s="121" t="str">
        <x:v>Internet Radio</x:v>
      </x:c>
      <x:c r="C137" s="75" t="str">
        <x:v>Apps/bots</x:v>
      </x:c>
      <x:c r="D137" s="75"/>
      <x:c r="E137" s="75"/>
      <x:c r="F137" s="75"/>
      <x:c r="G137" s="75"/>
      <x:c r="H137" s="75"/>
      <x:c r="I137" s="75"/>
      <x:c r="J137" s="75"/>
      <x:c r="K137" s="75"/>
      <x:c r="L137" s="75" t="str">
        <x:v>No dedicated embedded-app implementation documented</x:v>
      </x:c>
      <x:c r="M137" s="75"/>
      <x:c r="N137" s="75"/>
      <x:c r="O137" s="75" t="str">
        <x:v>Widget-dependent</x:v>
      </x:c>
      <x:c r="P137" s="75"/>
      <x:c r="Q137" s="75"/>
      <x:c r="R137" s="75"/>
      <x:c r="S137" s="75"/>
      <x:c r="T137" s="75"/>
      <x:c r="U137" s="75"/>
      <x:c r="V137" s="75" t="str">
        <x:v>Yes — Radio Portal</x:v>
      </x:c>
      <x:c r="W137" s="75"/>
      <x:c r="X137" s="75"/>
      <x:c r="Y137" s="75"/>
      <x:c r="Z137" s="75"/>
      <x:c r="AA137" s="75"/>
      <x:c r="AB137" s="75"/>
      <x:c r="AC137" s="78"/>
      <x:c r="AD137" s="75"/>
      <x:c r="AE137" s="75"/>
      <x:c r="AF137" s="75"/>
      <x:c r="AG137" s="75"/>
      <x:c r="AH137" s="122" t="n">
        <x:v>22</x:v>
      </x:c>
      <x:c r="AI137" s="123" t="str">
        <x:v>Canonical source for Embedded Apps!22</x:v>
      </x:c>
    </x:row>
    <x:row r="138">
      <x:c r="A138" s="119" t="str">
        <x:v>Embedded Apps</x:v>
      </x:c>
      <x:c r="B138" s="121" t="str">
        <x:v>Soundboard App</x:v>
      </x:c>
      <x:c r="C138" s="75" t="str">
        <x:v>Native soundboard + apps</x:v>
      </x:c>
      <x:c r="D138" s="75"/>
      <x:c r="E138" s="75"/>
      <x:c r="F138" s="75"/>
      <x:c r="G138" s="75"/>
      <x:c r="H138" s="75"/>
      <x:c r="I138" s="75"/>
      <x:c r="J138" s="75"/>
      <x:c r="K138" s="75"/>
      <x:c r="L138" s="75" t="str">
        <x:v>No dedicated embedded-app implementation documented</x:v>
      </x:c>
      <x:c r="M138" s="75"/>
      <x:c r="N138" s="75"/>
      <x:c r="O138" s="75"/>
      <x:c r="P138" s="75"/>
      <x:c r="Q138" s="75"/>
      <x:c r="R138" s="75"/>
      <x:c r="S138" s="75"/>
      <x:c r="T138" s="75"/>
      <x:c r="U138" s="75"/>
      <x:c r="V138" s="75" t="str">
        <x:v>Yes — Portal + native personal/Shard soundboards</x:v>
      </x:c>
      <x:c r="W138" s="75"/>
      <x:c r="X138" s="75"/>
      <x:c r="Y138" s="75"/>
      <x:c r="Z138" s="75"/>
      <x:c r="AA138" s="75"/>
      <x:c r="AB138" s="75"/>
      <x:c r="AC138" s="78"/>
      <x:c r="AD138" s="75"/>
      <x:c r="AE138" s="75"/>
      <x:c r="AF138" s="75"/>
      <x:c r="AG138" s="75"/>
      <x:c r="AH138" s="122" t="n">
        <x:v>23</x:v>
      </x:c>
      <x:c r="AI138" s="123" t="str">
        <x:v>Canonical source for Embedded Apps!23</x:v>
      </x:c>
    </x:row>
    <x:row r="139">
      <x:c r="A139" s="119" t="str">
        <x:v>Embedded Apps</x:v>
      </x:c>
      <x:c r="B139" s="121" t="str">
        <x:v>Game Library / Game Night Tool</x:v>
      </x:c>
      <x:c r="C139" s="75" t="str">
        <x:v>Activities/game integrations</x:v>
      </x:c>
      <x:c r="D139" s="75"/>
      <x:c r="E139" s="75"/>
      <x:c r="F139" s="75"/>
      <x:c r="G139" s="75"/>
      <x:c r="H139" s="75"/>
      <x:c r="I139" s="75"/>
      <x:c r="J139" s="75"/>
      <x:c r="K139" s="75"/>
      <x:c r="L139" s="75" t="str">
        <x:v>No dedicated embedded-app implementation documented</x:v>
      </x:c>
      <x:c r="M139" s="75"/>
      <x:c r="N139" s="75"/>
      <x:c r="O139" s="75"/>
      <x:c r="P139" s="75"/>
      <x:c r="Q139" s="75"/>
      <x:c r="R139" s="75"/>
      <x:c r="S139" s="75"/>
      <x:c r="T139" s="75"/>
      <x:c r="U139" s="75"/>
      <x:c r="V139" s="75" t="str">
        <x:v>Yes — Steam library + overlap + Game Night voting</x:v>
      </x:c>
      <x:c r="W139" s="75"/>
      <x:c r="X139" s="75"/>
      <x:c r="Y139" s="75"/>
      <x:c r="Z139" s="75"/>
      <x:c r="AA139" s="75"/>
      <x:c r="AB139" s="75"/>
      <x:c r="AC139" s="78"/>
      <x:c r="AD139" s="75"/>
      <x:c r="AE139" s="75"/>
      <x:c r="AF139" s="75"/>
      <x:c r="AG139" s="75"/>
      <x:c r="AH139" s="122" t="n">
        <x:v>24</x:v>
      </x:c>
      <x:c r="AI139" s="123" t="str">
        <x:v>Canonical source for Embedded Apps!24</x:v>
      </x:c>
    </x:row>
    <x:row r="140">
      <x:c r="A140" s="119" t="str">
        <x:v>Embedded Apps</x:v>
      </x:c>
      <x:c r="B140" s="121" t="str">
        <x:v>Arcade / Mini Games</x:v>
      </x:c>
      <x:c r="C140" s="75" t="str">
        <x:v>Yes — Activities include games</x:v>
      </x:c>
      <x:c r="D140" s="75"/>
      <x:c r="E140" s="75"/>
      <x:c r="F140" s="75"/>
      <x:c r="G140" s="75"/>
      <x:c r="H140" s="75"/>
      <x:c r="I140" s="75"/>
      <x:c r="J140" s="75"/>
      <x:c r="K140" s="75"/>
      <x:c r="L140" s="75" t="str">
        <x:v>No dedicated embedded-app implementation documented</x:v>
      </x:c>
      <x:c r="M140" s="75"/>
      <x:c r="N140" s="75"/>
      <x:c r="O140" s="75"/>
      <x:c r="P140" s="75"/>
      <x:c r="Q140" s="75"/>
      <x:c r="R140" s="75"/>
      <x:c r="S140" s="75"/>
      <x:c r="T140" s="75"/>
      <x:c r="U140" s="75"/>
      <x:c r="V140" s="75" t="str">
        <x:v>Experimental — Arcade</x:v>
      </x:c>
      <x:c r="W140" s="75"/>
      <x:c r="X140" s="75"/>
      <x:c r="Y140" s="75"/>
      <x:c r="Z140" s="75"/>
      <x:c r="AA140" s="75"/>
      <x:c r="AB140" s="75"/>
      <x:c r="AC140" s="78"/>
      <x:c r="AD140" s="75"/>
      <x:c r="AE140" s="75"/>
      <x:c r="AF140" s="75"/>
      <x:c r="AG140" s="75"/>
      <x:c r="AH140" s="122" t="n">
        <x:v>25</x:v>
      </x:c>
      <x:c r="AI140" s="123" t="str">
        <x:v>Canonical metric shared by: Extra Features: Arcade / Mini Games | Embedded Apps: Arcade / Mini Games</x:v>
      </x:c>
    </x:row>
    <x:row r="141">
      <x:c r="A141" s="119" t="str">
        <x:v>Embedded Apps</x:v>
      </x:c>
      <x:c r="B141" s="121" t="str">
        <x:v>Tabletop / Virtual Tabletop</x:v>
      </x:c>
      <x:c r="C141" s="75" t="str">
        <x:v>Via Activities/apps</x:v>
      </x:c>
      <x:c r="D141" s="75"/>
      <x:c r="E141" s="75"/>
      <x:c r="F141" s="75"/>
      <x:c r="G141" s="75"/>
      <x:c r="H141" s="75"/>
      <x:c r="I141" s="75"/>
      <x:c r="J141" s="75"/>
      <x:c r="K141" s="75"/>
      <x:c r="L141" s="75" t="str">
        <x:v>No dedicated embedded-app implementation documented</x:v>
      </x:c>
      <x:c r="M141" s="75"/>
      <x:c r="N141" s="75"/>
      <x:c r="O141" s="75"/>
      <x:c r="P141" s="75"/>
      <x:c r="Q141" s="75"/>
      <x:c r="R141" s="75"/>
      <x:c r="S141" s="75"/>
      <x:c r="T141" s="75"/>
      <x:c r="U141" s="75"/>
      <x:c r="V141" s="75" t="str">
        <x:v>Experimental — native Tabletop</x:v>
      </x:c>
      <x:c r="W141" s="75"/>
      <x:c r="X141" s="75"/>
      <x:c r="Y141" s="75"/>
      <x:c r="Z141" s="75"/>
      <x:c r="AA141" s="75"/>
      <x:c r="AB141" s="75"/>
      <x:c r="AC141" s="78"/>
      <x:c r="AD141" s="75"/>
      <x:c r="AE141" s="75"/>
      <x:c r="AF141" s="75"/>
      <x:c r="AG141" s="75"/>
      <x:c r="AH141" s="122" t="n">
        <x:v>26</x:v>
      </x:c>
      <x:c r="AI141" s="123" t="str">
        <x:v>Canonical source for Embedded Apps!26</x:v>
      </x:c>
    </x:row>
    <x:row r="142">
      <x:c r="A142" s="119" t="str">
        <x:v>Embedded Apps</x:v>
      </x:c>
      <x:c r="B142" s="121" t="str">
        <x:v>Music Creation / DAW</x:v>
      </x:c>
      <x:c r="C142" s="75" t="str">
        <x:v>No first-party DAW</x:v>
      </x:c>
      <x:c r="D142" s="75"/>
      <x:c r="E142" s="75"/>
      <x:c r="F142" s="75"/>
      <x:c r="G142" s="75"/>
      <x:c r="H142" s="75"/>
      <x:c r="I142" s="75"/>
      <x:c r="J142" s="75"/>
      <x:c r="K142" s="75"/>
      <x:c r="L142" s="75" t="str">
        <x:v>No dedicated embedded-app implementation documented</x:v>
      </x:c>
      <x:c r="M142" s="75"/>
      <x:c r="N142" s="75"/>
      <x:c r="O142" s="75"/>
      <x:c r="P142" s="75"/>
      <x:c r="Q142" s="75"/>
      <x:c r="R142" s="75"/>
      <x:c r="S142" s="75"/>
      <x:c r="T142" s="75"/>
      <x:c r="U142" s="75"/>
      <x:c r="V142" s="75" t="str">
        <x:v>Experimental — Rift Studio</x:v>
      </x:c>
      <x:c r="W142" s="75"/>
      <x:c r="X142" s="75"/>
      <x:c r="Y142" s="75"/>
      <x:c r="Z142" s="75"/>
      <x:c r="AA142" s="75"/>
      <x:c r="AB142" s="75"/>
      <x:c r="AC142" s="78"/>
      <x:c r="AD142" s="75"/>
      <x:c r="AE142" s="75"/>
      <x:c r="AF142" s="75"/>
      <x:c r="AG142" s="75"/>
      <x:c r="AH142" s="122" t="n">
        <x:v>27</x:v>
      </x:c>
      <x:c r="AI142" s="123" t="str">
        <x:v>Canonical source for Embedded Apps!27</x:v>
      </x:c>
    </x:row>
    <x:row r="143">
      <x:c r="A143" s="119" t="str">
        <x:v>Embedded Apps</x:v>
      </x:c>
      <x:c r="B143" s="121" t="str">
        <x:v>Weather</x:v>
      </x:c>
      <x:c r="C143" s="75" t="str">
        <x:v>Apps/bots</x:v>
      </x:c>
      <x:c r="D143" s="75"/>
      <x:c r="E143" s="75"/>
      <x:c r="F143" s="75"/>
      <x:c r="G143" s="75"/>
      <x:c r="H143" s="75"/>
      <x:c r="I143" s="75"/>
      <x:c r="J143" s="75"/>
      <x:c r="K143" s="75"/>
      <x:c r="L143" s="75" t="str">
        <x:v>No dedicated embedded-app implementation documented</x:v>
      </x:c>
      <x:c r="M143" s="75"/>
      <x:c r="N143" s="75"/>
      <x:c r="O143" s="75" t="str">
        <x:v>Widget/integration dependent</x:v>
      </x:c>
      <x:c r="P143" s="75"/>
      <x:c r="Q143" s="75"/>
      <x:c r="R143" s="75"/>
      <x:c r="S143" s="75"/>
      <x:c r="T143" s="75"/>
      <x:c r="U143" s="75"/>
      <x:c r="V143" s="75" t="str">
        <x:v>Yes — Weather + Windy radar</x:v>
      </x:c>
      <x:c r="W143" s="75" t="str">
        <x:v>Apps possible</x:v>
      </x:c>
      <x:c r="X143" s="75"/>
      <x:c r="Y143" s="75"/>
      <x:c r="Z143" s="75"/>
      <x:c r="AA143" s="75"/>
      <x:c r="AB143" s="75"/>
      <x:c r="AC143" s="78"/>
      <x:c r="AD143" s="75"/>
      <x:c r="AE143" s="75"/>
      <x:c r="AF143" s="75"/>
      <x:c r="AG143" s="75" t="str">
        <x:v>Integrations/bots possible</x:v>
      </x:c>
      <x:c r="AH143" s="122" t="n">
        <x:v>29</x:v>
      </x:c>
      <x:c r="AI143" s="123" t="str">
        <x:v>Canonical source for Embedded Apps!29</x:v>
      </x:c>
    </x:row>
    <x:row r="144">
      <x:c r="A144" s="119" t="str">
        <x:v>Embedded Apps</x:v>
      </x:c>
      <x:c r="B144" s="121" t="str">
        <x:v>Calendar</x:v>
      </x:c>
      <x:c r="C144" s="75" t="str">
        <x:v>Apps/bots; Scheduled Events native</x:v>
      </x:c>
      <x:c r="D144" s="75"/>
      <x:c r="E144" s="75"/>
      <x:c r="F144" s="75"/>
      <x:c r="G144" s="75"/>
      <x:c r="H144" s="75"/>
      <x:c r="I144" s="75"/>
      <x:c r="J144" s="75"/>
      <x:c r="K144" s="75"/>
      <x:c r="L144" s="75" t="str">
        <x:v>No dedicated embedded-app implementation documented</x:v>
      </x:c>
      <x:c r="M144" s="75"/>
      <x:c r="N144" s="75"/>
      <x:c r="O144" s="75" t="str">
        <x:v>Element integrations can include calendar widgets</x:v>
      </x:c>
      <x:c r="P144" s="75"/>
      <x:c r="Q144" s="75"/>
      <x:c r="R144" s="75"/>
      <x:c r="S144" s="75"/>
      <x:c r="T144" s="75"/>
      <x:c r="U144" s="75"/>
      <x:c r="V144" s="75" t="str">
        <x:v>Yes — personal + Shard calendars, iCal sync</x:v>
      </x:c>
      <x:c r="W144" s="75" t="str">
        <x:v>Apps possible</x:v>
      </x:c>
      <x:c r="X144" s="75"/>
      <x:c r="Y144" s="75"/>
      <x:c r="Z144" s="75"/>
      <x:c r="AA144" s="75"/>
      <x:c r="AB144" s="75"/>
      <x:c r="AC144" s="78"/>
      <x:c r="AD144" s="75"/>
      <x:c r="AE144" s="75"/>
      <x:c r="AF144" s="75"/>
      <x:c r="AG144" s="75" t="str">
        <x:v>Integrations possible</x:v>
      </x:c>
      <x:c r="AH144" s="122" t="n">
        <x:v>30</x:v>
      </x:c>
      <x:c r="AI144" s="123" t="str">
        <x:v>Canonical source for Embedded Apps!30</x:v>
      </x:c>
    </x:row>
    <x:row r="145">
      <x:c r="A145" s="119" t="str">
        <x:v>Embedded Apps</x:v>
      </x:c>
      <x:c r="B145" s="121" t="str">
        <x:v>To-Do List</x:v>
      </x:c>
      <x:c r="C145" s="75" t="str">
        <x:v>Apps/bots</x:v>
      </x:c>
      <x:c r="D145" s="75"/>
      <x:c r="E145" s="75"/>
      <x:c r="F145" s="75"/>
      <x:c r="G145" s="75"/>
      <x:c r="H145" s="75"/>
      <x:c r="I145" s="75"/>
      <x:c r="J145" s="75"/>
      <x:c r="K145" s="75"/>
      <x:c r="L145" s="75" t="str">
        <x:v>No dedicated embedded-app implementation documented</x:v>
      </x:c>
      <x:c r="M145" s="75"/>
      <x:c r="N145" s="75"/>
      <x:c r="O145" s="75"/>
      <x:c r="P145" s="75" t="str">
        <x:v>Plugins/integrations</x:v>
      </x:c>
      <x:c r="Q145" s="75"/>
      <x:c r="R145" s="75"/>
      <x:c r="S145" s="75"/>
      <x:c r="T145" s="75"/>
      <x:c r="U145" s="75"/>
      <x:c r="V145" s="75" t="str">
        <x:v>Yes — personal To-do Portal</x:v>
      </x:c>
      <x:c r="W145" s="75" t="str">
        <x:v>Apps</x:v>
      </x:c>
      <x:c r="X145" s="75"/>
      <x:c r="Y145" s="75"/>
      <x:c r="Z145" s="75"/>
      <x:c r="AA145" s="75"/>
      <x:c r="AB145" s="75"/>
      <x:c r="AC145" s="78"/>
      <x:c r="AD145" s="75"/>
      <x:c r="AE145" s="75"/>
      <x:c r="AF145" s="75"/>
      <x:c r="AG145" s="75" t="str">
        <x:v>Integrations/bots</x:v>
      </x:c>
      <x:c r="AH145" s="122" t="n">
        <x:v>31</x:v>
      </x:c>
      <x:c r="AI145" s="123" t="str">
        <x:v>Canonical source for Embedded Apps!31</x:v>
      </x:c>
    </x:row>
    <x:row r="146">
      <x:c r="A146" s="119" t="str">
        <x:v>Embedded Apps</x:v>
      </x:c>
      <x:c r="B146" s="121" t="str">
        <x:v>RSS / Feed Reader</x:v>
      </x:c>
      <x:c r="C146" s="75" t="str">
        <x:v>Apps/webhooks</x:v>
      </x:c>
      <x:c r="D146" s="75"/>
      <x:c r="E146" s="75"/>
      <x:c r="F146" s="75"/>
      <x:c r="G146" s="75"/>
      <x:c r="H146" s="75"/>
      <x:c r="I146" s="75"/>
      <x:c r="J146" s="75"/>
      <x:c r="K146" s="75"/>
      <x:c r="L146" s="75" t="str">
        <x:v>No dedicated embedded-app implementation documented</x:v>
      </x:c>
      <x:c r="M146" s="75"/>
      <x:c r="N146" s="75"/>
      <x:c r="O146" s="75" t="str">
        <x:v>Element integration ecosystem includes feeds</x:v>
      </x:c>
      <x:c r="P146" s="75"/>
      <x:c r="Q146" s="75"/>
      <x:c r="R146" s="75"/>
      <x:c r="S146" s="75"/>
      <x:c r="T146" s="75"/>
      <x:c r="U146" s="75"/>
      <x:c r="V146" s="75" t="str">
        <x:v>Yes — built-in Feeds/RSS Portal</x:v>
      </x:c>
      <x:c r="W146" s="75" t="str">
        <x:v>Apps/webhooks</x:v>
      </x:c>
      <x:c r="X146" s="75"/>
      <x:c r="Y146" s="75"/>
      <x:c r="Z146" s="75"/>
      <x:c r="AA146" s="75"/>
      <x:c r="AB146" s="75"/>
      <x:c r="AC146" s="78"/>
      <x:c r="AD146" s="75"/>
      <x:c r="AE146" s="75"/>
      <x:c r="AF146" s="75"/>
      <x:c r="AG146" s="75" t="str">
        <x:v>Native integrations/webhooks</x:v>
      </x:c>
      <x:c r="AH146" s="122" t="n">
        <x:v>32</x:v>
      </x:c>
      <x:c r="AI146" s="123" t="str">
        <x:v>Canonical source for Embedded Apps!32</x:v>
      </x:c>
    </x:row>
    <x:row r="147">
      <x:c r="A147" s="119" t="str">
        <x:v>Embedded Apps</x:v>
      </x:c>
      <x:c r="B147" s="121" t="str">
        <x:v>Stocks / Crypto Watchlist</x:v>
      </x:c>
      <x:c r="C147" s="75" t="str">
        <x:v>Apps/bots</x:v>
      </x:c>
      <x:c r="D147" s="75"/>
      <x:c r="E147" s="75"/>
      <x:c r="F147" s="75"/>
      <x:c r="G147" s="75"/>
      <x:c r="H147" s="75"/>
      <x:c r="I147" s="75"/>
      <x:c r="J147" s="75"/>
      <x:c r="K147" s="75"/>
      <x:c r="L147" s="75" t="str">
        <x:v>No dedicated embedded-app implementation documented</x:v>
      </x:c>
      <x:c r="M147" s="75"/>
      <x:c r="N147" s="75"/>
      <x:c r="O147" s="75" t="str">
        <x:v>Widget-dependent</x:v>
      </x:c>
      <x:c r="P147" s="75"/>
      <x:c r="Q147" s="75"/>
      <x:c r="R147" s="75"/>
      <x:c r="S147" s="75"/>
      <x:c r="T147" s="75"/>
      <x:c r="U147" s="75"/>
      <x:c r="V147" s="75" t="str">
        <x:v>Yes — Markets Portal</x:v>
      </x:c>
      <x:c r="W147" s="75" t="str">
        <x:v>Apps possible</x:v>
      </x:c>
      <x:c r="X147" s="75"/>
      <x:c r="Y147" s="75"/>
      <x:c r="Z147" s="75"/>
      <x:c r="AA147" s="75"/>
      <x:c r="AB147" s="75"/>
      <x:c r="AC147" s="78"/>
      <x:c r="AD147" s="75"/>
      <x:c r="AE147" s="75"/>
      <x:c r="AF147" s="75"/>
      <x:c r="AG147" s="75" t="str">
        <x:v>Bots/integrations</x:v>
      </x:c>
      <x:c r="AH147" s="122" t="n">
        <x:v>33</x:v>
      </x:c>
      <x:c r="AI147" s="123" t="str">
        <x:v>Canonical source for Embedded Apps!33</x:v>
      </x:c>
    </x:row>
    <x:row r="148">
      <x:c r="A148" s="119" t="str">
        <x:v>Embedded Apps</x:v>
      </x:c>
      <x:c r="B148" s="121" t="str">
        <x:v>Sports / Fantasy</x:v>
      </x:c>
      <x:c r="C148" s="75" t="str">
        <x:v>Apps/bots</x:v>
      </x:c>
      <x:c r="D148" s="75"/>
      <x:c r="E148" s="75"/>
      <x:c r="F148" s="75"/>
      <x:c r="G148" s="75"/>
      <x:c r="H148" s="75"/>
      <x:c r="I148" s="75"/>
      <x:c r="J148" s="75"/>
      <x:c r="K148" s="75"/>
      <x:c r="L148" s="75" t="str">
        <x:v>No dedicated embedded-app implementation documented</x:v>
      </x:c>
      <x:c r="M148" s="75"/>
      <x:c r="N148" s="75"/>
      <x:c r="O148" s="75" t="str">
        <x:v>Widget-dependent</x:v>
      </x:c>
      <x:c r="P148" s="75"/>
      <x:c r="Q148" s="75"/>
      <x:c r="R148" s="75"/>
      <x:c r="S148" s="75"/>
      <x:c r="T148" s="75"/>
      <x:c r="U148" s="75"/>
      <x:c r="V148" s="75" t="str">
        <x:v>Yes — Portal</x:v>
      </x:c>
      <x:c r="W148" s="75"/>
      <x:c r="X148" s="75"/>
      <x:c r="Y148" s="75"/>
      <x:c r="Z148" s="75"/>
      <x:c r="AA148" s="75"/>
      <x:c r="AB148" s="75"/>
      <x:c r="AC148" s="78"/>
      <x:c r="AD148" s="75"/>
      <x:c r="AE148" s="75"/>
      <x:c r="AF148" s="75"/>
      <x:c r="AG148" s="75"/>
      <x:c r="AH148" s="122" t="n">
        <x:v>34</x:v>
      </x:c>
      <x:c r="AI148" s="123" t="str">
        <x:v>Canonical source for Embedded Apps!34</x:v>
      </x:c>
    </x:row>
    <x:row r="149">
      <x:c r="A149" s="119" t="str">
        <x:v>Embedded Apps</x:v>
      </x:c>
      <x:c r="B149" s="121" t="str">
        <x:v>Mini Browser / Embedded Web</x:v>
      </x:c>
      <x:c r="C149" s="75" t="str">
        <x:v>Activities are sandboxed embedded web apps; not a general browser</x:v>
      </x:c>
      <x:c r="D149" s="75"/>
      <x:c r="E149" s="75"/>
      <x:c r="F149" s="75"/>
      <x:c r="G149" s="75"/>
      <x:c r="H149" s="75"/>
      <x:c r="I149" s="75"/>
      <x:c r="J149" s="75"/>
      <x:c r="K149" s="75"/>
      <x:c r="L149" s="75" t="str">
        <x:v>No dedicated embedded-app implementation documented</x:v>
      </x:c>
      <x:c r="M149" s="75"/>
      <x:c r="N149" s="75"/>
      <x:c r="O149" s="75" t="str">
        <x:v>Custom widgets can embed web pages in supported clients</x:v>
      </x:c>
      <x:c r="P149" s="75"/>
      <x:c r="Q149" s="75"/>
      <x:c r="R149" s="75"/>
      <x:c r="S149" s="75"/>
      <x:c r="T149" s="75"/>
      <x:c r="U149" s="75"/>
      <x:c r="V149" s="75" t="str">
        <x:v>Yes — Mini Browser Portal</x:v>
      </x:c>
      <x:c r="W149" s="75"/>
      <x:c r="X149" s="75"/>
      <x:c r="Y149" s="75"/>
      <x:c r="Z149" s="75"/>
      <x:c r="AA149" s="75"/>
      <x:c r="AB149" s="75"/>
      <x:c r="AC149" s="78"/>
      <x:c r="AD149" s="75"/>
      <x:c r="AE149" s="75"/>
      <x:c r="AF149" s="75"/>
      <x:c r="AG149" s="75"/>
      <x:c r="AH149" s="122" t="n">
        <x:v>35</x:v>
      </x:c>
      <x:c r="AI149" s="123" t="str">
        <x:v>Canonical source for Embedded Apps!35</x:v>
      </x:c>
    </x:row>
    <x:row r="150">
      <x:c r="A150" s="119" t="str">
        <x:v>Embedded Apps</x:v>
      </x:c>
      <x:c r="B150" s="121" t="str">
        <x:v>Post-It / Sticky Notes</x:v>
      </x:c>
      <x:c r="C150" s="75" t="str">
        <x:v>Apps</x:v>
      </x:c>
      <x:c r="D150" s="75"/>
      <x:c r="E150" s="75"/>
      <x:c r="F150" s="75"/>
      <x:c r="G150" s="75"/>
      <x:c r="H150" s="75"/>
      <x:c r="I150" s="75"/>
      <x:c r="J150" s="75"/>
      <x:c r="K150" s="75"/>
      <x:c r="L150" s="75" t="str">
        <x:v>No dedicated embedded-app implementation documented</x:v>
      </x:c>
      <x:c r="M150" s="75"/>
      <x:c r="N150" s="75"/>
      <x:c r="O150" s="75" t="str">
        <x:v>Widget-dependent</x:v>
      </x:c>
      <x:c r="P150" s="75"/>
      <x:c r="Q150" s="75"/>
      <x:c r="R150" s="75"/>
      <x:c r="S150" s="75"/>
      <x:c r="T150" s="75"/>
      <x:c r="U150" s="75"/>
      <x:c r="V150" s="75" t="str">
        <x:v>Yes — Post-it Portal</x:v>
      </x:c>
      <x:c r="W150" s="75"/>
      <x:c r="X150" s="75"/>
      <x:c r="Y150" s="75"/>
      <x:c r="Z150" s="75"/>
      <x:c r="AA150" s="75"/>
      <x:c r="AB150" s="75"/>
      <x:c r="AC150" s="78"/>
      <x:c r="AD150" s="75"/>
      <x:c r="AE150" s="75"/>
      <x:c r="AF150" s="75"/>
      <x:c r="AG150" s="75"/>
      <x:c r="AH150" s="122" t="n">
        <x:v>36</x:v>
      </x:c>
      <x:c r="AI150" s="123" t="str">
        <x:v>Canonical source for Embedded Apps!36</x:v>
      </x:c>
    </x:row>
    <x:row r="151">
      <x:c r="A151" s="119" t="str">
        <x:v>Embedded Apps</x:v>
      </x:c>
      <x:c r="B151" s="121" t="str">
        <x:v>World Clock</x:v>
      </x:c>
      <x:c r="C151" s="75" t="str">
        <x:v>Apps/bots</x:v>
      </x:c>
      <x:c r="D151" s="75"/>
      <x:c r="E151" s="75"/>
      <x:c r="F151" s="75"/>
      <x:c r="G151" s="75"/>
      <x:c r="H151" s="75"/>
      <x:c r="I151" s="75"/>
      <x:c r="J151" s="75"/>
      <x:c r="K151" s="75"/>
      <x:c r="L151" s="75" t="str">
        <x:v>No dedicated embedded-app implementation documented</x:v>
      </x:c>
      <x:c r="M151" s="75"/>
      <x:c r="N151" s="75"/>
      <x:c r="O151" s="75"/>
      <x:c r="P151" s="75"/>
      <x:c r="Q151" s="75"/>
      <x:c r="R151" s="75"/>
      <x:c r="S151" s="75"/>
      <x:c r="T151" s="75"/>
      <x:c r="U151" s="75"/>
      <x:c r="V151" s="75" t="str">
        <x:v>Yes — World Clock Portal</x:v>
      </x:c>
      <x:c r="W151" s="75"/>
      <x:c r="X151" s="75"/>
      <x:c r="Y151" s="75"/>
      <x:c r="Z151" s="75"/>
      <x:c r="AA151" s="75"/>
      <x:c r="AB151" s="75"/>
      <x:c r="AC151" s="78"/>
      <x:c r="AD151" s="75"/>
      <x:c r="AE151" s="75"/>
      <x:c r="AF151" s="75"/>
      <x:c r="AG151" s="75"/>
      <x:c r="AH151" s="122" t="n">
        <x:v>37</x:v>
      </x:c>
      <x:c r="AI151" s="123" t="str">
        <x:v>Canonical source for Embedded Apps!37</x:v>
      </x:c>
    </x:row>
    <x:row r="152">
      <x:c r="A152" s="119" t="str">
        <x:v>Embedded Apps</x:v>
      </x:c>
      <x:c r="B152" s="121" t="str">
        <x:v>System Monitor</x:v>
      </x:c>
      <x:c r="C152" s="75" t="str">
        <x:v>No first-party hardware monitor</x:v>
      </x:c>
      <x:c r="D152" s="75"/>
      <x:c r="E152" s="75"/>
      <x:c r="F152" s="75"/>
      <x:c r="G152" s="75"/>
      <x:c r="H152" s="75"/>
      <x:c r="I152" s="75"/>
      <x:c r="J152" s="75"/>
      <x:c r="K152" s="75"/>
      <x:c r="L152" s="75" t="str">
        <x:v>No dedicated embedded-app implementation documented</x:v>
      </x:c>
      <x:c r="M152" s="75"/>
      <x:c r="N152" s="75"/>
      <x:c r="O152" s="75"/>
      <x:c r="P152" s="75"/>
      <x:c r="Q152" s="75"/>
      <x:c r="R152" s="75"/>
      <x:c r="S152" s="75"/>
      <x:c r="T152" s="75"/>
      <x:c r="U152" s="75"/>
      <x:c r="V152" s="75" t="str">
        <x:v>Yes — desktop-only CPU/GPU/RAM/VRAM/temp/disk/network HUD</x:v>
      </x:c>
      <x:c r="W152" s="75"/>
      <x:c r="X152" s="75"/>
      <x:c r="Y152" s="75"/>
      <x:c r="Z152" s="75"/>
      <x:c r="AA152" s="75"/>
      <x:c r="AB152" s="75"/>
      <x:c r="AC152" s="78"/>
      <x:c r="AD152" s="75"/>
      <x:c r="AE152" s="75"/>
      <x:c r="AF152" s="75"/>
      <x:c r="AG152" s="75"/>
      <x:c r="AH152" s="122" t="n">
        <x:v>38</x:v>
      </x:c>
      <x:c r="AI152" s="123" t="str">
        <x:v>Canonical source for Embedded Apps!38</x:v>
      </x:c>
    </x:row>
    <x:row r="153">
      <x:c r="A153" s="119" t="str">
        <x:v>Embedded Apps</x:v>
      </x:c>
      <x:c r="B153" s="121" t="str">
        <x:v>App Permissions / Scopes</x:v>
      </x:c>
      <x:c r="C153" s="75" t="str">
        <x:v>Yes — OAuth2 + SDK scopes</x:v>
      </x:c>
      <x:c r="D153" s="75"/>
      <x:c r="E153" s="75"/>
      <x:c r="F153" s="75"/>
      <x:c r="G153" s="75"/>
      <x:c r="H153" s="75"/>
      <x:c r="I153" s="75"/>
      <x:c r="J153" s="75"/>
      <x:c r="K153" s="75"/>
      <x:c r="L153" s="75" t="str">
        <x:v>Yes — granular REST scopes, Gateway intents, guild permissions, E2EE modes and exact-instance allow/deny policies</x:v>
      </x:c>
      <x:c r="M153" s="75"/>
      <x:c r="N153" s="75"/>
      <x:c r="O153" s="75" t="str">
        <x:v>Client/widget/integration dependent</x:v>
      </x:c>
      <x:c r="P153" s="75" t="str">
        <x:v>Admin/plugin permission model</x:v>
      </x:c>
      <x:c r="Q153" s="75"/>
      <x:c r="R153" s="75"/>
      <x:c r="S153" s="75"/>
      <x:c r="T153" s="75"/>
      <x:c r="U153" s="75"/>
      <x:c r="V153" s="75" t="str">
        <x:v>N/A</x:v>
      </x:c>
      <x:c r="W153" s="75" t="str">
        <x:v>Apps-Engine permission model</x:v>
      </x:c>
      <x:c r="X153" s="75"/>
      <x:c r="Y153" s="75"/>
      <x:c r="Z153" s="75"/>
      <x:c r="AA153" s="75"/>
      <x:c r="AB153" s="75"/>
      <x:c r="AC153" s="78"/>
      <x:c r="AD153" s="75"/>
      <x:c r="AE153" s="75"/>
      <x:c r="AF153" s="75"/>
      <x:c r="AG153" s="75" t="str">
        <x:v>Bot type + API key/permissions</x:v>
      </x:c>
      <x:c r="AH153" s="122" t="n">
        <x:v>40</x:v>
      </x:c>
      <x:c r="AI153" s="123" t="str">
        <x:v>Canonical source for Embedded Apps!40</x:v>
      </x:c>
    </x:row>
    <x:row r="154">
      <x:c r="A154" s="119" t="str">
        <x:v>Embedded Apps</x:v>
      </x:c>
      <x:c r="B154" s="121" t="str">
        <x:v>Private / Sideloaded Apps</x:v>
      </x:c>
      <x:c r="C154" s="75" t="str">
        <x:v>Development/private apps supported</x:v>
      </x:c>
      <x:c r="D154" s="75"/>
      <x:c r="E154" s="75"/>
      <x:c r="F154" s="75"/>
      <x:c r="G154" s="75"/>
      <x:c r="H154" s="75"/>
      <x:c r="I154" s="75"/>
      <x:c r="J154" s="75"/>
      <x:c r="K154" s="75"/>
      <x:c r="L154" s="75" t="str">
        <x:v>Yes — apps can be installed by invite without public-directory listing</x:v>
      </x:c>
      <x:c r="M154" s="75"/>
      <x:c r="N154" s="75"/>
      <x:c r="O154" s="75" t="str">
        <x:v>Custom widgets supported in Element deployments</x:v>
      </x:c>
      <x:c r="P154" s="75" t="str">
        <x:v>Yes — uploaded plugins depending admin policy</x:v>
      </x:c>
      <x:c r="Q154" s="75"/>
      <x:c r="R154" s="75"/>
      <x:c r="S154" s="75"/>
      <x:c r="T154" s="75"/>
      <x:c r="U154" s="75"/>
      <x:c r="V154" s="75" t="str">
        <x:v>N/A</x:v>
      </x:c>
      <x:c r="W154" s="75" t="str">
        <x:v>Yes — private apps on supported plans</x:v>
      </x:c>
      <x:c r="X154" s="75"/>
      <x:c r="Y154" s="75"/>
      <x:c r="Z154" s="75"/>
      <x:c r="AA154" s="75"/>
      <x:c r="AB154" s="75"/>
      <x:c r="AC154" s="78"/>
      <x:c r="AD154" s="75"/>
      <x:c r="AE154" s="75"/>
      <x:c r="AF154" s="75"/>
      <x:c r="AG154" s="75" t="str">
        <x:v>Custom bots/integrations</x:v>
      </x:c>
      <x:c r="AH154" s="122" t="n">
        <x:v>41</x:v>
      </x:c>
      <x:c r="AI154" s="123" t="str">
        <x:v>Canonical source for Embedded Apps!41</x:v>
      </x:c>
    </x:row>
    <x:row r="155">
      <x:c r="A155" s="119" t="str">
        <x:v>Embedded Apps</x:v>
      </x:c>
      <x:c r="B155" s="121" t="str">
        <x:v>Paid Apps / In-App Purchases</x:v>
      </x:c>
      <x:c r="C155" s="75" t="str">
        <x:v>Yes — Activity SKUs/IAP supported</x:v>
      </x:c>
      <x:c r="D155" s="75"/>
      <x:c r="E155" s="75"/>
      <x:c r="F155" s="75"/>
      <x:c r="G155" s="75"/>
      <x:c r="H155" s="75"/>
      <x:c r="I155" s="75"/>
      <x:c r="J155" s="75"/>
      <x:c r="K155" s="75"/>
      <x:c r="L155" s="75" t="str">
        <x:v>No current paid-app/IAP system documented</x:v>
      </x:c>
      <x:c r="M155" s="75"/>
      <x:c r="N155" s="75"/>
      <x:c r="O155" s="75" t="str">
        <x:v>Provider/app dependent</x:v>
      </x:c>
      <x:c r="P155" s="75" t="str">
        <x:v>Marketplace/plugin dependent</x:v>
      </x:c>
      <x:c r="Q155" s="75"/>
      <x:c r="R155" s="75"/>
      <x:c r="S155" s="75"/>
      <x:c r="T155" s="75"/>
      <x:c r="U155" s="75"/>
      <x:c r="V155" s="75" t="str">
        <x:v>No Paid App</x:v>
      </x:c>
      <x:c r="W155" s="75" t="str">
        <x:v>Yes — paid marketplace apps</x:v>
      </x:c>
      <x:c r="X155" s="75"/>
      <x:c r="Y155" s="75"/>
      <x:c r="Z155" s="75"/>
      <x:c r="AA155" s="75"/>
      <x:c r="AB155" s="75"/>
      <x:c r="AC155" s="78"/>
      <x:c r="AD155" s="75"/>
      <x:c r="AE155" s="75"/>
      <x:c r="AF155" s="75"/>
      <x:c r="AG155" s="75" t="str">
        <x:v>Integration vendor dependent</x:v>
      </x:c>
      <x:c r="AH155" s="122" t="n">
        <x:v>42</x:v>
      </x:c>
      <x:c r="AI155" s="123" t="str">
        <x:v>Canonical source for Embedded Apps!42</x:v>
      </x:c>
    </x:row>
    <x:row r="156">
      <x:c r="A156" s="119" t="str">
        <x:v>Embedded Apps</x:v>
      </x:c>
      <x:c r="B156" s="121" t="str">
        <x:v>Embedded App Notes</x:v>
      </x:c>
      <x:c r="C156" s="75" t="str">
        <x:v>Activities are iframe web apps designed for games, social experiences, co-watching and collaborative tools.</x:v>
      </x:c>
      <x:c r="D156" s="75"/>
      <x:c r="E156" s="75"/>
      <x:c r="F156" s="75"/>
      <x:c r="G156" s="75"/>
      <x:c r="H156" s="75"/>
      <x:c r="I156" s="75"/>
      <x:c r="J156" s="75"/>
      <x:c r="K156" s="75"/>
      <x:c r="L156" s="75" t="str">
        <x:v>Bot/application ecosystem with Developer Portal, federated installs and App Directory; not a Discord Activity/iframe model</x:v>
      </x:c>
      <x:c r="M156" s="75"/>
      <x:c r="N156" s="75"/>
      <x:c r="O156" s="75" t="str">
        <x:v>Do not treat Element widget support as a Matrix-wide guarantee; behavior is client/integration-manager dependent.</x:v>
      </x:c>
      <x:c r="P156" s="75" t="str">
        <x:v>Plugin webapps can deeply extend client UI but are admin-installed extensions rather than a consumer-style Activity launcher.</x:v>
      </x:c>
      <x:c r="Q156" s="75"/>
      <x:c r="R156" s="75"/>
      <x:c r="S156" s="75"/>
      <x:c r="T156" s="75"/>
      <x:c r="U156" s="75"/>
      <x:c r="V156" s="75" t="str">
        <x:v>Portals are a core workspace model: draggable/resizable apps beside chat, with saved layouts. Rift also documents experimental Studio, Arcade and Tabletop.</x:v>
      </x:c>
      <x:c r="W156" s="75" t="str">
        <x:v>Apps-Engine/Marketplace extends a workspace; app UI model varies by app.</x:v>
      </x:c>
      <x:c r="X156" s="75"/>
      <x:c r="Y156" s="75"/>
      <x:c r="Z156" s="75"/>
      <x:c r="AA156" s="75"/>
      <x:c r="AB156" s="75"/>
      <x:c r="AC156" s="78"/>
      <x:c r="AD156" s="75"/>
      <x:c r="AE156" s="75"/>
      <x:c r="AF156" s="75"/>
      <x:c r="AG156" s="75" t="str">
        <x:v>Extensibility is strong through bots, webhooks and 120+ integrations, but not as an embedded-app workspace.</x:v>
      </x:c>
      <x:c r="AH156" s="122" t="n">
        <x:v>43</x:v>
      </x:c>
      <x:c r="AI156" s="123" t="str">
        <x:v>Canonical source for Embedded Apps!43</x:v>
      </x:c>
    </x:row>
    <x:row r="157">
      <x:c r="A157" s="119" t="str">
        <x:v>Community Limits</x:v>
      </x:c>
      <x:c r="B157" s="121" t="str">
        <x:v>Max Communities / Servers Joined (Free)</x:v>
      </x:c>
      <x:c r="C157" s="75" t="str">
        <x:v>100</x:v>
      </x:c>
      <x:c r="D157" s="75"/>
      <x:c r="E157" s="75"/>
      <x:c r="F157" s="75"/>
      <x:c r="G157" s="75"/>
      <x:c r="H157" s="75" t="str">
        <x:v>100</x:v>
      </x:c>
      <x:c r="I157" s="75"/>
      <x:c r="J157" s="75"/>
      <x:c r="K157" s="75"/>
      <x:c r="L157" s="75"/>
      <x:c r="M157" s="75"/>
      <x:c r="N157" s="75"/>
      <x:c r="O157" s="75"/>
      <x:c r="P157" s="75"/>
      <x:c r="Q157" s="75"/>
      <x:c r="R157" s="75"/>
      <x:c r="S157" s="75"/>
      <x:c r="T157" s="75"/>
      <x:c r="U157" s="75"/>
      <x:c r="V157" s="75" t="str">
        <x:v>Unlimited Shards (published plan)</x:v>
      </x:c>
      <x:c r="W157" s="75"/>
      <x:c r="X157" s="75"/>
      <x:c r="Y157" s="75"/>
      <x:c r="Z157" s="75"/>
      <x:c r="AA157" s="75"/>
      <x:c r="AB157" s="75"/>
      <x:c r="AC157" s="78"/>
      <x:c r="AD157" s="75"/>
      <x:c r="AE157" s="75"/>
      <x:c r="AF157" s="75"/>
      <x:c r="AG157" s="75"/>
      <x:c r="AH157" s="122" t="n">
        <x:v>4</x:v>
      </x:c>
      <x:c r="AI157" s="123" t="str">
        <x:v>Canonical source for Community Limits!4</x:v>
      </x:c>
    </x:row>
    <x:row r="158">
      <x:c r="A158" s="119" t="str">
        <x:v>Community Limits</x:v>
      </x:c>
      <x:c r="B158" s="121" t="str">
        <x:v>Max Communities / Servers Joined (Paid)</x:v>
      </x:c>
      <x:c r="C158" s="75" t="str">
        <x:v>200 with Nitro</x:v>
      </x:c>
      <x:c r="D158" s="75"/>
      <x:c r="E158" s="75"/>
      <x:c r="F158" s="75"/>
      <x:c r="G158" s="75"/>
      <x:c r="H158" s="75" t="str">
        <x:v>200</x:v>
      </x:c>
      <x:c r="I158" s="75"/>
      <x:c r="J158" s="75"/>
      <x:c r="K158" s="75"/>
      <x:c r="L158" s="75"/>
      <x:c r="M158" s="75"/>
      <x:c r="N158" s="75"/>
      <x:c r="O158" s="75"/>
      <x:c r="P158" s="75"/>
      <x:c r="Q158" s="75"/>
      <x:c r="R158" s="75"/>
      <x:c r="S158" s="75"/>
      <x:c r="T158" s="75"/>
      <x:c r="U158" s="75"/>
      <x:c r="V158" s="75" t="str">
        <x:v>Unlimited Shards</x:v>
      </x:c>
      <x:c r="W158" s="75"/>
      <x:c r="X158" s="75"/>
      <x:c r="Y158" s="75"/>
      <x:c r="Z158" s="75"/>
      <x:c r="AA158" s="75"/>
      <x:c r="AB158" s="75"/>
      <x:c r="AC158" s="78"/>
      <x:c r="AD158" s="75"/>
      <x:c r="AE158" s="75"/>
      <x:c r="AF158" s="75"/>
      <x:c r="AG158" s="75"/>
      <x:c r="AH158" s="122" t="n">
        <x:v>5</x:v>
      </x:c>
      <x:c r="AI158" s="123" t="str">
        <x:v>Canonical source for Community Limits!5</x:v>
      </x:c>
    </x:row>
    <x:row r="159">
      <x:c r="A159" s="119" t="str">
        <x:v>Community Limits</x:v>
      </x:c>
      <x:c r="B159" s="121" t="str">
        <x:v>Max Members per Community (Free)</x:v>
      </x:c>
      <x:c r="C159" s="75"/>
      <x:c r="D159" s="75"/>
      <x:c r="E159" s="75"/>
      <x:c r="F159" s="75"/>
      <x:c r="G159" s="75"/>
      <x:c r="H159" s="75"/>
      <x:c r="I159" s="75" t="str">
        <x:v>100</x:v>
      </x:c>
      <x:c r="J159" s="75"/>
      <x:c r="K159" s="75"/>
      <x:c r="L159" s="75"/>
      <x:c r="M159" s="75"/>
      <x:c r="N159" s="75"/>
      <x:c r="O159" s="75"/>
      <x:c r="P159" s="75"/>
      <x:c r="Q159" s="75" t="str">
        <x:v>No published member cap / thousands supported</x:v>
      </x:c>
      <x:c r="R159" s="75"/>
      <x:c r="S159" s="75"/>
      <x:c r="T159" s="75"/>
      <x:c r="U159" s="75"/>
      <x:c r="V159" s="75" t="str">
        <x:v>Unlimited</x:v>
      </x:c>
      <x:c r="W159" s="75"/>
      <x:c r="X159" s="75"/>
      <x:c r="Y159" s="75"/>
      <x:c r="Z159" s="75"/>
      <x:c r="AA159" s="75"/>
      <x:c r="AB159" s="75" t="str">
        <x:v>32 slots self-host free</x:v>
      </x:c>
      <x:c r="AC159" s="78"/>
      <x:c r="AD159" s="75"/>
      <x:c r="AE159" s="75" t="str">
        <x:v>No seat limits for using public lobbies</x:v>
      </x:c>
      <x:c r="AF159" s="75"/>
      <x:c r="AG159" s="75"/>
      <x:c r="AH159" s="122" t="n">
        <x:v>6</x:v>
      </x:c>
      <x:c r="AI159" s="123" t="str">
        <x:v>Canonical source for Community Limits!6</x:v>
      </x:c>
    </x:row>
    <x:row r="160">
      <x:c r="A160" s="119" t="str">
        <x:v>Community Limits</x:v>
      </x:c>
      <x:c r="B160" s="121" t="str">
        <x:v>Max Members per Community (Paid)</x:v>
      </x:c>
      <x:c r="C160" s="75"/>
      <x:c r="D160" s="75"/>
      <x:c r="E160" s="75"/>
      <x:c r="F160" s="75"/>
      <x:c r="G160" s="75"/>
      <x:c r="H160" s="75"/>
      <x:c r="I160" s="75" t="str">
        <x:v>200 Silver / 500 Gold / Unlimited Diamond</x:v>
      </x:c>
      <x:c r="J160" s="75"/>
      <x:c r="K160" s="75"/>
      <x:c r="L160" s="75"/>
      <x:c r="M160" s="75"/>
      <x:c r="N160" s="75"/>
      <x:c r="O160" s="75"/>
      <x:c r="P160" s="75"/>
      <x:c r="Q160" s="75"/>
      <x:c r="R160" s="75"/>
      <x:c r="S160" s="75"/>
      <x:c r="T160" s="75"/>
      <x:c r="U160" s="75"/>
      <x:c r="V160" s="75" t="str">
        <x:v>Unlimited</x:v>
      </x:c>
      <x:c r="W160" s="75"/>
      <x:c r="X160" s="75"/>
      <x:c r="Y160" s="75"/>
      <x:c r="Z160" s="75"/>
      <x:c r="AA160" s="75"/>
      <x:c r="AB160" s="75" t="str">
        <x:v>Hosted 11/27/64 incl. bonus; self-host up to 1024 licensed</x:v>
      </x:c>
      <x:c r="AC160" s="78"/>
      <x:c r="AD160" s="75"/>
      <x:c r="AE160" s="75"/>
      <x:c r="AF160" s="75"/>
      <x:c r="AG160" s="75"/>
      <x:c r="AH160" s="122" t="n">
        <x:v>7</x:v>
      </x:c>
      <x:c r="AI160" s="123" t="str">
        <x:v>Canonical source for Community Limits!7</x:v>
      </x:c>
    </x:row>
    <x:row r="161">
      <x:c r="A161" s="119" t="str">
        <x:v>Community Limits</x:v>
      </x:c>
      <x:c r="B161" s="121" t="str">
        <x:v>Unlimited Members Available?</x:v>
      </x:c>
      <x:c r="C161" s="75"/>
      <x:c r="D161" s="75"/>
      <x:c r="E161" s="75"/>
      <x:c r="F161" s="75"/>
      <x:c r="G161" s="75"/>
      <x:c r="H161" s="75"/>
      <x:c r="I161" s="75" t="str">
        <x:v>Yes — Diamond</x:v>
      </x:c>
      <x:c r="J161" s="75"/>
      <x:c r="K161" s="75"/>
      <x:c r="L161" s="75"/>
      <x:c r="M161" s="75"/>
      <x:c r="N161" s="75"/>
      <x:c r="O161" s="75"/>
      <x:c r="P161" s="75"/>
      <x:c r="Q161" s="75" t="str">
        <x:v>Yes / no published Clan cap</x:v>
      </x:c>
      <x:c r="R161" s="75"/>
      <x:c r="S161" s="75"/>
      <x:c r="T161" s="75"/>
      <x:c r="U161" s="75"/>
      <x:c r="V161" s="75" t="str">
        <x:v>Yes</x:v>
      </x:c>
      <x:c r="W161" s="75"/>
      <x:c r="X161" s="75"/>
      <x:c r="Y161" s="75"/>
      <x:c r="Z161" s="75"/>
      <x:c r="AA161" s="75"/>
      <x:c r="AB161" s="75"/>
      <x:c r="AC161" s="78"/>
      <x:c r="AD161" s="75"/>
      <x:c r="AE161" s="75" t="str">
        <x:v>No seat limits for platform use; custom builds sized by community</x:v>
      </x:c>
      <x:c r="AF161" s="75"/>
      <x:c r="AG161" s="75"/>
      <x:c r="AH161" s="122" t="n">
        <x:v>8</x:v>
      </x:c>
      <x:c r="AI161" s="123" t="str">
        <x:v>Canonical source for Community Limits!8</x:v>
      </x:c>
    </x:row>
    <x:row r="162">
      <x:c r="A162" s="119" t="str">
        <x:v>Community Limits</x:v>
      </x:c>
      <x:c r="B162" s="121" t="str">
        <x:v>Max Text Channels</x:v>
      </x:c>
      <x:c r="C162" s="75"/>
      <x:c r="D162" s="75"/>
      <x:c r="E162" s="75"/>
      <x:c r="F162" s="75"/>
      <x:c r="G162" s="75"/>
      <x:c r="H162" s="75"/>
      <x:c r="I162" s="75"/>
      <x:c r="J162" s="75"/>
      <x:c r="K162" s="75"/>
      <x:c r="L162" s="75"/>
      <x:c r="M162" s="75"/>
      <x:c r="N162" s="75"/>
      <x:c r="O162" s="75"/>
      <x:c r="P162" s="75"/>
      <x:c r="Q162" s="75"/>
      <x:c r="R162" s="75"/>
      <x:c r="S162" s="75"/>
      <x:c r="T162" s="75"/>
      <x:c r="U162" s="75"/>
      <x:c r="V162" s="75" t="str">
        <x:v>Unlimited</x:v>
      </x:c>
      <x:c r="W162" s="75"/>
      <x:c r="X162" s="75"/>
      <x:c r="Y162" s="75"/>
      <x:c r="Z162" s="75"/>
      <x:c r="AA162" s="75"/>
      <x:c r="AB162" s="75"/>
      <x:c r="AC162" s="78"/>
      <x:c r="AD162" s="75"/>
      <x:c r="AE162" s="75"/>
      <x:c r="AF162" s="75"/>
      <x:c r="AG162" s="75"/>
      <x:c r="AH162" s="122" t="n">
        <x:v>10</x:v>
      </x:c>
      <x:c r="AI162" s="123" t="str">
        <x:v>Canonical source for Community Limits!10</x:v>
      </x:c>
    </x:row>
    <x:row r="163">
      <x:c r="A163" s="119" t="str">
        <x:v>Community Limits</x:v>
      </x:c>
      <x:c r="B163" s="121" t="str">
        <x:v>Max Voice Channels</x:v>
      </x:c>
      <x:c r="C163" s="75"/>
      <x:c r="D163" s="75"/>
      <x:c r="E163" s="75"/>
      <x:c r="F163" s="75"/>
      <x:c r="G163" s="75"/>
      <x:c r="H163" s="75"/>
      <x:c r="I163" s="75" t="str">
        <x:v>5 free / 9 Silver / 18 Gold / 64 Diamond</x:v>
      </x:c>
      <x:c r="J163" s="75"/>
      <x:c r="K163" s="75"/>
      <x:c r="L163" s="75"/>
      <x:c r="M163" s="75"/>
      <x:c r="N163" s="75"/>
      <x:c r="O163" s="75"/>
      <x:c r="P163" s="75"/>
      <x:c r="Q163" s="75"/>
      <x:c r="R163" s="75"/>
      <x:c r="S163" s="75"/>
      <x:c r="T163" s="75"/>
      <x:c r="U163" s="75"/>
      <x:c r="V163" s="75" t="str">
        <x:v>Unlimited</x:v>
      </x:c>
      <x:c r="W163" s="75"/>
      <x:c r="X163" s="75"/>
      <x:c r="Y163" s="75"/>
      <x:c r="Z163" s="75"/>
      <x:c r="AA163" s="75"/>
      <x:c r="AB163" s="75"/>
      <x:c r="AC163" s="78"/>
      <x:c r="AD163" s="75"/>
      <x:c r="AE163" s="75"/>
      <x:c r="AF163" s="75"/>
      <x:c r="AG163" s="75"/>
      <x:c r="AH163" s="122" t="n">
        <x:v>11</x:v>
      </x:c>
      <x:c r="AI163" s="123" t="str">
        <x:v>Canonical source for Community Limits!11</x:v>
      </x:c>
    </x:row>
    <x:row r="164">
      <x:c r="A164" s="119" t="str">
        <x:v>Community Limits</x:v>
      </x:c>
      <x:c r="B164" s="121" t="str">
        <x:v>Max Total Channels</x:v>
      </x:c>
      <x:c r="C164" s="75"/>
      <x:c r="D164" s="75"/>
      <x:c r="E164" s="75"/>
      <x:c r="F164" s="75"/>
      <x:c r="G164" s="75"/>
      <x:c r="H164" s="75"/>
      <x:c r="I164" s="75"/>
      <x:c r="J164" s="75"/>
      <x:c r="K164" s="75"/>
      <x:c r="L164" s="75"/>
      <x:c r="M164" s="75"/>
      <x:c r="N164" s="75"/>
      <x:c r="O164" s="75"/>
      <x:c r="P164" s="75"/>
      <x:c r="Q164" s="75"/>
      <x:c r="R164" s="75"/>
      <x:c r="S164" s="75"/>
      <x:c r="T164" s="75"/>
      <x:c r="U164" s="75"/>
      <x:c r="V164" s="75" t="str">
        <x:v>Unlimited</x:v>
      </x:c>
      <x:c r="W164" s="75"/>
      <x:c r="X164" s="75"/>
      <x:c r="Y164" s="75"/>
      <x:c r="Z164" s="75"/>
      <x:c r="AA164" s="75"/>
      <x:c r="AB164" s="75"/>
      <x:c r="AC164" s="78"/>
      <x:c r="AD164" s="75"/>
      <x:c r="AE164" s="75"/>
      <x:c r="AF164" s="75"/>
      <x:c r="AG164" s="75"/>
      <x:c r="AH164" s="122" t="n">
        <x:v>12</x:v>
      </x:c>
      <x:c r="AI164" s="123" t="str">
        <x:v>Canonical source for Community Limits!12</x:v>
      </x:c>
    </x:row>
    <x:row r="165">
      <x:c r="A165" s="119" t="str">
        <x:v>Community Limits</x:v>
      </x:c>
      <x:c r="B165" s="121" t="str">
        <x:v>Custom Emoji Slots (Free)</x:v>
      </x:c>
      <x:c r="C165" s="75" t="str">
        <x:v>Server-level slots depend boost/community configuration</x:v>
      </x:c>
      <x:c r="D165" s="75"/>
      <x:c r="E165" s="75"/>
      <x:c r="F165" s="75"/>
      <x:c r="G165" s="75"/>
      <x:c r="H165" s="75"/>
      <x:c r="I165" s="75" t="str">
        <x:v>0</x:v>
      </x:c>
      <x:c r="J165" s="75"/>
      <x:c r="K165" s="75"/>
      <x:c r="L165" s="75"/>
      <x:c r="M165" s="75"/>
      <x:c r="N165" s="75"/>
      <x:c r="O165" s="75"/>
      <x:c r="P165" s="75"/>
      <x:c r="Q165" s="75"/>
      <x:c r="R165" s="75"/>
      <x:c r="S165" s="75"/>
      <x:c r="T165" s="75"/>
      <x:c r="U165" s="75"/>
      <x:c r="V165" s="75" t="str">
        <x:v>10 Shard + 10 personal</x:v>
      </x:c>
      <x:c r="W165" s="75"/>
      <x:c r="X165" s="75"/>
      <x:c r="Y165" s="75"/>
      <x:c r="Z165" s="75"/>
      <x:c r="AA165" s="75"/>
      <x:c r="AB165" s="75"/>
      <x:c r="AC165" s="78"/>
      <x:c r="AD165" s="75"/>
      <x:c r="AE165" s="75"/>
      <x:c r="AF165" s="75"/>
      <x:c r="AG165" s="75"/>
      <x:c r="AH165" s="122" t="n">
        <x:v>16</x:v>
      </x:c>
      <x:c r="AI165" s="123" t="str">
        <x:v>Canonical source for Community Limits!16</x:v>
      </x:c>
    </x:row>
    <x:row r="166">
      <x:c r="A166" s="119" t="str">
        <x:v>Community Limits</x:v>
      </x:c>
      <x:c r="B166" s="121" t="str">
        <x:v>Custom Emoji Slots (Paid Max)</x:v>
      </x:c>
      <x:c r="C166" s="75"/>
      <x:c r="D166" s="75"/>
      <x:c r="E166" s="75"/>
      <x:c r="F166" s="75"/>
      <x:c r="G166" s="75"/>
      <x:c r="H166" s="75"/>
      <x:c r="I166" s="75" t="str">
        <x:v>500 Diamond</x:v>
      </x:c>
      <x:c r="J166" s="75"/>
      <x:c r="K166" s="75"/>
      <x:c r="L166" s="75"/>
      <x:c r="M166" s="75"/>
      <x:c r="N166" s="75"/>
      <x:c r="O166" s="75"/>
      <x:c r="P166" s="75"/>
      <x:c r="Q166" s="75"/>
      <x:c r="R166" s="75"/>
      <x:c r="S166" s="75"/>
      <x:c r="T166" s="75"/>
      <x:c r="U166" s="75"/>
      <x:c r="V166" s="75" t="str">
        <x:v>100 Shard Forge + 30 personal Rift+</x:v>
      </x:c>
      <x:c r="W166" s="75"/>
      <x:c r="X166" s="75"/>
      <x:c r="Y166" s="75"/>
      <x:c r="Z166" s="75"/>
      <x:c r="AA166" s="75"/>
      <x:c r="AB166" s="75"/>
      <x:c r="AC166" s="78"/>
      <x:c r="AD166" s="75"/>
      <x:c r="AE166" s="75"/>
      <x:c r="AF166" s="75"/>
      <x:c r="AG166" s="75"/>
      <x:c r="AH166" s="122" t="n">
        <x:v>17</x:v>
      </x:c>
      <x:c r="AI166" s="123" t="str">
        <x:v>Canonical source for Community Limits!17</x:v>
      </x:c>
    </x:row>
    <x:row r="167">
      <x:c r="A167" s="119" t="str">
        <x:v>Community Limits</x:v>
      </x:c>
      <x:c r="B167" s="121" t="str">
        <x:v>Soundboard Slots (Free)</x:v>
      </x:c>
      <x:c r="C167" s="75"/>
      <x:c r="D167" s="75"/>
      <x:c r="E167" s="75"/>
      <x:c r="F167" s="75"/>
      <x:c r="G167" s="75"/>
      <x:c r="H167" s="75"/>
      <x:c r="I167" s="75" t="str">
        <x:v>8</x:v>
      </x:c>
      <x:c r="J167" s="75"/>
      <x:c r="K167" s="75"/>
      <x:c r="L167" s="75"/>
      <x:c r="M167" s="75"/>
      <x:c r="N167" s="75"/>
      <x:c r="O167" s="75"/>
      <x:c r="P167" s="75"/>
      <x:c r="Q167" s="75"/>
      <x:c r="R167" s="75"/>
      <x:c r="S167" s="75"/>
      <x:c r="T167" s="75"/>
      <x:c r="U167" s="75"/>
      <x:c r="V167" s="75" t="str">
        <x:v>10 Shard + 5 personal</x:v>
      </x:c>
      <x:c r="W167" s="75"/>
      <x:c r="X167" s="75"/>
      <x:c r="Y167" s="75"/>
      <x:c r="Z167" s="75"/>
      <x:c r="AA167" s="75"/>
      <x:c r="AB167" s="75"/>
      <x:c r="AC167" s="78"/>
      <x:c r="AD167" s="75"/>
      <x:c r="AE167" s="75"/>
      <x:c r="AF167" s="75"/>
      <x:c r="AG167" s="75"/>
      <x:c r="AH167" s="122" t="n">
        <x:v>18</x:v>
      </x:c>
      <x:c r="AI167" s="123" t="str">
        <x:v>Canonical source for Community Limits!18</x:v>
      </x:c>
    </x:row>
    <x:row r="168">
      <x:c r="A168" s="119" t="str">
        <x:v>Community Limits</x:v>
      </x:c>
      <x:c r="B168" s="121" t="str">
        <x:v>Soundboard Slots (Paid Max)</x:v>
      </x:c>
      <x:c r="C168" s="75"/>
      <x:c r="D168" s="75"/>
      <x:c r="E168" s="75"/>
      <x:c r="F168" s="75"/>
      <x:c r="G168" s="75"/>
      <x:c r="H168" s="75"/>
      <x:c r="I168" s="75" t="str">
        <x:v>48 Diamond</x:v>
      </x:c>
      <x:c r="J168" s="75"/>
      <x:c r="K168" s="75"/>
      <x:c r="L168" s="75"/>
      <x:c r="M168" s="75"/>
      <x:c r="N168" s="75"/>
      <x:c r="O168" s="75"/>
      <x:c r="P168" s="75"/>
      <x:c r="Q168" s="75"/>
      <x:c r="R168" s="75"/>
      <x:c r="S168" s="75"/>
      <x:c r="T168" s="75"/>
      <x:c r="U168" s="75"/>
      <x:c r="V168" s="75" t="str">
        <x:v>75 Shard Forge + 25 personal Rift+</x:v>
      </x:c>
      <x:c r="W168" s="75"/>
      <x:c r="X168" s="75"/>
      <x:c r="Y168" s="75"/>
      <x:c r="Z168" s="75"/>
      <x:c r="AA168" s="75"/>
      <x:c r="AB168" s="75"/>
      <x:c r="AC168" s="78"/>
      <x:c r="AD168" s="75"/>
      <x:c r="AE168" s="75"/>
      <x:c r="AF168" s="75"/>
      <x:c r="AG168" s="75"/>
      <x:c r="AH168" s="122" t="n">
        <x:v>19</x:v>
      </x:c>
      <x:c r="AI168" s="123" t="str">
        <x:v>Canonical source for Community Limits!19</x:v>
      </x:c>
    </x:row>
    <x:row r="169">
      <x:c r="A169" s="119" t="str">
        <x:v>Community Limits</x:v>
      </x:c>
      <x:c r="B169" s="121" t="str">
        <x:v>Message Length (Free)</x:v>
      </x:c>
      <x:c r="C169" s="75" t="str">
        <x:v>2,000</x:v>
      </x:c>
      <x:c r="D169" s="75"/>
      <x:c r="E169" s="75"/>
      <x:c r="F169" s="75"/>
      <x:c r="G169" s="75"/>
      <x:c r="H169" s="75" t="str">
        <x:v>2,000</x:v>
      </x:c>
      <x:c r="I169" s="75"/>
      <x:c r="J169" s="75"/>
      <x:c r="K169" s="75"/>
      <x:c r="L169" s="75"/>
      <x:c r="M169" s="75"/>
      <x:c r="N169" s="75"/>
      <x:c r="O169" s="75"/>
      <x:c r="P169" s="75"/>
      <x:c r="Q169" s="75"/>
      <x:c r="R169" s="75"/>
      <x:c r="S169" s="75"/>
      <x:c r="T169" s="75"/>
      <x:c r="U169" s="75"/>
      <x:c r="V169" s="75" t="str">
        <x:v>8,000</x:v>
      </x:c>
      <x:c r="W169" s="75"/>
      <x:c r="X169" s="75"/>
      <x:c r="Y169" s="75"/>
      <x:c r="Z169" s="75"/>
      <x:c r="AA169" s="75"/>
      <x:c r="AB169" s="75"/>
      <x:c r="AC169" s="78"/>
      <x:c r="AD169" s="75"/>
      <x:c r="AE169" s="75"/>
      <x:c r="AF169" s="75"/>
      <x:c r="AG169" s="75"/>
      <x:c r="AH169" s="122" t="n">
        <x:v>23</x:v>
      </x:c>
      <x:c r="AI169" s="123" t="str">
        <x:v>Canonical source for Community Limits!23</x:v>
      </x:c>
    </x:row>
    <x:row r="170">
      <x:c r="A170" s="119" t="str">
        <x:v>Community Limits</x:v>
      </x:c>
      <x:c r="B170" s="121" t="str">
        <x:v>Message Length (Paid Max)</x:v>
      </x:c>
      <x:c r="C170" s="75" t="str">
        <x:v>4,000 with Nitro</x:v>
      </x:c>
      <x:c r="D170" s="75"/>
      <x:c r="E170" s="75"/>
      <x:c r="F170" s="75"/>
      <x:c r="G170" s="75"/>
      <x:c r="H170" s="75" t="str">
        <x:v>4,000</x:v>
      </x:c>
      <x:c r="I170" s="75"/>
      <x:c r="J170" s="75"/>
      <x:c r="K170" s="75"/>
      <x:c r="L170" s="75"/>
      <x:c r="M170" s="75"/>
      <x:c r="N170" s="75"/>
      <x:c r="O170" s="75"/>
      <x:c r="P170" s="75"/>
      <x:c r="Q170" s="75"/>
      <x:c r="R170" s="75"/>
      <x:c r="S170" s="75"/>
      <x:c r="T170" s="75"/>
      <x:c r="U170" s="75"/>
      <x:c r="V170" s="75" t="str">
        <x:v>16,000 Rift+</x:v>
      </x:c>
      <x:c r="W170" s="75"/>
      <x:c r="X170" s="75"/>
      <x:c r="Y170" s="75"/>
      <x:c r="Z170" s="75"/>
      <x:c r="AA170" s="75"/>
      <x:c r="AB170" s="75"/>
      <x:c r="AC170" s="78"/>
      <x:c r="AD170" s="75"/>
      <x:c r="AE170" s="75"/>
      <x:c r="AF170" s="75"/>
      <x:c r="AG170" s="75"/>
      <x:c r="AH170" s="122" t="n">
        <x:v>24</x:v>
      </x:c>
      <x:c r="AI170" s="123" t="str">
        <x:v>Canonical source for Community Limits!24</x:v>
      </x:c>
    </x:row>
    <x:row r="171">
      <x:c r="A171" s="119" t="str">
        <x:v>Community Limits</x:v>
      </x:c>
      <x:c r="B171" s="121" t="str">
        <x:v>Group DM Member Limit</x:v>
      </x:c>
      <x:c r="C171" s="75"/>
      <x:c r="D171" s="75"/>
      <x:c r="E171" s="75"/>
      <x:c r="F171" s="75"/>
      <x:c r="G171" s="75"/>
      <x:c r="H171" s="75"/>
      <x:c r="I171" s="75"/>
      <x:c r="J171" s="75"/>
      <x:c r="K171" s="75"/>
      <x:c r="L171" s="75"/>
      <x:c r="M171" s="75"/>
      <x:c r="N171" s="75"/>
      <x:c r="O171" s="75"/>
      <x:c r="P171" s="75"/>
      <x:c r="Q171" s="75" t="str">
        <x:v>10</x:v>
      </x:c>
      <x:c r="R171" s="75"/>
      <x:c r="S171" s="75"/>
      <x:c r="T171" s="75"/>
      <x:c r="U171" s="75"/>
      <x:c r="V171" s="75"/>
      <x:c r="W171" s="75"/>
      <x:c r="X171" s="75"/>
      <x:c r="Y171" s="75"/>
      <x:c r="Z171" s="75"/>
      <x:c r="AA171" s="75"/>
      <x:c r="AB171" s="75"/>
      <x:c r="AC171" s="78"/>
      <x:c r="AD171" s="75"/>
      <x:c r="AE171" s="75"/>
      <x:c r="AF171" s="75"/>
      <x:c r="AG171" s="75"/>
      <x:c r="AH171" s="122" t="n">
        <x:v>25</x:v>
      </x:c>
      <x:c r="AI171" s="123" t="str">
        <x:v>Canonical source for Community Limits!25</x:v>
      </x:c>
    </x:row>
    <x:row r="172">
      <x:c r="A172" s="119" t="str">
        <x:v>Community Limits</x:v>
      </x:c>
      <x:c r="B172" s="121" t="str">
        <x:v>Concurrent Screen Share Limit</x:v>
      </x:c>
      <x:c r="C172" s="75"/>
      <x:c r="D172" s="75"/>
      <x:c r="E172" s="75"/>
      <x:c r="F172" s="75"/>
      <x:c r="G172" s="75"/>
      <x:c r="H172" s="75"/>
      <x:c r="I172" s="75"/>
      <x:c r="J172" s="75"/>
      <x:c r="K172" s="75"/>
      <x:c r="L172" s="75" t="str">
        <x:v>Not documented</x:v>
      </x:c>
      <x:c r="M172" s="75"/>
      <x:c r="N172" s="75"/>
      <x:c r="O172" s="75"/>
      <x:c r="P172" s="75"/>
      <x:c r="Q172" s="75"/>
      <x:c r="R172" s="75"/>
      <x:c r="S172" s="75"/>
      <x:c r="T172" s="75"/>
      <x:c r="U172" s="75" t="str">
        <x:v>2 presenters in smaller rooms; 4 in big rooms</x:v>
      </x:c>
      <x:c r="V172" s="75"/>
      <x:c r="W172" s="75"/>
      <x:c r="X172" s="75"/>
      <x:c r="Y172" s="75"/>
      <x:c r="Z172" s="75"/>
      <x:c r="AA172" s="75"/>
      <x:c r="AB172" s="75"/>
      <x:c r="AC172" s="78"/>
      <x:c r="AD172" s="75"/>
      <x:c r="AE172" s="75"/>
      <x:c r="AF172" s="75"/>
      <x:c r="AG172" s="75"/>
      <x:c r="AH172" s="122" t="n">
        <x:v>27</x:v>
      </x:c>
      <x:c r="AI172" s="123" t="str">
        <x:v>Canonical source for Community Limits!27</x:v>
      </x:c>
    </x:row>
    <x:row r="173">
      <x:c r="A173" s="119" t="str">
        <x:v>Community Limits</x:v>
      </x:c>
      <x:c r="B173" s="121" t="str">
        <x:v>Max Bots / Apps</x:v>
      </x:c>
      <x:c r="C173" s="75"/>
      <x:c r="D173" s="75"/>
      <x:c r="E173" s="75"/>
      <x:c r="F173" s="75"/>
      <x:c r="G173" s="75"/>
      <x:c r="H173" s="75"/>
      <x:c r="I173" s="75"/>
      <x:c r="J173" s="75"/>
      <x:c r="K173" s="75"/>
      <x:c r="L173" s="75" t="str">
        <x:v>Guild install cap not located; developer teams may own up to 75 active applications</x:v>
      </x:c>
      <x:c r="M173" s="75"/>
      <x:c r="N173" s="75"/>
      <x:c r="O173" s="75"/>
      <x:c r="P173" s="75"/>
      <x:c r="Q173" s="75"/>
      <x:c r="R173" s="75"/>
      <x:c r="S173" s="75"/>
      <x:c r="T173" s="75"/>
      <x:c r="U173" s="75"/>
      <x:c r="V173" s="75"/>
      <x:c r="W173" s="75"/>
      <x:c r="X173" s="75"/>
      <x:c r="Y173" s="75"/>
      <x:c r="Z173" s="75"/>
      <x:c r="AA173" s="75"/>
      <x:c r="AB173" s="75"/>
      <x:c r="AC173" s="78"/>
      <x:c r="AD173" s="75"/>
      <x:c r="AE173" s="75"/>
      <x:c r="AF173" s="75"/>
      <x:c r="AG173" s="75"/>
      <x:c r="AH173" s="122" t="n">
        <x:v>29</x:v>
      </x:c>
      <x:c r="AI173" s="123" t="str">
        <x:v>Canonical source for Community Limits!29</x:v>
      </x:c>
    </x:row>
    <x:row r="174">
      <x:c r="A174" s="119" t="str">
        <x:v>Community Limits</x:v>
      </x:c>
      <x:c r="B174" s="121" t="str">
        <x:v>Max Incoming Webhooks</x:v>
      </x:c>
      <x:c r="C174" s="75"/>
      <x:c r="D174" s="75"/>
      <x:c r="E174" s="75"/>
      <x:c r="F174" s="75"/>
      <x:c r="G174" s="75"/>
      <x:c r="H174" s="75"/>
      <x:c r="I174" s="75"/>
      <x:c r="J174" s="75"/>
      <x:c r="K174" s="75"/>
      <x:c r="L174" s="75" t="str">
        <x:v>Not located</x:v>
      </x:c>
      <x:c r="M174" s="75"/>
      <x:c r="N174" s="75"/>
      <x:c r="O174" s="75"/>
      <x:c r="P174" s="75"/>
      <x:c r="Q174" s="75"/>
      <x:c r="R174" s="75"/>
      <x:c r="S174" s="75"/>
      <x:c r="T174" s="75"/>
      <x:c r="U174" s="75" t="str">
        <x:v>No public hard limit claimed</x:v>
      </x:c>
      <x:c r="V174" s="75" t="str">
        <x:v>5 free / 15 Ember / 30 Forge</x:v>
      </x:c>
      <x:c r="W174" s="75"/>
      <x:c r="X174" s="75"/>
      <x:c r="Y174" s="75"/>
      <x:c r="Z174" s="75"/>
      <x:c r="AA174" s="75"/>
      <x:c r="AB174" s="75"/>
      <x:c r="AC174" s="78"/>
      <x:c r="AD174" s="75"/>
      <x:c r="AE174" s="75"/>
      <x:c r="AF174" s="75"/>
      <x:c r="AG174" s="75"/>
      <x:c r="AH174" s="122" t="n">
        <x:v>30</x:v>
      </x:c>
      <x:c r="AI174" s="123" t="str">
        <x:v>Canonical source for Community Limits!30</x:v>
      </x:c>
    </x:row>
    <x:row r="175">
      <x:c r="A175" s="119" t="str">
        <x:v>Community Limits</x:v>
      </x:c>
      <x:c r="B175" s="121" t="str">
        <x:v>Max Saved Layouts / Workspaces</x:v>
      </x:c>
      <x:c r="C175" s="75"/>
      <x:c r="D175" s="75"/>
      <x:c r="E175" s="75"/>
      <x:c r="F175" s="75"/>
      <x:c r="G175" s="75"/>
      <x:c r="H175" s="75"/>
      <x:c r="I175" s="75"/>
      <x:c r="J175" s="75"/>
      <x:c r="K175" s="75"/>
      <x:c r="L175" s="75" t="str">
        <x:v>0 — feature not documented</x:v>
      </x:c>
      <x:c r="M175" s="75"/>
      <x:c r="N175" s="75"/>
      <x:c r="O175" s="75"/>
      <x:c r="P175" s="75"/>
      <x:c r="Q175" s="75"/>
      <x:c r="R175" s="75"/>
      <x:c r="S175" s="75"/>
      <x:c r="T175" s="75"/>
      <x:c r="U175" s="75"/>
      <x:c r="V175" s="75" t="str">
        <x:v>2 free / 8 Rift+</x:v>
      </x:c>
      <x:c r="W175" s="75"/>
      <x:c r="X175" s="75"/>
      <x:c r="Y175" s="75"/>
      <x:c r="Z175" s="75"/>
      <x:c r="AA175" s="75"/>
      <x:c r="AB175" s="75"/>
      <x:c r="AC175" s="78"/>
      <x:c r="AD175" s="75"/>
      <x:c r="AE175" s="75"/>
      <x:c r="AF175" s="75"/>
      <x:c r="AG175" s="75"/>
      <x:c r="AH175" s="122" t="n">
        <x:v>31</x:v>
      </x:c>
      <x:c r="AI175" s="123" t="str">
        <x:v>Canonical source for Community Limits!31</x:v>
      </x:c>
    </x:row>
    <x:row r="176">
      <x:c r="A176" s="119" t="str">
        <x:v>Community Limits</x:v>
      </x:c>
      <x:c r="B176" s="121" t="str">
        <x:v>Limits Source URL</x:v>
      </x:c>
      <x:c r="C176" s="75" t="str">
        <x:v>https://support.discord.com/hc/en-us/articles/115000435108-What-are-Nitro-Nitro-Basic</x:v>
      </x:c>
      <x:c r="D176" s="75"/>
      <x:c r="E176" s="75"/>
      <x:c r="F176" s="75"/>
      <x:c r="G176" s="75"/>
      <x:c r="H176" s="75" t="str">
        <x:v>https://fluxer.app/plutonium</x:v>
      </x:c>
      <x:c r="I176" s="75" t="str">
        <x:v>https://gamevox.com/blog/gamevox-vs-discord/</x:v>
      </x:c>
      <x:c r="J176" s="75"/>
      <x:c r="K176" s="75"/>
      <x:c r="L176" s="75" t="str">
        <x:v>https://kaede.chat/ | https://github.com/CookieNom/KaedeChat</x:v>
      </x:c>
      <x:c r="M176" s="75"/>
      <x:c r="N176" s="75"/>
      <x:c r="O176" s="75"/>
      <x:c r="P176" s="75"/>
      <x:c r="Q176" s="75" t="str">
        <x:v>https://mezon.ai/docs/user/resources/FAQ/</x:v>
      </x:c>
      <x:c r="R176" s="75"/>
      <x:c r="S176" s="75"/>
      <x:c r="T176" s="75"/>
      <x:c r="U176" s="75"/>
      <x:c r="V176" s="75" t="str">
        <x:v>https://therift.chat/de/plans/</x:v>
      </x:c>
      <x:c r="W176" s="75"/>
      <x:c r="X176" s="75"/>
      <x:c r="Y176" s="75"/>
      <x:c r="Z176" s="75"/>
      <x:c r="AA176" s="75"/>
      <x:c r="AB176" s="75" t="str">
        <x:v>https://support.teamspeak.com/hc/en-us/articles/26033099878045-Current-Community-Options</x:v>
      </x:c>
      <x:c r="AC176" s="78"/>
      <x:c r="AD176" s="75"/>
      <x:c r="AE176" s="75" t="str">
        <x:v>https://weered.ca/pricing</x:v>
      </x:c>
      <x:c r="AF176" s="75"/>
      <x:c r="AG176" s="75"/>
      <x:c r="AH176" s="122" t="n">
        <x:v>33</x:v>
      </x:c>
      <x:c r="AI176" s="123" t="str">
        <x:v>Canonical source for Community Limits!33</x:v>
      </x:c>
    </x:row>
    <x:row r="177">
      <x:c r="A177" s="119" t="str">
        <x:v>Community Limits</x:v>
      </x:c>
      <x:c r="B177" s="121" t="str">
        <x:v>Limits Notes</x:v>
      </x:c>
      <x:c r="C177" s="75"/>
      <x:c r="D177" s="75"/>
      <x:c r="E177" s="75"/>
      <x:c r="F177" s="75"/>
      <x:c r="G177" s="75"/>
      <x:c r="H177" s="75"/>
      <x:c r="I177" s="75" t="str">
        <x:v>Server-wide tiers; all members inherit the server tier.</x:v>
      </x:c>
      <x:c r="J177" s="75"/>
      <x:c r="K177" s="75"/>
      <x:c r="L177" s="75" t="str">
        <x:v>Official-instance capacity limits are not comprehensively published; 15 MB upload comes from developer questionnaire; many self-host quotas are configurable.</x:v>
      </x:c>
      <x:c r="M177" s="75"/>
      <x:c r="N177" s="75"/>
      <x:c r="O177" s="75"/>
      <x:c r="P177" s="75"/>
      <x:c r="Q177" s="75"/>
      <x:c r="R177" s="75"/>
      <x:c r="S177" s="75"/>
      <x:c r="T177" s="75"/>
      <x:c r="U177" s="75"/>
      <x:c r="V177" s="75"/>
      <x:c r="W177" s="75"/>
      <x:c r="X177" s="75"/>
      <x:c r="Y177" s="75"/>
      <x:c r="Z177" s="75"/>
      <x:c r="AA177" s="75"/>
      <x:c r="AB177" s="75"/>
      <x:c r="AC177" s="78"/>
      <x:c r="AD177" s="75"/>
      <x:c r="AE177" s="75"/>
      <x:c r="AF177" s="75"/>
      <x:c r="AG177" s="75"/>
      <x:c r="AH177" s="122" t="n">
        <x:v>34</x:v>
      </x:c>
      <x:c r="AI177" s="123" t="str">
        <x:v>Canonical source for Community Limits!34</x:v>
      </x:c>
    </x:row>
    <x:row r="178">
      <x:c r="A178" s="119" t="str">
        <x:v>Community Limits</x:v>
      </x:c>
      <x:c r="B178" s="121" t="str">
        <x:v>Max Concurrent Voice Rooms</x:v>
      </x:c>
      <x:c r="C178" s="75" t="str">
        <x:v>Channel-count constrained</x:v>
      </x:c>
      <x:c r="D178" s="75"/>
      <x:c r="E178" s="75"/>
      <x:c r="F178" s="75"/>
      <x:c r="G178" s="75"/>
      <x:c r="H178" s="75"/>
      <x:c r="I178" s="75"/>
      <x:c r="J178" s="75"/>
      <x:c r="K178" s="75"/>
      <x:c r="L178" s="75"/>
      <x:c r="M178" s="75"/>
      <x:c r="N178" s="75"/>
      <x:c r="O178" s="75"/>
      <x:c r="P178" s="75"/>
      <x:c r="Q178" s="75"/>
      <x:c r="R178" s="75"/>
      <x:c r="S178" s="75"/>
      <x:c r="T178" s="75"/>
      <x:c r="U178" s="75"/>
      <x:c r="V178" s="75" t="str">
        <x:v>Unlimited</x:v>
      </x:c>
      <x:c r="W178" s="75"/>
      <x:c r="X178" s="75"/>
      <x:c r="Y178" s="75"/>
      <x:c r="Z178" s="75"/>
      <x:c r="AA178" s="75"/>
      <x:c r="AB178" s="75"/>
      <x:c r="AC178" s="78"/>
      <x:c r="AD178" s="75"/>
      <x:c r="AE178" s="75"/>
      <x:c r="AF178" s="75"/>
      <x:c r="AG178" s="75"/>
      <x:c r="AH178" s="122" t="n">
        <x:v>38</x:v>
      </x:c>
      <x:c r="AI178" s="123" t="str">
        <x:v>Canonical source for Community Limits!38</x:v>
      </x:c>
    </x:row>
    <x:row r="179">
      <x:c r="A179" s="119" t="str">
        <x:v>Community Limits</x:v>
      </x:c>
      <x:c r="B179" s="121" t="str">
        <x:v>Max Portals / Embedded Panels</x:v>
      </x:c>
      <x:c r="C179" s="75" t="str">
        <x:v>Activity/session dependent</x:v>
      </x:c>
      <x:c r="D179" s="75"/>
      <x:c r="E179" s="75"/>
      <x:c r="F179" s="75"/>
      <x:c r="G179" s="75"/>
      <x:c r="H179" s="75"/>
      <x:c r="I179" s="75"/>
      <x:c r="J179" s="75"/>
      <x:c r="K179" s="75"/>
      <x:c r="L179" s="75" t="str">
        <x:v>0 — no embedded Portal/widget runtime documented</x:v>
      </x:c>
      <x:c r="M179" s="75"/>
      <x:c r="N179" s="75"/>
      <x:c r="O179" s="75"/>
      <x:c r="P179" s="75"/>
      <x:c r="Q179" s="75"/>
      <x:c r="R179" s="75"/>
      <x:c r="S179" s="75"/>
      <x:c r="T179" s="75"/>
      <x:c r="U179" s="75"/>
      <x:c r="V179" s="75" t="str">
        <x:v>All Portals included; saved layout count is 2 free / 8 Rift+</x:v>
      </x:c>
      <x:c r="W179" s="75"/>
      <x:c r="X179" s="75"/>
      <x:c r="Y179" s="75"/>
      <x:c r="Z179" s="75"/>
      <x:c r="AA179" s="75"/>
      <x:c r="AB179" s="75"/>
      <x:c r="AC179" s="78"/>
      <x:c r="AD179" s="75"/>
      <x:c r="AE179" s="75"/>
      <x:c r="AF179" s="75"/>
      <x:c r="AG179" s="75"/>
      <x:c r="AH179" s="122" t="n">
        <x:v>39</x:v>
      </x:c>
      <x:c r="AI179" s="123" t="str">
        <x:v>Canonical source for Community Limits!39</x:v>
      </x:c>
    </x:row>
    <x:row r="180">
      <x:c r="A180" s="119" t="str">
        <x:v>Voice &amp; Audio</x:v>
      </x:c>
      <x:c r="B180" s="121" t="str">
        <x:v>Voice Architecture (Persistent Rooms vs Ad-Hoc Calls)</x:v>
      </x:c>
      <x:c r="C180" s="75" t="str">
        <x:v>Persistent server voice channels + ad-hoc DM/GDM calls</x:v>
      </x:c>
      <x:c r="D180" s="75" t="str">
        <x:v>Live voice rooms</x:v>
      </x:c>
      <x:c r="E180" s="75" t="str">
        <x:v>Persistent server voice + messenger</x:v>
      </x:c>
      <x:c r="F180" s="75" t="str">
        <x:v>Persistent voice channels</x:v>
      </x:c>
      <x:c r="G180" s="75" t="str">
        <x:v>Persistent community voice + calls</x:v>
      </x:c>
      <x:c r="H180" s="75" t="str">
        <x:v>Persistent community voice + DM calls</x:v>
      </x:c>
      <x:c r="I180" s="75" t="str">
        <x:v>Persistent voice rooms + calls</x:v>
      </x:c>
      <x:c r="J180" s="75" t="str">
        <x:v>LiveKit-powered voice channels</x:v>
      </x:c>
      <x:c r="K180" s="75"/>
      <x:c r="L180" s="75" t="str">
        <x:v>Persistent guild voice channels + ad-hoc 1:1/group-DM calls</x:v>
      </x:c>
      <x:c r="M180" s="75" t="str">
        <x:v>Voice channels</x:v>
      </x:c>
      <x:c r="N180" s="75" t="str">
        <x:v>Persistent voice rooms</x:v>
      </x:c>
      <x:c r="O180" s="75" t="str">
        <x:v>Client-dependent; MatrixRTC/VoIP rooms and calls</x:v>
      </x:c>
      <x:c r="P180" s="75" t="str">
        <x:v>Native Calls in channels/DMs; persistent text channels with ad-hoc calls</x:v>
      </x:c>
      <x:c r="Q180" s="75" t="str">
        <x:v>Voice/video calls</x:v>
      </x:c>
      <x:c r="R180" s="75" t="str">
        <x:v>Persistent hierarchical voice channels</x:v>
      </x:c>
      <x:c r="S180" s="75"/>
      <x:c r="T180" s="75" t="str">
        <x:v>Persistent voice/video channels</x:v>
      </x:c>
      <x:c r="U180" s="75" t="str">
        <x:v>Persistent voice channels; small rooms/DM calls can be P2P; listed/larger hosted rooms use LiveKit</x:v>
      </x:c>
      <x:c r="V180" s="75" t="str">
        <x:v>Yes - Persistant voice/communities</x:v>
      </x:c>
      <x:c r="W180" s="75" t="str">
        <x:v>Calls/video depend on deployment/provider/integration; not Discord-style universal persistent voice</x:v>
      </x:c>
      <x:c r="X180" s="75" t="str">
        <x:v>No mature native voice feature verified</x:v>
      </x:c>
      <x:c r="Y180" s="75" t="str">
        <x:v>Persistent community voice + DM calls</x:v>
      </x:c>
      <x:c r="Z180" s="75" t="str">
        <x:v>Optional persistent guild + DM voice via WebRTC media package</x:v>
      </x:c>
      <x:c r="AA180" s="75" t="str">
        <x:v>Persistent server voice channels + calls</x:v>
      </x:c>
      <x:c r="AB180" s="75" t="str">
        <x:v>Persistent voice channels</x:v>
      </x:c>
      <x:c r="AC180" s="78" t="str">
        <x:v>Persistent voice channels</x:v>
      </x:c>
      <x:c r="AD180" s="75" t="str">
        <x:v>Voice supported; Linux mic I/O issues reported</x:v>
      </x:c>
      <x:c r="AE180" s="75" t="str">
        <x:v>Voice in every room</x:v>
      </x:c>
      <x:c r="AF180" s="75" t="str">
        <x:v>Persistent spatial voice channels</x:v>
      </x:c>
      <x:c r="AG180" s="75" t="str">
        <x:v>No native persistent voice rooms; integrates external call providers</x:v>
      </x:c>
      <x:c r="AH180" s="122" t="n">
        <x:v>3</x:v>
      </x:c>
      <x:c r="AI180" s="123" t="str">
        <x:v>Canonical source for Voice &amp; Audio!3</x:v>
      </x:c>
    </x:row>
    <x:row r="181">
      <x:c r="A181" s="119" t="str">
        <x:v>Voice &amp; Audio</x:v>
      </x:c>
      <x:c r="B181" s="121" t="str">
        <x:v>Max Audio Bitrate (kbps)</x:v>
      </x:c>
      <x:c r="C181" s="75" t="str">
        <x:v>384 max (Level 3 boost); 96 base</x:v>
      </x:c>
      <x:c r="D181" s="75"/>
      <x:c r="E181" s="75"/>
      <x:c r="F181" s="75" t="str">
        <x:v>Yes</x:v>
      </x:c>
      <x:c r="G181" s="75"/>
      <x:c r="H181" s="75"/>
      <x:c r="I181" s="75"/>
      <x:c r="J181" s="75"/>
      <x:c r="K181" s="75"/>
      <x:c r="L181" s="75" t="str">
        <x:v>128</x:v>
      </x:c>
      <x:c r="M181" s="75"/>
      <x:c r="N181" s="75" t="str">
        <x:v>Yes</x:v>
      </x:c>
      <x:c r="O181" s="75" t="str">
        <x:v>Varies by client/media stack</x:v>
      </x:c>
      <x:c r="P181" s="75"/>
      <x:c r="Q181" s="75" t="str">
        <x:v>Yes</x:v>
      </x:c>
      <x:c r="R181" s="75"/>
      <x:c r="S181" s="75"/>
      <x:c r="T181" s="75"/>
      <x:c r="U181" s="75" t="str">
        <x:v>Not publicly claimed</x:v>
      </x:c>
      <x:c r="V181" s="75" t="str">
        <x:v>192 kbps on Forge Shard; personal Rift+ high-fidelity 128 kbps</x:v>
      </x:c>
      <x:c r="W181" s="75"/>
      <x:c r="X181" s="75"/>
      <x:c r="Y181" s="75"/>
      <x:c r="Z181" s="75"/>
      <x:c r="AA181" s="75"/>
      <x:c r="AB181" s="75"/>
      <x:c r="AC181" s="78"/>
      <x:c r="AD181" s="75"/>
      <x:c r="AE181" s="75" t="str">
        <x:v>Yes</x:v>
      </x:c>
      <x:c r="AF181" s="75"/>
      <x:c r="AG181" s="75" t="str">
        <x:v>N/A</x:v>
      </x:c>
      <x:c r="AH181" s="122" t="n">
        <x:v>5</x:v>
      </x:c>
      <x:c r="AI181" s="123" t="str">
        <x:v>Canonical source for Voice &amp; Audio!5</x:v>
      </x:c>
    </x:row>
    <x:row r="182">
      <x:c r="A182" s="119" t="str">
        <x:v>Voice &amp; Audio</x:v>
      </x:c>
      <x:c r="B182" s="121" t="str">
        <x:v>Noise Suppression Engine (Krisp / RNNoise / WebRTC)</x:v>
      </x:c>
      <x:c r="C182" s="75" t="str">
        <x:v>Krisp</x:v>
      </x:c>
      <x:c r="D182" s="75"/>
      <x:c r="E182" s="75" t="str">
        <x:v>LiveKit/WebRTC</x:v>
      </x:c>
      <x:c r="F182" s="75" t="str">
        <x:v>LiveKit</x:v>
      </x:c>
      <x:c r="G182" s="75" t="str">
        <x:v>DeepFilterNet3 local noise suppression planned/used</x:v>
      </x:c>
      <x:c r="H182" s="75" t="str">
        <x:v>DeepFilterNet3 + media processing controls</x:v>
      </x:c>
      <x:c r="I182" s="75" t="str">
        <x:v>Built-in noise/echo processing</x:v>
      </x:c>
      <x:c r="J182" s="75" t="str">
        <x:v>WebRTC</x:v>
      </x:c>
      <x:c r="K182" s="75" t="str">
        <x:v>P2P WebRTC with STUN/TURN fallback</x:v>
      </x:c>
      <x:c r="L182" s="75" t="str">
        <x:v>Desktop/mobile local suppression; no web suppression per developer report</x:v>
      </x:c>
      <x:c r="M182" s="75"/>
      <x:c r="N182" s="75" t="str">
        <x:v>LiveKit/WebRTC</x:v>
      </x:c>
      <x:c r="O182" s="75" t="str">
        <x:v>Varies by client</x:v>
      </x:c>
      <x:c r="P182" s="75"/>
      <x:c r="Q182" s="75" t="str">
        <x:v>Custom WebRTC SFU</x:v>
      </x:c>
      <x:c r="R182" s="75" t="str">
        <x:v>Built-in client processing; exact engine varies</x:v>
      </x:c>
      <x:c r="S182" s="75"/>
      <x:c r="T182" s="75" t="str">
        <x:v>Custom voice infrastructure</x:v>
      </x:c>
      <x:c r="U182" s="75" t="str">
        <x:v>No branded/public noise-suppression engine claim</x:v>
      </x:c>
      <x:c r="V182" s="75"/>
      <x:c r="W182" s="75" t="str">
        <x:v>Provider-dependent</x:v>
      </x:c>
      <x:c r="X182" s="75" t="str">
        <x:v>N/A</x:v>
      </x:c>
      <x:c r="Y182" s="75"/>
      <x:c r="Z182" s="75"/>
      <x:c r="AA182" s="75" t="str">
        <x:v>RNNoise</x:v>
      </x:c>
      <x:c r="AB182" s="75"/>
      <x:c r="AC182" s="78" t="str">
        <x:v>LiveKit</x:v>
      </x:c>
      <x:c r="AD182" s="75"/>
      <x:c r="AE182" s="75" t="str">
        <x:v>LiveKit</x:v>
      </x:c>
      <x:c r="AF182" s="75" t="str">
        <x:v>Self-host media server</x:v>
      </x:c>
      <x:c r="AG182" s="75" t="str">
        <x:v>N/A</x:v>
      </x:c>
      <x:c r="AH182" s="122" t="n">
        <x:v>6</x:v>
      </x:c>
      <x:c r="AI182" s="123" t="str">
        <x:v>Canonical source for Voice &amp; Audio!6</x:v>
      </x:c>
    </x:row>
    <x:row r="183">
      <x:c r="A183" s="119" t="str">
        <x:v>Voice &amp; Audio</x:v>
      </x:c>
      <x:c r="B183" s="121" t="str">
        <x:v>Push-to-Talk Support</x:v>
      </x:c>
      <x:c r="C183" s="75" t="str">
        <x:v>Yes</x:v>
      </x:c>
      <x:c r="D183" s="75"/>
      <x:c r="E183" s="75" t="str">
        <x:v>Opus</x:v>
      </x:c>
      <x:c r="F183" s="75"/>
      <x:c r="G183" s="75" t="str">
        <x:v>Yes</x:v>
      </x:c>
      <x:c r="H183" s="75" t="str">
        <x:v>Yes</x:v>
      </x:c>
      <x:c r="I183" s="75" t="str">
        <x:v>Yes</x:v>
      </x:c>
      <x:c r="J183" s="75"/>
      <x:c r="K183" s="75"/>
      <x:c r="L183" s="75" t="str">
        <x:v>Yes</x:v>
      </x:c>
      <x:c r="M183" s="75"/>
      <x:c r="N183" s="75"/>
      <x:c r="O183" s="75" t="str">
        <x:v>Varies by client</x:v>
      </x:c>
      <x:c r="P183" s="75"/>
      <x:c r="Q183" s="75"/>
      <x:c r="R183" s="75" t="str">
        <x:v>Yes</x:v>
      </x:c>
      <x:c r="S183" s="75"/>
      <x:c r="T183" s="75"/>
      <x:c r="U183" s="75"/>
      <x:c r="V183" s="75" t="str">
        <x:v>Yes</x:v>
      </x:c>
      <x:c r="W183" s="75"/>
      <x:c r="X183" s="75" t="str">
        <x:v>N/A</x:v>
      </x:c>
      <x:c r="Y183" s="75" t="str">
        <x:v>Yes</x:v>
      </x:c>
      <x:c r="Z183" s="75" t="str">
        <x:v>Client-dependent</x:v>
      </x:c>
      <x:c r="AA183" s="75" t="str">
        <x:v>Yes</x:v>
      </x:c>
      <x:c r="AB183" s="75" t="str">
        <x:v>Yes</x:v>
      </x:c>
      <x:c r="AC183" s="78"/>
      <x:c r="AD183" s="75"/>
      <x:c r="AE183" s="75"/>
      <x:c r="AF183" s="75"/>
      <x:c r="AG183" s="75" t="str">
        <x:v>N/A</x:v>
      </x:c>
      <x:c r="AH183" s="122" t="n">
        <x:v>7</x:v>
      </x:c>
      <x:c r="AI183" s="123" t="str">
        <x:v>Canonical source for Voice &amp; Audio!7</x:v>
      </x:c>
    </x:row>
    <x:row r="184">
      <x:c r="A184" s="119" t="str">
        <x:v>Voice &amp; Audio</x:v>
      </x:c>
      <x:c r="B184" s="121" t="str">
        <x:v>Individual User Volume Control</x:v>
      </x:c>
      <x:c r="C184" s="75" t="str">
        <x:v>Yes</x:v>
      </x:c>
      <x:c r="D184" s="75"/>
      <x:c r="E184" s="75"/>
      <x:c r="F184" s="75" t="str">
        <x:v>Yes</x:v>
      </x:c>
      <x:c r="G184" s="75" t="str">
        <x:v>Yes</x:v>
      </x:c>
      <x:c r="H184" s="75" t="str">
        <x:v>Yes</x:v>
      </x:c>
      <x:c r="I184" s="75" t="str">
        <x:v>Yes</x:v>
      </x:c>
      <x:c r="J184" s="75"/>
      <x:c r="K184" s="75"/>
      <x:c r="L184" s="75" t="str">
        <x:v>Yes — developer-reported/LiveKit client controls</x:v>
      </x:c>
      <x:c r="M184" s="75"/>
      <x:c r="N184" s="75" t="str">
        <x:v>Yes</x:v>
      </x:c>
      <x:c r="O184" s="75" t="str">
        <x:v>Varies by client</x:v>
      </x:c>
      <x:c r="P184" s="75" t="str">
        <x:v>Yes</x:v>
      </x:c>
      <x:c r="Q184" s="75"/>
      <x:c r="R184" s="75" t="str">
        <x:v>Yes</x:v>
      </x:c>
      <x:c r="S184" s="75"/>
      <x:c r="T184" s="75"/>
      <x:c r="U184" s="75" t="str">
        <x:v>Yes</x:v>
      </x:c>
      <x:c r="V184" s="75" t="str">
        <x:v>Yes</x:v>
      </x:c>
      <x:c r="W184" s="75"/>
      <x:c r="X184" s="75" t="str">
        <x:v>N/A</x:v>
      </x:c>
      <x:c r="Y184" s="75" t="str">
        <x:v>Yes</x:v>
      </x:c>
      <x:c r="Z184" s="75" t="str">
        <x:v>Client-dependent</x:v>
      </x:c>
      <x:c r="AA184" s="75" t="str">
        <x:v>Yes</x:v>
      </x:c>
      <x:c r="AB184" s="75" t="str">
        <x:v>Yes</x:v>
      </x:c>
      <x:c r="AC184" s="78"/>
      <x:c r="AD184" s="75"/>
      <x:c r="AE184" s="75" t="str">
        <x:v>Yes</x:v>
      </x:c>
      <x:c r="AF184" s="75"/>
      <x:c r="AG184" s="75" t="str">
        <x:v>N/A</x:v>
      </x:c>
      <x:c r="AH184" s="122" t="n">
        <x:v>8</x:v>
      </x:c>
      <x:c r="AI184" s="123" t="str">
        <x:v>Canonical source for Voice &amp; Audio!8</x:v>
      </x:c>
    </x:row>
    <x:row r="185">
      <x:c r="A185" s="119" t="str">
        <x:v>Voice &amp; Audio</x:v>
      </x:c>
      <x:c r="B185" s="121" t="str">
        <x:v>Spatial / Proximity Audio Support</x:v>
      </x:c>
      <x:c r="C185" s="75" t="str">
        <x:v>No native client proximity/spatial audio; possible in third-party game integrations</x:v>
      </x:c>
      <x:c r="D185" s="75" t="str">
        <x:v>No</x:v>
      </x:c>
      <x:c r="E185" s="75" t="str">
        <x:v>No</x:v>
      </x:c>
      <x:c r="F185" s="75" t="str">
        <x:v>No</x:v>
      </x:c>
      <x:c r="G185" s="75"/>
      <x:c r="H185" s="75" t="str">
        <x:v>No native proximity audio</x:v>
      </x:c>
      <x:c r="I185" s="75" t="str">
        <x:v>GameLink spatial audio</x:v>
      </x:c>
      <x:c r="J185" s="75" t="str">
        <x:v>No</x:v>
      </x:c>
      <x:c r="K185" s="75" t="str">
        <x:v>No</x:v>
      </x:c>
      <x:c r="L185" s="75"/>
      <x:c r="M185" s="75" t="str">
        <x:v>No</x:v>
      </x:c>
      <x:c r="N185" s="75" t="str">
        <x:v>No</x:v>
      </x:c>
      <x:c r="O185" s="75" t="str">
        <x:v>Possible via specialized clients; not a core default</x:v>
      </x:c>
      <x:c r="P185" s="75" t="str">
        <x:v>No</x:v>
      </x:c>
      <x:c r="Q185" s="75" t="str">
        <x:v>No</x:v>
      </x:c>
      <x:c r="R185" s="75" t="str">
        <x:v>Yes — positional audio supported with games/plugins</x:v>
      </x:c>
      <x:c r="S185" s="75" t="str">
        <x:v>No</x:v>
      </x:c>
      <x:c r="T185" s="75" t="str">
        <x:v>No</x:v>
      </x:c>
      <x:c r="U185" s="75" t="str">
        <x:v>No</x:v>
      </x:c>
      <x:c r="V185" s="75" t="str">
        <x:v>No</x:v>
      </x:c>
      <x:c r="W185" s="75" t="str">
        <x:v>No</x:v>
      </x:c>
      <x:c r="X185" s="75" t="str">
        <x:v>N/A</x:v>
      </x:c>
      <x:c r="Y185" s="75" t="str">
        <x:v>No native proximity audio</x:v>
      </x:c>
      <x:c r="Z185" s="75" t="str">
        <x:v>No native proximity</x:v>
      </x:c>
      <x:c r="AA185" s="75" t="str">
        <x:v>No native proximity audio</x:v>
      </x:c>
      <x:c r="AB185" s="75"/>
      <x:c r="AC185" s="78" t="str">
        <x:v>No</x:v>
      </x:c>
      <x:c r="AD185" s="75" t="str">
        <x:v>No</x:v>
      </x:c>
      <x:c r="AE185" s="75" t="str">
        <x:v>No</x:v>
      </x:c>
      <x:c r="AF185" s="75" t="str">
        <x:v>Yes — spatial/proximity</x:v>
      </x:c>
      <x:c r="AG185" s="75" t="str">
        <x:v>N/A</x:v>
      </x:c>
      <x:c r="AH185" s="122" t="n">
        <x:v>9</x:v>
      </x:c>
      <x:c r="AI185" s="123" t="str">
        <x:v>Canonical source for Voice &amp; Audio!9</x:v>
      </x:c>
    </x:row>
    <x:row r="186">
      <x:c r="A186" s="119" t="str">
        <x:v>Voice &amp; Audio</x:v>
      </x:c>
      <x:c r="B186" s="121" t="str">
        <x:v>Stage Channels (Speaker vs Audience)</x:v>
      </x:c>
      <x:c r="C186" s="75" t="str">
        <x:v>Yes</x:v>
      </x:c>
      <x:c r="D186" s="75"/>
      <x:c r="E186" s="75" t="str">
        <x:v>No Stage verified</x:v>
      </x:c>
      <x:c r="F186" s="75" t="str">
        <x:v>No Stage verified</x:v>
      </x:c>
      <x:c r="G186" s="75" t="str">
        <x:v>Nested voice / host-broadcasting planned</x:v>
      </x:c>
      <x:c r="H186" s="75"/>
      <x:c r="I186" s="75" t="str">
        <x:v>No Discord-style Stage verified</x:v>
      </x:c>
      <x:c r="J186" s="75" t="str">
        <x:v>No</x:v>
      </x:c>
      <x:c r="K186" s="75" t="str">
        <x:v>No</x:v>
      </x:c>
      <x:c r="L186" s="75" t="str">
        <x:v>Yes — developer reports Stage channels</x:v>
      </x:c>
      <x:c r="M186" s="75" t="str">
        <x:v>No</x:v>
      </x:c>
      <x:c r="N186" s="75"/>
      <x:c r="O186" s="75" t="str">
        <x:v>Client-dependent</x:v>
      </x:c>
      <x:c r="P186" s="75" t="str">
        <x:v>Raise-hand supported in Calls</x:v>
      </x:c>
      <x:c r="Q186" s="75"/>
      <x:c r="R186" s="75" t="str">
        <x:v>No Discord Stage equivalent</x:v>
      </x:c>
      <x:c r="S186" s="75" t="str">
        <x:v>No</x:v>
      </x:c>
      <x:c r="T186" s="75" t="str">
        <x:v>No Stage verified</x:v>
      </x:c>
      <x:c r="U186" s="75" t="str">
        <x:v>No Stage</x:v>
      </x:c>
      <x:c r="V186" s="75" t="str">
        <x:v>No Stage</x:v>
      </x:c>
      <x:c r="W186" s="75"/>
      <x:c r="X186" s="75" t="str">
        <x:v>N/A</x:v>
      </x:c>
      <x:c r="Y186" s="75" t="str">
        <x:v>No dedicated Stage verified</x:v>
      </x:c>
      <x:c r="Z186" s="75"/>
      <x:c r="AA186" s="75" t="str">
        <x:v>No Discord-style Stage verified</x:v>
      </x:c>
      <x:c r="AB186" s="75" t="str">
        <x:v>No Discord Stage equivalent verified</x:v>
      </x:c>
      <x:c r="AC186" s="78" t="str">
        <x:v>No Stage verified</x:v>
      </x:c>
      <x:c r="AD186" s="75" t="str">
        <x:v>No</x:v>
      </x:c>
      <x:c r="AE186" s="75" t="str">
        <x:v>Stage is a general room stage/media surface, not Discord Stage</x:v>
      </x:c>
      <x:c r="AF186" s="75" t="str">
        <x:v>No Stage</x:v>
      </x:c>
      <x:c r="AG186" s="75" t="str">
        <x:v>N/A</x:v>
      </x:c>
      <x:c r="AH186" s="122" t="n">
        <x:v>10</x:v>
      </x:c>
      <x:c r="AI186" s="123" t="str">
        <x:v>Canonical source for Voice &amp; Audio!10</x:v>
      </x:c>
    </x:row>
    <x:row r="187">
      <x:c r="A187" s="119" t="str">
        <x:v>Voice &amp; Audio</x:v>
      </x:c>
      <x:c r="B187" s="121" t="str">
        <x:v>Raise Hand / Speaking Requests</x:v>
      </x:c>
      <x:c r="C187" s="75" t="str">
        <x:v>Yes</x:v>
      </x:c>
      <x:c r="D187" s="75"/>
      <x:c r="E187" s="75"/>
      <x:c r="F187" s="75"/>
      <x:c r="G187" s="75"/>
      <x:c r="H187" s="75"/>
      <x:c r="I187" s="75"/>
      <x:c r="J187" s="75"/>
      <x:c r="K187" s="75"/>
      <x:c r="L187" s="75" t="str">
        <x:v>Stage exists; raise-hand/speaker-request behavior not independently documented</x:v>
      </x:c>
      <x:c r="M187" s="75"/>
      <x:c r="N187" s="75"/>
      <x:c r="O187" s="75" t="str">
        <x:v>Client-dependent</x:v>
      </x:c>
      <x:c r="P187" s="75" t="str">
        <x:v>Yes</x:v>
      </x:c>
      <x:c r="Q187" s="75"/>
      <x:c r="R187" s="75" t="str">
        <x:v>No</x:v>
      </x:c>
      <x:c r="S187" s="75"/>
      <x:c r="T187" s="75"/>
      <x:c r="U187" s="75"/>
      <x:c r="V187" s="75" t="str">
        <x:v>No</x:v>
      </x:c>
      <x:c r="W187" s="75"/>
      <x:c r="X187" s="75" t="str">
        <x:v>N/A</x:v>
      </x:c>
      <x:c r="Y187" s="75"/>
      <x:c r="Z187" s="75"/>
      <x:c r="AA187" s="75"/>
      <x:c r="AB187" s="75"/>
      <x:c r="AC187" s="78"/>
      <x:c r="AD187" s="75"/>
      <x:c r="AE187" s="75"/>
      <x:c r="AF187" s="75" t="str">
        <x:v>No</x:v>
      </x:c>
      <x:c r="AG187" s="75" t="str">
        <x:v>N/A</x:v>
      </x:c>
      <x:c r="AH187" s="122" t="n">
        <x:v>11</x:v>
      </x:c>
      <x:c r="AI187" s="123" t="str">
        <x:v>Canonical source for Voice &amp; Audio!11</x:v>
      </x:c>
    </x:row>
    <x:row r="188">
      <x:c r="A188" s="119" t="str">
        <x:v>Voice &amp; Audio</x:v>
      </x:c>
      <x:c r="B188" s="121" t="str">
        <x:v>Temporary / Launcher Voice Rooms</x:v>
      </x:c>
      <x:c r="C188" s="75" t="str">
        <x:v>No native launcher</x:v>
      </x:c>
      <x:c r="D188" s="75"/>
      <x:c r="E188" s="75"/>
      <x:c r="F188" s="75"/>
      <x:c r="G188" s="75"/>
      <x:c r="H188" s="75"/>
      <x:c r="I188" s="75"/>
      <x:c r="J188" s="75"/>
      <x:c r="K188" s="75"/>
      <x:c r="L188" s="75" t="str">
        <x:v>No temporary/launcher voice-room workflow documented</x:v>
      </x:c>
      <x:c r="M188" s="75"/>
      <x:c r="N188" s="75"/>
      <x:c r="O188" s="75"/>
      <x:c r="P188" s="75"/>
      <x:c r="Q188" s="75"/>
      <x:c r="R188" s="75"/>
      <x:c r="S188" s="75"/>
      <x:c r="T188" s="75"/>
      <x:c r="U188" s="75"/>
      <x:c r="V188" s="75" t="str">
        <x:v>Yes — auto-spawn/delete rooms</x:v>
      </x:c>
      <x:c r="W188" s="75"/>
      <x:c r="X188" s="75"/>
      <x:c r="Y188" s="75"/>
      <x:c r="Z188" s="75"/>
      <x:c r="AA188" s="75"/>
      <x:c r="AB188" s="75"/>
      <x:c r="AC188" s="78"/>
      <x:c r="AD188" s="75"/>
      <x:c r="AE188" s="75"/>
      <x:c r="AF188" s="75"/>
      <x:c r="AG188" s="75"/>
      <x:c r="AH188" s="122" t="n">
        <x:v>20</x:v>
      </x:c>
      <x:c r="AI188" s="123" t="str">
        <x:v>Canonical source for Voice &amp; Audio!20</x:v>
      </x:c>
    </x:row>
    <x:row r="189">
      <x:c r="A189" s="119" t="str">
        <x:v>Voice Quality Detail</x:v>
      </x:c>
      <x:c r="B189" s="121" t="str">
        <x:v>Voice Modes</x:v>
      </x:c>
      <x:c r="C189" s="75"/>
      <x:c r="D189" s="75"/>
      <x:c r="E189" s="75"/>
      <x:c r="F189" s="75"/>
      <x:c r="G189" s="75"/>
      <x:c r="H189" s="75"/>
      <x:c r="I189" s="75"/>
      <x:c r="J189" s="75"/>
      <x:c r="K189" s="75"/>
      <x:c r="L189" s="75" t="str">
        <x:v>Persistent guild voice channels + ad-hoc 1:1/group-DM calls</x:v>
      </x:c>
      <x:c r="M189" s="75"/>
      <x:c r="N189" s="75"/>
      <x:c r="O189" s="75"/>
      <x:c r="P189" s="75"/>
      <x:c r="Q189" s="75"/>
      <x:c r="R189" s="75"/>
      <x:c r="S189" s="75"/>
      <x:c r="T189" s="75"/>
      <x:c r="U189" s="75"/>
      <x:c r="V189" s="75"/>
      <x:c r="W189" s="75"/>
      <x:c r="X189" s="75"/>
      <x:c r="Y189" s="75"/>
      <x:c r="Z189" s="75"/>
      <x:c r="AA189" s="75"/>
      <x:c r="AB189" s="75"/>
      <x:c r="AC189" s="78"/>
      <x:c r="AD189" s="75"/>
      <x:c r="AE189" s="75"/>
      <x:c r="AF189" s="75"/>
      <x:c r="AG189" s="75"/>
      <x:c r="AH189" s="122" t="n">
        <x:v>3</x:v>
      </x:c>
      <x:c r="AI189" s="123" t="str">
        <x:v>Canonical source for Voice Quality Detail!3</x:v>
      </x:c>
    </x:row>
    <x:row r="190">
      <x:c r="A190" s="119" t="str">
        <x:v>Voice Quality Detail</x:v>
      </x:c>
      <x:c r="B190" s="121" t="str">
        <x:v>Persistent Voice Channels?</x:v>
      </x:c>
      <x:c r="C190" s="75" t="str">
        <x:v>Persistent server voice channels + ad-hoc DM/GDM calls</x:v>
      </x:c>
      <x:c r="D190" s="75" t="str">
        <x:v>Live voice rooms</x:v>
      </x:c>
      <x:c r="E190" s="75" t="str">
        <x:v>Persistent server voice + messenger</x:v>
      </x:c>
      <x:c r="F190" s="75" t="str">
        <x:v>Persistent voice channels</x:v>
      </x:c>
      <x:c r="G190" s="75" t="str">
        <x:v>Persistent community voice + calls</x:v>
      </x:c>
      <x:c r="H190" s="75" t="str">
        <x:v>Persistent community voice + DM calls</x:v>
      </x:c>
      <x:c r="I190" s="75" t="str">
        <x:v>Persistent voice rooms + calls</x:v>
      </x:c>
      <x:c r="J190" s="75" t="str">
        <x:v>Yes — LiveKit</x:v>
      </x:c>
      <x:c r="K190" s="75"/>
      <x:c r="L190" s="75" t="str">
        <x:v>Yes</x:v>
      </x:c>
      <x:c r="M190" s="75" t="str">
        <x:v>Voice channels</x:v>
      </x:c>
      <x:c r="N190" s="75" t="str">
        <x:v>Persistent voice rooms</x:v>
      </x:c>
      <x:c r="O190" s="75" t="str">
        <x:v>Client-dependent; MatrixRTC/VoIP rooms and calls</x:v>
      </x:c>
      <x:c r="P190" s="75" t="str">
        <x:v>Native Calls in channels/DMs; persistent text channels with ad-hoc calls</x:v>
      </x:c>
      <x:c r="Q190" s="75" t="str">
        <x:v>Voice/video calls</x:v>
      </x:c>
      <x:c r="R190" s="75" t="str">
        <x:v>Persistent hierarchical voice channels</x:v>
      </x:c>
      <x:c r="S190" s="75"/>
      <x:c r="T190" s="75" t="str">
        <x:v>Persistent voice/video channels</x:v>
      </x:c>
      <x:c r="U190" s="75" t="str">
        <x:v>Yes</x:v>
      </x:c>
      <x:c r="V190" s="75" t="str">
        <x:v>Yes — voice/communities</x:v>
      </x:c>
      <x:c r="W190" s="75" t="str">
        <x:v>Calls/video depend on deployment/provider/integration; not Discord-style universal persistent voice</x:v>
      </x:c>
      <x:c r="X190" s="75" t="str">
        <x:v>No mature native voice feature verified</x:v>
      </x:c>
      <x:c r="Y190" s="75" t="str">
        <x:v>Persistent community voice + DM calls</x:v>
      </x:c>
      <x:c r="Z190" s="75" t="str">
        <x:v>Optional persistent guild + DM voice via WebRTC media package</x:v>
      </x:c>
      <x:c r="AA190" s="75" t="str">
        <x:v>Persistent server voice channels + calls</x:v>
      </x:c>
      <x:c r="AB190" s="75" t="str">
        <x:v>Persistent voice channels</x:v>
      </x:c>
      <x:c r="AC190" s="78" t="str">
        <x:v>Persistent voice channels</x:v>
      </x:c>
      <x:c r="AD190" s="75" t="str">
        <x:v>Voice supported; Linux mic I/O issues reported</x:v>
      </x:c>
      <x:c r="AE190" s="75" t="str">
        <x:v>Voice in every room</x:v>
      </x:c>
      <x:c r="AF190" s="75" t="str">
        <x:v>Persistent spatial voice channels</x:v>
      </x:c>
      <x:c r="AG190" s="75" t="str">
        <x:v>No native persistent voice rooms; integrates external call providers</x:v>
      </x:c>
      <x:c r="AH190" s="122" t="n">
        <x:v>4</x:v>
      </x:c>
      <x:c r="AI190" s="123" t="str">
        <x:v>Canonical source for Voice Quality Detail!4</x:v>
      </x:c>
    </x:row>
    <x:row r="191">
      <x:c r="A191" s="119" t="str">
        <x:v>Voice Quality Detail</x:v>
      </x:c>
      <x:c r="B191" s="121" t="str">
        <x:v>DM Voice Calls?</x:v>
      </x:c>
      <x:c r="C191" s="75" t="str">
        <x:v>Yes</x:v>
      </x:c>
      <x:c r="D191" s="75"/>
      <x:c r="E191" s="75"/>
      <x:c r="F191" s="75" t="str">
        <x:v>Yes</x:v>
      </x:c>
      <x:c r="G191" s="75" t="str">
        <x:v>Yes</x:v>
      </x:c>
      <x:c r="H191" s="75" t="str">
        <x:v>Yes</x:v>
      </x:c>
      <x:c r="I191" s="75" t="str">
        <x:v>Yes</x:v>
      </x:c>
      <x:c r="J191" s="75"/>
      <x:c r="K191" s="75"/>
      <x:c r="L191" s="75" t="str">
        <x:v>Yes</x:v>
      </x:c>
      <x:c r="M191" s="75"/>
      <x:c r="N191" s="75"/>
      <x:c r="O191" s="75" t="str">
        <x:v>Client-dependent</x:v>
      </x:c>
      <x:c r="P191" s="75"/>
      <x:c r="Q191" s="75" t="str">
        <x:v>Yes</x:v>
      </x:c>
      <x:c r="R191" s="75"/>
      <x:c r="S191" s="75"/>
      <x:c r="T191" s="75"/>
      <x:c r="U191" s="75" t="str">
        <x:v>Yes</x:v>
      </x:c>
      <x:c r="V191" s="75" t="str">
        <x:v>Yes</x:v>
      </x:c>
      <x:c r="W191" s="75"/>
      <x:c r="X191" s="75"/>
      <x:c r="Y191" s="75" t="str">
        <x:v>Yes</x:v>
      </x:c>
      <x:c r="Z191" s="75"/>
      <x:c r="AA191" s="75"/>
      <x:c r="AB191" s="75"/>
      <x:c r="AC191" s="78"/>
      <x:c r="AD191" s="75"/>
      <x:c r="AE191" s="75" t="str">
        <x:v>Yes</x:v>
      </x:c>
      <x:c r="AF191" s="75"/>
      <x:c r="AG191" s="75"/>
      <x:c r="AH191" s="122" t="n">
        <x:v>5</x:v>
      </x:c>
      <x:c r="AI191" s="123" t="str">
        <x:v>Canonical metric shared by: Voice &amp; Audio: DM Voice Calls? | Voice Quality Detail: DM Voice Calls?</x:v>
      </x:c>
    </x:row>
    <x:row r="192">
      <x:c r="A192" s="119" t="str">
        <x:v>Voice Quality Detail</x:v>
      </x:c>
      <x:c r="B192" s="121" t="str">
        <x:v>Group DM Voice Calls?</x:v>
      </x:c>
      <x:c r="C192" s="75" t="str">
        <x:v>Yes</x:v>
      </x:c>
      <x:c r="D192" s="75"/>
      <x:c r="E192" s="75"/>
      <x:c r="F192" s="75" t="str">
        <x:v>Yes</x:v>
      </x:c>
      <x:c r="G192" s="75" t="str">
        <x:v>Yes</x:v>
      </x:c>
      <x:c r="H192" s="75" t="str">
        <x:v>Yes</x:v>
      </x:c>
      <x:c r="I192" s="75" t="str">
        <x:v>Yes</x:v>
      </x:c>
      <x:c r="J192" s="75"/>
      <x:c r="K192" s="75"/>
      <x:c r="L192" s="75" t="str">
        <x:v>Yes</x:v>
      </x:c>
      <x:c r="M192" s="75"/>
      <x:c r="N192" s="75"/>
      <x:c r="O192" s="75" t="str">
        <x:v>Client-dependent</x:v>
      </x:c>
      <x:c r="P192" s="75"/>
      <x:c r="Q192" s="75" t="str">
        <x:v>Yes</x:v>
      </x:c>
      <x:c r="R192" s="75"/>
      <x:c r="S192" s="75"/>
      <x:c r="T192" s="75"/>
      <x:c r="U192" s="75"/>
      <x:c r="V192" s="75" t="str">
        <x:v>No</x:v>
      </x:c>
      <x:c r="W192" s="75"/>
      <x:c r="X192" s="75"/>
      <x:c r="Y192" s="75" t="str">
        <x:v>Yes</x:v>
      </x:c>
      <x:c r="Z192" s="75"/>
      <x:c r="AA192" s="75"/>
      <x:c r="AB192" s="75"/>
      <x:c r="AC192" s="78"/>
      <x:c r="AD192" s="75"/>
      <x:c r="AE192" s="75" t="str">
        <x:v>Yes</x:v>
      </x:c>
      <x:c r="AF192" s="75"/>
      <x:c r="AG192" s="75"/>
      <x:c r="AH192" s="122" t="n">
        <x:v>6</x:v>
      </x:c>
      <x:c r="AI192" s="123" t="str">
        <x:v>Canonical metric shared by: Voice &amp; Audio: Group DM Voice Calls? | Voice Quality Detail: Group DM Voice Calls?</x:v>
      </x:c>
    </x:row>
    <x:row r="193">
      <x:c r="A193" s="119" t="str">
        <x:v>Voice Quality Detail</x:v>
      </x:c>
      <x:c r="B193" s="121" t="str">
        <x:v>Stage / Broadcast Voice?</x:v>
      </x:c>
      <x:c r="C193" s="75" t="str">
        <x:v>Yes</x:v>
      </x:c>
      <x:c r="D193" s="75"/>
      <x:c r="E193" s="75" t="str">
        <x:v>No Stage verified</x:v>
      </x:c>
      <x:c r="F193" s="75" t="str">
        <x:v>No Stage verified</x:v>
      </x:c>
      <x:c r="G193" s="75" t="str">
        <x:v>Nested voice / host-broadcasting planned</x:v>
      </x:c>
      <x:c r="H193" s="75"/>
      <x:c r="I193" s="75" t="str">
        <x:v>No Discord-style Stage verified</x:v>
      </x:c>
      <x:c r="J193" s="75" t="str">
        <x:v>No</x:v>
      </x:c>
      <x:c r="K193" s="75" t="str">
        <x:v>No</x:v>
      </x:c>
      <x:c r="L193" s="75" t="str">
        <x:v>Yes — developer reports Stage channels</x:v>
      </x:c>
      <x:c r="M193" s="75" t="str">
        <x:v>No</x:v>
      </x:c>
      <x:c r="N193" s="75"/>
      <x:c r="O193" s="75" t="str">
        <x:v>Client-dependent</x:v>
      </x:c>
      <x:c r="P193" s="75" t="str">
        <x:v>Raise-hand supported in Calls</x:v>
      </x:c>
      <x:c r="Q193" s="75"/>
      <x:c r="R193" s="75" t="str">
        <x:v>No Discord Stage equivalent</x:v>
      </x:c>
      <x:c r="S193" s="75" t="str">
        <x:v>No</x:v>
      </x:c>
      <x:c r="T193" s="75" t="str">
        <x:v>No Stage verified</x:v>
      </x:c>
      <x:c r="U193" s="75" t="str">
        <x:v>No Stage</x:v>
      </x:c>
      <x:c r="V193" s="75" t="str">
        <x:v>No Stage</x:v>
      </x:c>
      <x:c r="W193" s="75"/>
      <x:c r="X193" s="75" t="str">
        <x:v>N/A</x:v>
      </x:c>
      <x:c r="Y193" s="75" t="str">
        <x:v>No dedicated Stage verified</x:v>
      </x:c>
      <x:c r="Z193" s="75"/>
      <x:c r="AA193" s="75" t="str">
        <x:v>No Discord-style Stage verified</x:v>
      </x:c>
      <x:c r="AB193" s="75" t="str">
        <x:v>No Discord Stage equivalent verified</x:v>
      </x:c>
      <x:c r="AC193" s="78" t="str">
        <x:v>No Stage verified</x:v>
      </x:c>
      <x:c r="AD193" s="75" t="str">
        <x:v>No</x:v>
      </x:c>
      <x:c r="AE193" s="75" t="str">
        <x:v>Stage is a general room stage/media surface, not Discord Stage</x:v>
      </x:c>
      <x:c r="AF193" s="75" t="str">
        <x:v>No Stage</x:v>
      </x:c>
      <x:c r="AG193" s="75" t="str">
        <x:v>N/A</x:v>
      </x:c>
      <x:c r="AH193" s="122" t="n">
        <x:v>7</x:v>
      </x:c>
      <x:c r="AI193" s="123" t="str">
        <x:v>Canonical source for Voice Quality Detail!7</x:v>
      </x:c>
    </x:row>
    <x:row r="194">
      <x:c r="A194" s="119" t="str">
        <x:v>Voice Quality Detail</x:v>
      </x:c>
      <x:c r="B194" s="121" t="str">
        <x:v>Speaker / Audience Roles?</x:v>
      </x:c>
      <x:c r="C194" s="75" t="str">
        <x:v>Yes</x:v>
      </x:c>
      <x:c r="D194" s="75"/>
      <x:c r="E194" s="75"/>
      <x:c r="F194" s="75"/>
      <x:c r="G194" s="75"/>
      <x:c r="H194" s="75"/>
      <x:c r="I194" s="75"/>
      <x:c r="J194" s="75"/>
      <x:c r="K194" s="75"/>
      <x:c r="L194" s="75" t="str">
        <x:v>Stage exists; raise-hand/speaker-request behavior not independently documented</x:v>
      </x:c>
      <x:c r="M194" s="75"/>
      <x:c r="N194" s="75"/>
      <x:c r="O194" s="75" t="str">
        <x:v>Client-dependent</x:v>
      </x:c>
      <x:c r="P194" s="75"/>
      <x:c r="Q194" s="75" t="str">
        <x:v>Yes</x:v>
      </x:c>
      <x:c r="R194" s="75"/>
      <x:c r="S194" s="75"/>
      <x:c r="T194" s="75"/>
      <x:c r="U194" s="75"/>
      <x:c r="V194" s="75" t="str">
        <x:v>No</x:v>
      </x:c>
      <x:c r="W194" s="75"/>
      <x:c r="X194" s="75"/>
      <x:c r="Y194" s="75"/>
      <x:c r="Z194" s="75"/>
      <x:c r="AA194" s="75"/>
      <x:c r="AB194" s="75"/>
      <x:c r="AC194" s="78"/>
      <x:c r="AD194" s="75"/>
      <x:c r="AE194" s="75"/>
      <x:c r="AF194" s="75"/>
      <x:c r="AG194" s="75"/>
      <x:c r="AH194" s="122" t="n">
        <x:v>8</x:v>
      </x:c>
      <x:c r="AI194" s="123" t="str">
        <x:v>Canonical source for Voice Quality Detail!8</x:v>
      </x:c>
    </x:row>
    <x:row r="195">
      <x:c r="A195" s="119" t="str">
        <x:v>Voice Quality Detail</x:v>
      </x:c>
      <x:c r="B195" s="121" t="str">
        <x:v>Raise Hand?</x:v>
      </x:c>
      <x:c r="C195" s="75" t="str">
        <x:v>Yes</x:v>
      </x:c>
      <x:c r="D195" s="75"/>
      <x:c r="E195" s="75"/>
      <x:c r="F195" s="75"/>
      <x:c r="G195" s="75"/>
      <x:c r="H195" s="75"/>
      <x:c r="I195" s="75"/>
      <x:c r="J195" s="75"/>
      <x:c r="K195" s="75"/>
      <x:c r="L195" s="75" t="str">
        <x:v>Stage exists; raise-hand/speaker-request behavior not independently documented</x:v>
      </x:c>
      <x:c r="M195" s="75"/>
      <x:c r="N195" s="75"/>
      <x:c r="O195" s="75" t="str">
        <x:v>Client-dependent</x:v>
      </x:c>
      <x:c r="P195" s="75" t="str">
        <x:v>Yes</x:v>
      </x:c>
      <x:c r="Q195" s="75"/>
      <x:c r="R195" s="75" t="str">
        <x:v>No</x:v>
      </x:c>
      <x:c r="S195" s="75"/>
      <x:c r="T195" s="75"/>
      <x:c r="U195" s="75"/>
      <x:c r="V195" s="75" t="str">
        <x:v>No</x:v>
      </x:c>
      <x:c r="W195" s="75"/>
      <x:c r="X195" s="75" t="str">
        <x:v>N/A</x:v>
      </x:c>
      <x:c r="Y195" s="75"/>
      <x:c r="Z195" s="75"/>
      <x:c r="AA195" s="75"/>
      <x:c r="AB195" s="75"/>
      <x:c r="AC195" s="78"/>
      <x:c r="AD195" s="75"/>
      <x:c r="AE195" s="75"/>
      <x:c r="AF195" s="75" t="str">
        <x:v>No</x:v>
      </x:c>
      <x:c r="AG195" s="75" t="str">
        <x:v>N/A</x:v>
      </x:c>
      <x:c r="AH195" s="122" t="n">
        <x:v>9</x:v>
      </x:c>
      <x:c r="AI195" s="123" t="str">
        <x:v>Canonical source for Voice Quality Detail!9</x:v>
      </x:c>
    </x:row>
    <x:row r="196">
      <x:c r="A196" s="119" t="str">
        <x:v>Voice Quality Detail</x:v>
      </x:c>
      <x:c r="B196" s="121" t="str">
        <x:v>Audio Codec</x:v>
      </x:c>
      <x:c r="C196" s="75" t="str">
        <x:v>Opus</x:v>
      </x:c>
      <x:c r="D196" s="75"/>
      <x:c r="E196" s="75" t="str">
        <x:v>Opus</x:v>
      </x:c>
      <x:c r="F196" s="75" t="str">
        <x:v>Opus/WebRTC</x:v>
      </x:c>
      <x:c r="G196" s="75" t="str">
        <x:v>WebRTC/LiveKit</x:v>
      </x:c>
      <x:c r="H196" s="75" t="str">
        <x:v>WebRTC/LiveKit</x:v>
      </x:c>
      <x:c r="I196" s="75"/>
      <x:c r="J196" s="75"/>
      <x:c r="K196" s="75"/>
      <x:c r="L196" s="75" t="str">
        <x:v>Opus</x:v>
      </x:c>
      <x:c r="M196" s="75"/>
      <x:c r="N196" s="75" t="str">
        <x:v>Opus/WebRTC</x:v>
      </x:c>
      <x:c r="O196" s="75" t="str">
        <x:v>Opus commonly via WebRTC; protocol/client-dependent</x:v>
      </x:c>
      <x:c r="P196" s="75" t="str">
        <x:v>WebRTC/Opus</x:v>
      </x:c>
      <x:c r="Q196" s="75" t="str">
        <x:v>Yes</x:v>
      </x:c>
      <x:c r="R196" s="75" t="str">
        <x:v>Opus</x:v>
      </x:c>
      <x:c r="S196" s="75"/>
      <x:c r="T196" s="75"/>
      <x:c r="U196" s="75" t="str">
        <x:v>Not publicly claimed</x:v>
      </x:c>
      <x:c r="V196" s="75"/>
      <x:c r="W196" s="75" t="str">
        <x:v>WebRTC/integration-dependent</x:v>
      </x:c>
      <x:c r="X196" s="75" t="str">
        <x:v>N/A</x:v>
      </x:c>
      <x:c r="Y196" s="75"/>
      <x:c r="Z196" s="75" t="str">
        <x:v>WebRTC; implementation-dependent codecs</x:v>
      </x:c>
      <x:c r="AA196" s="75" t="str">
        <x:v>Opus/WebRTC via LiveKit</x:v>
      </x:c>
      <x:c r="AB196" s="75" t="str">
        <x:v>Opus / proprietary stack depending generation</x:v>
      </x:c>
      <x:c r="AC196" s="78" t="str">
        <x:v>Opus/WebRTC</x:v>
      </x:c>
      <x:c r="AD196" s="75"/>
      <x:c r="AE196" s="75" t="str">
        <x:v>Opus/WebRTC</x:v>
      </x:c>
      <x:c r="AF196" s="75"/>
      <x:c r="AG196" s="75" t="str">
        <x:v>Provider-dependent</x:v>
      </x:c>
      <x:c r="AH196" s="122" t="n">
        <x:v>11</x:v>
      </x:c>
      <x:c r="AI196" s="123" t="str">
        <x:v>Canonical metric shared by: Voice &amp; Audio: Audio Codec | Voice Quality Detail: Audio Codec | Media &amp; Limits: Audio Codec</x:v>
      </x:c>
    </x:row>
    <x:row r="197">
      <x:c r="A197" s="119" t="str">
        <x:v>Voice Quality Detail</x:v>
      </x:c>
      <x:c r="B197" s="121" t="str">
        <x:v>Free / Base Voice Bitrate (kbps)</x:v>
      </x:c>
      <x:c r="C197" s="75" t="str">
        <x:v>96</x:v>
      </x:c>
      <x:c r="D197" s="75"/>
      <x:c r="E197" s="75"/>
      <x:c r="F197" s="75"/>
      <x:c r="G197" s="75"/>
      <x:c r="H197" s="75"/>
      <x:c r="I197" s="75" t="str">
        <x:v>64</x:v>
      </x:c>
      <x:c r="J197" s="75"/>
      <x:c r="K197" s="75"/>
      <x:c r="L197" s="75" t="str">
        <x:v>24 / 48 / 96 / 128 kbps selectable Opus ceilings</x:v>
      </x:c>
      <x:c r="M197" s="75"/>
      <x:c r="N197" s="75"/>
      <x:c r="O197" s="75"/>
      <x:c r="P197" s="75"/>
      <x:c r="Q197" s="75"/>
      <x:c r="R197" s="75" t="str">
        <x:v>Server-configurable</x:v>
      </x:c>
      <x:c r="S197" s="75"/>
      <x:c r="T197" s="75"/>
      <x:c r="U197" s="75" t="str">
        <x:v>Not publicly claimed</x:v>
      </x:c>
      <x:c r="V197" s="75" t="str">
        <x:v>96</x:v>
      </x:c>
      <x:c r="W197" s="75"/>
      <x:c r="X197" s="75"/>
      <x:c r="Y197" s="75"/>
      <x:c r="Z197" s="75"/>
      <x:c r="AA197" s="75"/>
      <x:c r="AB197" s="75"/>
      <x:c r="AC197" s="78"/>
      <x:c r="AD197" s="75"/>
      <x:c r="AE197" s="75"/>
      <x:c r="AF197" s="75"/>
      <x:c r="AG197" s="75"/>
      <x:c r="AH197" s="122" t="n">
        <x:v>12</x:v>
      </x:c>
      <x:c r="AI197" s="123" t="str">
        <x:v>Canonical source for Voice Quality Detail!12</x:v>
      </x:c>
    </x:row>
    <x:row r="198">
      <x:c r="A198" s="119" t="str">
        <x:v>Voice Quality Detail</x:v>
      </x:c>
      <x:c r="B198" s="121" t="str">
        <x:v>Paid / Boost Max Voice Bitrate (kbps)</x:v>
      </x:c>
      <x:c r="C198" s="75" t="str">
        <x:v>384</x:v>
      </x:c>
      <x:c r="D198" s="75"/>
      <x:c r="E198" s="75"/>
      <x:c r="F198" s="75" t="str">
        <x:v>Yes</x:v>
      </x:c>
      <x:c r="G198" s="75"/>
      <x:c r="H198" s="75"/>
      <x:c r="I198" s="75" t="str">
        <x:v>256</x:v>
      </x:c>
      <x:c r="J198" s="75"/>
      <x:c r="K198" s="75"/>
      <x:c r="L198" s="75" t="str">
        <x:v>128</x:v>
      </x:c>
      <x:c r="M198" s="75"/>
      <x:c r="N198" s="75" t="str">
        <x:v>Yes</x:v>
      </x:c>
      <x:c r="O198" s="75" t="str">
        <x:v>Varies by client/media stack</x:v>
      </x:c>
      <x:c r="P198" s="75"/>
      <x:c r="Q198" s="75" t="str">
        <x:v>Yes</x:v>
      </x:c>
      <x:c r="R198" s="75"/>
      <x:c r="S198" s="75"/>
      <x:c r="T198" s="75"/>
      <x:c r="U198" s="75" t="str">
        <x:v>No paid tier; exact bitrate not publicly claimed</x:v>
      </x:c>
      <x:c r="V198" s="75" t="str">
        <x:v>192</x:v>
      </x:c>
      <x:c r="W198" s="75"/>
      <x:c r="X198" s="75"/>
      <x:c r="Y198" s="75"/>
      <x:c r="Z198" s="75"/>
      <x:c r="AA198" s="75"/>
      <x:c r="AB198" s="75"/>
      <x:c r="AC198" s="78"/>
      <x:c r="AD198" s="75"/>
      <x:c r="AE198" s="75" t="str">
        <x:v>Yes</x:v>
      </x:c>
      <x:c r="AF198" s="75"/>
      <x:c r="AG198" s="75" t="str">
        <x:v>N/A</x:v>
      </x:c>
      <x:c r="AH198" s="122" t="n">
        <x:v>13</x:v>
      </x:c>
      <x:c r="AI198" s="123" t="str">
        <x:v>Canonical source for Voice Quality Detail!13</x:v>
      </x:c>
    </x:row>
    <x:row r="199">
      <x:c r="A199" s="119" t="str">
        <x:v>Voice Quality Detail</x:v>
      </x:c>
      <x:c r="B199" s="121" t="str">
        <x:v>Voice Bitrate User-Selectable?</x:v>
      </x:c>
      <x:c r="C199" s="75" t="str">
        <x:v>Yes / server-configurable</x:v>
      </x:c>
      <x:c r="D199" s="75"/>
      <x:c r="E199" s="75"/>
      <x:c r="F199" s="75"/>
      <x:c r="G199" s="75"/>
      <x:c r="H199" s="75"/>
      <x:c r="I199" s="75" t="str">
        <x:v>Yes / server-configurable</x:v>
      </x:c>
      <x:c r="J199" s="75"/>
      <x:c r="K199" s="75"/>
      <x:c r="L199" s="75" t="str">
        <x:v>Yes — audio-quality preset is user-selectable</x:v>
      </x:c>
      <x:c r="M199" s="75"/>
      <x:c r="N199" s="75"/>
      <x:c r="O199" s="75"/>
      <x:c r="P199" s="75"/>
      <x:c r="Q199" s="75"/>
      <x:c r="R199" s="75" t="str">
        <x:v>Yes / server-configurable</x:v>
      </x:c>
      <x:c r="S199" s="75"/>
      <x:c r="T199" s="75"/>
      <x:c r="U199" s="75"/>
      <x:c r="V199" s="75" t="str">
        <x:v>Yes / server-configurable</x:v>
      </x:c>
      <x:c r="W199" s="75"/>
      <x:c r="X199" s="75"/>
      <x:c r="Y199" s="75"/>
      <x:c r="Z199" s="75"/>
      <x:c r="AA199" s="75"/>
      <x:c r="AB199" s="75"/>
      <x:c r="AC199" s="78"/>
      <x:c r="AD199" s="75"/>
      <x:c r="AE199" s="75"/>
      <x:c r="AF199" s="75"/>
      <x:c r="AG199" s="75"/>
      <x:c r="AH199" s="122" t="n">
        <x:v>14</x:v>
      </x:c>
      <x:c r="AI199" s="123" t="str">
        <x:v>Canonical source for Voice Quality Detail!14</x:v>
      </x:c>
    </x:row>
    <x:row r="200">
      <x:c r="A200" s="119" t="str">
        <x:v>Voice Quality Detail</x:v>
      </x:c>
      <x:c r="B200" s="121" t="str">
        <x:v>Push-to-Talk?</x:v>
      </x:c>
      <x:c r="C200" s="75" t="str">
        <x:v>Yes</x:v>
      </x:c>
      <x:c r="D200" s="75"/>
      <x:c r="E200" s="75" t="str">
        <x:v>Opus</x:v>
      </x:c>
      <x:c r="F200" s="75"/>
      <x:c r="G200" s="75" t="str">
        <x:v>Yes</x:v>
      </x:c>
      <x:c r="H200" s="75" t="str">
        <x:v>Yes</x:v>
      </x:c>
      <x:c r="I200" s="75" t="str">
        <x:v>Yes</x:v>
      </x:c>
      <x:c r="J200" s="75"/>
      <x:c r="K200" s="75"/>
      <x:c r="L200" s="75" t="str">
        <x:v>Yes</x:v>
      </x:c>
      <x:c r="M200" s="75"/>
      <x:c r="N200" s="75"/>
      <x:c r="O200" s="75" t="str">
        <x:v>Varies by client</x:v>
      </x:c>
      <x:c r="P200" s="75"/>
      <x:c r="Q200" s="75"/>
      <x:c r="R200" s="75" t="str">
        <x:v>Yes</x:v>
      </x:c>
      <x:c r="S200" s="75"/>
      <x:c r="T200" s="75"/>
      <x:c r="U200" s="75"/>
      <x:c r="V200" s="75" t="str">
        <x:v>Yes</x:v>
      </x:c>
      <x:c r="W200" s="75"/>
      <x:c r="X200" s="75" t="str">
        <x:v>N/A</x:v>
      </x:c>
      <x:c r="Y200" s="75" t="str">
        <x:v>Yes</x:v>
      </x:c>
      <x:c r="Z200" s="75" t="str">
        <x:v>Client-dependent</x:v>
      </x:c>
      <x:c r="AA200" s="75" t="str">
        <x:v>Yes</x:v>
      </x:c>
      <x:c r="AB200" s="75" t="str">
        <x:v>Yes</x:v>
      </x:c>
      <x:c r="AC200" s="78"/>
      <x:c r="AD200" s="75"/>
      <x:c r="AE200" s="75"/>
      <x:c r="AF200" s="75"/>
      <x:c r="AG200" s="75" t="str">
        <x:v>N/A</x:v>
      </x:c>
      <x:c r="AH200" s="122" t="n">
        <x:v>16</x:v>
      </x:c>
      <x:c r="AI200" s="123" t="str">
        <x:v>Canonical source for Voice Quality Detail!16</x:v>
      </x:c>
    </x:row>
    <x:row r="201">
      <x:c r="A201" s="119" t="str">
        <x:v>Voice Quality Detail</x:v>
      </x:c>
      <x:c r="B201" s="121" t="str">
        <x:v>Voice Activity?</x:v>
      </x:c>
      <x:c r="C201" s="75" t="str">
        <x:v>Yes</x:v>
      </x:c>
      <x:c r="D201" s="75"/>
      <x:c r="E201" s="75"/>
      <x:c r="F201" s="75"/>
      <x:c r="G201" s="75"/>
      <x:c r="H201" s="75"/>
      <x:c r="I201" s="75" t="str">
        <x:v>Yes</x:v>
      </x:c>
      <x:c r="J201" s="75"/>
      <x:c r="K201" s="75"/>
      <x:c r="L201" s="75" t="str">
        <x:v>Yes</x:v>
      </x:c>
      <x:c r="M201" s="75"/>
      <x:c r="N201" s="75"/>
      <x:c r="O201" s="75"/>
      <x:c r="P201" s="75"/>
      <x:c r="Q201" s="75"/>
      <x:c r="R201" s="75" t="str">
        <x:v>Yes</x:v>
      </x:c>
      <x:c r="S201" s="75"/>
      <x:c r="T201" s="75"/>
      <x:c r="U201" s="75"/>
      <x:c r="V201" s="75" t="str">
        <x:v>Yes</x:v>
      </x:c>
      <x:c r="W201" s="75"/>
      <x:c r="X201" s="75"/>
      <x:c r="Y201" s="75"/>
      <x:c r="Z201" s="75"/>
      <x:c r="AA201" s="75"/>
      <x:c r="AB201" s="75" t="str">
        <x:v>Yes</x:v>
      </x:c>
      <x:c r="AC201" s="78"/>
      <x:c r="AD201" s="75"/>
      <x:c r="AE201" s="75" t="str">
        <x:v>Yes</x:v>
      </x:c>
      <x:c r="AF201" s="75"/>
      <x:c r="AG201" s="75"/>
      <x:c r="AH201" s="122" t="n">
        <x:v>17</x:v>
      </x:c>
      <x:c r="AI201" s="123" t="str">
        <x:v>Canonical metric shared by: Voice &amp; Audio: Voice Activity? | Voice Quality Detail: Voice Activity?</x:v>
      </x:c>
    </x:row>
    <x:row r="202">
      <x:c r="A202" s="119" t="str">
        <x:v>Voice Quality Detail</x:v>
      </x:c>
      <x:c r="B202" s="121" t="str">
        <x:v>Per-User Volume?</x:v>
      </x:c>
      <x:c r="C202" s="75" t="str">
        <x:v>Yes</x:v>
      </x:c>
      <x:c r="D202" s="75"/>
      <x:c r="E202" s="75"/>
      <x:c r="F202" s="75" t="str">
        <x:v>Yes</x:v>
      </x:c>
      <x:c r="G202" s="75" t="str">
        <x:v>Yes</x:v>
      </x:c>
      <x:c r="H202" s="75" t="str">
        <x:v>Yes</x:v>
      </x:c>
      <x:c r="I202" s="75" t="str">
        <x:v>Yes</x:v>
      </x:c>
      <x:c r="J202" s="75"/>
      <x:c r="K202" s="75"/>
      <x:c r="L202" s="75" t="str">
        <x:v>Yes — developer-reported/LiveKit client controls</x:v>
      </x:c>
      <x:c r="M202" s="75"/>
      <x:c r="N202" s="75" t="str">
        <x:v>Yes</x:v>
      </x:c>
      <x:c r="O202" s="75" t="str">
        <x:v>Varies by client</x:v>
      </x:c>
      <x:c r="P202" s="75" t="str">
        <x:v>Yes</x:v>
      </x:c>
      <x:c r="Q202" s="75"/>
      <x:c r="R202" s="75" t="str">
        <x:v>Yes</x:v>
      </x:c>
      <x:c r="S202" s="75"/>
      <x:c r="T202" s="75"/>
      <x:c r="U202" s="75" t="str">
        <x:v>Yes</x:v>
      </x:c>
      <x:c r="V202" s="75" t="str">
        <x:v>Yes</x:v>
      </x:c>
      <x:c r="W202" s="75"/>
      <x:c r="X202" s="75" t="str">
        <x:v>N/A</x:v>
      </x:c>
      <x:c r="Y202" s="75" t="str">
        <x:v>Yes</x:v>
      </x:c>
      <x:c r="Z202" s="75" t="str">
        <x:v>Client-dependent</x:v>
      </x:c>
      <x:c r="AA202" s="75" t="str">
        <x:v>Yes</x:v>
      </x:c>
      <x:c r="AB202" s="75" t="str">
        <x:v>Yes</x:v>
      </x:c>
      <x:c r="AC202" s="78"/>
      <x:c r="AD202" s="75"/>
      <x:c r="AE202" s="75" t="str">
        <x:v>Yes</x:v>
      </x:c>
      <x:c r="AF202" s="75"/>
      <x:c r="AG202" s="75" t="str">
        <x:v>N/A</x:v>
      </x:c>
      <x:c r="AH202" s="122" t="n">
        <x:v>18</x:v>
      </x:c>
      <x:c r="AI202" s="123" t="str">
        <x:v>Canonical source for Voice Quality Detail!18</x:v>
      </x:c>
    </x:row>
    <x:row r="203">
      <x:c r="A203" s="119" t="str">
        <x:v>Voice Quality Detail</x:v>
      </x:c>
      <x:c r="B203" s="121" t="str">
        <x:v>Input Gain Control?</x:v>
      </x:c>
      <x:c r="C203" s="75"/>
      <x:c r="D203" s="75"/>
      <x:c r="E203" s="75"/>
      <x:c r="F203" s="75"/>
      <x:c r="G203" s="75"/>
      <x:c r="H203" s="75"/>
      <x:c r="I203" s="75"/>
      <x:c r="J203" s="75"/>
      <x:c r="K203" s="75"/>
      <x:c r="L203" s="75" t="str">
        <x:v>Not independently documented</x:v>
      </x:c>
      <x:c r="M203" s="75"/>
      <x:c r="N203" s="75"/>
      <x:c r="O203" s="75"/>
      <x:c r="P203" s="75"/>
      <x:c r="Q203" s="75"/>
      <x:c r="R203" s="75"/>
      <x:c r="S203" s="75"/>
      <x:c r="T203" s="75"/>
      <x:c r="U203" s="75"/>
      <x:c r="V203" s="75"/>
      <x:c r="W203" s="75"/>
      <x:c r="X203" s="75"/>
      <x:c r="Y203" s="75"/>
      <x:c r="Z203" s="75"/>
      <x:c r="AA203" s="75"/>
      <x:c r="AB203" s="75"/>
      <x:c r="AC203" s="78"/>
      <x:c r="AD203" s="75"/>
      <x:c r="AE203" s="75"/>
      <x:c r="AF203" s="75"/>
      <x:c r="AG203" s="75"/>
      <x:c r="AH203" s="122" t="n">
        <x:v>19</x:v>
      </x:c>
      <x:c r="AI203" s="123" t="str">
        <x:v>Canonical source for Voice Quality Detail!19</x:v>
      </x:c>
    </x:row>
    <x:row r="204">
      <x:c r="A204" s="119" t="str">
        <x:v>Voice Quality Detail</x:v>
      </x:c>
      <x:c r="B204" s="121" t="str">
        <x:v>Noise Suppression?</x:v>
      </x:c>
      <x:c r="C204" s="75" t="str">
        <x:v>Yes</x:v>
      </x:c>
      <x:c r="D204" s="75"/>
      <x:c r="E204" s="75" t="str">
        <x:v>Yes</x:v>
      </x:c>
      <x:c r="F204" s="75" t="str">
        <x:v>Yes</x:v>
      </x:c>
      <x:c r="G204" s="75" t="str">
        <x:v>Yes</x:v>
      </x:c>
      <x:c r="H204" s="75" t="str">
        <x:v>Yes</x:v>
      </x:c>
      <x:c r="I204" s="75" t="str">
        <x:v>Yes</x:v>
      </x:c>
      <x:c r="J204" s="75" t="str">
        <x:v>Yes</x:v>
      </x:c>
      <x:c r="K204" s="75" t="str">
        <x:v>Yes</x:v>
      </x:c>
      <x:c r="L204" s="75" t="str">
        <x:v>Desktop/mobile local suppression; no web suppression per developer report</x:v>
      </x:c>
      <x:c r="M204" s="75"/>
      <x:c r="N204" s="75" t="str">
        <x:v>Yes</x:v>
      </x:c>
      <x:c r="O204" s="75" t="str">
        <x:v>Yes</x:v>
      </x:c>
      <x:c r="P204" s="75"/>
      <x:c r="Q204" s="75" t="str">
        <x:v>Yes</x:v>
      </x:c>
      <x:c r="R204" s="75" t="str">
        <x:v>Yes</x:v>
      </x:c>
      <x:c r="S204" s="75"/>
      <x:c r="T204" s="75" t="str">
        <x:v>Yes</x:v>
      </x:c>
      <x:c r="U204" s="75" t="str">
        <x:v>No branded/public engine claim</x:v>
      </x:c>
      <x:c r="V204" s="75" t="str">
        <x:v>Yes</x:v>
      </x:c>
      <x:c r="W204" s="75" t="str">
        <x:v>Yes</x:v>
      </x:c>
      <x:c r="X204" s="75" t="str">
        <x:v>No</x:v>
      </x:c>
      <x:c r="Y204" s="75"/>
      <x:c r="Z204" s="75"/>
      <x:c r="AA204" s="75" t="str">
        <x:v>Yes</x:v>
      </x:c>
      <x:c r="AB204" s="75"/>
      <x:c r="AC204" s="78" t="str">
        <x:v>Yes</x:v>
      </x:c>
      <x:c r="AD204" s="75"/>
      <x:c r="AE204" s="75" t="str">
        <x:v>Yes</x:v>
      </x:c>
      <x:c r="AF204" s="75" t="str">
        <x:v>Yes</x:v>
      </x:c>
      <x:c r="AG204" s="75" t="str">
        <x:v>No</x:v>
      </x:c>
      <x:c r="AH204" s="122" t="n">
        <x:v>21</x:v>
      </x:c>
      <x:c r="AI204" s="123" t="str">
        <x:v>Canonical source for Voice Quality Detail!21</x:v>
      </x:c>
    </x:row>
    <x:row r="205">
      <x:c r="A205" s="119" t="str">
        <x:v>Voice Quality Detail</x:v>
      </x:c>
      <x:c r="B205" s="121" t="str">
        <x:v>Noise Suppression Engine</x:v>
      </x:c>
      <x:c r="C205" s="75" t="str">
        <x:v>Krisp</x:v>
      </x:c>
      <x:c r="D205" s="75"/>
      <x:c r="E205" s="75" t="str">
        <x:v>LiveKit/WebRTC</x:v>
      </x:c>
      <x:c r="F205" s="75" t="str">
        <x:v>LiveKit</x:v>
      </x:c>
      <x:c r="G205" s="75" t="str">
        <x:v>DeepFilterNet3 local noise suppression planned/used</x:v>
      </x:c>
      <x:c r="H205" s="75" t="str">
        <x:v>DeepFilterNet3 + media processing controls</x:v>
      </x:c>
      <x:c r="I205" s="75" t="str">
        <x:v>Built-in noise/echo processing</x:v>
      </x:c>
      <x:c r="J205" s="75" t="str">
        <x:v>WebRTC</x:v>
      </x:c>
      <x:c r="K205" s="75" t="str">
        <x:v>P2P WebRTC with STUN/TURN fallback</x:v>
      </x:c>
      <x:c r="L205" s="75" t="str">
        <x:v>Desktop/mobile local suppression; no web suppression per developer report</x:v>
      </x:c>
      <x:c r="M205" s="75"/>
      <x:c r="N205" s="75" t="str">
        <x:v>LiveKit/WebRTC</x:v>
      </x:c>
      <x:c r="O205" s="75" t="str">
        <x:v>Varies by client</x:v>
      </x:c>
      <x:c r="P205" s="75"/>
      <x:c r="Q205" s="75" t="str">
        <x:v>Custom WebRTC SFU</x:v>
      </x:c>
      <x:c r="R205" s="75" t="str">
        <x:v>Built-in client processing; exact engine varies</x:v>
      </x:c>
      <x:c r="S205" s="75"/>
      <x:c r="T205" s="75" t="str">
        <x:v>Custom voice infrastructure</x:v>
      </x:c>
      <x:c r="U205" s="75" t="str">
        <x:v>Not publicly claimed</x:v>
      </x:c>
      <x:c r="V205" s="75" t="str">
        <x:v>Yes</x:v>
      </x:c>
      <x:c r="W205" s="75" t="str">
        <x:v>Provider-dependent</x:v>
      </x:c>
      <x:c r="X205" s="75" t="str">
        <x:v>N/A</x:v>
      </x:c>
      <x:c r="Y205" s="75"/>
      <x:c r="Z205" s="75"/>
      <x:c r="AA205" s="75" t="str">
        <x:v>RNNoise</x:v>
      </x:c>
      <x:c r="AB205" s="75"/>
      <x:c r="AC205" s="78" t="str">
        <x:v>LiveKit</x:v>
      </x:c>
      <x:c r="AD205" s="75"/>
      <x:c r="AE205" s="75" t="str">
        <x:v>LiveKit</x:v>
      </x:c>
      <x:c r="AF205" s="75" t="str">
        <x:v>Self-host media server</x:v>
      </x:c>
      <x:c r="AG205" s="75" t="str">
        <x:v>N/A</x:v>
      </x:c>
      <x:c r="AH205" s="122" t="n">
        <x:v>22</x:v>
      </x:c>
      <x:c r="AI205" s="123" t="str">
        <x:v>Canonical source for Voice Quality Detail!22</x:v>
      </x:c>
    </x:row>
    <x:row r="206">
      <x:c r="A206" s="119" t="str">
        <x:v>Voice Quality Detail</x:v>
      </x:c>
      <x:c r="B206" s="121" t="str">
        <x:v>Echo Cancellation?</x:v>
      </x:c>
      <x:c r="C206" s="75" t="str">
        <x:v>Yes</x:v>
      </x:c>
      <x:c r="D206" s="75"/>
      <x:c r="E206" s="75"/>
      <x:c r="F206" s="75" t="str">
        <x:v>Yes</x:v>
      </x:c>
      <x:c r="G206" s="75" t="str">
        <x:v>Yes</x:v>
      </x:c>
      <x:c r="H206" s="75" t="str">
        <x:v>Yes</x:v>
      </x:c>
      <x:c r="I206" s="75" t="str">
        <x:v>Yes</x:v>
      </x:c>
      <x:c r="J206" s="75"/>
      <x:c r="K206" s="75"/>
      <x:c r="L206" s="75" t="str">
        <x:v>Yes — desktop native graph; mobile uses native audio processing</x:v>
      </x:c>
      <x:c r="M206" s="75"/>
      <x:c r="N206" s="75"/>
      <x:c r="O206" s="75"/>
      <x:c r="P206" s="75"/>
      <x:c r="Q206" s="75" t="str">
        <x:v>Yes</x:v>
      </x:c>
      <x:c r="R206" s="75"/>
      <x:c r="S206" s="75"/>
      <x:c r="T206" s="75"/>
      <x:c r="U206" s="75"/>
      <x:c r="V206" s="75" t="str">
        <x:v>Yes</x:v>
      </x:c>
      <x:c r="W206" s="75"/>
      <x:c r="X206" s="75"/>
      <x:c r="Y206" s="75"/>
      <x:c r="Z206" s="75"/>
      <x:c r="AA206" s="75"/>
      <x:c r="AB206" s="75"/>
      <x:c r="AC206" s="78"/>
      <x:c r="AD206" s="75"/>
      <x:c r="AE206" s="75" t="str">
        <x:v>Yes</x:v>
      </x:c>
      <x:c r="AF206" s="75"/>
      <x:c r="AG206" s="75"/>
      <x:c r="AH206" s="122" t="n">
        <x:v>23</x:v>
      </x:c>
      <x:c r="AI206" s="123" t="str">
        <x:v>Canonical metric shared by: Voice &amp; Audio: Echo Cancellation? | Voice Quality Detail: Echo Cancellation?</x:v>
      </x:c>
    </x:row>
    <x:row r="207">
      <x:c r="A207" s="119" t="str">
        <x:v>Voice Quality Detail</x:v>
      </x:c>
      <x:c r="B207" s="121" t="str">
        <x:v>Automatic Gain Control?</x:v>
      </x:c>
      <x:c r="C207" s="75"/>
      <x:c r="D207" s="75"/>
      <x:c r="E207" s="75"/>
      <x:c r="F207" s="75" t="str">
        <x:v>Yes</x:v>
      </x:c>
      <x:c r="G207" s="75"/>
      <x:c r="H207" s="75"/>
      <x:c r="I207" s="75" t="str">
        <x:v>Yes</x:v>
      </x:c>
      <x:c r="J207" s="75"/>
      <x:c r="K207" s="75"/>
      <x:c r="L207" s="75" t="str">
        <x:v>Not independently documented</x:v>
      </x:c>
      <x:c r="M207" s="75"/>
      <x:c r="N207" s="75"/>
      <x:c r="O207" s="75"/>
      <x:c r="P207" s="75"/>
      <x:c r="Q207" s="75"/>
      <x:c r="R207" s="75"/>
      <x:c r="S207" s="75"/>
      <x:c r="T207" s="75"/>
      <x:c r="U207" s="75"/>
      <x:c r="V207" s="75" t="str">
        <x:v>Yes</x:v>
      </x:c>
      <x:c r="W207" s="75"/>
      <x:c r="X207" s="75"/>
      <x:c r="Y207" s="75"/>
      <x:c r="Z207" s="75"/>
      <x:c r="AA207" s="75"/>
      <x:c r="AB207" s="75"/>
      <x:c r="AC207" s="78"/>
      <x:c r="AD207" s="75"/>
      <x:c r="AE207" s="75"/>
      <x:c r="AF207" s="75"/>
      <x:c r="AG207" s="75"/>
      <x:c r="AH207" s="122" t="n">
        <x:v>24</x:v>
      </x:c>
      <x:c r="AI207" s="123" t="str">
        <x:v>Canonical metric shared by: Voice &amp; Audio: Automatic Gain Control? | Voice Quality Detail: Automatic Gain Control?</x:v>
      </x:c>
    </x:row>
    <x:row r="208">
      <x:c r="A208" s="119" t="str">
        <x:v>Voice Quality Detail</x:v>
      </x:c>
      <x:c r="B208" s="121" t="str">
        <x:v>Spatial Audio?</x:v>
      </x:c>
      <x:c r="C208" s="75" t="str">
        <x:v>No native client proximity/spatial audio; possible in third-party game integrations</x:v>
      </x:c>
      <x:c r="D208" s="75" t="str">
        <x:v>No</x:v>
      </x:c>
      <x:c r="E208" s="75" t="str">
        <x:v>No</x:v>
      </x:c>
      <x:c r="F208" s="75" t="str">
        <x:v>No</x:v>
      </x:c>
      <x:c r="G208" s="75"/>
      <x:c r="H208" s="75" t="str">
        <x:v>No native proximity audio</x:v>
      </x:c>
      <x:c r="I208" s="75" t="str">
        <x:v>GameLink spatial audio</x:v>
      </x:c>
      <x:c r="J208" s="75" t="str">
        <x:v>No</x:v>
      </x:c>
      <x:c r="K208" s="75" t="str">
        <x:v>No</x:v>
      </x:c>
      <x:c r="L208" s="75"/>
      <x:c r="M208" s="75" t="str">
        <x:v>No</x:v>
      </x:c>
      <x:c r="N208" s="75" t="str">
        <x:v>No</x:v>
      </x:c>
      <x:c r="O208" s="75" t="str">
        <x:v>Possible via specialized clients; not a core default</x:v>
      </x:c>
      <x:c r="P208" s="75" t="str">
        <x:v>No</x:v>
      </x:c>
      <x:c r="Q208" s="75" t="str">
        <x:v>No</x:v>
      </x:c>
      <x:c r="R208" s="75" t="str">
        <x:v>Yes — positional audio supported with games/plugins</x:v>
      </x:c>
      <x:c r="S208" s="75" t="str">
        <x:v>No</x:v>
      </x:c>
      <x:c r="T208" s="75" t="str">
        <x:v>No</x:v>
      </x:c>
      <x:c r="U208" s="75" t="str">
        <x:v>No</x:v>
      </x:c>
      <x:c r="V208" s="75" t="str">
        <x:v>No</x:v>
      </x:c>
      <x:c r="W208" s="75" t="str">
        <x:v>No</x:v>
      </x:c>
      <x:c r="X208" s="75" t="str">
        <x:v>N/A</x:v>
      </x:c>
      <x:c r="Y208" s="75" t="str">
        <x:v>No native proximity audio</x:v>
      </x:c>
      <x:c r="Z208" s="75" t="str">
        <x:v>No native proximity</x:v>
      </x:c>
      <x:c r="AA208" s="75" t="str">
        <x:v>No native proximity audio</x:v>
      </x:c>
      <x:c r="AB208" s="75"/>
      <x:c r="AC208" s="78" t="str">
        <x:v>No</x:v>
      </x:c>
      <x:c r="AD208" s="75" t="str">
        <x:v>No</x:v>
      </x:c>
      <x:c r="AE208" s="75" t="str">
        <x:v>No</x:v>
      </x:c>
      <x:c r="AF208" s="75" t="str">
        <x:v>Yes — spatial/proximity</x:v>
      </x:c>
      <x:c r="AG208" s="75" t="str">
        <x:v>N/A</x:v>
      </x:c>
      <x:c r="AH208" s="122" t="n">
        <x:v>26</x:v>
      </x:c>
      <x:c r="AI208" s="123" t="str">
        <x:v>Canonical source for Voice Quality Detail!26</x:v>
      </x:c>
    </x:row>
    <x:row r="209">
      <x:c r="A209" s="119" t="str">
        <x:v>Voice Quality Detail</x:v>
      </x:c>
      <x:c r="B209" s="121" t="str">
        <x:v>Proximity Audio?</x:v>
      </x:c>
      <x:c r="C209" s="75" t="str">
        <x:v>No</x:v>
      </x:c>
      <x:c r="D209" s="75"/>
      <x:c r="E209" s="75"/>
      <x:c r="F209" s="75"/>
      <x:c r="G209" s="75"/>
      <x:c r="H209" s="75" t="str">
        <x:v>No</x:v>
      </x:c>
      <x:c r="I209" s="75" t="str">
        <x:v>Yes</x:v>
      </x:c>
      <x:c r="J209" s="75"/>
      <x:c r="K209" s="75"/>
      <x:c r="L209" s="75"/>
      <x:c r="M209" s="75"/>
      <x:c r="N209" s="75"/>
      <x:c r="O209" s="75"/>
      <x:c r="P209" s="75"/>
      <x:c r="Q209" s="75"/>
      <x:c r="R209" s="75" t="str">
        <x:v>Yes</x:v>
      </x:c>
      <x:c r="S209" s="75"/>
      <x:c r="T209" s="75"/>
      <x:c r="U209" s="75"/>
      <x:c r="V209" s="75" t="str">
        <x:v>No</x:v>
      </x:c>
      <x:c r="W209" s="75"/>
      <x:c r="X209" s="75"/>
      <x:c r="Y209" s="75" t="str">
        <x:v>No</x:v>
      </x:c>
      <x:c r="Z209" s="75"/>
      <x:c r="AA209" s="75"/>
      <x:c r="AB209" s="75"/>
      <x:c r="AC209" s="78"/>
      <x:c r="AD209" s="75"/>
      <x:c r="AE209" s="75"/>
      <x:c r="AF209" s="75" t="str">
        <x:v>Yes</x:v>
      </x:c>
      <x:c r="AG209" s="75"/>
      <x:c r="AH209" s="122" t="n">
        <x:v>27</x:v>
      </x:c>
      <x:c r="AI209" s="123" t="str">
        <x:v>Canonical source for Voice Quality Detail!27</x:v>
      </x:c>
    </x:row>
    <x:row r="210">
      <x:c r="A210" s="119" t="str">
        <x:v>Voice Quality Detail</x:v>
      </x:c>
      <x:c r="B210" s="121" t="str">
        <x:v>Voice Recording Native?</x:v>
      </x:c>
      <x:c r="C210" s="75"/>
      <x:c r="D210" s="75"/>
      <x:c r="E210" s="75"/>
      <x:c r="F210" s="75"/>
      <x:c r="G210" s="75"/>
      <x:c r="H210" s="75"/>
      <x:c r="I210" s="75"/>
      <x:c r="J210" s="75"/>
      <x:c r="K210" s="75"/>
      <x:c r="L210" s="75" t="str">
        <x:v>No native recording</x:v>
      </x:c>
      <x:c r="M210" s="75"/>
      <x:c r="N210" s="75"/>
      <x:c r="O210" s="75"/>
      <x:c r="P210" s="75"/>
      <x:c r="Q210" s="75"/>
      <x:c r="R210" s="75"/>
      <x:c r="S210" s="75"/>
      <x:c r="T210" s="75"/>
      <x:c r="U210" s="75"/>
      <x:c r="V210" s="75"/>
      <x:c r="W210" s="75"/>
      <x:c r="X210" s="75"/>
      <x:c r="Y210" s="75"/>
      <x:c r="Z210" s="75"/>
      <x:c r="AA210" s="75"/>
      <x:c r="AB210" s="75"/>
      <x:c r="AC210" s="78"/>
      <x:c r="AD210" s="75"/>
      <x:c r="AE210" s="75"/>
      <x:c r="AF210" s="75"/>
      <x:c r="AG210" s="75"/>
      <x:c r="AH210" s="122" t="n">
        <x:v>28</x:v>
      </x:c>
      <x:c r="AI210" s="123" t="str">
        <x:v>Canonical metric shared by: Voice &amp; Audio: Voice Recording Native? | Voice Quality Detail: Voice Recording Native? | Media &amp; Limits: Voice Recording Native?</x:v>
      </x:c>
    </x:row>
    <x:row r="211">
      <x:c r="A211" s="119" t="str">
        <x:v>Voice Quality Detail</x:v>
      </x:c>
      <x:c r="B211" s="121" t="str">
        <x:v>Voice Transcription Native?</x:v>
      </x:c>
      <x:c r="C211" s="75"/>
      <x:c r="D211" s="75"/>
      <x:c r="E211" s="75"/>
      <x:c r="F211" s="75"/>
      <x:c r="G211" s="75"/>
      <x:c r="H211" s="75"/>
      <x:c r="I211" s="75"/>
      <x:c r="J211" s="75"/>
      <x:c r="K211" s="75"/>
      <x:c r="L211" s="75" t="str">
        <x:v>No native transcription</x:v>
      </x:c>
      <x:c r="M211" s="75"/>
      <x:c r="N211" s="75"/>
      <x:c r="O211" s="75"/>
      <x:c r="P211" s="75" t="str">
        <x:v>Yes</x:v>
      </x:c>
      <x:c r="Q211" s="75" t="str">
        <x:v>Yes</x:v>
      </x:c>
      <x:c r="R211" s="75"/>
      <x:c r="S211" s="75"/>
      <x:c r="T211" s="75"/>
      <x:c r="U211" s="75"/>
      <x:c r="V211" s="75" t="str">
        <x:v>No</x:v>
      </x:c>
      <x:c r="W211" s="75"/>
      <x:c r="X211" s="75"/>
      <x:c r="Y211" s="75"/>
      <x:c r="Z211" s="75"/>
      <x:c r="AA211" s="75"/>
      <x:c r="AB211" s="75"/>
      <x:c r="AC211" s="78"/>
      <x:c r="AD211" s="75"/>
      <x:c r="AE211" s="75"/>
      <x:c r="AF211" s="75"/>
      <x:c r="AG211" s="75"/>
      <x:c r="AH211" s="122" t="n">
        <x:v>29</x:v>
      </x:c>
      <x:c r="AI211" s="123" t="str">
        <x:v>Canonical metric shared by: Voice &amp; Audio: Voice Transcription Native? | Voice Quality Detail: Voice Transcription Native? | Media &amp; Limits: Voice Transcription Native?</x:v>
      </x:c>
    </x:row>
    <x:row r="212">
      <x:c r="A212" s="119" t="str">
        <x:v>Voice Quality Detail</x:v>
      </x:c>
      <x:c r="B212" s="121" t="str">
        <x:v>Voice Source URL</x:v>
      </x:c>
      <x:c r="C212" s="75" t="str">
        <x:v>https://support.discord.com/</x:v>
      </x:c>
      <x:c r="D212" s="75" t="str">
        <x:v>See Research Sources</x:v>
      </x:c>
      <x:c r="E212" s="75" t="str">
        <x:v>See Research Sources</x:v>
      </x:c>
      <x:c r="F212" s="75" t="str">
        <x:v>See Research Sources</x:v>
      </x:c>
      <x:c r="G212" s="75" t="str">
        <x:v>See Research Sources</x:v>
      </x:c>
      <x:c r="H212" s="75" t="str">
        <x:v>See Research Sources</x:v>
      </x:c>
      <x:c r="I212" s="75" t="str">
        <x:v>https://gamevox.com/</x:v>
      </x:c>
      <x:c r="J212" s="75" t="str">
        <x:v>See Research Sources</x:v>
      </x:c>
      <x:c r="K212" s="75" t="str">
        <x:v>See Research Sources</x:v>
      </x:c>
      <x:c r="L212" s="75"/>
      <x:c r="M212" s="75" t="str">
        <x:v>See Research Sources</x:v>
      </x:c>
      <x:c r="N212" s="75" t="str">
        <x:v>See Research Sources</x:v>
      </x:c>
      <x:c r="O212" s="75" t="str">
        <x:v>See Research Sources</x:v>
      </x:c>
      <x:c r="P212" s="75" t="str">
        <x:v>See Research Sources</x:v>
      </x:c>
      <x:c r="Q212" s="75" t="str">
        <x:v>See Research Sources</x:v>
      </x:c>
      <x:c r="R212" s="75" t="str">
        <x:v>See Research Sources</x:v>
      </x:c>
      <x:c r="S212" s="75" t="str">
        <x:v>See Research Sources</x:v>
      </x:c>
      <x:c r="T212" s="75" t="str">
        <x:v>See Research Sources</x:v>
      </x:c>
      <x:c r="U212" s="75" t="str">
        <x:v>See Research Sources</x:v>
      </x:c>
      <x:c r="V212" s="75" t="str">
        <x:v>https://therift.chat/plans/</x:v>
      </x:c>
      <x:c r="W212" s="75" t="str">
        <x:v>See Research Sources</x:v>
      </x:c>
      <x:c r="X212" s="75" t="str">
        <x:v>See Research Sources</x:v>
      </x:c>
      <x:c r="Y212" s="75" t="str">
        <x:v>See Research Sources</x:v>
      </x:c>
      <x:c r="Z212" s="75" t="str">
        <x:v>See Research Sources</x:v>
      </x:c>
      <x:c r="AA212" s="75" t="str">
        <x:v>See Research Sources</x:v>
      </x:c>
      <x:c r="AB212" s="75" t="str">
        <x:v>See Research Sources</x:v>
      </x:c>
      <x:c r="AC212" s="78" t="str">
        <x:v>See Research Sources</x:v>
      </x:c>
      <x:c r="AD212" s="75" t="str">
        <x:v>See Research Sources</x:v>
      </x:c>
      <x:c r="AE212" s="75" t="str">
        <x:v>See Research Sources</x:v>
      </x:c>
      <x:c r="AF212" s="75" t="str">
        <x:v>See Research Sources</x:v>
      </x:c>
      <x:c r="AG212" s="75" t="str">
        <x:v>See Research Sources</x:v>
      </x:c>
      <x:c r="AH212" s="122" t="n">
        <x:v>31</x:v>
      </x:c>
      <x:c r="AI212" s="123" t="str">
        <x:v>Canonical source for Voice Quality Detail!31</x:v>
      </x:c>
    </x:row>
    <x:row r="213">
      <x:c r="A213" s="119" t="str">
        <x:v>Voice Quality Detail</x:v>
      </x:c>
      <x:c r="B213" s="121" t="str">
        <x:v>Voice Notes</x:v>
      </x:c>
      <x:c r="C213" s="75" t="str">
        <x:v>Voice/video/Go Live E2EE by default except Stage.</x:v>
      </x:c>
      <x:c r="D213" s="75" t="str">
        <x:v>Voice exists; detailed limits are not publicly documented.</x:v>
      </x:c>
      <x:c r="E213" s="75" t="str">
        <x:v>Media limits are software/operator-configurable rather than a paid tier.</x:v>
      </x:c>
      <x:c r="F213" s="75" t="str">
        <x:v>LiveKit-based voice/video/screen sharing.</x:v>
      </x:c>
      <x:c r="G213" s="75" t="str">
        <x:v>Alpha behavior/limits can change.</x:v>
      </x:c>
      <x:c r="H213" s="75" t="str">
        <x:v>Nothing is E2EE yet per Sep 13 privacy policy.</x:v>
      </x:c>
      <x:c r="I213" s="75" t="str">
        <x:v>Voice-first gaming platform.</x:v>
      </x:c>
      <x:c r="J213" s="75" t="str">
        <x:v>Media is early/incomplete.</x:v>
      </x:c>
      <x:c r="K213" s="75" t="str">
        <x:v>Media is peer-to-peer rather than server-room focused.</x:v>
      </x:c>
      <x:c r="L213" s="75" t="str">
        <x:v>LiveKit; guild voice uses guild authority, DM calls use conversation/caller authority; existing calls may continue during federation outage but new joins need the authority</x:v>
      </x:c>
      <x:c r="M213" s="75" t="str">
        <x:v>Media limits not well documented.</x:v>
      </x:c>
      <x:c r="N213" s="75" t="str">
        <x:v>Voice/video/screen share are live in open beta.</x:v>
      </x:c>
      <x:c r="O213" s="75" t="str">
        <x:v>Media limits belong to a client/homeserver/SFU deployment, not to Matrix as a universal platform.</x:v>
      </x:c>
      <x:c r="P213" s="75" t="str">
        <x:v>Native Calls supports screen share and meeting-style controls.</x:v>
      </x:c>
      <x:c r="Q213" s="75" t="str">
        <x:v>No paywall on voice/video quality claimed.</x:v>
      </x:c>
      <x:c r="R213" s="75" t="str">
        <x:v>Purpose-built voice; no webcam/screen-sharing core.</x:v>
      </x:c>
      <x:c r="S213" s="75" t="str">
        <x:v>Public docs emphasize chat more than media limits.</x:v>
      </x:c>
      <x:c r="T213" s="75" t="str">
        <x:v>Custom voice infrastructure is a headline feature.</x:v>
      </x:c>
      <x:c r="U213" s="75" t="str">
        <x:v>Persistent voice; P2P for small/DM calls; LiveKit for listed/larger hosted rooms. Hosted watch party has exceeded 100 participants.</x:v>
      </x:c>
      <x:c r="V213" s="75" t="str">
        <x:v>Public site does not publish detailed media limits.</x:v>
      </x:c>
      <x:c r="W213" s="75" t="str">
        <x:v>Media calling is not a single fixed platform profile across all Rocket.Chat deployments.</x:v>
      </x:c>
      <x:c r="X213" s="75" t="str">
        <x:v>Text/community-gardening focus.</x:v>
      </x:c>
      <x:c r="Y213" s="75" t="str">
        <x:v>Mobile can view shared screens.</x:v>
      </x:c>
      <x:c r="Z213" s="75" t="str">
        <x:v>Voice is optional and disabled unless operator installs a compatible media implementation.</x:v>
      </x:c>
      <x:c r="AA213" s="75" t="str">
        <x:v>Screen sharing/video rolled out in 2026; exact plan limits are not comprehensively documented.</x:v>
      </x:c>
      <x:c r="AB213" s="75" t="str">
        <x:v>TS6 is beta, so limits/features are changing.</x:v>
      </x:c>
      <x:c r="AC213" s="78"/>
      <x:c r="AD213" s="75" t="str">
        <x:v>Media details sparse.</x:v>
      </x:c>
      <x:c r="AE213" s="75" t="str">
        <x:v>Designed around always-present game-room media.</x:v>
      </x:c>
      <x:c r="AF213" s="75" t="str">
        <x:v>Self-host resource capacity determines practical limits.</x:v>
      </x:c>
      <x:c r="AG213" s="75" t="str">
        <x:v>Voice/video are intentionally delegated to services such as Jitsi/Zoom/BigBlueButton.</x:v>
      </x:c>
      <x:c r="AH213" s="122" t="n">
        <x:v>32</x:v>
      </x:c>
      <x:c r="AI213" s="123" t="str">
        <x:v>Canonical source for Voice Quality Detail!32</x:v>
      </x:c>
    </x:row>
    <x:row r="214">
      <x:c r="A214" s="119" t="str">
        <x:v>Voice Quality Detail</x:v>
      </x:c>
      <x:c r="B214" s="121" t="str">
        <x:v>Voice Overlay?</x:v>
      </x:c>
      <x:c r="C214" s="75" t="str">
        <x:v>Yes</x:v>
      </x:c>
      <x:c r="D214" s="75"/>
      <x:c r="E214" s="75"/>
      <x:c r="F214" s="75"/>
      <x:c r="G214" s="75"/>
      <x:c r="H214" s="75"/>
      <x:c r="I214" s="75"/>
      <x:c r="J214" s="75"/>
      <x:c r="K214" s="75"/>
      <x:c r="L214" s="75"/>
      <x:c r="M214" s="75"/>
      <x:c r="N214" s="75"/>
      <x:c r="O214" s="75"/>
      <x:c r="P214" s="75"/>
      <x:c r="Q214" s="75"/>
      <x:c r="R214" s="75"/>
      <x:c r="S214" s="75"/>
      <x:c r="T214" s="75"/>
      <x:c r="U214" s="75"/>
      <x:c r="V214" s="75" t="str">
        <x:v>Yes</x:v>
      </x:c>
      <x:c r="W214" s="75"/>
      <x:c r="X214" s="75"/>
      <x:c r="Y214" s="75"/>
      <x:c r="Z214" s="75"/>
      <x:c r="AA214" s="75"/>
      <x:c r="AB214" s="75"/>
      <x:c r="AC214" s="78"/>
      <x:c r="AD214" s="75"/>
      <x:c r="AE214" s="75"/>
      <x:c r="AF214" s="75"/>
      <x:c r="AG214" s="75"/>
      <x:c r="AH214" s="122" t="n">
        <x:v>34</x:v>
      </x:c>
      <x:c r="AI214" s="123" t="str">
        <x:v>Canonical source for Voice Quality Detail!34</x:v>
      </x:c>
    </x:row>
    <x:row r="215">
      <x:c r="A215" s="119" t="str">
        <x:v>Voice Quality Detail</x:v>
      </x:c>
      <x:c r="B215" s="121" t="str">
        <x:v>Temporary / Launcher Voice Rooms?</x:v>
      </x:c>
      <x:c r="C215" s="75" t="str">
        <x:v>No native</x:v>
      </x:c>
      <x:c r="D215" s="75"/>
      <x:c r="E215" s="75"/>
      <x:c r="F215" s="75"/>
      <x:c r="G215" s="75"/>
      <x:c r="H215" s="75"/>
      <x:c r="I215" s="75"/>
      <x:c r="J215" s="75"/>
      <x:c r="K215" s="75"/>
      <x:c r="L215" s="75" t="str">
        <x:v>No temporary/launcher voice-room workflow documented</x:v>
      </x:c>
      <x:c r="M215" s="75"/>
      <x:c r="N215" s="75"/>
      <x:c r="O215" s="75"/>
      <x:c r="P215" s="75"/>
      <x:c r="Q215" s="75"/>
      <x:c r="R215" s="75"/>
      <x:c r="S215" s="75"/>
      <x:c r="T215" s="75"/>
      <x:c r="U215" s="75"/>
      <x:c r="V215" s="75" t="str">
        <x:v>Yes</x:v>
      </x:c>
      <x:c r="W215" s="75"/>
      <x:c r="X215" s="75"/>
      <x:c r="Y215" s="75"/>
      <x:c r="Z215" s="75"/>
      <x:c r="AA215" s="75"/>
      <x:c r="AB215" s="75"/>
      <x:c r="AC215" s="78"/>
      <x:c r="AD215" s="75"/>
      <x:c r="AE215" s="75"/>
      <x:c r="AF215" s="75"/>
      <x:c r="AG215" s="75"/>
      <x:c r="AH215" s="122" t="n">
        <x:v>35</x:v>
      </x:c>
      <x:c r="AI215" s="123" t="str">
        <x:v>Canonical source for Voice Quality Detail!35</x:v>
      </x:c>
    </x:row>
    <x:row r="216">
      <x:c r="A216" s="119" t="str">
        <x:v>Voice Quality Detail</x:v>
      </x:c>
      <x:c r="B216" s="121" t="str">
        <x:v>Music / High-Fidelity Mode?</x:v>
      </x:c>
      <x:c r="C216" s="75"/>
      <x:c r="D216" s="75"/>
      <x:c r="E216" s="75"/>
      <x:c r="F216" s="75"/>
      <x:c r="G216" s="75"/>
      <x:c r="H216" s="75"/>
      <x:c r="I216" s="75"/>
      <x:c r="J216" s="75"/>
      <x:c r="K216" s="75"/>
      <x:c r="L216" s="75" t="str">
        <x:v>Partial — browser 128 kbps Studio requests stereo/DTX-off; desktop remains processed mono</x:v>
      </x:c>
      <x:c r="M216" s="75"/>
      <x:c r="N216" s="75"/>
      <x:c r="O216" s="75"/>
      <x:c r="P216" s="75"/>
      <x:c r="Q216" s="75"/>
      <x:c r="R216" s="75"/>
      <x:c r="S216" s="75"/>
      <x:c r="T216" s="75"/>
      <x:c r="U216" s="75"/>
      <x:c r="V216" s="75" t="str">
        <x:v>No</x:v>
      </x:c>
      <x:c r="W216" s="75"/>
      <x:c r="X216" s="75"/>
      <x:c r="Y216" s="75"/>
      <x:c r="Z216" s="75"/>
      <x:c r="AA216" s="75"/>
      <x:c r="AB216" s="75" t="str">
        <x:v>Configurable/codecs</x:v>
      </x:c>
      <x:c r="AC216" s="78"/>
      <x:c r="AD216" s="75"/>
      <x:c r="AE216" s="75"/>
      <x:c r="AF216" s="75"/>
      <x:c r="AG216" s="75"/>
      <x:c r="AH216" s="122" t="n">
        <x:v>36</x:v>
      </x:c>
      <x:c r="AI216" s="123" t="str">
        <x:v>Canonical source for Voice Quality Detail!36</x:v>
      </x:c>
    </x:row>
    <x:row r="217">
      <x:c r="A217" s="119" t="str">
        <x:v>Voice Quality Detail</x:v>
      </x:c>
      <x:c r="B217" s="121" t="str">
        <x:v>Voice Changer Native?</x:v>
      </x:c>
      <x:c r="C217" s="75" t="str">
        <x:v>No</x:v>
      </x:c>
      <x:c r="D217" s="75"/>
      <x:c r="E217" s="75"/>
      <x:c r="F217" s="75"/>
      <x:c r="G217" s="75"/>
      <x:c r="H217" s="75"/>
      <x:c r="I217" s="75"/>
      <x:c r="J217" s="75"/>
      <x:c r="K217" s="75"/>
      <x:c r="L217" s="75" t="str">
        <x:v>No native voice changer documented</x:v>
      </x:c>
      <x:c r="M217" s="75"/>
      <x:c r="N217" s="75"/>
      <x:c r="O217" s="75"/>
      <x:c r="P217" s="75"/>
      <x:c r="Q217" s="75"/>
      <x:c r="R217" s="75"/>
      <x:c r="S217" s="75"/>
      <x:c r="T217" s="75"/>
      <x:c r="U217" s="75"/>
      <x:c r="V217" s="75" t="str">
        <x:v>Yes</x:v>
      </x:c>
      <x:c r="W217" s="75"/>
      <x:c r="X217" s="75"/>
      <x:c r="Y217" s="75"/>
      <x:c r="Z217" s="75"/>
      <x:c r="AA217" s="75"/>
      <x:c r="AB217" s="75"/>
      <x:c r="AC217" s="78"/>
      <x:c r="AD217" s="75"/>
      <x:c r="AE217" s="75"/>
      <x:c r="AF217" s="75"/>
      <x:c r="AG217" s="75"/>
      <x:c r="AH217" s="122" t="n">
        <x:v>37</x:v>
      </x:c>
      <x:c r="AI217" s="123" t="str">
        <x:v>Canonical source for Voice Quality Detail!37</x:v>
      </x:c>
    </x:row>
    <x:row r="218">
      <x:c r="A218" s="119" t="str">
        <x:v>Video &amp; Screen Sharing</x:v>
      </x:c>
      <x:c r="B218" s="121" t="str">
        <x:v>Free Screen Share Max Resolution</x:v>
      </x:c>
      <x:c r="C218" s="75" t="str">
        <x:v>720p</x:v>
      </x:c>
      <x:c r="D218" s="75"/>
      <x:c r="E218" s="75" t="str">
        <x:v>Up to 4K theoretical/configurable</x:v>
      </x:c>
      <x:c r="F218" s="75"/>
      <x:c r="G218" s="75"/>
      <x:c r="H218" s="75" t="str">
        <x:v>720p</x:v>
      </x:c>
      <x:c r="I218" s="75" t="str">
        <x:v>1080p</x:v>
      </x:c>
      <x:c r="J218" s="75" t="str">
        <x:v>In development</x:v>
      </x:c>
      <x:c r="K218" s="75" t="str">
        <x:v>P2P/client dependent</x:v>
      </x:c>
      <x:c r="L218" s="75"/>
      <x:c r="M218" s="75"/>
      <x:c r="N218" s="75"/>
      <x:c r="O218" s="75" t="str">
        <x:v>Varies by client</x:v>
      </x:c>
      <x:c r="P218" s="75" t="str">
        <x:v>Provider/deployment dependent; native Calls screen share</x:v>
      </x:c>
      <x:c r="Q218" s="75" t="str">
        <x:v>Unlimited resolution claim</x:v>
      </x:c>
      <x:c r="R218" s="75" t="str">
        <x:v>N/A</x:v>
      </x:c>
      <x:c r="S218" s="75"/>
      <x:c r="T218" s="75"/>
      <x:c r="U218" s="75" t="str">
        <x:v>1080p</x:v>
      </x:c>
      <x:c r="V218" s="75" t="str">
        <x:v>1080p free</x:v>
      </x:c>
      <x:c r="W218" s="75" t="str">
        <x:v>Provider/deployment-dependent</x:v>
      </x:c>
      <x:c r="X218" s="75"/>
      <x:c r="Y218" s="75" t="str">
        <x:v>720p Game Mode / Source mode</x:v>
      </x:c>
      <x:c r="Z218" s="75" t="str">
        <x:v>Supported by recommended Pion voice implementation</x:v>
      </x:c>
      <x:c r="AA218" s="75" t="str">
        <x:v>720p</x:v>
      </x:c>
      <x:c r="AB218" s="75"/>
      <x:c r="AC218" s="78"/>
      <x:c r="AD218" s="75"/>
      <x:c r="AE218" s="75"/>
      <x:c r="AF218" s="75" t="str">
        <x:v>Up to 1440p included</x:v>
      </x:c>
      <x:c r="AG218" s="75" t="str">
        <x:v>External call provider-dependent</x:v>
      </x:c>
      <x:c r="AH218" s="122" t="n">
        <x:v>3</x:v>
      </x:c>
      <x:c r="AI218" s="123" t="str">
        <x:v>Canonical source for Video &amp; Screen Sharing!3</x:v>
      </x:c>
    </x:row>
    <x:row r="219">
      <x:c r="A219" s="119" t="str">
        <x:v>Video &amp; Screen Sharing</x:v>
      </x:c>
      <x:c r="B219" s="121" t="str">
        <x:v>Free Screen Share Max FPS</x:v>
      </x:c>
      <x:c r="C219" s="75" t="str">
        <x:v>30 fps</x:v>
      </x:c>
      <x:c r="D219" s="75"/>
      <x:c r="E219" s="75" t="str">
        <x:v>Up to 60/120 depending docs/version</x:v>
      </x:c>
      <x:c r="F219" s="75"/>
      <x:c r="G219" s="75"/>
      <x:c r="H219" s="75" t="str">
        <x:v>30 fps</x:v>
      </x:c>
      <x:c r="I219" s="75" t="str">
        <x:v>30 fps</x:v>
      </x:c>
      <x:c r="J219" s="75" t="str">
        <x:v>In development</x:v>
      </x:c>
      <x:c r="K219" s="75"/>
      <x:c r="L219" s="75" t="str">
        <x:v>30 FPS in current documented presets; developer questionnaire reported 60 FPS</x:v>
      </x:c>
      <x:c r="M219" s="75"/>
      <x:c r="N219" s="75"/>
      <x:c r="O219" s="75" t="str">
        <x:v>Varies by client</x:v>
      </x:c>
      <x:c r="P219" s="75"/>
      <x:c r="Q219" s="75"/>
      <x:c r="R219" s="75" t="str">
        <x:v>N/A</x:v>
      </x:c>
      <x:c r="S219" s="75"/>
      <x:c r="T219" s="75"/>
      <x:c r="U219" s="75" t="str">
        <x:v>Not publicly claimed</x:v>
      </x:c>
      <x:c r="V219" s="75" t="str">
        <x:v>60 FPS free</x:v>
      </x:c>
      <x:c r="W219" s="75"/>
      <x:c r="X219" s="75"/>
      <x:c r="Y219" s="75" t="str">
        <x:v>30 fps Game Mode / 5 fps Source mode</x:v>
      </x:c>
      <x:c r="Z219" s="75"/>
      <x:c r="AA219" s="75" t="str">
        <x:v>30 fps</x:v>
      </x:c>
      <x:c r="AB219" s="75"/>
      <x:c r="AC219" s="78"/>
      <x:c r="AD219" s="75"/>
      <x:c r="AE219" s="75"/>
      <x:c r="AF219" s="75"/>
      <x:c r="AG219" s="75" t="str">
        <x:v>Provider-dependent</x:v>
      </x:c>
      <x:c r="AH219" s="122" t="n">
        <x:v>4</x:v>
      </x:c>
      <x:c r="AI219" s="123" t="str">
        <x:v>Canonical source for Video &amp; Screen Sharing!4</x:v>
      </x:c>
    </x:row>
    <x:row r="220">
      <x:c r="A220" s="119" t="str">
        <x:v>Video &amp; Screen Sharing</x:v>
      </x:c>
      <x:c r="B220" s="121" t="str">
        <x:v>Paid / Boost Screen Share Max</x:v>
      </x:c>
      <x:c r="C220" s="75" t="str">
        <x:v>Up to 4K/60 fps with Nitro/Nitro Classic</x:v>
      </x:c>
      <x:c r="D220" s="75"/>
      <x:c r="E220" s="75" t="str">
        <x:v>Operator-configurable</x:v>
      </x:c>
      <x:c r="F220" s="75"/>
      <x:c r="G220" s="75"/>
      <x:c r="H220" s="75" t="str">
        <x:v>Up to 4K/60 with Plutonium</x:v>
      </x:c>
      <x:c r="I220" s="75" t="str">
        <x:v>Up to 4K/60 Diamond</x:v>
      </x:c>
      <x:c r="J220" s="75" t="str">
        <x:v>N/A</x:v>
      </x:c>
      <x:c r="K220" s="75" t="str">
        <x:v>N/A</x:v>
      </x:c>
      <x:c r="L220" s="75" t="str">
        <x:v>No paid quality tier; documented presets are current/free</x:v>
      </x:c>
      <x:c r="M220" s="75"/>
      <x:c r="N220" s="75"/>
      <x:c r="O220" s="75" t="str">
        <x:v>Client/provider-dependent</x:v>
      </x:c>
      <x:c r="P220" s="75" t="str">
        <x:v>Plan/deployment-dependent</x:v>
      </x:c>
      <x:c r="Q220" s="75" t="str">
        <x:v>No paid cap claimed</x:v>
      </x:c>
      <x:c r="R220" s="75" t="str">
        <x:v>N/A</x:v>
      </x:c>
      <x:c r="S220" s="75"/>
      <x:c r="T220" s="75"/>
      <x:c r="U220" s="75" t="str">
        <x:v>No paid tier — 1080p free</x:v>
      </x:c>
      <x:c r="V220" s="75" t="str">
        <x:v>1440p60 with Rift+</x:v>
      </x:c>
      <x:c r="W220" s="75" t="str">
        <x:v>Provider-dependent</x:v>
      </x:c>
      <x:c r="X220" s="75" t="str">
        <x:v>N/A</x:v>
      </x:c>
      <x:c r="Y220" s="75" t="str">
        <x:v>Up to 1440p/60 with Sudo</x:v>
      </x:c>
      <x:c r="Z220" s="75" t="str">
        <x:v>Operator/config dependent</x:v>
      </x:c>
      <x:c r="AA220" s="75" t="str">
        <x:v>No separate paid screen-share entitlement publicly stated</x:v>
      </x:c>
      <x:c r="AB220" s="75"/>
      <x:c r="AC220" s="78"/>
      <x:c r="AD220" s="75"/>
      <x:c r="AE220" s="75" t="str">
        <x:v>Free/unmetered claim</x:v>
      </x:c>
      <x:c r="AF220" s="75" t="str">
        <x:v>Up to 1440p included</x:v>
      </x:c>
      <x:c r="AG220" s="75" t="str">
        <x:v>Provider-dependent</x:v>
      </x:c>
      <x:c r="AH220" s="122" t="n">
        <x:v>5</x:v>
      </x:c>
      <x:c r="AI220" s="123" t="str">
        <x:v>Canonical metric shared by: Video &amp; Screen Sharing: Paid / Boost Screen Share Max | Media &amp; Limits: Paid / Boost Screen Share Max</x:v>
      </x:c>
    </x:row>
    <x:row r="221">
      <x:c r="A221" s="119" t="str">
        <x:v>Video &amp; Screen Sharing</x:v>
      </x:c>
      <x:c r="B221" s="121" t="str">
        <x:v>Webcam Grid Limit</x:v>
      </x:c>
      <x:c r="C221" s="75" t="str">
        <x:v>25 participants in a server voice channel when video is active</x:v>
      </x:c>
      <x:c r="D221" s="75"/>
      <x:c r="E221" s="75"/>
      <x:c r="F221" s="75"/>
      <x:c r="G221" s="75"/>
      <x:c r="H221" s="75"/>
      <x:c r="I221" s="75"/>
      <x:c r="J221" s="75"/>
      <x:c r="K221" s="75"/>
      <x:c r="L221" s="75" t="str">
        <x:v>Not documented</x:v>
      </x:c>
      <x:c r="M221" s="75"/>
      <x:c r="N221" s="75" t="str">
        <x:v>25+ grid claimed</x:v>
      </x:c>
      <x:c r="O221" s="75" t="str">
        <x:v>Varies by client</x:v>
      </x:c>
      <x:c r="P221" s="75" t="str">
        <x:v>Up to plan/deployment limit</x:v>
      </x:c>
      <x:c r="Q221" s="75"/>
      <x:c r="R221" s="75" t="str">
        <x:v>N/A</x:v>
      </x:c>
      <x:c r="S221" s="75"/>
      <x:c r="T221" s="75"/>
      <x:c r="U221" s="75" t="str">
        <x:v>Not publicly claimed; camera is available in DM calls</x:v>
      </x:c>
      <x:c r="V221" s="75"/>
      <x:c r="W221" s="75" t="str">
        <x:v>Provider-dependent</x:v>
      </x:c>
      <x:c r="X221" s="75" t="str">
        <x:v>N/A</x:v>
      </x:c>
      <x:c r="Y221" s="75"/>
      <x:c r="Z221" s="75"/>
      <x:c r="AA221" s="75" t="str">
        <x:v>No stated camera-per-call limit</x:v>
      </x:c>
      <x:c r="AB221" s="75"/>
      <x:c r="AC221" s="78"/>
      <x:c r="AD221" s="75"/>
      <x:c r="AE221" s="75"/>
      <x:c r="AF221" s="75"/>
      <x:c r="AG221" s="75" t="str">
        <x:v>Provider-dependent</x:v>
      </x:c>
      <x:c r="AH221" s="122" t="n">
        <x:v>9</x:v>
      </x:c>
      <x:c r="AI221" s="123" t="str">
        <x:v>Canonical source for Video &amp; Screen Sharing!9</x:v>
      </x:c>
    </x:row>
    <x:row r="222">
      <x:c r="A222" s="119" t="str">
        <x:v>Video &amp; Screen Sharing</x:v>
      </x:c>
      <x:c r="B222" s="121" t="str">
        <x:v>Stage Presentation Mode</x:v>
      </x:c>
      <x:c r="C222" s="75" t="str">
        <x:v>Yes — Stage supports video/screen share; 1 shared screen at a time</x:v>
      </x:c>
      <x:c r="D222" s="75"/>
      <x:c r="E222" s="75"/>
      <x:c r="F222" s="75"/>
      <x:c r="G222" s="75"/>
      <x:c r="H222" s="75"/>
      <x:c r="I222" s="75"/>
      <x:c r="J222" s="75"/>
      <x:c r="K222" s="75"/>
      <x:c r="L222" s="75" t="str">
        <x:v>Yes — developer reports Stage channels; screen-share publication is separately permissioned</x:v>
      </x:c>
      <x:c r="M222" s="75"/>
      <x:c r="N222" s="75"/>
      <x:c r="O222" s="75" t="str">
        <x:v>Varies by client</x:v>
      </x:c>
      <x:c r="P222" s="75" t="str">
        <x:v>Presentation via Calls</x:v>
      </x:c>
      <x:c r="Q222" s="75"/>
      <x:c r="R222" s="75" t="str">
        <x:v>N/A</x:v>
      </x:c>
      <x:c r="S222" s="75"/>
      <x:c r="T222" s="75"/>
      <x:c r="U222" s="75" t="str">
        <x:v>No Stage</x:v>
      </x:c>
      <x:c r="V222" s="75" t="str">
        <x:v>No Stage</x:v>
      </x:c>
      <x:c r="W222" s="75" t="str">
        <x:v>Provider-dependent</x:v>
      </x:c>
      <x:c r="X222" s="75" t="str">
        <x:v>N/A</x:v>
      </x:c>
      <x:c r="Y222" s="75" t="str">
        <x:v>No dedicated Stage mode verified</x:v>
      </x:c>
      <x:c r="Z222" s="75"/>
      <x:c r="AA222" s="75"/>
      <x:c r="AB222" s="75"/>
      <x:c r="AC222" s="78"/>
      <x:c r="AD222" s="75"/>
      <x:c r="AE222" s="75" t="str">
        <x:v>Room stage supports media</x:v>
      </x:c>
      <x:c r="AF222" s="75"/>
      <x:c r="AG222" s="75" t="str">
        <x:v>Provider-dependent</x:v>
      </x:c>
      <x:c r="AH222" s="122" t="n">
        <x:v>10</x:v>
      </x:c>
      <x:c r="AI222" s="123" t="str">
        <x:v>Canonical source for Video &amp; Screen Sharing!10</x:v>
      </x:c>
    </x:row>
    <x:row r="223">
      <x:c r="A223" s="119" t="str">
        <x:v>Screen Share Detail</x:v>
      </x:c>
      <x:c r="B223" s="121" t="str">
        <x:v>Webcam Video Available?</x:v>
      </x:c>
      <x:c r="C223" s="75" t="str">
        <x:v>Yes</x:v>
      </x:c>
      <x:c r="D223" s="75" t="str">
        <x:v>Yes</x:v>
      </x:c>
      <x:c r="E223" s="75"/>
      <x:c r="F223" s="75" t="str">
        <x:v>Yes</x:v>
      </x:c>
      <x:c r="G223" s="75" t="str">
        <x:v>Yes</x:v>
      </x:c>
      <x:c r="H223" s="75"/>
      <x:c r="I223" s="75" t="str">
        <x:v>Yes</x:v>
      </x:c>
      <x:c r="J223" s="75"/>
      <x:c r="K223" s="75" t="str">
        <x:v>No</x:v>
      </x:c>
      <x:c r="L223" s="75"/>
      <x:c r="M223" s="75"/>
      <x:c r="N223" s="75" t="str">
        <x:v>Yes</x:v>
      </x:c>
      <x:c r="O223" s="75" t="str">
        <x:v>Client-dependent</x:v>
      </x:c>
      <x:c r="P223" s="75" t="str">
        <x:v>Yes</x:v>
      </x:c>
      <x:c r="Q223" s="75" t="str">
        <x:v>Yes</x:v>
      </x:c>
      <x:c r="R223" s="75" t="str">
        <x:v>No</x:v>
      </x:c>
      <x:c r="S223" s="75"/>
      <x:c r="T223" s="75" t="str">
        <x:v>Yes</x:v>
      </x:c>
      <x:c r="U223" s="75" t="str">
        <x:v>Yes — camera in DM calls</x:v>
      </x:c>
      <x:c r="V223" s="75" t="str">
        <x:v>Yes</x:v>
      </x:c>
      <x:c r="W223" s="75" t="str">
        <x:v>Provider-dependent</x:v>
      </x:c>
      <x:c r="X223" s="75" t="str">
        <x:v>N/A</x:v>
      </x:c>
      <x:c r="Y223" s="75" t="str">
        <x:v>Yes</x:v>
      </x:c>
      <x:c r="Z223" s="75"/>
      <x:c r="AA223" s="75" t="str">
        <x:v>Yes — voice channels, DMs and group DMs</x:v>
      </x:c>
      <x:c r="AB223" s="75"/>
      <x:c r="AC223" s="78"/>
      <x:c r="AD223" s="75"/>
      <x:c r="AE223" s="75" t="str">
        <x:v>Yes</x:v>
      </x:c>
      <x:c r="AF223" s="75" t="str">
        <x:v>No</x:v>
      </x:c>
      <x:c r="AG223" s="75" t="str">
        <x:v>Provider-dependent</x:v>
      </x:c>
      <x:c r="AH223" s="122" t="n">
        <x:v>4</x:v>
      </x:c>
      <x:c r="AI223" s="123" t="str">
        <x:v>Canonical source for Screen Share Detail!4</x:v>
      </x:c>
    </x:row>
    <x:row r="224">
      <x:c r="A224" s="119" t="str">
        <x:v>Screen Share Detail</x:v>
      </x:c>
      <x:c r="B224" s="121" t="str">
        <x:v>Screen Share Available?</x:v>
      </x:c>
      <x:c r="C224" s="75" t="str">
        <x:v>Yes</x:v>
      </x:c>
      <x:c r="D224" s="75" t="str">
        <x:v>Yes</x:v>
      </x:c>
      <x:c r="E224" s="75" t="str">
        <x:v>Yes</x:v>
      </x:c>
      <x:c r="F224" s="75" t="str">
        <x:v>Yes</x:v>
      </x:c>
      <x:c r="G224" s="75" t="str">
        <x:v>Yes</x:v>
      </x:c>
      <x:c r="H224" s="75" t="str">
        <x:v>Yes</x:v>
      </x:c>
      <x:c r="I224" s="75" t="str">
        <x:v>Yes</x:v>
      </x:c>
      <x:c r="J224" s="75" t="str">
        <x:v>In development</x:v>
      </x:c>
      <x:c r="K224" s="75" t="str">
        <x:v>Yes</x:v>
      </x:c>
      <x:c r="L224" s="75" t="str">
        <x:v>Yes</x:v>
      </x:c>
      <x:c r="M224" s="75" t="str">
        <x:v>Yes</x:v>
      </x:c>
      <x:c r="N224" s="75" t="str">
        <x:v>Yes</x:v>
      </x:c>
      <x:c r="O224" s="75" t="str">
        <x:v>Client-dependent</x:v>
      </x:c>
      <x:c r="P224" s="75" t="str">
        <x:v>Yes</x:v>
      </x:c>
      <x:c r="Q224" s="75" t="str">
        <x:v>Yes</x:v>
      </x:c>
      <x:c r="R224" s="75" t="str">
        <x:v>No</x:v>
      </x:c>
      <x:c r="S224" s="75"/>
      <x:c r="T224" s="75" t="str">
        <x:v>Yes</x:v>
      </x:c>
      <x:c r="U224" s="75" t="str">
        <x:v>Yes — browser screen share</x:v>
      </x:c>
      <x:c r="V224" s="75" t="str">
        <x:v>Yes</x:v>
      </x:c>
      <x:c r="W224" s="75" t="str">
        <x:v>Provider-dependent</x:v>
      </x:c>
      <x:c r="X224" s="75" t="str">
        <x:v>N/A</x:v>
      </x:c>
      <x:c r="Y224" s="75" t="str">
        <x:v>Yes</x:v>
      </x:c>
      <x:c r="Z224" s="75" t="str">
        <x:v>Yes with Pion implementation</x:v>
      </x:c>
      <x:c r="AA224" s="75" t="str">
        <x:v>Yes</x:v>
      </x:c>
      <x:c r="AB224" s="75" t="str">
        <x:v>Yes — TS6 beta / P2P</x:v>
      </x:c>
      <x:c r="AC224" s="78"/>
      <x:c r="AD224" s="75"/>
      <x:c r="AE224" s="75" t="str">
        <x:v>Yes</x:v>
      </x:c>
      <x:c r="AF224" s="75" t="str">
        <x:v>Yes</x:v>
      </x:c>
      <x:c r="AG224" s="75" t="str">
        <x:v>External provider</x:v>
      </x:c>
      <x:c r="AH224" s="122" t="n">
        <x:v>5</x:v>
      </x:c>
      <x:c r="AI224" s="123" t="str">
        <x:v>Canonical source for Screen Share Detail!5</x:v>
      </x:c>
    </x:row>
    <x:row r="225">
      <x:c r="A225" s="119" t="str">
        <x:v>Screen Share Detail</x:v>
      </x:c>
      <x:c r="B225" s="121" t="str">
        <x:v>Screen Share Available on Free Plan?</x:v>
      </x:c>
      <x:c r="C225" s="75" t="str">
        <x:v>Yes</x:v>
      </x:c>
      <x:c r="D225" s="75" t="str">
        <x:v>Yes</x:v>
      </x:c>
      <x:c r="E225" s="75" t="str">
        <x:v>Yes</x:v>
      </x:c>
      <x:c r="F225" s="75" t="str">
        <x:v>Yes</x:v>
      </x:c>
      <x:c r="G225" s="75" t="str">
        <x:v>Yes</x:v>
      </x:c>
      <x:c r="H225" s="75" t="str">
        <x:v>Yes</x:v>
      </x:c>
      <x:c r="I225" s="75" t="str">
        <x:v>Yes</x:v>
      </x:c>
      <x:c r="J225" s="75" t="str">
        <x:v>No</x:v>
      </x:c>
      <x:c r="K225" s="75" t="str">
        <x:v>Yes</x:v>
      </x:c>
      <x:c r="L225" s="75" t="str">
        <x:v>Yes</x:v>
      </x:c>
      <x:c r="M225" s="75" t="str">
        <x:v>Yes</x:v>
      </x:c>
      <x:c r="N225" s="75" t="str">
        <x:v>Yes</x:v>
      </x:c>
      <x:c r="O225" s="75" t="str">
        <x:v>Yes</x:v>
      </x:c>
      <x:c r="P225" s="75" t="str">
        <x:v>Yes</x:v>
      </x:c>
      <x:c r="Q225" s="75" t="str">
        <x:v>Yes</x:v>
      </x:c>
      <x:c r="R225" s="75" t="str">
        <x:v>No</x:v>
      </x:c>
      <x:c r="S225" s="75"/>
      <x:c r="T225" s="75"/>
      <x:c r="U225" s="75" t="str">
        <x:v>Yes</x:v>
      </x:c>
      <x:c r="V225" s="75" t="str">
        <x:v>Yes</x:v>
      </x:c>
      <x:c r="W225" s="75" t="str">
        <x:v>Yes</x:v>
      </x:c>
      <x:c r="X225" s="75" t="str">
        <x:v>No</x:v>
      </x:c>
      <x:c r="Y225" s="75" t="str">
        <x:v>Yes</x:v>
      </x:c>
      <x:c r="Z225" s="75" t="str">
        <x:v>Yes</x:v>
      </x:c>
      <x:c r="AA225" s="75" t="str">
        <x:v>Yes</x:v>
      </x:c>
      <x:c r="AB225" s="75" t="str">
        <x:v>Yes with TS6 client/self-host context; exact hosting limits vary</x:v>
      </x:c>
      <x:c r="AC225" s="78"/>
      <x:c r="AD225" s="75"/>
      <x:c r="AE225" s="75" t="str">
        <x:v>Yes</x:v>
      </x:c>
      <x:c r="AF225" s="75" t="str">
        <x:v>Yes</x:v>
      </x:c>
      <x:c r="AG225" s="75" t="str">
        <x:v>Yes</x:v>
      </x:c>
      <x:c r="AH225" s="122" t="n">
        <x:v>6</x:v>
      </x:c>
      <x:c r="AI225" s="123" t="str">
        <x:v>Canonical source for Screen Share Detail!6</x:v>
      </x:c>
    </x:row>
    <x:row r="226">
      <x:c r="A226" s="119" t="str">
        <x:v>Screen Share Detail</x:v>
      </x:c>
      <x:c r="B226" s="121" t="str">
        <x:v>480p Available?</x:v>
      </x:c>
      <x:c r="C226" s="75" t="str">
        <x:v>Yes</x:v>
      </x:c>
      <x:c r="D226" s="75"/>
      <x:c r="E226" s="75"/>
      <x:c r="F226" s="75"/>
      <x:c r="G226" s="75"/>
      <x:c r="H226" s="75" t="str">
        <x:v>Yes</x:v>
      </x:c>
      <x:c r="I226" s="75" t="str">
        <x:v>Yes</x:v>
      </x:c>
      <x:c r="J226" s="75"/>
      <x:c r="K226" s="75"/>
      <x:c r="L226" s="75" t="str">
        <x:v>Yes</x:v>
      </x:c>
      <x:c r="M226" s="75"/>
      <x:c r="N226" s="75"/>
      <x:c r="O226" s="75"/>
      <x:c r="P226" s="75"/>
      <x:c r="Q226" s="75"/>
      <x:c r="R226" s="75"/>
      <x:c r="S226" s="75"/>
      <x:c r="T226" s="75"/>
      <x:c r="U226" s="75"/>
      <x:c r="V226" s="75" t="str">
        <x:v>Yes</x:v>
      </x:c>
      <x:c r="W226" s="75"/>
      <x:c r="X226" s="75"/>
      <x:c r="Y226" s="75"/>
      <x:c r="Z226" s="75"/>
      <x:c r="AA226" s="75"/>
      <x:c r="AB226" s="75"/>
      <x:c r="AC226" s="78"/>
      <x:c r="AD226" s="75"/>
      <x:c r="AE226" s="75"/>
      <x:c r="AF226" s="75"/>
      <x:c r="AG226" s="75"/>
      <x:c r="AH226" s="122" t="n">
        <x:v>8</x:v>
      </x:c>
      <x:c r="AI226" s="123" t="str">
        <x:v>Canonical source for Screen Share Detail!8</x:v>
      </x:c>
    </x:row>
    <x:row r="227">
      <x:c r="A227" s="119" t="str">
        <x:v>Screen Share Detail</x:v>
      </x:c>
      <x:c r="B227" s="121" t="str">
        <x:v>480p Access (Free / Paid / Configurable)</x:v>
      </x:c>
      <x:c r="C227" s="75" t="str">
        <x:v>Free</x:v>
      </x:c>
      <x:c r="D227" s="75"/>
      <x:c r="E227" s="75"/>
      <x:c r="F227" s="75"/>
      <x:c r="G227" s="75"/>
      <x:c r="H227" s="75" t="str">
        <x:v>Free/configurable</x:v>
      </x:c>
      <x:c r="I227" s="75" t="str">
        <x:v>Free/configurable</x:v>
      </x:c>
      <x:c r="J227" s="75"/>
      <x:c r="K227" s="75"/>
      <x:c r="L227" s="75" t="str">
        <x:v>Free/current</x:v>
      </x:c>
      <x:c r="M227" s="75"/>
      <x:c r="N227" s="75"/>
      <x:c r="O227" s="75"/>
      <x:c r="P227" s="75"/>
      <x:c r="Q227" s="75" t="str">
        <x:v>Free</x:v>
      </x:c>
      <x:c r="R227" s="75"/>
      <x:c r="S227" s="75"/>
      <x:c r="T227" s="75"/>
      <x:c r="U227" s="75"/>
      <x:c r="V227" s="75" t="str">
        <x:v>Free/configurable</x:v>
      </x:c>
      <x:c r="W227" s="75"/>
      <x:c r="X227" s="75"/>
      <x:c r="Y227" s="75"/>
      <x:c r="Z227" s="75"/>
      <x:c r="AA227" s="75"/>
      <x:c r="AB227" s="75"/>
      <x:c r="AC227" s="78"/>
      <x:c r="AD227" s="75"/>
      <x:c r="AE227" s="75"/>
      <x:c r="AF227" s="75"/>
      <x:c r="AG227" s="75"/>
      <x:c r="AH227" s="122" t="n">
        <x:v>9</x:v>
      </x:c>
      <x:c r="AI227" s="123" t="str">
        <x:v>Canonical source for Screen Share Detail!9</x:v>
      </x:c>
    </x:row>
    <x:row r="228">
      <x:c r="A228" s="119" t="str">
        <x:v>Screen Share Detail</x:v>
      </x:c>
      <x:c r="B228" s="121" t="str">
        <x:v>720p Available?</x:v>
      </x:c>
      <x:c r="C228" s="75" t="str">
        <x:v>Yes</x:v>
      </x:c>
      <x:c r="D228" s="75"/>
      <x:c r="E228" s="75"/>
      <x:c r="F228" s="75"/>
      <x:c r="G228" s="75"/>
      <x:c r="H228" s="75" t="str">
        <x:v>Yes</x:v>
      </x:c>
      <x:c r="I228" s="75" t="str">
        <x:v>Yes</x:v>
      </x:c>
      <x:c r="J228" s="75"/>
      <x:c r="K228" s="75"/>
      <x:c r="L228" s="75" t="str">
        <x:v>Yes</x:v>
      </x:c>
      <x:c r="M228" s="75"/>
      <x:c r="N228" s="75"/>
      <x:c r="O228" s="75"/>
      <x:c r="P228" s="75"/>
      <x:c r="Q228" s="75"/>
      <x:c r="R228" s="75"/>
      <x:c r="S228" s="75"/>
      <x:c r="T228" s="75"/>
      <x:c r="U228" s="75" t="str">
        <x:v>Yes</x:v>
      </x:c>
      <x:c r="V228" s="75" t="str">
        <x:v>Yes</x:v>
      </x:c>
      <x:c r="W228" s="75"/>
      <x:c r="X228" s="75"/>
      <x:c r="Y228" s="75" t="str">
        <x:v>Yes</x:v>
      </x:c>
      <x:c r="Z228" s="75"/>
      <x:c r="AA228" s="75" t="str">
        <x:v>Yes</x:v>
      </x:c>
      <x:c r="AB228" s="75" t="str">
        <x:v>Yes</x:v>
      </x:c>
      <x:c r="AC228" s="78"/>
      <x:c r="AD228" s="75"/>
      <x:c r="AE228" s="75"/>
      <x:c r="AF228" s="75"/>
      <x:c r="AG228" s="75"/>
      <x:c r="AH228" s="122" t="n">
        <x:v>10</x:v>
      </x:c>
      <x:c r="AI228" s="123" t="str">
        <x:v>Canonical source for Screen Share Detail!10</x:v>
      </x:c>
    </x:row>
    <x:row r="229">
      <x:c r="A229" s="119" t="str">
        <x:v>Screen Share Detail</x:v>
      </x:c>
      <x:c r="B229" s="121" t="str">
        <x:v>720p Access (Free / Paid / Configurable)</x:v>
      </x:c>
      <x:c r="C229" s="75" t="str">
        <x:v>Free</x:v>
      </x:c>
      <x:c r="D229" s="75"/>
      <x:c r="E229" s="75"/>
      <x:c r="F229" s="75"/>
      <x:c r="G229" s="75"/>
      <x:c r="H229" s="75" t="str">
        <x:v>Free</x:v>
      </x:c>
      <x:c r="I229" s="75" t="str">
        <x:v>Free</x:v>
      </x:c>
      <x:c r="J229" s="75"/>
      <x:c r="K229" s="75"/>
      <x:c r="L229" s="75" t="str">
        <x:v>Free/current</x:v>
      </x:c>
      <x:c r="M229" s="75"/>
      <x:c r="N229" s="75"/>
      <x:c r="O229" s="75"/>
      <x:c r="P229" s="75"/>
      <x:c r="Q229" s="75" t="str">
        <x:v>Free</x:v>
      </x:c>
      <x:c r="R229" s="75"/>
      <x:c r="S229" s="75"/>
      <x:c r="T229" s="75"/>
      <x:c r="U229" s="75" t="str">
        <x:v>Free</x:v>
      </x:c>
      <x:c r="V229" s="75" t="str">
        <x:v>Free</x:v>
      </x:c>
      <x:c r="W229" s="75"/>
      <x:c r="X229" s="75"/>
      <x:c r="Y229" s="75" t="str">
        <x:v>Free + Sudo selectable</x:v>
      </x:c>
      <x:c r="Z229" s="75"/>
      <x:c r="AA229" s="75" t="str">
        <x:v>Free / current default</x:v>
      </x:c>
      <x:c r="AB229" s="75" t="str">
        <x:v>Configurable/P2P</x:v>
      </x:c>
      <x:c r="AC229" s="78"/>
      <x:c r="AD229" s="75"/>
      <x:c r="AE229" s="75" t="str">
        <x:v>Free</x:v>
      </x:c>
      <x:c r="AF229" s="75"/>
      <x:c r="AG229" s="75"/>
      <x:c r="AH229" s="122" t="n">
        <x:v>11</x:v>
      </x:c>
      <x:c r="AI229" s="123" t="str">
        <x:v>Canonical source for Screen Share Detail!11</x:v>
      </x:c>
    </x:row>
    <x:row r="230">
      <x:c r="A230" s="119" t="str">
        <x:v>Screen Share Detail</x:v>
      </x:c>
      <x:c r="B230" s="121" t="str">
        <x:v>720p Max FPS</x:v>
      </x:c>
      <x:c r="C230" s="75" t="str">
        <x:v>30</x:v>
      </x:c>
      <x:c r="D230" s="75"/>
      <x:c r="E230" s="75"/>
      <x:c r="F230" s="75"/>
      <x:c r="G230" s="75"/>
      <x:c r="H230" s="75" t="str">
        <x:v>30</x:v>
      </x:c>
      <x:c r="I230" s="75" t="str">
        <x:v>30</x:v>
      </x:c>
      <x:c r="J230" s="75"/>
      <x:c r="K230" s="75"/>
      <x:c r="L230" s="75" t="str">
        <x:v>30</x:v>
      </x:c>
      <x:c r="M230" s="75"/>
      <x:c r="N230" s="75"/>
      <x:c r="O230" s="75"/>
      <x:c r="P230" s="75"/>
      <x:c r="Q230" s="75"/>
      <x:c r="R230" s="75"/>
      <x:c r="S230" s="75"/>
      <x:c r="T230" s="75"/>
      <x:c r="U230" s="75"/>
      <x:c r="V230" s="75" t="str">
        <x:v>60</x:v>
      </x:c>
      <x:c r="W230" s="75"/>
      <x:c r="X230" s="75"/>
      <x:c r="Y230" s="75"/>
      <x:c r="Z230" s="75"/>
      <x:c r="AA230" s="75" t="n">
        <x:v>30</x:v>
      </x:c>
      <x:c r="AB230" s="75"/>
      <x:c r="AC230" s="78"/>
      <x:c r="AD230" s="75"/>
      <x:c r="AE230" s="75"/>
      <x:c r="AF230" s="75"/>
      <x:c r="AG230" s="75"/>
      <x:c r="AH230" s="122" t="n">
        <x:v>12</x:v>
      </x:c>
      <x:c r="AI230" s="123" t="str">
        <x:v>Canonical source for Screen Share Detail!12</x:v>
      </x:c>
    </x:row>
    <x:row r="231">
      <x:c r="A231" s="119" t="str">
        <x:v>Screen Share Detail</x:v>
      </x:c>
      <x:c r="B231" s="121" t="str">
        <x:v>1080p Available?</x:v>
      </x:c>
      <x:c r="C231" s="75" t="str">
        <x:v>Yes</x:v>
      </x:c>
      <x:c r="D231" s="75"/>
      <x:c r="E231" s="75"/>
      <x:c r="F231" s="75"/>
      <x:c r="G231" s="75"/>
      <x:c r="H231" s="75" t="str">
        <x:v>Yes</x:v>
      </x:c>
      <x:c r="I231" s="75" t="str">
        <x:v>Yes</x:v>
      </x:c>
      <x:c r="J231" s="75"/>
      <x:c r="K231" s="75"/>
      <x:c r="L231" s="75" t="str">
        <x:v>Yes</x:v>
      </x:c>
      <x:c r="M231" s="75"/>
      <x:c r="N231" s="75"/>
      <x:c r="O231" s="75"/>
      <x:c r="P231" s="75"/>
      <x:c r="Q231" s="75"/>
      <x:c r="R231" s="75"/>
      <x:c r="S231" s="75"/>
      <x:c r="T231" s="75"/>
      <x:c r="U231" s="75" t="str">
        <x:v>Yes</x:v>
      </x:c>
      <x:c r="V231" s="75" t="str">
        <x:v>Yes</x:v>
      </x:c>
      <x:c r="W231" s="75"/>
      <x:c r="X231" s="75"/>
      <x:c r="Y231" s="75" t="str">
        <x:v>Yes</x:v>
      </x:c>
      <x:c r="Z231" s="75"/>
      <x:c r="AA231" s="75"/>
      <x:c r="AB231" s="75" t="str">
        <x:v>Yes</x:v>
      </x:c>
      <x:c r="AC231" s="78"/>
      <x:c r="AD231" s="75"/>
      <x:c r="AE231" s="75"/>
      <x:c r="AF231" s="75"/>
      <x:c r="AG231" s="75"/>
      <x:c r="AH231" s="122" t="n">
        <x:v>13</x:v>
      </x:c>
      <x:c r="AI231" s="123" t="str">
        <x:v>Canonical source for Screen Share Detail!13</x:v>
      </x:c>
    </x:row>
    <x:row r="232">
      <x:c r="A232" s="119" t="str">
        <x:v>Screen Share Detail</x:v>
      </x:c>
      <x:c r="B232" s="121" t="str">
        <x:v>1080p Access (Free / Paid / Configurable)</x:v>
      </x:c>
      <x:c r="C232" s="75" t="str">
        <x:v>Paid — Nitro</x:v>
      </x:c>
      <x:c r="D232" s="75"/>
      <x:c r="E232" s="75"/>
      <x:c r="F232" s="75"/>
      <x:c r="G232" s="75"/>
      <x:c r="H232" s="75" t="str">
        <x:v>Paid — Plutonium</x:v>
      </x:c>
      <x:c r="I232" s="75" t="str">
        <x:v>Free 30 FPS; Gold+ 60 FPS</x:v>
      </x:c>
      <x:c r="J232" s="75"/>
      <x:c r="K232" s="75"/>
      <x:c r="L232" s="75" t="str">
        <x:v>Free/current</x:v>
      </x:c>
      <x:c r="M232" s="75"/>
      <x:c r="N232" s="75"/>
      <x:c r="O232" s="75"/>
      <x:c r="P232" s="75"/>
      <x:c r="Q232" s="75" t="str">
        <x:v>Free</x:v>
      </x:c>
      <x:c r="R232" s="75"/>
      <x:c r="S232" s="75"/>
      <x:c r="T232" s="75"/>
      <x:c r="U232" s="75" t="str">
        <x:v>Free</x:v>
      </x:c>
      <x:c r="V232" s="75" t="str">
        <x:v>Free</x:v>
      </x:c>
      <x:c r="W232" s="75"/>
      <x:c r="X232" s="75"/>
      <x:c r="Y232" s="75" t="str">
        <x:v>Paid — Sudo</x:v>
      </x:c>
      <x:c r="Z232" s="75"/>
      <x:c r="AA232" s="75"/>
      <x:c r="AB232" s="75" t="str">
        <x:v>Configurable/P2P</x:v>
      </x:c>
      <x:c r="AC232" s="78"/>
      <x:c r="AD232" s="75"/>
      <x:c r="AE232" s="75" t="str">
        <x:v>Free if supported</x:v>
      </x:c>
      <x:c r="AF232" s="75"/>
      <x:c r="AG232" s="75"/>
      <x:c r="AH232" s="122" t="n">
        <x:v>14</x:v>
      </x:c>
      <x:c r="AI232" s="123" t="str">
        <x:v>Canonical source for Screen Share Detail!14</x:v>
      </x:c>
    </x:row>
    <x:row r="233">
      <x:c r="A233" s="119" t="str">
        <x:v>Screen Share Detail</x:v>
      </x:c>
      <x:c r="B233" s="121" t="str">
        <x:v>1080p Max FPS</x:v>
      </x:c>
      <x:c r="C233" s="75" t="str">
        <x:v>60</x:v>
      </x:c>
      <x:c r="D233" s="75"/>
      <x:c r="E233" s="75"/>
      <x:c r="F233" s="75"/>
      <x:c r="G233" s="75"/>
      <x:c r="H233" s="75" t="str">
        <x:v>60</x:v>
      </x:c>
      <x:c r="I233" s="75" t="str">
        <x:v>60</x:v>
      </x:c>
      <x:c r="J233" s="75"/>
      <x:c r="K233" s="75"/>
      <x:c r="L233" s="75" t="str">
        <x:v>30</x:v>
      </x:c>
      <x:c r="M233" s="75"/>
      <x:c r="N233" s="75"/>
      <x:c r="O233" s="75"/>
      <x:c r="P233" s="75"/>
      <x:c r="Q233" s="75"/>
      <x:c r="R233" s="75"/>
      <x:c r="S233" s="75"/>
      <x:c r="T233" s="75"/>
      <x:c r="U233" s="75" t="str">
        <x:v>Not publicly claimed</x:v>
      </x:c>
      <x:c r="V233" s="75" t="str">
        <x:v>60</x:v>
      </x:c>
      <x:c r="W233" s="75"/>
      <x:c r="X233" s="75"/>
      <x:c r="Y233" s="75" t="str">
        <x:v>60</x:v>
      </x:c>
      <x:c r="Z233" s="75"/>
      <x:c r="AA233" s="75"/>
      <x:c r="AB233" s="75" t="str">
        <x:v>60 observed/configurable</x:v>
      </x:c>
      <x:c r="AC233" s="78"/>
      <x:c r="AD233" s="75"/>
      <x:c r="AE233" s="75"/>
      <x:c r="AF233" s="75"/>
      <x:c r="AG233" s="75"/>
      <x:c r="AH233" s="122" t="n">
        <x:v>15</x:v>
      </x:c>
      <x:c r="AI233" s="123" t="str">
        <x:v>Canonical source for Screen Share Detail!15</x:v>
      </x:c>
    </x:row>
    <x:row r="234">
      <x:c r="A234" s="119" t="str">
        <x:v>Screen Share Detail</x:v>
      </x:c>
      <x:c r="B234" s="121" t="str">
        <x:v>1440p Available?</x:v>
      </x:c>
      <x:c r="C234" s="75"/>
      <x:c r="D234" s="75"/>
      <x:c r="E234" s="75"/>
      <x:c r="F234" s="75"/>
      <x:c r="G234" s="75"/>
      <x:c r="H234" s="75" t="str">
        <x:v>Yes (within paid max)</x:v>
      </x:c>
      <x:c r="I234" s="75" t="str">
        <x:v>Yes</x:v>
      </x:c>
      <x:c r="J234" s="75"/>
      <x:c r="K234" s="75"/>
      <x:c r="L234" s="75" t="str">
        <x:v>Yes</x:v>
      </x:c>
      <x:c r="M234" s="75"/>
      <x:c r="N234" s="75"/>
      <x:c r="O234" s="75"/>
      <x:c r="P234" s="75"/>
      <x:c r="Q234" s="75"/>
      <x:c r="R234" s="75"/>
      <x:c r="S234" s="75"/>
      <x:c r="T234" s="75"/>
      <x:c r="U234" s="75" t="str">
        <x:v>No — current published hosted range tops out at 1080p</x:v>
      </x:c>
      <x:c r="V234" s="75" t="str">
        <x:v>Yes</x:v>
      </x:c>
      <x:c r="W234" s="75"/>
      <x:c r="X234" s="75"/>
      <x:c r="Y234" s="75" t="str">
        <x:v>Yes</x:v>
      </x:c>
      <x:c r="Z234" s="75"/>
      <x:c r="AA234" s="75"/>
      <x:c r="AB234" s="75"/>
      <x:c r="AC234" s="78"/>
      <x:c r="AD234" s="75"/>
      <x:c r="AE234" s="75"/>
      <x:c r="AF234" s="75"/>
      <x:c r="AG234" s="75"/>
      <x:c r="AH234" s="122" t="n">
        <x:v>16</x:v>
      </x:c>
      <x:c r="AI234" s="123" t="str">
        <x:v>Canonical source for Screen Share Detail!16</x:v>
      </x:c>
    </x:row>
    <x:row r="235">
      <x:c r="A235" s="119" t="str">
        <x:v>Screen Share Detail</x:v>
      </x:c>
      <x:c r="B235" s="121" t="str">
        <x:v>1440p Access (Free / Paid / Configurable)</x:v>
      </x:c>
      <x:c r="C235" s="75"/>
      <x:c r="D235" s="75"/>
      <x:c r="E235" s="75"/>
      <x:c r="F235" s="75"/>
      <x:c r="G235" s="75"/>
      <x:c r="H235" s="75" t="str">
        <x:v>Paid — Plutonium</x:v>
      </x:c>
      <x:c r="I235" s="75" t="str">
        <x:v>Paid — Diamond</x:v>
      </x:c>
      <x:c r="J235" s="75"/>
      <x:c r="K235" s="75"/>
      <x:c r="L235" s="75" t="str">
        <x:v>Free/current</x:v>
      </x:c>
      <x:c r="M235" s="75"/>
      <x:c r="N235" s="75"/>
      <x:c r="O235" s="75"/>
      <x:c r="P235" s="75"/>
      <x:c r="Q235" s="75" t="str">
        <x:v>Free if supported; no paywall</x:v>
      </x:c>
      <x:c r="R235" s="75"/>
      <x:c r="S235" s="75"/>
      <x:c r="T235" s="75"/>
      <x:c r="U235" s="75" t="str">
        <x:v>No</x:v>
      </x:c>
      <x:c r="V235" s="75" t="str">
        <x:v>Paid — Rift+ or Shard Ember</x:v>
      </x:c>
      <x:c r="W235" s="75"/>
      <x:c r="X235" s="75"/>
      <x:c r="Y235" s="75" t="str">
        <x:v>Paid — Sudo</x:v>
      </x:c>
      <x:c r="Z235" s="75"/>
      <x:c r="AA235" s="75"/>
      <x:c r="AB235" s="75"/>
      <x:c r="AC235" s="78"/>
      <x:c r="AD235" s="75"/>
      <x:c r="AE235" s="75" t="str">
        <x:v>Free if supported</x:v>
      </x:c>
      <x:c r="AF235" s="75"/>
      <x:c r="AG235" s="75"/>
      <x:c r="AH235" s="122" t="n">
        <x:v>17</x:v>
      </x:c>
      <x:c r="AI235" s="123" t="str">
        <x:v>Canonical source for Screen Share Detail!17</x:v>
      </x:c>
    </x:row>
    <x:row r="236">
      <x:c r="A236" s="119" t="str">
        <x:v>Screen Share Detail</x:v>
      </x:c>
      <x:c r="B236" s="121" t="str">
        <x:v>1440p Max FPS</x:v>
      </x:c>
      <x:c r="C236" s="75"/>
      <x:c r="D236" s="75"/>
      <x:c r="E236" s="75"/>
      <x:c r="F236" s="75"/>
      <x:c r="G236" s="75"/>
      <x:c r="H236" s="75" t="str">
        <x:v>60</x:v>
      </x:c>
      <x:c r="I236" s="75" t="str">
        <x:v>60</x:v>
      </x:c>
      <x:c r="J236" s="75"/>
      <x:c r="K236" s="75"/>
      <x:c r="L236" s="75" t="str">
        <x:v>30</x:v>
      </x:c>
      <x:c r="M236" s="75"/>
      <x:c r="N236" s="75"/>
      <x:c r="O236" s="75"/>
      <x:c r="P236" s="75"/>
      <x:c r="Q236" s="75"/>
      <x:c r="R236" s="75"/>
      <x:c r="S236" s="75"/>
      <x:c r="T236" s="75"/>
      <x:c r="U236" s="75" t="str">
        <x:v>N/A</x:v>
      </x:c>
      <x:c r="V236" s="75" t="str">
        <x:v>60</x:v>
      </x:c>
      <x:c r="W236" s="75"/>
      <x:c r="X236" s="75"/>
      <x:c r="Y236" s="75" t="str">
        <x:v>60</x:v>
      </x:c>
      <x:c r="Z236" s="75"/>
      <x:c r="AA236" s="75"/>
      <x:c r="AB236" s="75"/>
      <x:c r="AC236" s="78"/>
      <x:c r="AD236" s="75"/>
      <x:c r="AE236" s="75"/>
      <x:c r="AF236" s="75"/>
      <x:c r="AG236" s="75"/>
      <x:c r="AH236" s="122" t="n">
        <x:v>18</x:v>
      </x:c>
      <x:c r="AI236" s="123" t="str">
        <x:v>Canonical source for Screen Share Detail!18</x:v>
      </x:c>
    </x:row>
    <x:row r="237">
      <x:c r="A237" s="119" t="str">
        <x:v>Screen Share Detail</x:v>
      </x:c>
      <x:c r="B237" s="121" t="str">
        <x:v>4K Available?</x:v>
      </x:c>
      <x:c r="C237" s="75" t="str">
        <x:v>Yes</x:v>
      </x:c>
      <x:c r="D237" s="75"/>
      <x:c r="E237" s="75"/>
      <x:c r="F237" s="75"/>
      <x:c r="G237" s="75"/>
      <x:c r="H237" s="75" t="str">
        <x:v>Yes</x:v>
      </x:c>
      <x:c r="I237" s="75" t="str">
        <x:v>Yes</x:v>
      </x:c>
      <x:c r="J237" s="75"/>
      <x:c r="K237" s="75"/>
      <x:c r="L237" s="75" t="str">
        <x:v>Yes</x:v>
      </x:c>
      <x:c r="M237" s="75"/>
      <x:c r="N237" s="75"/>
      <x:c r="O237" s="75"/>
      <x:c r="P237" s="75"/>
      <x:c r="Q237" s="75"/>
      <x:c r="R237" s="75"/>
      <x:c r="S237" s="75"/>
      <x:c r="T237" s="75"/>
      <x:c r="U237" s="75" t="str">
        <x:v>No — current published hosted range tops out at 1080p</x:v>
      </x:c>
      <x:c r="V237" s="75" t="str">
        <x:v>No documented</x:v>
      </x:c>
      <x:c r="W237" s="75"/>
      <x:c r="X237" s="75"/>
      <x:c r="Y237" s="75" t="str">
        <x:v>No documented</x:v>
      </x:c>
      <x:c r="Z237" s="75"/>
      <x:c r="AA237" s="75"/>
      <x:c r="AB237" s="75"/>
      <x:c r="AC237" s="78"/>
      <x:c r="AD237" s="75"/>
      <x:c r="AE237" s="75"/>
      <x:c r="AF237" s="75"/>
      <x:c r="AG237" s="75"/>
      <x:c r="AH237" s="122" t="n">
        <x:v>19</x:v>
      </x:c>
      <x:c r="AI237" s="123" t="str">
        <x:v>Canonical source for Screen Share Detail!19</x:v>
      </x:c>
    </x:row>
    <x:row r="238">
      <x:c r="A238" s="119" t="str">
        <x:v>Screen Share Detail</x:v>
      </x:c>
      <x:c r="B238" s="121" t="str">
        <x:v>4K Access (Free / Paid / Configurable)</x:v>
      </x:c>
      <x:c r="C238" s="75" t="str">
        <x:v>Paid — Nitro</x:v>
      </x:c>
      <x:c r="D238" s="75"/>
      <x:c r="E238" s="75"/>
      <x:c r="F238" s="75"/>
      <x:c r="G238" s="75"/>
      <x:c r="H238" s="75" t="str">
        <x:v>Paid — Plutonium</x:v>
      </x:c>
      <x:c r="I238" s="75" t="str">
        <x:v>Paid — Diamond</x:v>
      </x:c>
      <x:c r="J238" s="75"/>
      <x:c r="K238" s="75"/>
      <x:c r="L238" s="75" t="str">
        <x:v>Free/current</x:v>
      </x:c>
      <x:c r="M238" s="75"/>
      <x:c r="N238" s="75"/>
      <x:c r="O238" s="75"/>
      <x:c r="P238" s="75"/>
      <x:c r="Q238" s="75" t="str">
        <x:v>Free if supported; no paywall</x:v>
      </x:c>
      <x:c r="R238" s="75"/>
      <x:c r="S238" s="75"/>
      <x:c r="T238" s="75"/>
      <x:c r="U238" s="75" t="str">
        <x:v>No</x:v>
      </x:c>
      <x:c r="V238" s="75" t="str">
        <x:v>N/A</x:v>
      </x:c>
      <x:c r="W238" s="75"/>
      <x:c r="X238" s="75"/>
      <x:c r="Y238" s="75" t="str">
        <x:v>N/A</x:v>
      </x:c>
      <x:c r="Z238" s="75"/>
      <x:c r="AA238" s="75"/>
      <x:c r="AB238" s="75"/>
      <x:c r="AC238" s="78"/>
      <x:c r="AD238" s="75"/>
      <x:c r="AE238" s="75" t="str">
        <x:v>Free if supported</x:v>
      </x:c>
      <x:c r="AF238" s="75"/>
      <x:c r="AG238" s="75"/>
      <x:c r="AH238" s="122" t="n">
        <x:v>20</x:v>
      </x:c>
      <x:c r="AI238" s="123" t="str">
        <x:v>Canonical source for Screen Share Detail!20</x:v>
      </x:c>
    </x:row>
    <x:row r="239">
      <x:c r="A239" s="119" t="str">
        <x:v>Screen Share Detail</x:v>
      </x:c>
      <x:c r="B239" s="121" t="str">
        <x:v>4K Max FPS</x:v>
      </x:c>
      <x:c r="C239" s="75" t="str">
        <x:v>60</x:v>
      </x:c>
      <x:c r="D239" s="75"/>
      <x:c r="E239" s="75"/>
      <x:c r="F239" s="75"/>
      <x:c r="G239" s="75"/>
      <x:c r="H239" s="75" t="str">
        <x:v>60</x:v>
      </x:c>
      <x:c r="I239" s="75" t="str">
        <x:v>60</x:v>
      </x:c>
      <x:c r="J239" s="75"/>
      <x:c r="K239" s="75"/>
      <x:c r="L239" s="75" t="str">
        <x:v>30</x:v>
      </x:c>
      <x:c r="M239" s="75"/>
      <x:c r="N239" s="75"/>
      <x:c r="O239" s="75"/>
      <x:c r="P239" s="75"/>
      <x:c r="Q239" s="75"/>
      <x:c r="R239" s="75"/>
      <x:c r="S239" s="75"/>
      <x:c r="T239" s="75"/>
      <x:c r="U239" s="75" t="str">
        <x:v>N/A</x:v>
      </x:c>
      <x:c r="V239" s="75" t="str">
        <x:v>N/A</x:v>
      </x:c>
      <x:c r="W239" s="75"/>
      <x:c r="X239" s="75"/>
      <x:c r="Y239" s="75" t="str">
        <x:v>N/A</x:v>
      </x:c>
      <x:c r="Z239" s="75"/>
      <x:c r="AA239" s="75"/>
      <x:c r="AB239" s="75"/>
      <x:c r="AC239" s="78"/>
      <x:c r="AD239" s="75"/>
      <x:c r="AE239" s="75"/>
      <x:c r="AF239" s="75"/>
      <x:c r="AG239" s="75"/>
      <x:c r="AH239" s="122" t="n">
        <x:v>21</x:v>
      </x:c>
      <x:c r="AI239" s="123" t="str">
        <x:v>Canonical source for Screen Share Detail!21</x:v>
      </x:c>
    </x:row>
    <x:row r="240">
      <x:c r="A240" s="119" t="str">
        <x:v>Screen Share Detail</x:v>
      </x:c>
      <x:c r="B240" s="121" t="str">
        <x:v>30 FPS Available?</x:v>
      </x:c>
      <x:c r="C240" s="75" t="str">
        <x:v>Yes</x:v>
      </x:c>
      <x:c r="D240" s="75"/>
      <x:c r="E240" s="75"/>
      <x:c r="F240" s="75"/>
      <x:c r="G240" s="75"/>
      <x:c r="H240" s="75" t="str">
        <x:v>Yes</x:v>
      </x:c>
      <x:c r="I240" s="75" t="str">
        <x:v>Yes</x:v>
      </x:c>
      <x:c r="J240" s="75"/>
      <x:c r="K240" s="75"/>
      <x:c r="L240" s="75" t="str">
        <x:v>Yes</x:v>
      </x:c>
      <x:c r="M240" s="75"/>
      <x:c r="N240" s="75"/>
      <x:c r="O240" s="75"/>
      <x:c r="P240" s="75"/>
      <x:c r="Q240" s="75"/>
      <x:c r="R240" s="75"/>
      <x:c r="S240" s="75"/>
      <x:c r="T240" s="75"/>
      <x:c r="U240" s="75" t="str">
        <x:v>Not publicly claimed</x:v>
      </x:c>
      <x:c r="V240" s="75" t="str">
        <x:v>Yes</x:v>
      </x:c>
      <x:c r="W240" s="75"/>
      <x:c r="X240" s="75"/>
      <x:c r="Y240" s="75" t="str">
        <x:v>Yes</x:v>
      </x:c>
      <x:c r="Z240" s="75"/>
      <x:c r="AA240" s="75" t="str">
        <x:v>Yes</x:v>
      </x:c>
      <x:c r="AB240" s="75"/>
      <x:c r="AC240" s="78"/>
      <x:c r="AD240" s="75"/>
      <x:c r="AE240" s="75"/>
      <x:c r="AF240" s="75"/>
      <x:c r="AG240" s="75"/>
      <x:c r="AH240" s="122" t="n">
        <x:v>23</x:v>
      </x:c>
      <x:c r="AI240" s="123" t="str">
        <x:v>Canonical source for Screen Share Detail!23</x:v>
      </x:c>
    </x:row>
    <x:row r="241">
      <x:c r="A241" s="119" t="str">
        <x:v>Screen Share Detail</x:v>
      </x:c>
      <x:c r="B241" s="121" t="str">
        <x:v>30 FPS Access</x:v>
      </x:c>
      <x:c r="C241" s="75" t="str">
        <x:v>Free</x:v>
      </x:c>
      <x:c r="D241" s="75"/>
      <x:c r="E241" s="75"/>
      <x:c r="F241" s="75"/>
      <x:c r="G241" s="75"/>
      <x:c r="H241" s="75" t="str">
        <x:v>Free</x:v>
      </x:c>
      <x:c r="I241" s="75" t="str">
        <x:v>Free</x:v>
      </x:c>
      <x:c r="J241" s="75"/>
      <x:c r="K241" s="75"/>
      <x:c r="L241" s="75" t="str">
        <x:v>Free/current</x:v>
      </x:c>
      <x:c r="M241" s="75"/>
      <x:c r="N241" s="75"/>
      <x:c r="O241" s="75"/>
      <x:c r="P241" s="75"/>
      <x:c r="Q241" s="75" t="str">
        <x:v>Free if supported</x:v>
      </x:c>
      <x:c r="R241" s="75"/>
      <x:c r="S241" s="75"/>
      <x:c r="T241" s="75"/>
      <x:c r="U241" s="75"/>
      <x:c r="V241" s="75" t="str">
        <x:v>Free</x:v>
      </x:c>
      <x:c r="W241" s="75"/>
      <x:c r="X241" s="75"/>
      <x:c r="Y241" s="75" t="str">
        <x:v>Free / paid selectable</x:v>
      </x:c>
      <x:c r="Z241" s="75"/>
      <x:c r="AA241" s="75" t="str">
        <x:v>Free / current default</x:v>
      </x:c>
      <x:c r="AB241" s="75" t="str">
        <x:v>Configurable</x:v>
      </x:c>
      <x:c r="AC241" s="78"/>
      <x:c r="AD241" s="75"/>
      <x:c r="AE241" s="75" t="str">
        <x:v>Free if supported</x:v>
      </x:c>
      <x:c r="AF241" s="75"/>
      <x:c r="AG241" s="75"/>
      <x:c r="AH241" s="122" t="n">
        <x:v>24</x:v>
      </x:c>
      <x:c r="AI241" s="123" t="str">
        <x:v>Canonical source for Screen Share Detail!24</x:v>
      </x:c>
    </x:row>
    <x:row r="242">
      <x:c r="A242" s="119" t="str">
        <x:v>Screen Share Detail</x:v>
      </x:c>
      <x:c r="B242" s="121" t="str">
        <x:v>60 FPS Available?</x:v>
      </x:c>
      <x:c r="C242" s="75" t="str">
        <x:v>Yes</x:v>
      </x:c>
      <x:c r="D242" s="75"/>
      <x:c r="E242" s="75" t="str">
        <x:v>Yes</x:v>
      </x:c>
      <x:c r="F242" s="75"/>
      <x:c r="G242" s="75"/>
      <x:c r="H242" s="75" t="str">
        <x:v>Yes</x:v>
      </x:c>
      <x:c r="I242" s="75" t="str">
        <x:v>Yes</x:v>
      </x:c>
      <x:c r="J242" s="75"/>
      <x:c r="K242" s="75"/>
      <x:c r="L242" s="75" t="str">
        <x:v>No in the current documented quality presets; developer questionnaire reported 4K60</x:v>
      </x:c>
      <x:c r="M242" s="75"/>
      <x:c r="N242" s="75"/>
      <x:c r="O242" s="75"/>
      <x:c r="P242" s="75"/>
      <x:c r="Q242" s="75"/>
      <x:c r="R242" s="75"/>
      <x:c r="S242" s="75"/>
      <x:c r="T242" s="75"/>
      <x:c r="U242" s="75" t="str">
        <x:v>Not publicly claimed</x:v>
      </x:c>
      <x:c r="V242" s="75" t="str">
        <x:v>Yes</x:v>
      </x:c>
      <x:c r="W242" s="75"/>
      <x:c r="X242" s="75"/>
      <x:c r="Y242" s="75" t="str">
        <x:v>Yes</x:v>
      </x:c>
      <x:c r="Z242" s="75"/>
      <x:c r="AA242" s="75"/>
      <x:c r="AB242" s="75"/>
      <x:c r="AC242" s="78"/>
      <x:c r="AD242" s="75"/>
      <x:c r="AE242" s="75"/>
      <x:c r="AF242" s="75"/>
      <x:c r="AG242" s="75"/>
      <x:c r="AH242" s="122" t="n">
        <x:v>25</x:v>
      </x:c>
      <x:c r="AI242" s="123" t="str">
        <x:v>Canonical source for Screen Share Detail!25</x:v>
      </x:c>
    </x:row>
    <x:row r="243">
      <x:c r="A243" s="119" t="str">
        <x:v>Screen Share Detail</x:v>
      </x:c>
      <x:c r="B243" s="121" t="str">
        <x:v>60 FPS Access</x:v>
      </x:c>
      <x:c r="C243" s="75" t="str">
        <x:v>Paid — Nitro</x:v>
      </x:c>
      <x:c r="D243" s="75"/>
      <x:c r="E243" s="75"/>
      <x:c r="F243" s="75"/>
      <x:c r="G243" s="75"/>
      <x:c r="H243" s="75" t="str">
        <x:v>Paid — Plutonium</x:v>
      </x:c>
      <x:c r="I243" s="75" t="str">
        <x:v>Gold+ / Diamond</x:v>
      </x:c>
      <x:c r="J243" s="75"/>
      <x:c r="K243" s="75"/>
      <x:c r="L243" s="75" t="str">
        <x:v>Developer-reported 4K60 claim; public docs currently document 30 FPS presets</x:v>
      </x:c>
      <x:c r="M243" s="75"/>
      <x:c r="N243" s="75"/>
      <x:c r="O243" s="75"/>
      <x:c r="P243" s="75"/>
      <x:c r="Q243" s="75" t="str">
        <x:v>Free if supported</x:v>
      </x:c>
      <x:c r="R243" s="75"/>
      <x:c r="S243" s="75"/>
      <x:c r="T243" s="75"/>
      <x:c r="U243" s="75"/>
      <x:c r="V243" s="75" t="str">
        <x:v>Free at 720p; paid for higher resolution</x:v>
      </x:c>
      <x:c r="W243" s="75"/>
      <x:c r="X243" s="75"/>
      <x:c r="Y243" s="75" t="str">
        <x:v>Paid — Sudo</x:v>
      </x:c>
      <x:c r="Z243" s="75"/>
      <x:c r="AA243" s="75"/>
      <x:c r="AB243" s="75" t="str">
        <x:v>Configurable</x:v>
      </x:c>
      <x:c r="AC243" s="78"/>
      <x:c r="AD243" s="75"/>
      <x:c r="AE243" s="75" t="str">
        <x:v>Free if supported</x:v>
      </x:c>
      <x:c r="AF243" s="75"/>
      <x:c r="AG243" s="75"/>
      <x:c r="AH243" s="122" t="n">
        <x:v>26</x:v>
      </x:c>
      <x:c r="AI243" s="123" t="str">
        <x:v>Canonical source for Screen Share Detail!26</x:v>
      </x:c>
    </x:row>
    <x:row r="244">
      <x:c r="A244" s="119" t="str">
        <x:v>Screen Share Detail</x:v>
      </x:c>
      <x:c r="B244" s="121" t="str">
        <x:v>120 FPS Available?</x:v>
      </x:c>
      <x:c r="C244" s="75" t="str">
        <x:v>No</x:v>
      </x:c>
      <x:c r="D244" s="75"/>
      <x:c r="E244" s="75" t="str">
        <x:v>Yes</x:v>
      </x:c>
      <x:c r="F244" s="75"/>
      <x:c r="G244" s="75"/>
      <x:c r="H244" s="75" t="str">
        <x:v>No</x:v>
      </x:c>
      <x:c r="I244" s="75" t="str">
        <x:v>No</x:v>
      </x:c>
      <x:c r="J244" s="75"/>
      <x:c r="K244" s="75"/>
      <x:c r="L244" s="75" t="str">
        <x:v>No documented 120 FPS mode</x:v>
      </x:c>
      <x:c r="M244" s="75"/>
      <x:c r="N244" s="75"/>
      <x:c r="O244" s="75"/>
      <x:c r="P244" s="75"/>
      <x:c r="Q244" s="75"/>
      <x:c r="R244" s="75"/>
      <x:c r="S244" s="75"/>
      <x:c r="T244" s="75"/>
      <x:c r="U244" s="75"/>
      <x:c r="V244" s="75" t="str">
        <x:v>N/A</x:v>
      </x:c>
      <x:c r="W244" s="75"/>
      <x:c r="X244" s="75"/>
      <x:c r="Y244" s="75" t="str">
        <x:v>No</x:v>
      </x:c>
      <x:c r="Z244" s="75"/>
      <x:c r="AA244" s="75"/>
      <x:c r="AB244" s="75"/>
      <x:c r="AC244" s="78"/>
      <x:c r="AD244" s="75"/>
      <x:c r="AE244" s="75"/>
      <x:c r="AF244" s="75"/>
      <x:c r="AG244" s="75"/>
      <x:c r="AH244" s="122" t="n">
        <x:v>27</x:v>
      </x:c>
      <x:c r="AI244" s="123" t="str">
        <x:v>Canonical source for Screen Share Detail!27</x:v>
      </x:c>
    </x:row>
    <x:row r="245">
      <x:c r="A245" s="119" t="str">
        <x:v>Screen Share Detail</x:v>
      </x:c>
      <x:c r="B245" s="121" t="str">
        <x:v>120 FPS Access</x:v>
      </x:c>
      <x:c r="C245" s="75" t="str">
        <x:v>No documented</x:v>
      </x:c>
      <x:c r="D245" s="75"/>
      <x:c r="E245" s="75"/>
      <x:c r="F245" s="75"/>
      <x:c r="G245" s="75"/>
      <x:c r="H245" s="75" t="str">
        <x:v>No documented</x:v>
      </x:c>
      <x:c r="I245" s="75" t="str">
        <x:v>No documented</x:v>
      </x:c>
      <x:c r="J245" s="75"/>
      <x:c r="K245" s="75"/>
      <x:c r="L245" s="75" t="str">
        <x:v>No documented 120 FPS mode</x:v>
      </x:c>
      <x:c r="M245" s="75"/>
      <x:c r="N245" s="75"/>
      <x:c r="O245" s="75"/>
      <x:c r="P245" s="75"/>
      <x:c r="Q245" s="75"/>
      <x:c r="R245" s="75"/>
      <x:c r="S245" s="75"/>
      <x:c r="T245" s="75"/>
      <x:c r="U245" s="75"/>
      <x:c r="V245" s="75" t="str">
        <x:v>N/A</x:v>
      </x:c>
      <x:c r="W245" s="75"/>
      <x:c r="X245" s="75"/>
      <x:c r="Y245" s="75" t="str">
        <x:v>No documented</x:v>
      </x:c>
      <x:c r="Z245" s="75"/>
      <x:c r="AA245" s="75"/>
      <x:c r="AB245" s="75"/>
      <x:c r="AC245" s="78"/>
      <x:c r="AD245" s="75"/>
      <x:c r="AE245" s="75"/>
      <x:c r="AF245" s="75"/>
      <x:c r="AG245" s="75"/>
      <x:c r="AH245" s="122" t="n">
        <x:v>28</x:v>
      </x:c>
      <x:c r="AI245" s="123" t="str">
        <x:v>Canonical source for Screen Share Detail!28</x:v>
      </x:c>
    </x:row>
    <x:row r="246">
      <x:c r="A246" s="119" t="str">
        <x:v>Screen Share Detail</x:v>
      </x:c>
      <x:c r="B246" s="121" t="str">
        <x:v>Free Max Resolution</x:v>
      </x:c>
      <x:c r="C246" s="75" t="str">
        <x:v>720p</x:v>
      </x:c>
      <x:c r="D246" s="75"/>
      <x:c r="E246" s="75" t="str">
        <x:v>Up to 4K</x:v>
      </x:c>
      <x:c r="F246" s="75"/>
      <x:c r="G246" s="75"/>
      <x:c r="H246" s="75" t="str">
        <x:v>720p</x:v>
      </x:c>
      <x:c r="I246" s="75" t="str">
        <x:v>1080p</x:v>
      </x:c>
      <x:c r="J246" s="75" t="str">
        <x:v>N/A</x:v>
      </x:c>
      <x:c r="K246" s="75"/>
      <x:c r="L246" s="75" t="str">
        <x:v>4K native Source preset at 30 FPS is publicly documented; browser Source has an 8K defensive bound. Developer questionnaire reported 4K60.</x:v>
      </x:c>
      <x:c r="M246" s="75"/>
      <x:c r="N246" s="75"/>
      <x:c r="O246" s="75" t="str">
        <x:v>Client-dependent</x:v>
      </x:c>
      <x:c r="P246" s="75" t="str">
        <x:v>Deployment/plan dependent</x:v>
      </x:c>
      <x:c r="Q246" s="75"/>
      <x:c r="R246" s="75" t="str">
        <x:v>N/A</x:v>
      </x:c>
      <x:c r="S246" s="75"/>
      <x:c r="T246" s="75"/>
      <x:c r="U246" s="75" t="str">
        <x:v>1080p</x:v>
      </x:c>
      <x:c r="V246" s="75" t="str">
        <x:v>720p</x:v>
      </x:c>
      <x:c r="W246" s="75" t="str">
        <x:v>Provider-dependent</x:v>
      </x:c>
      <x:c r="X246" s="75" t="str">
        <x:v>N/A</x:v>
      </x:c>
      <x:c r="Y246" s="75" t="str">
        <x:v>720p game / Source text mode</x:v>
      </x:c>
      <x:c r="Z246" s="75" t="str">
        <x:v>Operator/config dependent</x:v>
      </x:c>
      <x:c r="AA246" s="75" t="str">
        <x:v>720p</x:v>
      </x:c>
      <x:c r="AB246" s="75"/>
      <x:c r="AC246" s="78"/>
      <x:c r="AD246" s="75"/>
      <x:c r="AE246" s="75"/>
      <x:c r="AF246" s="75" t="str">
        <x:v>Up to 1440p</x:v>
      </x:c>
      <x:c r="AG246" s="75" t="str">
        <x:v>Provider-dependent</x:v>
      </x:c>
      <x:c r="AH246" s="122" t="n">
        <x:v>30</x:v>
      </x:c>
      <x:c r="AI246" s="123" t="str">
        <x:v>Canonical source for Screen Share Detail!30</x:v>
      </x:c>
    </x:row>
    <x:row r="247">
      <x:c r="A247" s="119" t="str">
        <x:v>Screen Share Detail</x:v>
      </x:c>
      <x:c r="B247" s="121" t="str">
        <x:v>Free Max FPS</x:v>
      </x:c>
      <x:c r="C247" s="75" t="str">
        <x:v>30</x:v>
      </x:c>
      <x:c r="D247" s="75"/>
      <x:c r="E247" s="75" t="str">
        <x:v>Up to 60/120 by version/config</x:v>
      </x:c>
      <x:c r="F247" s="75"/>
      <x:c r="G247" s="75"/>
      <x:c r="H247" s="75" t="str">
        <x:v>30</x:v>
      </x:c>
      <x:c r="I247" s="75" t="str">
        <x:v>30</x:v>
      </x:c>
      <x:c r="J247" s="75" t="str">
        <x:v>N/A</x:v>
      </x:c>
      <x:c r="K247" s="75"/>
      <x:c r="L247" s="75" t="str">
        <x:v>30 FPS in current documented presets; developer questionnaire reported 60 FPS</x:v>
      </x:c>
      <x:c r="M247" s="75"/>
      <x:c r="N247" s="75"/>
      <x:c r="O247" s="75" t="str">
        <x:v>Client-dependent</x:v>
      </x:c>
      <x:c r="P247" s="75" t="str">
        <x:v>Deployment/plan dependent</x:v>
      </x:c>
      <x:c r="Q247" s="75"/>
      <x:c r="R247" s="75" t="str">
        <x:v>N/A</x:v>
      </x:c>
      <x:c r="S247" s="75"/>
      <x:c r="T247" s="75"/>
      <x:c r="U247" s="75" t="str">
        <x:v>Not publicly claimed</x:v>
      </x:c>
      <x:c r="V247" s="75" t="str">
        <x:v>60</x:v>
      </x:c>
      <x:c r="W247" s="75" t="str">
        <x:v>Provider-dependent</x:v>
      </x:c>
      <x:c r="X247" s="75" t="str">
        <x:v>N/A</x:v>
      </x:c>
      <x:c r="Y247" s="75" t="str">
        <x:v>30 game / 5 source</x:v>
      </x:c>
      <x:c r="Z247" s="75"/>
      <x:c r="AA247" s="75" t="n">
        <x:v>30</x:v>
      </x:c>
      <x:c r="AB247" s="75"/>
      <x:c r="AC247" s="78"/>
      <x:c r="AD247" s="75"/>
      <x:c r="AE247" s="75"/>
      <x:c r="AF247" s="75"/>
      <x:c r="AG247" s="75" t="str">
        <x:v>Provider-dependent</x:v>
      </x:c>
      <x:c r="AH247" s="122" t="n">
        <x:v>31</x:v>
      </x:c>
      <x:c r="AI247" s="123" t="str">
        <x:v>Canonical source for Screen Share Detail!31</x:v>
      </x:c>
    </x:row>
    <x:row r="248">
      <x:c r="A248" s="119" t="str">
        <x:v>Screen Share Detail</x:v>
      </x:c>
      <x:c r="B248" s="121" t="str">
        <x:v>Absolute Max Resolution</x:v>
      </x:c>
      <x:c r="C248" s="75" t="str">
        <x:v>4K</x:v>
      </x:c>
      <x:c r="D248" s="75"/>
      <x:c r="E248" s="75"/>
      <x:c r="F248" s="75"/>
      <x:c r="G248" s="75"/>
      <x:c r="H248" s="75" t="str">
        <x:v>4K</x:v>
      </x:c>
      <x:c r="I248" s="75" t="str">
        <x:v>4K</x:v>
      </x:c>
      <x:c r="J248" s="75"/>
      <x:c r="K248" s="75"/>
      <x:c r="L248" s="75" t="str">
        <x:v>4K native Source preset at 30 FPS is publicly documented; browser Source has an 8K defensive bound. Developer questionnaire reported 4K60.</x:v>
      </x:c>
      <x:c r="M248" s="75"/>
      <x:c r="N248" s="75"/>
      <x:c r="O248" s="75"/>
      <x:c r="P248" s="75"/>
      <x:c r="Q248" s="75"/>
      <x:c r="R248" s="75"/>
      <x:c r="S248" s="75"/>
      <x:c r="T248" s="75"/>
      <x:c r="U248" s="75" t="str">
        <x:v>1080p</x:v>
      </x:c>
      <x:c r="V248" s="75" t="str">
        <x:v>1440p</x:v>
      </x:c>
      <x:c r="W248" s="75"/>
      <x:c r="X248" s="75"/>
      <x:c r="Y248" s="75" t="str">
        <x:v>1440p</x:v>
      </x:c>
      <x:c r="Z248" s="75"/>
      <x:c r="AA248" s="75" t="str">
        <x:v>720p currently published</x:v>
      </x:c>
      <x:c r="AB248" s="75"/>
      <x:c r="AC248" s="78"/>
      <x:c r="AD248" s="75"/>
      <x:c r="AE248" s="75"/>
      <x:c r="AF248" s="75"/>
      <x:c r="AG248" s="75"/>
      <x:c r="AH248" s="122" t="n">
        <x:v>32</x:v>
      </x:c>
      <x:c r="AI248" s="123" t="str">
        <x:v>Canonical source for Screen Share Detail!32</x:v>
      </x:c>
    </x:row>
    <x:row r="249">
      <x:c r="A249" s="119" t="str">
        <x:v>Screen Share Detail</x:v>
      </x:c>
      <x:c r="B249" s="121" t="str">
        <x:v>Absolute Max FPS</x:v>
      </x:c>
      <x:c r="C249" s="75" t="str">
        <x:v>60</x:v>
      </x:c>
      <x:c r="D249" s="75"/>
      <x:c r="E249" s="75"/>
      <x:c r="F249" s="75"/>
      <x:c r="G249" s="75"/>
      <x:c r="H249" s="75" t="str">
        <x:v>60</x:v>
      </x:c>
      <x:c r="I249" s="75" t="str">
        <x:v>60</x:v>
      </x:c>
      <x:c r="J249" s="75"/>
      <x:c r="K249" s="75"/>
      <x:c r="L249" s="75" t="str">
        <x:v>30 FPS in current documented presets; developer questionnaire reported 60 FPS</x:v>
      </x:c>
      <x:c r="M249" s="75"/>
      <x:c r="N249" s="75"/>
      <x:c r="O249" s="75"/>
      <x:c r="P249" s="75"/>
      <x:c r="Q249" s="75"/>
      <x:c r="R249" s="75"/>
      <x:c r="S249" s="75"/>
      <x:c r="T249" s="75"/>
      <x:c r="U249" s="75" t="str">
        <x:v>Not publicly claimed</x:v>
      </x:c>
      <x:c r="V249" s="75" t="str">
        <x:v>60</x:v>
      </x:c>
      <x:c r="W249" s="75"/>
      <x:c r="X249" s="75"/>
      <x:c r="Y249" s="75" t="str">
        <x:v>60</x:v>
      </x:c>
      <x:c r="Z249" s="75"/>
      <x:c r="AA249" s="75" t="n">
        <x:v>30</x:v>
      </x:c>
      <x:c r="AB249" s="75"/>
      <x:c r="AC249" s="78"/>
      <x:c r="AD249" s="75"/>
      <x:c r="AE249" s="75"/>
      <x:c r="AF249" s="75"/>
      <x:c r="AG249" s="75"/>
      <x:c r="AH249" s="122" t="n">
        <x:v>33</x:v>
      </x:c>
      <x:c r="AI249" s="123" t="str">
        <x:v>Canonical source for Screen Share Detail!33</x:v>
      </x:c>
    </x:row>
    <x:row r="250">
      <x:c r="A250" s="119" t="str">
        <x:v>Screen Share Detail</x:v>
      </x:c>
      <x:c r="B250" s="121" t="str">
        <x:v>Paid Tier Needed for Absolute Max</x:v>
      </x:c>
      <x:c r="C250" s="75" t="str">
        <x:v>Nitro</x:v>
      </x:c>
      <x:c r="D250" s="75"/>
      <x:c r="E250" s="75"/>
      <x:c r="F250" s="75"/>
      <x:c r="G250" s="75"/>
      <x:c r="H250" s="75" t="str">
        <x:v>Plutonium</x:v>
      </x:c>
      <x:c r="I250" s="75" t="str">
        <x:v>Diamond</x:v>
      </x:c>
      <x:c r="J250" s="75"/>
      <x:c r="K250" s="75"/>
      <x:c r="L250" s="75" t="str">
        <x:v>No paid tier</x:v>
      </x:c>
      <x:c r="M250" s="75"/>
      <x:c r="N250" s="75"/>
      <x:c r="O250" s="75"/>
      <x:c r="P250" s="75"/>
      <x:c r="Q250" s="75" t="str">
        <x:v>None</x:v>
      </x:c>
      <x:c r="R250" s="75"/>
      <x:c r="S250" s="75"/>
      <x:c r="T250" s="75"/>
      <x:c r="U250" s="75" t="str">
        <x:v>No</x:v>
      </x:c>
      <x:c r="V250" s="75" t="str">
        <x:v>Shard Forge</x:v>
      </x:c>
      <x:c r="W250" s="75"/>
      <x:c r="X250" s="75"/>
      <x:c r="Y250" s="75" t="str">
        <x:v>Sudo</x:v>
      </x:c>
      <x:c r="Z250" s="75"/>
      <x:c r="AA250" s="75" t="str">
        <x:v>No separate tier stated</x:v>
      </x:c>
      <x:c r="AB250" s="75"/>
      <x:c r="AC250" s="78"/>
      <x:c r="AD250" s="75"/>
      <x:c r="AE250" s="75" t="str">
        <x:v>None for core voice/video/screen share</x:v>
      </x:c>
      <x:c r="AF250" s="75"/>
      <x:c r="AG250" s="75"/>
      <x:c r="AH250" s="122" t="n">
        <x:v>34</x:v>
      </x:c>
      <x:c r="AI250" s="123" t="str">
        <x:v>Canonical source for Screen Share Detail!34</x:v>
      </x:c>
    </x:row>
    <x:row r="251">
      <x:c r="A251" s="119" t="str">
        <x:v>Screen Share Detail</x:v>
      </x:c>
      <x:c r="B251" s="121" t="str">
        <x:v>Application Audio Capture?</x:v>
      </x:c>
      <x:c r="C251" s="75" t="str">
        <x:v>Yes — Windows, macOS, Chrome, mobile; Linux audio sharing unavailable</x:v>
      </x:c>
      <x:c r="D251" s="75"/>
      <x:c r="E251" s="75" t="str">
        <x:v>Yes</x:v>
      </x:c>
      <x:c r="F251" s="75" t="str">
        <x:v>Yes</x:v>
      </x:c>
      <x:c r="G251" s="75" t="str">
        <x:v>Yes — screen sharing exists in alpha</x:v>
      </x:c>
      <x:c r="H251" s="75" t="str">
        <x:v>Yes</x:v>
      </x:c>
      <x:c r="I251" s="75" t="str">
        <x:v>Yes</x:v>
      </x:c>
      <x:c r="J251" s="75"/>
      <x:c r="K251" s="75" t="str">
        <x:v>Yes on supported desktop platforms; per-app capture documented for Windows/Linux</x:v>
      </x:c>
      <x:c r="L251" s="75" t="str">
        <x:v>Browser: depends on browser/surface. Native desktop system-audio loopback is currently disabled. Android/iOS screen share excludes system audio.</x:v>
      </x:c>
      <x:c r="M251" s="75"/>
      <x:c r="N251" s="75" t="str">
        <x:v>Yes</x:v>
      </x:c>
      <x:c r="O251" s="75" t="str">
        <x:v>Varies by client</x:v>
      </x:c>
      <x:c r="P251" s="75" t="str">
        <x:v>Yes</x:v>
      </x:c>
      <x:c r="Q251" s="75" t="str">
        <x:v>Yes</x:v>
      </x:c>
      <x:c r="R251" s="75" t="str">
        <x:v>N/A</x:v>
      </x:c>
      <x:c r="S251" s="75"/>
      <x:c r="T251" s="75" t="str">
        <x:v>Yes</x:v>
      </x:c>
      <x:c r="U251" s="75" t="str">
        <x:v>Yes — browser tab audio</x:v>
      </x:c>
      <x:c r="V251" s="75" t="str">
        <x:v>Yes</x:v>
      </x:c>
      <x:c r="W251" s="75" t="str">
        <x:v>Provider-dependent</x:v>
      </x:c>
      <x:c r="X251" s="75" t="str">
        <x:v>N/A</x:v>
      </x:c>
      <x:c r="Y251" s="75" t="str">
        <x:v>Yes — share stream audio</x:v>
      </x:c>
      <x:c r="Z251" s="75" t="str">
        <x:v>Go Live supported by recommended Pion implementation</x:v>
      </x:c>
      <x:c r="AA251" s="75" t="str">
        <x:v>Yes — whole-screen and window audio</x:v>
      </x:c>
      <x:c r="AB251" s="75" t="str">
        <x:v>Yes</x:v>
      </x:c>
      <x:c r="AC251" s="78"/>
      <x:c r="AD251" s="75"/>
      <x:c r="AE251" s="75" t="str">
        <x:v>Yes</x:v>
      </x:c>
      <x:c r="AF251" s="75" t="str">
        <x:v>Yes — screen share with audio</x:v>
      </x:c>
      <x:c r="AG251" s="75" t="str">
        <x:v>Provider-dependent</x:v>
      </x:c>
      <x:c r="AH251" s="122" t="n">
        <x:v>36</x:v>
      </x:c>
      <x:c r="AI251" s="123" t="str">
        <x:v>Canonical metric shared by: Video &amp; Screen Sharing: Application Audio Capture | Video &amp; Screen Sharing: Application Audio Capture? | Screen Share Detail: Application Audio Capture? | Media &amp; Limits: Application Audio Capture</x:v>
      </x:c>
    </x:row>
    <x:row r="252">
      <x:c r="A252" s="119" t="str">
        <x:v>Screen Share Detail</x:v>
      </x:c>
      <x:c r="B252" s="121" t="str">
        <x:v>System Audio Capture?</x:v>
      </x:c>
      <x:c r="C252" s="75" t="str">
        <x:v>Yes on supported platforms</x:v>
      </x:c>
      <x:c r="D252" s="75"/>
      <x:c r="E252" s="75"/>
      <x:c r="F252" s="75"/>
      <x:c r="G252" s="75"/>
      <x:c r="H252" s="75" t="str">
        <x:v>Yes on supported desktop paths</x:v>
      </x:c>
      <x:c r="I252" s="75"/>
      <x:c r="J252" s="75"/>
      <x:c r="K252" s="75"/>
      <x:c r="L252" s="75" t="str">
        <x:v>Browser: depends on browser/surface. Native desktop system-audio loopback is currently disabled. Android/iOS screen share excludes system audio.</x:v>
      </x:c>
      <x:c r="M252" s="75"/>
      <x:c r="N252" s="75"/>
      <x:c r="O252" s="75" t="str">
        <x:v>Varies by client</x:v>
      </x:c>
      <x:c r="P252" s="75" t="str">
        <x:v>Yes</x:v>
      </x:c>
      <x:c r="Q252" s="75"/>
      <x:c r="R252" s="75" t="str">
        <x:v>N/A</x:v>
      </x:c>
      <x:c r="S252" s="75"/>
      <x:c r="T252" s="75"/>
      <x:c r="U252" s="75" t="str">
        <x:v>Browser tab audio supported; full system-audio capture not publicly claimed</x:v>
      </x:c>
      <x:c r="V252" s="75" t="str">
        <x:v>Yes</x:v>
      </x:c>
      <x:c r="W252" s="75" t="str">
        <x:v>Provider-dependent</x:v>
      </x:c>
      <x:c r="X252" s="75" t="str">
        <x:v>N/A</x:v>
      </x:c>
      <x:c r="Y252" s="75" t="str">
        <x:v>Yes on supported desktop</x:v>
      </x:c>
      <x:c r="Z252" s="75"/>
      <x:c r="AA252" s="75" t="str">
        <x:v>Yes — whole-screen/window audio; Wayland audio can be unreliable</x:v>
      </x:c>
      <x:c r="AB252" s="75"/>
      <x:c r="AC252" s="78"/>
      <x:c r="AD252" s="75"/>
      <x:c r="AE252" s="75"/>
      <x:c r="AF252" s="75"/>
      <x:c r="AG252" s="75" t="str">
        <x:v>Provider-dependent</x:v>
      </x:c>
      <x:c r="AH252" s="122" t="n">
        <x:v>37</x:v>
      </x:c>
      <x:c r="AI252" s="123" t="str">
        <x:v>Canonical metric shared by: Video &amp; Screen Sharing: System Audio Capture | Video &amp; Screen Sharing: System Audio Capture? | Screen Share Detail: System Audio Capture? | Media &amp; Limits: System Audio Capture</x:v>
      </x:c>
    </x:row>
    <x:row r="253">
      <x:c r="A253" s="119" t="str">
        <x:v>Screen Share Detail</x:v>
      </x:c>
      <x:c r="B253" s="121" t="str">
        <x:v>Linux Screen Audio?</x:v>
      </x:c>
      <x:c r="C253" s="75" t="str">
        <x:v>Linux audio-share limitations</x:v>
      </x:c>
      <x:c r="D253" s="75"/>
      <x:c r="E253" s="75"/>
      <x:c r="F253" s="75"/>
      <x:c r="G253" s="75"/>
      <x:c r="H253" s="75"/>
      <x:c r="I253" s="75"/>
      <x:c r="J253" s="75"/>
      <x:c r="K253" s="75"/>
      <x:c r="L253" s="75" t="str">
        <x:v>No — current native desktop common mixer contract is not enabled; browser may provide surface audio</x:v>
      </x:c>
      <x:c r="M253" s="75"/>
      <x:c r="N253" s="75"/>
      <x:c r="O253" s="75" t="str">
        <x:v>Client-dependent</x:v>
      </x:c>
      <x:c r="P253" s="75" t="str">
        <x:v>Depends desktop/Linux support</x:v>
      </x:c>
      <x:c r="Q253" s="75"/>
      <x:c r="R253" s="75" t="str">
        <x:v>N/A</x:v>
      </x:c>
      <x:c r="S253" s="75"/>
      <x:c r="T253" s="75"/>
      <x:c r="U253" s="75" t="str">
        <x:v>Not publicly claimed separately</x:v>
      </x:c>
      <x:c r="V253" s="75" t="str">
        <x:v>Yes</x:v>
      </x:c>
      <x:c r="W253" s="75" t="str">
        <x:v>Provider-dependent</x:v>
      </x:c>
      <x:c r="X253" s="75" t="str">
        <x:v>N/A</x:v>
      </x:c>
      <x:c r="Y253" s="75"/>
      <x:c r="Z253" s="75"/>
      <x:c r="AA253" s="75" t="str">
        <x:v>Yes — Wayland sound broadcasting may be unreliable</x:v>
      </x:c>
      <x:c r="AB253" s="75"/>
      <x:c r="AC253" s="78"/>
      <x:c r="AD253" s="75" t="str">
        <x:v>Linux mic I/O known rough edge</x:v>
      </x:c>
      <x:c r="AE253" s="75"/>
      <x:c r="AF253" s="75"/>
      <x:c r="AG253" s="75" t="str">
        <x:v>Provider-dependent</x:v>
      </x:c>
      <x:c r="AH253" s="122" t="n">
        <x:v>38</x:v>
      </x:c>
      <x:c r="AI253" s="123" t="str">
        <x:v>Canonical metric shared by: Video &amp; Screen Sharing: Linux Screen Audio? | Screen Share Detail: Linux Screen Audio?</x:v>
      </x:c>
    </x:row>
    <x:row r="254">
      <x:c r="A254" s="119" t="str">
        <x:v>Screen Share Detail</x:v>
      </x:c>
      <x:c r="B254" s="121" t="str">
        <x:v>Mobile Screen Share?</x:v>
      </x:c>
      <x:c r="C254" s="75" t="str">
        <x:v>Mobile screen share supported</x:v>
      </x:c>
      <x:c r="D254" s="75"/>
      <x:c r="E254" s="75"/>
      <x:c r="F254" s="75"/>
      <x:c r="G254" s="75"/>
      <x:c r="H254" s="75"/>
      <x:c r="I254" s="75"/>
      <x:c r="J254" s="75"/>
      <x:c r="K254" s="75"/>
      <x:c r="L254" s="75" t="str">
        <x:v>Yes — Android MediaProjection and iOS ReplayKit paths documented</x:v>
      </x:c>
      <x:c r="M254" s="75"/>
      <x:c r="N254" s="75"/>
      <x:c r="O254" s="75" t="str">
        <x:v>Client-dependent</x:v>
      </x:c>
      <x:c r="P254" s="75" t="str">
        <x:v>Mobile behavior varies</x:v>
      </x:c>
      <x:c r="Q254" s="75"/>
      <x:c r="R254" s="75" t="str">
        <x:v>N/A</x:v>
      </x:c>
      <x:c r="S254" s="75"/>
      <x:c r="T254" s="75"/>
      <x:c r="U254" s="75"/>
      <x:c r="V254" s="75" t="str">
        <x:v>Yes - App or Screen</x:v>
      </x:c>
      <x:c r="W254" s="75" t="str">
        <x:v>Provider-dependent</x:v>
      </x:c>
      <x:c r="X254" s="75" t="str">
        <x:v>N/A</x:v>
      </x:c>
      <x:c r="Y254" s="75" t="str">
        <x:v>No sharing from mobile</x:v>
      </x:c>
      <x:c r="Z254" s="75"/>
      <x:c r="AA254" s="75" t="str">
        <x:v>Yes — mobile web, iOS TestFlight and Android</x:v>
      </x:c>
      <x:c r="AB254" s="75"/>
      <x:c r="AC254" s="78"/>
      <x:c r="AD254" s="75"/>
      <x:c r="AE254" s="75"/>
      <x:c r="AF254" s="75"/>
      <x:c r="AG254" s="75" t="str">
        <x:v>Provider-dependent</x:v>
      </x:c>
      <x:c r="AH254" s="122" t="n">
        <x:v>39</x:v>
      </x:c>
      <x:c r="AI254" s="123" t="str">
        <x:v>Canonical metric shared by: Video &amp; Screen Sharing: Mobile Screen Share? | Screen Share Detail: Mobile Screen Share?</x:v>
      </x:c>
    </x:row>
    <x:row r="255">
      <x:c r="A255" s="119" t="str">
        <x:v>Screen Share Detail</x:v>
      </x:c>
      <x:c r="B255" s="121" t="str">
        <x:v>Multiple Concurrent Screen Shares?</x:v>
      </x:c>
      <x:c r="C255" s="75"/>
      <x:c r="D255" s="75"/>
      <x:c r="E255" s="75"/>
      <x:c r="F255" s="75"/>
      <x:c r="G255" s="75"/>
      <x:c r="H255" s="75"/>
      <x:c r="I255" s="75"/>
      <x:c r="J255" s="75"/>
      <x:c r="K255" s="75" t="str">
        <x:v>P2P</x:v>
      </x:c>
      <x:c r="L255" s="75" t="str">
        <x:v>Not documented</x:v>
      </x:c>
      <x:c r="M255" s="75"/>
      <x:c r="N255" s="75"/>
      <x:c r="O255" s="75" t="str">
        <x:v>Client/provider-dependent</x:v>
      </x:c>
      <x:c r="P255" s="75" t="str">
        <x:v>Plan-dependent</x:v>
      </x:c>
      <x:c r="Q255" s="75"/>
      <x:c r="R255" s="75" t="str">
        <x:v>N/A</x:v>
      </x:c>
      <x:c r="S255" s="75"/>
      <x:c r="T255" s="75"/>
      <x:c r="U255" s="75" t="str">
        <x:v>Yes — 2 in smaller rooms, 4 in big rooms</x:v>
      </x:c>
      <x:c r="V255" s="75" t="str">
        <x:v>Yes</x:v>
      </x:c>
      <x:c r="W255" s="75" t="str">
        <x:v>Provider-dependent</x:v>
      </x:c>
      <x:c r="X255" s="75" t="str">
        <x:v>N/A</x:v>
      </x:c>
      <x:c r="Y255" s="75"/>
      <x:c r="Z255" s="75" t="str">
        <x:v>Implementation-dependent</x:v>
      </x:c>
      <x:c r="AA255" s="75" t="str">
        <x:v>Yes — no stated limit</x:v>
      </x:c>
      <x:c r="AB255" s="75"/>
      <x:c r="AC255" s="78"/>
      <x:c r="AD255" s="75"/>
      <x:c r="AE255" s="75"/>
      <x:c r="AF255" s="75"/>
      <x:c r="AG255" s="75" t="str">
        <x:v>Provider-dependent</x:v>
      </x:c>
      <x:c r="AH255" s="122" t="n">
        <x:v>40</x:v>
      </x:c>
      <x:c r="AI255" s="123" t="str">
        <x:v>Canonical metric shared by: Video &amp; Screen Sharing: Multiple Concurrent Screen Shares? | Screen Share Detail: Multiple Concurrent Screen Shares?</x:v>
      </x:c>
    </x:row>
    <x:row r="256">
      <x:c r="A256" s="119" t="str">
        <x:v>Screen Share Detail</x:v>
      </x:c>
      <x:c r="B256" s="121" t="str">
        <x:v>Max Concurrent Screen Shares</x:v>
      </x:c>
      <x:c r="C256" s="75"/>
      <x:c r="D256" s="75"/>
      <x:c r="E256" s="75"/>
      <x:c r="F256" s="75"/>
      <x:c r="G256" s="75"/>
      <x:c r="H256" s="75"/>
      <x:c r="I256" s="75"/>
      <x:c r="J256" s="75"/>
      <x:c r="K256" s="75"/>
      <x:c r="L256" s="75" t="str">
        <x:v>Not documented</x:v>
      </x:c>
      <x:c r="M256" s="75"/>
      <x:c r="N256" s="75"/>
      <x:c r="O256" s="75"/>
      <x:c r="P256" s="75"/>
      <x:c r="Q256" s="75"/>
      <x:c r="R256" s="75"/>
      <x:c r="S256" s="75"/>
      <x:c r="T256" s="75"/>
      <x:c r="U256" s="75" t="str">
        <x:v>4 in big rooms; 2 in smaller rooms</x:v>
      </x:c>
      <x:c r="V256" s="75"/>
      <x:c r="W256" s="75"/>
      <x:c r="X256" s="75"/>
      <x:c r="Y256" s="75"/>
      <x:c r="Z256" s="75"/>
      <x:c r="AA256" s="75" t="str">
        <x:v>No stated limit</x:v>
      </x:c>
      <x:c r="AB256" s="75"/>
      <x:c r="AC256" s="78"/>
      <x:c r="AD256" s="75"/>
      <x:c r="AE256" s="75"/>
      <x:c r="AF256" s="75"/>
      <x:c r="AG256" s="75"/>
      <x:c r="AH256" s="122" t="n">
        <x:v>41</x:v>
      </x:c>
      <x:c r="AI256" s="123" t="str">
        <x:v>Canonical source for Screen Share Detail!41</x:v>
      </x:c>
    </x:row>
    <x:row r="257">
      <x:c r="A257" s="119" t="str">
        <x:v>Screen Share Detail</x:v>
      </x:c>
      <x:c r="B257" s="121" t="str">
        <x:v>Simultaneous Multi-Stream Viewing?</x:v>
      </x:c>
      <x:c r="C257" s="75" t="str">
        <x:v>Yes</x:v>
      </x:c>
      <x:c r="D257" s="75"/>
      <x:c r="E257" s="75"/>
      <x:c r="F257" s="75" t="str">
        <x:v>Yes</x:v>
      </x:c>
      <x:c r="G257" s="75" t="str">
        <x:v>Yes</x:v>
      </x:c>
      <x:c r="H257" s="75" t="str">
        <x:v>Yes</x:v>
      </x:c>
      <x:c r="I257" s="75" t="str">
        <x:v>Yes</x:v>
      </x:c>
      <x:c r="J257" s="75"/>
      <x:c r="K257" s="75"/>
      <x:c r="L257" s="75" t="str">
        <x:v>Not documented</x:v>
      </x:c>
      <x:c r="M257" s="75"/>
      <x:c r="N257" s="75" t="str">
        <x:v>Yes</x:v>
      </x:c>
      <x:c r="O257" s="75" t="str">
        <x:v>Varies by client</x:v>
      </x:c>
      <x:c r="P257" s="75" t="str">
        <x:v>Yes</x:v>
      </x:c>
      <x:c r="Q257" s="75" t="str">
        <x:v>Yes</x:v>
      </x:c>
      <x:c r="R257" s="75" t="str">
        <x:v>N/A</x:v>
      </x:c>
      <x:c r="S257" s="75"/>
      <x:c r="T257" s="75" t="str">
        <x:v>Yes</x:v>
      </x:c>
      <x:c r="U257" s="75" t="str">
        <x:v>Yes — 2 presenters in smaller rooms, 4 in big rooms</x:v>
      </x:c>
      <x:c r="V257" s="75" t="str">
        <x:v>Yes</x:v>
      </x:c>
      <x:c r="W257" s="75" t="str">
        <x:v>Provider-dependent</x:v>
      </x:c>
      <x:c r="X257" s="75" t="str">
        <x:v>N/A</x:v>
      </x:c>
      <x:c r="Y257" s="75" t="str">
        <x:v>Yes</x:v>
      </x:c>
      <x:c r="Z257" s="75"/>
      <x:c r="AA257" s="75" t="str">
        <x:v>Yes — no stated limit on simultaneous shared screens</x:v>
      </x:c>
      <x:c r="AB257" s="75" t="str">
        <x:v>Yes</x:v>
      </x:c>
      <x:c r="AC257" s="78"/>
      <x:c r="AD257" s="75"/>
      <x:c r="AE257" s="75" t="str">
        <x:v>Yes</x:v>
      </x:c>
      <x:c r="AF257" s="75"/>
      <x:c r="AG257" s="75" t="str">
        <x:v>Provider-dependent</x:v>
      </x:c>
      <x:c r="AH257" s="122" t="n">
        <x:v>42</x:v>
      </x:c>
      <x:c r="AI257" s="123" t="str">
        <x:v>Canonical metric shared by: Video &amp; Screen Sharing: Simultaneous Multi-Stream Viewing | Video &amp; Screen Sharing: Simultaneous Multi-Stream Viewing? | Screen Share Detail: Simultaneous Multi-Stream Viewing?</x:v>
      </x:c>
    </x:row>
    <x:row r="258">
      <x:c r="A258" s="119" t="str">
        <x:v>Screen Share Detail</x:v>
      </x:c>
      <x:c r="B258" s="121" t="str">
        <x:v>Webcam Participant Limit</x:v>
      </x:c>
      <x:c r="C258" s="75" t="str">
        <x:v>25 when video active in server voice</x:v>
      </x:c>
      <x:c r="D258" s="75"/>
      <x:c r="E258" s="75"/>
      <x:c r="F258" s="75"/>
      <x:c r="G258" s="75"/>
      <x:c r="H258" s="75"/>
      <x:c r="I258" s="75"/>
      <x:c r="J258" s="75"/>
      <x:c r="K258" s="75" t="str">
        <x:v>No</x:v>
      </x:c>
      <x:c r="L258" s="75" t="str">
        <x:v>Not documented</x:v>
      </x:c>
      <x:c r="M258" s="75"/>
      <x:c r="N258" s="75"/>
      <x:c r="O258" s="75" t="str">
        <x:v>Client-dependent</x:v>
      </x:c>
      <x:c r="P258" s="75" t="str">
        <x:v>Yes</x:v>
      </x:c>
      <x:c r="Q258" s="75"/>
      <x:c r="R258" s="75" t="str">
        <x:v>No</x:v>
      </x:c>
      <x:c r="S258" s="75"/>
      <x:c r="T258" s="75"/>
      <x:c r="U258" s="75"/>
      <x:c r="V258" s="75"/>
      <x:c r="W258" s="75" t="str">
        <x:v>Provider-dependent</x:v>
      </x:c>
      <x:c r="X258" s="75" t="str">
        <x:v>N/A</x:v>
      </x:c>
      <x:c r="Y258" s="75"/>
      <x:c r="Z258" s="75"/>
      <x:c r="AA258" s="75" t="str">
        <x:v>No stated camera-per-call limit</x:v>
      </x:c>
      <x:c r="AB258" s="75"/>
      <x:c r="AC258" s="78"/>
      <x:c r="AD258" s="75"/>
      <x:c r="AE258" s="75"/>
      <x:c r="AF258" s="75" t="str">
        <x:v>No</x:v>
      </x:c>
      <x:c r="AG258" s="75" t="str">
        <x:v>Provider-dependent</x:v>
      </x:c>
      <x:c r="AH258" s="122" t="n">
        <x:v>43</x:v>
      </x:c>
      <x:c r="AI258" s="123" t="str">
        <x:v>Canonical metric shared by: Community Limits: Webcam Participant Limit | Screen Share Detail: Webcam Participant Limit</x:v>
      </x:c>
    </x:row>
    <x:row r="259">
      <x:c r="A259" s="119" t="str">
        <x:v>Screen Share Detail</x:v>
      </x:c>
      <x:c r="B259" s="121" t="str">
        <x:v>Stage / Presentation Mode?</x:v>
      </x:c>
      <x:c r="C259" s="75"/>
      <x:c r="D259" s="75"/>
      <x:c r="E259" s="75"/>
      <x:c r="F259" s="75"/>
      <x:c r="G259" s="75"/>
      <x:c r="H259" s="75"/>
      <x:c r="I259" s="75"/>
      <x:c r="J259" s="75"/>
      <x:c r="K259" s="75"/>
      <x:c r="L259" s="75" t="str">
        <x:v>Yes — developer reports Stage channels; screen-share publication is separately permissioned</x:v>
      </x:c>
      <x:c r="M259" s="75"/>
      <x:c r="N259" s="75"/>
      <x:c r="O259" s="75"/>
      <x:c r="P259" s="75"/>
      <x:c r="Q259" s="75"/>
      <x:c r="R259" s="75"/>
      <x:c r="S259" s="75"/>
      <x:c r="T259" s="75"/>
      <x:c r="U259" s="75"/>
      <x:c r="V259" s="75"/>
      <x:c r="W259" s="75"/>
      <x:c r="X259" s="75"/>
      <x:c r="Y259" s="75"/>
      <x:c r="Z259" s="75"/>
      <x:c r="AA259" s="75"/>
      <x:c r="AB259" s="75"/>
      <x:c r="AC259" s="78"/>
      <x:c r="AD259" s="75"/>
      <x:c r="AE259" s="75"/>
      <x:c r="AF259" s="75"/>
      <x:c r="AG259" s="75"/>
      <x:c r="AH259" s="122" t="n">
        <x:v>44</x:v>
      </x:c>
      <x:c r="AI259" s="123" t="str">
        <x:v>Canonical metric shared by: Video &amp; Screen Sharing: Stage / Presentation Mode? | Screen Share Detail: Stage / Presentation Mode?</x:v>
      </x:c>
    </x:row>
    <x:row r="260">
      <x:c r="A260" s="119" t="str">
        <x:v>Screen Share Detail</x:v>
      </x:c>
      <x:c r="B260" s="121" t="str">
        <x:v>Screen Share Source URL</x:v>
      </x:c>
      <x:c r="C260" s="75" t="str">
        <x:v>https://support.discord.com/hc/en-us/articles/360040816151-Go-Live-and-Screen-Share</x:v>
      </x:c>
      <x:c r="D260" s="75"/>
      <x:c r="E260" s="75"/>
      <x:c r="F260" s="75"/>
      <x:c r="G260" s="75"/>
      <x:c r="H260" s="75" t="str">
        <x:v>https://fluxer.app/plutonium</x:v>
      </x:c>
      <x:c r="I260" s="75" t="str">
        <x:v>https://gamevox.com/</x:v>
      </x:c>
      <x:c r="J260" s="75"/>
      <x:c r="K260" s="75"/>
      <x:c r="L260" s="75" t="str">
        <x:v>https://github.com/CookieNom/KaedeChat/blob/main/docs/screen-sharing-quality.md</x:v>
      </x:c>
      <x:c r="M260" s="75"/>
      <x:c r="N260" s="75"/>
      <x:c r="O260" s="75"/>
      <x:c r="P260" s="75"/>
      <x:c r="Q260" s="75" t="str">
        <x:v>https://mezon.ai/docs/user/resources/FAQ/</x:v>
      </x:c>
      <x:c r="R260" s="75"/>
      <x:c r="S260" s="75"/>
      <x:c r="T260" s="75"/>
      <x:c r="U260" s="75" t="str">
        <x:v>https://pqp.gg/</x:v>
      </x:c>
      <x:c r="V260" s="75" t="str">
        <x:v>https://therift.chat/de/plans/</x:v>
      </x:c>
      <x:c r="W260" s="75"/>
      <x:c r="X260" s="75"/>
      <x:c r="Y260" s="75" t="str">
        <x:v>https://support.rootapp.com/docs/sudo/get-started/sudo-faqs/</x:v>
      </x:c>
      <x:c r="Z260" s="75"/>
      <x:c r="AA260" s="75" t="str">
        <x:v>https://stoat.chat/release-notes/93eb1f4ec77444ca9fb13617e0e6c0b1</x:v>
      </x:c>
      <x:c r="AB260" s="75" t="str">
        <x:v>https://community.teamspeak.com/t/teamspeak-6-0-0-beta1-screen-camera-sharing-communities-design-overhaul/54925</x:v>
      </x:c>
      <x:c r="AC260" s="78"/>
      <x:c r="AD260" s="75"/>
      <x:c r="AE260" s="75" t="str">
        <x:v>https://weered.ca/alternatives/discord</x:v>
      </x:c>
      <x:c r="AF260" s="75"/>
      <x:c r="AG260" s="75"/>
      <x:c r="AH260" s="122" t="n">
        <x:v>46</x:v>
      </x:c>
      <x:c r="AI260" s="123" t="str">
        <x:v>Canonical source for Screen Share Detail!46</x:v>
      </x:c>
    </x:row>
    <x:row r="261">
      <x:c r="A261" s="119" t="str">
        <x:v>Screen Share Detail</x:v>
      </x:c>
      <x:c r="B261" s="121" t="str">
        <x:v>Screen Share Notes</x:v>
      </x:c>
      <x:c r="C261" s="75" t="str">
        <x:v>Voice/video/Go Live E2EE by default except Stage.</x:v>
      </x:c>
      <x:c r="D261" s="75" t="str">
        <x:v>Voice exists; detailed limits are not publicly documented.</x:v>
      </x:c>
      <x:c r="E261" s="75" t="str">
        <x:v>Media limits are software/operator-configurable rather than a paid tier.</x:v>
      </x:c>
      <x:c r="F261" s="75" t="str">
        <x:v>LiveKit-based voice/video/screen sharing.</x:v>
      </x:c>
      <x:c r="G261" s="75" t="str">
        <x:v>Alpha behavior/limits can change.</x:v>
      </x:c>
      <x:c r="H261" s="75" t="str">
        <x:v>Nothing is E2EE yet per Sep 13 privacy policy.</x:v>
      </x:c>
      <x:c r="I261" s="75" t="str">
        <x:v>Voice-first gaming platform.</x:v>
      </x:c>
      <x:c r="J261" s="75" t="str">
        <x:v>Media is early/incomplete.</x:v>
      </x:c>
      <x:c r="K261" s="75" t="str">
        <x:v>Media is peer-to-peer rather than server-room focused.</x:v>
      </x:c>
      <x:c r="L261" s="75" t="str">
        <x:v>Current public docs: 720p15/30, 1080p30, Source up to 4K native at 30 FPS; audio-capture behavior varies by platform. Developer questionnaire separately reported 4K60 + audio capture.</x:v>
      </x:c>
      <x:c r="M261" s="75" t="str">
        <x:v>Media limits not well documented.</x:v>
      </x:c>
      <x:c r="N261" s="75" t="str">
        <x:v>Voice/video/screen share are live in open beta.</x:v>
      </x:c>
      <x:c r="O261" s="75" t="str">
        <x:v>Media limits belong to a client/homeserver/SFU deployment, not to Matrix as a universal platform.</x:v>
      </x:c>
      <x:c r="P261" s="75" t="str">
        <x:v>Native Calls supports screen share and meeting-style controls.</x:v>
      </x:c>
      <x:c r="Q261" s="75" t="str">
        <x:v>No paywall on voice/video quality claimed.</x:v>
      </x:c>
      <x:c r="R261" s="75" t="str">
        <x:v>Purpose-built voice; no webcam/screen-sharing core.</x:v>
      </x:c>
      <x:c r="S261" s="75" t="str">
        <x:v>Public docs emphasize chat more than media limits.</x:v>
      </x:c>
      <x:c r="T261" s="75" t="str">
        <x:v>Custom voice infrastructure is a headline feature.</x:v>
      </x:c>
      <x:c r="U261" s="75" t="str">
        <x:v>Browser screen share with tab audio; 360p–1080p; 2 presenters in smaller rooms and 4 in big rooms; hosted watch party has exceeded 100 participants.</x:v>
      </x:c>
      <x:c r="V261" s="75" t="str">
        <x:v>Rift's current pricing page lists 720p free, 1080p Ember/Rift+, 1440p Forge. Some comparison copy elsewhere has differed; pricing page used as authority.</x:v>
      </x:c>
      <x:c r="W261" s="75" t="str">
        <x:v>Media calling is not a single fixed platform profile across all Rocket.Chat deployments.</x:v>
      </x:c>
      <x:c r="X261" s="75" t="str">
        <x:v>Text/community-gardening focus.</x:v>
      </x:c>
      <x:c r="Y261" s="75" t="str">
        <x:v>Mobile can view shared screens.</x:v>
      </x:c>
      <x:c r="Z261" s="75" t="str">
        <x:v>Voice is optional and disabled unless operator installs a compatible media implementation.</x:v>
      </x:c>
      <x:c r="AA261" s="75" t="str">
        <x:v>Video chat and screen share launched 2026-07-17: 720p30 current quality, whole-screen/window sharing with audio, no stated screen/camera count limit, desktop/browser/mobile support.</x:v>
      </x:c>
      <x:c r="AB261" s="75" t="str">
        <x:v>TS6 screen sharing is still evolving; server-side streaming has lagged behind P2P. No stable official resolution-tier table was found.</x:v>
      </x:c>
      <x:c r="AC261" s="78"/>
      <x:c r="AD261" s="75" t="str">
        <x:v>Media details sparse.</x:v>
      </x:c>
      <x:c r="AE261" s="75" t="str">
        <x:v>Designed around always-present game-room media.</x:v>
      </x:c>
      <x:c r="AF261" s="75" t="str">
        <x:v>Self-host resource capacity determines practical limits.</x:v>
      </x:c>
      <x:c r="AG261" s="75" t="str">
        <x:v>Voice/video are intentionally delegated to services such as Jitsi/Zoom/BigBlueButton.</x:v>
      </x:c>
      <x:c r="AH261" s="122" t="n">
        <x:v>47</x:v>
      </x:c>
      <x:c r="AI261" s="123" t="str">
        <x:v>Canonical source for Screen Share Detail!47</x:v>
      </x:c>
    </x:row>
    <x:row r="262">
      <x:c r="A262" s="119" t="str">
        <x:v>Screen Share Detail</x:v>
      </x:c>
      <x:c r="B262" s="121" t="str">
        <x:v>Picture-in-Picture / Pop-Out Viewing?</x:v>
      </x:c>
      <x:c r="C262" s="75"/>
      <x:c r="D262" s="75"/>
      <x:c r="E262" s="75"/>
      <x:c r="F262" s="75"/>
      <x:c r="G262" s="75"/>
      <x:c r="H262" s="75"/>
      <x:c r="I262" s="75"/>
      <x:c r="J262" s="75"/>
      <x:c r="K262" s="75"/>
      <x:c r="L262" s="75" t="str">
        <x:v>Yes — mobile and desktop PiP/pop-out behavior documented</x:v>
      </x:c>
      <x:c r="M262" s="75"/>
      <x:c r="N262" s="75"/>
      <x:c r="O262" s="75"/>
      <x:c r="P262" s="75"/>
      <x:c r="Q262" s="75"/>
      <x:c r="R262" s="75"/>
      <x:c r="S262" s="75"/>
      <x:c r="T262" s="75"/>
      <x:c r="U262" s="75"/>
      <x:c r="V262" s="75"/>
      <x:c r="W262" s="75"/>
      <x:c r="X262" s="75"/>
      <x:c r="Y262" s="75"/>
      <x:c r="Z262" s="75"/>
      <x:c r="AA262" s="75"/>
      <x:c r="AB262" s="75"/>
      <x:c r="AC262" s="78"/>
      <x:c r="AD262" s="75"/>
      <x:c r="AE262" s="75"/>
      <x:c r="AF262" s="75"/>
      <x:c r="AG262" s="75"/>
      <x:c r="AH262" s="122" t="n">
        <x:v>49</x:v>
      </x:c>
      <x:c r="AI262" s="123" t="str">
        <x:v>Canonical source for Screen Share Detail!49</x:v>
      </x:c>
    </x:row>
    <x:row r="263">
      <x:c r="A263" s="119" t="str">
        <x:v>Screen Share Detail</x:v>
      </x:c>
      <x:c r="B263" s="121" t="str">
        <x:v>Adaptive Quality / Congestion Control?</x:v>
      </x:c>
      <x:c r="C263" s="75"/>
      <x:c r="D263" s="75"/>
      <x:c r="E263" s="75"/>
      <x:c r="F263" s="75"/>
      <x:c r="G263" s="75"/>
      <x:c r="H263" s="75"/>
      <x:c r="I263" s="75"/>
      <x:c r="J263" s="75"/>
      <x:c r="K263" s="75"/>
      <x:c r="L263" s="75" t="str">
        <x:v>Yes — WebRTC may reduce resolution/frame rate under congestion</x:v>
      </x:c>
      <x:c r="M263" s="75"/>
      <x:c r="N263" s="75"/>
      <x:c r="O263" s="75"/>
      <x:c r="P263" s="75"/>
      <x:c r="Q263" s="75"/>
      <x:c r="R263" s="75"/>
      <x:c r="S263" s="75"/>
      <x:c r="T263" s="75"/>
      <x:c r="U263" s="75"/>
      <x:c r="V263" s="75"/>
      <x:c r="W263" s="75"/>
      <x:c r="X263" s="75"/>
      <x:c r="Y263" s="75"/>
      <x:c r="Z263" s="75"/>
      <x:c r="AA263" s="75"/>
      <x:c r="AB263" s="75"/>
      <x:c r="AC263" s="78"/>
      <x:c r="AD263" s="75"/>
      <x:c r="AE263" s="75"/>
      <x:c r="AF263" s="75"/>
      <x:c r="AG263" s="75"/>
      <x:c r="AH263" s="122" t="n">
        <x:v>50</x:v>
      </x:c>
      <x:c r="AI263" s="123" t="str">
        <x:v>Canonical source for Screen Share Detail!50</x:v>
      </x:c>
    </x:row>
    <x:row r="264">
      <x:c r="A264" s="119" t="str">
        <x:v>Screen Share Detail</x:v>
      </x:c>
      <x:c r="B264" s="121" t="str">
        <x:v>Hardware-Accelerated Encoding?</x:v>
      </x:c>
      <x:c r="C264" s="75" t="str">
        <x:v>Client/platform dependent</x:v>
      </x:c>
      <x:c r="D264" s="75"/>
      <x:c r="E264" s="75"/>
      <x:c r="F264" s="75"/>
      <x:c r="G264" s="75"/>
      <x:c r="H264" s="75"/>
      <x:c r="I264" s="75"/>
      <x:c r="J264" s="75"/>
      <x:c r="K264" s="75"/>
      <x:c r="L264" s="75" t="str">
        <x:v>Not explicitly documented</x:v>
      </x:c>
      <x:c r="M264" s="75"/>
      <x:c r="N264" s="75"/>
      <x:c r="O264" s="75"/>
      <x:c r="P264" s="75"/>
      <x:c r="Q264" s="75"/>
      <x:c r="R264" s="75"/>
      <x:c r="S264" s="75"/>
      <x:c r="T264" s="75"/>
      <x:c r="U264" s="75"/>
      <x:c r="V264" s="75"/>
      <x:c r="W264" s="75"/>
      <x:c r="X264" s="75"/>
      <x:c r="Y264" s="75"/>
      <x:c r="Z264" s="75"/>
      <x:c r="AA264" s="75"/>
      <x:c r="AB264" s="75"/>
      <x:c r="AC264" s="78"/>
      <x:c r="AD264" s="75"/>
      <x:c r="AE264" s="75"/>
      <x:c r="AF264" s="75"/>
      <x:c r="AG264" s="75"/>
      <x:c r="AH264" s="122" t="n">
        <x:v>51</x:v>
      </x:c>
      <x:c r="AI264" s="123" t="str">
        <x:v>Canonical source for Screen Share Detail!51</x:v>
      </x:c>
    </x:row>
    <x:row r="265">
      <x:c r="A265" s="119" t="str">
        <x:v>Screen Share Detail</x:v>
      </x:c>
      <x:c r="B265" s="121" t="str">
        <x:v>Synchronized Watch Party?</x:v>
      </x:c>
      <x:c r="C265" s="75" t="str">
        <x:v>Via Activities</x:v>
      </x:c>
      <x:c r="D265" s="75"/>
      <x:c r="E265" s="75"/>
      <x:c r="F265" s="75"/>
      <x:c r="G265" s="75"/>
      <x:c r="H265" s="75"/>
      <x:c r="I265" s="75"/>
      <x:c r="J265" s="75"/>
      <x:c r="K265" s="75"/>
      <x:c r="L265" s="75" t="str">
        <x:v>No synchronized watch-party feature documented</x:v>
      </x:c>
      <x:c r="M265" s="75"/>
      <x:c r="N265" s="75"/>
      <x:c r="O265" s="75"/>
      <x:c r="P265" s="75"/>
      <x:c r="Q265" s="75"/>
      <x:c r="R265" s="75"/>
      <x:c r="S265" s="75"/>
      <x:c r="T265" s="75"/>
      <x:c r="U265" s="75" t="str">
        <x:v>Yes</x:v>
      </x:c>
      <x:c r="V265" s="75" t="str">
        <x:v>Yes — YouTube/Twitch Portal Watch Party</x:v>
      </x:c>
      <x:c r="W265" s="75"/>
      <x:c r="X265" s="75"/>
      <x:c r="Y265" s="75"/>
      <x:c r="Z265" s="75"/>
      <x:c r="AA265" s="75"/>
      <x:c r="AB265" s="75"/>
      <x:c r="AC265" s="78"/>
      <x:c r="AD265" s="75"/>
      <x:c r="AE265" s="75"/>
      <x:c r="AF265" s="75"/>
      <x:c r="AG265" s="75"/>
      <x:c r="AH265" s="122" t="n">
        <x:v>52</x:v>
      </x:c>
      <x:c r="AI265" s="123" t="str">
        <x:v>Canonical source for Screen Share Detail!52</x:v>
      </x:c>
    </x:row>
    <x:row r="266">
      <x:c r="A266" s="119" t="str">
        <x:v>Media &amp; Limits</x:v>
      </x:c>
      <x:c r="B266" s="121" t="str">
        <x:v>Persistent Voice Rooms</x:v>
      </x:c>
      <x:c r="C266" s="75" t="str">
        <x:v>Yes — persistent server voice channels</x:v>
      </x:c>
      <x:c r="D266" s="75" t="str">
        <x:v>Yes</x:v>
      </x:c>
      <x:c r="E266" s="75" t="str">
        <x:v>Yes</x:v>
      </x:c>
      <x:c r="F266" s="75" t="str">
        <x:v>Yes</x:v>
      </x:c>
      <x:c r="G266" s="75" t="str">
        <x:v>Yes</x:v>
      </x:c>
      <x:c r="H266" s="75" t="str">
        <x:v>Yes</x:v>
      </x:c>
      <x:c r="I266" s="75" t="str">
        <x:v>Yes</x:v>
      </x:c>
      <x:c r="J266" s="75" t="str">
        <x:v>Yes — LiveKit voice channels</x:v>
      </x:c>
      <x:c r="K266" s="75" t="str">
        <x:v>No persistent voice-room model verified</x:v>
      </x:c>
      <x:c r="L266" s="75" t="str">
        <x:v>Yes</x:v>
      </x:c>
      <x:c r="M266" s="75" t="str">
        <x:v>Yes</x:v>
      </x:c>
      <x:c r="N266" s="75" t="str">
        <x:v>Yes</x:v>
      </x:c>
      <x:c r="O266" s="75" t="str">
        <x:v>Client-dependent; many clients support calls/rooms</x:v>
      </x:c>
      <x:c r="P266" s="75" t="str">
        <x:v>Calls available; not Discord-style always-on voice-first UX</x:v>
      </x:c>
      <x:c r="Q266" s="75" t="str">
        <x:v>Yes</x:v>
      </x:c>
      <x:c r="R266" s="75" t="str">
        <x:v>Yes — voice channels are the core product</x:v>
      </x:c>
      <x:c r="S266" s="75"/>
      <x:c r="T266" s="75" t="str">
        <x:v>Yes</x:v>
      </x:c>
      <x:c r="U266" s="75" t="str">
        <x:v>Yes</x:v>
      </x:c>
      <x:c r="V266" s="75" t="str">
        <x:v>Yes</x:v>
      </x:c>
      <x:c r="W266" s="75" t="str">
        <x:v>Voice/video deployment/provider-dependent</x:v>
      </x:c>
      <x:c r="X266" s="75" t="str">
        <x:v>No mature voice verified</x:v>
      </x:c>
      <x:c r="Y266" s="75" t="str">
        <x:v>Yes</x:v>
      </x:c>
      <x:c r="Z266" s="75" t="str">
        <x:v>Yes when optional voice package is installed</x:v>
      </x:c>
      <x:c r="AA266" s="75" t="str">
        <x:v>Yes — persistent server voice channels</x:v>
      </x:c>
      <x:c r="AB266" s="75" t="str">
        <x:v>Yes</x:v>
      </x:c>
      <x:c r="AC266" s="78" t="str">
        <x:v>Yes</x:v>
      </x:c>
      <x:c r="AD266" s="75"/>
      <x:c r="AE266" s="75" t="str">
        <x:v>Yes — voice in rooms</x:v>
      </x:c>
      <x:c r="AF266" s="75" t="str">
        <x:v>Yes</x:v>
      </x:c>
      <x:c r="AG266" s="75" t="str">
        <x:v>No native persistent voice rooms</x:v>
      </x:c>
      <x:c r="AH266" s="122" t="n">
        <x:v>3</x:v>
      </x:c>
      <x:c r="AI266" s="123" t="str">
        <x:v>Canonical metric shared by: At a Glance: Persistent Voice Rooms | Media &amp; Limits: Persistent Voice Rooms</x:v>
      </x:c>
    </x:row>
    <x:row r="267">
      <x:c r="A267" s="119" t="str">
        <x:v>Media &amp; Limits</x:v>
      </x:c>
      <x:c r="B267" s="121" t="str">
        <x:v>DM Calls</x:v>
      </x:c>
      <x:c r="C267" s="75" t="str">
        <x:v>Yes</x:v>
      </x:c>
      <x:c r="D267" s="75"/>
      <x:c r="E267" s="75"/>
      <x:c r="F267" s="75" t="str">
        <x:v>Yes</x:v>
      </x:c>
      <x:c r="G267" s="75" t="str">
        <x:v>Yes</x:v>
      </x:c>
      <x:c r="H267" s="75" t="str">
        <x:v>Yes</x:v>
      </x:c>
      <x:c r="I267" s="75"/>
      <x:c r="J267" s="75"/>
      <x:c r="K267" s="75" t="str">
        <x:v>Yes calls</x:v>
      </x:c>
      <x:c r="L267" s="75" t="str">
        <x:v>Yes</x:v>
      </x:c>
      <x:c r="M267" s="75"/>
      <x:c r="N267" s="75" t="str">
        <x:v>Yes</x:v>
      </x:c>
      <x:c r="O267" s="75" t="str">
        <x:v>Client-dependent</x:v>
      </x:c>
      <x:c r="P267" s="75" t="str">
        <x:v>Yes</x:v>
      </x:c>
      <x:c r="Q267" s="75" t="str">
        <x:v>Yes</x:v>
      </x:c>
      <x:c r="R267" s="75" t="str">
        <x:v>No persistent DM call model</x:v>
      </x:c>
      <x:c r="S267" s="75"/>
      <x:c r="T267" s="75"/>
      <x:c r="U267" s="75" t="str">
        <x:v>Yes</x:v>
      </x:c>
      <x:c r="V267" s="75" t="str">
        <x:v>Yes - Encrypted</x:v>
      </x:c>
      <x:c r="W267" s="75" t="str">
        <x:v>Provider/deployment dependent</x:v>
      </x:c>
      <x:c r="X267" s="75"/>
      <x:c r="Y267" s="75" t="str">
        <x:v>Yes</x:v>
      </x:c>
      <x:c r="Z267" s="75" t="str">
        <x:v>Yes</x:v>
      </x:c>
      <x:c r="AA267" s="75"/>
      <x:c r="AB267" s="75"/>
      <x:c r="AC267" s="78"/>
      <x:c r="AD267" s="75"/>
      <x:c r="AE267" s="75" t="str">
        <x:v>Yes</x:v>
      </x:c>
      <x:c r="AF267" s="75"/>
      <x:c r="AG267" s="75" t="str">
        <x:v>External provider</x:v>
      </x:c>
      <x:c r="AH267" s="122" t="n">
        <x:v>4</x:v>
      </x:c>
      <x:c r="AI267" s="123" t="str">
        <x:v>Canonical source for Media &amp; Limits!4</x:v>
      </x:c>
    </x:row>
    <x:row r="268">
      <x:c r="A268" s="119" t="str">
        <x:v>Media &amp; Limits</x:v>
      </x:c>
      <x:c r="B268" s="121" t="str">
        <x:v>Group Calls</x:v>
      </x:c>
      <x:c r="C268" s="75" t="str">
        <x:v>Yes</x:v>
      </x:c>
      <x:c r="D268" s="75"/>
      <x:c r="E268" s="75"/>
      <x:c r="F268" s="75" t="str">
        <x:v>Yes</x:v>
      </x:c>
      <x:c r="G268" s="75" t="str">
        <x:v>Yes</x:v>
      </x:c>
      <x:c r="H268" s="75" t="str">
        <x:v>Yes</x:v>
      </x:c>
      <x:c r="I268" s="75"/>
      <x:c r="J268" s="75"/>
      <x:c r="K268" s="75"/>
      <x:c r="L268" s="75" t="str">
        <x:v>Yes</x:v>
      </x:c>
      <x:c r="M268" s="75"/>
      <x:c r="N268" s="75" t="str">
        <x:v>Yes</x:v>
      </x:c>
      <x:c r="O268" s="75" t="str">
        <x:v>Client-dependent</x:v>
      </x:c>
      <x:c r="P268" s="75" t="str">
        <x:v>Yes</x:v>
      </x:c>
      <x:c r="Q268" s="75" t="str">
        <x:v>Yes</x:v>
      </x:c>
      <x:c r="R268" s="75" t="str">
        <x:v>No group call model separate from channels</x:v>
      </x:c>
      <x:c r="S268" s="75"/>
      <x:c r="T268" s="75"/>
      <x:c r="U268" s="75" t="str">
        <x:v>Yes</x:v>
      </x:c>
      <x:c r="V268" s="75" t="str">
        <x:v>No</x:v>
      </x:c>
      <x:c r="W268" s="75" t="str">
        <x:v>Provider/deployment dependent</x:v>
      </x:c>
      <x:c r="X268" s="75"/>
      <x:c r="Y268" s="75" t="str">
        <x:v>Yes</x:v>
      </x:c>
      <x:c r="Z268" s="75" t="str">
        <x:v>Yes</x:v>
      </x:c>
      <x:c r="AA268" s="75"/>
      <x:c r="AB268" s="75"/>
      <x:c r="AC268" s="78"/>
      <x:c r="AD268" s="75"/>
      <x:c r="AE268" s="75" t="str">
        <x:v>Yes</x:v>
      </x:c>
      <x:c r="AF268" s="75"/>
      <x:c r="AG268" s="75" t="str">
        <x:v>External provider</x:v>
      </x:c>
      <x:c r="AH268" s="122" t="n">
        <x:v>5</x:v>
      </x:c>
      <x:c r="AI268" s="123" t="str">
        <x:v>Canonical source for Media &amp; Limits!5</x:v>
      </x:c>
    </x:row>
    <x:row r="269">
      <x:c r="A269" s="119" t="str">
        <x:v>Media &amp; Limits</x:v>
      </x:c>
      <x:c r="B269" s="121" t="str">
        <x:v>Media Backend / SFU</x:v>
      </x:c>
      <x:c r="C269" s="75" t="str">
        <x:v>Discord media infrastructure / DAVE</x:v>
      </x:c>
      <x:c r="D269" s="75"/>
      <x:c r="E269" s="75" t="str">
        <x:v>LiveKit</x:v>
      </x:c>
      <x:c r="F269" s="75" t="str">
        <x:v>LiveKit</x:v>
      </x:c>
      <x:c r="G269" s="75" t="str">
        <x:v>LiveKit</x:v>
      </x:c>
      <x:c r="H269" s="75" t="str">
        <x:v>LiveKit + Fluxer media stack</x:v>
      </x:c>
      <x:c r="I269" s="75" t="str">
        <x:v>GameVox media stack</x:v>
      </x:c>
      <x:c r="J269" s="75" t="str">
        <x:v>LiveKit</x:v>
      </x:c>
      <x:c r="K269" s="75" t="str">
        <x:v>P2P WebRTC + TURN fallback</x:v>
      </x:c>
      <x:c r="L269" s="75" t="str">
        <x:v>LiveKit</x:v>
      </x:c>
      <x:c r="M269" s="75"/>
      <x:c r="N269" s="75" t="str">
        <x:v>LiveKit</x:v>
      </x:c>
      <x:c r="O269" s="75" t="str">
        <x:v>MatrixRTC + deployment SFU(s), or legacy/provider integrations</x:v>
      </x:c>
      <x:c r="P269" s="75" t="str">
        <x:v>Mattermost Calls WebRTC/SFU</x:v>
      </x:c>
      <x:c r="Q269" s="75" t="str">
        <x:v>Custom WebRTC SFU</x:v>
      </x:c>
      <x:c r="R269" s="75" t="str">
        <x:v>Mumble server mixes/routes voice</x:v>
      </x:c>
      <x:c r="S269" s="75"/>
      <x:c r="T269" s="75" t="str">
        <x:v>Custom media infrastructure</x:v>
      </x:c>
      <x:c r="U269" s="75" t="str">
        <x:v>Small rooms/DM calls may be P2P; listed/larger hosted rooms use LiveKit</x:v>
      </x:c>
      <x:c r="V269" s="75"/>
      <x:c r="W269" s="75" t="str">
        <x:v>Deployment/integration dependent</x:v>
      </x:c>
      <x:c r="X269" s="75" t="str">
        <x:v>N/A</x:v>
      </x:c>
      <x:c r="Y269" s="75"/>
      <x:c r="Z269" s="75" t="str">
        <x:v>Optional Pion/Medooze/Mediasoup WebRTC implementations</x:v>
      </x:c>
      <x:c r="AA269" s="75" t="str">
        <x:v>LiveKit</x:v>
      </x:c>
      <x:c r="AB269" s="75" t="str">
        <x:v>TeamSpeak media server</x:v>
      </x:c>
      <x:c r="AC269" s="78" t="str">
        <x:v>LiveKit</x:v>
      </x:c>
      <x:c r="AD269" s="75"/>
      <x:c r="AE269" s="75" t="str">
        <x:v>LiveKit</x:v>
      </x:c>
      <x:c r="AF269" s="75" t="str">
        <x:v>Self-host media</x:v>
      </x:c>
      <x:c r="AG269" s="75" t="str">
        <x:v>External integration/provider</x:v>
      </x:c>
      <x:c r="AH269" s="122" t="n">
        <x:v>6</x:v>
      </x:c>
      <x:c r="AI269" s="123" t="str">
        <x:v>Canonical source for Media &amp; Limits!6</x:v>
      </x:c>
    </x:row>
    <x:row r="270">
      <x:c r="A270" s="119" t="str">
        <x:v>Media &amp; Limits</x:v>
      </x:c>
      <x:c r="B270" s="121" t="str">
        <x:v>Free / Base Audio Bitrate</x:v>
      </x:c>
      <x:c r="C270" s="75" t="str">
        <x:v>96 kbps base server voice</x:v>
      </x:c>
      <x:c r="D270" s="75"/>
      <x:c r="E270" s="75"/>
      <x:c r="F270" s="75"/>
      <x:c r="G270" s="75"/>
      <x:c r="H270" s="75"/>
      <x:c r="I270" s="75"/>
      <x:c r="J270" s="75"/>
      <x:c r="K270" s="75"/>
      <x:c r="L270" s="75" t="str">
        <x:v>24 / 48 / 96 / 128 kbps selectable Opus ceilings</x:v>
      </x:c>
      <x:c r="M270" s="75"/>
      <x:c r="N270" s="75"/>
      <x:c r="O270" s="75" t="str">
        <x:v>Client/provider-dependent</x:v>
      </x:c>
      <x:c r="P270" s="75"/>
      <x:c r="Q270" s="75"/>
      <x:c r="R270" s="75" t="str">
        <x:v>Server configured</x:v>
      </x:c>
      <x:c r="S270" s="75"/>
      <x:c r="T270" s="75"/>
      <x:c r="U270" s="75" t="str">
        <x:v>Not publicly claimed</x:v>
      </x:c>
      <x:c r="V270" s="75" t="str">
        <x:v>96 kbps</x:v>
      </x:c>
      <x:c r="W270" s="75"/>
      <x:c r="X270" s="75" t="str">
        <x:v>N/A</x:v>
      </x:c>
      <x:c r="Y270" s="75"/>
      <x:c r="Z270" s="75"/>
      <x:c r="AA270" s="75"/>
      <x:c r="AB270" s="75"/>
      <x:c r="AC270" s="78"/>
      <x:c r="AD270" s="75"/>
      <x:c r="AE270" s="75"/>
      <x:c r="AF270" s="75"/>
      <x:c r="AG270" s="75" t="str">
        <x:v>Provider-dependent</x:v>
      </x:c>
      <x:c r="AH270" s="122" t="n">
        <x:v>8</x:v>
      </x:c>
      <x:c r="AI270" s="123" t="str">
        <x:v>Canonical source for Media &amp; Limits!8</x:v>
      </x:c>
    </x:row>
    <x:row r="271">
      <x:c r="A271" s="119" t="str">
        <x:v>Media &amp; Limits</x:v>
      </x:c>
      <x:c r="B271" s="121" t="str">
        <x:v>Maximum Audio Bitrate</x:v>
      </x:c>
      <x:c r="C271" s="75" t="str">
        <x:v>384 kbps boosted</x:v>
      </x:c>
      <x:c r="D271" s="75"/>
      <x:c r="E271" s="75" t="str">
        <x:v>Configurable up to very high</x:v>
      </x:c>
      <x:c r="F271" s="75"/>
      <x:c r="G271" s="75"/>
      <x:c r="H271" s="75"/>
      <x:c r="I271" s="75"/>
      <x:c r="J271" s="75"/>
      <x:c r="K271" s="75"/>
      <x:c r="L271" s="75" t="str">
        <x:v>128 kbps</x:v>
      </x:c>
      <x:c r="M271" s="75"/>
      <x:c r="N271" s="75"/>
      <x:c r="O271" s="75" t="str">
        <x:v>Client/provider-dependent</x:v>
      </x:c>
      <x:c r="P271" s="75"/>
      <x:c r="Q271" s="75"/>
      <x:c r="R271" s="75" t="str">
        <x:v>Server configured</x:v>
      </x:c>
      <x:c r="S271" s="75"/>
      <x:c r="T271" s="75"/>
      <x:c r="U271" s="75" t="str">
        <x:v>Not publicly claimed</x:v>
      </x:c>
      <x:c r="V271" s="75" t="str">
        <x:v>192 kbps (Forge Shard)</x:v>
      </x:c>
      <x:c r="W271" s="75"/>
      <x:c r="X271" s="75" t="str">
        <x:v>N/A</x:v>
      </x:c>
      <x:c r="Y271" s="75"/>
      <x:c r="Z271" s="75"/>
      <x:c r="AA271" s="75"/>
      <x:c r="AB271" s="75"/>
      <x:c r="AC271" s="78"/>
      <x:c r="AD271" s="75"/>
      <x:c r="AE271" s="75"/>
      <x:c r="AF271" s="75"/>
      <x:c r="AG271" s="75" t="str">
        <x:v>Provider-dependent</x:v>
      </x:c>
      <x:c r="AH271" s="122" t="n">
        <x:v>9</x:v>
      </x:c>
      <x:c r="AI271" s="123" t="str">
        <x:v>Canonical source for Media &amp; Limits!9</x:v>
      </x:c>
    </x:row>
    <x:row r="272">
      <x:c r="A272" s="119" t="str">
        <x:v>Media &amp; Limits</x:v>
      </x:c>
      <x:c r="B272" s="121" t="str">
        <x:v>Push-to-Talk</x:v>
      </x:c>
      <x:c r="C272" s="75" t="str">
        <x:v>Yes</x:v>
      </x:c>
      <x:c r="D272" s="75"/>
      <x:c r="E272" s="75"/>
      <x:c r="F272" s="75"/>
      <x:c r="G272" s="75" t="str">
        <x:v>Yes</x:v>
      </x:c>
      <x:c r="H272" s="75" t="str">
        <x:v>Yes</x:v>
      </x:c>
      <x:c r="I272" s="75" t="str">
        <x:v>Yes</x:v>
      </x:c>
      <x:c r="J272" s="75"/>
      <x:c r="K272" s="75"/>
      <x:c r="L272" s="75" t="str">
        <x:v>Yes</x:v>
      </x:c>
      <x:c r="M272" s="75"/>
      <x:c r="N272" s="75" t="str">
        <x:v>Yes</x:v>
      </x:c>
      <x:c r="O272" s="75" t="str">
        <x:v>Client-dependent</x:v>
      </x:c>
      <x:c r="P272" s="75"/>
      <x:c r="Q272" s="75"/>
      <x:c r="R272" s="75" t="str">
        <x:v>Yes</x:v>
      </x:c>
      <x:c r="S272" s="75"/>
      <x:c r="T272" s="75"/>
      <x:c r="U272" s="75" t="str">
        <x:v>Yes</x:v>
      </x:c>
      <x:c r="V272" s="75" t="str">
        <x:v>Yes</x:v>
      </x:c>
      <x:c r="W272" s="75"/>
      <x:c r="X272" s="75" t="str">
        <x:v>N/A</x:v>
      </x:c>
      <x:c r="Y272" s="75" t="str">
        <x:v>Yes</x:v>
      </x:c>
      <x:c r="Z272" s="75" t="str">
        <x:v>Client-dependent</x:v>
      </x:c>
      <x:c r="AA272" s="75" t="str">
        <x:v>Yes</x:v>
      </x:c>
      <x:c r="AB272" s="75" t="str">
        <x:v>Yes</x:v>
      </x:c>
      <x:c r="AC272" s="78"/>
      <x:c r="AD272" s="75"/>
      <x:c r="AE272" s="75" t="str">
        <x:v>Yes</x:v>
      </x:c>
      <x:c r="AF272" s="75"/>
      <x:c r="AG272" s="75" t="str">
        <x:v>Provider-dependent</x:v>
      </x:c>
      <x:c r="AH272" s="122" t="n">
        <x:v>10</x:v>
      </x:c>
      <x:c r="AI272" s="123" t="str">
        <x:v>Canonical source for Media &amp; Limits!10</x:v>
      </x:c>
    </x:row>
    <x:row r="273">
      <x:c r="A273" s="119" t="str">
        <x:v>Media &amp; Limits</x:v>
      </x:c>
      <x:c r="B273" s="121" t="str">
        <x:v>Per-User Volume</x:v>
      </x:c>
      <x:c r="C273" s="75" t="str">
        <x:v>Yes</x:v>
      </x:c>
      <x:c r="D273" s="75"/>
      <x:c r="E273" s="75"/>
      <x:c r="F273" s="75"/>
      <x:c r="G273" s="75" t="str">
        <x:v>Yes</x:v>
      </x:c>
      <x:c r="H273" s="75" t="str">
        <x:v>Yes</x:v>
      </x:c>
      <x:c r="I273" s="75" t="str">
        <x:v>Yes</x:v>
      </x:c>
      <x:c r="J273" s="75"/>
      <x:c r="K273" s="75"/>
      <x:c r="L273" s="75"/>
      <x:c r="M273" s="75"/>
      <x:c r="N273" s="75" t="str">
        <x:v>Yes</x:v>
      </x:c>
      <x:c r="O273" s="75" t="str">
        <x:v>Client-dependent</x:v>
      </x:c>
      <x:c r="P273" s="75" t="str">
        <x:v>Yes</x:v>
      </x:c>
      <x:c r="Q273" s="75"/>
      <x:c r="R273" s="75" t="str">
        <x:v>Yes</x:v>
      </x:c>
      <x:c r="S273" s="75"/>
      <x:c r="T273" s="75"/>
      <x:c r="U273" s="75" t="str">
        <x:v>Yes</x:v>
      </x:c>
      <x:c r="V273" s="75" t="str">
        <x:v>Yes</x:v>
      </x:c>
      <x:c r="W273" s="75"/>
      <x:c r="X273" s="75" t="str">
        <x:v>N/A</x:v>
      </x:c>
      <x:c r="Y273" s="75" t="str">
        <x:v>Yes</x:v>
      </x:c>
      <x:c r="Z273" s="75" t="str">
        <x:v>Client-dependent</x:v>
      </x:c>
      <x:c r="AA273" s="75" t="str">
        <x:v>Yes</x:v>
      </x:c>
      <x:c r="AB273" s="75" t="str">
        <x:v>Yes</x:v>
      </x:c>
      <x:c r="AC273" s="78"/>
      <x:c r="AD273" s="75"/>
      <x:c r="AE273" s="75"/>
      <x:c r="AF273" s="75"/>
      <x:c r="AG273" s="75" t="str">
        <x:v>Provider-dependent</x:v>
      </x:c>
      <x:c r="AH273" s="122" t="n">
        <x:v>11</x:v>
      </x:c>
      <x:c r="AI273" s="123" t="str">
        <x:v>Canonical source for Media &amp; Limits!11</x:v>
      </x:c>
    </x:row>
    <x:row r="274">
      <x:c r="A274" s="119" t="str">
        <x:v>Media &amp; Limits</x:v>
      </x:c>
      <x:c r="B274" s="121" t="str">
        <x:v>Noise Suppression</x:v>
      </x:c>
      <x:c r="C274" s="75" t="str">
        <x:v>Krisp</x:v>
      </x:c>
      <x:c r="D274" s="75"/>
      <x:c r="E274" s="75" t="str">
        <x:v>Noise/echo cancellation</x:v>
      </x:c>
      <x:c r="F274" s="75" t="str">
        <x:v>Echo cancellation/noise suppression/auto gain</x:v>
      </x:c>
      <x:c r="G274" s="75" t="str">
        <x:v>DeepFilterNet3/local processing</x:v>
      </x:c>
      <x:c r="H274" s="75" t="str">
        <x:v>DeepFilterNet3</x:v>
      </x:c>
      <x:c r="I274" s="75" t="str">
        <x:v>Built-in processing</x:v>
      </x:c>
      <x:c r="J274" s="75"/>
      <x:c r="K274" s="75"/>
      <x:c r="L274" s="75" t="str">
        <x:v>Yes — desktop/mobile; web suppression unavailable per developer report</x:v>
      </x:c>
      <x:c r="M274" s="75"/>
      <x:c r="N274" s="75" t="str">
        <x:v>Noise suppression</x:v>
      </x:c>
      <x:c r="O274" s="75" t="str">
        <x:v>Client-dependent</x:v>
      </x:c>
      <x:c r="P274" s="75" t="str">
        <x:v>WebRTC processing</x:v>
      </x:c>
      <x:c r="Q274" s="75"/>
      <x:c r="R274" s="75" t="str">
        <x:v>Built-in processing</x:v>
      </x:c>
      <x:c r="S274" s="75"/>
      <x:c r="T274" s="75"/>
      <x:c r="U274" s="75" t="str">
        <x:v>No branded/public engine claim</x:v>
      </x:c>
      <x:c r="V274" s="75" t="str">
        <x:v>Yes</x:v>
      </x:c>
      <x:c r="W274" s="75" t="str">
        <x:v>Provider-dependent</x:v>
      </x:c>
      <x:c r="X274" s="75" t="str">
        <x:v>N/A</x:v>
      </x:c>
      <x:c r="Y274" s="75"/>
      <x:c r="Z274" s="75"/>
      <x:c r="AA274" s="75" t="str">
        <x:v>RNNoise</x:v>
      </x:c>
      <x:c r="AB274" s="75" t="str">
        <x:v>Built-in</x:v>
      </x:c>
      <x:c r="AC274" s="78"/>
      <x:c r="AD274" s="75"/>
      <x:c r="AE274" s="75"/>
      <x:c r="AF274" s="75"/>
      <x:c r="AG274" s="75" t="str">
        <x:v>Provider-dependent</x:v>
      </x:c>
      <x:c r="AH274" s="122" t="n">
        <x:v>12</x:v>
      </x:c>
      <x:c r="AI274" s="123" t="str">
        <x:v>Canonical source for Media &amp; Limits!12</x:v>
      </x:c>
    </x:row>
    <x:row r="275">
      <x:c r="A275" s="119" t="str">
        <x:v>Media &amp; Limits</x:v>
      </x:c>
      <x:c r="B275" s="121" t="str">
        <x:v>Spatial / Proximity Audio</x:v>
      </x:c>
      <x:c r="C275" s="75" t="str">
        <x:v>No native proximity</x:v>
      </x:c>
      <x:c r="D275" s="75" t="str">
        <x:v>No</x:v>
      </x:c>
      <x:c r="E275" s="75" t="str">
        <x:v>No</x:v>
      </x:c>
      <x:c r="F275" s="75" t="str">
        <x:v>No</x:v>
      </x:c>
      <x:c r="G275" s="75" t="str">
        <x:v>No</x:v>
      </x:c>
      <x:c r="H275" s="75" t="str">
        <x:v>No</x:v>
      </x:c>
      <x:c r="I275" s="75" t="str">
        <x:v>GameLink spatial audio</x:v>
      </x:c>
      <x:c r="J275" s="75" t="str">
        <x:v>No</x:v>
      </x:c>
      <x:c r="K275" s="75" t="str">
        <x:v>No</x:v>
      </x:c>
      <x:c r="L275" s="75"/>
      <x:c r="M275" s="75" t="str">
        <x:v>No</x:v>
      </x:c>
      <x:c r="N275" s="75" t="str">
        <x:v>No</x:v>
      </x:c>
      <x:c r="O275" s="75" t="str">
        <x:v>Client-dependent</x:v>
      </x:c>
      <x:c r="P275" s="75" t="str">
        <x:v>No</x:v>
      </x:c>
      <x:c r="Q275" s="75" t="str">
        <x:v>No</x:v>
      </x:c>
      <x:c r="R275" s="75" t="str">
        <x:v>Yes — positional audio</x:v>
      </x:c>
      <x:c r="S275" s="75" t="str">
        <x:v>No</x:v>
      </x:c>
      <x:c r="T275" s="75" t="str">
        <x:v>No</x:v>
      </x:c>
      <x:c r="U275" s="75" t="str">
        <x:v>No</x:v>
      </x:c>
      <x:c r="V275" s="75" t="str">
        <x:v>No</x:v>
      </x:c>
      <x:c r="W275" s="75" t="str">
        <x:v>No</x:v>
      </x:c>
      <x:c r="X275" s="75" t="str">
        <x:v>N/A</x:v>
      </x:c>
      <x:c r="Y275" s="75" t="str">
        <x:v>No</x:v>
      </x:c>
      <x:c r="Z275" s="75" t="str">
        <x:v>No</x:v>
      </x:c>
      <x:c r="AA275" s="75" t="str">
        <x:v>No</x:v>
      </x:c>
      <x:c r="AB275" s="75" t="str">
        <x:v>3D/positional support historically</x:v>
      </x:c>
      <x:c r="AC275" s="78" t="str">
        <x:v>No</x:v>
      </x:c>
      <x:c r="AD275" s="75" t="str">
        <x:v>No</x:v>
      </x:c>
      <x:c r="AE275" s="75" t="str">
        <x:v>No</x:v>
      </x:c>
      <x:c r="AF275" s="75" t="str">
        <x:v>Yes — spatial/proximity</x:v>
      </x:c>
      <x:c r="AG275" s="75" t="str">
        <x:v>No</x:v>
      </x:c>
      <x:c r="AH275" s="122" t="n">
        <x:v>13</x:v>
      </x:c>
      <x:c r="AI275" s="123" t="str">
        <x:v>Canonical source for Media &amp; Limits!13</x:v>
      </x:c>
    </x:row>
    <x:row r="276">
      <x:c r="A276" s="119" t="str">
        <x:v>Media &amp; Limits</x:v>
      </x:c>
      <x:c r="B276" s="121" t="str">
        <x:v>Stage / Broadcast Mode</x:v>
      </x:c>
      <x:c r="C276" s="75" t="str">
        <x:v>Yes — Stage</x:v>
      </x:c>
      <x:c r="D276" s="75"/>
      <x:c r="E276" s="75" t="str">
        <x:v>No</x:v>
      </x:c>
      <x:c r="F276" s="75" t="str">
        <x:v>No</x:v>
      </x:c>
      <x:c r="G276" s="75" t="str">
        <x:v>Nested voice/host-broadcasting direction</x:v>
      </x:c>
      <x:c r="H276" s="75"/>
      <x:c r="I276" s="75" t="str">
        <x:v>No Stage verified</x:v>
      </x:c>
      <x:c r="J276" s="75" t="str">
        <x:v>No</x:v>
      </x:c>
      <x:c r="K276" s="75" t="str">
        <x:v>No</x:v>
      </x:c>
      <x:c r="L276" s="75" t="str">
        <x:v>Developer-reported Stage channels</x:v>
      </x:c>
      <x:c r="M276" s="75" t="str">
        <x:v>No</x:v>
      </x:c>
      <x:c r="N276" s="75" t="str">
        <x:v>Stage/channel model</x:v>
      </x:c>
      <x:c r="O276" s="75" t="str">
        <x:v>Client-dependent</x:v>
      </x:c>
      <x:c r="P276" s="75" t="str">
        <x:v>Call presentation</x:v>
      </x:c>
      <x:c r="Q276" s="75"/>
      <x:c r="R276" s="75" t="str">
        <x:v>No</x:v>
      </x:c>
      <x:c r="S276" s="75" t="str">
        <x:v>No</x:v>
      </x:c>
      <x:c r="T276" s="75" t="str">
        <x:v>No Stage verified</x:v>
      </x:c>
      <x:c r="U276" s="75" t="str">
        <x:v>No</x:v>
      </x:c>
      <x:c r="V276" s="75" t="str">
        <x:v>No dedicated Stage; announcements + permissions / voice launchers</x:v>
      </x:c>
      <x:c r="W276" s="75" t="str">
        <x:v>Provider-dependent</x:v>
      </x:c>
      <x:c r="X276" s="75" t="str">
        <x:v>N/A</x:v>
      </x:c>
      <x:c r="Y276" s="75" t="str">
        <x:v>No dedicated stage</x:v>
      </x:c>
      <x:c r="Z276" s="75"/>
      <x:c r="AA276" s="75" t="str">
        <x:v>No verified</x:v>
      </x:c>
      <x:c r="AB276" s="75" t="str">
        <x:v>No Discord stage equivalent</x:v>
      </x:c>
      <x:c r="AC276" s="78" t="str">
        <x:v>No</x:v>
      </x:c>
      <x:c r="AD276" s="75" t="str">
        <x:v>No</x:v>
      </x:c>
      <x:c r="AE276" s="75" t="str">
        <x:v>Room stage/media surface</x:v>
      </x:c>
      <x:c r="AF276" s="75" t="str">
        <x:v>No</x:v>
      </x:c>
      <x:c r="AG276" s="75" t="str">
        <x:v>Provider-dependent</x:v>
      </x:c>
      <x:c r="AH276" s="122" t="n">
        <x:v>14</x:v>
      </x:c>
      <x:c r="AI276" s="123" t="str">
        <x:v>Canonical source for Media &amp; Limits!14</x:v>
      </x:c>
    </x:row>
    <x:row r="277">
      <x:c r="A277" s="119" t="str">
        <x:v>Media &amp; Limits</x:v>
      </x:c>
      <x:c r="B277" s="121" t="str">
        <x:v>Raise Hand / Speaker Requests</x:v>
      </x:c>
      <x:c r="C277" s="75" t="str">
        <x:v>Yes</x:v>
      </x:c>
      <x:c r="D277" s="75"/>
      <x:c r="E277" s="75"/>
      <x:c r="F277" s="75"/>
      <x:c r="G277" s="75"/>
      <x:c r="H277" s="75"/>
      <x:c r="I277" s="75"/>
      <x:c r="J277" s="75"/>
      <x:c r="K277" s="75" t="str">
        <x:v>No</x:v>
      </x:c>
      <x:c r="L277" s="75" t="str">
        <x:v>Not documented</x:v>
      </x:c>
      <x:c r="M277" s="75"/>
      <x:c r="N277" s="75"/>
      <x:c r="O277" s="75" t="str">
        <x:v>Client-dependent</x:v>
      </x:c>
      <x:c r="P277" s="75" t="str">
        <x:v>Yes</x:v>
      </x:c>
      <x:c r="Q277" s="75"/>
      <x:c r="R277" s="75" t="str">
        <x:v>No</x:v>
      </x:c>
      <x:c r="S277" s="75"/>
      <x:c r="T277" s="75"/>
      <x:c r="U277" s="75"/>
      <x:c r="V277" s="75" t="str">
        <x:v>No</x:v>
      </x:c>
      <x:c r="W277" s="75" t="str">
        <x:v>Provider-dependent</x:v>
      </x:c>
      <x:c r="X277" s="75" t="str">
        <x:v>N/A</x:v>
      </x:c>
      <x:c r="Y277" s="75"/>
      <x:c r="Z277" s="75"/>
      <x:c r="AA277" s="75"/>
      <x:c r="AB277" s="75"/>
      <x:c r="AC277" s="78"/>
      <x:c r="AD277" s="75"/>
      <x:c r="AE277" s="75"/>
      <x:c r="AF277" s="75" t="str">
        <x:v>No</x:v>
      </x:c>
      <x:c r="AG277" s="75" t="str">
        <x:v>Provider-dependent</x:v>
      </x:c>
      <x:c r="AH277" s="122" t="n">
        <x:v>15</x:v>
      </x:c>
      <x:c r="AI277" s="123" t="str">
        <x:v>Canonical source for Media &amp; Limits!15</x:v>
      </x:c>
    </x:row>
    <x:row r="278">
      <x:c r="A278" s="119" t="str">
        <x:v>Media &amp; Limits</x:v>
      </x:c>
      <x:c r="B278" s="121" t="str">
        <x:v>Webcam Video</x:v>
      </x:c>
      <x:c r="C278" s="75" t="str">
        <x:v>Yes</x:v>
      </x:c>
      <x:c r="D278" s="75"/>
      <x:c r="E278" s="75"/>
      <x:c r="F278" s="75" t="str">
        <x:v>Yes</x:v>
      </x:c>
      <x:c r="G278" s="75" t="str">
        <x:v>Yes</x:v>
      </x:c>
      <x:c r="H278" s="75" t="str">
        <x:v>Yes</x:v>
      </x:c>
      <x:c r="I278" s="75" t="str">
        <x:v>Yes</x:v>
      </x:c>
      <x:c r="J278" s="75" t="str">
        <x:v>In development</x:v>
      </x:c>
      <x:c r="K278" s="75"/>
      <x:c r="L278" s="75" t="str">
        <x:v>Yes</x:v>
      </x:c>
      <x:c r="M278" s="75"/>
      <x:c r="N278" s="75" t="str">
        <x:v>Yes</x:v>
      </x:c>
      <x:c r="O278" s="75" t="str">
        <x:v>Client-dependent</x:v>
      </x:c>
      <x:c r="P278" s="75" t="str">
        <x:v>Yes</x:v>
      </x:c>
      <x:c r="Q278" s="75" t="str">
        <x:v>Yes</x:v>
      </x:c>
      <x:c r="R278" s="75" t="str">
        <x:v>No</x:v>
      </x:c>
      <x:c r="S278" s="75"/>
      <x:c r="T278" s="75" t="str">
        <x:v>Yes</x:v>
      </x:c>
      <x:c r="U278" s="75" t="str">
        <x:v>Yes — camera in DM calls</x:v>
      </x:c>
      <x:c r="V278" s="75" t="str">
        <x:v>Yes</x:v>
      </x:c>
      <x:c r="W278" s="75" t="str">
        <x:v>Provider-dependent</x:v>
      </x:c>
      <x:c r="X278" s="75" t="str">
        <x:v>N/A</x:v>
      </x:c>
      <x:c r="Y278" s="75" t="str">
        <x:v>Yes</x:v>
      </x:c>
      <x:c r="Z278" s="75" t="str">
        <x:v>Yes with Pion implementation</x:v>
      </x:c>
      <x:c r="AA278" s="75" t="str">
        <x:v>Yes/rollout</x:v>
      </x:c>
      <x:c r="AB278" s="75"/>
      <x:c r="AC278" s="78"/>
      <x:c r="AD278" s="75"/>
      <x:c r="AE278" s="75" t="str">
        <x:v>Yes</x:v>
      </x:c>
      <x:c r="AF278" s="75"/>
      <x:c r="AG278" s="75" t="str">
        <x:v>External provider</x:v>
      </x:c>
      <x:c r="AH278" s="122" t="n">
        <x:v>16</x:v>
      </x:c>
      <x:c r="AI278" s="123" t="str">
        <x:v>Canonical source for Media &amp; Limits!16</x:v>
      </x:c>
    </x:row>
    <x:row r="279">
      <x:c r="A279" s="119" t="str">
        <x:v>Media &amp; Limits</x:v>
      </x:c>
      <x:c r="B279" s="121" t="str">
        <x:v>Screen Sharing</x:v>
      </x:c>
      <x:c r="C279" s="75" t="str">
        <x:v>Yes</x:v>
      </x:c>
      <x:c r="D279" s="75"/>
      <x:c r="E279" s="75" t="str">
        <x:v>Yes</x:v>
      </x:c>
      <x:c r="F279" s="75" t="str">
        <x:v>Yes</x:v>
      </x:c>
      <x:c r="G279" s="75" t="str">
        <x:v>Yes</x:v>
      </x:c>
      <x:c r="H279" s="75" t="str">
        <x:v>Yes</x:v>
      </x:c>
      <x:c r="I279" s="75" t="str">
        <x:v>Yes</x:v>
      </x:c>
      <x:c r="J279" s="75" t="str">
        <x:v>In development</x:v>
      </x:c>
      <x:c r="K279" s="75"/>
      <x:c r="L279" s="75" t="str">
        <x:v>Yes</x:v>
      </x:c>
      <x:c r="M279" s="75" t="str">
        <x:v>Yes — screen share advertised</x:v>
      </x:c>
      <x:c r="N279" s="75" t="str">
        <x:v>Yes</x:v>
      </x:c>
      <x:c r="O279" s="75" t="str">
        <x:v>Client-dependent</x:v>
      </x:c>
      <x:c r="P279" s="75" t="str">
        <x:v>Yes</x:v>
      </x:c>
      <x:c r="Q279" s="75" t="str">
        <x:v>Yes</x:v>
      </x:c>
      <x:c r="R279" s="75" t="str">
        <x:v>No</x:v>
      </x:c>
      <x:c r="S279" s="75"/>
      <x:c r="T279" s="75" t="str">
        <x:v>Yes</x:v>
      </x:c>
      <x:c r="U279" s="75" t="str">
        <x:v>Yes — browser screen share</x:v>
      </x:c>
      <x:c r="V279" s="75" t="str">
        <x:v>Yes</x:v>
      </x:c>
      <x:c r="W279" s="75" t="str">
        <x:v>Provider-dependent</x:v>
      </x:c>
      <x:c r="X279" s="75" t="str">
        <x:v>N/A</x:v>
      </x:c>
      <x:c r="Y279" s="75" t="str">
        <x:v>Yes</x:v>
      </x:c>
      <x:c r="Z279" s="75" t="str">
        <x:v>Yes — Go Live with Pion</x:v>
      </x:c>
      <x:c r="AA279" s="75" t="str">
        <x:v>Yes/rollout</x:v>
      </x:c>
      <x:c r="AB279" s="75" t="str">
        <x:v>Yes — TS6</x:v>
      </x:c>
      <x:c r="AC279" s="78"/>
      <x:c r="AD279" s="75"/>
      <x:c r="AE279" s="75" t="str">
        <x:v>Yes</x:v>
      </x:c>
      <x:c r="AF279" s="75" t="str">
        <x:v>Yes</x:v>
      </x:c>
      <x:c r="AG279" s="75" t="str">
        <x:v>External provider</x:v>
      </x:c>
      <x:c r="AH279" s="122" t="n">
        <x:v>17</x:v>
      </x:c>
      <x:c r="AI279" s="123" t="str">
        <x:v>Canonical source for Media &amp; Limits!17</x:v>
      </x:c>
    </x:row>
    <x:row r="280">
      <x:c r="A280" s="119" t="str">
        <x:v>Media &amp; Limits</x:v>
      </x:c>
      <x:c r="B280" s="121" t="str">
        <x:v>Free Screen Share Resolution</x:v>
      </x:c>
      <x:c r="C280" s="75" t="str">
        <x:v>720p</x:v>
      </x:c>
      <x:c r="D280" s="75"/>
      <x:c r="E280" s="75" t="str">
        <x:v>Up to 4K</x:v>
      </x:c>
      <x:c r="F280" s="75"/>
      <x:c r="G280" s="75"/>
      <x:c r="H280" s="75" t="str">
        <x:v>720p</x:v>
      </x:c>
      <x:c r="I280" s="75" t="str">
        <x:v>1080p</x:v>
      </x:c>
      <x:c r="J280" s="75" t="str">
        <x:v>N/A</x:v>
      </x:c>
      <x:c r="K280" s="75"/>
      <x:c r="L280" s="75" t="str">
        <x:v>4K native Source preset at 30 FPS is publicly documented; browser Source has an 8K defensive bound. Developer questionnaire reported 4K60.</x:v>
      </x:c>
      <x:c r="M280" s="75"/>
      <x:c r="N280" s="75"/>
      <x:c r="O280" s="75" t="str">
        <x:v>Client-dependent</x:v>
      </x:c>
      <x:c r="P280" s="75" t="str">
        <x:v>Deployment/plan dependent</x:v>
      </x:c>
      <x:c r="Q280" s="75" t="str">
        <x:v>Unlimited-resolution claim</x:v>
      </x:c>
      <x:c r="R280" s="75" t="str">
        <x:v>N/A</x:v>
      </x:c>
      <x:c r="S280" s="75"/>
      <x:c r="T280" s="75"/>
      <x:c r="U280" s="75" t="str">
        <x:v>1080p</x:v>
      </x:c>
      <x:c r="V280" s="75" t="str">
        <x:v>1080p free</x:v>
      </x:c>
      <x:c r="W280" s="75" t="str">
        <x:v>Provider-dependent</x:v>
      </x:c>
      <x:c r="X280" s="75" t="str">
        <x:v>N/A</x:v>
      </x:c>
      <x:c r="Y280" s="75" t="str">
        <x:v>720p game / Source text mode</x:v>
      </x:c>
      <x:c r="Z280" s="75" t="str">
        <x:v>Operator/config dependent</x:v>
      </x:c>
      <x:c r="AA280" s="75"/>
      <x:c r="AB280" s="75"/>
      <x:c r="AC280" s="78"/>
      <x:c r="AD280" s="75"/>
      <x:c r="AE280" s="75"/>
      <x:c r="AF280" s="75" t="str">
        <x:v>Up to 1440p</x:v>
      </x:c>
      <x:c r="AG280" s="75" t="str">
        <x:v>Provider-dependent</x:v>
      </x:c>
      <x:c r="AH280" s="122" t="n">
        <x:v>18</x:v>
      </x:c>
      <x:c r="AI280" s="123" t="str">
        <x:v>Canonical source for Media &amp; Limits!18</x:v>
      </x:c>
    </x:row>
    <x:row r="281">
      <x:c r="A281" s="119" t="str">
        <x:v>Media &amp; Limits</x:v>
      </x:c>
      <x:c r="B281" s="121" t="str">
        <x:v>Free Screen Share FPS</x:v>
      </x:c>
      <x:c r="C281" s="75" t="str">
        <x:v>30</x:v>
      </x:c>
      <x:c r="D281" s="75"/>
      <x:c r="E281" s="75" t="str">
        <x:v>Up to 60/120 by version/config</x:v>
      </x:c>
      <x:c r="F281" s="75"/>
      <x:c r="G281" s="75"/>
      <x:c r="H281" s="75" t="str">
        <x:v>30</x:v>
      </x:c>
      <x:c r="I281" s="75" t="str">
        <x:v>30</x:v>
      </x:c>
      <x:c r="J281" s="75" t="str">
        <x:v>N/A</x:v>
      </x:c>
      <x:c r="K281" s="75"/>
      <x:c r="L281" s="75"/>
      <x:c r="M281" s="75"/>
      <x:c r="N281" s="75"/>
      <x:c r="O281" s="75" t="str">
        <x:v>Client-dependent</x:v>
      </x:c>
      <x:c r="P281" s="75" t="str">
        <x:v>Deployment/plan dependent</x:v>
      </x:c>
      <x:c r="Q281" s="75"/>
      <x:c r="R281" s="75" t="str">
        <x:v>N/A</x:v>
      </x:c>
      <x:c r="S281" s="75"/>
      <x:c r="T281" s="75"/>
      <x:c r="U281" s="75" t="str">
        <x:v>Not publicly claimed</x:v>
      </x:c>
      <x:c r="V281" s="75" t="str">
        <x:v>60 FPS free</x:v>
      </x:c>
      <x:c r="W281" s="75" t="str">
        <x:v>Provider-dependent</x:v>
      </x:c>
      <x:c r="X281" s="75" t="str">
        <x:v>N/A</x:v>
      </x:c>
      <x:c r="Y281" s="75" t="str">
        <x:v>30 game / 5 source</x:v>
      </x:c>
      <x:c r="Z281" s="75"/>
      <x:c r="AA281" s="75"/>
      <x:c r="AB281" s="75"/>
      <x:c r="AC281" s="78"/>
      <x:c r="AD281" s="75"/>
      <x:c r="AE281" s="75"/>
      <x:c r="AF281" s="75"/>
      <x:c r="AG281" s="75" t="str">
        <x:v>Provider-dependent</x:v>
      </x:c>
      <x:c r="AH281" s="122" t="n">
        <x:v>19</x:v>
      </x:c>
      <x:c r="AI281" s="123" t="str">
        <x:v>Canonical source for Media &amp; Limits!19</x:v>
      </x:c>
    </x:row>
    <x:row r="282">
      <x:c r="A282" s="119" t="str">
        <x:v>Media &amp; Limits</x:v>
      </x:c>
      <x:c r="B282" s="121" t="str">
        <x:v>Linux Screen Audio</x:v>
      </x:c>
      <x:c r="C282" s="75" t="str">
        <x:v>Linux audio-share limitations</x:v>
      </x:c>
      <x:c r="D282" s="75"/>
      <x:c r="E282" s="75"/>
      <x:c r="F282" s="75"/>
      <x:c r="G282" s="75"/>
      <x:c r="H282" s="75"/>
      <x:c r="I282" s="75"/>
      <x:c r="J282" s="75"/>
      <x:c r="K282" s="75"/>
      <x:c r="L282" s="75" t="str">
        <x:v>No — current native desktop common mixer contract is not enabled; browser may provide surface audio</x:v>
      </x:c>
      <x:c r="M282" s="75"/>
      <x:c r="N282" s="75"/>
      <x:c r="O282" s="75" t="str">
        <x:v>Client-dependent</x:v>
      </x:c>
      <x:c r="P282" s="75" t="str">
        <x:v>Depends desktop/Linux support</x:v>
      </x:c>
      <x:c r="Q282" s="75"/>
      <x:c r="R282" s="75" t="str">
        <x:v>N/A</x:v>
      </x:c>
      <x:c r="S282" s="75"/>
      <x:c r="T282" s="75"/>
      <x:c r="U282" s="75" t="str">
        <x:v>Linux supported</x:v>
      </x:c>
      <x:c r="V282" s="75" t="str">
        <x:v>Yes</x:v>
      </x:c>
      <x:c r="W282" s="75" t="str">
        <x:v>Provider-dependent</x:v>
      </x:c>
      <x:c r="X282" s="75" t="str">
        <x:v>N/A</x:v>
      </x:c>
      <x:c r="Y282" s="75"/>
      <x:c r="Z282" s="75"/>
      <x:c r="AA282" s="75"/>
      <x:c r="AB282" s="75"/>
      <x:c r="AC282" s="78"/>
      <x:c r="AD282" s="75" t="str">
        <x:v>Linux mic I/O known rough edge</x:v>
      </x:c>
      <x:c r="AE282" s="75"/>
      <x:c r="AF282" s="75"/>
      <x:c r="AG282" s="75" t="str">
        <x:v>Provider-dependent</x:v>
      </x:c>
      <x:c r="AH282" s="122" t="n">
        <x:v>23</x:v>
      </x:c>
      <x:c r="AI282" s="123" t="str">
        <x:v>Canonical source for Media &amp; Limits!23</x:v>
      </x:c>
    </x:row>
    <x:row r="283">
      <x:c r="A283" s="119" t="str">
        <x:v>Media &amp; Limits</x:v>
      </x:c>
      <x:c r="B283" s="121" t="str">
        <x:v>Mobile Screen Share</x:v>
      </x:c>
      <x:c r="C283" s="75" t="str">
        <x:v>Mobile screen share supported</x:v>
      </x:c>
      <x:c r="D283" s="75"/>
      <x:c r="E283" s="75"/>
      <x:c r="F283" s="75"/>
      <x:c r="G283" s="75"/>
      <x:c r="H283" s="75"/>
      <x:c r="I283" s="75"/>
      <x:c r="J283" s="75"/>
      <x:c r="K283" s="75"/>
      <x:c r="L283" s="75" t="str">
        <x:v>Yes</x:v>
      </x:c>
      <x:c r="M283" s="75"/>
      <x:c r="N283" s="75"/>
      <x:c r="O283" s="75" t="str">
        <x:v>Client-dependent</x:v>
      </x:c>
      <x:c r="P283" s="75" t="str">
        <x:v>Mobile behavior varies</x:v>
      </x:c>
      <x:c r="Q283" s="75"/>
      <x:c r="R283" s="75" t="str">
        <x:v>N/A</x:v>
      </x:c>
      <x:c r="S283" s="75"/>
      <x:c r="T283" s="75"/>
      <x:c r="U283" s="75"/>
      <x:c r="V283" s="75" t="str">
        <x:v>Yes — mobile calls/screen documented</x:v>
      </x:c>
      <x:c r="W283" s="75" t="str">
        <x:v>Provider-dependent</x:v>
      </x:c>
      <x:c r="X283" s="75" t="str">
        <x:v>N/A</x:v>
      </x:c>
      <x:c r="Y283" s="75" t="str">
        <x:v>No sharing from mobile</x:v>
      </x:c>
      <x:c r="Z283" s="75"/>
      <x:c r="AA283" s="75"/>
      <x:c r="AB283" s="75"/>
      <x:c r="AC283" s="78"/>
      <x:c r="AD283" s="75"/>
      <x:c r="AE283" s="75"/>
      <x:c r="AF283" s="75"/>
      <x:c r="AG283" s="75" t="str">
        <x:v>Provider-dependent</x:v>
      </x:c>
      <x:c r="AH283" s="122" t="n">
        <x:v>24</x:v>
      </x:c>
      <x:c r="AI283" s="123" t="str">
        <x:v>Canonical source for Media &amp; Limits!24</x:v>
      </x:c>
    </x:row>
    <x:row r="284">
      <x:c r="A284" s="119" t="str">
        <x:v>Media &amp; Limits</x:v>
      </x:c>
      <x:c r="B284" s="121" t="str">
        <x:v>Multiple Concurrent Screen Shares</x:v>
      </x:c>
      <x:c r="C284" s="75"/>
      <x:c r="D284" s="75"/>
      <x:c r="E284" s="75"/>
      <x:c r="F284" s="75"/>
      <x:c r="G284" s="75"/>
      <x:c r="H284" s="75"/>
      <x:c r="I284" s="75"/>
      <x:c r="J284" s="75"/>
      <x:c r="K284" s="75" t="str">
        <x:v>P2P</x:v>
      </x:c>
      <x:c r="L284" s="75" t="str">
        <x:v>Not documented</x:v>
      </x:c>
      <x:c r="M284" s="75"/>
      <x:c r="N284" s="75"/>
      <x:c r="O284" s="75" t="str">
        <x:v>Client/provider-dependent</x:v>
      </x:c>
      <x:c r="P284" s="75" t="str">
        <x:v>Plan-dependent</x:v>
      </x:c>
      <x:c r="Q284" s="75"/>
      <x:c r="R284" s="75" t="str">
        <x:v>N/A</x:v>
      </x:c>
      <x:c r="S284" s="75"/>
      <x:c r="T284" s="75"/>
      <x:c r="U284" s="75" t="str">
        <x:v>2 in smaller rooms; 4 in big rooms</x:v>
      </x:c>
      <x:c r="V284" s="75" t="str">
        <x:v>Yes</x:v>
      </x:c>
      <x:c r="W284" s="75" t="str">
        <x:v>Provider-dependent</x:v>
      </x:c>
      <x:c r="X284" s="75" t="str">
        <x:v>N/A</x:v>
      </x:c>
      <x:c r="Y284" s="75"/>
      <x:c r="Z284" s="75" t="str">
        <x:v>Implementation-dependent</x:v>
      </x:c>
      <x:c r="AA284" s="75"/>
      <x:c r="AB284" s="75"/>
      <x:c r="AC284" s="78"/>
      <x:c r="AD284" s="75"/>
      <x:c r="AE284" s="75"/>
      <x:c r="AF284" s="75"/>
      <x:c r="AG284" s="75" t="str">
        <x:v>Provider-dependent</x:v>
      </x:c>
      <x:c r="AH284" s="122" t="n">
        <x:v>25</x:v>
      </x:c>
      <x:c r="AI284" s="123" t="str">
        <x:v>Canonical source for Media &amp; Limits!25</x:v>
      </x:c>
    </x:row>
    <x:row r="285">
      <x:c r="A285" s="119" t="str">
        <x:v>Media &amp; Limits</x:v>
      </x:c>
      <x:c r="B285" s="121" t="str">
        <x:v>Multi-Stream Viewing</x:v>
      </x:c>
      <x:c r="C285" s="75" t="str">
        <x:v>Yes</x:v>
      </x:c>
      <x:c r="D285" s="75"/>
      <x:c r="E285" s="75"/>
      <x:c r="F285" s="75" t="str">
        <x:v>Yes</x:v>
      </x:c>
      <x:c r="G285" s="75"/>
      <x:c r="H285" s="75" t="str">
        <x:v>Yes</x:v>
      </x:c>
      <x:c r="I285" s="75" t="str">
        <x:v>Yes</x:v>
      </x:c>
      <x:c r="J285" s="75"/>
      <x:c r="K285" s="75"/>
      <x:c r="L285" s="75"/>
      <x:c r="M285" s="75"/>
      <x:c r="N285" s="75" t="str">
        <x:v>Yes</x:v>
      </x:c>
      <x:c r="O285" s="75" t="str">
        <x:v>Client-dependent</x:v>
      </x:c>
      <x:c r="P285" s="75" t="str">
        <x:v>Yes</x:v>
      </x:c>
      <x:c r="Q285" s="75" t="str">
        <x:v>Yes</x:v>
      </x:c>
      <x:c r="R285" s="75" t="str">
        <x:v>N/A</x:v>
      </x:c>
      <x:c r="S285" s="75"/>
      <x:c r="T285" s="75" t="str">
        <x:v>Yes</x:v>
      </x:c>
      <x:c r="U285" s="75" t="str">
        <x:v>Yes</x:v>
      </x:c>
      <x:c r="V285" s="75" t="str">
        <x:v>Yes</x:v>
      </x:c>
      <x:c r="W285" s="75" t="str">
        <x:v>Provider-dependent</x:v>
      </x:c>
      <x:c r="X285" s="75" t="str">
        <x:v>N/A</x:v>
      </x:c>
      <x:c r="Y285" s="75" t="str">
        <x:v>Yes</x:v>
      </x:c>
      <x:c r="Z285" s="75"/>
      <x:c r="AA285" s="75"/>
      <x:c r="AB285" s="75"/>
      <x:c r="AC285" s="78"/>
      <x:c r="AD285" s="75"/>
      <x:c r="AE285" s="75" t="str">
        <x:v>Yes</x:v>
      </x:c>
      <x:c r="AF285" s="75"/>
      <x:c r="AG285" s="75" t="str">
        <x:v>Provider-dependent</x:v>
      </x:c>
      <x:c r="AH285" s="122" t="n">
        <x:v>26</x:v>
      </x:c>
      <x:c r="AI285" s="123" t="str">
        <x:v>Canonical source for Media &amp; Limits!26</x:v>
      </x:c>
    </x:row>
    <x:row r="286">
      <x:c r="A286" s="119" t="str">
        <x:v>Media &amp; Limits</x:v>
      </x:c>
      <x:c r="B286" s="121" t="str">
        <x:v>Media Notes</x:v>
      </x:c>
      <x:c r="C286" s="75" t="str">
        <x:v>Voice/video/Go Live E2EE by default except Stage.</x:v>
      </x:c>
      <x:c r="D286" s="75" t="str">
        <x:v>Voice exists; detailed limits are not publicly documented.</x:v>
      </x:c>
      <x:c r="E286" s="75" t="str">
        <x:v>Media limits are software/operator-configurable rather than a paid tier.</x:v>
      </x:c>
      <x:c r="F286" s="75" t="str">
        <x:v>LiveKit-based voice/video/screen sharing.</x:v>
      </x:c>
      <x:c r="G286" s="75" t="str">
        <x:v>Alpha behavior/limits can change.</x:v>
      </x:c>
      <x:c r="H286" s="75" t="str">
        <x:v>Nothing is E2EE yet per Sep 13 privacy policy.</x:v>
      </x:c>
      <x:c r="I286" s="75" t="str">
        <x:v>Voice-first gaming platform.</x:v>
      </x:c>
      <x:c r="J286" s="75" t="str">
        <x:v>Media is early/incomplete.</x:v>
      </x:c>
      <x:c r="K286" s="75" t="str">
        <x:v>Media is peer-to-peer rather than server-room focused.</x:v>
      </x:c>
      <x:c r="L286" s="75"/>
      <x:c r="M286" s="75" t="str">
        <x:v>Media limits not well documented.</x:v>
      </x:c>
      <x:c r="N286" s="75" t="str">
        <x:v>Voice/video/screen share are live in open beta.</x:v>
      </x:c>
      <x:c r="O286" s="75" t="str">
        <x:v>Media limits belong to a client/homeserver/SFU deployment, not to Matrix as a universal platform.</x:v>
      </x:c>
      <x:c r="P286" s="75" t="str">
        <x:v>Native Calls supports screen share and meeting-style controls.</x:v>
      </x:c>
      <x:c r="Q286" s="75" t="str">
        <x:v>No paywall on voice/video quality claimed.</x:v>
      </x:c>
      <x:c r="R286" s="75" t="str">
        <x:v>Purpose-built voice; no webcam/screen-sharing core.</x:v>
      </x:c>
      <x:c r="S286" s="75" t="str">
        <x:v>Public docs emphasize chat more than media limits.</x:v>
      </x:c>
      <x:c r="T286" s="75" t="str">
        <x:v>Custom voice infrastructure is a headline feature.</x:v>
      </x:c>
      <x:c r="U286" s="75" t="str">
        <x:v>Persistent voice; P2P small/DM media; LiveKit for listed/larger hosted rooms. Hosted watch party has exceeded 100 participants.</x:v>
      </x:c>
      <x:c r="V286" s="75" t="str">
        <x:v>Public site does not publish detailed media limits.</x:v>
      </x:c>
      <x:c r="W286" s="75" t="str">
        <x:v>Media calling is not a single fixed platform profile across all Rocket.Chat deployments.</x:v>
      </x:c>
      <x:c r="X286" s="75" t="str">
        <x:v>Text/community-gardening focus.</x:v>
      </x:c>
      <x:c r="Y286" s="75" t="str">
        <x:v>Mobile can view shared screens.</x:v>
      </x:c>
      <x:c r="Z286" s="75" t="str">
        <x:v>Voice is optional and disabled unless operator installs a compatible media implementation.</x:v>
      </x:c>
      <x:c r="AA286" s="75" t="str">
        <x:v>Screen sharing/video rolled out in 2026; exact plan limits are not comprehensively documented.</x:v>
      </x:c>
      <x:c r="AB286" s="75" t="str">
        <x:v>TS6 is beta, so limits/features are changing.</x:v>
      </x:c>
      <x:c r="AC286" s="78"/>
      <x:c r="AD286" s="75" t="str">
        <x:v>Media details sparse.</x:v>
      </x:c>
      <x:c r="AE286" s="75" t="str">
        <x:v>Designed around always-present game-room media.</x:v>
      </x:c>
      <x:c r="AF286" s="75" t="str">
        <x:v>Self-host resource capacity determines practical limits.</x:v>
      </x:c>
      <x:c r="AG286" s="75" t="str">
        <x:v>Voice/video are intentionally delegated to services such as Jitsi/Zoom/BigBlueButton.</x:v>
      </x:c>
      <x:c r="AH286" s="122" t="n">
        <x:v>27</x:v>
      </x:c>
      <x:c r="AI286" s="123" t="str">
        <x:v>Canonical source for Media &amp; Limits!27</x:v>
      </x:c>
    </x:row>
    <x:row r="287">
      <x:c r="A287" s="119" t="str">
        <x:v>Media &amp; Limits</x:v>
      </x:c>
      <x:c r="B287" s="121" t="str">
        <x:v>Voice Room Launcher / Auto-Delete Rooms</x:v>
      </x:c>
      <x:c r="C287" s="75" t="str">
        <x:v>No native</x:v>
      </x:c>
      <x:c r="D287" s="75"/>
      <x:c r="E287" s="75"/>
      <x:c r="F287" s="75"/>
      <x:c r="G287" s="75"/>
      <x:c r="H287" s="75"/>
      <x:c r="I287" s="75"/>
      <x:c r="J287" s="75"/>
      <x:c r="K287" s="75"/>
      <x:c r="L287" s="75" t="str">
        <x:v>No launcher/auto-delete voice-room model documented</x:v>
      </x:c>
      <x:c r="M287" s="75"/>
      <x:c r="N287" s="75"/>
      <x:c r="O287" s="75"/>
      <x:c r="P287" s="75"/>
      <x:c r="Q287" s="75"/>
      <x:c r="R287" s="75"/>
      <x:c r="S287" s="75"/>
      <x:c r="T287" s="75"/>
      <x:c r="U287" s="75"/>
      <x:c r="V287" s="75" t="str">
        <x:v>Yes</x:v>
      </x:c>
      <x:c r="W287" s="75"/>
      <x:c r="X287" s="75"/>
      <x:c r="Y287" s="75"/>
      <x:c r="Z287" s="75"/>
      <x:c r="AA287" s="75"/>
      <x:c r="AB287" s="75"/>
      <x:c r="AC287" s="78"/>
      <x:c r="AD287" s="75"/>
      <x:c r="AE287" s="75"/>
      <x:c r="AF287" s="75"/>
      <x:c r="AG287" s="75"/>
      <x:c r="AH287" s="122" t="n">
        <x:v>29</x:v>
      </x:c>
      <x:c r="AI287" s="123" t="str">
        <x:v>Canonical source for Media &amp; Limits!29</x:v>
      </x:c>
    </x:row>
    <x:row r="288">
      <x:c r="A288" s="119" t="str">
        <x:v>Media &amp; Limits</x:v>
      </x:c>
      <x:c r="B288" s="121" t="str">
        <x:v>Watch Party / Synchronized Co-Watching</x:v>
      </x:c>
      <x:c r="C288" s="75" t="str">
        <x:v>Activities can provide co-watching</x:v>
      </x:c>
      <x:c r="D288" s="75"/>
      <x:c r="E288" s="75"/>
      <x:c r="F288" s="75"/>
      <x:c r="G288" s="75"/>
      <x:c r="H288" s="75"/>
      <x:c r="I288" s="75"/>
      <x:c r="J288" s="75"/>
      <x:c r="K288" s="75"/>
      <x:c r="L288" s="75" t="str">
        <x:v>No watch-party system documented</x:v>
      </x:c>
      <x:c r="M288" s="75"/>
      <x:c r="N288" s="75"/>
      <x:c r="O288" s="75"/>
      <x:c r="P288" s="75"/>
      <x:c r="Q288" s="75"/>
      <x:c r="R288" s="75"/>
      <x:c r="S288" s="75"/>
      <x:c r="T288" s="75"/>
      <x:c r="U288" s="75" t="str">
        <x:v>Yes</x:v>
      </x:c>
      <x:c r="V288" s="75" t="str">
        <x:v>Yes — YouTube/Twitch Watch Party</x:v>
      </x:c>
      <x:c r="W288" s="75"/>
      <x:c r="X288" s="75"/>
      <x:c r="Y288" s="75"/>
      <x:c r="Z288" s="75"/>
      <x:c r="AA288" s="75"/>
      <x:c r="AB288" s="75"/>
      <x:c r="AC288" s="78"/>
      <x:c r="AD288" s="75"/>
      <x:c r="AE288" s="75"/>
      <x:c r="AF288" s="75"/>
      <x:c r="AG288" s="75"/>
      <x:c r="AH288" s="122" t="n">
        <x:v>32</x:v>
      </x:c>
      <x:c r="AI288" s="123" t="str">
        <x:v>Canonical source for Media &amp; Limits!32</x:v>
      </x:c>
    </x:row>
    <x:row r="289">
      <x:c r="A289" s="119" t="str">
        <x:v>Media &amp; Limits</x:v>
      </x:c>
      <x:c r="B289" s="121" t="str">
        <x:v>High-Fidelity / Music Mode</x:v>
      </x:c>
      <x:c r="C289" s="75"/>
      <x:c r="D289" s="75"/>
      <x:c r="E289" s="75"/>
      <x:c r="F289" s="75"/>
      <x:c r="G289" s="75"/>
      <x:c r="H289" s="75"/>
      <x:c r="I289" s="75"/>
      <x:c r="J289" s="75"/>
      <x:c r="K289" s="75"/>
      <x:c r="L289" s="75" t="str">
        <x:v>Partial — browser 128 kbps Studio; desktop uses processed mono voice graph</x:v>
      </x:c>
      <x:c r="M289" s="75"/>
      <x:c r="N289" s="75"/>
      <x:c r="O289" s="75"/>
      <x:c r="P289" s="75"/>
      <x:c r="Q289" s="75"/>
      <x:c r="R289" s="75"/>
      <x:c r="S289" s="75"/>
      <x:c r="T289" s="75"/>
      <x:c r="U289" s="75"/>
      <x:c r="V289" s="75" t="str">
        <x:v>No</x:v>
      </x:c>
      <x:c r="W289" s="75"/>
      <x:c r="X289" s="75"/>
      <x:c r="Y289" s="75"/>
      <x:c r="Z289" s="75"/>
      <x:c r="AA289" s="75"/>
      <x:c r="AB289" s="75" t="str">
        <x:v>Codec/settings dependent</x:v>
      </x:c>
      <x:c r="AC289" s="78"/>
      <x:c r="AD289" s="75"/>
      <x:c r="AE289" s="75"/>
      <x:c r="AF289" s="75"/>
      <x:c r="AG289" s="75"/>
      <x:c r="AH289" s="122" t="n">
        <x:v>33</x:v>
      </x:c>
      <x:c r="AI289" s="123" t="str">
        <x:v>Canonical source for Media &amp; Limits!33</x:v>
      </x:c>
    </x:row>
    <x:row r="290">
      <x:c r="A290" s="119" t="str">
        <x:v>Files &amp; Storage</x:v>
      </x:c>
      <x:c r="B290" s="121" t="str">
        <x:v>File Uploads Supported?</x:v>
      </x:c>
      <x:c r="C290" s="75" t="str">
        <x:v>Yes</x:v>
      </x:c>
      <x:c r="D290" s="75" t="str">
        <x:v>Yes</x:v>
      </x:c>
      <x:c r="E290" s="75" t="str">
        <x:v>Yes</x:v>
      </x:c>
      <x:c r="F290" s="75" t="str">
        <x:v>Yes</x:v>
      </x:c>
      <x:c r="G290" s="75" t="str">
        <x:v>Yes</x:v>
      </x:c>
      <x:c r="H290" s="75" t="str">
        <x:v>Yes</x:v>
      </x:c>
      <x:c r="I290" s="75" t="str">
        <x:v>Yes</x:v>
      </x:c>
      <x:c r="J290" s="75" t="str">
        <x:v>Yes</x:v>
      </x:c>
      <x:c r="K290" s="75" t="str">
        <x:v>Yes</x:v>
      </x:c>
      <x:c r="L290" s="75" t="str">
        <x:v>Yes</x:v>
      </x:c>
      <x:c r="M290" s="75" t="str">
        <x:v>Yes</x:v>
      </x:c>
      <x:c r="N290" s="75" t="str">
        <x:v>Yes</x:v>
      </x:c>
      <x:c r="O290" s="75" t="str">
        <x:v>Yes</x:v>
      </x:c>
      <x:c r="P290" s="75" t="str">
        <x:v>Yes</x:v>
      </x:c>
      <x:c r="Q290" s="75" t="str">
        <x:v>Yes</x:v>
      </x:c>
      <x:c r="R290" s="75" t="str">
        <x:v>No</x:v>
      </x:c>
      <x:c r="S290" s="75" t="str">
        <x:v>Yes</x:v>
      </x:c>
      <x:c r="T290" s="75" t="str">
        <x:v>Yes</x:v>
      </x:c>
      <x:c r="U290" s="75" t="str">
        <x:v>Yes</x:v>
      </x:c>
      <x:c r="V290" s="75" t="str">
        <x:v>Yes</x:v>
      </x:c>
      <x:c r="W290" s="75" t="str">
        <x:v>Yes</x:v>
      </x:c>
      <x:c r="X290" s="75" t="str">
        <x:v>Yes</x:v>
      </x:c>
      <x:c r="Y290" s="75" t="str">
        <x:v>Yes</x:v>
      </x:c>
      <x:c r="Z290" s="75" t="str">
        <x:v>Yes</x:v>
      </x:c>
      <x:c r="AA290" s="75" t="str">
        <x:v>Yes</x:v>
      </x:c>
      <x:c r="AB290" s="75"/>
      <x:c r="AC290" s="78" t="str">
        <x:v>Yes</x:v>
      </x:c>
      <x:c r="AD290" s="75" t="str">
        <x:v>Yes</x:v>
      </x:c>
      <x:c r="AE290" s="75" t="str">
        <x:v>Yes</x:v>
      </x:c>
      <x:c r="AF290" s="75" t="str">
        <x:v>Yes</x:v>
      </x:c>
      <x:c r="AG290" s="75" t="str">
        <x:v>Yes</x:v>
      </x:c>
      <x:c r="AH290" s="122" t="n">
        <x:v>4</x:v>
      </x:c>
      <x:c r="AI290" s="123" t="str">
        <x:v>Canonical source for Files &amp; Storage!4</x:v>
      </x:c>
    </x:row>
    <x:row r="291">
      <x:c r="A291" s="119" t="str">
        <x:v>Files &amp; Storage</x:v>
      </x:c>
      <x:c r="B291" s="121" t="str">
        <x:v>Free Max File Upload (MB)</x:v>
      </x:c>
      <x:c r="C291" s="75" t="n">
        <x:v>20</x:v>
      </x:c>
      <x:c r="D291" s="75"/>
      <x:c r="E291" s="75"/>
      <x:c r="F291" s="75"/>
      <x:c r="G291" s="75"/>
      <x:c r="H291" s="75" t="str">
        <x:v>25</x:v>
      </x:c>
      <x:c r="I291" s="75" t="str">
        <x:v>500</x:v>
      </x:c>
      <x:c r="J291" s="75" t="n">
        <x:v>8</x:v>
      </x:c>
      <x:c r="K291" s="75"/>
      <x:c r="L291" s="75" t="str">
        <x:v>15</x:v>
      </x:c>
      <x:c r="M291" s="75"/>
      <x:c r="N291" s="75"/>
      <x:c r="O291" s="75"/>
      <x:c r="P291" s="75" t="str">
        <x:v>100 MB hard limit; configurable</x:v>
      </x:c>
      <x:c r="Q291" s="75" t="str">
        <x:v>100 for video/other; images 50</x:v>
      </x:c>
      <x:c r="R291" s="75"/>
      <x:c r="S291" s="75"/>
      <x:c r="T291" s="75"/>
      <x:c r="U291" s="75" t="str">
        <x:v>Not publicly claimed</x:v>
      </x:c>
      <x:c r="V291" s="75" t="str">
        <x:v>50</x:v>
      </x:c>
      <x:c r="W291" s="75" t="str">
        <x:v>Configurable by workspace; self-managed can use -1 for no app-level limit</x:v>
      </x:c>
      <x:c r="X291" s="75"/>
      <x:c r="Y291" s="75" t="str">
        <x:v>25</x:v>
      </x:c>
      <x:c r="Z291" s="75"/>
      <x:c r="AA291" s="75"/>
      <x:c r="AB291" s="75" t="n">
        <x:v>10</x:v>
      </x:c>
      <x:c r="AC291" s="78"/>
      <x:c r="AD291" s="75"/>
      <x:c r="AE291" s="75"/>
      <x:c r="AF291" s="75" t="str">
        <x:v>Configurable by server operator</x:v>
      </x:c>
      <x:c r="AG291" s="75"/>
      <x:c r="AH291" s="122" t="n">
        <x:v>5</x:v>
      </x:c>
      <x:c r="AI291" s="123" t="str">
        <x:v>Canonical metric shared by: At a Glance: Max Free File Upload Size (MB unless noted) | Files &amp; Storage: Free Max File Upload (MB)</x:v>
      </x:c>
    </x:row>
    <x:row r="292">
      <x:c r="A292" s="119" t="str">
        <x:v>Files &amp; Storage</x:v>
      </x:c>
      <x:c r="B292" s="121" t="str">
        <x:v>Paid Max File Upload (MB)</x:v>
      </x:c>
      <x:c r="C292" s="75" t="str">
        <x:v>500</x:v>
      </x:c>
      <x:c r="D292" s="75"/>
      <x:c r="E292" s="75"/>
      <x:c r="F292" s="75"/>
      <x:c r="G292" s="75"/>
      <x:c r="H292" s="75" t="str">
        <x:v>500</x:v>
      </x:c>
      <x:c r="I292" s="75" t="str">
        <x:v>10240</x:v>
      </x:c>
      <x:c r="J292" s="75"/>
      <x:c r="K292" s="75"/>
      <x:c r="L292" s="75" t="str">
        <x:v>No paid upload tier; self-host quotas are configurable</x:v>
      </x:c>
      <x:c r="M292" s="75"/>
      <x:c r="N292" s="75"/>
      <x:c r="O292" s="75"/>
      <x:c r="P292" s="75"/>
      <x:c r="Q292" s="75" t="str">
        <x:v>N/A — no paid tier</x:v>
      </x:c>
      <x:c r="R292" s="75"/>
      <x:c r="S292" s="75"/>
      <x:c r="T292" s="75"/>
      <x:c r="U292" s="75" t="str">
        <x:v>No paid tier; hard limit not publicly claimed</x:v>
      </x:c>
      <x:c r="V292" s="75" t="str">
        <x:v>200 personal / 100 community-member cap</x:v>
      </x:c>
      <x:c r="W292" s="75"/>
      <x:c r="X292" s="75"/>
      <x:c r="Y292" s="75"/>
      <x:c r="Z292" s="75"/>
      <x:c r="AA292" s="75"/>
      <x:c r="AB292" s="75"/>
      <x:c r="AC292" s="78"/>
      <x:c r="AD292" s="75"/>
      <x:c r="AE292" s="75"/>
      <x:c r="AF292" s="75"/>
      <x:c r="AG292" s="75"/>
      <x:c r="AH292" s="122" t="n">
        <x:v>6</x:v>
      </x:c>
      <x:c r="AI292" s="123" t="str">
        <x:v>Canonical source for Files &amp; Storage!6</x:v>
      </x:c>
    </x:row>
    <x:row r="293">
      <x:c r="A293" s="119" t="str">
        <x:v>Files &amp; Storage</x:v>
      </x:c>
      <x:c r="B293" s="121" t="str">
        <x:v>Absolute Max File Upload (MB)</x:v>
      </x:c>
      <x:c r="C293" s="75" t="str">
        <x:v>500</x:v>
      </x:c>
      <x:c r="D293" s="75"/>
      <x:c r="E293" s="75"/>
      <x:c r="F293" s="75"/>
      <x:c r="G293" s="75"/>
      <x:c r="H293" s="75" t="str">
        <x:v>500</x:v>
      </x:c>
      <x:c r="I293" s="75" t="str">
        <x:v>10240</x:v>
      </x:c>
      <x:c r="J293" s="75"/>
      <x:c r="K293" s="75"/>
      <x:c r="L293" s="75" t="str">
        <x:v>Configurable by self-host operator; official instance developer-reported limit is 15 MB</x:v>
      </x:c>
      <x:c r="M293" s="75"/>
      <x:c r="N293" s="75"/>
      <x:c r="O293" s="75"/>
      <x:c r="P293" s="75"/>
      <x:c r="Q293" s="75" t="str">
        <x:v>100 verified</x:v>
      </x:c>
      <x:c r="R293" s="75"/>
      <x:c r="S293" s="75"/>
      <x:c r="T293" s="75"/>
      <x:c r="U293" s="75" t="str">
        <x:v>Not publicly claimed</x:v>
      </x:c>
      <x:c r="V293" s="75" t="str">
        <x:v>200</x:v>
      </x:c>
      <x:c r="W293" s="75"/>
      <x:c r="X293" s="75"/>
      <x:c r="Y293" s="75" t="str">
        <x:v>25 verified</x:v>
      </x:c>
      <x:c r="Z293" s="75"/>
      <x:c r="AA293" s="75"/>
      <x:c r="AB293" s="75"/>
      <x:c r="AC293" s="78"/>
      <x:c r="AD293" s="75"/>
      <x:c r="AE293" s="75"/>
      <x:c r="AF293" s="75"/>
      <x:c r="AG293" s="75"/>
      <x:c r="AH293" s="122" t="n">
        <x:v>7</x:v>
      </x:c>
      <x:c r="AI293" s="123" t="str">
        <x:v>Canonical source for Files &amp; Storage!7</x:v>
      </x:c>
    </x:row>
    <x:row r="294">
      <x:c r="A294" s="119" t="str">
        <x:v>Files &amp; Storage</x:v>
      </x:c>
      <x:c r="B294" s="121" t="str">
        <x:v>Max Files Per Message</x:v>
      </x:c>
      <x:c r="C294" s="75"/>
      <x:c r="D294" s="75"/>
      <x:c r="E294" s="75"/>
      <x:c r="F294" s="75"/>
      <x:c r="G294" s="75"/>
      <x:c r="H294" s="75"/>
      <x:c r="I294" s="75"/>
      <x:c r="J294" s="75"/>
      <x:c r="K294" s="75"/>
      <x:c r="L294" s="75"/>
      <x:c r="M294" s="75"/>
      <x:c r="N294" s="75"/>
      <x:c r="O294" s="75"/>
      <x:c r="P294" s="75"/>
      <x:c r="Q294" s="75"/>
      <x:c r="R294" s="75"/>
      <x:c r="S294" s="75"/>
      <x:c r="T294" s="75"/>
      <x:c r="U294" s="75"/>
      <x:c r="V294" s="75" t="str">
        <x:v>U/K</x:v>
      </x:c>
      <x:c r="W294" s="75"/>
      <x:c r="X294" s="75"/>
      <x:c r="Y294" s="75" t="str">
        <x:v>10</x:v>
      </x:c>
      <x:c r="Z294" s="75"/>
      <x:c r="AA294" s="75"/>
      <x:c r="AB294" s="75"/>
      <x:c r="AC294" s="78"/>
      <x:c r="AD294" s="75"/>
      <x:c r="AE294" s="75"/>
      <x:c r="AF294" s="75"/>
      <x:c r="AG294" s="75"/>
      <x:c r="AH294" s="122" t="n">
        <x:v>8</x:v>
      </x:c>
      <x:c r="AI294" s="123" t="str">
        <x:v>Canonical source for Files &amp; Storage!8</x:v>
      </x:c>
    </x:row>
    <x:row r="295">
      <x:c r="A295" s="119" t="str">
        <x:v>Files &amp; Storage</x:v>
      </x:c>
      <x:c r="B295" s="121" t="str">
        <x:v>Image Upload Max (MB)</x:v>
      </x:c>
      <x:c r="C295" s="75"/>
      <x:c r="D295" s="75"/>
      <x:c r="E295" s="75"/>
      <x:c r="F295" s="75"/>
      <x:c r="G295" s="75"/>
      <x:c r="H295" s="75"/>
      <x:c r="I295" s="75"/>
      <x:c r="J295" s="75"/>
      <x:c r="K295" s="75"/>
      <x:c r="L295" s="75" t="str">
        <x:v>15</x:v>
      </x:c>
      <x:c r="M295" s="75"/>
      <x:c r="N295" s="75"/>
      <x:c r="O295" s="75"/>
      <x:c r="P295" s="75"/>
      <x:c r="Q295" s="75" t="str">
        <x:v>50</x:v>
      </x:c>
      <x:c r="R295" s="75"/>
      <x:c r="S295" s="75"/>
      <x:c r="T295" s="75"/>
      <x:c r="U295" s="75"/>
      <x:c r="V295" s="75" t="str">
        <x:v>50 Free / 300 Rift+</x:v>
      </x:c>
      <x:c r="W295" s="75"/>
      <x:c r="X295" s="75"/>
      <x:c r="Y295" s="75"/>
      <x:c r="Z295" s="75"/>
      <x:c r="AA295" s="75"/>
      <x:c r="AB295" s="75"/>
      <x:c r="AC295" s="78"/>
      <x:c r="AD295" s="75"/>
      <x:c r="AE295" s="75"/>
      <x:c r="AF295" s="75"/>
      <x:c r="AG295" s="75"/>
      <x:c r="AH295" s="122" t="n">
        <x:v>9</x:v>
      </x:c>
      <x:c r="AI295" s="123" t="str">
        <x:v>Canonical source for Files &amp; Storage!9</x:v>
      </x:c>
    </x:row>
    <x:row r="296">
      <x:c r="A296" s="119" t="str">
        <x:v>Files &amp; Storage</x:v>
      </x:c>
      <x:c r="B296" s="121" t="str">
        <x:v>Video Upload Max (MB)</x:v>
      </x:c>
      <x:c r="C296" s="75"/>
      <x:c r="D296" s="75"/>
      <x:c r="E296" s="75"/>
      <x:c r="F296" s="75"/>
      <x:c r="G296" s="75"/>
      <x:c r="H296" s="75"/>
      <x:c r="I296" s="75"/>
      <x:c r="J296" s="75"/>
      <x:c r="K296" s="75"/>
      <x:c r="L296" s="75" t="str">
        <x:v>15</x:v>
      </x:c>
      <x:c r="M296" s="75"/>
      <x:c r="N296" s="75"/>
      <x:c r="O296" s="75"/>
      <x:c r="P296" s="75"/>
      <x:c r="Q296" s="75" t="str">
        <x:v>100</x:v>
      </x:c>
      <x:c r="R296" s="75"/>
      <x:c r="S296" s="75"/>
      <x:c r="T296" s="75"/>
      <x:c r="U296" s="75"/>
      <x:c r="V296" s="75" t="str">
        <x:v>50 Free / 300 Rift+</x:v>
      </x:c>
      <x:c r="W296" s="75"/>
      <x:c r="X296" s="75"/>
      <x:c r="Y296" s="75"/>
      <x:c r="Z296" s="75"/>
      <x:c r="AA296" s="75"/>
      <x:c r="AB296" s="75"/>
      <x:c r="AC296" s="78"/>
      <x:c r="AD296" s="75"/>
      <x:c r="AE296" s="75"/>
      <x:c r="AF296" s="75"/>
      <x:c r="AG296" s="75"/>
      <x:c r="AH296" s="122" t="n">
        <x:v>10</x:v>
      </x:c>
      <x:c r="AI296" s="123" t="str">
        <x:v>Canonical source for Files &amp; Storage!10</x:v>
      </x:c>
    </x:row>
    <x:row r="297">
      <x:c r="A297" s="119" t="str">
        <x:v>Files &amp; Storage</x:v>
      </x:c>
      <x:c r="B297" s="121" t="str">
        <x:v>Other File Upload Max (MB)</x:v>
      </x:c>
      <x:c r="C297" s="75"/>
      <x:c r="D297" s="75"/>
      <x:c r="E297" s="75"/>
      <x:c r="F297" s="75"/>
      <x:c r="G297" s="75"/>
      <x:c r="H297" s="75"/>
      <x:c r="I297" s="75"/>
      <x:c r="J297" s="75"/>
      <x:c r="K297" s="75"/>
      <x:c r="L297" s="75" t="str">
        <x:v>15</x:v>
      </x:c>
      <x:c r="M297" s="75"/>
      <x:c r="N297" s="75"/>
      <x:c r="O297" s="75"/>
      <x:c r="P297" s="75"/>
      <x:c r="Q297" s="75" t="str">
        <x:v>100</x:v>
      </x:c>
      <x:c r="R297" s="75"/>
      <x:c r="S297" s="75"/>
      <x:c r="T297" s="75"/>
      <x:c r="U297" s="75"/>
      <x:c r="V297" s="75" t="str">
        <x:v>50 Free / 300 Rift+</x:v>
      </x:c>
      <x:c r="W297" s="75"/>
      <x:c r="X297" s="75"/>
      <x:c r="Y297" s="75"/>
      <x:c r="Z297" s="75"/>
      <x:c r="AA297" s="75"/>
      <x:c r="AB297" s="75"/>
      <x:c r="AC297" s="78"/>
      <x:c r="AD297" s="75"/>
      <x:c r="AE297" s="75"/>
      <x:c r="AF297" s="75"/>
      <x:c r="AG297" s="75"/>
      <x:c r="AH297" s="122" t="n">
        <x:v>11</x:v>
      </x:c>
      <x:c r="AI297" s="123" t="str">
        <x:v>Canonical source for Files &amp; Storage!11</x:v>
      </x:c>
    </x:row>
    <x:row r="298">
      <x:c r="A298" s="119" t="str">
        <x:v>Files &amp; Storage</x:v>
      </x:c>
      <x:c r="B298" s="121" t="str">
        <x:v>Soundboard Clip Max (MB)</x:v>
      </x:c>
      <x:c r="C298" s="75"/>
      <x:c r="D298" s="75"/>
      <x:c r="E298" s="75"/>
      <x:c r="F298" s="75"/>
      <x:c r="G298" s="75"/>
      <x:c r="H298" s="75"/>
      <x:c r="I298" s="75"/>
      <x:c r="J298" s="75"/>
      <x:c r="K298" s="75"/>
      <x:c r="L298" s="75"/>
      <x:c r="M298" s="75"/>
      <x:c r="N298" s="75"/>
      <x:c r="O298" s="75"/>
      <x:c r="P298" s="75"/>
      <x:c r="Q298" s="75"/>
      <x:c r="R298" s="75"/>
      <x:c r="S298" s="75"/>
      <x:c r="T298" s="75"/>
      <x:c r="U298" s="75"/>
      <x:c r="V298" s="75" t="str">
        <x:v>8 seconds or shorter</x:v>
      </x:c>
      <x:c r="W298" s="75"/>
      <x:c r="X298" s="75"/>
      <x:c r="Y298" s="75"/>
      <x:c r="Z298" s="75"/>
      <x:c r="AA298" s="75"/>
      <x:c r="AB298" s="75"/>
      <x:c r="AC298" s="78"/>
      <x:c r="AD298" s="75"/>
      <x:c r="AE298" s="75"/>
      <x:c r="AF298" s="75"/>
      <x:c r="AG298" s="75"/>
      <x:c r="AH298" s="122" t="n">
        <x:v>12</x:v>
      </x:c>
      <x:c r="AI298" s="123" t="str">
        <x:v>Canonical source for Files &amp; Storage!12</x:v>
      </x:c>
    </x:row>
    <x:row r="299">
      <x:c r="A299" s="119" t="str">
        <x:v>Files &amp; Storage</x:v>
      </x:c>
      <x:c r="B299" s="121" t="str">
        <x:v>Free Total Storage</x:v>
      </x:c>
      <x:c r="C299" s="75"/>
      <x:c r="D299" s="75"/>
      <x:c r="E299" s="75"/>
      <x:c r="F299" s="75"/>
      <x:c r="G299" s="75"/>
      <x:c r="H299" s="75"/>
      <x:c r="I299" s="75" t="str">
        <x:v>2 GB per Standard server</x:v>
      </x:c>
      <x:c r="J299" s="75"/>
      <x:c r="K299" s="75"/>
      <x:c r="L299" s="75"/>
      <x:c r="M299" s="75"/>
      <x:c r="N299" s="75"/>
      <x:c r="O299" s="75"/>
      <x:c r="P299" s="75"/>
      <x:c r="Q299" s="75"/>
      <x:c r="R299" s="75"/>
      <x:c r="S299" s="75"/>
      <x:c r="T299" s="75"/>
      <x:c r="U299" s="75"/>
      <x:c r="V299" s="75"/>
      <x:c r="W299" s="75"/>
      <x:c r="X299" s="75"/>
      <x:c r="Y299" s="75"/>
      <x:c r="Z299" s="75"/>
      <x:c r="AA299" s="75"/>
      <x:c r="AB299" s="75"/>
      <x:c r="AC299" s="78"/>
      <x:c r="AD299" s="75"/>
      <x:c r="AE299" s="75"/>
      <x:c r="AF299" s="75"/>
      <x:c r="AG299" s="75" t="str">
        <x:v>5 GB total (Zulip Cloud Free)</x:v>
      </x:c>
      <x:c r="AH299" s="122" t="n">
        <x:v>14</x:v>
      </x:c>
      <x:c r="AI299" s="123" t="str">
        <x:v>Canonical source for Files &amp; Storage!14</x:v>
      </x:c>
    </x:row>
    <x:row r="300">
      <x:c r="A300" s="119" t="str">
        <x:v>Files &amp; Storage</x:v>
      </x:c>
      <x:c r="B300" s="121" t="str">
        <x:v>Paid Total Storage</x:v>
      </x:c>
      <x:c r="C300" s="75"/>
      <x:c r="D300" s="75"/>
      <x:c r="E300" s="75"/>
      <x:c r="F300" s="75"/>
      <x:c r="G300" s="75"/>
      <x:c r="H300" s="75"/>
      <x:c r="I300" s="75" t="str">
        <x:v>Up to 200 GB / tier-dependent</x:v>
      </x:c>
      <x:c r="J300" s="75"/>
      <x:c r="K300" s="75"/>
      <x:c r="L300" s="75"/>
      <x:c r="M300" s="75"/>
      <x:c r="N300" s="75"/>
      <x:c r="O300" s="75"/>
      <x:c r="P300" s="75"/>
      <x:c r="Q300" s="75"/>
      <x:c r="R300" s="75"/>
      <x:c r="S300" s="75"/>
      <x:c r="T300" s="75"/>
      <x:c r="U300" s="75"/>
      <x:c r="V300" s="75"/>
      <x:c r="W300" s="75"/>
      <x:c r="X300" s="75"/>
      <x:c r="Y300" s="75"/>
      <x:c r="Z300" s="75"/>
      <x:c r="AA300" s="75"/>
      <x:c r="AB300" s="75"/>
      <x:c r="AC300" s="78"/>
      <x:c r="AD300" s="75"/>
      <x:c r="AE300" s="75"/>
      <x:c r="AF300" s="75"/>
      <x:c r="AG300" s="75" t="str">
        <x:v>5 GB/user Standard; 25 GB/user Plus</x:v>
      </x:c>
      <x:c r="AH300" s="122" t="n">
        <x:v>15</x:v>
      </x:c>
      <x:c r="AI300" s="123" t="str">
        <x:v>Canonical source for Files &amp; Storage!15</x:v>
      </x:c>
    </x:row>
    <x:row r="301">
      <x:c r="A301" s="119" t="str">
        <x:v>Files &amp; Storage</x:v>
      </x:c>
      <x:c r="B301" s="121" t="str">
        <x:v>Per-User Storage Quota</x:v>
      </x:c>
      <x:c r="C301" s="75"/>
      <x:c r="D301" s="75"/>
      <x:c r="E301" s="75"/>
      <x:c r="F301" s="75"/>
      <x:c r="G301" s="75"/>
      <x:c r="H301" s="75"/>
      <x:c r="I301" s="75"/>
      <x:c r="J301" s="75"/>
      <x:c r="K301" s="75"/>
      <x:c r="L301" s="75" t="str">
        <x:v>Configurable by self-host operator; official instance developer-reported limit is 15 MB</x:v>
      </x:c>
      <x:c r="M301" s="75"/>
      <x:c r="N301" s="75"/>
      <x:c r="O301" s="75"/>
      <x:c r="P301" s="75"/>
      <x:c r="Q301" s="75"/>
      <x:c r="R301" s="75"/>
      <x:c r="S301" s="75"/>
      <x:c r="T301" s="75"/>
      <x:c r="U301" s="75"/>
      <x:c r="V301" s="75"/>
      <x:c r="W301" s="75"/>
      <x:c r="X301" s="75"/>
      <x:c r="Y301" s="75"/>
      <x:c r="Z301" s="75"/>
      <x:c r="AA301" s="75"/>
      <x:c r="AB301" s="75"/>
      <x:c r="AC301" s="78"/>
      <x:c r="AD301" s="75"/>
      <x:c r="AE301" s="75"/>
      <x:c r="AF301" s="75"/>
      <x:c r="AG301" s="75" t="str">
        <x:v>5 GB Standard / 25 GB Plus</x:v>
      </x:c>
      <x:c r="AH301" s="122" t="n">
        <x:v>16</x:v>
      </x:c>
      <x:c r="AI301" s="123" t="str">
        <x:v>Canonical source for Files &amp; Storage!16</x:v>
      </x:c>
    </x:row>
    <x:row r="302">
      <x:c r="A302" s="119" t="str">
        <x:v>Files &amp; Storage</x:v>
      </x:c>
      <x:c r="B302" s="121" t="str">
        <x:v>Per-Community Storage Quota</x:v>
      </x:c>
      <x:c r="C302" s="75"/>
      <x:c r="D302" s="75"/>
      <x:c r="E302" s="75"/>
      <x:c r="F302" s="75"/>
      <x:c r="G302" s="75"/>
      <x:c r="H302" s="75"/>
      <x:c r="I302" s="75"/>
      <x:c r="J302" s="75"/>
      <x:c r="K302" s="75"/>
      <x:c r="L302" s="75" t="str">
        <x:v>Configurable by self-host operator; official instance developer-reported limit is 15 MB</x:v>
      </x:c>
      <x:c r="M302" s="75"/>
      <x:c r="N302" s="75"/>
      <x:c r="O302" s="75"/>
      <x:c r="P302" s="75"/>
      <x:c r="Q302" s="75"/>
      <x:c r="R302" s="75"/>
      <x:c r="S302" s="75"/>
      <x:c r="T302" s="75"/>
      <x:c r="U302" s="75"/>
      <x:c r="V302" s="75"/>
      <x:c r="W302" s="75"/>
      <x:c r="X302" s="75"/>
      <x:c r="Y302" s="75"/>
      <x:c r="Z302" s="75"/>
      <x:c r="AA302" s="75"/>
      <x:c r="AB302" s="75"/>
      <x:c r="AC302" s="78"/>
      <x:c r="AD302" s="75"/>
      <x:c r="AE302" s="75"/>
      <x:c r="AF302" s="75"/>
      <x:c r="AG302" s="75"/>
      <x:c r="AH302" s="122" t="n">
        <x:v>17</x:v>
      </x:c>
      <x:c r="AI302" s="123" t="str">
        <x:v>Canonical source for Files &amp; Storage!17</x:v>
      </x:c>
    </x:row>
    <x:row r="303">
      <x:c r="A303" s="119" t="str">
        <x:v>Files &amp; Storage</x:v>
      </x:c>
      <x:c r="B303" s="121" t="str">
        <x:v>Storage Quota Self-Host Configurable?</x:v>
      </x:c>
      <x:c r="C303" s="75"/>
      <x:c r="D303" s="75"/>
      <x:c r="E303" s="75"/>
      <x:c r="F303" s="75"/>
      <x:c r="G303" s="75"/>
      <x:c r="H303" s="75"/>
      <x:c r="I303" s="75"/>
      <x:c r="J303" s="75"/>
      <x:c r="K303" s="75"/>
      <x:c r="L303" s="75" t="str">
        <x:v>Yes</x:v>
      </x:c>
      <x:c r="M303" s="75"/>
      <x:c r="N303" s="75"/>
      <x:c r="O303" s="75"/>
      <x:c r="P303" s="75"/>
      <x:c r="Q303" s="75"/>
      <x:c r="R303" s="75"/>
      <x:c r="S303" s="75"/>
      <x:c r="T303" s="75"/>
      <x:c r="U303" s="75"/>
      <x:c r="V303" s="75"/>
      <x:c r="W303" s="75"/>
      <x:c r="X303" s="75"/>
      <x:c r="Y303" s="75"/>
      <x:c r="Z303" s="75"/>
      <x:c r="AA303" s="75"/>
      <x:c r="AB303" s="75"/>
      <x:c r="AC303" s="78"/>
      <x:c r="AD303" s="75"/>
      <x:c r="AE303" s="75"/>
      <x:c r="AF303" s="75"/>
      <x:c r="AG303" s="75"/>
      <x:c r="AH303" s="122" t="n">
        <x:v>18</x:v>
      </x:c>
      <x:c r="AI303" s="123" t="str">
        <x:v>Canonical source for Files &amp; Storage!18</x:v>
      </x:c>
    </x:row>
    <x:row r="304">
      <x:c r="A304" s="119" t="str">
        <x:v>Files &amp; Storage</x:v>
      </x:c>
      <x:c r="B304" s="121" t="str">
        <x:v>Free Message History Limit</x:v>
      </x:c>
      <x:c r="C304" s="75"/>
      <x:c r="D304" s="75"/>
      <x:c r="E304" s="75"/>
      <x:c r="F304" s="75"/>
      <x:c r="G304" s="75"/>
      <x:c r="H304" s="75"/>
      <x:c r="I304" s="75"/>
      <x:c r="J304" s="75"/>
      <x:c r="K304" s="75"/>
      <x:c r="L304" s="75" t="str">
        <x:v>Unlimited message-search depth per developer report; plaintext history/search is not artificially depth-limited</x:v>
      </x:c>
      <x:c r="M304" s="75"/>
      <x:c r="N304" s="75"/>
      <x:c r="O304" s="75"/>
      <x:c r="P304" s="75"/>
      <x:c r="Q304" s="75"/>
      <x:c r="R304" s="75"/>
      <x:c r="S304" s="75"/>
      <x:c r="T304" s="75"/>
      <x:c r="U304" s="75"/>
      <x:c r="V304" s="75"/>
      <x:c r="W304" s="75"/>
      <x:c r="X304" s="75"/>
      <x:c r="Y304" s="75"/>
      <x:c r="Z304" s="75"/>
      <x:c r="AA304" s="75"/>
      <x:c r="AB304" s="75"/>
      <x:c r="AC304" s="78"/>
      <x:c r="AD304" s="75"/>
      <x:c r="AE304" s="75"/>
      <x:c r="AF304" s="75"/>
      <x:c r="AG304" s="75" t="str">
        <x:v>10,000 messages searchable</x:v>
      </x:c>
      <x:c r="AH304" s="122" t="n">
        <x:v>20</x:v>
      </x:c>
      <x:c r="AI304" s="123" t="str">
        <x:v>Canonical source for Files &amp; Storage!20</x:v>
      </x:c>
    </x:row>
    <x:row r="305">
      <x:c r="A305" s="119" t="str">
        <x:v>Files &amp; Storage</x:v>
      </x:c>
      <x:c r="B305" s="121" t="str">
        <x:v>Paid Message History Limit</x:v>
      </x:c>
      <x:c r="C305" s="75"/>
      <x:c r="D305" s="75"/>
      <x:c r="E305" s="75"/>
      <x:c r="F305" s="75"/>
      <x:c r="G305" s="75"/>
      <x:c r="H305" s="75"/>
      <x:c r="I305" s="75"/>
      <x:c r="J305" s="75"/>
      <x:c r="K305" s="75"/>
      <x:c r="L305" s="75" t="str">
        <x:v>Unlimited message-search depth per developer report; plaintext history/search is not artificially depth-limited</x:v>
      </x:c>
      <x:c r="M305" s="75"/>
      <x:c r="N305" s="75"/>
      <x:c r="O305" s="75"/>
      <x:c r="P305" s="75"/>
      <x:c r="Q305" s="75"/>
      <x:c r="R305" s="75"/>
      <x:c r="S305" s="75"/>
      <x:c r="T305" s="75"/>
      <x:c r="U305" s="75"/>
      <x:c r="V305" s="75"/>
      <x:c r="W305" s="75"/>
      <x:c r="X305" s="75"/>
      <x:c r="Y305" s="75"/>
      <x:c r="Z305" s="75"/>
      <x:c r="AA305" s="75"/>
      <x:c r="AB305" s="75"/>
      <x:c r="AC305" s="78"/>
      <x:c r="AD305" s="75"/>
      <x:c r="AE305" s="75"/>
      <x:c r="AF305" s="75"/>
      <x:c r="AG305" s="75" t="str">
        <x:v>Unlimited search history</x:v>
      </x:c>
      <x:c r="AH305" s="122" t="n">
        <x:v>21</x:v>
      </x:c>
      <x:c r="AI305" s="123" t="str">
        <x:v>Canonical source for Files &amp; Storage!21</x:v>
      </x:c>
    </x:row>
    <x:row r="306">
      <x:c r="A306" s="119" t="str">
        <x:v>Files &amp; Storage</x:v>
      </x:c>
      <x:c r="B306" s="121" t="str">
        <x:v>Attachment Retention</x:v>
      </x:c>
      <x:c r="C306" s="75"/>
      <x:c r="D306" s="75"/>
      <x:c r="E306" s="75"/>
      <x:c r="F306" s="75"/>
      <x:c r="G306" s="75"/>
      <x:c r="H306" s="75"/>
      <x:c r="I306" s="75"/>
      <x:c r="J306" s="75"/>
      <x:c r="K306" s="75"/>
      <x:c r="L306" s="75" t="str">
        <x:v>Retained until user deletes/requests deletion on official instance per developer report; operators can configure retention/purge behavior</x:v>
      </x:c>
      <x:c r="M306" s="75"/>
      <x:c r="N306" s="75"/>
      <x:c r="O306" s="75"/>
      <x:c r="P306" s="75"/>
      <x:c r="Q306" s="75"/>
      <x:c r="R306" s="75"/>
      <x:c r="S306" s="75"/>
      <x:c r="T306" s="75"/>
      <x:c r="U306" s="75"/>
      <x:c r="V306" s="75"/>
      <x:c r="W306" s="75"/>
      <x:c r="X306" s="75"/>
      <x:c r="Y306" s="75"/>
      <x:c r="Z306" s="75"/>
      <x:c r="AA306" s="75"/>
      <x:c r="AB306" s="75"/>
      <x:c r="AC306" s="78"/>
      <x:c r="AD306" s="75"/>
      <x:c r="AE306" s="75"/>
      <x:c r="AF306" s="75"/>
      <x:c r="AG306" s="75"/>
      <x:c r="AH306" s="122" t="n">
        <x:v>22</x:v>
      </x:c>
      <x:c r="AI306" s="123" t="str">
        <x:v>Canonical source for Files &amp; Storage!22</x:v>
      </x:c>
    </x:row>
    <x:row r="307">
      <x:c r="A307" s="119" t="str">
        <x:v>Files &amp; Storage</x:v>
      </x:c>
      <x:c r="B307" s="121" t="str">
        <x:v>Deleted Attachment Retention</x:v>
      </x:c>
      <x:c r="C307" s="75"/>
      <x:c r="D307" s="75"/>
      <x:c r="E307" s="75"/>
      <x:c r="F307" s="75"/>
      <x:c r="G307" s="75"/>
      <x:c r="H307" s="75"/>
      <x:c r="I307" s="75"/>
      <x:c r="J307" s="75"/>
      <x:c r="K307" s="75"/>
      <x:c r="L307" s="75" t="str">
        <x:v>Deletion/purge jobs are documented; no fixed public deleted-attachment retention interval found</x:v>
      </x:c>
      <x:c r="M307" s="75"/>
      <x:c r="N307" s="75"/>
      <x:c r="O307" s="75"/>
      <x:c r="P307" s="75"/>
      <x:c r="Q307" s="75"/>
      <x:c r="R307" s="75"/>
      <x:c r="S307" s="75"/>
      <x:c r="T307" s="75"/>
      <x:c r="U307" s="75"/>
      <x:c r="V307" s="75"/>
      <x:c r="W307" s="75"/>
      <x:c r="X307" s="75"/>
      <x:c r="Y307" s="75"/>
      <x:c r="Z307" s="75"/>
      <x:c r="AA307" s="75"/>
      <x:c r="AB307" s="75"/>
      <x:c r="AC307" s="78"/>
      <x:c r="AD307" s="75"/>
      <x:c r="AE307" s="75"/>
      <x:c r="AF307" s="75"/>
      <x:c r="AG307" s="75"/>
      <x:c r="AH307" s="122" t="n">
        <x:v>23</x:v>
      </x:c>
      <x:c r="AI307" s="123" t="str">
        <x:v>Canonical source for Files &amp; Storage!23</x:v>
      </x:c>
    </x:row>
    <x:row r="308">
      <x:c r="A308" s="119" t="str">
        <x:v>Files &amp; Storage</x:v>
      </x:c>
      <x:c r="B308" s="121" t="str">
        <x:v>CDN / Media Proxy?</x:v>
      </x:c>
      <x:c r="C308" s="75" t="str">
        <x:v>Yes / CDN</x:v>
      </x:c>
      <x:c r="D308" s="75"/>
      <x:c r="E308" s="75"/>
      <x:c r="F308" s="75"/>
      <x:c r="G308" s="75"/>
      <x:c r="H308" s="75" t="str">
        <x:v>Yes / CDN</x:v>
      </x:c>
      <x:c r="I308" s="75"/>
      <x:c r="J308" s="75"/>
      <x:c r="K308" s="75"/>
      <x:c r="L308" s="75" t="str">
        <x:v>Private S3-compatible media via short-lived presigned URLs; Garage default, external S3 supported</x:v>
      </x:c>
      <x:c r="M308" s="75"/>
      <x:c r="N308" s="75"/>
      <x:c r="O308" s="75"/>
      <x:c r="P308" s="75"/>
      <x:c r="Q308" s="75"/>
      <x:c r="R308" s="75"/>
      <x:c r="S308" s="75"/>
      <x:c r="T308" s="75"/>
      <x:c r="U308" s="75"/>
      <x:c r="V308" s="75" t="str">
        <x:v>Yes — media proxy</x:v>
      </x:c>
      <x:c r="W308" s="75"/>
      <x:c r="X308" s="75"/>
      <x:c r="Y308" s="75" t="str">
        <x:v>Yes / CDN</x:v>
      </x:c>
      <x:c r="Z308" s="75"/>
      <x:c r="AA308" s="75"/>
      <x:c r="AB308" s="75"/>
      <x:c r="AC308" s="78"/>
      <x:c r="AD308" s="75"/>
      <x:c r="AE308" s="75"/>
      <x:c r="AF308" s="75"/>
      <x:c r="AG308" s="75"/>
      <x:c r="AH308" s="122" t="n">
        <x:v>25</x:v>
      </x:c>
      <x:c r="AI308" s="123" t="str">
        <x:v>Canonical source for Files &amp; Storage!25</x:v>
      </x:c>
    </x:row>
    <x:row r="309">
      <x:c r="A309" s="119" t="str">
        <x:v>Files &amp; Storage</x:v>
      </x:c>
      <x:c r="B309" s="121" t="str">
        <x:v>EXIF Scrubbing?</x:v>
      </x:c>
      <x:c r="C309" s="75"/>
      <x:c r="D309" s="75"/>
      <x:c r="E309" s="75"/>
      <x:c r="F309" s="75"/>
      <x:c r="G309" s="75"/>
      <x:c r="H309" s="75"/>
      <x:c r="I309" s="75"/>
      <x:c r="J309" s="75"/>
      <x:c r="K309" s="75"/>
      <x:c r="L309" s="75" t="str">
        <x:v>Not explicitly documented</x:v>
      </x:c>
      <x:c r="M309" s="75"/>
      <x:c r="N309" s="75"/>
      <x:c r="O309" s="75" t="str">
        <x:v>Client/server-dependent</x:v>
      </x:c>
      <x:c r="P309" s="75"/>
      <x:c r="Q309" s="75"/>
      <x:c r="R309" s="75" t="str">
        <x:v>N/A</x:v>
      </x:c>
      <x:c r="S309" s="75"/>
      <x:c r="T309" s="75"/>
      <x:c r="U309" s="75"/>
      <x:c r="V309" s="75" t="str">
        <x:v>Yes — automatic EXIF stripping</x:v>
      </x:c>
      <x:c r="W309" s="75"/>
      <x:c r="X309" s="75"/>
      <x:c r="Y309" s="75"/>
      <x:c r="Z309" s="75"/>
      <x:c r="AA309" s="75"/>
      <x:c r="AB309" s="75"/>
      <x:c r="AC309" s="78"/>
      <x:c r="AD309" s="75"/>
      <x:c r="AE309" s="75"/>
      <x:c r="AF309" s="75"/>
      <x:c r="AG309" s="75"/>
      <x:c r="AH309" s="122" t="n">
        <x:v>26</x:v>
      </x:c>
      <x:c r="AI309" s="123" t="str">
        <x:v>Canonical metric shared by: Files &amp; Storage: EXIF Scrubbing? | Security &amp; Privacy: EXIF Scrubbing? | Security Matrix: EXIF Scrubbing?</x:v>
      </x:c>
    </x:row>
    <x:row r="310">
      <x:c r="A310" s="119" t="str">
        <x:v>Files &amp; Storage</x:v>
      </x:c>
      <x:c r="B310" s="121" t="str">
        <x:v>Attachment Export?</x:v>
      </x:c>
      <x:c r="C310" s="75" t="str">
        <x:v>ZIP / JSON-heavy Data Package</x:v>
      </x:c>
      <x:c r="D310" s="75" t="str">
        <x:v>Nostr events</x:v>
      </x:c>
      <x:c r="E310" s="75" t="str">
        <x:v>DCTS export</x:v>
      </x:c>
      <x:c r="F310" s="75"/>
      <x:c r="G310" s="75"/>
      <x:c r="H310" s="75"/>
      <x:c r="I310" s="75"/>
      <x:c r="J310" s="75"/>
      <x:c r="K310" s="75" t="str">
        <x:v>Encrypted .hollow/local formats</x:v>
      </x:c>
      <x:c r="L310" s="75" t="str">
        <x:v>Direct downloads supported; no bulk attachment/account export workflow documented</x:v>
      </x:c>
      <x:c r="M310" s="75"/>
      <x:c r="N310" s="75"/>
      <x:c r="O310" s="75" t="str">
        <x:v>Client/provider-dependent</x:v>
      </x:c>
      <x:c r="P310" s="75" t="str">
        <x:v>Bulk/export formats</x:v>
      </x:c>
      <x:c r="Q310" s="75"/>
      <x:c r="R310" s="75" t="str">
        <x:v>N/A</x:v>
      </x:c>
      <x:c r="S310" s="75"/>
      <x:c r="T310" s="75"/>
      <x:c r="U310" s="75"/>
      <x:c r="V310" s="75" t="str">
        <x:v>Direct downloads supported</x:v>
      </x:c>
      <x:c r="W310" s="75" t="str">
        <x:v>Export/backup deployment-dependent</x:v>
      </x:c>
      <x:c r="X310" s="75" t="str">
        <x:v>ATProto records</x:v>
      </x:c>
      <x:c r="Y310" s="75"/>
      <x:c r="Z310" s="75"/>
      <x:c r="AA310" s="75"/>
      <x:c r="AB310" s="75"/>
      <x:c r="AC310" s="78"/>
      <x:c r="AD310" s="75"/>
      <x:c r="AE310" s="75"/>
      <x:c r="AF310" s="75"/>
      <x:c r="AG310" s="75" t="str">
        <x:v>Zulip export archives</x:v>
      </x:c>
      <x:c r="AH310" s="122" t="n">
        <x:v>27</x:v>
      </x:c>
      <x:c r="AI310" s="123" t="str">
        <x:v>Canonical source for Files &amp; Storage!27</x:v>
      </x:c>
    </x:row>
    <x:row r="311">
      <x:c r="A311" s="119" t="str">
        <x:v>Files &amp; Storage</x:v>
      </x:c>
      <x:c r="B311" s="121" t="str">
        <x:v>Inline Preview?</x:v>
      </x:c>
      <x:c r="C311" s="75" t="str">
        <x:v>Yes</x:v>
      </x:c>
      <x:c r="D311" s="75"/>
      <x:c r="E311" s="75"/>
      <x:c r="F311" s="75"/>
      <x:c r="G311" s="75"/>
      <x:c r="H311" s="75" t="str">
        <x:v>Yes</x:v>
      </x:c>
      <x:c r="I311" s="75" t="str">
        <x:v>Yes</x:v>
      </x:c>
      <x:c r="J311" s="75"/>
      <x:c r="K311" s="75"/>
      <x:c r="L311" s="75" t="str">
        <x:v>Yes — clean image/video derivatives and previews are produced after scan</x:v>
      </x:c>
      <x:c r="M311" s="75"/>
      <x:c r="N311" s="75"/>
      <x:c r="O311" s="75"/>
      <x:c r="P311" s="75" t="str">
        <x:v>Yes</x:v>
      </x:c>
      <x:c r="Q311" s="75" t="str">
        <x:v>Yes</x:v>
      </x:c>
      <x:c r="R311" s="75"/>
      <x:c r="S311" s="75"/>
      <x:c r="T311" s="75"/>
      <x:c r="U311" s="75"/>
      <x:c r="V311" s="75" t="str">
        <x:v>Yes</x:v>
      </x:c>
      <x:c r="W311" s="75" t="str">
        <x:v>Yes</x:v>
      </x:c>
      <x:c r="X311" s="75"/>
      <x:c r="Y311" s="75" t="str">
        <x:v>Yes</x:v>
      </x:c>
      <x:c r="Z311" s="75"/>
      <x:c r="AA311" s="75"/>
      <x:c r="AB311" s="75"/>
      <x:c r="AC311" s="78"/>
      <x:c r="AD311" s="75"/>
      <x:c r="AE311" s="75"/>
      <x:c r="AF311" s="75"/>
      <x:c r="AG311" s="75" t="str">
        <x:v>Yes</x:v>
      </x:c>
      <x:c r="AH311" s="122" t="n">
        <x:v>28</x:v>
      </x:c>
      <x:c r="AI311" s="123" t="str">
        <x:v>Canonical source for Files &amp; Storage!28</x:v>
      </x:c>
    </x:row>
    <x:row r="312">
      <x:c r="A312" s="119" t="str">
        <x:v>Files &amp; Storage</x:v>
      </x:c>
      <x:c r="B312" s="121" t="str">
        <x:v>File / Storage Source URL</x:v>
      </x:c>
      <x:c r="C312" s="75" t="str">
        <x:v>https://support.discord.com/hc/en-us/articles/25444343291031-File-Attachments-FAQ</x:v>
      </x:c>
      <x:c r="D312" s="75"/>
      <x:c r="E312" s="75"/>
      <x:c r="F312" s="75"/>
      <x:c r="G312" s="75"/>
      <x:c r="H312" s="75" t="str">
        <x:v>https://fluxer.app/plutonium</x:v>
      </x:c>
      <x:c r="I312" s="75" t="str">
        <x:v>https://gamevox.com/blog/gamevox-vs-discord/</x:v>
      </x:c>
      <x:c r="J312" s="75"/>
      <x:c r="K312" s="75"/>
      <x:c r="L312" s="75" t="str">
        <x:v>https://github.com/CookieNom/KaedeChat/blob/main/docs/architecture.md</x:v>
      </x:c>
      <x:c r="M312" s="75"/>
      <x:c r="N312" s="75"/>
      <x:c r="O312" s="75"/>
      <x:c r="P312" s="75"/>
      <x:c r="Q312" s="75" t="str">
        <x:v>https://mezon.ai/docs/user/resources/FAQ/</x:v>
      </x:c>
      <x:c r="R312" s="75"/>
      <x:c r="S312" s="75"/>
      <x:c r="T312" s="75"/>
      <x:c r="U312" s="75"/>
      <x:c r="V312" s="75" t="str">
        <x:v>https://therift.chat/de/plans/</x:v>
      </x:c>
      <x:c r="W312" s="75"/>
      <x:c r="X312" s="75"/>
      <x:c r="Y312" s="75" t="str">
        <x:v>https://support.rootapp.com/docs/leader/channel-files/overview/</x:v>
      </x:c>
      <x:c r="Z312" s="75"/>
      <x:c r="AA312" s="75"/>
      <x:c r="AB312" s="75"/>
      <x:c r="AC312" s="78"/>
      <x:c r="AD312" s="75"/>
      <x:c r="AE312" s="75"/>
      <x:c r="AF312" s="75"/>
      <x:c r="AG312" s="75" t="str">
        <x:v>https://zulip.com/plans/</x:v>
      </x:c>
      <x:c r="AH312" s="122" t="n">
        <x:v>30</x:v>
      </x:c>
      <x:c r="AI312" s="123" t="str">
        <x:v>Canonical source for Files &amp; Storage!30</x:v>
      </x:c>
    </x:row>
    <x:row r="313">
      <x:c r="A313" s="119" t="str">
        <x:v>Files &amp; Storage</x:v>
      </x:c>
      <x:c r="B313" s="121" t="str">
        <x:v>File / Storage Notes</x:v>
      </x:c>
      <x:c r="C313" s="75" t="str">
        <x:v>20 MB free; 50 MB Nitro Basic; 500 MB Nitro.</x:v>
      </x:c>
      <x:c r="D313" s="75" t="str">
        <x:v>Relay-dependent</x:v>
      </x:c>
      <x:c r="E313" s="75" t="str">
        <x:v>Operator configured</x:v>
      </x:c>
      <x:c r="F313" s="75"/>
      <x:c r="G313" s="75"/>
      <x:c r="H313" s="75" t="str">
        <x:v>25 MB free; 500 MB with Plutonium.</x:v>
      </x:c>
      <x:c r="I313" s="75" t="str">
        <x:v>500 MB free; Silver 1 GB/file; Gold 2 GB/file; Diamond 10 GB/file.</x:v>
      </x:c>
      <x:c r="J313" s="75"/>
      <x:c r="K313" s="75" t="str">
        <x:v>Local/device storage</x:v>
      </x:c>
      <x:c r="L313" s="75" t="str">
        <x:v>Three private buckets; exact-length upload tickets; magic validation; ClamAV scanning; safe WebP/video derivatives; remote media is origin-authenticated and re-scanned before local cache.</x:v>
      </x:c>
      <x:c r="M313" s="75"/>
      <x:c r="N313" s="75"/>
      <x:c r="O313" s="75" t="str">
        <x:v>Homeserver-dependent</x:v>
      </x:c>
      <x:c r="P313" s="75" t="str">
        <x:v>Admin-configurable</x:v>
      </x:c>
      <x:c r="Q313" s="75" t="str">
        <x:v>All features free; images max 50 MB, video/other max 100 MB.</x:v>
      </x:c>
      <x:c r="R313" s="75" t="str">
        <x:v>N/A</x:v>
      </x:c>
      <x:c r="S313" s="75"/>
      <x:c r="T313" s="75"/>
      <x:c r="U313" s="75"/>
      <x:c r="V313" s="75" t="str">
        <x:v>Free 50 MB; Rift+ 200 MB; Ember 75 MB/member; Forge 100 MB/member.</x:v>
      </x:c>
      <x:c r="W313" s="75" t="str">
        <x:v>Admin-configurable</x:v>
      </x:c>
      <x:c r="X313" s="75"/>
      <x:c r="Y313" s="75" t="str">
        <x:v>Root docs verify 25 MB max and 10 files/upload; no higher paid file cap verified.</x:v>
      </x:c>
      <x:c r="Z313" s="75" t="str">
        <x:v>Operator-configurable</x:v>
      </x:c>
      <x:c r="AA313" s="75"/>
      <x:c r="AB313" s="75" t="str">
        <x:v>A 5 MB attachment limit is widely documented in current comparisons; official primary limit was not re-verified in this pass.</x:v>
      </x:c>
      <x:c r="AC313" s="78"/>
      <x:c r="AD313" s="75"/>
      <x:c r="AE313" s="75"/>
      <x:c r="AF313" s="75" t="str">
        <x:v>Server-configurable</x:v>
      </x:c>
      <x:c r="AG313" s="75" t="str">
        <x:v>Plan/server configurable</x:v>
      </x:c>
      <x:c r="AH313" s="122" t="n">
        <x:v>31</x:v>
      </x:c>
      <x:c r="AI313" s="123" t="str">
        <x:v>Canonical source for Files &amp; Storage!31</x:v>
      </x:c>
    </x:row>
    <x:row r="314">
      <x:c r="A314" s="119" t="str">
        <x:v>Files &amp; Storage</x:v>
      </x:c>
      <x:c r="B314" s="121" t="str">
        <x:v>Malware / Virus Scanning?</x:v>
      </x:c>
      <x:c r="C314" s="75"/>
      <x:c r="D314" s="75"/>
      <x:c r="E314" s="75"/>
      <x:c r="F314" s="75"/>
      <x:c r="G314" s="75"/>
      <x:c r="H314" s="75"/>
      <x:c r="I314" s="75"/>
      <x:c r="J314" s="75"/>
      <x:c r="K314" s="75"/>
      <x:c r="L314" s="75" t="str">
        <x:v>Yes — magic validation + ClamAV malware scan before originals become available</x:v>
      </x:c>
      <x:c r="M314" s="75"/>
      <x:c r="N314" s="75"/>
      <x:c r="O314" s="75"/>
      <x:c r="P314" s="75" t="str">
        <x:v>Deployment/integration dependent</x:v>
      </x:c>
      <x:c r="Q314" s="75"/>
      <x:c r="R314" s="75"/>
      <x:c r="S314" s="75"/>
      <x:c r="T314" s="75"/>
      <x:c r="U314" s="75"/>
      <x:c r="V314" s="75"/>
      <x:c r="W314" s="75"/>
      <x:c r="X314" s="75"/>
      <x:c r="Y314" s="75"/>
      <x:c r="Z314" s="75"/>
      <x:c r="AA314" s="75"/>
      <x:c r="AB314" s="75"/>
      <x:c r="AC314" s="78"/>
      <x:c r="AD314" s="75"/>
      <x:c r="AE314" s="75"/>
      <x:c r="AF314" s="75"/>
      <x:c r="AG314" s="75"/>
      <x:c r="AH314" s="122" t="n">
        <x:v>33</x:v>
      </x:c>
      <x:c r="AI314" s="123" t="str">
        <x:v>Canonical source for Files &amp; Storage!33</x:v>
      </x:c>
    </x:row>
    <x:row r="315">
      <x:c r="A315" s="119" t="str">
        <x:v>Files &amp; Storage</x:v>
      </x:c>
      <x:c r="B315" s="121" t="str">
        <x:v>File Type Restrictions Configurable?</x:v>
      </x:c>
      <x:c r="C315" s="75" t="str">
        <x:v>Platform-controlled</x:v>
      </x:c>
      <x:c r="D315" s="75"/>
      <x:c r="E315" s="75"/>
      <x:c r="F315" s="75"/>
      <x:c r="G315" s="75"/>
      <x:c r="H315" s="75"/>
      <x:c r="I315" s="75"/>
      <x:c r="J315" s="75"/>
      <x:c r="K315" s="75"/>
      <x:c r="L315" s="75" t="str">
        <x:v>MIME/type validation is enforced; operator-configurable restriction policy was not separately documented</x:v>
      </x:c>
      <x:c r="M315" s="75"/>
      <x:c r="N315" s="75"/>
      <x:c r="O315" s="75"/>
      <x:c r="P315" s="75" t="str">
        <x:v>Admin/deployment dependent</x:v>
      </x:c>
      <x:c r="Q315" s="75"/>
      <x:c r="R315" s="75"/>
      <x:c r="S315" s="75"/>
      <x:c r="T315" s="75"/>
      <x:c r="U315" s="75"/>
      <x:c r="V315" s="75"/>
      <x:c r="W315" s="75"/>
      <x:c r="X315" s="75"/>
      <x:c r="Y315" s="75"/>
      <x:c r="Z315" s="75"/>
      <x:c r="AA315" s="75"/>
      <x:c r="AB315" s="75"/>
      <x:c r="AC315" s="78"/>
      <x:c r="AD315" s="75"/>
      <x:c r="AE315" s="75"/>
      <x:c r="AF315" s="75"/>
      <x:c r="AG315" s="75"/>
      <x:c r="AH315" s="122" t="n">
        <x:v>34</x:v>
      </x:c>
      <x:c r="AI315" s="123" t="str">
        <x:v>Canonical source for Files &amp; Storage!34</x:v>
      </x:c>
    </x:row>
    <x:row r="316">
      <x:c r="A316" s="119" t="str">
        <x:v>Files &amp; Storage</x:v>
      </x:c>
      <x:c r="B316" s="121" t="str">
        <x:v>Per-Channel Retention Policy?</x:v>
      </x:c>
      <x:c r="C316" s="75" t="str">
        <x:v>No general native retention timer</x:v>
      </x:c>
      <x:c r="D316" s="75"/>
      <x:c r="E316" s="75"/>
      <x:c r="F316" s="75"/>
      <x:c r="G316" s="75"/>
      <x:c r="H316" s="75"/>
      <x:c r="I316" s="75"/>
      <x:c r="J316" s="75"/>
      <x:c r="K316" s="75"/>
      <x:c r="L316" s="75" t="str">
        <x:v>Not documented</x:v>
      </x:c>
      <x:c r="M316" s="75"/>
      <x:c r="N316" s="75"/>
      <x:c r="O316" s="75"/>
      <x:c r="P316" s="75" t="str">
        <x:v>Enterprise/deployment dependent</x:v>
      </x:c>
      <x:c r="Q316" s="75"/>
      <x:c r="R316" s="75"/>
      <x:c r="S316" s="75"/>
      <x:c r="T316" s="75"/>
      <x:c r="U316" s="75" t="str">
        <x:v>Message retention controls available; exact granularity not stated</x:v>
      </x:c>
      <x:c r="V316" s="75" t="str">
        <x:v>Yes — disappearing messages per channel</x:v>
      </x:c>
      <x:c r="W316" s="75" t="str">
        <x:v>Deployment/settings dependent</x:v>
      </x:c>
      <x:c r="X316" s="75"/>
      <x:c r="Y316" s="75"/>
      <x:c r="Z316" s="75"/>
      <x:c r="AA316" s="75"/>
      <x:c r="AB316" s="75"/>
      <x:c r="AC316" s="78"/>
      <x:c r="AD316" s="75"/>
      <x:c r="AE316" s="75"/>
      <x:c r="AF316" s="75"/>
      <x:c r="AG316" s="75"/>
      <x:c r="AH316" s="122" t="n">
        <x:v>35</x:v>
      </x:c>
      <x:c r="AI316" s="123" t="str">
        <x:v>Canonical source for Files &amp; Storage!35</x:v>
      </x:c>
    </x:row>
    <x:row r="317">
      <x:c r="A317" s="119" t="str">
        <x:v>Files &amp; Storage</x:v>
      </x:c>
      <x:c r="B317" s="121" t="str">
        <x:v>Object Storage Backend Self-Host Configurable?</x:v>
      </x:c>
      <x:c r="C317" s="75"/>
      <x:c r="D317" s="75"/>
      <x:c r="E317" s="75"/>
      <x:c r="F317" s="75"/>
      <x:c r="G317" s="75"/>
      <x:c r="H317" s="75" t="str">
        <x:v>Yes / recommended</x:v>
      </x:c>
      <x:c r="I317" s="75"/>
      <x:c r="J317" s="75"/>
      <x:c r="K317" s="75"/>
      <x:c r="L317" s="75" t="str">
        <x:v>Yes — Garage or external S3-compatible storage</x:v>
      </x:c>
      <x:c r="M317" s="75"/>
      <x:c r="N317" s="75"/>
      <x:c r="O317" s="75"/>
      <x:c r="P317" s="75" t="str">
        <x:v>Yes / recommended</x:v>
      </x:c>
      <x:c r="Q317" s="75"/>
      <x:c r="R317" s="75"/>
      <x:c r="S317" s="75"/>
      <x:c r="T317" s="75"/>
      <x:c r="U317" s="75"/>
      <x:c r="V317" s="75"/>
      <x:c r="W317" s="75" t="str">
        <x:v>Yes / recommended</x:v>
      </x:c>
      <x:c r="X317" s="75"/>
      <x:c r="Y317" s="75"/>
      <x:c r="Z317" s="75"/>
      <x:c r="AA317" s="75" t="str">
        <x:v>Yes / recommended</x:v>
      </x:c>
      <x:c r="AB317" s="75"/>
      <x:c r="AC317" s="78"/>
      <x:c r="AD317" s="75"/>
      <x:c r="AE317" s="75"/>
      <x:c r="AF317" s="75"/>
      <x:c r="AG317" s="75"/>
      <x:c r="AH317" s="122" t="n">
        <x:v>36</x:v>
      </x:c>
      <x:c r="AI317" s="123" t="str">
        <x:v>Canonical source for Files &amp; Storage!36</x:v>
      </x:c>
    </x:row>
    <x:row r="318">
      <x:c r="A318" s="119" t="str">
        <x:v>Platform Model &amp; Ecosystem</x:v>
      </x:c>
      <x:c r="B318" s="121" t="str">
        <x:v>Platform / Protocol Identity</x:v>
      </x:c>
      <x:c r="C318" s="75" t="str">
        <x:v>Discord</x:v>
      </x:c>
      <x:c r="D318" s="75" t="str">
        <x:v>Armada</x:v>
      </x:c>
      <x:c r="E318" s="75" t="str">
        <x:v>DCTS</x:v>
      </x:c>
      <x:c r="F318" s="75" t="str">
        <x:v>Echon</x:v>
      </x:c>
      <x:c r="G318" s="75" t="str">
        <x:v>Fenrid</x:v>
      </x:c>
      <x:c r="H318" s="75" t="str">
        <x:v>Fluxer</x:v>
      </x:c>
      <x:c r="I318" s="75" t="str">
        <x:v>GameVox</x:v>
      </x:c>
      <x:c r="J318" s="75" t="str">
        <x:v>Harmony</x:v>
      </x:c>
      <x:c r="K318" s="75" t="str">
        <x:v>Hollow</x:v>
      </x:c>
      <x:c r="L318" s="75" t="str">
        <x:v>Federated self-hosted Discord-style chat platform</x:v>
      </x:c>
      <x:c r="M318" s="75" t="str">
        <x:v>Kloak</x:v>
      </x:c>
      <x:c r="N318" s="75" t="str">
        <x:v>Loqa</x:v>
      </x:c>
      <x:c r="O318" s="75" t="str">
        <x:v>Matrix</x:v>
      </x:c>
      <x:c r="P318" s="75" t="str">
        <x:v>Mattermost</x:v>
      </x:c>
      <x:c r="Q318" s="75" t="str">
        <x:v>Mezon</x:v>
      </x:c>
      <x:c r="R318" s="75" t="str">
        <x:v>Mumble</x:v>
      </x:c>
      <x:c r="S318" s="75" t="str">
        <x:v>Nerimity</x:v>
      </x:c>
      <x:c r="T318" s="75" t="str">
        <x:v>Osmium</x:v>
      </x:c>
      <x:c r="U318" s="75" t="str">
        <x:v>pqp.gg</x:v>
      </x:c>
      <x:c r="V318" s="75" t="str">
        <x:v>Rift</x:v>
      </x:c>
      <x:c r="W318" s="75" t="str">
        <x:v>Rocket.Chat</x:v>
      </x:c>
      <x:c r="X318" s="75" t="str">
        <x:v>Roomy</x:v>
      </x:c>
      <x:c r="Y318" s="75" t="str">
        <x:v>Root</x:v>
      </x:c>
      <x:c r="Z318" s="75" t="str">
        <x:v>Spacebar</x:v>
      </x:c>
      <x:c r="AA318" s="75" t="str">
        <x:v>Stoat (formerly Revolt)</x:v>
      </x:c>
      <x:c r="AB318" s="75" t="str">
        <x:v>TeamSpeak</x:v>
      </x:c>
      <x:c r="AC318" s="78" t="str">
        <x:v>Valour</x:v>
      </x:c>
      <x:c r="AD318" s="75" t="str">
        <x:v>Venta</x:v>
      </x:c>
      <x:c r="AE318" s="75" t="str">
        <x:v>Weered</x:v>
      </x:c>
      <x:c r="AF318" s="75" t="str">
        <x:v>Yapper</x:v>
      </x:c>
      <x:c r="AG318" s="75" t="str">
        <x:v>Zulip</x:v>
      </x:c>
      <x:c r="AH318" s="122" t="n">
        <x:v>3</x:v>
      </x:c>
      <x:c r="AI318" s="123" t="str">
        <x:v>Canonical source for Platform Model &amp; Ecosystem!3</x:v>
      </x:c>
    </x:row>
    <x:row r="319">
      <x:c r="A319" s="119" t="str">
        <x:v>Platform Model &amp; Ecosystem</x:v>
      </x:c>
      <x:c r="B319" s="121" t="str">
        <x:v>Product Type</x:v>
      </x:c>
      <x:c r="C319" s="75" t="str">
        <x:v>Centralized proprietary communication service</x:v>
      </x:c>
      <x:c r="D319" s="75" t="str">
        <x:v>Serverless/federated-style E2EE community client built on Nostr</x:v>
      </x:c>
      <x:c r="E319" s="75" t="str">
        <x:v>Self-hosted-only decentralized chat software + key-based messenger</x:v>
      </x:c>
      <x:c r="F319" s="75" t="str">
        <x:v>Centralized Discord-like voice/chat service</x:v>
      </x:c>
      <x:c r="G319" s="75" t="str">
        <x:v>Centralized hosted community platform</x:v>
      </x:c>
      <x:c r="H319" s="75" t="str">
        <x:v>Hosted + self-hostable Discord-like service</x:v>
      </x:c>
      <x:c r="I319" s="75" t="str">
        <x:v>Hosted + self-hostable gaming community platform</x:v>
      </x:c>
      <x:c r="J319" s="75" t="str">
        <x:v>Hosted + self-hostable open-source community/chat platform</x:v>
      </x:c>
      <x:c r="K319" s="75" t="str">
        <x:v>Local-first distributed encrypted messenger/community app</x:v>
      </x:c>
      <x:c r="L319" s="75" t="str">
        <x:v>Federated self-hosted chat application</x:v>
      </x:c>
      <x:c r="M319" s="75" t="str">
        <x:v>Centralized privacy-focused community platform</x:v>
      </x:c>
      <x:c r="N319" s="75" t="str">
        <x:v>Discord-like hosted/self-host/federation-oriented community platform</x:v>
      </x:c>
      <x:c r="O319" s="75" t="str">
        <x:v>Open federated communication protocol/ecosystem</x:v>
      </x:c>
      <x:c r="P319" s="75" t="str">
        <x:v>Enterprise collaboration application; cloud or self-host</x:v>
      </x:c>
      <x:c r="Q319" s="75" t="str">
        <x:v>Hosted all-in-one community/work platform</x:v>
      </x:c>
      <x:c r="R319" s="75" t="str">
        <x:v>Self-hosted low-latency voice protocol/application</x:v>
      </x:c>
      <x:c r="S319" s="75" t="str">
        <x:v>Open-source centralized community chat application</x:v>
      </x:c>
      <x:c r="T319" s="75" t="str">
        <x:v>Centralized distributed-region community platform</x:v>
      </x:c>
      <x:c r="U319" s="75" t="str">
        <x:v>Centralized hosted service + self-hostable AGPL community chat</x:v>
      </x:c>
      <x:c r="V319" s="75" t="str">
        <x:v>Centralized proprietary community/chat platform</x:v>
      </x:c>
      <x:c r="W319" s="75" t="str">
        <x:v>Collaboration platform; cloud/self-host with optional federation</x:v>
      </x:c>
      <x:c r="X319" s="75" t="str">
        <x:v>ATProto-based group chat/community app</x:v>
      </x:c>
      <x:c r="Y319" s="75" t="str">
        <x:v>Centralized proprietary community platform</x:v>
      </x:c>
      <x:c r="Z319" s="75" t="str">
        <x:v>Self-hosted Discord-compatible service implementation</x:v>
      </x:c>
      <x:c r="AA319" s="75" t="str">
        <x:v>Hosted + self-hostable Discord-like service</x:v>
      </x:c>
      <x:c r="AB319" s="75" t="str">
        <x:v>Commercial self-hosted/hosted voice communication platform</x:v>
      </x:c>
      <x:c r="AC319" s="78" t="str">
        <x:v>Open-source community platform with hosted + self-host nodes</x:v>
      </x:c>
      <x:c r="AD319" s="75" t="str">
        <x:v>Discord-like platform moving from centralized to open-source/self-host/federated</x:v>
      </x:c>
      <x:c r="AE319" s="75" t="str">
        <x:v>Centralized lobby-first gaming social platform</x:v>
      </x:c>
      <x:c r="AF319" s="75" t="str">
        <x:v>Self-hosted voice/chat collaboration platform</x:v>
      </x:c>
      <x:c r="AG319" s="75" t="str">
        <x:v>Hosted + self-hosted team chat application</x:v>
      </x:c>
      <x:c r="AH319" s="122" t="n">
        <x:v>4</x:v>
      </x:c>
      <x:c r="AI319" s="123" t="str">
        <x:v>Canonical metric shared by: At a Glance: Product Type | Platform Model &amp; Ecosystem: Product Type</x:v>
      </x:c>
    </x:row>
    <x:row r="320">
      <x:c r="A320" s="119" t="str">
        <x:v>Platform Model &amp; Ecosystem</x:v>
      </x:c>
      <x:c r="B320" s="121" t="str">
        <x:v>Reference / First-Party Client(s)</x:v>
      </x:c>
      <x:c r="C320" s="75" t="str">
        <x:v>Discord official web/desktop/mobile clients</x:v>
      </x:c>
      <x:c r="D320" s="75" t="str">
        <x:v>Armada client</x:v>
      </x:c>
      <x:c r="E320" s="75" t="str">
        <x:v>DCTS web/desktop/Android clients</x:v>
      </x:c>
      <x:c r="F320" s="75" t="str">
        <x:v>Echon web/native clients</x:v>
      </x:c>
      <x:c r="G320" s="75" t="str">
        <x:v>Fenrid web/PWA alpha</x:v>
      </x:c>
      <x:c r="H320" s="75" t="str">
        <x:v>Fluxer Web/PWA, Electron desktop, Flutter mobile beta</x:v>
      </x:c>
      <x:c r="I320" s="75" t="str">
        <x:v>GameVox native/web clients</x:v>
      </x:c>
      <x:c r="J320" s="75" t="str">
        <x:v>Fermi is the current primary client</x:v>
      </x:c>
      <x:c r="K320" s="75" t="str">
        <x:v>Hollow native client</x:v>
      </x:c>
      <x:c r="L320" s="75" t="str">
        <x:v>Web (SvelteKit), Tauri desktop, Flutter mobile</x:v>
      </x:c>
      <x:c r="M320" s="75" t="str">
        <x:v>Kloak web/client</x:v>
      </x:c>
      <x:c r="N320" s="75" t="str">
        <x:v>Loqa web client</x:v>
      </x:c>
      <x:c r="O320" s="75" t="str">
        <x:v>No single official client. Element/Element X are example clients, not Matrix itself.</x:v>
      </x:c>
      <x:c r="P320" s="75" t="str">
        <x:v>Mattermost web/desktop/mobile</x:v>
      </x:c>
      <x:c r="Q320" s="75" t="str">
        <x:v>Mezon web/desktop/mobile</x:v>
      </x:c>
      <x:c r="R320" s="75" t="str">
        <x:v>Mumble desktop client</x:v>
      </x:c>
      <x:c r="S320" s="75" t="str">
        <x:v>Nerimity Web/Desktop/Android</x:v>
      </x:c>
      <x:c r="T320" s="75" t="str">
        <x:v>Osmium web/desktop/mobile</x:v>
      </x:c>
      <x:c r="U320" s="75" t="str">
        <x:v>Web React/Vite; desktop Electron; iOS TestFlight; Android APK</x:v>
      </x:c>
      <x:c r="V320" s="75" t="str">
        <x:v>Rift client/web</x:v>
      </x:c>
      <x:c r="W320" s="75" t="str">
        <x:v>Rocket.Chat web/desktop/mobile</x:v>
      </x:c>
      <x:c r="X320" s="75" t="str">
        <x:v>Roomy web app</x:v>
      </x:c>
      <x:c r="Y320" s="75" t="str">
        <x:v>Root desktop/mobile/web surfaces</x:v>
      </x:c>
      <x:c r="Z320" s="75" t="str">
        <x:v>Spacebar-aware client(s); compatibility with Discord-style clients is a project goal</x:v>
      </x:c>
      <x:c r="AA320" s="75" t="str">
        <x:v>Stoat Web/PWA, Desktop, Android; iOS project</x:v>
      </x:c>
      <x:c r="AB320" s="75" t="str">
        <x:v>TeamSpeak official clients</x:v>
      </x:c>
      <x:c r="AC320" s="78" t="str">
        <x:v>Valour web/Windows/Android</x:v>
      </x:c>
      <x:c r="AD320" s="75" t="str">
        <x:v>Venta client</x:v>
      </x:c>
      <x:c r="AE320" s="75" t="str">
        <x:v>Weered web/Tauri client</x:v>
      </x:c>
      <x:c r="AF320" s="75" t="str">
        <x:v>Yapper browser/client</x:v>
      </x:c>
      <x:c r="AG320" s="75" t="str">
        <x:v>Zulip web/desktop/mobile</x:v>
      </x:c>
      <x:c r="AH320" s="122" t="n">
        <x:v>5</x:v>
      </x:c>
      <x:c r="AI320" s="123" t="str">
        <x:v>Canonical metric shared by: At a Glance: Reference / First-Party Client(s) | Platform Model &amp; Ecosystem: Reference / First-Party Client(s)</x:v>
      </x:c>
    </x:row>
    <x:row r="321">
      <x:c r="A321" s="119" t="str">
        <x:v>Platform Model &amp; Ecosystem</x:v>
      </x:c>
      <x:c r="B321" s="121" t="str">
        <x:v>Examples of Other Clients</x:v>
      </x:c>
      <x:c r="C321" s="75" t="str">
        <x:v>Third-party clients generally not supported</x:v>
      </x:c>
      <x:c r="D321" s="75" t="str">
        <x:v>Other Nostr clients do not automatically implement Armada/Concord semantics</x:v>
      </x:c>
      <x:c r="E321" s="75" t="str">
        <x:v>Open source allows custom clients</x:v>
      </x:c>
      <x:c r="F321" s="75" t="str">
        <x:v>No third-party clients verified</x:v>
      </x:c>
      <x:c r="G321" s="75" t="str">
        <x:v>No established third-party client ecosystem</x:v>
      </x:c>
      <x:c r="H321" s="75" t="str">
        <x:v>No mature third-party client ecosystem verified</x:v>
      </x:c>
      <x:c r="I321" s="75" t="str">
        <x:v>No interchangeable third-party client ecosystem verified</x:v>
      </x:c>
      <x:c r="J321" s="75" t="str">
        <x:v>Anyone can build clients against Harmony API</x:v>
      </x:c>
      <x:c r="K321" s="75"/>
      <x:c r="L321" s="75"/>
      <x:c r="M321" s="75" t="str">
        <x:v>No third-party clients verified</x:v>
      </x:c>
      <x:c r="N321" s="75"/>
      <x:c r="O321" s="75" t="str">
        <x:v>Cinny, FluffyChat, Nheko, Fractal, Commet and many others</x:v>
      </x:c>
      <x:c r="P321" s="75" t="str">
        <x:v>Custom clients/integrations possible; not interchangeable protocol clients</x:v>
      </x:c>
      <x:c r="Q321" s="75"/>
      <x:c r="R321" s="75" t="str">
        <x:v>Third-party mobile clients</x:v>
      </x:c>
      <x:c r="S321" s="75" t="str">
        <x:v>Forks/custom clients possible via open API/code</x:v>
      </x:c>
      <x:c r="T321" s="75" t="str">
        <x:v>No interchangeable client ecosystem verified</x:v>
      </x:c>
      <x:c r="U321" s="75" t="str">
        <x:v>Open source but no third-party client protocol ecosystem verified</x:v>
      </x:c>
      <x:c r="V321" s="75" t="str">
        <x:v>No third-party client ecosystem</x:v>
      </x:c>
      <x:c r="W321" s="75" t="str">
        <x:v>API/custom clients possible</x:v>
      </x:c>
      <x:c r="X321" s="75"/>
      <x:c r="Y321" s="75" t="str">
        <x:v>No third-party client ecosystem</x:v>
      </x:c>
      <x:c r="Z321" s="75" t="str">
        <x:v>Potential compatible/community clients</x:v>
      </x:c>
      <x:c r="AA321" s="75" t="str">
        <x:v>Community clients exist</x:v>
      </x:c>
      <x:c r="AB321" s="75" t="str">
        <x:v>Third-party client support limited by proprietary ecosystem</x:v>
      </x:c>
      <x:c r="AC321" s="78" t="str">
        <x:v>Open API; independent clients possible</x:v>
      </x:c>
      <x:c r="AD321" s="75"/>
      <x:c r="AE321" s="75" t="str">
        <x:v>No third-party clients verified</x:v>
      </x:c>
      <x:c r="AF321" s="75" t="str">
        <x:v>No third-party clients verified</x:v>
      </x:c>
      <x:c r="AG321" s="75" t="str">
        <x:v>API clients/bots; not interchangeable end-user clients in Matrix sense</x:v>
      </x:c>
      <x:c r="AH321" s="122" t="n">
        <x:v>6</x:v>
      </x:c>
      <x:c r="AI321" s="123" t="str">
        <x:v>Canonical source for Platform Model &amp; Ecosystem!6</x:v>
      </x:c>
    </x:row>
    <x:row r="322">
      <x:c r="A322" s="119" t="str">
        <x:v>Platform Model &amp; Ecosystem</x:v>
      </x:c>
      <x:c r="B322" s="121" t="str">
        <x:v>Client Interchangeability</x:v>
      </x:c>
      <x:c r="C322" s="75" t="str">
        <x:v>No</x:v>
      </x:c>
      <x:c r="D322" s="75" t="str">
        <x:v>Partial</x:v>
      </x:c>
      <x:c r="E322" s="75" t="str">
        <x:v>Yes for messenger/home server identity</x:v>
      </x:c>
      <x:c r="F322" s="75" t="str">
        <x:v>No</x:v>
      </x:c>
      <x:c r="G322" s="75" t="str">
        <x:v>No</x:v>
      </x:c>
      <x:c r="H322" s="75" t="str">
        <x:v>Limited</x:v>
      </x:c>
      <x:c r="I322" s="75" t="str">
        <x:v>No</x:v>
      </x:c>
      <x:c r="J322" s="75" t="str">
        <x:v>Yes in principle</x:v>
      </x:c>
      <x:c r="K322" s="75" t="str">
        <x:v>Identity portable across relays</x:v>
      </x:c>
      <x:c r="L322" s="75" t="str">
        <x:v>Possible through documented APIs/protocol; no established third-party client ecosystem yet</x:v>
      </x:c>
      <x:c r="M322" s="75" t="str">
        <x:v>No</x:v>
      </x:c>
      <x:c r="N322" s="75"/>
      <x:c r="O322" s="75" t="str">
        <x:v>Yes — core architectural feature</x:v>
      </x:c>
      <x:c r="P322" s="75" t="str">
        <x:v>Limited</x:v>
      </x:c>
      <x:c r="Q322" s="75"/>
      <x:c r="R322" s="75" t="str">
        <x:v>Yes within Mumble protocol compatibility</x:v>
      </x:c>
      <x:c r="S322" s="75" t="str">
        <x:v>Limited</x:v>
      </x:c>
      <x:c r="T322" s="75" t="str">
        <x:v>No</x:v>
      </x:c>
      <x:c r="U322" s="75" t="str">
        <x:v>Limited</x:v>
      </x:c>
      <x:c r="V322" s="75" t="str">
        <x:v>No</x:v>
      </x:c>
      <x:c r="W322" s="75" t="str">
        <x:v>Limited</x:v>
      </x:c>
      <x:c r="X322" s="75" t="str">
        <x:v>Partial</x:v>
      </x:c>
      <x:c r="Y322" s="75" t="str">
        <x:v>No</x:v>
      </x:c>
      <x:c r="Z322" s="75" t="str">
        <x:v>Potentially, within compatibility limits</x:v>
      </x:c>
      <x:c r="AA322" s="75" t="str">
        <x:v>Limited — official clients do not all support arbitrary self-hosted instances</x:v>
      </x:c>
      <x:c r="AB322" s="75" t="str">
        <x:v>Limited</x:v>
      </x:c>
      <x:c r="AC322" s="78" t="str">
        <x:v>Partial</x:v>
      </x:c>
      <x:c r="AD322" s="75"/>
      <x:c r="AE322" s="75" t="str">
        <x:v>No</x:v>
      </x:c>
      <x:c r="AF322" s="75" t="str">
        <x:v>No</x:v>
      </x:c>
      <x:c r="AG322" s="75" t="str">
        <x:v>Limited</x:v>
      </x:c>
      <x:c r="AH322" s="122" t="n">
        <x:v>7</x:v>
      </x:c>
      <x:c r="AI322" s="123" t="str">
        <x:v>Canonical metric shared by: At a Glance: Client Interchangeability | Platform Model &amp; Ecosystem: Client Interchangeability</x:v>
      </x:c>
    </x:row>
    <x:row r="323">
      <x:c r="A323" s="119" t="str">
        <x:v>Platform Model &amp; Ecosystem</x:v>
      </x:c>
      <x:c r="B323" s="121" t="str">
        <x:v>Account / Identity Hosted By</x:v>
      </x:c>
      <x:c r="C323" s="75" t="str">
        <x:v>Discord</x:v>
      </x:c>
      <x:c r="D323" s="75" t="str">
        <x:v>Nostr keypair</x:v>
      </x:c>
      <x:c r="E323" s="75" t="str">
        <x:v>Chosen DCTS instance or key-based messenger</x:v>
      </x:c>
      <x:c r="F323" s="75" t="str">
        <x:v>Echon</x:v>
      </x:c>
      <x:c r="G323" s="75" t="str">
        <x:v>Fenrid</x:v>
      </x:c>
      <x:c r="H323" s="75" t="str">
        <x:v>Fluxer hosted or self-host operator</x:v>
      </x:c>
      <x:c r="I323" s="75" t="str">
        <x:v>GameVox account / self-host server</x:v>
      </x:c>
      <x:c r="J323" s="75" t="str">
        <x:v>Per-instance</x:v>
      </x:c>
      <x:c r="K323" s="75" t="str">
        <x:v>User Ed25519 keypair</x:v>
      </x:c>
      <x:c r="L323" s="75" t="str">
        <x:v>Chosen home instance; identity is username@domain</x:v>
      </x:c>
      <x:c r="M323" s="75" t="str">
        <x:v>Kloak</x:v>
      </x:c>
      <x:c r="N323" s="75"/>
      <x:c r="O323" s="75" t="str">
        <x:v>Chosen Matrix homeserver/provider</x:v>
      </x:c>
      <x:c r="P323" s="75" t="str">
        <x:v>Mattermost Cloud or chosen self-host server</x:v>
      </x:c>
      <x:c r="Q323" s="75" t="str">
        <x:v>Mezon account</x:v>
      </x:c>
      <x:c r="R323" s="75" t="str">
        <x:v>Chosen Mumble server</x:v>
      </x:c>
      <x:c r="S323" s="75" t="str">
        <x:v>Nerimity hosted service</x:v>
      </x:c>
      <x:c r="T323" s="75" t="str">
        <x:v>Osmium</x:v>
      </x:c>
      <x:c r="U323" s="75" t="str">
        <x:v>Clerk on the hosted service; self-host operator controls deployment</x:v>
      </x:c>
      <x:c r="V323" s="75" t="str">
        <x:v>Rift</x:v>
      </x:c>
      <x:c r="W323" s="75" t="str">
        <x:v>Rocket.Chat Cloud or chosen server</x:v>
      </x:c>
      <x:c r="X323" s="75" t="str">
        <x:v>Bluesky/ATProto identity</x:v>
      </x:c>
      <x:c r="Y323" s="75" t="str">
        <x:v>Root</x:v>
      </x:c>
      <x:c r="Z323" s="75" t="str">
        <x:v>Each Spacebar instance operator</x:v>
      </x:c>
      <x:c r="AA323" s="75" t="str">
        <x:v>Hosted Stoat or self-host operator</x:v>
      </x:c>
      <x:c r="AB323" s="75" t="str">
        <x:v>Chosen TeamSpeak server / provider</x:v>
      </x:c>
      <x:c r="AC323" s="78" t="str">
        <x:v>Valour account</x:v>
      </x:c>
      <x:c r="AD323" s="75" t="str">
        <x:v>Venta identity intended to span federated servers</x:v>
      </x:c>
      <x:c r="AE323" s="75" t="str">
        <x:v>Weered</x:v>
      </x:c>
      <x:c r="AF323" s="75" t="str">
        <x:v>Yapper account/license + chosen server</x:v>
      </x:c>
      <x:c r="AG323" s="75" t="str">
        <x:v>Zulip Cloud or chosen self-host server</x:v>
      </x:c>
      <x:c r="AH323" s="122" t="n">
        <x:v>8</x:v>
      </x:c>
      <x:c r="AI323" s="123" t="str">
        <x:v>Canonical source for Platform Model &amp; Ecosystem!8</x:v>
      </x:c>
    </x:row>
    <x:row r="324">
      <x:c r="A324" s="119" t="str">
        <x:v>Platform Model &amp; Ecosystem</x:v>
      </x:c>
      <x:c r="B324" s="121" t="str">
        <x:v>Server / Homeserver Implementation(s)</x:v>
      </x:c>
      <x:c r="C324" s="75" t="str">
        <x:v>Discord proprietary backend</x:v>
      </x:c>
      <x:c r="D324" s="75" t="str">
        <x:v>Nostr relays / Concord</x:v>
      </x:c>
      <x:c r="E324" s="75" t="str">
        <x:v>DCTS server</x:v>
      </x:c>
      <x:c r="F324" s="75" t="str">
        <x:v>Private Rust backend</x:v>
      </x:c>
      <x:c r="G324" s="75" t="str">
        <x:v>Private hosted backend</x:v>
      </x:c>
      <x:c r="H324" s="75" t="str">
        <x:v>Fluxer open-source backend/services</x:v>
      </x:c>
      <x:c r="I324" s="75" t="str">
        <x:v>Proprietary GameVox server</x:v>
      </x:c>
      <x:c r="J324" s="75" t="str">
        <x:v>Harmony server</x:v>
      </x:c>
      <x:c r="K324" s="75" t="str">
        <x:v>Stateless/ephemeral relay servers</x:v>
      </x:c>
      <x:c r="L324" s="75" t="str">
        <x:v>Kaede Chat server (FastAPI + PostgreSQL + Dragonfly + S3-compatible storage + LiveKit)</x:v>
      </x:c>
      <x:c r="M324" s="75" t="str">
        <x:v>Proprietary backend</x:v>
      </x:c>
      <x:c r="N324" s="75" t="str">
        <x:v>Loqa backend</x:v>
      </x:c>
      <x:c r="O324" s="75" t="str">
        <x:v>Synapse, Dendrite/other Matrix homeservers</x:v>
      </x:c>
      <x:c r="P324" s="75" t="str">
        <x:v>Mattermost server</x:v>
      </x:c>
      <x:c r="Q324" s="75" t="str">
        <x:v>Mezon native backend</x:v>
      </x:c>
      <x:c r="R324" s="75" t="str">
        <x:v>Murmur/Mumble server</x:v>
      </x:c>
      <x:c r="S324" s="75" t="str">
        <x:v>Nerimity server</x:v>
      </x:c>
      <x:c r="T324" s="75" t="str">
        <x:v>Proprietary/partly open backend components</x:v>
      </x:c>
      <x:c r="U324" s="75" t="str">
        <x:v>pqp AGPL server; hosted API on Fly.io in São Paulo</x:v>
      </x:c>
      <x:c r="V324" s="75" t="str">
        <x:v>Rift proprietary backend</x:v>
      </x:c>
      <x:c r="W324" s="75" t="str">
        <x:v>Rocket.Chat server</x:v>
      </x:c>
      <x:c r="X324" s="75" t="str">
        <x:v>ATProto/PDS + Roomy services</x:v>
      </x:c>
      <x:c r="Y324" s="75" t="str">
        <x:v>Root proprietary cloud backend</x:v>
      </x:c>
      <x:c r="Z324" s="75" t="str">
        <x:v>Spacebar API/Gateway/CDN services</x:v>
      </x:c>
      <x:c r="AA324" s="75" t="str">
        <x:v>Stoat Rust backend</x:v>
      </x:c>
      <x:c r="AB324" s="75" t="str">
        <x:v>Proprietary TeamSpeak server</x:v>
      </x:c>
      <x:c r="AC324" s="78" t="str">
        <x:v>Valour node-based backend</x:v>
      </x:c>
      <x:c r="AD324" s="75" t="str">
        <x:v>AlpineBackend</x:v>
      </x:c>
      <x:c r="AE324" s="75" t="str">
        <x:v>Private/source-available backend</x:v>
      </x:c>
      <x:c r="AF324" s="75" t="str">
        <x:v>Yapper server software</x:v>
      </x:c>
      <x:c r="AG324" s="75" t="str">
        <x:v>Zulip server/web application</x:v>
      </x:c>
      <x:c r="AH324" s="122" t="n">
        <x:v>9</x:v>
      </x:c>
      <x:c r="AI324" s="123" t="str">
        <x:v>Canonical source for Platform Model &amp; Ecosystem!9</x:v>
      </x:c>
    </x:row>
    <x:row r="325">
      <x:c r="A325" s="119" t="str">
        <x:v>Platform Model &amp; Ecosystem</x:v>
      </x:c>
      <x:c r="B325" s="121" t="str">
        <x:v>First-Party Hosted Service</x:v>
      </x:c>
      <x:c r="C325" s="75" t="str">
        <x:v>Yes — discord.com</x:v>
      </x:c>
      <x:c r="D325" s="75" t="str">
        <x:v>No central host required</x:v>
      </x:c>
      <x:c r="E325" s="75" t="str">
        <x:v>Official public instance exists, but project is self-hosting-first</x:v>
      </x:c>
      <x:c r="F325" s="75" t="str">
        <x:v>Yes</x:v>
      </x:c>
      <x:c r="G325" s="75" t="str">
        <x:v>Yes</x:v>
      </x:c>
      <x:c r="H325" s="75" t="str">
        <x:v>Yes</x:v>
      </x:c>
      <x:c r="I325" s="75" t="str">
        <x:v>Yes</x:v>
      </x:c>
      <x:c r="J325" s="75" t="str">
        <x:v>fermi.chat hosted instance</x:v>
      </x:c>
      <x:c r="K325" s="75" t="str">
        <x:v>Official relay exists</x:v>
      </x:c>
      <x:c r="L325" s="75" t="str">
        <x:v>Yes — kaede.chat</x:v>
      </x:c>
      <x:c r="M325" s="75" t="str">
        <x:v>Yes</x:v>
      </x:c>
      <x:c r="N325" s="75" t="str">
        <x:v>Yes</x:v>
      </x:c>
      <x:c r="O325" s="75" t="str">
        <x:v>matrix.org is one Foundation-operated homeserver; many other providers exist</x:v>
      </x:c>
      <x:c r="P325" s="75" t="str">
        <x:v>Yes — cloud offering</x:v>
      </x:c>
      <x:c r="Q325" s="75" t="str">
        <x:v>Yes</x:v>
      </x:c>
      <x:c r="R325" s="75" t="str">
        <x:v>No central service</x:v>
      </x:c>
      <x:c r="S325" s="75" t="str">
        <x:v>Yes</x:v>
      </x:c>
      <x:c r="T325" s="75" t="str">
        <x:v>Yes</x:v>
      </x:c>
      <x:c r="U325" s="75" t="str">
        <x:v>Yes — API on Fly.io in São Paulo; SPA on Cloudflare Pages</x:v>
      </x:c>
      <x:c r="V325" s="75" t="str">
        <x:v>Yes</x:v>
      </x:c>
      <x:c r="W325" s="75" t="str">
        <x:v>Yes</x:v>
      </x:c>
      <x:c r="X325" s="75" t="str">
        <x:v>roomy.space</x:v>
      </x:c>
      <x:c r="Y325" s="75" t="str">
        <x:v>Yes</x:v>
      </x:c>
      <x:c r="Z325" s="75" t="str">
        <x:v>No canonical global first-party hosted network required</x:v>
      </x:c>
      <x:c r="AA325" s="75" t="str">
        <x:v>Yes</x:v>
      </x:c>
      <x:c r="AB325" s="75" t="str">
        <x:v>Hosted options exist; many self-host</x:v>
      </x:c>
      <x:c r="AC325" s="78" t="str">
        <x:v>Yes</x:v>
      </x:c>
      <x:c r="AD325" s="75" t="str">
        <x:v>Yes</x:v>
      </x:c>
      <x:c r="AE325" s="75" t="str">
        <x:v>Yes</x:v>
      </x:c>
      <x:c r="AF325" s="75" t="str">
        <x:v>Optional managed hosting</x:v>
      </x:c>
      <x:c r="AG325" s="75" t="str">
        <x:v>Yes — Zulip Cloud</x:v>
      </x:c>
      <x:c r="AH325" s="122" t="n">
        <x:v>10</x:v>
      </x:c>
      <x:c r="AI325" s="123" t="str">
        <x:v>Canonical source for Platform Model &amp; Ecosystem!10</x:v>
      </x:c>
    </x:row>
    <x:row r="326">
      <x:c r="A326" s="119" t="str">
        <x:v>Platform Model &amp; Ecosystem</x:v>
      </x:c>
      <x:c r="B326" s="121" t="str">
        <x:v>Self-Hosting Supported</x:v>
      </x:c>
      <x:c r="C326" s="75" t="str">
        <x:v>No</x:v>
      </x:c>
      <x:c r="D326" s="75" t="str">
        <x:v>Yes — relays/self-host</x:v>
      </x:c>
      <x:c r="E326" s="75" t="str">
        <x:v>Yes</x:v>
      </x:c>
      <x:c r="F326" s="75" t="str">
        <x:v>No</x:v>
      </x:c>
      <x:c r="G326" s="75" t="str">
        <x:v>No currently</x:v>
      </x:c>
      <x:c r="H326" s="75" t="str">
        <x:v>Yes</x:v>
      </x:c>
      <x:c r="I326" s="75" t="str">
        <x:v>Yes</x:v>
      </x:c>
      <x:c r="J326" s="75" t="str">
        <x:v>Yes</x:v>
      </x:c>
      <x:c r="K326" s="75" t="str">
        <x:v>Yes</x:v>
      </x:c>
      <x:c r="L326" s="75" t="str">
        <x:v>Yes</x:v>
      </x:c>
      <x:c r="M326" s="75" t="str">
        <x:v>No</x:v>
      </x:c>
      <x:c r="N326" s="75" t="str">
        <x:v>Yes</x:v>
      </x:c>
      <x:c r="O326" s="75" t="str">
        <x:v>Yes</x:v>
      </x:c>
      <x:c r="P326" s="75" t="str">
        <x:v>Yes</x:v>
      </x:c>
      <x:c r="Q326" s="75"/>
      <x:c r="R326" s="75" t="str">
        <x:v>Yes</x:v>
      </x:c>
      <x:c r="S326" s="75" t="str">
        <x:v>Technically possible but explicitly not intended/supported</x:v>
      </x:c>
      <x:c r="T326" s="75" t="str">
        <x:v>No</x:v>
      </x:c>
      <x:c r="U326" s="75" t="str">
        <x:v>Yes — AGPL-3.0; docs in repository</x:v>
      </x:c>
      <x:c r="V326" s="75" t="str">
        <x:v>No</x:v>
      </x:c>
      <x:c r="W326" s="75" t="str">
        <x:v>Yes</x:v>
      </x:c>
      <x:c r="X326" s="75" t="str">
        <x:v>Partially via ATProto/PDS model</x:v>
      </x:c>
      <x:c r="Y326" s="75" t="str">
        <x:v>No</x:v>
      </x:c>
      <x:c r="Z326" s="75" t="str">
        <x:v>Yes</x:v>
      </x:c>
      <x:c r="AA326" s="75" t="str">
        <x:v>Yes</x:v>
      </x:c>
      <x:c r="AB326" s="75" t="str">
        <x:v>Yes</x:v>
      </x:c>
      <x:c r="AC326" s="78" t="str">
        <x:v>Yes</x:v>
      </x:c>
      <x:c r="AD326" s="75" t="str">
        <x:v>In development</x:v>
      </x:c>
      <x:c r="AE326" s="75" t="str">
        <x:v>No</x:v>
      </x:c>
      <x:c r="AF326" s="75" t="str">
        <x:v>Yes</x:v>
      </x:c>
      <x:c r="AG326" s="75" t="str">
        <x:v>Yes</x:v>
      </x:c>
      <x:c r="AH326" s="122" t="n">
        <x:v>11</x:v>
      </x:c>
      <x:c r="AI326" s="123" t="str">
        <x:v>Canonical metric shared by: At a Glance: Self-Hosting Supported | Platform Model &amp; Ecosystem: Self-Hosting Supported | Architecture &amp; Licensing: Self-Hosting Supported? | Deployment Detail: Self-Hosting Supported?</x:v>
      </x:c>
    </x:row>
    <x:row r="327">
      <x:c r="A327" s="119" t="str">
        <x:v>Platform Model &amp; Ecosystem</x:v>
      </x:c>
      <x:c r="B327" s="121" t="str">
        <x:v>Independent Instances</x:v>
      </x:c>
      <x:c r="C327" s="75" t="str">
        <x:v>No</x:v>
      </x:c>
      <x:c r="D327" s="75" t="str">
        <x:v>Yes</x:v>
      </x:c>
      <x:c r="E327" s="75" t="str">
        <x:v>Yes</x:v>
      </x:c>
      <x:c r="F327" s="75" t="str">
        <x:v>No</x:v>
      </x:c>
      <x:c r="G327" s="75" t="str">
        <x:v>No</x:v>
      </x:c>
      <x:c r="H327" s="75" t="str">
        <x:v>Yes</x:v>
      </x:c>
      <x:c r="I327" s="75" t="str">
        <x:v>Yes</x:v>
      </x:c>
      <x:c r="J327" s="75" t="str">
        <x:v>Yes</x:v>
      </x:c>
      <x:c r="K327" s="75" t="str">
        <x:v>Yes</x:v>
      </x:c>
      <x:c r="L327" s="75" t="str">
        <x:v>Yes</x:v>
      </x:c>
      <x:c r="M327" s="75" t="str">
        <x:v>No</x:v>
      </x:c>
      <x:c r="N327" s="75" t="str">
        <x:v>Yes</x:v>
      </x:c>
      <x:c r="O327" s="75" t="str">
        <x:v>Yes</x:v>
      </x:c>
      <x:c r="P327" s="75" t="str">
        <x:v>Yes</x:v>
      </x:c>
      <x:c r="Q327" s="75"/>
      <x:c r="R327" s="75" t="str">
        <x:v>Yes</x:v>
      </x:c>
      <x:c r="S327" s="75" t="str">
        <x:v>Possible independent deployments</x:v>
      </x:c>
      <x:c r="T327" s="75" t="str">
        <x:v>No</x:v>
      </x:c>
      <x:c r="U327" s="75" t="str">
        <x:v>Yes</x:v>
      </x:c>
      <x:c r="V327" s="75" t="str">
        <x:v>No</x:v>
      </x:c>
      <x:c r="W327" s="75" t="str">
        <x:v>Yes</x:v>
      </x:c>
      <x:c r="X327" s="75" t="str">
        <x:v>Yes/distributed data ownership model</x:v>
      </x:c>
      <x:c r="Y327" s="75" t="str">
        <x:v>No</x:v>
      </x:c>
      <x:c r="Z327" s="75" t="str">
        <x:v>Yes</x:v>
      </x:c>
      <x:c r="AA327" s="75" t="str">
        <x:v>Yes</x:v>
      </x:c>
      <x:c r="AB327" s="75" t="str">
        <x:v>Yes</x:v>
      </x:c>
      <x:c r="AC327" s="78" t="str">
        <x:v>Yes</x:v>
      </x:c>
      <x:c r="AD327" s="75" t="str">
        <x:v>In development</x:v>
      </x:c>
      <x:c r="AE327" s="75" t="str">
        <x:v>No</x:v>
      </x:c>
      <x:c r="AF327" s="75" t="str">
        <x:v>Yes</x:v>
      </x:c>
      <x:c r="AG327" s="75" t="str">
        <x:v>Yes</x:v>
      </x:c>
      <x:c r="AH327" s="122" t="n">
        <x:v>12</x:v>
      </x:c>
      <x:c r="AI327" s="123" t="str">
        <x:v>Canonical metric shared by: Platform Model &amp; Ecosystem: Independent Instances | Deployment Detail: Independent Instances?</x:v>
      </x:c>
    </x:row>
    <x:row r="328">
      <x:c r="A328" s="119" t="str">
        <x:v>Platform Model &amp; Ecosystem</x:v>
      </x:c>
      <x:c r="B328" s="121" t="str">
        <x:v>Federation Between Independent Instances</x:v>
      </x:c>
      <x:c r="C328" s="75" t="str">
        <x:v>No</x:v>
      </x:c>
      <x:c r="D328" s="75" t="str">
        <x:v>Nostr relay interoperability</x:v>
      </x:c>
      <x:c r="E328" s="75" t="str">
        <x:v>Yes for messenger/server communication features; full federation evolving</x:v>
      </x:c>
      <x:c r="F328" s="75" t="str">
        <x:v>No</x:v>
      </x:c>
      <x:c r="G328" s="75" t="str">
        <x:v>No</x:v>
      </x:c>
      <x:c r="H328" s="75" t="str">
        <x:v>Not yet — on roadmap</x:v>
      </x:c>
      <x:c r="I328" s="75" t="str">
        <x:v>No federation verified</x:v>
      </x:c>
      <x:c r="J328" s="75" t="str">
        <x:v>Federation planned</x:v>
      </x:c>
      <x:c r="K328" s="75" t="str">
        <x:v>Relay choice but not Matrix-style federated server state</x:v>
      </x:c>
      <x:c r="L328" s="75" t="str">
        <x:v>Yes — kaede-fed/1</x:v>
      </x:c>
      <x:c r="M328" s="75" t="str">
        <x:v>No</x:v>
      </x:c>
      <x:c r="N328" s="75" t="str">
        <x:v>Federation advertised</x:v>
      </x:c>
      <x:c r="O328" s="75" t="str">
        <x:v>Yes — core feature</x:v>
      </x:c>
      <x:c r="P328" s="75" t="str">
        <x:v>No general federation</x:v>
      </x:c>
      <x:c r="Q328" s="75" t="str">
        <x:v>No federation verified</x:v>
      </x:c>
      <x:c r="R328" s="75" t="str">
        <x:v>No</x:v>
      </x:c>
      <x:c r="S328" s="75" t="str">
        <x:v>No</x:v>
      </x:c>
      <x:c r="T328" s="75" t="str">
        <x:v>No</x:v>
      </x:c>
      <x:c r="U328" s="75" t="str">
        <x:v>No federation</x:v>
      </x:c>
      <x:c r="V328" s="75" t="str">
        <x:v>No</x:v>
      </x:c>
      <x:c r="W328" s="75" t="str">
        <x:v>Yes — Matrix-based federation feature set, with limitations</x:v>
      </x:c>
      <x:c r="X328" s="75" t="str">
        <x:v>ATProto federation ecosystem</x:v>
      </x:c>
      <x:c r="Y328" s="75" t="str">
        <x:v>No</x:v>
      </x:c>
      <x:c r="Z328" s="75" t="str">
        <x:v>No</x:v>
      </x:c>
      <x:c r="AA328" s="75" t="str">
        <x:v>No</x:v>
      </x:c>
      <x:c r="AB328" s="75" t="str">
        <x:v>No</x:v>
      </x:c>
      <x:c r="AC328" s="78" t="str">
        <x:v>Node/federation model for migrating communities; exact cross-instance federation scope evolving</x:v>
      </x:c>
      <x:c r="AD328" s="75" t="str">
        <x:v>Planned/in development</x:v>
      </x:c>
      <x:c r="AE328" s="75" t="str">
        <x:v>No</x:v>
      </x:c>
      <x:c r="AF328" s="75" t="str">
        <x:v>No</x:v>
      </x:c>
      <x:c r="AG328" s="75" t="str">
        <x:v>No</x:v>
      </x:c>
      <x:c r="AH328" s="122" t="n">
        <x:v>13</x:v>
      </x:c>
      <x:c r="AI328" s="123" t="str">
        <x:v>Canonical metric shared by: At a Glance: Federation Between Independent Instances | Platform Model &amp; Ecosystem: Federation Between Independent Instances</x:v>
      </x:c>
    </x:row>
    <x:row r="329">
      <x:c r="A329" s="119" t="str">
        <x:v>Platform Model &amp; Ecosystem</x:v>
      </x:c>
      <x:c r="B329" s="121" t="str">
        <x:v>Cross-Instance Rooms / Communities</x:v>
      </x:c>
      <x:c r="C329" s="75" t="str">
        <x:v>No</x:v>
      </x:c>
      <x:c r="D329" s="75" t="str">
        <x:v>Communities can use multiple relays</x:v>
      </x:c>
      <x:c r="E329" s="75" t="str">
        <x:v>Cross-server messenger works</x:v>
      </x:c>
      <x:c r="F329" s="75" t="str">
        <x:v>No</x:v>
      </x:c>
      <x:c r="G329" s="75" t="str">
        <x:v>No</x:v>
      </x:c>
      <x:c r="H329" s="75" t="str">
        <x:v>Not yet</x:v>
      </x:c>
      <x:c r="I329" s="75" t="str">
        <x:v>No</x:v>
      </x:c>
      <x:c r="J329" s="75" t="str">
        <x:v>Planned</x:v>
      </x:c>
      <x:c r="K329" s="75" t="str">
        <x:v>Peers communicate across relays/home servers as designed</x:v>
      </x:c>
      <x:c r="L329" s="75" t="str">
        <x:v>Yes — users on one home can join guilds, DM and call users/resources on other homes</x:v>
      </x:c>
      <x:c r="M329" s="75" t="str">
        <x:v>No</x:v>
      </x:c>
      <x:c r="N329" s="75" t="str">
        <x:v>Federated communities intended</x:v>
      </x:c>
      <x:c r="O329" s="75" t="str">
        <x:v>Yes — rooms can span homeservers</x:v>
      </x:c>
      <x:c r="P329" s="75" t="str">
        <x:v>No</x:v>
      </x:c>
      <x:c r="Q329" s="75" t="str">
        <x:v>No</x:v>
      </x:c>
      <x:c r="R329" s="75" t="str">
        <x:v>No</x:v>
      </x:c>
      <x:c r="S329" s="75" t="str">
        <x:v>No</x:v>
      </x:c>
      <x:c r="T329" s="75" t="str">
        <x:v>No</x:v>
      </x:c>
      <x:c r="U329" s="75" t="str">
        <x:v>No</x:v>
      </x:c>
      <x:c r="V329" s="75" t="str">
        <x:v>No</x:v>
      </x:c>
      <x:c r="W329" s="75" t="str">
        <x:v>Yes for supported federated rooms</x:v>
      </x:c>
      <x:c r="X329" s="75" t="str">
        <x:v>ATProto-linked spaces</x:v>
      </x:c>
      <x:c r="Y329" s="75" t="str">
        <x:v>No</x:v>
      </x:c>
      <x:c r="Z329" s="75" t="str">
        <x:v>No</x:v>
      </x:c>
      <x:c r="AA329" s="75" t="str">
        <x:v>No</x:v>
      </x:c>
      <x:c r="AB329" s="75" t="str">
        <x:v>No</x:v>
      </x:c>
      <x:c r="AC329" s="78" t="str">
        <x:v>Limited/evolving</x:v>
      </x:c>
      <x:c r="AD329" s="75" t="str">
        <x:v>Planned</x:v>
      </x:c>
      <x:c r="AE329" s="75" t="str">
        <x:v>No</x:v>
      </x:c>
      <x:c r="AF329" s="75" t="str">
        <x:v>No</x:v>
      </x:c>
      <x:c r="AG329" s="75" t="str">
        <x:v>No</x:v>
      </x:c>
      <x:c r="AH329" s="122" t="n">
        <x:v>14</x:v>
      </x:c>
      <x:c r="AI329" s="123" t="str">
        <x:v>Canonical metric shared by: Platform Model &amp; Ecosystem: Cross-Instance Rooms / Communities | Deployment Detail: Cross-Instance Rooms / Communities?</x:v>
      </x:c>
    </x:row>
    <x:row r="330">
      <x:c r="A330" s="119" t="str">
        <x:v>Platform Model &amp; Ecosystem</x:v>
      </x:c>
      <x:c r="B330" s="121" t="str">
        <x:v>Cross-Instance Identity / Account Portability</x:v>
      </x:c>
      <x:c r="C330" s="75" t="str">
        <x:v>No</x:v>
      </x:c>
      <x:c r="D330" s="75" t="str">
        <x:v>Identity is portable by keypair</x:v>
      </x:c>
      <x:c r="E330" s="75" t="str">
        <x:v>Yes — messenger global ID/key and account export</x:v>
      </x:c>
      <x:c r="F330" s="75" t="str">
        <x:v>No</x:v>
      </x:c>
      <x:c r="G330" s="75" t="str">
        <x:v>No</x:v>
      </x:c>
      <x:c r="H330" s="75" t="str">
        <x:v>No current portable cross-instance identity</x:v>
      </x:c>
      <x:c r="I330" s="75" t="str">
        <x:v>No</x:v>
      </x:c>
      <x:c r="J330" s="75" t="str">
        <x:v>Planned</x:v>
      </x:c>
      <x:c r="K330" s="75" t="str">
        <x:v>Yes — identity key portable</x:v>
      </x:c>
      <x:c r="L330" s="75" t="str">
        <x:v>Federated identity works across instances; moving an account's home is not documented</x:v>
      </x:c>
      <x:c r="M330" s="75" t="str">
        <x:v>No</x:v>
      </x:c>
      <x:c r="N330" s="75"/>
      <x:c r="O330" s="75" t="str">
        <x:v>Identity is namespaced to a homeserver; clients are portable, account migration is not universally seamless</x:v>
      </x:c>
      <x:c r="P330" s="75" t="str">
        <x:v>No</x:v>
      </x:c>
      <x:c r="Q330" s="75" t="str">
        <x:v>No</x:v>
      </x:c>
      <x:c r="R330" s="75" t="str">
        <x:v>Certificate/user identity can be reused manually; no global portable identity layer</x:v>
      </x:c>
      <x:c r="S330" s="75" t="str">
        <x:v>No</x:v>
      </x:c>
      <x:c r="T330" s="75" t="str">
        <x:v>No</x:v>
      </x:c>
      <x:c r="U330" s="75" t="str">
        <x:v>No</x:v>
      </x:c>
      <x:c r="V330" s="75" t="str">
        <x:v>No</x:v>
      </x:c>
      <x:c r="W330" s="75" t="str">
        <x:v>Limited; not equivalent to universal account migration</x:v>
      </x:c>
      <x:c r="X330" s="75" t="str">
        <x:v>Identity via ATProto</x:v>
      </x:c>
      <x:c r="Y330" s="75" t="str">
        <x:v>No</x:v>
      </x:c>
      <x:c r="Z330" s="75" t="str">
        <x:v>No</x:v>
      </x:c>
      <x:c r="AA330" s="75" t="str">
        <x:v>No seamless portable identity</x:v>
      </x:c>
      <x:c r="AB330" s="75" t="str">
        <x:v>No global federated identity</x:v>
      </x:c>
      <x:c r="AC330" s="78" t="str">
        <x:v>Account survives community node moves per docs</x:v>
      </x:c>
      <x:c r="AD330" s="75" t="str">
        <x:v>Planned</x:v>
      </x:c>
      <x:c r="AE330" s="75" t="str">
        <x:v>No</x:v>
      </x:c>
      <x:c r="AF330" s="75" t="str">
        <x:v>No</x:v>
      </x:c>
      <x:c r="AG330" s="75" t="str">
        <x:v>No seamless cross-server identity</x:v>
      </x:c>
      <x:c r="AH330" s="122" t="n">
        <x:v>15</x:v>
      </x:c>
      <x:c r="AI330" s="123" t="str">
        <x:v>Canonical source for Platform Model &amp; Ecosystem!15</x:v>
      </x:c>
    </x:row>
    <x:row r="331">
      <x:c r="A331" s="119" t="str">
        <x:v>Platform Model &amp; Ecosystem</x:v>
      </x:c>
      <x:c r="B331" s="121" t="str">
        <x:v>Public Protocol / Standard</x:v>
      </x:c>
      <x:c r="C331" s="75" t="str">
        <x:v>Proprietary public developer APIs, not an open protocol</x:v>
      </x:c>
      <x:c r="D331" s="75" t="str">
        <x:v>Nostr + Concord/NIP-29</x:v>
      </x:c>
      <x:c r="E331" s="75" t="str">
        <x:v>Custom protocol</x:v>
      </x:c>
      <x:c r="F331" s="75" t="str">
        <x:v>Proprietary</x:v>
      </x:c>
      <x:c r="G331" s="75" t="str">
        <x:v>No open interoperability standard</x:v>
      </x:c>
      <x:c r="H331" s="75" t="str">
        <x:v>Public API/Gateway inspired by Discord; not a federation standard</x:v>
      </x:c>
      <x:c r="I331" s="75" t="str">
        <x:v>Proprietary API/service</x:v>
      </x:c>
      <x:c r="J331" s="75" t="str">
        <x:v>Discord-compatible API</x:v>
      </x:c>
      <x:c r="K331" s="75" t="str">
        <x:v>Custom open protocol/code</x:v>
      </x:c>
      <x:c r="L331" s="75" t="str">
        <x:v>Public project protocol: kaede-fed/1</x:v>
      </x:c>
      <x:c r="M331" s="75" t="str">
        <x:v>Proprietary</x:v>
      </x:c>
      <x:c r="N331" s="75" t="str">
        <x:v>Discord-compatible API + federation work</x:v>
      </x:c>
      <x:c r="O331" s="75" t="str">
        <x:v>Open Matrix specification: Client-Server + Server-Server/Federation APIs</x:v>
      </x:c>
      <x:c r="P331" s="75" t="str">
        <x:v>Open APIs, not a general federation standard</x:v>
      </x:c>
      <x:c r="Q331" s="75" t="str">
        <x:v>Custom APIs</x:v>
      </x:c>
      <x:c r="R331" s="75" t="str">
        <x:v>Open Mumble protocol/source</x:v>
      </x:c>
      <x:c r="S331" s="75" t="str">
        <x:v>Public app/API code, not a federation standard</x:v>
      </x:c>
      <x:c r="T331" s="75" t="str">
        <x:v>Proprietary service APIs</x:v>
      </x:c>
      <x:c r="U331" s="75" t="str">
        <x:v>Session-only application API; Discord-compatible incoming webhooks; no public bot/third-party API</x:v>
      </x:c>
      <x:c r="V331" s="75" t="str">
        <x:v>Proprietary</x:v>
      </x:c>
      <x:c r="W331" s="75" t="str">
        <x:v>REST/realtime APIs + federation components</x:v>
      </x:c>
      <x:c r="X331" s="75" t="str">
        <x:v>AT Protocol</x:v>
      </x:c>
      <x:c r="Y331" s="75" t="str">
        <x:v>Proprietary Root APIs/SDK</x:v>
      </x:c>
      <x:c r="Z331" s="75" t="str">
        <x:v>Discord-compatible REST/Gateway reimplementation</x:v>
      </x:c>
      <x:c r="AA331" s="75" t="str">
        <x:v>Public REST/WebSocket API, but not a federation standard</x:v>
      </x:c>
      <x:c r="AB331" s="75" t="str">
        <x:v>Proprietary protocol/API</x:v>
      </x:c>
      <x:c r="AC331" s="78" t="str">
        <x:v>Valour API/node protocol</x:v>
      </x:c>
      <x:c r="AD331" s="75" t="str">
        <x:v>Custom open-source federation protocol</x:v>
      </x:c>
      <x:c r="AE331" s="75" t="str">
        <x:v>Proprietary/application API</x:v>
      </x:c>
      <x:c r="AF331" s="75"/>
      <x:c r="AG331" s="75" t="str">
        <x:v>Open REST/realtime APIs</x:v>
      </x:c>
      <x:c r="AH331" s="122" t="n">
        <x:v>16</x:v>
      </x:c>
      <x:c r="AI331" s="123" t="str">
        <x:v>Canonical metric shared by: At a Glance: Public Protocol / Standard | Platform Model &amp; Ecosystem: Public Protocol / Standard</x:v>
      </x:c>
    </x:row>
    <x:row r="332">
      <x:c r="A332" s="119" t="str">
        <x:v>Platform Model &amp; Ecosystem</x:v>
      </x:c>
      <x:c r="B332" s="121" t="str">
        <x:v>Discord API Compatibility</x:v>
      </x:c>
      <x:c r="C332" s="75" t="str">
        <x:v>No</x:v>
      </x:c>
      <x:c r="D332" s="75" t="str">
        <x:v>No</x:v>
      </x:c>
      <x:c r="E332" s="75" t="str">
        <x:v>No</x:v>
      </x:c>
      <x:c r="F332" s="75" t="str">
        <x:v>No</x:v>
      </x:c>
      <x:c r="G332" s="75" t="str">
        <x:v>No</x:v>
      </x:c>
      <x:c r="H332" s="75" t="str">
        <x:v>Partial Discord wire/API compatibility goals</x:v>
      </x:c>
      <x:c r="I332" s="75" t="str">
        <x:v>No</x:v>
      </x:c>
      <x:c r="J332" s="75" t="str">
        <x:v>Yes</x:v>
      </x:c>
      <x:c r="K332" s="75" t="str">
        <x:v>No</x:v>
      </x:c>
      <x:c r="L332" s="75" t="str">
        <x:v>No</x:v>
      </x:c>
      <x:c r="M332" s="75" t="str">
        <x:v>No</x:v>
      </x:c>
      <x:c r="N332" s="75" t="str">
        <x:v>Yes — Discord-like bot compatibility</x:v>
      </x:c>
      <x:c r="O332" s="75" t="str">
        <x:v>No</x:v>
      </x:c>
      <x:c r="P332" s="75" t="str">
        <x:v>No</x:v>
      </x:c>
      <x:c r="Q332" s="75" t="str">
        <x:v>No</x:v>
      </x:c>
      <x:c r="R332" s="75" t="str">
        <x:v>No</x:v>
      </x:c>
      <x:c r="S332" s="75" t="str">
        <x:v>No</x:v>
      </x:c>
      <x:c r="T332" s="75" t="str">
        <x:v>No</x:v>
      </x:c>
      <x:c r="U332" s="75" t="str">
        <x:v>No</x:v>
      </x:c>
      <x:c r="V332" s="75" t="str">
        <x:v>No</x:v>
      </x:c>
      <x:c r="W332" s="75" t="str">
        <x:v>No</x:v>
      </x:c>
      <x:c r="X332" s="75" t="str">
        <x:v>No</x:v>
      </x:c>
      <x:c r="Y332" s="75" t="str">
        <x:v>No</x:v>
      </x:c>
      <x:c r="Z332" s="75" t="str">
        <x:v>Yes — major design goal</x:v>
      </x:c>
      <x:c r="AA332" s="75" t="str">
        <x:v>No</x:v>
      </x:c>
      <x:c r="AB332" s="75" t="str">
        <x:v>No</x:v>
      </x:c>
      <x:c r="AC332" s="78" t="str">
        <x:v>No</x:v>
      </x:c>
      <x:c r="AD332" s="75" t="str">
        <x:v>No</x:v>
      </x:c>
      <x:c r="AE332" s="75" t="str">
        <x:v>No</x:v>
      </x:c>
      <x:c r="AF332" s="75" t="str">
        <x:v>No</x:v>
      </x:c>
      <x:c r="AG332" s="75" t="str">
        <x:v>No</x:v>
      </x:c>
      <x:c r="AH332" s="122" t="n">
        <x:v>17</x:v>
      </x:c>
      <x:c r="AI332" s="123" t="str">
        <x:v>Canonical source for Platform Model &amp; Ecosystem!17</x:v>
      </x:c>
    </x:row>
    <x:row r="333">
      <x:c r="A333" s="119" t="str">
        <x:v>Platform Model &amp; Ecosystem</x:v>
      </x:c>
      <x:c r="B333" s="121" t="str">
        <x:v>Open-Source Scope</x:v>
      </x:c>
      <x:c r="C333" s="75" t="str">
        <x:v>Closed-source core service/client</x:v>
      </x:c>
      <x:c r="D333" s="75" t="str">
        <x:v>Open source</x:v>
      </x:c>
      <x:c r="E333" s="75" t="str">
        <x:v>AGPL-3.0 open source</x:v>
      </x:c>
      <x:c r="F333" s="75" t="str">
        <x:v>Closed source currently</x:v>
      </x:c>
      <x:c r="G333" s="75" t="str">
        <x:v>Closed source during alpha; full source release planned</x:v>
      </x:c>
      <x:c r="H333" s="75" t="str">
        <x:v>AGPL-3.0 open-source stack</x:v>
      </x:c>
      <x:c r="I333" s="75" t="str">
        <x:v>Closed source</x:v>
      </x:c>
      <x:c r="J333" s="75" t="str">
        <x:v>Open source</x:v>
      </x:c>
      <x:c r="K333" s="75" t="str">
        <x:v>Open source</x:v>
      </x:c>
      <x:c r="L333" s="75" t="str">
        <x:v>MIT original code</x:v>
      </x:c>
      <x:c r="M333" s="75" t="str">
        <x:v>Closed source</x:v>
      </x:c>
      <x:c r="N333" s="75"/>
      <x:c r="O333" s="75" t="str">
        <x:v>Protocol/spec open; implementations vary; many are FOSS</x:v>
      </x:c>
      <x:c r="P333" s="75" t="str">
        <x:v>Open-source/community code plus commercial editions</x:v>
      </x:c>
      <x:c r="Q333" s="75" t="str">
        <x:v>Open-source repository</x:v>
      </x:c>
      <x:c r="R333" s="75" t="str">
        <x:v>BSD-style open source</x:v>
      </x:c>
      <x:c r="S333" s="75" t="str">
        <x:v>Open-source client/server</x:v>
      </x:c>
      <x:c r="T333" s="75" t="str">
        <x:v>Mixed/partial open source</x:v>
      </x:c>
      <x:c r="U333" s="75" t="str">
        <x:v>AGPL-3.0</x:v>
      </x:c>
      <x:c r="V333" s="75" t="str">
        <x:v>Closed source</x:v>
      </x:c>
      <x:c r="W333" s="75" t="str">
        <x:v>MIT/open-source core + enterprise portions</x:v>
      </x:c>
      <x:c r="X333" s="75" t="str">
        <x:v>MPL-2.0 open source</x:v>
      </x:c>
      <x:c r="Y333" s="75" t="str">
        <x:v>Closed-source core platform; developer SDK/API public</x:v>
      </x:c>
      <x:c r="Z333" s="75" t="str">
        <x:v>FOSS / AGPL-3.0 project</x:v>
      </x:c>
      <x:c r="AA333" s="75" t="str">
        <x:v>Backend/web/self-host stack largely FOSS (AGPL-3.0; components vary)</x:v>
      </x:c>
      <x:c r="AB333" s="75" t="str">
        <x:v>Proprietary core</x:v>
      </x:c>
      <x:c r="AC333" s="78" t="str">
        <x:v>AGPL-3.0 client/server</x:v>
      </x:c>
      <x:c r="AD333" s="75" t="str">
        <x:v>Backend open; client planned</x:v>
      </x:c>
      <x:c r="AE333" s="75" t="str">
        <x:v>Source-available</x:v>
      </x:c>
      <x:c r="AF333" s="75"/>
      <x:c r="AG333" s="75" t="str">
        <x:v>Apache-2.0 open source</x:v>
      </x:c>
      <x:c r="AH333" s="122" t="n">
        <x:v>18</x:v>
      </x:c>
      <x:c r="AI333" s="123" t="str">
        <x:v>Canonical metric shared by: At a Glance: Open-Source Scope | Platform Model &amp; Ecosystem: Open-Source Scope</x:v>
      </x:c>
    </x:row>
    <x:row r="334">
      <x:c r="A334" s="119" t="str">
        <x:v>Platform Model &amp; Ecosystem</x:v>
      </x:c>
      <x:c r="B334" s="121" t="str">
        <x:v>Governance / Stewardship</x:v>
      </x:c>
      <x:c r="C334" s="75" t="str">
        <x:v>Discord Inc.</x:v>
      </x:c>
      <x:c r="D334" s="75" t="str">
        <x:v>Soapbox/Armada contributors</x:v>
      </x:c>
      <x:c r="E334" s="75" t="str">
        <x:v>DCTS project/maintainer</x:v>
      </x:c>
      <x:c r="F334" s="75" t="str">
        <x:v>Small Canadian team</x:v>
      </x:c>
      <x:c r="G334" s="75" t="str">
        <x:v>Fenrid LLC / founder-led</x:v>
      </x:c>
      <x:c r="H334" s="75" t="str">
        <x:v>Fluxer Platform AB + OSS contributors</x:v>
      </x:c>
      <x:c r="I334" s="75" t="str">
        <x:v>LightSpeed Gaming LLC</x:v>
      </x:c>
      <x:c r="J334" s="75" t="str">
        <x:v>MelodyChat community</x:v>
      </x:c>
      <x:c r="K334" s="75" t="str">
        <x:v>Solo developer</x:v>
      </x:c>
      <x:c r="L334" s="75" t="str">
        <x:v>Solo maintainer; public MIT repository</x:v>
      </x:c>
      <x:c r="M334" s="75" t="str">
        <x:v>Kloak team</x:v>
      </x:c>
      <x:c r="N334" s="75" t="str">
        <x:v>Loqa project/team</x:v>
      </x:c>
      <x:c r="O334" s="75" t="str">
        <x:v>Matrix.org Foundation + independent ecosystem</x:v>
      </x:c>
      <x:c r="P334" s="75" t="str">
        <x:v>Mattermost, Inc. + community</x:v>
      </x:c>
      <x:c r="Q334" s="75" t="str">
        <x:v>Mezon team/company</x:v>
      </x:c>
      <x:c r="R334" s="75" t="str">
        <x:v>Mumble open-source community</x:v>
      </x:c>
      <x:c r="S334" s="75" t="str">
        <x:v>Nerimity maintainer/community</x:v>
      </x:c>
      <x:c r="T334" s="75" t="str">
        <x:v>Osmium team/company</x:v>
      </x:c>
      <x:c r="U334" s="75" t="str">
        <x:v>Independently run, built in the open</x:v>
      </x:c>
      <x:c r="V334" s="75" t="str">
        <x:v>Rift Communications LLC</x:v>
      </x:c>
      <x:c r="W334" s="75" t="str">
        <x:v>Rocket.Chat company + community</x:v>
      </x:c>
      <x:c r="X334" s="75" t="str">
        <x:v>Muni Town / open-source contributors</x:v>
      </x:c>
      <x:c r="Y334" s="75" t="str">
        <x:v>Root Communications, Inc.</x:v>
      </x:c>
      <x:c r="Z334" s="75" t="str">
        <x:v>Volunteer Spacebar project</x:v>
      </x:c>
      <x:c r="AA334" s="75" t="str">
        <x:v>Stoat open-source project/team</x:v>
      </x:c>
      <x:c r="AB334" s="75" t="str">
        <x:v>TeamSpeak commercial company</x:v>
      </x:c>
      <x:c r="AC334" s="78" t="str">
        <x:v>Valour Software LLC/volunteers</x:v>
      </x:c>
      <x:c r="AD334" s="75" t="str">
        <x:v>AlpineBits/Venta team</x:v>
      </x:c>
      <x:c r="AE334" s="75" t="str">
        <x:v>Solo developer</x:v>
      </x:c>
      <x:c r="AF334" s="75" t="str">
        <x:v>Yapper team (Portugal)</x:v>
      </x:c>
      <x:c r="AG334" s="75" t="str">
        <x:v>Kandra Labs / Zulip community</x:v>
      </x:c>
      <x:c r="AH334" s="122" t="n">
        <x:v>19</x:v>
      </x:c>
      <x:c r="AI334" s="123" t="str">
        <x:v>Canonical source for Platform Model &amp; Ecosystem!19</x:v>
      </x:c>
    </x:row>
    <x:row r="335">
      <x:c r="A335" s="119" t="str">
        <x:v>Platform Model &amp; Ecosystem</x:v>
      </x:c>
      <x:c r="B335" s="121" t="str">
        <x:v>Important Model Distinction</x:v>
      </x:c>
      <x:c r="C335" s="75" t="str">
        <x:v>One vendor controls service, accounts, official clients, and server backend.</x:v>
      </x:c>
      <x:c r="D335" s="75" t="str">
        <x:v>Armada separates identity/content from a single platform host: keys are the account and relays are replaceable transport.</x:v>
      </x:c>
      <x:c r="E335" s="75" t="str">
        <x:v>DCTS combines island-like community servers with a separate cross-server encrypted messenger.</x:v>
      </x:c>
      <x:c r="F335" s="75" t="str">
        <x:v>Familiar Discord-style UX on a centralized service.</x:v>
      </x:c>
      <x:c r="G335" s="75" t="str">
        <x:v>Privacy features are product-level, but it is currently a centralized service rather than a federated protocol.</x:v>
      </x:c>
      <x:c r="H335" s="75" t="str">
        <x:v>Self-hosting exists now; federation is a separate roadmap item and should not be assumed.</x:v>
      </x:c>
      <x:c r="I335" s="75" t="str">
        <x:v>Self-hosting exists, but instances are not documented as one federated network.</x:v>
      </x:c>
      <x:c r="J335" s="75" t="str">
        <x:v>Harmony is the platform/API; Fermi is a client. This mirrors the Matrix/Element distinction conceptually, though Harmony is not Matrix.</x:v>
      </x:c>
      <x:c r="K335" s="75" t="str">
        <x:v>There is no central account database: the user's keypair is the identity and message history lives locally.</x:v>
      </x:c>
      <x:c r="L335" s="75" t="str">
        <x:v>Guild/conversation authority stays on its home instance; other homes replicate only permitted data</x:v>
      </x:c>
      <x:c r="M335" s="75" t="str">
        <x:v>Privacy-minimal account design is distinct from decentralization/self-hosting.</x:v>
      </x:c>
      <x:c r="N335" s="75" t="str">
        <x:v>Unlike a purely centralized clone, Loqa explicitly targets federation/self-hosting, but the architecture is still evolving.</x:v>
      </x:c>
      <x:c r="O335" s="75" t="str">
        <x:v>Element is a Matrix client/vendor product. Matrix itself is the protocol and federated ecosystem.</x:v>
      </x:c>
      <x:c r="P335" s="75" t="str">
        <x:v>Self-hosting gives data control, but separate Mattermost deployments are not one interoperable federation.</x:v>
      </x:c>
      <x:c r="Q335" s="75" t="str">
        <x:v>Open source code does not by itself make Mezon a federated protocol like Matrix.</x:v>
      </x:c>
      <x:c r="R335" s="75" t="str">
        <x:v>A voice-first client/server system, not a Discord-style social platform.</x:v>
      </x:c>
      <x:c r="S335" s="75" t="str">
        <x:v>Open source does not imply federation; the official project discourages self-hosting as a normal deployment model.</x:v>
      </x:c>
      <x:c r="T335" s="75" t="str">
        <x:v>Regional distribution is not federation or self-hosting.</x:v>
      </x:c>
      <x:c r="U335" s="75" t="str">
        <x:v>Self-hosting provides ownership, but instances are not one federated network.</x:v>
      </x:c>
      <x:c r="V335" s="75" t="str">
        <x:v>Privacy policy choices (no email/phone/ID, EXIF stripping, no AI training) operate within a centralized service model.</x:v>
      </x:c>
      <x:c r="W335" s="75" t="str">
        <x:v>Federation exists, but its feature set is narrower than local rooms and differs from Matrix-as-a-platform.</x:v>
      </x:c>
      <x:c r="X335" s="75" t="str">
        <x:v>Roomy is an ATProto application, not a generic centralized Discord clone.</x:v>
      </x:c>
      <x:c r="Y335" s="75" t="str">
        <x:v>Apps/Bots are hosted inside Root; they extend Root but do not make it self-hosted/federated.</x:v>
      </x:c>
      <x:c r="Z335" s="75" t="str">
        <x:v>Spacebar reproduces Discord's client-server API model; it is not a federated network.</x:v>
      </x:c>
      <x:c r="AA335" s="75" t="str">
        <x:v>Self-hostable does not mean federated: separate Stoat instances do not automatically interoperate.</x:v>
      </x:c>
      <x:c r="AB335" s="75" t="str">
        <x:v>Server ownership can be independent, but TeamSpeak servers do not federate into one network.</x:v>
      </x:c>
      <x:c r="AC335" s="78" t="str">
        <x:v>Valour is one open-source platform/client-server stack, not a general protocol ecosystem like Matrix.</x:v>
      </x:c>
      <x:c r="AD335" s="75" t="str">
        <x:v>Current product and intended future architecture differ; federation/self-hosting should be marked in-progress, not assumed complete.</x:v>
      </x:c>
      <x:c r="AE335" s="75" t="str">
        <x:v>Weered intentionally uses game lobbies/rooms rather than cloning Discord's server/channel information architecture.</x:v>
      </x:c>
      <x:c r="AF335" s="75" t="str">
        <x:v>Like TeamSpeak, operator owns the server; unlike Matrix, servers are not documented as federated.</x:v>
      </x:c>
      <x:c r="AG335" s="75" t="str">
        <x:v>Multiple deployments are independent; Zulip is an application, not a federated protocol.</x:v>
      </x:c>
      <x:c r="AH335" s="122" t="n">
        <x:v>20</x:v>
      </x:c>
      <x:c r="AI335" s="123" t="str">
        <x:v>Canonical metric shared by: At a Glance: Important Model Distinction | Platform Model &amp; Ecosystem: Important Model Distinction</x:v>
      </x:c>
    </x:row>
    <x:row r="336">
      <x:c r="A336" s="119" t="str">
        <x:v>Platform Model &amp; Ecosystem</x:v>
      </x:c>
      <x:c r="B336" s="121" t="str">
        <x:v>Operational Ecosystem</x:v>
      </x:c>
      <x:c r="C336" s="75"/>
      <x:c r="D336" s="75"/>
      <x:c r="E336" s="75"/>
      <x:c r="F336" s="75"/>
      <x:c r="G336" s="75"/>
      <x:c r="H336" s="75"/>
      <x:c r="I336" s="75"/>
      <x:c r="J336" s="75"/>
      <x:c r="K336" s="75"/>
      <x:c r="L336" s="75" t="str">
        <x:v>One account on one home can access federated guilds/DMs across other instances</x:v>
      </x:c>
      <x:c r="M336" s="75"/>
      <x:c r="N336" s="75"/>
      <x:c r="O336" s="75"/>
      <x:c r="P336" s="75"/>
      <x:c r="Q336" s="75"/>
      <x:c r="R336" s="75"/>
      <x:c r="S336" s="75"/>
      <x:c r="T336" s="75"/>
      <x:c r="U336" s="75"/>
      <x:c r="V336" s="75"/>
      <x:c r="W336" s="75"/>
      <x:c r="X336" s="75"/>
      <x:c r="Y336" s="75"/>
      <x:c r="Z336" s="75"/>
      <x:c r="AA336" s="75"/>
      <x:c r="AB336" s="75"/>
      <x:c r="AC336" s="78"/>
      <x:c r="AD336" s="75"/>
      <x:c r="AE336" s="75"/>
      <x:c r="AF336" s="75"/>
      <x:c r="AG336" s="75"/>
      <x:c r="AH336" s="122" t="n">
        <x:v>21</x:v>
      </x:c>
      <x:c r="AI336" s="123" t="str">
        <x:v>Canonical source for Platform Model &amp; Ecosystem!21</x:v>
      </x:c>
    </x:row>
    <x:row r="337">
      <x:c r="A337" s="119" t="str">
        <x:v>Platform Model &amp; Ecosystem</x:v>
      </x:c>
      <x:c r="B337" s="121" t="str">
        <x:v>Central Account Required for Hosted Service</x:v>
      </x:c>
      <x:c r="C337" s="75" t="str">
        <x:v>Yes</x:v>
      </x:c>
      <x:c r="D337" s="75"/>
      <x:c r="E337" s="75"/>
      <x:c r="F337" s="75"/>
      <x:c r="G337" s="75"/>
      <x:c r="H337" s="75"/>
      <x:c r="I337" s="75"/>
      <x:c r="J337" s="75"/>
      <x:c r="K337" s="75"/>
      <x:c r="L337" s="75" t="str">
        <x:v>No central Kaede-wide account; an account on a chosen home is required</x:v>
      </x:c>
      <x:c r="M337" s="75"/>
      <x:c r="N337" s="75"/>
      <x:c r="O337" s="75" t="str">
        <x:v>Provider/homeserver account</x:v>
      </x:c>
      <x:c r="P337" s="75"/>
      <x:c r="Q337" s="75"/>
      <x:c r="R337" s="75"/>
      <x:c r="S337" s="75"/>
      <x:c r="T337" s="75"/>
      <x:c r="U337" s="75"/>
      <x:c r="V337" s="75" t="str">
        <x:v>Yes</x:v>
      </x:c>
      <x:c r="W337" s="75"/>
      <x:c r="X337" s="75"/>
      <x:c r="Y337" s="75"/>
      <x:c r="Z337" s="75"/>
      <x:c r="AA337" s="75" t="str">
        <x:v>Hosted account or self-host operator</x:v>
      </x:c>
      <x:c r="AB337" s="75"/>
      <x:c r="AC337" s="78"/>
      <x:c r="AD337" s="75"/>
      <x:c r="AE337" s="75"/>
      <x:c r="AF337" s="75"/>
      <x:c r="AG337" s="75"/>
      <x:c r="AH337" s="122" t="n">
        <x:v>22</x:v>
      </x:c>
      <x:c r="AI337" s="123" t="str">
        <x:v>Canonical source for Platform Model &amp; Ecosystem!22</x:v>
      </x:c>
    </x:row>
    <x:row r="338">
      <x:c r="A338" s="119" t="str">
        <x:v>Platform Model &amp; Ecosystem</x:v>
      </x:c>
      <x:c r="B338" s="121" t="str">
        <x:v>Custom Domain / Branded Deployment</x:v>
      </x:c>
      <x:c r="C338" s="75" t="str">
        <x:v>No</x:v>
      </x:c>
      <x:c r="D338" s="75"/>
      <x:c r="E338" s="75"/>
      <x:c r="F338" s="75"/>
      <x:c r="G338" s="75"/>
      <x:c r="H338" s="75"/>
      <x:c r="I338" s="75"/>
      <x:c r="J338" s="75"/>
      <x:c r="K338" s="75"/>
      <x:c r="L338" s="75" t="str">
        <x:v>Yes — self-host on a custom domain; handles are username@domain</x:v>
      </x:c>
      <x:c r="M338" s="75"/>
      <x:c r="N338" s="75"/>
      <x:c r="O338" s="75"/>
      <x:c r="P338" s="75" t="str">
        <x:v>Yes — self-hosted</x:v>
      </x:c>
      <x:c r="Q338" s="75"/>
      <x:c r="R338" s="75"/>
      <x:c r="S338" s="75"/>
      <x:c r="T338" s="75"/>
      <x:c r="U338" s="75"/>
      <x:c r="V338" s="75" t="str">
        <x:v>No public self-hosting</x:v>
      </x:c>
      <x:c r="W338" s="75" t="str">
        <x:v>Yes — self-managed</x:v>
      </x:c>
      <x:c r="X338" s="75"/>
      <x:c r="Y338" s="75"/>
      <x:c r="Z338" s="75"/>
      <x:c r="AA338" s="75"/>
      <x:c r="AB338" s="75"/>
      <x:c r="AC338" s="78"/>
      <x:c r="AD338" s="75"/>
      <x:c r="AE338" s="75"/>
      <x:c r="AF338" s="75"/>
      <x:c r="AG338" s="75" t="str">
        <x:v>Yes — self-hosted</x:v>
      </x:c>
      <x:c r="AH338" s="122" t="n">
        <x:v>23</x:v>
      </x:c>
      <x:c r="AI338" s="123" t="str">
        <x:v>Canonical source for Platform Model &amp; Ecosystem!23</x:v>
      </x:c>
    </x:row>
    <x:row r="339">
      <x:c r="A339" s="119" t="str">
        <x:v>Platform Model &amp; Ecosystem</x:v>
      </x:c>
      <x:c r="B339" s="121" t="str">
        <x:v>Cross-Platform Bridge Ecosystem</x:v>
      </x:c>
      <x:c r="C339" s="75" t="str">
        <x:v>Third-party</x:v>
      </x:c>
      <x:c r="D339" s="75"/>
      <x:c r="E339" s="75"/>
      <x:c r="F339" s="75"/>
      <x:c r="G339" s="75"/>
      <x:c r="H339" s="75"/>
      <x:c r="I339" s="75"/>
      <x:c r="J339" s="75"/>
      <x:c r="K339" s="75"/>
      <x:c r="L339" s="75" t="str">
        <x:v>Yes — official Discord↔Kaede bridge bot; broader bridge ecosystem is still early</x:v>
      </x:c>
      <x:c r="M339" s="75"/>
      <x:c r="N339" s="75"/>
      <x:c r="O339" s="75" t="str">
        <x:v>Extensive bridge ecosystem</x:v>
      </x:c>
      <x:c r="P339" s="75" t="str">
        <x:v>Integrations/plugins</x:v>
      </x:c>
      <x:c r="Q339" s="75"/>
      <x:c r="R339" s="75"/>
      <x:c r="S339" s="75"/>
      <x:c r="T339" s="75"/>
      <x:c r="U339" s="75"/>
      <x:c r="V339" s="75"/>
      <x:c r="W339" s="75"/>
      <x:c r="X339" s="75"/>
      <x:c r="Y339" s="75"/>
      <x:c r="Z339" s="75"/>
      <x:c r="AA339" s="75"/>
      <x:c r="AB339" s="75"/>
      <x:c r="AC339" s="78"/>
      <x:c r="AD339" s="75"/>
      <x:c r="AE339" s="75"/>
      <x:c r="AF339" s="75"/>
      <x:c r="AG339" s="75" t="str">
        <x:v>IRC/Jabber mirrors/integrations</x:v>
      </x:c>
      <x:c r="AH339" s="122" t="n">
        <x:v>24</x:v>
      </x:c>
      <x:c r="AI339" s="123" t="str">
        <x:v>Canonical source for Platform Model &amp; Ecosystem!24</x:v>
      </x:c>
    </x:row>
    <x:row r="340">
      <x:c r="A340" s="119" t="str">
        <x:v>Architecture &amp; Licensing</x:v>
      </x:c>
      <x:c r="B340" s="121" t="str">
        <x:v>Hosting Architecture (Centralized / Federated / Self-Hosted / P2P)</x:v>
      </x:c>
      <x:c r="C340" s="75" t="str">
        <x:v>Centralized cloud service</x:v>
      </x:c>
      <x:c r="D340" s="75" t="str">
        <x:v>Decentralized Nostr-based communities; hosted app available; client, relay and LiveKit voice are self-hostable</x:v>
      </x:c>
      <x:c r="E340" s="75" t="str">
        <x:v>Self-hosted only; decentralized home-server messenger</x:v>
      </x:c>
      <x:c r="F340" s="75" t="str">
        <x:v>Centralized hosted service</x:v>
      </x:c>
      <x:c r="G340" s="75" t="str">
        <x:v>Centralized hosted-first service</x:v>
      </x:c>
      <x:c r="H340" s="75" t="str">
        <x:v>Hosted service + self-hostable independent instances</x:v>
      </x:c>
      <x:c r="I340" s="75" t="str">
        <x:v>Hosted + self-hosted</x:v>
      </x:c>
      <x:c r="J340" s="75" t="str">
        <x:v>Hosted service + self-hostable open-source deployment</x:v>
      </x:c>
      <x:c r="K340" s="75" t="str">
        <x:v>Distributed local-first relay-based; self-hostable relay</x:v>
      </x:c>
      <x:c r="L340" s="75" t="str">
        <x:v>Federated + self-hosted; official kaede.chat home instance also exists</x:v>
      </x:c>
      <x:c r="M340" s="75" t="str">
        <x:v>Centralized hosted service</x:v>
      </x:c>
      <x:c r="N340" s="75" t="str">
        <x:v>Hosted + self-hosting option; federation-oriented</x:v>
      </x:c>
      <x:c r="O340" s="75" t="str">
        <x:v>Federated protocol/ecosystem; self-hosted or hosted homeservers</x:v>
      </x:c>
      <x:c r="P340" s="75" t="str">
        <x:v>Cloud + self-hosted/on-prem standalone workspaces</x:v>
      </x:c>
      <x:c r="Q340" s="75"/>
      <x:c r="R340" s="75" t="str">
        <x:v>Self-hosted client-server; third-party hosted servers available</x:v>
      </x:c>
      <x:c r="S340" s="75" t="str">
        <x:v>Centralized hosted service; technically self-hostable but not intended/supported</x:v>
      </x:c>
      <x:c r="T340" s="75" t="str">
        <x:v>Centralized globally distributed/regional service</x:v>
      </x:c>
      <x:c r="U340" s="75" t="str">
        <x:v>Centralized hosted (Fly.io API in São Paulo + Cloudflare Pages SPA) + self-hostable</x:v>
      </x:c>
      <x:c r="V340" s="75" t="str">
        <x:v>Centralized hosted service</x:v>
      </x:c>
      <x:c r="W340" s="75" t="str">
        <x:v>Cloud + self-hosted/on-prem; optional federation</x:v>
      </x:c>
      <x:c r="X340" s="75" t="str">
        <x:v>ATProto/Bluesky-connected distributed application</x:v>
      </x:c>
      <x:c r="Y340" s="75" t="str">
        <x:v>Centralized hosted service</x:v>
      </x:c>
      <x:c r="Z340" s="75" t="str">
        <x:v>Self-hosted independent Discord-compatible service</x:v>
      </x:c>
      <x:c r="AA340" s="75" t="str">
        <x:v>Hosted service + self-hostable independent instances</x:v>
      </x:c>
      <x:c r="AB340" s="75" t="str">
        <x:v>Self-hosted/hosted client-server</x:v>
      </x:c>
      <x:c r="AC340" s="78" t="str">
        <x:v>Hosted + self-hostable node-based platform</x:v>
      </x:c>
      <x:c r="AD340" s="75" t="str">
        <x:v>Hosted now; self-hosting/federation being built</x:v>
      </x:c>
      <x:c r="AE340" s="75" t="str">
        <x:v>Centralized hosted platform</x:v>
      </x:c>
      <x:c r="AF340" s="75" t="str">
        <x:v>Self-hosted first + optional managed hosting</x:v>
      </x:c>
      <x:c r="AG340" s="75" t="str">
        <x:v>Hosted cloud + self-hosted standalone servers</x:v>
      </x:c>
      <x:c r="AH340" s="122" t="n">
        <x:v>3</x:v>
      </x:c>
      <x:c r="AI340" s="123" t="str">
        <x:v>Canonical metric shared by: At a Glance: Hosting Architecture | Architecture &amp; Licensing: Hosting Architecture (Centralized / Federated / Self-Hosted / P2P)</x:v>
      </x:c>
    </x:row>
    <x:row r="341">
      <x:c r="A341" s="119" t="str">
        <x:v>Architecture &amp; Licensing</x:v>
      </x:c>
      <x:c r="B341" s="121" t="str">
        <x:v>Federation / Network Protocol</x:v>
      </x:c>
      <x:c r="C341" s="75" t="str">
        <x:v>No federation; centralized proprietary service (public HTTP/Gateway APIs for apps)</x:v>
      </x:c>
      <x:c r="D341" s="75" t="str">
        <x:v>Nostr + Concord + NIP-29 relay groups</x:v>
      </x:c>
      <x:c r="E341" s="75" t="str">
        <x:v>Custom server protocol/WebSockets; federation/decentralization features</x:v>
      </x:c>
      <x:c r="F341" s="75" t="str">
        <x:v>No federation</x:v>
      </x:c>
      <x:c r="G341" s="75" t="str">
        <x:v>No federation; custom platform APIs</x:v>
      </x:c>
      <x:c r="H341" s="75" t="str">
        <x:v>No federation yet; federation on roadmap; Discord-inspired REST/Gateway</x:v>
      </x:c>
      <x:c r="I341" s="75" t="str">
        <x:v>Centralized/independent servers; no federation verified</x:v>
      </x:c>
      <x:c r="J341" s="75" t="str">
        <x:v>Discord-like API; federation planned</x:v>
      </x:c>
      <x:c r="K341" s="75" t="str">
        <x:v>Custom relay protocol + CRDT sync; no central account server</x:v>
      </x:c>
      <x:c r="L341" s="75" t="str">
        <x:v>kaede-fed/1 signed HTTP/event protocol plus pooled signed WebSocket federation</x:v>
      </x:c>
      <x:c r="M341" s="75" t="str">
        <x:v>No federation verified</x:v>
      </x:c>
      <x:c r="N341" s="75" t="str">
        <x:v>Federated infrastructure planned/implemented in evolving form</x:v>
      </x:c>
      <x:c r="O341" s="75" t="str">
        <x:v>Matrix Client-Server API + Server-Server/Federation API; MatrixRTC for realtime calling</x:v>
      </x:c>
      <x:c r="P341" s="75" t="str">
        <x:v>Mattermost APIs/WebSocket; no general cross-server federation</x:v>
      </x:c>
      <x:c r="Q341" s="75"/>
      <x:c r="R341" s="75" t="str">
        <x:v>Mumble protocol over TLS/UDP; no federation</x:v>
      </x:c>
      <x:c r="S341" s="75" t="str">
        <x:v>No federation</x:v>
      </x:c>
      <x:c r="T341" s="75" t="str">
        <x:v>No federation verified</x:v>
      </x:c>
      <x:c r="U341" s="75" t="str">
        <x:v>No federation; independent self-host copies</x:v>
      </x:c>
      <x:c r="V341" s="75" t="str">
        <x:v>No federation</x:v>
      </x:c>
      <x:c r="W341" s="75" t="str">
        <x:v>REST/WebSocket/DDP + Matrix-based federation capabilities</x:v>
      </x:c>
      <x:c r="X341" s="75" t="str">
        <x:v>ATProto-based data model; not a Matrix-style chat federation</x:v>
      </x:c>
      <x:c r="Y341" s="75" t="str">
        <x:v>No federation; proprietary Root APIs</x:v>
      </x:c>
      <x:c r="Z341" s="75" t="str">
        <x:v>Discord-compatible REST API + Gateway/WebSocket; no federation</x:v>
      </x:c>
      <x:c r="AA341" s="75" t="str">
        <x:v>No inter-instance federation; custom REST/WebSocket API</x:v>
      </x:c>
      <x:c r="AB341" s="75" t="str">
        <x:v>Proprietary TeamSpeak protocol; no federation</x:v>
      </x:c>
      <x:c r="AC341" s="78" t="str">
        <x:v>Independent instances/nodes; federation/migration features</x:v>
      </x:c>
      <x:c r="AD341" s="75" t="str">
        <x:v>Custom federation protocol in development</x:v>
      </x:c>
      <x:c r="AE341" s="75" t="str">
        <x:v>No federation</x:v>
      </x:c>
      <x:c r="AF341" s="75" t="str">
        <x:v>Independent servers; no federation verified</x:v>
      </x:c>
      <x:c r="AG341" s="75" t="str">
        <x:v>Zulip REST/realtime event API; no cross-server federation</x:v>
      </x:c>
      <x:c r="AH341" s="122" t="n">
        <x:v>4</x:v>
      </x:c>
      <x:c r="AI341" s="123" t="str">
        <x:v>Canonical source for Architecture &amp; Licensing!4</x:v>
      </x:c>
    </x:row>
    <x:row r="342">
      <x:c r="A342" s="119" t="str">
        <x:v>Architecture &amp; Licensing</x:v>
      </x:c>
      <x:c r="B342" s="121" t="str">
        <x:v>Client License (FOSS / Proprietary)</x:v>
      </x:c>
      <x:c r="C342" s="75" t="str">
        <x:v>Proprietary</x:v>
      </x:c>
      <x:c r="D342" s="75" t="str">
        <x:v>FOSS — AGPL-3.0</x:v>
      </x:c>
      <x:c r="E342" s="75" t="str">
        <x:v>FOSS AGPL-3.0</x:v>
      </x:c>
      <x:c r="F342" s="75" t="str">
        <x:v>Proprietary</x:v>
      </x:c>
      <x:c r="G342" s="75" t="str">
        <x:v>Proprietary during alpha; open-source release planned</x:v>
      </x:c>
      <x:c r="H342" s="75" t="str">
        <x:v>FOSS (AGPL-3.0)</x:v>
      </x:c>
      <x:c r="I342" s="75" t="str">
        <x:v>Proprietary</x:v>
      </x:c>
      <x:c r="J342" s="75" t="str">
        <x:v>FOSS — AGPL-3.0</x:v>
      </x:c>
      <x:c r="K342" s="75" t="str">
        <x:v>Open source</x:v>
      </x:c>
      <x:c r="L342" s="75" t="str">
        <x:v>MIT</x:v>
      </x:c>
      <x:c r="M342" s="75" t="str">
        <x:v>Proprietary</x:v>
      </x:c>
      <x:c r="N342" s="75"/>
      <x:c r="O342" s="75" t="str">
        <x:v>Varies by client; many FOSS (e.g., Element, Element X, Cinny)</x:v>
      </x:c>
      <x:c r="P342" s="75" t="str">
        <x:v>FOSS/open-source clients; exact repo license varies</x:v>
      </x:c>
      <x:c r="Q342" s="75" t="str">
        <x:v>Open-source client code</x:v>
      </x:c>
      <x:c r="R342" s="75" t="str">
        <x:v>FOSS (BSD-style / BSD-3-Clause)</x:v>
      </x:c>
      <x:c r="S342" s="75" t="str">
        <x:v>FOSS GPL-family components</x:v>
      </x:c>
      <x:c r="T342" s="75" t="str">
        <x:v>Proprietary client / source status mixed</x:v>
      </x:c>
      <x:c r="U342" s="75" t="str">
        <x:v>FOSS — AGPL-3.0</x:v>
      </x:c>
      <x:c r="V342" s="75" t="str">
        <x:v>Proprietary</x:v>
      </x:c>
      <x:c r="W342" s="75" t="str">
        <x:v>FOSS core client; MIT components / enterprise extensions</x:v>
      </x:c>
      <x:c r="X342" s="75" t="str">
        <x:v>MPL-2.0 project</x:v>
      </x:c>
      <x:c r="Y342" s="75" t="str">
        <x:v>Proprietary</x:v>
      </x:c>
      <x:c r="Z342" s="75" t="str">
        <x:v>FOSS (AGPL-3.0 project components)</x:v>
      </x:c>
      <x:c r="AA342" s="75" t="str">
        <x:v>FOSS (web client AGPL-3.0; clients vary)</x:v>
      </x:c>
      <x:c r="AB342" s="75" t="str">
        <x:v>Proprietary</x:v>
      </x:c>
      <x:c r="AC342" s="78" t="str">
        <x:v>AGPL-3.0</x:v>
      </x:c>
      <x:c r="AD342" s="75" t="str">
        <x:v>Client source planned; not yet fully public</x:v>
      </x:c>
      <x:c r="AE342" s="75"/>
      <x:c r="AF342" s="75"/>
      <x:c r="AG342" s="75" t="str">
        <x:v>FOSS (Apache-2.0)</x:v>
      </x:c>
      <x:c r="AH342" s="122" t="n">
        <x:v>5</x:v>
      </x:c>
      <x:c r="AI342" s="123" t="str">
        <x:v>Canonical source for Architecture &amp; Licensing!5</x:v>
      </x:c>
    </x:row>
    <x:row r="343">
      <x:c r="A343" s="119" t="str">
        <x:v>Architecture &amp; Licensing</x:v>
      </x:c>
      <x:c r="B343" s="121" t="str">
        <x:v>Server License (FOSS / Proprietary)</x:v>
      </x:c>
      <x:c r="C343" s="75" t="str">
        <x:v>Proprietary</x:v>
      </x:c>
      <x:c r="D343" s="75" t="str">
        <x:v>FOSS/open-source relay, bridge and voice components</x:v>
      </x:c>
      <x:c r="E343" s="75" t="str">
        <x:v>FOSS AGPL-3.0</x:v>
      </x:c>
      <x:c r="F343" s="75" t="str">
        <x:v>Proprietary Rust backend</x:v>
      </x:c>
      <x:c r="G343" s="75" t="str">
        <x:v>Proprietary during alpha; open-source release planned</x:v>
      </x:c>
      <x:c r="H343" s="75" t="str">
        <x:v>FOSS (AGPL-3.0)</x:v>
      </x:c>
      <x:c r="I343" s="75" t="str">
        <x:v>Proprietary</x:v>
      </x:c>
      <x:c r="J343" s="75" t="str">
        <x:v>FOSS — AGPL-3.0</x:v>
      </x:c>
      <x:c r="K343" s="75" t="str">
        <x:v>Open source relay/server</x:v>
      </x:c>
      <x:c r="L343" s="75" t="str">
        <x:v>MIT</x:v>
      </x:c>
      <x:c r="M343" s="75" t="str">
        <x:v>Proprietary</x:v>
      </x:c>
      <x:c r="N343" s="75"/>
      <x:c r="O343" s="75" t="str">
        <x:v>Varies by homeserver; Synapse is AGPLv3/commercial dual model</x:v>
      </x:c>
      <x:c r="P343" s="75" t="str">
        <x:v>Open source Team Edition / AGPL-source plus commercial Enterprise editions</x:v>
      </x:c>
      <x:c r="Q343" s="75" t="str">
        <x:v>Open-source server stack/components</x:v>
      </x:c>
      <x:c r="R343" s="75" t="str">
        <x:v>FOSS (BSD-style / BSD-3-Clause)</x:v>
      </x:c>
      <x:c r="S343" s="75" t="str">
        <x:v>FOSS GPL-3.0 server/web components</x:v>
      </x:c>
      <x:c r="T343" s="75"/>
      <x:c r="U343" s="75" t="str">
        <x:v>FOSS — AGPL-3.0</x:v>
      </x:c>
      <x:c r="V343" s="75" t="str">
        <x:v>Proprietary</x:v>
      </x:c>
      <x:c r="W343" s="75" t="str">
        <x:v>FOSS core (MIT) + enterprise-licensed portions</x:v>
      </x:c>
      <x:c r="X343" s="75" t="str">
        <x:v>MPL-2.0 project/server components</x:v>
      </x:c>
      <x:c r="Y343" s="75" t="str">
        <x:v>Proprietary</x:v>
      </x:c>
      <x:c r="Z343" s="75" t="str">
        <x:v>FOSS (AGPL-3.0)</x:v>
      </x:c>
      <x:c r="AA343" s="75" t="str">
        <x:v>FOSS (backend generally AGPL-3.0)</x:v>
      </x:c>
      <x:c r="AB343" s="75" t="str">
        <x:v>Proprietary</x:v>
      </x:c>
      <x:c r="AC343" s="78" t="str">
        <x:v>AGPL-3.0</x:v>
      </x:c>
      <x:c r="AD343" s="75" t="str">
        <x:v>Backend source public</x:v>
      </x:c>
      <x:c r="AE343" s="75" t="str">
        <x:v>Source-available</x:v>
      </x:c>
      <x:c r="AF343" s="75"/>
      <x:c r="AG343" s="75" t="str">
        <x:v>FOSS (Apache-2.0 server/web app)</x:v>
      </x:c>
      <x:c r="AH343" s="122" t="n">
        <x:v>6</x:v>
      </x:c>
      <x:c r="AI343" s="123" t="str">
        <x:v>Canonical source for Architecture &amp; Licensing!6</x:v>
      </x:c>
    </x:row>
    <x:row r="344">
      <x:c r="A344" s="119" t="str">
        <x:v>Architecture &amp; Licensing</x:v>
      </x:c>
      <x:c r="B344" s="121" t="str">
        <x:v>Client Repo URL</x:v>
      </x:c>
      <x:c r="C344" s="75" t="str">
        <x:v>N/A — no public core client source repository</x:v>
      </x:c>
      <x:c r="D344" s="75" t="str">
        <x:v>https://github.com/soapbox-pub/armada</x:v>
      </x:c>
      <x:c r="E344" s="75" t="str">
        <x:v>https://github.com/hackthedev/dcts-shipping</x:v>
      </x:c>
      <x:c r="F344" s="75" t="str">
        <x:v>N/A</x:v>
      </x:c>
      <x:c r="G344" s="75" t="str">
        <x:v>N/A — not public yet</x:v>
      </x:c>
      <x:c r="H344" s="75" t="str">
        <x:v>https://github.com/fluxerapp/fluxer</x:v>
      </x:c>
      <x:c r="I344" s="75" t="str">
        <x:v>N/A</x:v>
      </x:c>
      <x:c r="J344" s="75" t="str">
        <x:v>https://codeberg.org/MelodyChat/Fermi</x:v>
      </x:c>
      <x:c r="K344" s="75" t="str">
        <x:v>https://github.com/VitalikPro13/HOLLOW</x:v>
      </x:c>
      <x:c r="L344" s="75" t="str">
        <x:v>https://github.com/CookieNom/KaedeChat</x:v>
      </x:c>
      <x:c r="M344" s="75" t="str">
        <x:v>N/A</x:v>
      </x:c>
      <x:c r="N344" s="75"/>
      <x:c r="O344" s="75" t="str">
        <x:v>No single client repo — clients are separate implementations</x:v>
      </x:c>
      <x:c r="P344" s="75" t="str">
        <x:v>https://github.com/mattermost/mattermost-desktop</x:v>
      </x:c>
      <x:c r="Q344" s="75" t="str">
        <x:v>https://github.com/mezonai/mezon</x:v>
      </x:c>
      <x:c r="R344" s="75" t="str">
        <x:v>https://github.com/mumble-voip/mumble</x:v>
      </x:c>
      <x:c r="S344" s="75" t="str">
        <x:v>https://github.com/Nerimity/nerimity-web</x:v>
      </x:c>
      <x:c r="T344" s="75"/>
      <x:c r="U344" s="75" t="str">
        <x:v>https://github.com/rafaelcg/pqp</x:v>
      </x:c>
      <x:c r="V344" s="75" t="str">
        <x:v>N/A</x:v>
      </x:c>
      <x:c r="W344" s="75" t="str">
        <x:v>https://github.com/RocketChat/Rocket.Chat.Electron</x:v>
      </x:c>
      <x:c r="X344" s="75" t="str">
        <x:v>https://github.com/muni-town/roomy</x:v>
      </x:c>
      <x:c r="Y344" s="75" t="str">
        <x:v>N/A</x:v>
      </x:c>
      <x:c r="Z344" s="75" t="str">
        <x:v>https://github.com/spacebarchat/client</x:v>
      </x:c>
      <x:c r="AA344" s="75" t="str">
        <x:v>https://github.com/stoatchat/for-web</x:v>
      </x:c>
      <x:c r="AB344" s="75" t="str">
        <x:v>N/A</x:v>
      </x:c>
      <x:c r="AC344" s="78" t="str">
        <x:v>https://github.com/Valour-Software/Valour</x:v>
      </x:c>
      <x:c r="AD344" s="75"/>
      <x:c r="AE344" s="75" t="str">
        <x:v>https://github.com/Weeredjs/Weered</x:v>
      </x:c>
      <x:c r="AF344" s="75"/>
      <x:c r="AG344" s="75" t="str">
        <x:v>https://github.com/zulip/zulip-desktop</x:v>
      </x:c>
      <x:c r="AH344" s="122" t="n">
        <x:v>7</x:v>
      </x:c>
      <x:c r="AI344" s="123" t="str">
        <x:v>Canonical source for Architecture &amp; Licensing!7</x:v>
      </x:c>
    </x:row>
    <x:row r="345">
      <x:c r="A345" s="119" t="str">
        <x:v>Architecture &amp; Licensing</x:v>
      </x:c>
      <x:c r="B345" s="121" t="str">
        <x:v>Server Repo URL</x:v>
      </x:c>
      <x:c r="C345" s="75" t="str">
        <x:v>N/A — no public core server source repository</x:v>
      </x:c>
      <x:c r="D345" s="75" t="str">
        <x:v>https://github.com/soapbox-pub/armada</x:v>
      </x:c>
      <x:c r="E345" s="75" t="str">
        <x:v>https://github.com/hackthedev/dcts-shipping</x:v>
      </x:c>
      <x:c r="F345" s="75" t="str">
        <x:v>N/A</x:v>
      </x:c>
      <x:c r="G345" s="75" t="str">
        <x:v>N/A — not public yet</x:v>
      </x:c>
      <x:c r="H345" s="75" t="str">
        <x:v>https://github.com/fluxerapp/fluxer</x:v>
      </x:c>
      <x:c r="I345" s="75" t="str">
        <x:v>N/A</x:v>
      </x:c>
      <x:c r="J345" s="75" t="str">
        <x:v>https://codeberg.org/MelodyChat/Harmony</x:v>
      </x:c>
      <x:c r="K345" s="75" t="str">
        <x:v>https://github.com/VitalikPro13/HOLLOW</x:v>
      </x:c>
      <x:c r="L345" s="75" t="str">
        <x:v>https://github.com/CookieNom/KaedeChat</x:v>
      </x:c>
      <x:c r="M345" s="75" t="str">
        <x:v>N/A</x:v>
      </x:c>
      <x:c r="N345" s="75"/>
      <x:c r="O345" s="75" t="str">
        <x:v>No single server repo — Synapse, Dendrite/others implement Matrix</x:v>
      </x:c>
      <x:c r="P345" s="75" t="str">
        <x:v>https://github.com/mattermost/mattermost</x:v>
      </x:c>
      <x:c r="Q345" s="75" t="str">
        <x:v>https://github.com/mezonai/mezon</x:v>
      </x:c>
      <x:c r="R345" s="75" t="str">
        <x:v>https://github.com/mumble-voip/mumble</x:v>
      </x:c>
      <x:c r="S345" s="75" t="str">
        <x:v>https://github.com/Nerimity/nerimity-server</x:v>
      </x:c>
      <x:c r="T345" s="75"/>
      <x:c r="U345" s="75" t="str">
        <x:v>https://github.com/rafaelcg/pqp</x:v>
      </x:c>
      <x:c r="V345" s="75" t="str">
        <x:v>N/A</x:v>
      </x:c>
      <x:c r="W345" s="75" t="str">
        <x:v>https://github.com/RocketChat/Rocket.Chat</x:v>
      </x:c>
      <x:c r="X345" s="75" t="str">
        <x:v>https://github.com/muni-town/roomy</x:v>
      </x:c>
      <x:c r="Y345" s="75" t="str">
        <x:v>N/A</x:v>
      </x:c>
      <x:c r="Z345" s="75" t="str">
        <x:v>https://github.com/spacebarchat/server</x:v>
      </x:c>
      <x:c r="AA345" s="75" t="str">
        <x:v>https://github.com/stoatchat/stoatchat</x:v>
      </x:c>
      <x:c r="AB345" s="75" t="str">
        <x:v>N/A</x:v>
      </x:c>
      <x:c r="AC345" s="78" t="str">
        <x:v>https://github.com/Valour-Software/Valour</x:v>
      </x:c>
      <x:c r="AD345" s="75" t="str">
        <x:v>https://github.com/AlpineBits-ch/AlpineBackend</x:v>
      </x:c>
      <x:c r="AE345" s="75" t="str">
        <x:v>https://github.com/Weeredjs/Weered</x:v>
      </x:c>
      <x:c r="AF345" s="75"/>
      <x:c r="AG345" s="75" t="str">
        <x:v>https://github.com/zulip/zulip</x:v>
      </x:c>
      <x:c r="AH345" s="122" t="n">
        <x:v>8</x:v>
      </x:c>
      <x:c r="AI345" s="123" t="str">
        <x:v>Canonical source for Architecture &amp; Licensing!8</x:v>
      </x:c>
    </x:row>
    <x:row r="346">
      <x:c r="A346" s="119" t="str">
        <x:v>Architecture &amp; Licensing</x:v>
      </x:c>
      <x:c r="B346" s="121" t="str">
        <x:v>Self-Hosting Setup Difficulty (1–5)</x:v>
      </x:c>
      <x:c r="C346" s="75" t="str">
        <x:v>N/A — official self-hosting unsupported</x:v>
      </x:c>
      <x:c r="D346" s="75" t="str">
        <x:v>3/5 for using hosted relays; self-host relay more complex</x:v>
      </x:c>
      <x:c r="E346" s="75" t="str">
        <x:v>3/5</x:v>
      </x:c>
      <x:c r="F346" s="75" t="str">
        <x:v>N/A</x:v>
      </x:c>
      <x:c r="G346" s="75" t="str">
        <x:v>N/A — self-hosting not currently offered</x:v>
      </x:c>
      <x:c r="H346" s="75" t="str">
        <x:v>3/5</x:v>
      </x:c>
      <x:c r="I346" s="75" t="str">
        <x:v>2/5</x:v>
      </x:c>
      <x:c r="J346" s="75" t="str">
        <x:v>4/5</x:v>
      </x:c>
      <x:c r="K346" s="75" t="str">
        <x:v>3/5</x:v>
      </x:c>
      <x:c r="L346" s="75" t="str">
        <x:v>2/5 — interactive make setup wizard + Docker Compose; still requires DNS/TLS/reverse proxy</x:v>
      </x:c>
      <x:c r="M346" s="75" t="str">
        <x:v>N/A</x:v>
      </x:c>
      <x:c r="N346" s="75" t="str">
        <x:v>3/5</x:v>
      </x:c>
      <x:c r="O346" s="75" t="str">
        <x:v>4/5 (implementation-dependent)</x:v>
      </x:c>
      <x:c r="P346" s="75" t="str">
        <x:v>3/5</x:v>
      </x:c>
      <x:c r="Q346" s="75"/>
      <x:c r="R346" s="75" t="str">
        <x:v>2/5</x:v>
      </x:c>
      <x:c r="S346" s="75" t="str">
        <x:v>4/5 (unsupported)</x:v>
      </x:c>
      <x:c r="T346" s="75" t="str">
        <x:v>N/A</x:v>
      </x:c>
      <x:c r="U346" s="75" t="str">
        <x:v>3/5</x:v>
      </x:c>
      <x:c r="V346" s="75" t="str">
        <x:v>N/A</x:v>
      </x:c>
      <x:c r="W346" s="75" t="str">
        <x:v>3/5</x:v>
      </x:c>
      <x:c r="X346" s="75" t="str">
        <x:v>4/5</x:v>
      </x:c>
      <x:c r="Y346" s="75" t="str">
        <x:v>N/A — no self-hosting</x:v>
      </x:c>
      <x:c r="Z346" s="75" t="str">
        <x:v>4/5</x:v>
      </x:c>
      <x:c r="AA346" s="75" t="str">
        <x:v>4/5</x:v>
      </x:c>
      <x:c r="AB346" s="75" t="str">
        <x:v>2/5</x:v>
      </x:c>
      <x:c r="AC346" s="78" t="str">
        <x:v>2/5 — docker compose</x:v>
      </x:c>
      <x:c r="AD346" s="75" t="str">
        <x:v>4/5 / evolving</x:v>
      </x:c>
      <x:c r="AE346" s="75" t="str">
        <x:v>N/A</x:v>
      </x:c>
      <x:c r="AF346" s="75" t="str">
        <x:v>2/5</x:v>
      </x:c>
      <x:c r="AG346" s="75" t="str">
        <x:v>3/5</x:v>
      </x:c>
      <x:c r="AH346" s="122" t="n">
        <x:v>9</x:v>
      </x:c>
      <x:c r="AI346" s="123" t="str">
        <x:v>Canonical source for Architecture &amp; Licensing!9</x:v>
      </x:c>
    </x:row>
    <x:row r="347">
      <x:c r="A347" s="119" t="str">
        <x:v>Architecture &amp; Licensing</x:v>
      </x:c>
      <x:c r="B347" s="121" t="str">
        <x:v>Docker / Container Support</x:v>
      </x:c>
      <x:c r="C347" s="75" t="str">
        <x:v>N/A — official self-hosting unsupported</x:v>
      </x:c>
      <x:c r="D347" s="75" t="str">
        <x:v>Relay/self-host options</x:v>
      </x:c>
      <x:c r="E347" s="75" t="str">
        <x:v>Yes — Docker</x:v>
      </x:c>
      <x:c r="F347" s="75" t="str">
        <x:v>No self-hosting verified</x:v>
      </x:c>
      <x:c r="G347" s="75" t="str">
        <x:v>No</x:v>
      </x:c>
      <x:c r="H347" s="75" t="str">
        <x:v>Yes — self-host tooling/Docker</x:v>
      </x:c>
      <x:c r="I347" s="75"/>
      <x:c r="J347" s="75"/>
      <x:c r="K347" s="75"/>
      <x:c r="L347" s="75" t="str">
        <x:v>Yes — Docker Compose</x:v>
      </x:c>
      <x:c r="M347" s="75" t="str">
        <x:v>No self-hosting verified</x:v>
      </x:c>
      <x:c r="N347" s="75" t="str">
        <x:v>Self-hosting advertised</x:v>
      </x:c>
      <x:c r="O347" s="75" t="str">
        <x:v>Yes — implementation-dependent</x:v>
      </x:c>
      <x:c r="P347" s="75" t="str">
        <x:v>Yes — container/Kubernetes deployment supported</x:v>
      </x:c>
      <x:c r="Q347" s="75"/>
      <x:c r="R347" s="75" t="str">
        <x:v>Yes — official Docker image available</x:v>
      </x:c>
      <x:c r="S347" s="75"/>
      <x:c r="T347" s="75" t="str">
        <x:v>No official self-hosting verified</x:v>
      </x:c>
      <x:c r="U347" s="75"/>
      <x:c r="V347" s="75" t="str">
        <x:v>No</x:v>
      </x:c>
      <x:c r="W347" s="75" t="str">
        <x:v>Yes — Docker/Kubernetes supported</x:v>
      </x:c>
      <x:c r="X347" s="75"/>
      <x:c r="Y347" s="75" t="str">
        <x:v>No</x:v>
      </x:c>
      <x:c r="Z347" s="75" t="str">
        <x:v>Yes — Docker supported</x:v>
      </x:c>
      <x:c r="AA347" s="75" t="str">
        <x:v>Yes — official Docker Compose self-host stack</x:v>
      </x:c>
      <x:c r="AB347" s="75" t="str">
        <x:v>Yes — TS6 server Docker/self-host guidance</x:v>
      </x:c>
      <x:c r="AC347" s="78" t="str">
        <x:v>Yes — docker compose</x:v>
      </x:c>
      <x:c r="AD347" s="75"/>
      <x:c r="AE347" s="75" t="str">
        <x:v>No self-hosting advertised</x:v>
      </x:c>
      <x:c r="AF347" s="75"/>
      <x:c r="AG347" s="75" t="str">
        <x:v>Yes — Docker/community deployment options</x:v>
      </x:c>
      <x:c r="AH347" s="122" t="n">
        <x:v>10</x:v>
      </x:c>
      <x:c r="AI347" s="123" t="str">
        <x:v>Canonical source for Architecture &amp; Licensing!10</x:v>
      </x:c>
    </x:row>
    <x:row r="348">
      <x:c r="A348" s="119" t="str">
        <x:v>Architecture &amp; Licensing</x:v>
      </x:c>
      <x:c r="B348" s="121" t="str">
        <x:v>Deployment &amp; Network Model</x:v>
      </x:c>
      <x:c r="C348" s="75"/>
      <x:c r="D348" s="75"/>
      <x:c r="E348" s="75"/>
      <x:c r="F348" s="75"/>
      <x:c r="G348" s="75"/>
      <x:c r="H348" s="75"/>
      <x:c r="I348" s="75"/>
      <x:c r="J348" s="75" t="str">
        <x:v>Hosted option plus self-host; Rust/Axum single binary with PostgreSQL; LiveKit for voice</x:v>
      </x:c>
      <x:c r="K348" s="75"/>
      <x:c r="L348" s="75" t="str">
        <x:v>FastAPI REST/federation + separate WebSocket Gateway; PostgreSQL durable state; Dragonfly ephemeral/tasks; S3-compatible media; LiveKit media</x:v>
      </x:c>
      <x:c r="M348" s="75"/>
      <x:c r="N348" s="75"/>
      <x:c r="O348" s="75"/>
      <x:c r="P348" s="75"/>
      <x:c r="Q348" s="75"/>
      <x:c r="R348" s="75"/>
      <x:c r="S348" s="75"/>
      <x:c r="T348" s="75"/>
      <x:c r="U348" s="75" t="str">
        <x:v>Hosted API on Fly.io (São Paulo), SPA on Cloudflare Pages; small/DM media may be P2P; larger/listed hosted rooms use LiveKit; self-host docs in repo</x:v>
      </x:c>
      <x:c r="V348" s="75"/>
      <x:c r="W348" s="75"/>
      <x:c r="X348" s="75"/>
      <x:c r="Y348" s="75"/>
      <x:c r="Z348" s="75"/>
      <x:c r="AA348" s="75"/>
      <x:c r="AB348" s="75"/>
      <x:c r="AC348" s="78"/>
      <x:c r="AD348" s="75"/>
      <x:c r="AE348" s="75"/>
      <x:c r="AF348" s="75"/>
      <x:c r="AG348" s="75"/>
      <x:c r="AH348" s="122" t="n">
        <x:v>11</x:v>
      </x:c>
      <x:c r="AI348" s="123" t="str">
        <x:v>Canonical source for Architecture &amp; Licensing!11</x:v>
      </x:c>
    </x:row>
    <x:row r="349">
      <x:c r="A349" s="119" t="str">
        <x:v>Deployment Detail</x:v>
      </x:c>
      <x:c r="B349" s="121" t="str">
        <x:v>Topology</x:v>
      </x:c>
      <x:c r="C349" s="75"/>
      <x:c r="D349" s="75"/>
      <x:c r="E349" s="75"/>
      <x:c r="F349" s="75"/>
      <x:c r="G349" s="75"/>
      <x:c r="H349" s="75"/>
      <x:c r="I349" s="75"/>
      <x:c r="J349" s="75"/>
      <x:c r="K349" s="75"/>
      <x:c r="L349" s="75" t="str">
        <x:v>Federated + self-hosted; official kaede.chat home instance also exists</x:v>
      </x:c>
      <x:c r="M349" s="75"/>
      <x:c r="N349" s="75"/>
      <x:c r="O349" s="75"/>
      <x:c r="P349" s="75"/>
      <x:c r="Q349" s="75"/>
      <x:c r="R349" s="75"/>
      <x:c r="S349" s="75"/>
      <x:c r="T349" s="75"/>
      <x:c r="U349" s="75"/>
      <x:c r="V349" s="75"/>
      <x:c r="W349" s="75"/>
      <x:c r="X349" s="75"/>
      <x:c r="Y349" s="75"/>
      <x:c r="Z349" s="75"/>
      <x:c r="AA349" s="75"/>
      <x:c r="AB349" s="75"/>
      <x:c r="AC349" s="78"/>
      <x:c r="AD349" s="75"/>
      <x:c r="AE349" s="75"/>
      <x:c r="AF349" s="75"/>
      <x:c r="AG349" s="75"/>
      <x:c r="AH349" s="122" t="n">
        <x:v>3</x:v>
      </x:c>
      <x:c r="AI349" s="123" t="str">
        <x:v>Canonical source for Deployment Detail!3</x:v>
      </x:c>
    </x:row>
    <x:row r="350">
      <x:c r="A350" s="119" t="str">
        <x:v>Deployment Detail</x:v>
      </x:c>
      <x:c r="B350" s="121" t="str">
        <x:v>Centralized Hosted Service?</x:v>
      </x:c>
      <x:c r="C350" s="75"/>
      <x:c r="D350" s="75"/>
      <x:c r="E350" s="75"/>
      <x:c r="F350" s="75"/>
      <x:c r="G350" s="75"/>
      <x:c r="H350" s="75"/>
      <x:c r="I350" s="75"/>
      <x:c r="J350" s="75" t="str">
        <x:v>Yes — optional; self-hosting is also supported</x:v>
      </x:c>
      <x:c r="K350" s="75"/>
      <x:c r="L350" s="75" t="str">
        <x:v>Yes — kaede.chat</x:v>
      </x:c>
      <x:c r="M350" s="75"/>
      <x:c r="N350" s="75"/>
      <x:c r="O350" s="75"/>
      <x:c r="P350" s="75"/>
      <x:c r="Q350" s="75"/>
      <x:c r="R350" s="75"/>
      <x:c r="S350" s="75"/>
      <x:c r="T350" s="75"/>
      <x:c r="U350" s="75" t="str">
        <x:v>Yes — Fly.io API in São Paulo + Cloudflare Pages SPA</x:v>
      </x:c>
      <x:c r="V350" s="75"/>
      <x:c r="W350" s="75"/>
      <x:c r="X350" s="75"/>
      <x:c r="Y350" s="75"/>
      <x:c r="Z350" s="75"/>
      <x:c r="AA350" s="75"/>
      <x:c r="AB350" s="75"/>
      <x:c r="AC350" s="78"/>
      <x:c r="AD350" s="75"/>
      <x:c r="AE350" s="75"/>
      <x:c r="AF350" s="75"/>
      <x:c r="AG350" s="75"/>
      <x:c r="AH350" s="122" t="n">
        <x:v>4</x:v>
      </x:c>
      <x:c r="AI350" s="123" t="str">
        <x:v>Canonical metric shared by: Architecture &amp; Licensing: Centralized Hosted Service? | Deployment Detail: Centralized Hosted Service?</x:v>
      </x:c>
    </x:row>
    <x:row r="351">
      <x:c r="A351" s="119" t="str">
        <x:v>Deployment Detail</x:v>
      </x:c>
      <x:c r="B351" s="121" t="str">
        <x:v>Federated?</x:v>
      </x:c>
      <x:c r="C351" s="75" t="str">
        <x:v>No</x:v>
      </x:c>
      <x:c r="D351" s="75" t="str">
        <x:v>Nostr relay interoperability</x:v>
      </x:c>
      <x:c r="E351" s="75" t="str">
        <x:v>Yes for messenger/server communication features; full federation evolving</x:v>
      </x:c>
      <x:c r="F351" s="75" t="str">
        <x:v>No</x:v>
      </x:c>
      <x:c r="G351" s="75" t="str">
        <x:v>No</x:v>
      </x:c>
      <x:c r="H351" s="75" t="str">
        <x:v>Not yet — on roadmap</x:v>
      </x:c>
      <x:c r="I351" s="75" t="str">
        <x:v>No federation verified</x:v>
      </x:c>
      <x:c r="J351" s="75" t="str">
        <x:v>Federation planned</x:v>
      </x:c>
      <x:c r="K351" s="75" t="str">
        <x:v>Relay choice but not Matrix-style federated server state</x:v>
      </x:c>
      <x:c r="L351" s="75" t="str">
        <x:v>Yes</x:v>
      </x:c>
      <x:c r="M351" s="75" t="str">
        <x:v>No</x:v>
      </x:c>
      <x:c r="N351" s="75" t="str">
        <x:v>Federation advertised</x:v>
      </x:c>
      <x:c r="O351" s="75" t="str">
        <x:v>Yes — core feature</x:v>
      </x:c>
      <x:c r="P351" s="75" t="str">
        <x:v>No general federation</x:v>
      </x:c>
      <x:c r="Q351" s="75" t="str">
        <x:v>No federation verified</x:v>
      </x:c>
      <x:c r="R351" s="75" t="str">
        <x:v>No</x:v>
      </x:c>
      <x:c r="S351" s="75" t="str">
        <x:v>No</x:v>
      </x:c>
      <x:c r="T351" s="75" t="str">
        <x:v>No</x:v>
      </x:c>
      <x:c r="U351" s="75" t="str">
        <x:v>No federation</x:v>
      </x:c>
      <x:c r="V351" s="75" t="str">
        <x:v>No</x:v>
      </x:c>
      <x:c r="W351" s="75" t="str">
        <x:v>Yes — Matrix-based federation feature set, with limitations</x:v>
      </x:c>
      <x:c r="X351" s="75" t="str">
        <x:v>ATProto federation ecosystem</x:v>
      </x:c>
      <x:c r="Y351" s="75" t="str">
        <x:v>No</x:v>
      </x:c>
      <x:c r="Z351" s="75" t="str">
        <x:v>No</x:v>
      </x:c>
      <x:c r="AA351" s="75" t="str">
        <x:v>No</x:v>
      </x:c>
      <x:c r="AB351" s="75" t="str">
        <x:v>No</x:v>
      </x:c>
      <x:c r="AC351" s="78" t="str">
        <x:v>Node/federation model for migrating communities; exact cross-instance federation scope evolving</x:v>
      </x:c>
      <x:c r="AD351" s="75" t="str">
        <x:v>Planned/in development</x:v>
      </x:c>
      <x:c r="AE351" s="75" t="str">
        <x:v>No</x:v>
      </x:c>
      <x:c r="AF351" s="75" t="str">
        <x:v>No</x:v>
      </x:c>
      <x:c r="AG351" s="75" t="str">
        <x:v>No</x:v>
      </x:c>
      <x:c r="AH351" s="122" t="n">
        <x:v>6</x:v>
      </x:c>
      <x:c r="AI351" s="123" t="str">
        <x:v>Canonical metric shared by: At a Glance: Federated? | Architecture &amp; Licensing: Federated? | Deployment Detail: Federated?</x:v>
      </x:c>
    </x:row>
    <x:row r="352">
      <x:c r="A352" s="119" t="str">
        <x:v>Deployment Detail</x:v>
      </x:c>
      <x:c r="B352" s="121" t="str">
        <x:v>Peer-to-Peer?</x:v>
      </x:c>
      <x:c r="C352" s="75"/>
      <x:c r="D352" s="75" t="str">
        <x:v>Yes</x:v>
      </x:c>
      <x:c r="E352" s="75"/>
      <x:c r="F352" s="75"/>
      <x:c r="G352" s="75"/>
      <x:c r="H352" s="75"/>
      <x:c r="I352" s="75"/>
      <x:c r="J352" s="75"/>
      <x:c r="K352" s="75" t="str">
        <x:v>Yes</x:v>
      </x:c>
      <x:c r="L352" s="75"/>
      <x:c r="M352" s="75"/>
      <x:c r="N352" s="75"/>
      <x:c r="O352" s="75"/>
      <x:c r="P352" s="75"/>
      <x:c r="Q352" s="75"/>
      <x:c r="R352" s="75"/>
      <x:c r="S352" s="75"/>
      <x:c r="T352" s="75"/>
      <x:c r="U352" s="75" t="str">
        <x:v>Media only for small rooms and DM calls; hosted application remains centralized</x:v>
      </x:c>
      <x:c r="V352" s="75" t="str">
        <x:v>N/A</x:v>
      </x:c>
      <x:c r="W352" s="75"/>
      <x:c r="X352" s="75"/>
      <x:c r="Y352" s="75"/>
      <x:c r="Z352" s="75"/>
      <x:c r="AA352" s="75"/>
      <x:c r="AB352" s="75"/>
      <x:c r="AC352" s="78"/>
      <x:c r="AD352" s="75"/>
      <x:c r="AE352" s="75"/>
      <x:c r="AF352" s="75"/>
      <x:c r="AG352" s="75"/>
      <x:c r="AH352" s="122" t="n">
        <x:v>7</x:v>
      </x:c>
      <x:c r="AI352" s="123" t="str">
        <x:v>Canonical metric shared by: Architecture &amp; Licensing: Peer-to-Peer? | Deployment Detail: Peer-to-Peer?</x:v>
      </x:c>
    </x:row>
    <x:row r="353">
      <x:c r="A353" s="119" t="str">
        <x:v>Deployment Detail</x:v>
      </x:c>
      <x:c r="B353" s="121" t="str">
        <x:v>Cross-Instance DMs?</x:v>
      </x:c>
      <x:c r="C353" s="75" t="str">
        <x:v>No</x:v>
      </x:c>
      <x:c r="D353" s="75" t="str">
        <x:v>Yes</x:v>
      </x:c>
      <x:c r="E353" s="75" t="str">
        <x:v>Yes</x:v>
      </x:c>
      <x:c r="F353" s="75"/>
      <x:c r="G353" s="75" t="str">
        <x:v>No</x:v>
      </x:c>
      <x:c r="H353" s="75"/>
      <x:c r="I353" s="75"/>
      <x:c r="J353" s="75"/>
      <x:c r="K353" s="75" t="str">
        <x:v>Yes</x:v>
      </x:c>
      <x:c r="L353" s="75" t="str">
        <x:v>Yes — users on one home can join guilds, DM and call users/resources on other homes</x:v>
      </x:c>
      <x:c r="M353" s="75"/>
      <x:c r="N353" s="75"/>
      <x:c r="O353" s="75" t="str">
        <x:v>Yes</x:v>
      </x:c>
      <x:c r="P353" s="75" t="str">
        <x:v>No</x:v>
      </x:c>
      <x:c r="Q353" s="75"/>
      <x:c r="R353" s="75" t="str">
        <x:v>No</x:v>
      </x:c>
      <x:c r="S353" s="75"/>
      <x:c r="T353" s="75"/>
      <x:c r="U353" s="75"/>
      <x:c r="V353" s="75" t="str">
        <x:v>N/A</x:v>
      </x:c>
      <x:c r="W353" s="75"/>
      <x:c r="X353" s="75"/>
      <x:c r="Y353" s="75" t="str">
        <x:v>No</x:v>
      </x:c>
      <x:c r="Z353" s="75"/>
      <x:c r="AA353" s="75"/>
      <x:c r="AB353" s="75" t="str">
        <x:v>No</x:v>
      </x:c>
      <x:c r="AC353" s="78"/>
      <x:c r="AD353" s="75"/>
      <x:c r="AE353" s="75"/>
      <x:c r="AF353" s="75"/>
      <x:c r="AG353" s="75" t="str">
        <x:v>No</x:v>
      </x:c>
      <x:c r="AH353" s="122" t="n">
        <x:v>10</x:v>
      </x:c>
      <x:c r="AI353" s="123" t="str">
        <x:v>Canonical source for Deployment Detail!10</x:v>
      </x:c>
    </x:row>
    <x:row r="354">
      <x:c r="A354" s="119" t="str">
        <x:v>Deployment Detail</x:v>
      </x:c>
      <x:c r="B354" s="121" t="str">
        <x:v>Account Portable Across Instances?</x:v>
      </x:c>
      <x:c r="C354" s="75" t="str">
        <x:v>No</x:v>
      </x:c>
      <x:c r="D354" s="75" t="str">
        <x:v>Identity is portable by keypair</x:v>
      </x:c>
      <x:c r="E354" s="75" t="str">
        <x:v>Yes — messenger global ID/key and account export</x:v>
      </x:c>
      <x:c r="F354" s="75" t="str">
        <x:v>No</x:v>
      </x:c>
      <x:c r="G354" s="75" t="str">
        <x:v>No</x:v>
      </x:c>
      <x:c r="H354" s="75" t="str">
        <x:v>No current portable cross-instance identity</x:v>
      </x:c>
      <x:c r="I354" s="75" t="str">
        <x:v>No</x:v>
      </x:c>
      <x:c r="J354" s="75" t="str">
        <x:v>Planned</x:v>
      </x:c>
      <x:c r="K354" s="75" t="str">
        <x:v>Yes — identity key portable</x:v>
      </x:c>
      <x:c r="L354" s="75" t="str">
        <x:v>Federated identity works across instances; moving an account's home is not documented</x:v>
      </x:c>
      <x:c r="M354" s="75" t="str">
        <x:v>No</x:v>
      </x:c>
      <x:c r="N354" s="75"/>
      <x:c r="O354" s="75" t="str">
        <x:v>Identity is namespaced to a homeserver; clients are portable, account migration is not universally seamless</x:v>
      </x:c>
      <x:c r="P354" s="75" t="str">
        <x:v>No</x:v>
      </x:c>
      <x:c r="Q354" s="75" t="str">
        <x:v>No</x:v>
      </x:c>
      <x:c r="R354" s="75" t="str">
        <x:v>Certificate/user identity can be reused manually; no global portable identity layer</x:v>
      </x:c>
      <x:c r="S354" s="75" t="str">
        <x:v>No</x:v>
      </x:c>
      <x:c r="T354" s="75" t="str">
        <x:v>No</x:v>
      </x:c>
      <x:c r="U354" s="75" t="str">
        <x:v>No</x:v>
      </x:c>
      <x:c r="V354" s="75" t="str">
        <x:v>No</x:v>
      </x:c>
      <x:c r="W354" s="75" t="str">
        <x:v>Limited; not equivalent to universal account migration</x:v>
      </x:c>
      <x:c r="X354" s="75" t="str">
        <x:v>Identity via ATProto</x:v>
      </x:c>
      <x:c r="Y354" s="75" t="str">
        <x:v>No</x:v>
      </x:c>
      <x:c r="Z354" s="75" t="str">
        <x:v>No</x:v>
      </x:c>
      <x:c r="AA354" s="75" t="str">
        <x:v>No seamless portable identity</x:v>
      </x:c>
      <x:c r="AB354" s="75" t="str">
        <x:v>No global federated identity</x:v>
      </x:c>
      <x:c r="AC354" s="78" t="str">
        <x:v>Account survives community node moves per docs</x:v>
      </x:c>
      <x:c r="AD354" s="75" t="str">
        <x:v>Planned</x:v>
      </x:c>
      <x:c r="AE354" s="75" t="str">
        <x:v>No</x:v>
      </x:c>
      <x:c r="AF354" s="75" t="str">
        <x:v>No</x:v>
      </x:c>
      <x:c r="AG354" s="75" t="str">
        <x:v>No seamless cross-server identity</x:v>
      </x:c>
      <x:c r="AH354" s="122" t="n">
        <x:v>11</x:v>
      </x:c>
      <x:c r="AI354" s="123" t="str">
        <x:v>Canonical source for Deployment Detail!11</x:v>
      </x:c>
    </x:row>
    <x:row r="355">
      <x:c r="A355" s="119" t="str">
        <x:v>Deployment Detail</x:v>
      </x:c>
      <x:c r="B355" s="121" t="str">
        <x:v>Primary Network Protocol</x:v>
      </x:c>
      <x:c r="C355" s="75" t="str">
        <x:v>No federation; centralized proprietary service (public HTTP/Gateway APIs for apps)</x:v>
      </x:c>
      <x:c r="D355" s="75" t="str">
        <x:v>Nostr + Concord + NIP-29 relay groups</x:v>
      </x:c>
      <x:c r="E355" s="75" t="str">
        <x:v>Custom server protocol/WebSockets; federation/decentralization features</x:v>
      </x:c>
      <x:c r="F355" s="75" t="str">
        <x:v>No federation</x:v>
      </x:c>
      <x:c r="G355" s="75" t="str">
        <x:v>No federation; custom platform APIs</x:v>
      </x:c>
      <x:c r="H355" s="75" t="str">
        <x:v>No federation yet; federation on roadmap; Discord-inspired REST/Gateway</x:v>
      </x:c>
      <x:c r="I355" s="75" t="str">
        <x:v>Centralized/independent servers; no federation verified</x:v>
      </x:c>
      <x:c r="J355" s="75" t="str">
        <x:v>Discord-like API; federation planned</x:v>
      </x:c>
      <x:c r="K355" s="75" t="str">
        <x:v>Custom relay protocol + CRDT sync; no central account server</x:v>
      </x:c>
      <x:c r="L355" s="75" t="str">
        <x:v>Yes — kaede-fed/1 is publicly documented; project-specific protocol, not an external standard</x:v>
      </x:c>
      <x:c r="M355" s="75" t="str">
        <x:v>No federation verified</x:v>
      </x:c>
      <x:c r="N355" s="75" t="str">
        <x:v>Federated infrastructure planned/implemented in evolving form</x:v>
      </x:c>
      <x:c r="O355" s="75" t="str">
        <x:v>Matrix Client-Server API + Server-Server/Federation API; MatrixRTC for realtime calling</x:v>
      </x:c>
      <x:c r="P355" s="75" t="str">
        <x:v>Mattermost APIs/WebSocket; no general cross-server federation</x:v>
      </x:c>
      <x:c r="Q355" s="75"/>
      <x:c r="R355" s="75" t="str">
        <x:v>Mumble protocol over TLS/UDP; no federation</x:v>
      </x:c>
      <x:c r="S355" s="75" t="str">
        <x:v>No federation</x:v>
      </x:c>
      <x:c r="T355" s="75" t="str">
        <x:v>No federation verified</x:v>
      </x:c>
      <x:c r="U355" s="75" t="str">
        <x:v>No federation; independent self-host copies</x:v>
      </x:c>
      <x:c r="V355" s="75" t="str">
        <x:v>No federation</x:v>
      </x:c>
      <x:c r="W355" s="75" t="str">
        <x:v>REST/WebSocket/DDP + Matrix-based federation capabilities</x:v>
      </x:c>
      <x:c r="X355" s="75" t="str">
        <x:v>ATProto-based data model; not a Matrix-style chat federation</x:v>
      </x:c>
      <x:c r="Y355" s="75" t="str">
        <x:v>No federation; proprietary Root APIs</x:v>
      </x:c>
      <x:c r="Z355" s="75" t="str">
        <x:v>Discord-compatible REST API + Gateway/WebSocket; no federation</x:v>
      </x:c>
      <x:c r="AA355" s="75" t="str">
        <x:v>No inter-instance federation; custom REST/WebSocket API</x:v>
      </x:c>
      <x:c r="AB355" s="75" t="str">
        <x:v>Proprietary TeamSpeak protocol; no federation</x:v>
      </x:c>
      <x:c r="AC355" s="78" t="str">
        <x:v>Independent instances/nodes; federation/migration features</x:v>
      </x:c>
      <x:c r="AD355" s="75" t="str">
        <x:v>Custom federation protocol in development</x:v>
      </x:c>
      <x:c r="AE355" s="75" t="str">
        <x:v>No federation</x:v>
      </x:c>
      <x:c r="AF355" s="75" t="str">
        <x:v>Independent servers; no federation verified</x:v>
      </x:c>
      <x:c r="AG355" s="75" t="str">
        <x:v>Zulip REST/realtime event API; no cross-server federation</x:v>
      </x:c>
      <x:c r="AH355" s="122" t="n">
        <x:v>13</x:v>
      </x:c>
      <x:c r="AI355" s="123" t="str">
        <x:v>Canonical source for Deployment Detail!13</x:v>
      </x:c>
    </x:row>
    <x:row r="356">
      <x:c r="A356" s="119" t="str">
        <x:v>Deployment Detail</x:v>
      </x:c>
      <x:c r="B356" s="121" t="str">
        <x:v>Public Protocol Specification?</x:v>
      </x:c>
      <x:c r="C356" s="75" t="str">
        <x:v>Proprietary public developer APIs, not an open protocol</x:v>
      </x:c>
      <x:c r="D356" s="75" t="str">
        <x:v>Nostr + Concord/NIP-29</x:v>
      </x:c>
      <x:c r="E356" s="75" t="str">
        <x:v>Custom protocol</x:v>
      </x:c>
      <x:c r="F356" s="75" t="str">
        <x:v>Proprietary</x:v>
      </x:c>
      <x:c r="G356" s="75" t="str">
        <x:v>No open interoperability standard</x:v>
      </x:c>
      <x:c r="H356" s="75" t="str">
        <x:v>Public API/Gateway inspired by Discord; not a federation standard</x:v>
      </x:c>
      <x:c r="I356" s="75" t="str">
        <x:v>Proprietary API/service</x:v>
      </x:c>
      <x:c r="J356" s="75" t="str">
        <x:v>Discord-compatible API</x:v>
      </x:c>
      <x:c r="K356" s="75" t="str">
        <x:v>Custom open protocol/code</x:v>
      </x:c>
      <x:c r="L356" s="75" t="str">
        <x:v>Yes — kaede-fed/1 is publicly documented; project-specific protocol, not an external standard</x:v>
      </x:c>
      <x:c r="M356" s="75" t="str">
        <x:v>Proprietary</x:v>
      </x:c>
      <x:c r="N356" s="75" t="str">
        <x:v>Discord-compatible API + federation work</x:v>
      </x:c>
      <x:c r="O356" s="75" t="str">
        <x:v>Open Matrix specification: Client-Server + Server-Server/Federation APIs</x:v>
      </x:c>
      <x:c r="P356" s="75" t="str">
        <x:v>Open APIs, not a general federation standard</x:v>
      </x:c>
      <x:c r="Q356" s="75" t="str">
        <x:v>Custom APIs</x:v>
      </x:c>
      <x:c r="R356" s="75" t="str">
        <x:v>Open Mumble protocol/source</x:v>
      </x:c>
      <x:c r="S356" s="75" t="str">
        <x:v>Public app/API code, not a federation standard</x:v>
      </x:c>
      <x:c r="T356" s="75" t="str">
        <x:v>Proprietary service APIs</x:v>
      </x:c>
      <x:c r="U356" s="75" t="str">
        <x:v>Application API/webhooks</x:v>
      </x:c>
      <x:c r="V356" s="75" t="str">
        <x:v>Proprietary</x:v>
      </x:c>
      <x:c r="W356" s="75" t="str">
        <x:v>REST/realtime APIs + federation components</x:v>
      </x:c>
      <x:c r="X356" s="75" t="str">
        <x:v>AT Protocol</x:v>
      </x:c>
      <x:c r="Y356" s="75" t="str">
        <x:v>Proprietary Root APIs/SDK</x:v>
      </x:c>
      <x:c r="Z356" s="75" t="str">
        <x:v>Discord-compatible REST/Gateway reimplementation</x:v>
      </x:c>
      <x:c r="AA356" s="75" t="str">
        <x:v>Public REST/WebSocket API, but not a federation standard</x:v>
      </x:c>
      <x:c r="AB356" s="75" t="str">
        <x:v>Proprietary protocol/API</x:v>
      </x:c>
      <x:c r="AC356" s="78" t="str">
        <x:v>Valour API/node protocol</x:v>
      </x:c>
      <x:c r="AD356" s="75" t="str">
        <x:v>Custom open-source federation protocol</x:v>
      </x:c>
      <x:c r="AE356" s="75" t="str">
        <x:v>Proprietary/application API</x:v>
      </x:c>
      <x:c r="AF356" s="75"/>
      <x:c r="AG356" s="75" t="str">
        <x:v>Open REST/realtime APIs</x:v>
      </x:c>
      <x:c r="AH356" s="122" t="n">
        <x:v>14</x:v>
      </x:c>
      <x:c r="AI356" s="123" t="str">
        <x:v>Canonical metric shared by: Architecture &amp; Licensing: Public Protocol Specification? | Deployment Detail: Public Protocol Specification?</x:v>
      </x:c>
    </x:row>
    <x:row r="357">
      <x:c r="A357" s="119" t="str">
        <x:v>Deployment Detail</x:v>
      </x:c>
      <x:c r="B357" s="121" t="str">
        <x:v>Discord API Compatible?</x:v>
      </x:c>
      <x:c r="C357" s="75" t="str">
        <x:v>No</x:v>
      </x:c>
      <x:c r="D357" s="75" t="str">
        <x:v>No</x:v>
      </x:c>
      <x:c r="E357" s="75" t="str">
        <x:v>No</x:v>
      </x:c>
      <x:c r="F357" s="75" t="str">
        <x:v>No</x:v>
      </x:c>
      <x:c r="G357" s="75" t="str">
        <x:v>No</x:v>
      </x:c>
      <x:c r="H357" s="75" t="str">
        <x:v>Partial Discord wire/API compatibility goals</x:v>
      </x:c>
      <x:c r="I357" s="75" t="str">
        <x:v>No</x:v>
      </x:c>
      <x:c r="J357" s="75" t="str">
        <x:v>Yes</x:v>
      </x:c>
      <x:c r="K357" s="75" t="str">
        <x:v>No</x:v>
      </x:c>
      <x:c r="L357" s="75" t="str">
        <x:v>No</x:v>
      </x:c>
      <x:c r="M357" s="75" t="str">
        <x:v>No</x:v>
      </x:c>
      <x:c r="N357" s="75" t="str">
        <x:v>Yes — Discord-like bot compatibility</x:v>
      </x:c>
      <x:c r="O357" s="75" t="str">
        <x:v>No</x:v>
      </x:c>
      <x:c r="P357" s="75" t="str">
        <x:v>No</x:v>
      </x:c>
      <x:c r="Q357" s="75" t="str">
        <x:v>No</x:v>
      </x:c>
      <x:c r="R357" s="75" t="str">
        <x:v>No</x:v>
      </x:c>
      <x:c r="S357" s="75" t="str">
        <x:v>No</x:v>
      </x:c>
      <x:c r="T357" s="75" t="str">
        <x:v>No</x:v>
      </x:c>
      <x:c r="U357" s="75" t="str">
        <x:v>No</x:v>
      </x:c>
      <x:c r="V357" s="75" t="str">
        <x:v>No</x:v>
      </x:c>
      <x:c r="W357" s="75" t="str">
        <x:v>No</x:v>
      </x:c>
      <x:c r="X357" s="75" t="str">
        <x:v>No</x:v>
      </x:c>
      <x:c r="Y357" s="75" t="str">
        <x:v>No</x:v>
      </x:c>
      <x:c r="Z357" s="75" t="str">
        <x:v>Yes — major design goal</x:v>
      </x:c>
      <x:c r="AA357" s="75" t="str">
        <x:v>No</x:v>
      </x:c>
      <x:c r="AB357" s="75" t="str">
        <x:v>No</x:v>
      </x:c>
      <x:c r="AC357" s="78" t="str">
        <x:v>No</x:v>
      </x:c>
      <x:c r="AD357" s="75" t="str">
        <x:v>No</x:v>
      </x:c>
      <x:c r="AE357" s="75" t="str">
        <x:v>No</x:v>
      </x:c>
      <x:c r="AF357" s="75" t="str">
        <x:v>No</x:v>
      </x:c>
      <x:c r="AG357" s="75" t="str">
        <x:v>No</x:v>
      </x:c>
      <x:c r="AH357" s="122" t="n">
        <x:v>15</x:v>
      </x:c>
      <x:c r="AI357" s="123" t="str">
        <x:v>Canonical source for Deployment Detail!15</x:v>
      </x:c>
    </x:row>
    <x:row r="358">
      <x:c r="A358" s="119" t="str">
        <x:v>Deployment Detail</x:v>
      </x:c>
      <x:c r="B358" s="121" t="str">
        <x:v>Client Source Available?</x:v>
      </x:c>
      <x:c r="C358" s="75" t="str">
        <x:v>No</x:v>
      </x:c>
      <x:c r="D358" s="75" t="str">
        <x:v>Yes</x:v>
      </x:c>
      <x:c r="E358" s="75" t="str">
        <x:v>Yes</x:v>
      </x:c>
      <x:c r="F358" s="75" t="str">
        <x:v>No</x:v>
      </x:c>
      <x:c r="G358" s="75" t="str">
        <x:v>No</x:v>
      </x:c>
      <x:c r="H358" s="75" t="str">
        <x:v>Yes</x:v>
      </x:c>
      <x:c r="I358" s="75" t="str">
        <x:v>No</x:v>
      </x:c>
      <x:c r="J358" s="75" t="str">
        <x:v>Yes</x:v>
      </x:c>
      <x:c r="K358" s="75" t="str">
        <x:v>Yes</x:v>
      </x:c>
      <x:c r="L358" s="75"/>
      <x:c r="M358" s="75" t="str">
        <x:v>No</x:v>
      </x:c>
      <x:c r="N358" s="75"/>
      <x:c r="O358" s="75"/>
      <x:c r="P358" s="75" t="str">
        <x:v>Yes</x:v>
      </x:c>
      <x:c r="Q358" s="75" t="str">
        <x:v>Yes</x:v>
      </x:c>
      <x:c r="R358" s="75" t="str">
        <x:v>Yes</x:v>
      </x:c>
      <x:c r="S358" s="75" t="str">
        <x:v>Yes</x:v>
      </x:c>
      <x:c r="T358" s="75" t="str">
        <x:v>No</x:v>
      </x:c>
      <x:c r="U358" s="75" t="str">
        <x:v>Yes</x:v>
      </x:c>
      <x:c r="V358" s="75" t="str">
        <x:v>No</x:v>
      </x:c>
      <x:c r="W358" s="75" t="str">
        <x:v>Yes</x:v>
      </x:c>
      <x:c r="X358" s="75" t="str">
        <x:v>Yes</x:v>
      </x:c>
      <x:c r="Y358" s="75" t="str">
        <x:v>No</x:v>
      </x:c>
      <x:c r="Z358" s="75" t="str">
        <x:v>Yes</x:v>
      </x:c>
      <x:c r="AA358" s="75" t="str">
        <x:v>Yes</x:v>
      </x:c>
      <x:c r="AB358" s="75" t="str">
        <x:v>No</x:v>
      </x:c>
      <x:c r="AC358" s="78" t="str">
        <x:v>Yes</x:v>
      </x:c>
      <x:c r="AD358" s="75"/>
      <x:c r="AE358" s="75" t="str">
        <x:v>Yes</x:v>
      </x:c>
      <x:c r="AF358" s="75" t="str">
        <x:v>No</x:v>
      </x:c>
      <x:c r="AG358" s="75" t="str">
        <x:v>Yes</x:v>
      </x:c>
      <x:c r="AH358" s="122" t="n">
        <x:v>17</x:v>
      </x:c>
      <x:c r="AI358" s="123" t="str">
        <x:v>Canonical source for Deployment Detail!17</x:v>
      </x:c>
    </x:row>
    <x:row r="359">
      <x:c r="A359" s="119" t="str">
        <x:v>Deployment Detail</x:v>
      </x:c>
      <x:c r="B359" s="121" t="str">
        <x:v>Client License</x:v>
      </x:c>
      <x:c r="C359" s="75" t="str">
        <x:v>Proprietary</x:v>
      </x:c>
      <x:c r="D359" s="75" t="str">
        <x:v>Open source</x:v>
      </x:c>
      <x:c r="E359" s="75" t="str">
        <x:v>FOSS AGPL-3.0</x:v>
      </x:c>
      <x:c r="F359" s="75" t="str">
        <x:v>Proprietary</x:v>
      </x:c>
      <x:c r="G359" s="75" t="str">
        <x:v>Proprietary during alpha; open-source release planned</x:v>
      </x:c>
      <x:c r="H359" s="75" t="str">
        <x:v>FOSS (AGPL-3.0)</x:v>
      </x:c>
      <x:c r="I359" s="75" t="str">
        <x:v>Proprietary</x:v>
      </x:c>
      <x:c r="J359" s="75" t="str">
        <x:v>Fermi client AGPL-3.0</x:v>
      </x:c>
      <x:c r="K359" s="75" t="str">
        <x:v>Open source</x:v>
      </x:c>
      <x:c r="L359" s="75" t="str">
        <x:v>MIT</x:v>
      </x:c>
      <x:c r="M359" s="75" t="str">
        <x:v>Proprietary</x:v>
      </x:c>
      <x:c r="N359" s="75"/>
      <x:c r="O359" s="75" t="str">
        <x:v>Varies by client; many FOSS (e.g., Element, Element X, Cinny)</x:v>
      </x:c>
      <x:c r="P359" s="75" t="str">
        <x:v>FOSS/open-source clients; exact repo license varies</x:v>
      </x:c>
      <x:c r="Q359" s="75" t="str">
        <x:v>Open-source client code</x:v>
      </x:c>
      <x:c r="R359" s="75" t="str">
        <x:v>FOSS (BSD-style / BSD-3-Clause)</x:v>
      </x:c>
      <x:c r="S359" s="75" t="str">
        <x:v>FOSS GPL-family components</x:v>
      </x:c>
      <x:c r="T359" s="75" t="str">
        <x:v>Proprietary client / source status mixed</x:v>
      </x:c>
      <x:c r="U359" s="75" t="str">
        <x:v>AGPL-3.0</x:v>
      </x:c>
      <x:c r="V359" s="75" t="str">
        <x:v>Proprietary</x:v>
      </x:c>
      <x:c r="W359" s="75" t="str">
        <x:v>FOSS core client; MIT components / enterprise extensions</x:v>
      </x:c>
      <x:c r="X359" s="75" t="str">
        <x:v>MPL-2.0 project</x:v>
      </x:c>
      <x:c r="Y359" s="75" t="str">
        <x:v>Proprietary</x:v>
      </x:c>
      <x:c r="Z359" s="75" t="str">
        <x:v>FOSS (AGPL-3.0 project components)</x:v>
      </x:c>
      <x:c r="AA359" s="75" t="str">
        <x:v>FOSS (web client AGPL-3.0; clients vary)</x:v>
      </x:c>
      <x:c r="AB359" s="75" t="str">
        <x:v>Proprietary</x:v>
      </x:c>
      <x:c r="AC359" s="78" t="str">
        <x:v>AGPL-3.0</x:v>
      </x:c>
      <x:c r="AD359" s="75" t="str">
        <x:v>Client source planned; not yet fully public</x:v>
      </x:c>
      <x:c r="AE359" s="75"/>
      <x:c r="AF359" s="75"/>
      <x:c r="AG359" s="75" t="str">
        <x:v>FOSS (Apache-2.0)</x:v>
      </x:c>
      <x:c r="AH359" s="122" t="n">
        <x:v>18</x:v>
      </x:c>
      <x:c r="AI359" s="123" t="str">
        <x:v>Canonical source for Deployment Detail!18</x:v>
      </x:c>
    </x:row>
    <x:row r="360">
      <x:c r="A360" s="119" t="str">
        <x:v>Deployment Detail</x:v>
      </x:c>
      <x:c r="B360" s="121" t="str">
        <x:v>Server Source Available?</x:v>
      </x:c>
      <x:c r="C360" s="75" t="str">
        <x:v>No</x:v>
      </x:c>
      <x:c r="D360" s="75" t="str">
        <x:v>Yes</x:v>
      </x:c>
      <x:c r="E360" s="75" t="str">
        <x:v>Yes</x:v>
      </x:c>
      <x:c r="F360" s="75" t="str">
        <x:v>No</x:v>
      </x:c>
      <x:c r="G360" s="75" t="str">
        <x:v>No</x:v>
      </x:c>
      <x:c r="H360" s="75" t="str">
        <x:v>Yes</x:v>
      </x:c>
      <x:c r="I360" s="75" t="str">
        <x:v>No</x:v>
      </x:c>
      <x:c r="J360" s="75" t="str">
        <x:v>Yes</x:v>
      </x:c>
      <x:c r="K360" s="75" t="str">
        <x:v>Yes</x:v>
      </x:c>
      <x:c r="L360" s="75"/>
      <x:c r="M360" s="75" t="str">
        <x:v>No</x:v>
      </x:c>
      <x:c r="N360" s="75"/>
      <x:c r="O360" s="75"/>
      <x:c r="P360" s="75" t="str">
        <x:v>Yes</x:v>
      </x:c>
      <x:c r="Q360" s="75" t="str">
        <x:v>Yes</x:v>
      </x:c>
      <x:c r="R360" s="75" t="str">
        <x:v>Yes</x:v>
      </x:c>
      <x:c r="S360" s="75" t="str">
        <x:v>Yes</x:v>
      </x:c>
      <x:c r="T360" s="75"/>
      <x:c r="U360" s="75" t="str">
        <x:v>Yes</x:v>
      </x:c>
      <x:c r="V360" s="75" t="str">
        <x:v>No</x:v>
      </x:c>
      <x:c r="W360" s="75" t="str">
        <x:v>Yes</x:v>
      </x:c>
      <x:c r="X360" s="75" t="str">
        <x:v>Yes</x:v>
      </x:c>
      <x:c r="Y360" s="75" t="str">
        <x:v>No</x:v>
      </x:c>
      <x:c r="Z360" s="75" t="str">
        <x:v>Yes</x:v>
      </x:c>
      <x:c r="AA360" s="75" t="str">
        <x:v>Yes</x:v>
      </x:c>
      <x:c r="AB360" s="75" t="str">
        <x:v>No</x:v>
      </x:c>
      <x:c r="AC360" s="78" t="str">
        <x:v>Yes</x:v>
      </x:c>
      <x:c r="AD360" s="75" t="str">
        <x:v>Yes</x:v>
      </x:c>
      <x:c r="AE360" s="75" t="str">
        <x:v>Yes</x:v>
      </x:c>
      <x:c r="AF360" s="75" t="str">
        <x:v>No</x:v>
      </x:c>
      <x:c r="AG360" s="75" t="str">
        <x:v>Yes</x:v>
      </x:c>
      <x:c r="AH360" s="122" t="n">
        <x:v>19</x:v>
      </x:c>
      <x:c r="AI360" s="123" t="str">
        <x:v>Canonical source for Deployment Detail!19</x:v>
      </x:c>
    </x:row>
    <x:row r="361">
      <x:c r="A361" s="119" t="str">
        <x:v>Deployment Detail</x:v>
      </x:c>
      <x:c r="B361" s="121" t="str">
        <x:v>Server License</x:v>
      </x:c>
      <x:c r="C361" s="75" t="str">
        <x:v>Proprietary</x:v>
      </x:c>
      <x:c r="D361" s="75" t="str">
        <x:v>Open source/protocol components</x:v>
      </x:c>
      <x:c r="E361" s="75" t="str">
        <x:v>FOSS AGPL-3.0</x:v>
      </x:c>
      <x:c r="F361" s="75" t="str">
        <x:v>Proprietary Rust backend</x:v>
      </x:c>
      <x:c r="G361" s="75" t="str">
        <x:v>Proprietary during alpha; open-source release planned</x:v>
      </x:c>
      <x:c r="H361" s="75" t="str">
        <x:v>FOSS (AGPL-3.0)</x:v>
      </x:c>
      <x:c r="I361" s="75" t="str">
        <x:v>Proprietary</x:v>
      </x:c>
      <x:c r="J361" s="75"/>
      <x:c r="K361" s="75" t="str">
        <x:v>Open source relay/server</x:v>
      </x:c>
      <x:c r="L361" s="75" t="str">
        <x:v>MIT</x:v>
      </x:c>
      <x:c r="M361" s="75" t="str">
        <x:v>Proprietary</x:v>
      </x:c>
      <x:c r="N361" s="75"/>
      <x:c r="O361" s="75" t="str">
        <x:v>Varies by homeserver; Synapse is AGPLv3/commercial dual model</x:v>
      </x:c>
      <x:c r="P361" s="75" t="str">
        <x:v>Open source Team Edition / AGPL-source plus commercial Enterprise editions</x:v>
      </x:c>
      <x:c r="Q361" s="75" t="str">
        <x:v>Open-source server stack/components</x:v>
      </x:c>
      <x:c r="R361" s="75" t="str">
        <x:v>FOSS (BSD-style / BSD-3-Clause)</x:v>
      </x:c>
      <x:c r="S361" s="75" t="str">
        <x:v>FOSS GPL-3.0 server/web components</x:v>
      </x:c>
      <x:c r="T361" s="75"/>
      <x:c r="U361" s="75" t="str">
        <x:v>AGPL-3.0</x:v>
      </x:c>
      <x:c r="V361" s="75" t="str">
        <x:v>Proprietary</x:v>
      </x:c>
      <x:c r="W361" s="75" t="str">
        <x:v>FOSS core (MIT) + enterprise-licensed portions</x:v>
      </x:c>
      <x:c r="X361" s="75" t="str">
        <x:v>MPL-2.0 project/server components</x:v>
      </x:c>
      <x:c r="Y361" s="75" t="str">
        <x:v>Proprietary</x:v>
      </x:c>
      <x:c r="Z361" s="75" t="str">
        <x:v>FOSS (AGPL-3.0)</x:v>
      </x:c>
      <x:c r="AA361" s="75" t="str">
        <x:v>FOSS (backend generally AGPL-3.0)</x:v>
      </x:c>
      <x:c r="AB361" s="75" t="str">
        <x:v>Proprietary</x:v>
      </x:c>
      <x:c r="AC361" s="78" t="str">
        <x:v>AGPL-3.0</x:v>
      </x:c>
      <x:c r="AD361" s="75" t="str">
        <x:v>Backend source public</x:v>
      </x:c>
      <x:c r="AE361" s="75" t="str">
        <x:v>Source-available</x:v>
      </x:c>
      <x:c r="AF361" s="75"/>
      <x:c r="AG361" s="75" t="str">
        <x:v>FOSS (Apache-2.0 server/web app)</x:v>
      </x:c>
      <x:c r="AH361" s="122" t="n">
        <x:v>20</x:v>
      </x:c>
      <x:c r="AI361" s="123" t="str">
        <x:v>Canonical source for Deployment Detail!20</x:v>
      </x:c>
    </x:row>
    <x:row r="362">
      <x:c r="A362" s="119" t="str">
        <x:v>Deployment Detail</x:v>
      </x:c>
      <x:c r="B362" s="121" t="str">
        <x:v>Reference Client Repo</x:v>
      </x:c>
      <x:c r="C362" s="75" t="str">
        <x:v>N/A — no public core client source repository</x:v>
      </x:c>
      <x:c r="D362" s="75" t="str">
        <x:v>https://github.com/soapbox-pub/armada</x:v>
      </x:c>
      <x:c r="E362" s="75" t="str">
        <x:v>https://github.com/hackthedev/dcts-shipping</x:v>
      </x:c>
      <x:c r="F362" s="75" t="str">
        <x:v>N/A</x:v>
      </x:c>
      <x:c r="G362" s="75" t="str">
        <x:v>N/A — not public yet</x:v>
      </x:c>
      <x:c r="H362" s="75" t="str">
        <x:v>https://github.com/fluxerapp/fluxer</x:v>
      </x:c>
      <x:c r="I362" s="75" t="str">
        <x:v>N/A</x:v>
      </x:c>
      <x:c r="J362" s="75" t="str">
        <x:v>https://codeberg.org/MelodyChat/Fermi</x:v>
      </x:c>
      <x:c r="K362" s="75" t="str">
        <x:v>https://github.com/VitalikPro13/HOLLOW</x:v>
      </x:c>
      <x:c r="L362" s="75" t="str">
        <x:v>https://github.com/CookieNom/KaedeChat</x:v>
      </x:c>
      <x:c r="M362" s="75" t="str">
        <x:v>N/A</x:v>
      </x:c>
      <x:c r="N362" s="75"/>
      <x:c r="O362" s="75" t="str">
        <x:v>No single client repo — clients are separate implementations</x:v>
      </x:c>
      <x:c r="P362" s="75" t="str">
        <x:v>https://github.com/mattermost/mattermost-desktop</x:v>
      </x:c>
      <x:c r="Q362" s="75" t="str">
        <x:v>https://github.com/mezonai/mezon</x:v>
      </x:c>
      <x:c r="R362" s="75" t="str">
        <x:v>https://github.com/mumble-voip/mumble</x:v>
      </x:c>
      <x:c r="S362" s="75" t="str">
        <x:v>https://github.com/Nerimity/nerimity-web</x:v>
      </x:c>
      <x:c r="T362" s="75"/>
      <x:c r="U362" s="75" t="str">
        <x:v>https://github.com/rafaelcg/pqp</x:v>
      </x:c>
      <x:c r="V362" s="75" t="str">
        <x:v>N/A</x:v>
      </x:c>
      <x:c r="W362" s="75" t="str">
        <x:v>https://github.com/RocketChat/Rocket.Chat.Electron</x:v>
      </x:c>
      <x:c r="X362" s="75" t="str">
        <x:v>https://github.com/muni-town/roomy</x:v>
      </x:c>
      <x:c r="Y362" s="75" t="str">
        <x:v>N/A</x:v>
      </x:c>
      <x:c r="Z362" s="75" t="str">
        <x:v>https://github.com/spacebarchat/client</x:v>
      </x:c>
      <x:c r="AA362" s="75" t="str">
        <x:v>https://github.com/stoatchat/for-web</x:v>
      </x:c>
      <x:c r="AB362" s="75" t="str">
        <x:v>N/A</x:v>
      </x:c>
      <x:c r="AC362" s="78" t="str">
        <x:v>https://github.com/Valour-Software/Valour</x:v>
      </x:c>
      <x:c r="AD362" s="75"/>
      <x:c r="AE362" s="75" t="str">
        <x:v>https://github.com/Weeredjs/Weered</x:v>
      </x:c>
      <x:c r="AF362" s="75"/>
      <x:c r="AG362" s="75" t="str">
        <x:v>https://github.com/zulip/zulip-desktop</x:v>
      </x:c>
      <x:c r="AH362" s="122" t="n">
        <x:v>21</x:v>
      </x:c>
      <x:c r="AI362" s="123" t="str">
        <x:v>Canonical source for Deployment Detail!21</x:v>
      </x:c>
    </x:row>
    <x:row r="363">
      <x:c r="A363" s="119" t="str">
        <x:v>Deployment Detail</x:v>
      </x:c>
      <x:c r="B363" s="121" t="str">
        <x:v>Reference Server Repo</x:v>
      </x:c>
      <x:c r="C363" s="75" t="str">
        <x:v>N/A — no public core server source repository</x:v>
      </x:c>
      <x:c r="D363" s="75" t="str">
        <x:v>https://github.com/soapbox-pub/armada</x:v>
      </x:c>
      <x:c r="E363" s="75" t="str">
        <x:v>https://github.com/hackthedev/dcts-shipping</x:v>
      </x:c>
      <x:c r="F363" s="75" t="str">
        <x:v>N/A</x:v>
      </x:c>
      <x:c r="G363" s="75" t="str">
        <x:v>N/A — not public yet</x:v>
      </x:c>
      <x:c r="H363" s="75" t="str">
        <x:v>https://github.com/fluxerapp/fluxer</x:v>
      </x:c>
      <x:c r="I363" s="75" t="str">
        <x:v>N/A</x:v>
      </x:c>
      <x:c r="J363" s="75" t="str">
        <x:v>https://codeberg.org/MelodyChat/Harmony</x:v>
      </x:c>
      <x:c r="K363" s="75" t="str">
        <x:v>https://github.com/VitalikPro13/HOLLOW</x:v>
      </x:c>
      <x:c r="L363" s="75" t="str">
        <x:v>https://github.com/CookieNom/KaedeChat</x:v>
      </x:c>
      <x:c r="M363" s="75" t="str">
        <x:v>N/A</x:v>
      </x:c>
      <x:c r="N363" s="75"/>
      <x:c r="O363" s="75" t="str">
        <x:v>No single server repo — Synapse, Dendrite/others implement Matrix</x:v>
      </x:c>
      <x:c r="P363" s="75" t="str">
        <x:v>https://github.com/mattermost/mattermost</x:v>
      </x:c>
      <x:c r="Q363" s="75" t="str">
        <x:v>https://github.com/mezonai/mezon</x:v>
      </x:c>
      <x:c r="R363" s="75" t="str">
        <x:v>https://github.com/mumble-voip/mumble</x:v>
      </x:c>
      <x:c r="S363" s="75" t="str">
        <x:v>https://github.com/Nerimity/nerimity-server</x:v>
      </x:c>
      <x:c r="T363" s="75"/>
      <x:c r="U363" s="75" t="str">
        <x:v>https://github.com/rafaelcg/pqp</x:v>
      </x:c>
      <x:c r="V363" s="75" t="str">
        <x:v>N/A</x:v>
      </x:c>
      <x:c r="W363" s="75" t="str">
        <x:v>https://github.com/RocketChat/Rocket.Chat</x:v>
      </x:c>
      <x:c r="X363" s="75" t="str">
        <x:v>https://github.com/muni-town/roomy</x:v>
      </x:c>
      <x:c r="Y363" s="75" t="str">
        <x:v>N/A</x:v>
      </x:c>
      <x:c r="Z363" s="75" t="str">
        <x:v>https://github.com/spacebarchat/server</x:v>
      </x:c>
      <x:c r="AA363" s="75" t="str">
        <x:v>https://github.com/stoatchat/stoatchat</x:v>
      </x:c>
      <x:c r="AB363" s="75" t="str">
        <x:v>N/A</x:v>
      </x:c>
      <x:c r="AC363" s="78" t="str">
        <x:v>https://github.com/Valour-Software/Valour</x:v>
      </x:c>
      <x:c r="AD363" s="75" t="str">
        <x:v>https://github.com/AlpineBits-ch/AlpineBackend</x:v>
      </x:c>
      <x:c r="AE363" s="75" t="str">
        <x:v>https://github.com/Weeredjs/Weered</x:v>
      </x:c>
      <x:c r="AF363" s="75"/>
      <x:c r="AG363" s="75" t="str">
        <x:v>https://github.com/zulip/zulip</x:v>
      </x:c>
      <x:c r="AH363" s="122" t="n">
        <x:v>22</x:v>
      </x:c>
      <x:c r="AI363" s="123" t="str">
        <x:v>Canonical source for Deployment Detail!22</x:v>
      </x:c>
    </x:row>
    <x:row r="364">
      <x:c r="A364" s="119" t="str">
        <x:v>Deployment Detail</x:v>
      </x:c>
      <x:c r="B364" s="121" t="str">
        <x:v>Docker Compose?</x:v>
      </x:c>
      <x:c r="C364" s="75" t="str">
        <x:v>N/A</x:v>
      </x:c>
      <x:c r="D364" s="75" t="str">
        <x:v>Relay/self-host options</x:v>
      </x:c>
      <x:c r="E364" s="75" t="str">
        <x:v>Yes</x:v>
      </x:c>
      <x:c r="F364" s="75" t="str">
        <x:v>No</x:v>
      </x:c>
      <x:c r="G364" s="75" t="str">
        <x:v>No</x:v>
      </x:c>
      <x:c r="H364" s="75" t="str">
        <x:v>Yes</x:v>
      </x:c>
      <x:c r="I364" s="75"/>
      <x:c r="J364" s="75"/>
      <x:c r="K364" s="75"/>
      <x:c r="L364" s="75" t="str">
        <x:v>Yes — Docker Compose</x:v>
      </x:c>
      <x:c r="M364" s="75" t="str">
        <x:v>No</x:v>
      </x:c>
      <x:c r="N364" s="75" t="str">
        <x:v>Self-hosting advertised</x:v>
      </x:c>
      <x:c r="O364" s="75" t="str">
        <x:v>Yes</x:v>
      </x:c>
      <x:c r="P364" s="75" t="str">
        <x:v>Yes</x:v>
      </x:c>
      <x:c r="Q364" s="75"/>
      <x:c r="R364" s="75" t="str">
        <x:v>Yes</x:v>
      </x:c>
      <x:c r="S364" s="75"/>
      <x:c r="T364" s="75" t="str">
        <x:v>No</x:v>
      </x:c>
      <x:c r="U364" s="75"/>
      <x:c r="V364" s="75" t="str">
        <x:v>No</x:v>
      </x:c>
      <x:c r="W364" s="75" t="str">
        <x:v>Yes</x:v>
      </x:c>
      <x:c r="X364" s="75"/>
      <x:c r="Y364" s="75" t="str">
        <x:v>No</x:v>
      </x:c>
      <x:c r="Z364" s="75" t="str">
        <x:v>Yes</x:v>
      </x:c>
      <x:c r="AA364" s="75" t="str">
        <x:v>Yes</x:v>
      </x:c>
      <x:c r="AB364" s="75" t="str">
        <x:v>Yes</x:v>
      </x:c>
      <x:c r="AC364" s="78" t="str">
        <x:v>Yes</x:v>
      </x:c>
      <x:c r="AD364" s="75"/>
      <x:c r="AE364" s="75" t="str">
        <x:v>No</x:v>
      </x:c>
      <x:c r="AF364" s="75"/>
      <x:c r="AG364" s="75" t="str">
        <x:v>Yes</x:v>
      </x:c>
      <x:c r="AH364" s="122" t="n">
        <x:v>24</x:v>
      </x:c>
      <x:c r="AI364" s="123" t="str">
        <x:v>Canonical source for Deployment Detail!24</x:v>
      </x:c>
    </x:row>
    <x:row r="365">
      <x:c r="A365" s="119" t="str">
        <x:v>Deployment Detail</x:v>
      </x:c>
      <x:c r="B365" s="121" t="str">
        <x:v>Official Docker Image?</x:v>
      </x:c>
      <x:c r="C365" s="75" t="str">
        <x:v>No</x:v>
      </x:c>
      <x:c r="D365" s="75"/>
      <x:c r="E365" s="75"/>
      <x:c r="F365" s="75"/>
      <x:c r="G365" s="75"/>
      <x:c r="H365" s="75"/>
      <x:c r="I365" s="75"/>
      <x:c r="J365" s="75"/>
      <x:c r="K365" s="75"/>
      <x:c r="L365" s="75" t="str">
        <x:v>No registry image documented; production Compose builds Kaede from the checkout</x:v>
      </x:c>
      <x:c r="M365" s="75"/>
      <x:c r="N365" s="75"/>
      <x:c r="O365" s="75"/>
      <x:c r="P365" s="75" t="str">
        <x:v>Yes</x:v>
      </x:c>
      <x:c r="Q365" s="75"/>
      <x:c r="R365" s="75" t="str">
        <x:v>Yes</x:v>
      </x:c>
      <x:c r="S365" s="75"/>
      <x:c r="T365" s="75"/>
      <x:c r="U365" s="75"/>
      <x:c r="V365" s="75" t="str">
        <x:v>N/A</x:v>
      </x:c>
      <x:c r="W365" s="75" t="str">
        <x:v>Yes</x:v>
      </x:c>
      <x:c r="X365" s="75"/>
      <x:c r="Y365" s="75"/>
      <x:c r="Z365" s="75"/>
      <x:c r="AA365" s="75"/>
      <x:c r="AB365" s="75" t="str">
        <x:v>Yes</x:v>
      </x:c>
      <x:c r="AC365" s="78"/>
      <x:c r="AD365" s="75"/>
      <x:c r="AE365" s="75"/>
      <x:c r="AF365" s="75"/>
      <x:c r="AG365" s="75"/>
      <x:c r="AH365" s="122" t="n">
        <x:v>25</x:v>
      </x:c>
      <x:c r="AI365" s="123" t="str">
        <x:v>Canonical metric shared by: Architecture &amp; Licensing: Official Docker Image? | Deployment Detail: Official Docker Image?</x:v>
      </x:c>
    </x:row>
    <x:row r="366">
      <x:c r="A366" s="119" t="str">
        <x:v>Deployment Detail</x:v>
      </x:c>
      <x:c r="B366" s="121" t="str">
        <x:v>Kubernetes Documentation?</x:v>
      </x:c>
      <x:c r="C366" s="75"/>
      <x:c r="D366" s="75"/>
      <x:c r="E366" s="75"/>
      <x:c r="F366" s="75"/>
      <x:c r="G366" s="75"/>
      <x:c r="H366" s="75"/>
      <x:c r="I366" s="75"/>
      <x:c r="J366" s="75"/>
      <x:c r="K366" s="75"/>
      <x:c r="L366" s="75" t="str">
        <x:v>No — no Kubernetes deployment guide located</x:v>
      </x:c>
      <x:c r="M366" s="75"/>
      <x:c r="N366" s="75"/>
      <x:c r="O366" s="75"/>
      <x:c r="P366" s="75" t="str">
        <x:v>Yes</x:v>
      </x:c>
      <x:c r="Q366" s="75"/>
      <x:c r="R366" s="75"/>
      <x:c r="S366" s="75"/>
      <x:c r="T366" s="75"/>
      <x:c r="U366" s="75"/>
      <x:c r="V366" s="75" t="str">
        <x:v>N/A</x:v>
      </x:c>
      <x:c r="W366" s="75" t="str">
        <x:v>Yes</x:v>
      </x:c>
      <x:c r="X366" s="75"/>
      <x:c r="Y366" s="75"/>
      <x:c r="Z366" s="75"/>
      <x:c r="AA366" s="75"/>
      <x:c r="AB366" s="75"/>
      <x:c r="AC366" s="78"/>
      <x:c r="AD366" s="75"/>
      <x:c r="AE366" s="75"/>
      <x:c r="AF366" s="75"/>
      <x:c r="AG366" s="75"/>
      <x:c r="AH366" s="122" t="n">
        <x:v>26</x:v>
      </x:c>
      <x:c r="AI366" s="123" t="str">
        <x:v>Canonical source for Deployment Detail!26</x:v>
      </x:c>
    </x:row>
    <x:row r="367">
      <x:c r="A367" s="119" t="str">
        <x:v>Deployment Detail</x:v>
      </x:c>
      <x:c r="B367" s="121" t="str">
        <x:v>External Database Required?</x:v>
      </x:c>
      <x:c r="C367" s="75"/>
      <x:c r="D367" s="75"/>
      <x:c r="E367" s="75"/>
      <x:c r="F367" s="75"/>
      <x:c r="G367" s="75"/>
      <x:c r="H367" s="75" t="str">
        <x:v>Yes</x:v>
      </x:c>
      <x:c r="I367" s="75" t="str">
        <x:v>No</x:v>
      </x:c>
      <x:c r="J367" s="75"/>
      <x:c r="K367" s="75"/>
      <x:c r="L367" s="75" t="str">
        <x:v>Yes — PostgreSQL</x:v>
      </x:c>
      <x:c r="M367" s="75"/>
      <x:c r="N367" s="75"/>
      <x:c r="O367" s="75" t="str">
        <x:v>Yes</x:v>
      </x:c>
      <x:c r="P367" s="75" t="str">
        <x:v>Yes</x:v>
      </x:c>
      <x:c r="Q367" s="75"/>
      <x:c r="R367" s="75" t="str">
        <x:v>No</x:v>
      </x:c>
      <x:c r="S367" s="75"/>
      <x:c r="T367" s="75"/>
      <x:c r="U367" s="75" t="str">
        <x:v>PostgreSQL is part of the documented self-host stack</x:v>
      </x:c>
      <x:c r="V367" s="75" t="str">
        <x:v>N/A</x:v>
      </x:c>
      <x:c r="W367" s="75" t="str">
        <x:v>Yes</x:v>
      </x:c>
      <x:c r="X367" s="75"/>
      <x:c r="Y367" s="75"/>
      <x:c r="Z367" s="75"/>
      <x:c r="AA367" s="75" t="str">
        <x:v>Yes</x:v>
      </x:c>
      <x:c r="AB367" s="75"/>
      <x:c r="AC367" s="78"/>
      <x:c r="AD367" s="75"/>
      <x:c r="AE367" s="75"/>
      <x:c r="AF367" s="75"/>
      <x:c r="AG367" s="75" t="str">
        <x:v>Yes</x:v>
      </x:c>
      <x:c r="AH367" s="122" t="n">
        <x:v>27</x:v>
      </x:c>
      <x:c r="AI367" s="123" t="str">
        <x:v>Canonical source for Deployment Detail!27</x:v>
      </x:c>
    </x:row>
    <x:row r="368">
      <x:c r="A368" s="119" t="str">
        <x:v>Deployment Detail</x:v>
      </x:c>
      <x:c r="B368" s="121" t="str">
        <x:v>External Cache Required?</x:v>
      </x:c>
      <x:c r="C368" s="75"/>
      <x:c r="D368" s="75"/>
      <x:c r="E368" s="75"/>
      <x:c r="F368" s="75"/>
      <x:c r="G368" s="75"/>
      <x:c r="H368" s="75" t="str">
        <x:v>Yes</x:v>
      </x:c>
      <x:c r="I368" s="75"/>
      <x:c r="J368" s="75"/>
      <x:c r="K368" s="75"/>
      <x:c r="L368" s="75" t="str">
        <x:v>Yes — Dragonfly for ephemeral/cache/task state</x:v>
      </x:c>
      <x:c r="M368" s="75"/>
      <x:c r="N368" s="75"/>
      <x:c r="O368" s="75"/>
      <x:c r="P368" s="75" t="str">
        <x:v>Yes</x:v>
      </x:c>
      <x:c r="Q368" s="75"/>
      <x:c r="R368" s="75"/>
      <x:c r="S368" s="75"/>
      <x:c r="T368" s="75"/>
      <x:c r="U368" s="75"/>
      <x:c r="V368" s="75" t="str">
        <x:v>N/A</x:v>
      </x:c>
      <x:c r="W368" s="75" t="str">
        <x:v>Yes</x:v>
      </x:c>
      <x:c r="X368" s="75"/>
      <x:c r="Y368" s="75"/>
      <x:c r="Z368" s="75"/>
      <x:c r="AA368" s="75" t="str">
        <x:v>Yes</x:v>
      </x:c>
      <x:c r="AB368" s="75"/>
      <x:c r="AC368" s="78"/>
      <x:c r="AD368" s="75"/>
      <x:c r="AE368" s="75"/>
      <x:c r="AF368" s="75"/>
      <x:c r="AG368" s="75"/>
      <x:c r="AH368" s="122" t="n">
        <x:v>28</x:v>
      </x:c>
      <x:c r="AI368" s="123" t="str">
        <x:v>Canonical source for Deployment Detail!28</x:v>
      </x:c>
    </x:row>
    <x:row r="369">
      <x:c r="A369" s="119" t="str">
        <x:v>Deployment Detail</x:v>
      </x:c>
      <x:c r="B369" s="121" t="str">
        <x:v>Object Storage Required?</x:v>
      </x:c>
      <x:c r="C369" s="75"/>
      <x:c r="D369" s="75"/>
      <x:c r="E369" s="75"/>
      <x:c r="F369" s="75"/>
      <x:c r="G369" s="75"/>
      <x:c r="H369" s="75" t="str">
        <x:v>Yes / recommended</x:v>
      </x:c>
      <x:c r="I369" s="75"/>
      <x:c r="J369" s="75"/>
      <x:c r="K369" s="75"/>
      <x:c r="L369" s="75" t="str">
        <x:v>Yes — S3-compatible object storage; Garage is bundled default</x:v>
      </x:c>
      <x:c r="M369" s="75"/>
      <x:c r="N369" s="75"/>
      <x:c r="O369" s="75"/>
      <x:c r="P369" s="75" t="str">
        <x:v>Yes / recommended</x:v>
      </x:c>
      <x:c r="Q369" s="75"/>
      <x:c r="R369" s="75"/>
      <x:c r="S369" s="75"/>
      <x:c r="T369" s="75"/>
      <x:c r="U369" s="75"/>
      <x:c r="V369" s="75" t="str">
        <x:v>N/A</x:v>
      </x:c>
      <x:c r="W369" s="75" t="str">
        <x:v>Yes / recommended</x:v>
      </x:c>
      <x:c r="X369" s="75"/>
      <x:c r="Y369" s="75"/>
      <x:c r="Z369" s="75"/>
      <x:c r="AA369" s="75" t="str">
        <x:v>Yes / recommended</x:v>
      </x:c>
      <x:c r="AB369" s="75"/>
      <x:c r="AC369" s="78"/>
      <x:c r="AD369" s="75"/>
      <x:c r="AE369" s="75"/>
      <x:c r="AF369" s="75"/>
      <x:c r="AG369" s="75"/>
      <x:c r="AH369" s="122" t="n">
        <x:v>29</x:v>
      </x:c>
      <x:c r="AI369" s="123" t="str">
        <x:v>Canonical source for Deployment Detail!29</x:v>
      </x:c>
    </x:row>
    <x:row r="370">
      <x:c r="A370" s="119" t="str">
        <x:v>Deployment Detail</x:v>
      </x:c>
      <x:c r="B370" s="121" t="str">
        <x:v>Self-Host Setup Difficulty (1-5)</x:v>
      </x:c>
      <x:c r="C370" s="75" t="str">
        <x:v>N/A — official self-hosting unsupported</x:v>
      </x:c>
      <x:c r="D370" s="75" t="str">
        <x:v>3/5 for using hosted relays; self-host relay more complex</x:v>
      </x:c>
      <x:c r="E370" s="75" t="str">
        <x:v>3/5</x:v>
      </x:c>
      <x:c r="F370" s="75" t="str">
        <x:v>N/A</x:v>
      </x:c>
      <x:c r="G370" s="75" t="str">
        <x:v>N/A — self-hosting not currently offered</x:v>
      </x:c>
      <x:c r="H370" s="75" t="str">
        <x:v>3/5</x:v>
      </x:c>
      <x:c r="I370" s="75" t="str">
        <x:v>2/5</x:v>
      </x:c>
      <x:c r="J370" s="75" t="str">
        <x:v>4/5</x:v>
      </x:c>
      <x:c r="K370" s="75" t="str">
        <x:v>3/5</x:v>
      </x:c>
      <x:c r="L370" s="75" t="str">
        <x:v>2/5 — interactive make setup wizard + Docker Compose; still requires DNS/TLS/reverse proxy</x:v>
      </x:c>
      <x:c r="M370" s="75" t="str">
        <x:v>N/A</x:v>
      </x:c>
      <x:c r="N370" s="75" t="str">
        <x:v>3/5</x:v>
      </x:c>
      <x:c r="O370" s="75" t="str">
        <x:v>4/5 (implementation-dependent)</x:v>
      </x:c>
      <x:c r="P370" s="75" t="str">
        <x:v>3/5</x:v>
      </x:c>
      <x:c r="Q370" s="75"/>
      <x:c r="R370" s="75" t="str">
        <x:v>2/5</x:v>
      </x:c>
      <x:c r="S370" s="75" t="str">
        <x:v>4/5 (unsupported)</x:v>
      </x:c>
      <x:c r="T370" s="75" t="str">
        <x:v>N/A</x:v>
      </x:c>
      <x:c r="U370" s="75" t="str">
        <x:v>3/5</x:v>
      </x:c>
      <x:c r="V370" s="75" t="str">
        <x:v>N/A</x:v>
      </x:c>
      <x:c r="W370" s="75" t="str">
        <x:v>3/5</x:v>
      </x:c>
      <x:c r="X370" s="75" t="str">
        <x:v>4/5</x:v>
      </x:c>
      <x:c r="Y370" s="75" t="str">
        <x:v>N/A — no self-hosting</x:v>
      </x:c>
      <x:c r="Z370" s="75" t="str">
        <x:v>4/5</x:v>
      </x:c>
      <x:c r="AA370" s="75" t="str">
        <x:v>4/5</x:v>
      </x:c>
      <x:c r="AB370" s="75" t="str">
        <x:v>2/5</x:v>
      </x:c>
      <x:c r="AC370" s="78" t="str">
        <x:v>2/5 — docker compose</x:v>
      </x:c>
      <x:c r="AD370" s="75" t="str">
        <x:v>4/5 / evolving</x:v>
      </x:c>
      <x:c r="AE370" s="75" t="str">
        <x:v>N/A</x:v>
      </x:c>
      <x:c r="AF370" s="75" t="str">
        <x:v>2/5</x:v>
      </x:c>
      <x:c r="AG370" s="75" t="str">
        <x:v>3/5</x:v>
      </x:c>
      <x:c r="AH370" s="122" t="n">
        <x:v>30</x:v>
      </x:c>
      <x:c r="AI370" s="123" t="str">
        <x:v>Canonical source for Deployment Detail!30</x:v>
      </x:c>
    </x:row>
    <x:row r="371">
      <x:c r="A371" s="119" t="str">
        <x:v>Deployment Detail</x:v>
      </x:c>
      <x:c r="B371" s="121" t="str">
        <x:v>Architecture Source / Notes</x:v>
      </x:c>
      <x:c r="C371" s="75" t="str">
        <x:v>One vendor controls service, accounts, official clients, and server backend.</x:v>
      </x:c>
      <x:c r="D371" s="75" t="str">
        <x:v>Armada separates identity/content from a single platform host: keys are the account and relays are replaceable transport.</x:v>
      </x:c>
      <x:c r="E371" s="75" t="str">
        <x:v>DCTS combines island-like community servers with a separate cross-server encrypted messenger.</x:v>
      </x:c>
      <x:c r="F371" s="75" t="str">
        <x:v>Familiar Discord-style UX on a centralized service.</x:v>
      </x:c>
      <x:c r="G371" s="75" t="str">
        <x:v>Privacy features are product-level, but it is currently a centralized service rather than a federated protocol.</x:v>
      </x:c>
      <x:c r="H371" s="75" t="str">
        <x:v>Self-hosting exists now; federation is a separate roadmap item and should not be assumed.</x:v>
      </x:c>
      <x:c r="I371" s="75" t="str">
        <x:v>Self-hosting exists, but instances are not documented as one federated network.</x:v>
      </x:c>
      <x:c r="J371" s="75" t="str">
        <x:v>Harmony is the platform/API; Fermi is a client. This mirrors the Matrix/Element distinction conceptually, though Harmony is not Matrix.</x:v>
      </x:c>
      <x:c r="K371" s="75" t="str">
        <x:v>There is no central account database: the user's keypair is the identity and message history lives locally.</x:v>
      </x:c>
      <x:c r="L371" s="75" t="str">
        <x:v>FastAPI REST/federation + separate WebSocket Gateway; PostgreSQL durable state; Dragonfly ephemeral/tasks; S3-compatible media; LiveKit media</x:v>
      </x:c>
      <x:c r="M371" s="75" t="str">
        <x:v>Privacy-minimal account design is distinct from decentralization/self-hosting.</x:v>
      </x:c>
      <x:c r="N371" s="75" t="str">
        <x:v>Unlike a purely centralized clone, Loqa explicitly targets federation/self-hosting, but the architecture is still evolving.</x:v>
      </x:c>
      <x:c r="O371" s="75" t="str">
        <x:v>Element is a Matrix client/vendor product. Matrix itself is the protocol and federated ecosystem.</x:v>
      </x:c>
      <x:c r="P371" s="75" t="str">
        <x:v>Self-hosting gives data control, but separate Mattermost deployments are not one interoperable federation.</x:v>
      </x:c>
      <x:c r="Q371" s="75" t="str">
        <x:v>Open source code does not by itself make Mezon a federated protocol like Matrix.</x:v>
      </x:c>
      <x:c r="R371" s="75" t="str">
        <x:v>A voice-first client/server system, not a Discord-style social platform.</x:v>
      </x:c>
      <x:c r="S371" s="75" t="str">
        <x:v>Open source does not imply federation; the official project discourages self-hosting as a normal deployment model.</x:v>
      </x:c>
      <x:c r="T371" s="75" t="str">
        <x:v>Regional distribution is not federation or self-hosting.</x:v>
      </x:c>
      <x:c r="U371" s="75" t="str">
        <x:v>Hosted API: Fly.io in São Paulo; SPA: Cloudflare Pages. Self-hostable AGPL-3.0. Voice can be P2P for small/DM calls and LiveKit-backed for listed/larger hosted rooms.</x:v>
      </x:c>
      <x:c r="V371" s="75" t="str">
        <x:v>Privacy policy choices (no email/phone/ID, EXIF stripping, no AI training) operate within a centralized service model.</x:v>
      </x:c>
      <x:c r="W371" s="75" t="str">
        <x:v>Federation exists, but its feature set is narrower than local rooms and differs from Matrix-as-a-platform.</x:v>
      </x:c>
      <x:c r="X371" s="75" t="str">
        <x:v>Roomy is an ATProto application, not a generic centralized Discord clone.</x:v>
      </x:c>
      <x:c r="Y371" s="75" t="str">
        <x:v>Apps/Bots are hosted inside Root; they extend Root but do not make it self-hosted/federated.</x:v>
      </x:c>
      <x:c r="Z371" s="75" t="str">
        <x:v>Spacebar reproduces Discord's client-server API model; it is not a federated network.</x:v>
      </x:c>
      <x:c r="AA371" s="75" t="str">
        <x:v>Self-hostable does not mean federated: separate Stoat instances do not automatically interoperate.</x:v>
      </x:c>
      <x:c r="AB371" s="75" t="str">
        <x:v>Server ownership can be independent, but TeamSpeak servers do not federate into one network.</x:v>
      </x:c>
      <x:c r="AC371" s="78" t="str">
        <x:v>Valour is one open-source platform/client-server stack, not a general protocol ecosystem like Matrix.</x:v>
      </x:c>
      <x:c r="AD371" s="75" t="str">
        <x:v>Current product and intended future architecture differ; federation/self-hosting should be marked in-progress, not assumed complete.</x:v>
      </x:c>
      <x:c r="AE371" s="75" t="str">
        <x:v>Weered intentionally uses game lobbies/rooms rather than cloning Discord's server/channel information architecture.</x:v>
      </x:c>
      <x:c r="AF371" s="75" t="str">
        <x:v>Like TeamSpeak, operator owns the server; unlike Matrix, servers are not documented as federated.</x:v>
      </x:c>
      <x:c r="AG371" s="75" t="str">
        <x:v>Multiple deployments are independent; Zulip is an application, not a federated protocol.</x:v>
      </x:c>
      <x:c r="AH371" s="122" t="n">
        <x:v>32</x:v>
      </x:c>
      <x:c r="AI371" s="123" t="str">
        <x:v>Canonical source for Deployment Detail!32</x:v>
      </x:c>
    </x:row>
    <x:row r="372">
      <x:c r="A372" s="119" t="str">
        <x:v>Deployment Detail</x:v>
      </x:c>
      <x:c r="B372" s="121" t="str">
        <x:v>High Availability Documented?</x:v>
      </x:c>
      <x:c r="C372" s="75" t="str">
        <x:v>N/A — SaaS</x:v>
      </x:c>
      <x:c r="D372" s="75"/>
      <x:c r="E372" s="75"/>
      <x:c r="F372" s="75"/>
      <x:c r="G372" s="75"/>
      <x:c r="H372" s="75"/>
      <x:c r="I372" s="75"/>
      <x:c r="J372" s="75"/>
      <x:c r="K372" s="75"/>
      <x:c r="L372" s="75" t="str">
        <x:v>Partial — component replication/scaling behavior is documented, but no turnkey multi-node HA deployment guide located</x:v>
      </x:c>
      <x:c r="M372" s="75"/>
      <x:c r="N372" s="75"/>
      <x:c r="O372" s="75"/>
      <x:c r="P372" s="75" t="str">
        <x:v>Yes</x:v>
      </x:c>
      <x:c r="Q372" s="75"/>
      <x:c r="R372" s="75"/>
      <x:c r="S372" s="75"/>
      <x:c r="T372" s="75"/>
      <x:c r="U372" s="75"/>
      <x:c r="V372" s="75" t="str">
        <x:v>N/A — no public self-hosting</x:v>
      </x:c>
      <x:c r="W372" s="75" t="str">
        <x:v>Yes</x:v>
      </x:c>
      <x:c r="X372" s="75"/>
      <x:c r="Y372" s="75"/>
      <x:c r="Z372" s="75"/>
      <x:c r="AA372" s="75"/>
      <x:c r="AB372" s="75"/>
      <x:c r="AC372" s="78"/>
      <x:c r="AD372" s="75"/>
      <x:c r="AE372" s="75"/>
      <x:c r="AF372" s="75"/>
      <x:c r="AG372" s="75"/>
      <x:c r="AH372" s="122" t="n">
        <x:v>34</x:v>
      </x:c>
      <x:c r="AI372" s="123" t="str">
        <x:v>Canonical source for Deployment Detail!34</x:v>
      </x:c>
    </x:row>
    <x:row r="373">
      <x:c r="A373" s="119" t="str">
        <x:v>Deployment Detail</x:v>
      </x:c>
      <x:c r="B373" s="121" t="str">
        <x:v>Horizontal Scaling Documented?</x:v>
      </x:c>
      <x:c r="C373" s="75" t="str">
        <x:v>N/A — SaaS</x:v>
      </x:c>
      <x:c r="D373" s="75"/>
      <x:c r="E373" s="75"/>
      <x:c r="F373" s="75"/>
      <x:c r="G373" s="75"/>
      <x:c r="H373" s="75"/>
      <x:c r="I373" s="75"/>
      <x:c r="J373" s="75"/>
      <x:c r="K373" s="75"/>
      <x:c r="L373" s="75" t="str">
        <x:v>Partial — component replication/scaling behavior is documented, but no turnkey multi-node HA deployment guide located</x:v>
      </x:c>
      <x:c r="M373" s="75"/>
      <x:c r="N373" s="75"/>
      <x:c r="O373" s="75"/>
      <x:c r="P373" s="75" t="str">
        <x:v>Yes</x:v>
      </x:c>
      <x:c r="Q373" s="75"/>
      <x:c r="R373" s="75"/>
      <x:c r="S373" s="75"/>
      <x:c r="T373" s="75"/>
      <x:c r="U373" s="75"/>
      <x:c r="V373" s="75" t="str">
        <x:v>N/A</x:v>
      </x:c>
      <x:c r="W373" s="75" t="str">
        <x:v>Yes</x:v>
      </x:c>
      <x:c r="X373" s="75"/>
      <x:c r="Y373" s="75"/>
      <x:c r="Z373" s="75"/>
      <x:c r="AA373" s="75"/>
      <x:c r="AB373" s="75"/>
      <x:c r="AC373" s="78"/>
      <x:c r="AD373" s="75"/>
      <x:c r="AE373" s="75"/>
      <x:c r="AF373" s="75"/>
      <x:c r="AG373" s="75"/>
      <x:c r="AH373" s="122" t="n">
        <x:v>35</x:v>
      </x:c>
      <x:c r="AI373" s="123" t="str">
        <x:v>Canonical source for Deployment Detail!35</x:v>
      </x:c>
    </x:row>
    <x:row r="374">
      <x:c r="A374" s="119" t="str">
        <x:v>Deployment Detail</x:v>
      </x:c>
      <x:c r="B374" s="121" t="str">
        <x:v>Backup / Restore Documentation?</x:v>
      </x:c>
      <x:c r="C374" s="75"/>
      <x:c r="D374" s="75"/>
      <x:c r="E374" s="75"/>
      <x:c r="F374" s="75"/>
      <x:c r="G374" s="75"/>
      <x:c r="H374" s="75"/>
      <x:c r="I374" s="75"/>
      <x:c r="J374" s="75"/>
      <x:c r="K374" s="75"/>
      <x:c r="L374" s="75" t="str">
        <x:v>Yes — operator guide covers PostgreSQL/object-storage/secrets/config backups and upgrade/rollback boundaries</x:v>
      </x:c>
      <x:c r="M374" s="75"/>
      <x:c r="N374" s="75"/>
      <x:c r="O374" s="75"/>
      <x:c r="P374" s="75" t="str">
        <x:v>Yes</x:v>
      </x:c>
      <x:c r="Q374" s="75"/>
      <x:c r="R374" s="75"/>
      <x:c r="S374" s="75"/>
      <x:c r="T374" s="75"/>
      <x:c r="U374" s="75"/>
      <x:c r="V374" s="75" t="str">
        <x:v>N/A — hosted</x:v>
      </x:c>
      <x:c r="W374" s="75" t="str">
        <x:v>Yes</x:v>
      </x:c>
      <x:c r="X374" s="75"/>
      <x:c r="Y374" s="75"/>
      <x:c r="Z374" s="75"/>
      <x:c r="AA374" s="75"/>
      <x:c r="AB374" s="75"/>
      <x:c r="AC374" s="78"/>
      <x:c r="AD374" s="75"/>
      <x:c r="AE374" s="75"/>
      <x:c r="AF374" s="75"/>
      <x:c r="AG374" s="75" t="str">
        <x:v>Yes</x:v>
      </x:c>
      <x:c r="AH374" s="122" t="n">
        <x:v>36</x:v>
      </x:c>
      <x:c r="AI374" s="123" t="str">
        <x:v>Canonical source for Deployment Detail!36</x:v>
      </x:c>
    </x:row>
    <x:row r="375">
      <x:c r="A375" s="119" t="str">
        <x:v>Deployment Detail</x:v>
      </x:c>
      <x:c r="B375" s="121" t="str">
        <x:v>Built-In Metrics / Observability?</x:v>
      </x:c>
      <x:c r="C375" s="75"/>
      <x:c r="D375" s="75"/>
      <x:c r="E375" s="75"/>
      <x:c r="F375" s="75"/>
      <x:c r="G375" s="75"/>
      <x:c r="H375" s="75"/>
      <x:c r="I375" s="75"/>
      <x:c r="J375" s="75"/>
      <x:c r="K375" s="75"/>
      <x:c r="L375" s="75" t="str">
        <x:v>Yes — internal metrics, Prometheus rules and provisioned Grafana dashboard documented</x:v>
      </x:c>
      <x:c r="M375" s="75"/>
      <x:c r="N375" s="75"/>
      <x:c r="O375" s="75"/>
      <x:c r="P375" s="75" t="str">
        <x:v>Yes</x:v>
      </x:c>
      <x:c r="Q375" s="75"/>
      <x:c r="R375" s="75"/>
      <x:c r="S375" s="75"/>
      <x:c r="T375" s="75"/>
      <x:c r="U375" s="75"/>
      <x:c r="V375" s="75" t="str">
        <x:v>N/A</x:v>
      </x:c>
      <x:c r="W375" s="75"/>
      <x:c r="X375" s="75"/>
      <x:c r="Y375" s="75"/>
      <x:c r="Z375" s="75"/>
      <x:c r="AA375" s="75"/>
      <x:c r="AB375" s="75"/>
      <x:c r="AC375" s="78"/>
      <x:c r="AD375" s="75"/>
      <x:c r="AE375" s="75"/>
      <x:c r="AF375" s="75"/>
      <x:c r="AG375" s="75"/>
      <x:c r="AH375" s="122" t="n">
        <x:v>37</x:v>
      </x:c>
      <x:c r="AI375" s="123" t="str">
        <x:v>Canonical source for Deployment Detail!37</x:v>
      </x:c>
    </x:row>
    <x:row r="376">
      <x:c r="A376" s="119" t="str">
        <x:v>Deployment Detail</x:v>
      </x:c>
      <x:c r="B376" s="121" t="str">
        <x:v>SMTP / Email Service Required?</x:v>
      </x:c>
      <x:c r="C376" s="75"/>
      <x:c r="D376" s="75"/>
      <x:c r="E376" s="75"/>
      <x:c r="F376" s="75"/>
      <x:c r="G376" s="75"/>
      <x:c r="H376" s="75"/>
      <x:c r="I376" s="75"/>
      <x:c r="J376" s="75"/>
      <x:c r="K376" s="75"/>
      <x:c r="L376" s="75" t="str">
        <x:v>Optional — email can be disabled; with email off signup uses username/password and recovery becomes operator-assisted</x:v>
      </x:c>
      <x:c r="M376" s="75"/>
      <x:c r="N376" s="75"/>
      <x:c r="O376" s="75"/>
      <x:c r="P376" s="75" t="str">
        <x:v>Common/optional by config</x:v>
      </x:c>
      <x:c r="Q376" s="75"/>
      <x:c r="R376" s="75"/>
      <x:c r="S376" s="75"/>
      <x:c r="T376" s="75"/>
      <x:c r="U376" s="75"/>
      <x:c r="V376" s="75" t="str">
        <x:v>N/A</x:v>
      </x:c>
      <x:c r="W376" s="75" t="str">
        <x:v>Common/optional by config</x:v>
      </x:c>
      <x:c r="X376" s="75"/>
      <x:c r="Y376" s="75"/>
      <x:c r="Z376" s="75"/>
      <x:c r="AA376" s="75"/>
      <x:c r="AB376" s="75"/>
      <x:c r="AC376" s="78"/>
      <x:c r="AD376" s="75"/>
      <x:c r="AE376" s="75"/>
      <x:c r="AF376" s="75"/>
      <x:c r="AG376" s="75" t="str">
        <x:v>Yes for full email flows</x:v>
      </x:c>
      <x:c r="AH376" s="122" t="n">
        <x:v>38</x:v>
      </x:c>
      <x:c r="AI376" s="123" t="str">
        <x:v>Canonical source for Deployment Detail!38</x:v>
      </x:c>
    </x:row>
    <x:row r="377">
      <x:c r="A377" s="119" t="str">
        <x:v>Client &amp; Distribution</x:v>
      </x:c>
      <x:c r="B377" s="121" t="str">
        <x:v>Web Client</x:v>
      </x:c>
      <x:c r="C377" s="75" t="str">
        <x:v>Yes</x:v>
      </x:c>
      <x:c r="D377" s="75" t="str">
        <x:v>Yes</x:v>
      </x:c>
      <x:c r="E377" s="75" t="str">
        <x:v>Yes</x:v>
      </x:c>
      <x:c r="F377" s="75" t="str">
        <x:v>Yes</x:v>
      </x:c>
      <x:c r="G377" s="75" t="str">
        <x:v>Yes</x:v>
      </x:c>
      <x:c r="H377" s="75" t="str">
        <x:v>Yes</x:v>
      </x:c>
      <x:c r="I377" s="75" t="str">
        <x:v>Yes</x:v>
      </x:c>
      <x:c r="J377" s="75" t="str">
        <x:v>Yes</x:v>
      </x:c>
      <x:c r="K377" s="75" t="str">
        <x:v>No web-first; native clients</x:v>
      </x:c>
      <x:c r="L377" s="75" t="str">
        <x:v>Yes</x:v>
      </x:c>
      <x:c r="M377" s="75" t="str">
        <x:v>Yes</x:v>
      </x:c>
      <x:c r="N377" s="75" t="str">
        <x:v>Yes</x:v>
      </x:c>
      <x:c r="O377" s="75" t="str">
        <x:v>Yes — depends on chosen client</x:v>
      </x:c>
      <x:c r="P377" s="75" t="str">
        <x:v>Yes</x:v>
      </x:c>
      <x:c r="Q377" s="75" t="str">
        <x:v>Yes</x:v>
      </x:c>
      <x:c r="R377" s="75" t="str">
        <x:v>No official web client core</x:v>
      </x:c>
      <x:c r="S377" s="75" t="str">
        <x:v>Yes</x:v>
      </x:c>
      <x:c r="T377" s="75" t="str">
        <x:v>Yes</x:v>
      </x:c>
      <x:c r="U377" s="75" t="str">
        <x:v>Yes — React/Vite</x:v>
      </x:c>
      <x:c r="V377" s="75" t="str">
        <x:v>Yes</x:v>
      </x:c>
      <x:c r="W377" s="75" t="str">
        <x:v>Yes</x:v>
      </x:c>
      <x:c r="X377" s="75" t="str">
        <x:v>Yes</x:v>
      </x:c>
      <x:c r="Y377" s="75" t="str">
        <x:v>Yes/desktop service surface</x:v>
      </x:c>
      <x:c r="Z377" s="75" t="str">
        <x:v>Spacebar client/web options</x:v>
      </x:c>
      <x:c r="AA377" s="75" t="str">
        <x:v>Yes — Solid.js PWA</x:v>
      </x:c>
      <x:c r="AB377" s="75" t="str">
        <x:v>Web support/product-generation dependent</x:v>
      </x:c>
      <x:c r="AC377" s="78" t="str">
        <x:v>Yes</x:v>
      </x:c>
      <x:c r="AD377" s="75"/>
      <x:c r="AE377" s="75" t="str">
        <x:v>Yes</x:v>
      </x:c>
      <x:c r="AF377" s="75" t="str">
        <x:v>Yes</x:v>
      </x:c>
      <x:c r="AG377" s="75" t="str">
        <x:v>Yes</x:v>
      </x:c>
      <x:c r="AH377" s="122" t="n">
        <x:v>3</x:v>
      </x:c>
      <x:c r="AI377" s="123" t="str">
        <x:v>Canonical metric shared by: Client &amp; Distribution: Web Client | Performance &amp; Client Stack: Web Client</x:v>
      </x:c>
    </x:row>
    <x:row r="378">
      <x:c r="A378" s="119" t="str">
        <x:v>Client &amp; Distribution</x:v>
      </x:c>
      <x:c r="B378" s="121" t="str">
        <x:v>Desktop Client</x:v>
      </x:c>
      <x:c r="C378" s="75" t="str">
        <x:v>Yes</x:v>
      </x:c>
      <x:c r="D378" s="75"/>
      <x:c r="E378" s="75" t="str">
        <x:v>Yes</x:v>
      </x:c>
      <x:c r="F378" s="75" t="str">
        <x:v>Yes</x:v>
      </x:c>
      <x:c r="G378" s="75" t="str">
        <x:v>PWA/web-first</x:v>
      </x:c>
      <x:c r="H378" s="75" t="str">
        <x:v>Yes</x:v>
      </x:c>
      <x:c r="I378" s="75" t="str">
        <x:v>Yes</x:v>
      </x:c>
      <x:c r="J378" s="75" t="str">
        <x:v>Yes — Tauri</x:v>
      </x:c>
      <x:c r="K378" s="75" t="str">
        <x:v>Yes</x:v>
      </x:c>
      <x:c r="L378" s="75" t="str">
        <x:v>Yes</x:v>
      </x:c>
      <x:c r="M378" s="75"/>
      <x:c r="N378" s="75"/>
      <x:c r="O378" s="75" t="str">
        <x:v>Yes — depends on chosen client</x:v>
      </x:c>
      <x:c r="P378" s="75" t="str">
        <x:v>Yes</x:v>
      </x:c>
      <x:c r="Q378" s="75" t="str">
        <x:v>Yes</x:v>
      </x:c>
      <x:c r="R378" s="75" t="str">
        <x:v>Yes</x:v>
      </x:c>
      <x:c r="S378" s="75" t="str">
        <x:v>Yes</x:v>
      </x:c>
      <x:c r="T378" s="75" t="str">
        <x:v>Yes</x:v>
      </x:c>
      <x:c r="U378" s="75" t="str">
        <x:v>Yes — Electron</x:v>
      </x:c>
      <x:c r="V378" s="75" t="str">
        <x:v>Yes - Windows, Mac &amp; Linux</x:v>
      </x:c>
      <x:c r="W378" s="75" t="str">
        <x:v>Yes</x:v>
      </x:c>
      <x:c r="X378" s="75"/>
      <x:c r="Y378" s="75" t="str">
        <x:v>Yes</x:v>
      </x:c>
      <x:c r="Z378" s="75" t="str">
        <x:v>Project client exists</x:v>
      </x:c>
      <x:c r="AA378" s="75" t="str">
        <x:v>Yes — Electron wrapper</x:v>
      </x:c>
      <x:c r="AB378" s="75" t="str">
        <x:v>Yes</x:v>
      </x:c>
      <x:c r="AC378" s="78" t="str">
        <x:v>Yes — Windows</x:v>
      </x:c>
      <x:c r="AD378" s="75" t="str">
        <x:v>Yes</x:v>
      </x:c>
      <x:c r="AE378" s="75" t="str">
        <x:v>Yes</x:v>
      </x:c>
      <x:c r="AF378" s="75"/>
      <x:c r="AG378" s="75" t="str">
        <x:v>Yes</x:v>
      </x:c>
      <x:c r="AH378" s="122" t="n">
        <x:v>4</x:v>
      </x:c>
      <x:c r="AI378" s="123" t="str">
        <x:v>Canonical source for Client &amp; Distribution!4</x:v>
      </x:c>
    </x:row>
    <x:row r="379">
      <x:c r="A379" s="119" t="str">
        <x:v>Client &amp; Distribution</x:v>
      </x:c>
      <x:c r="B379" s="121" t="str">
        <x:v>Desktop Framework</x:v>
      </x:c>
      <x:c r="C379" s="75" t="str">
        <x:v>Electron</x:v>
      </x:c>
      <x:c r="D379" s="75"/>
      <x:c r="E379" s="75"/>
      <x:c r="F379" s="75"/>
      <x:c r="G379" s="75" t="str">
        <x:v>Next.js/TypeScript web stack</x:v>
      </x:c>
      <x:c r="H379" s="75" t="str">
        <x:v>Electron</x:v>
      </x:c>
      <x:c r="I379" s="75" t="str">
        <x:v>Wails v3 native desktop</x:v>
      </x:c>
      <x:c r="J379" s="75" t="str">
        <x:v>Tauri</x:v>
      </x:c>
      <x:c r="K379" s="75" t="str">
        <x:v>Flutter + Rust</x:v>
      </x:c>
      <x:c r="L379" s="75" t="str">
        <x:v>Tauri + SvelteKit; Rust owns native audio/video/capture/device work</x:v>
      </x:c>
      <x:c r="M379" s="75"/>
      <x:c r="N379" s="75"/>
      <x:c r="O379" s="75" t="str">
        <x:v>Varies: Electron/native/GTK/etc.</x:v>
      </x:c>
      <x:c r="P379" s="75" t="str">
        <x:v>Electron</x:v>
      </x:c>
      <x:c r="Q379" s="75" t="str">
        <x:v>Rust native desktop</x:v>
      </x:c>
      <x:c r="R379" s="75" t="str">
        <x:v>Native Qt</x:v>
      </x:c>
      <x:c r="S379" s="75" t="str">
        <x:v>Electron</x:v>
      </x:c>
      <x:c r="T379" s="75"/>
      <x:c r="U379" s="75" t="str">
        <x:v>Electron</x:v>
      </x:c>
      <x:c r="V379" s="75" t="str">
        <x:v>Rust</x:v>
      </x:c>
      <x:c r="W379" s="75" t="str">
        <x:v>Electron</x:v>
      </x:c>
      <x:c r="X379" s="75" t="str">
        <x:v>Web app</x:v>
      </x:c>
      <x:c r="Y379" s="75"/>
      <x:c r="Z379" s="75"/>
      <x:c r="AA379" s="75" t="str">
        <x:v>Electron + web stack</x:v>
      </x:c>
      <x:c r="AB379" s="75" t="str">
        <x:v>Proprietary/native</x:v>
      </x:c>
      <x:c r="AC379" s="78" t="str">
        <x:v>Blazor/WebAssembly + launcher</x:v>
      </x:c>
      <x:c r="AD379" s="75"/>
      <x:c r="AE379" s="75" t="str">
        <x:v>Tauri</x:v>
      </x:c>
      <x:c r="AF379" s="75" t="str">
        <x:v>Browser-first</x:v>
      </x:c>
      <x:c r="AG379" s="75" t="str">
        <x:v>Electron</x:v>
      </x:c>
      <x:c r="AH379" s="122" t="n">
        <x:v>5</x:v>
      </x:c>
      <x:c r="AI379" s="123" t="str">
        <x:v>Canonical source for Client &amp; Distribution!5</x:v>
      </x:c>
    </x:row>
    <x:row r="380">
      <x:c r="A380" s="119" t="str">
        <x:v>Client &amp; Distribution</x:v>
      </x:c>
      <x:c r="B380" s="121" t="str">
        <x:v>Windows Support</x:v>
      </x:c>
      <x:c r="C380" s="75" t="str">
        <x:v>Yes — x64 and ARM64</x:v>
      </x:c>
      <x:c r="D380" s="75" t="str">
        <x:v>Web</x:v>
      </x:c>
      <x:c r="E380" s="75" t="str">
        <x:v>Yes</x:v>
      </x:c>
      <x:c r="F380" s="75" t="str">
        <x:v>Yes</x:v>
      </x:c>
      <x:c r="G380" s="75" t="str">
        <x:v>Yes via web/PWA</x:v>
      </x:c>
      <x:c r="H380" s="75" t="str">
        <x:v>Yes</x:v>
      </x:c>
      <x:c r="I380" s="75" t="str">
        <x:v>Yes</x:v>
      </x:c>
      <x:c r="J380" s="75" t="str">
        <x:v>Web TS/HTML/CSS</x:v>
      </x:c>
      <x:c r="K380" s="75" t="str">
        <x:v>Flutter/Rust native</x:v>
      </x:c>
      <x:c r="L380" s="75" t="str">
        <x:v>Yes</x:v>
      </x:c>
      <x:c r="M380" s="75"/>
      <x:c r="N380" s="75" t="str">
        <x:v>Web</x:v>
      </x:c>
      <x:c r="O380" s="75" t="str">
        <x:v>Yes — many clients</x:v>
      </x:c>
      <x:c r="P380" s="75" t="str">
        <x:v>Yes</x:v>
      </x:c>
      <x:c r="Q380" s="75" t="str">
        <x:v>Yes</x:v>
      </x:c>
      <x:c r="R380" s="75" t="str">
        <x:v>Yes</x:v>
      </x:c>
      <x:c r="S380" s="75" t="str">
        <x:v>Yes</x:v>
      </x:c>
      <x:c r="T380" s="75" t="str">
        <x:v>Yes</x:v>
      </x:c>
      <x:c r="U380" s="75" t="str">
        <x:v>Yes</x:v>
      </x:c>
      <x:c r="V380" s="75" t="str">
        <x:v>Yes</x:v>
      </x:c>
      <x:c r="W380" s="75" t="str">
        <x:v>Yes</x:v>
      </x:c>
      <x:c r="X380" s="75" t="str">
        <x:v>Web/TypeScript</x:v>
      </x:c>
      <x:c r="Y380" s="75" t="str">
        <x:v>Yes</x:v>
      </x:c>
      <x:c r="Z380" s="75" t="str">
        <x:v>Client-dependent</x:v>
      </x:c>
      <x:c r="AA380" s="75" t="str">
        <x:v>Yes</x:v>
      </x:c>
      <x:c r="AB380" s="75" t="str">
        <x:v>Yes</x:v>
      </x:c>
      <x:c r="AC380" s="78" t="str">
        <x:v>Blazor/WebAssembly; desktop launcher</x:v>
      </x:c>
      <x:c r="AD380" s="75" t="str">
        <x:v>Yes</x:v>
      </x:c>
      <x:c r="AE380" s="75" t="str">
        <x:v>Tauri</x:v>
      </x:c>
      <x:c r="AF380" s="75" t="str">
        <x:v>Yes browser</x:v>
      </x:c>
      <x:c r="AG380" s="75" t="str">
        <x:v>Yes</x:v>
      </x:c>
      <x:c r="AH380" s="122" t="n">
        <x:v>6</x:v>
      </x:c>
      <x:c r="AI380" s="123" t="str">
        <x:v>Canonical metric shared by: Client &amp; Distribution: Windows Support | Performance &amp; Client Stack: Windows Support</x:v>
      </x:c>
    </x:row>
    <x:row r="381">
      <x:c r="A381" s="119" t="str">
        <x:v>Client &amp; Distribution</x:v>
      </x:c>
      <x:c r="B381" s="121" t="str">
        <x:v>macOS Support</x:v>
      </x:c>
      <x:c r="C381" s="75" t="str">
        <x:v>Yes</x:v>
      </x:c>
      <x:c r="D381" s="75" t="str">
        <x:v>Web</x:v>
      </x:c>
      <x:c r="E381" s="75" t="str">
        <x:v>Yes</x:v>
      </x:c>
      <x:c r="F381" s="75" t="str">
        <x:v>Yes</x:v>
      </x:c>
      <x:c r="G381" s="75" t="str">
        <x:v>Yes via web/PWA</x:v>
      </x:c>
      <x:c r="H381" s="75" t="str">
        <x:v>Yes</x:v>
      </x:c>
      <x:c r="I381" s="75" t="str">
        <x:v>Yes</x:v>
      </x:c>
      <x:c r="J381" s="75" t="str">
        <x:v>Web</x:v>
      </x:c>
      <x:c r="K381" s="75" t="str">
        <x:v>Yes</x:v>
      </x:c>
      <x:c r="L381" s="75" t="str">
        <x:v>Yes</x:v>
      </x:c>
      <x:c r="M381" s="75"/>
      <x:c r="N381" s="75" t="str">
        <x:v>Web</x:v>
      </x:c>
      <x:c r="O381" s="75" t="str">
        <x:v>Yes — many clients</x:v>
      </x:c>
      <x:c r="P381" s="75" t="str">
        <x:v>Yes</x:v>
      </x:c>
      <x:c r="Q381" s="75" t="str">
        <x:v>Yes</x:v>
      </x:c>
      <x:c r="R381" s="75" t="str">
        <x:v>Yes</x:v>
      </x:c>
      <x:c r="S381" s="75" t="str">
        <x:v>Yes</x:v>
      </x:c>
      <x:c r="T381" s="75" t="str">
        <x:v>Yes</x:v>
      </x:c>
      <x:c r="U381" s="75" t="str">
        <x:v>Yes</x:v>
      </x:c>
      <x:c r="V381" s="75" t="str">
        <x:v>Yes</x:v>
      </x:c>
      <x:c r="W381" s="75" t="str">
        <x:v>Yes</x:v>
      </x:c>
      <x:c r="X381" s="75" t="str">
        <x:v>Web</x:v>
      </x:c>
      <x:c r="Y381" s="75" t="str">
        <x:v>Yes</x:v>
      </x:c>
      <x:c r="Z381" s="75" t="str">
        <x:v>Client-dependent</x:v>
      </x:c>
      <x:c r="AA381" s="75" t="str">
        <x:v>Yes</x:v>
      </x:c>
      <x:c r="AB381" s="75" t="str">
        <x:v>Yes</x:v>
      </x:c>
      <x:c r="AC381" s="78" t="str">
        <x:v>Web</x:v>
      </x:c>
      <x:c r="AD381" s="75" t="str">
        <x:v>Yes</x:v>
      </x:c>
      <x:c r="AE381" s="75" t="str">
        <x:v>Yes</x:v>
      </x:c>
      <x:c r="AF381" s="75" t="str">
        <x:v>Yes browser</x:v>
      </x:c>
      <x:c r="AG381" s="75" t="str">
        <x:v>Yes</x:v>
      </x:c>
      <x:c r="AH381" s="122" t="n">
        <x:v>7</x:v>
      </x:c>
      <x:c r="AI381" s="123" t="str">
        <x:v>Canonical metric shared by: Client &amp; Distribution: macOS Support | Performance &amp; Client Stack: macOS Support</x:v>
      </x:c>
    </x:row>
    <x:row r="382">
      <x:c r="A382" s="119" t="str">
        <x:v>Client &amp; Distribution</x:v>
      </x:c>
      <x:c r="B382" s="121" t="str">
        <x:v>Linux Support</x:v>
      </x:c>
      <x:c r="C382" s="75" t="str">
        <x:v>Yes</x:v>
      </x:c>
      <x:c r="D382" s="75" t="str">
        <x:v>Web</x:v>
      </x:c>
      <x:c r="E382" s="75" t="str">
        <x:v>Yes</x:v>
      </x:c>
      <x:c r="F382" s="75" t="str">
        <x:v>Yes</x:v>
      </x:c>
      <x:c r="G382" s="75" t="str">
        <x:v>Yes via web/PWA</x:v>
      </x:c>
      <x:c r="H382" s="75" t="str">
        <x:v>Yes — deb/rpm/AppImage/tar.gz</x:v>
      </x:c>
      <x:c r="I382" s="75" t="str">
        <x:v>Yes</x:v>
      </x:c>
      <x:c r="J382" s="75" t="str">
        <x:v>Web</x:v>
      </x:c>
      <x:c r="K382" s="75" t="str">
        <x:v>Yes</x:v>
      </x:c>
      <x:c r="L382" s="75" t="str">
        <x:v>Yes</x:v>
      </x:c>
      <x:c r="M382" s="75"/>
      <x:c r="N382" s="75" t="str">
        <x:v>Web</x:v>
      </x:c>
      <x:c r="O382" s="75" t="str">
        <x:v>Yes — many clients</x:v>
      </x:c>
      <x:c r="P382" s="75" t="str">
        <x:v>Yes</x:v>
      </x:c>
      <x:c r="Q382" s="75" t="str">
        <x:v>Yes</x:v>
      </x:c>
      <x:c r="R382" s="75" t="str">
        <x:v>Yes</x:v>
      </x:c>
      <x:c r="S382" s="75" t="str">
        <x:v>Yes</x:v>
      </x:c>
      <x:c r="T382" s="75" t="str">
        <x:v>Yes</x:v>
      </x:c>
      <x:c r="U382" s="75" t="str">
        <x:v>Yes</x:v>
      </x:c>
      <x:c r="V382" s="75" t="str">
        <x:v>Yes</x:v>
      </x:c>
      <x:c r="W382" s="75" t="str">
        <x:v>Yes</x:v>
      </x:c>
      <x:c r="X382" s="75" t="str">
        <x:v>Web</x:v>
      </x:c>
      <x:c r="Y382" s="75"/>
      <x:c r="Z382" s="75" t="str">
        <x:v>Client-dependent</x:v>
      </x:c>
      <x:c r="AA382" s="75" t="str">
        <x:v>Yes</x:v>
      </x:c>
      <x:c r="AB382" s="75" t="str">
        <x:v>Yes</x:v>
      </x:c>
      <x:c r="AC382" s="78" t="str">
        <x:v>Web</x:v>
      </x:c>
      <x:c r="AD382" s="75" t="str">
        <x:v>Linux experimental</x:v>
      </x:c>
      <x:c r="AE382" s="75" t="str">
        <x:v>Yes</x:v>
      </x:c>
      <x:c r="AF382" s="75" t="str">
        <x:v>Yes browser</x:v>
      </x:c>
      <x:c r="AG382" s="75" t="str">
        <x:v>Yes</x:v>
      </x:c>
      <x:c r="AH382" s="122" t="n">
        <x:v>8</x:v>
      </x:c>
      <x:c r="AI382" s="123" t="str">
        <x:v>Canonical source for Client &amp; Distribution!8</x:v>
      </x:c>
    </x:row>
    <x:row r="383">
      <x:c r="A383" s="119" t="str">
        <x:v>Client &amp; Distribution</x:v>
      </x:c>
      <x:c r="B383" s="121" t="str">
        <x:v>Android Support</x:v>
      </x:c>
      <x:c r="C383" s="75" t="str">
        <x:v>Yes — Play Store</x:v>
      </x:c>
      <x:c r="D383" s="75" t="str">
        <x:v>Yes</x:v>
      </x:c>
      <x:c r="E383" s="75" t="str">
        <x:v>Android</x:v>
      </x:c>
      <x:c r="F383" s="75" t="str">
        <x:v>Android APK</x:v>
      </x:c>
      <x:c r="G383" s="75"/>
      <x:c r="H383" s="75" t="str">
        <x:v>Native Flutter beta + PWA</x:v>
      </x:c>
      <x:c r="I383" s="75" t="str">
        <x:v>Yes</x:v>
      </x:c>
      <x:c r="J383" s="75" t="str">
        <x:v>In development</x:v>
      </x:c>
      <x:c r="K383" s="75" t="str">
        <x:v>Mobile port usable</x:v>
      </x:c>
      <x:c r="L383" s="75" t="str">
        <x:v>Yes</x:v>
      </x:c>
      <x:c r="M383" s="75"/>
      <x:c r="N383" s="75" t="str">
        <x:v>Planned</x:v>
      </x:c>
      <x:c r="O383" s="75" t="str">
        <x:v>Yes — many clients</x:v>
      </x:c>
      <x:c r="P383" s="75" t="str">
        <x:v>Yes</x:v>
      </x:c>
      <x:c r="Q383" s="75" t="str">
        <x:v>Native</x:v>
      </x:c>
      <x:c r="R383" s="75" t="str">
        <x:v>Third-party clients</x:v>
      </x:c>
      <x:c r="S383" s="75" t="str">
        <x:v>Android APK</x:v>
      </x:c>
      <x:c r="T383" s="75" t="str">
        <x:v>Google Play</x:v>
      </x:c>
      <x:c r="U383" s="75" t="str">
        <x:v>Native Android APK beta — https://pqp.gg/android</x:v>
      </x:c>
      <x:c r="V383" s="75" t="str">
        <x:v>Yes - Available on playstore</x:v>
      </x:c>
      <x:c r="W383" s="75" t="str">
        <x:v>Yes</x:v>
      </x:c>
      <x:c r="X383" s="75" t="str">
        <x:v>Web</x:v>
      </x:c>
      <x:c r="Y383" s="75" t="str">
        <x:v>Yes — Google Play</x:v>
      </x:c>
      <x:c r="Z383" s="75" t="str">
        <x:v>Client-dependent</x:v>
      </x:c>
      <x:c r="AA383" s="75" t="str">
        <x:v>Native Android</x:v>
      </x:c>
      <x:c r="AB383" s="75" t="str">
        <x:v>Yes</x:v>
      </x:c>
      <x:c r="AC383" s="78" t="str">
        <x:v>Android APK</x:v>
      </x:c>
      <x:c r="AD383" s="75"/>
      <x:c r="AE383" s="75" t="str">
        <x:v>In development</x:v>
      </x:c>
      <x:c r="AF383" s="75" t="str">
        <x:v>Browser</x:v>
      </x:c>
      <x:c r="AG383" s="75" t="str">
        <x:v>Yes</x:v>
      </x:c>
      <x:c r="AH383" s="122" t="n">
        <x:v>9</x:v>
      </x:c>
      <x:c r="AI383" s="123" t="str">
        <x:v>Canonical source for Client &amp; Distribution!9</x:v>
      </x:c>
    </x:row>
    <x:row r="384">
      <x:c r="A384" s="119" t="str">
        <x:v>Client &amp; Distribution</x:v>
      </x:c>
      <x:c r="B384" s="121" t="str">
        <x:v>iOS Support</x:v>
      </x:c>
      <x:c r="C384" s="75" t="str">
        <x:v>Yes — App Store</x:v>
      </x:c>
      <x:c r="D384" s="75" t="str">
        <x:v>Web works; native iOS not yet</x:v>
      </x:c>
      <x:c r="E384" s="75"/>
      <x:c r="F384" s="75" t="str">
        <x:v>App Store</x:v>
      </x:c>
      <x:c r="G384" s="75"/>
      <x:c r="H384" s="75" t="str">
        <x:v>TestFlight beta + PWA</x:v>
      </x:c>
      <x:c r="I384" s="75" t="str">
        <x:v>Yes</x:v>
      </x:c>
      <x:c r="J384" s="75" t="str">
        <x:v>In development</x:v>
      </x:c>
      <x:c r="K384" s="75" t="str">
        <x:v>TestFlight planned</x:v>
      </x:c>
      <x:c r="L384" s="75" t="str">
        <x:v>Yes</x:v>
      </x:c>
      <x:c r="M384" s="75"/>
      <x:c r="N384" s="75" t="str">
        <x:v>Planned</x:v>
      </x:c>
      <x:c r="O384" s="75" t="str">
        <x:v>Yes — many clients</x:v>
      </x:c>
      <x:c r="P384" s="75" t="str">
        <x:v>Yes</x:v>
      </x:c>
      <x:c r="Q384" s="75" t="str">
        <x:v>Native</x:v>
      </x:c>
      <x:c r="R384" s="75" t="str">
        <x:v>Third-party clients</x:v>
      </x:c>
      <x:c r="S384" s="75" t="str">
        <x:v>No official iOS app</x:v>
      </x:c>
      <x:c r="T384" s="75" t="str">
        <x:v>App Store</x:v>
      </x:c>
      <x:c r="U384" s="75" t="str">
        <x:v>Native iOS TestFlight — https://pqp.gg/beta</x:v>
      </x:c>
      <x:c r="V384" s="75" t="str">
        <x:v>Testflight Beta - Awaitaing Appstore approval</x:v>
      </x:c>
      <x:c r="W384" s="75" t="str">
        <x:v>Yes</x:v>
      </x:c>
      <x:c r="X384" s="75" t="str">
        <x:v>Web</x:v>
      </x:c>
      <x:c r="Y384" s="75" t="str">
        <x:v>Yes — App Store</x:v>
      </x:c>
      <x:c r="Z384" s="75" t="str">
        <x:v>Client-dependent</x:v>
      </x:c>
      <x:c r="AA384" s="75" t="str">
        <x:v>Yes</x:v>
      </x:c>
      <x:c r="AB384" s="75" t="str">
        <x:v>Yes</x:v>
      </x:c>
      <x:c r="AC384" s="78"/>
      <x:c r="AD384" s="75"/>
      <x:c r="AE384" s="75" t="str">
        <x:v>In development</x:v>
      </x:c>
      <x:c r="AF384" s="75" t="str">
        <x:v>Browser</x:v>
      </x:c>
      <x:c r="AG384" s="75" t="str">
        <x:v>Yes</x:v>
      </x:c>
      <x:c r="AH384" s="122" t="n">
        <x:v>10</x:v>
      </x:c>
      <x:c r="AI384" s="123" t="str">
        <x:v>Canonical source for Client &amp; Distribution!10</x:v>
      </x:c>
    </x:row>
    <x:row r="385">
      <x:c r="A385" s="119" t="str">
        <x:v>Client &amp; Distribution</x:v>
      </x:c>
      <x:c r="B385" s="121" t="str">
        <x:v>PWA</x:v>
      </x:c>
      <x:c r="C385" s="75" t="str">
        <x:v>Web app; installability varies</x:v>
      </x:c>
      <x:c r="D385" s="75"/>
      <x:c r="E385" s="75" t="str">
        <x:v>Yes</x:v>
      </x:c>
      <x:c r="F385" s="75" t="str">
        <x:v>Yes</x:v>
      </x:c>
      <x:c r="G385" s="75" t="str">
        <x:v>Yes</x:v>
      </x:c>
      <x:c r="H385" s="75" t="str">
        <x:v>Yes</x:v>
      </x:c>
      <x:c r="I385" s="75" t="str">
        <x:v>Yes/web</x:v>
      </x:c>
      <x:c r="J385" s="75" t="str">
        <x:v>Yes</x:v>
      </x:c>
      <x:c r="K385" s="75" t="str">
        <x:v>No</x:v>
      </x:c>
      <x:c r="L385" s="75" t="str">
        <x:v>Yes</x:v>
      </x:c>
      <x:c r="M385" s="75" t="str">
        <x:v>Yes</x:v>
      </x:c>
      <x:c r="N385" s="75" t="str">
        <x:v>Yes</x:v>
      </x:c>
      <x:c r="O385" s="75" t="str">
        <x:v>Many clients have PWAs</x:v>
      </x:c>
      <x:c r="P385" s="75" t="str">
        <x:v>Yes/web</x:v>
      </x:c>
      <x:c r="Q385" s="75" t="str">
        <x:v>Yes</x:v>
      </x:c>
      <x:c r="R385" s="75" t="str">
        <x:v>No</x:v>
      </x:c>
      <x:c r="S385" s="75" t="str">
        <x:v>Web app</x:v>
      </x:c>
      <x:c r="T385" s="75" t="str">
        <x:v>Yes</x:v>
      </x:c>
      <x:c r="U385" s="75" t="str">
        <x:v>Yes</x:v>
      </x:c>
      <x:c r="V385" s="75" t="str">
        <x:v>Yes</x:v>
      </x:c>
      <x:c r="W385" s="75" t="str">
        <x:v>Yes</x:v>
      </x:c>
      <x:c r="X385" s="75" t="str">
        <x:v>Yes</x:v>
      </x:c>
      <x:c r="Y385" s="75"/>
      <x:c r="Z385" s="75"/>
      <x:c r="AA385" s="75" t="str">
        <x:v>Yes</x:v>
      </x:c>
      <x:c r="AB385" s="75"/>
      <x:c r="AC385" s="78" t="str">
        <x:v>Yes</x:v>
      </x:c>
      <x:c r="AD385" s="75"/>
      <x:c r="AE385" s="75" t="str">
        <x:v>Yes</x:v>
      </x:c>
      <x:c r="AF385" s="75" t="str">
        <x:v>Yes</x:v>
      </x:c>
      <x:c r="AG385" s="75" t="str">
        <x:v>Yes</x:v>
      </x:c>
      <x:c r="AH385" s="122" t="n">
        <x:v>11</x:v>
      </x:c>
      <x:c r="AI385" s="123" t="str">
        <x:v>Canonical metric shared by: Client &amp; Distribution: PWA | Performance &amp; Client Stack: PWA</x:v>
      </x:c>
    </x:row>
    <x:row r="386">
      <x:c r="A386" s="119" t="str">
        <x:v>Client &amp; Distribution</x:v>
      </x:c>
      <x:c r="B386" s="121" t="str">
        <x:v>Mobile Feature Parity</x:v>
      </x:c>
      <x:c r="C386" s="75" t="str">
        <x:v>High</x:v>
      </x:c>
      <x:c r="D386" s="75" t="str">
        <x:v>Early</x:v>
      </x:c>
      <x:c r="E386" s="75" t="str">
        <x:v>High</x:v>
      </x:c>
      <x:c r="F386" s="75" t="str">
        <x:v>High</x:v>
      </x:c>
      <x:c r="G386" s="75" t="str">
        <x:v>Alpha</x:v>
      </x:c>
      <x:c r="H386" s="75" t="str">
        <x:v>Partial — web has more features</x:v>
      </x:c>
      <x:c r="I386" s="75" t="str">
        <x:v>High</x:v>
      </x:c>
      <x:c r="J386" s="75" t="str">
        <x:v>Not yet — mobile apps are in development</x:v>
      </x:c>
      <x:c r="K386" s="75" t="str">
        <x:v>Growing</x:v>
      </x:c>
      <x:c r="L386" s="75" t="str">
        <x:v>High — Flutter mobile has full chat/guild administration plus native voice/video/screen share</x:v>
      </x:c>
      <x:c r="M386" s="75"/>
      <x:c r="N386" s="75" t="str">
        <x:v>Partial</x:v>
      </x:c>
      <x:c r="O386" s="75" t="str">
        <x:v>Varies widely</x:v>
      </x:c>
      <x:c r="P386" s="75" t="str">
        <x:v>High</x:v>
      </x:c>
      <x:c r="Q386" s="75" t="str">
        <x:v>High</x:v>
      </x:c>
      <x:c r="R386" s="75" t="str">
        <x:v>No</x:v>
      </x:c>
      <x:c r="S386" s="75" t="str">
        <x:v>Partial</x:v>
      </x:c>
      <x:c r="T386" s="75" t="str">
        <x:v>High</x:v>
      </x:c>
      <x:c r="U386" s="75" t="str">
        <x:v>Partial beta — iOS TestFlight and Android APK; Android currently lacks push, camera, and large-room screen-share sending</x:v>
      </x:c>
      <x:c r="V386" s="75" t="str">
        <x:v>High</x:v>
      </x:c>
      <x:c r="W386" s="75" t="str">
        <x:v>High</x:v>
      </x:c>
      <x:c r="X386" s="75" t="str">
        <x:v>Early</x:v>
      </x:c>
      <x:c r="Y386" s="75" t="str">
        <x:v>Partial</x:v>
      </x:c>
      <x:c r="Z386" s="75"/>
      <x:c r="AA386" s="75" t="str">
        <x:v>Partial</x:v>
      </x:c>
      <x:c r="AB386" s="75" t="str">
        <x:v>Partial</x:v>
      </x:c>
      <x:c r="AC386" s="78" t="str">
        <x:v>Partial</x:v>
      </x:c>
      <x:c r="AD386" s="75" t="str">
        <x:v>Early</x:v>
      </x:c>
      <x:c r="AE386" s="75" t="str">
        <x:v>Partial</x:v>
      </x:c>
      <x:c r="AF386" s="75" t="str">
        <x:v>Partial</x:v>
      </x:c>
      <x:c r="AG386" s="75" t="str">
        <x:v>High</x:v>
      </x:c>
      <x:c r="AH386" s="122" t="n">
        <x:v>12</x:v>
      </x:c>
      <x:c r="AI386" s="123" t="str">
        <x:v>Canonical source for Client &amp; Distribution!12</x:v>
      </x:c>
    </x:row>
    <x:row r="387">
      <x:c r="A387" s="119" t="str">
        <x:v>Client &amp; Distribution</x:v>
      </x:c>
      <x:c r="B387" s="121" t="str">
        <x:v>Official Client Can Select Custom Instance</x:v>
      </x:c>
      <x:c r="C387" s="75" t="str">
        <x:v>N/A — central service</x:v>
      </x:c>
      <x:c r="D387" s="75" t="str">
        <x:v>Relays are configurable</x:v>
      </x:c>
      <x:c r="E387" s="75" t="str">
        <x:v>Yes</x:v>
      </x:c>
      <x:c r="F387" s="75" t="str">
        <x:v>No</x:v>
      </x:c>
      <x:c r="G387" s="75" t="str">
        <x:v>No — hosted only</x:v>
      </x:c>
      <x:c r="H387" s="75" t="str">
        <x:v>Self-host support exists; client custom-instance UX still maturing</x:v>
      </x:c>
      <x:c r="I387" s="75" t="str">
        <x:v>Self-host connection supported</x:v>
      </x:c>
      <x:c r="J387" s="75" t="str">
        <x:v>Yes — Fermi instance picker</x:v>
      </x:c>
      <x:c r="K387" s="75" t="str">
        <x:v>Yes — relay selection/self-host</x:v>
      </x:c>
      <x:c r="L387" s="75" t="str">
        <x:v>Yes — official clients can sign in to any compatible Kaede home</x:v>
      </x:c>
      <x:c r="M387" s="75" t="str">
        <x:v>No</x:v>
      </x:c>
      <x:c r="N387" s="75" t="str">
        <x:v>Self-host/federated connection planned</x:v>
      </x:c>
      <x:c r="O387" s="75" t="str">
        <x:v>Yes — core client discovery behavior</x:v>
      </x:c>
      <x:c r="P387" s="75" t="str">
        <x:v>Yes — server URL</x:v>
      </x:c>
      <x:c r="Q387" s="75"/>
      <x:c r="R387" s="75" t="str">
        <x:v>Yes — choose any server</x:v>
      </x:c>
      <x:c r="S387" s="75" t="str">
        <x:v>Technically possible but unsupported</x:v>
      </x:c>
      <x:c r="T387" s="75" t="str">
        <x:v>No</x:v>
      </x:c>
      <x:c r="U387" s="75" t="str">
        <x:v>Self-host supported</x:v>
      </x:c>
      <x:c r="V387" s="75" t="str">
        <x:v>N/A</x:v>
      </x:c>
      <x:c r="W387" s="75" t="str">
        <x:v>Yes — workspace/server URL</x:v>
      </x:c>
      <x:c r="X387" s="75" t="str">
        <x:v>ATProto identity/provider based</x:v>
      </x:c>
      <x:c r="Y387" s="75" t="str">
        <x:v>No</x:v>
      </x:c>
      <x:c r="Z387" s="75" t="str">
        <x:v>Yes by design</x:v>
      </x:c>
      <x:c r="AA387" s="75" t="str">
        <x:v>Web client works well with self-host; most official clients currently do not</x:v>
      </x:c>
      <x:c r="AB387" s="75" t="str">
        <x:v>Yes — choose any server</x:v>
      </x:c>
      <x:c r="AC387" s="78" t="str">
        <x:v>Yes — self-host instances</x:v>
      </x:c>
      <x:c r="AD387" s="75" t="str">
        <x:v>Future custom instance/federation support</x:v>
      </x:c>
      <x:c r="AE387" s="75" t="str">
        <x:v>No</x:v>
      </x:c>
      <x:c r="AF387" s="75" t="str">
        <x:v>Yes — chosen server</x:v>
      </x:c>
      <x:c r="AG387" s="75" t="str">
        <x:v>Yes — custom Zulip server URL</x:v>
      </x:c>
      <x:c r="AH387" s="122" t="n">
        <x:v>13</x:v>
      </x:c>
      <x:c r="AI387" s="123" t="str">
        <x:v>Canonical source for Client &amp; Distribution!13</x:v>
      </x:c>
    </x:row>
    <x:row r="388">
      <x:c r="A388" s="119" t="str">
        <x:v>Client &amp; Distribution</x:v>
      </x:c>
      <x:c r="B388" s="121" t="str">
        <x:v>Third-Party Clients</x:v>
      </x:c>
      <x:c r="C388" s="75" t="str">
        <x:v>No supported third-party clients</x:v>
      </x:c>
      <x:c r="D388" s="75" t="str">
        <x:v>Other clients can use Nostr but not necessarily Armada features</x:v>
      </x:c>
      <x:c r="E388" s="75" t="str">
        <x:v>Open source/custom possible</x:v>
      </x:c>
      <x:c r="F388" s="75" t="str">
        <x:v>No</x:v>
      </x:c>
      <x:c r="G388" s="75" t="str">
        <x:v>No established ecosystem</x:v>
      </x:c>
      <x:c r="H388" s="75"/>
      <x:c r="I388" s="75" t="str">
        <x:v>No established third-party clients</x:v>
      </x:c>
      <x:c r="J388" s="75" t="str">
        <x:v>Yes — API permits independent clients</x:v>
      </x:c>
      <x:c r="K388" s="75" t="str">
        <x:v>No mature third-party client ecosystem</x:v>
      </x:c>
      <x:c r="L388" s="75" t="str">
        <x:v>No established third-party client ecosystem yet</x:v>
      </x:c>
      <x:c r="M388" s="75" t="str">
        <x:v>No</x:v>
      </x:c>
      <x:c r="N388" s="75"/>
      <x:c r="O388" s="75" t="str">
        <x:v>Yes — many interchangeable clients</x:v>
      </x:c>
      <x:c r="P388" s="75" t="str">
        <x:v>Custom clients possible</x:v>
      </x:c>
      <x:c r="Q388" s="75" t="str">
        <x:v>Forks/custom possible</x:v>
      </x:c>
      <x:c r="R388" s="75" t="str">
        <x:v>Yes — third-party Mumble clients</x:v>
      </x:c>
      <x:c r="S388" s="75" t="str">
        <x:v>Community/forks possible</x:v>
      </x:c>
      <x:c r="T388" s="75" t="str">
        <x:v>No established third-party clients</x:v>
      </x:c>
      <x:c r="U388" s="75" t="str">
        <x:v>No third-party client ecosystem claimed; official clients are open source</x:v>
      </x:c>
      <x:c r="V388" s="75" t="str">
        <x:v>No</x:v>
      </x:c>
      <x:c r="W388" s="75" t="str">
        <x:v>Custom clients possible</x:v>
      </x:c>
      <x:c r="X388" s="75"/>
      <x:c r="Y388" s="75" t="str">
        <x:v>No</x:v>
      </x:c>
      <x:c r="Z388" s="75" t="str">
        <x:v>Potential Discord-compatible clients/community clients</x:v>
      </x:c>
      <x:c r="AA388" s="75" t="str">
        <x:v>Community clients exist</x:v>
      </x:c>
      <x:c r="AB388" s="75" t="str">
        <x:v>Limited</x:v>
      </x:c>
      <x:c r="AC388" s="78" t="str">
        <x:v>Open API/custom possible</x:v>
      </x:c>
      <x:c r="AD388" s="75"/>
      <x:c r="AE388" s="75" t="str">
        <x:v>No</x:v>
      </x:c>
      <x:c r="AF388" s="75" t="str">
        <x:v>No</x:v>
      </x:c>
      <x:c r="AG388" s="75" t="str">
        <x:v>Third-party/API clients possible</x:v>
      </x:c>
      <x:c r="AH388" s="122" t="n">
        <x:v>14</x:v>
      </x:c>
      <x:c r="AI388" s="123" t="str">
        <x:v>Canonical metric shared by: Client &amp; Distribution: Third-Party Clients | Performance &amp; Client Stack: Third-Party Clients</x:v>
      </x:c>
    </x:row>
    <x:row r="389">
      <x:c r="A389" s="119" t="str">
        <x:v>Client &amp; Distribution</x:v>
      </x:c>
      <x:c r="B389" s="121" t="str">
        <x:v>Multi-Account UX</x:v>
      </x:c>
      <x:c r="C389" s="75" t="str">
        <x:v>Desktop Account Switcher up to 5 accounts</x:v>
      </x:c>
      <x:c r="D389" s="75" t="str">
        <x:v>Key-based identity</x:v>
      </x:c>
      <x:c r="E389" s="75"/>
      <x:c r="F389" s="75"/>
      <x:c r="G389" s="75"/>
      <x:c r="H389" s="75"/>
      <x:c r="I389" s="75"/>
      <x:c r="J389" s="75"/>
      <x:c r="K389" s="75" t="str">
        <x:v>Multi-device identity sync</x:v>
      </x:c>
      <x:c r="L389" s="75" t="str">
        <x:v>Not documented</x:v>
      </x:c>
      <x:c r="M389" s="75"/>
      <x:c r="N389" s="75"/>
      <x:c r="O389" s="75" t="str">
        <x:v>Client-dependent; some support multiple accounts</x:v>
      </x:c>
      <x:c r="P389" s="75" t="str">
        <x:v>Multiple servers</x:v>
      </x:c>
      <x:c r="Q389" s="75"/>
      <x:c r="R389" s="75" t="str">
        <x:v>Server identity/bookmarks rather than cloud account switching</x:v>
      </x:c>
      <x:c r="S389" s="75"/>
      <x:c r="T389" s="75"/>
      <x:c r="U389" s="75"/>
      <x:c r="V389" s="75" t="str">
        <x:v>No</x:v>
      </x:c>
      <x:c r="W389" s="75" t="str">
        <x:v>Multiple workspaces</x:v>
      </x:c>
      <x:c r="X389" s="75" t="str">
        <x:v>ATProto identity</x:v>
      </x:c>
      <x:c r="Y389" s="75"/>
      <x:c r="Z389" s="75"/>
      <x:c r="AA389" s="75"/>
      <x:c r="AB389" s="75"/>
      <x:c r="AC389" s="78"/>
      <x:c r="AD389" s="75"/>
      <x:c r="AE389" s="75"/>
      <x:c r="AF389" s="75"/>
      <x:c r="AG389" s="75" t="str">
        <x:v>Multiple accounts/orgs</x:v>
      </x:c>
      <x:c r="AH389" s="122" t="n">
        <x:v>15</x:v>
      </x:c>
      <x:c r="AI389" s="123" t="str">
        <x:v>Canonical metric shared by: Client &amp; Distribution: Multi-Account UX | Performance &amp; Client Stack: Multi-Account UX</x:v>
      </x:c>
    </x:row>
    <x:row r="390">
      <x:c r="A390" s="119" t="str">
        <x:v>Client &amp; Distribution</x:v>
      </x:c>
      <x:c r="B390" s="121" t="str">
        <x:v>Multiple Server / Instance UX</x:v>
      </x:c>
      <x:c r="C390" s="75" t="str">
        <x:v>Excellent multi-server UX</x:v>
      </x:c>
      <x:c r="D390" s="75" t="str">
        <x:v>Relay/community UX</x:v>
      </x:c>
      <x:c r="E390" s="75" t="str">
        <x:v>Yes — home servers/instances</x:v>
      </x:c>
      <x:c r="F390" s="75" t="str">
        <x:v>Multi-server</x:v>
      </x:c>
      <x:c r="G390" s="75" t="str">
        <x:v>Single hosted service</x:v>
      </x:c>
      <x:c r="H390" s="75" t="str">
        <x:v>Self-host instances supported; federation not yet</x:v>
      </x:c>
      <x:c r="I390" s="75" t="str">
        <x:v>Multi-server</x:v>
      </x:c>
      <x:c r="J390" s="75" t="str">
        <x:v>Yes — instance dropdown</x:v>
      </x:c>
      <x:c r="K390" s="75" t="str">
        <x:v>Relay selection</x:v>
      </x:c>
      <x:c r="L390" s="75" t="str">
        <x:v>One home account reaches federated guilds/DMs across many instances</x:v>
      </x:c>
      <x:c r="M390" s="75" t="str">
        <x:v>Single service</x:v>
      </x:c>
      <x:c r="N390" s="75" t="str">
        <x:v>Federated instance UX planned</x:v>
      </x:c>
      <x:c r="O390" s="75" t="str">
        <x:v>Can use multiple homeservers/servers from one client depending client</x:v>
      </x:c>
      <x:c r="P390" s="75" t="str">
        <x:v>Good multi-server UX</x:v>
      </x:c>
      <x:c r="Q390" s="75" t="str">
        <x:v>Multi-clan</x:v>
      </x:c>
      <x:c r="R390" s="75" t="str">
        <x:v>Good server bookmark UX</x:v>
      </x:c>
      <x:c r="S390" s="75" t="str">
        <x:v>Single primary service</x:v>
      </x:c>
      <x:c r="T390" s="75" t="str">
        <x:v>Multi-community</x:v>
      </x:c>
      <x:c r="U390" s="75"/>
      <x:c r="V390" s="75" t="str">
        <x:v>Multi-community</x:v>
      </x:c>
      <x:c r="W390" s="75" t="str">
        <x:v>Good multi-workspace UX</x:v>
      </x:c>
      <x:c r="X390" s="75" t="str">
        <x:v>ATProto spaces</x:v>
      </x:c>
      <x:c r="Y390" s="75" t="str">
        <x:v>Excellent multi-community UX</x:v>
      </x:c>
      <x:c r="Z390" s="75" t="str">
        <x:v>Multiple independent instances; no federation</x:v>
      </x:c>
      <x:c r="AA390" s="75" t="str">
        <x:v>Instance UX limited compared with Matrix</x:v>
      </x:c>
      <x:c r="AB390" s="75" t="str">
        <x:v>Good multi-server/bookmark model</x:v>
      </x:c>
      <x:c r="AC390" s="78" t="str">
        <x:v>Node/server UX</x:v>
      </x:c>
      <x:c r="AD390" s="75" t="str">
        <x:v>Federation intended</x:v>
      </x:c>
      <x:c r="AE390" s="75" t="str">
        <x:v>Single service</x:v>
      </x:c>
      <x:c r="AF390" s="75" t="str">
        <x:v>Server UX</x:v>
      </x:c>
      <x:c r="AG390" s="75" t="str">
        <x:v>Good multi-organization UX</x:v>
      </x:c>
      <x:c r="AH390" s="122" t="n">
        <x:v>16</x:v>
      </x:c>
      <x:c r="AI390" s="123" t="str">
        <x:v>Canonical source for Client &amp; Distribution!16</x:v>
      </x:c>
    </x:row>
    <x:row r="391">
      <x:c r="A391" s="119" t="str">
        <x:v>Client &amp; Distribution</x:v>
      </x:c>
      <x:c r="B391" s="121" t="str">
        <x:v>Client Plugins / Modding</x:v>
      </x:c>
      <x:c r="C391" s="75" t="str">
        <x:v>No official client plugins/mods</x:v>
      </x:c>
      <x:c r="D391" s="75"/>
      <x:c r="E391" s="75" t="str">
        <x:v>Plugin system</x:v>
      </x:c>
      <x:c r="F391" s="75" t="str">
        <x:v>No</x:v>
      </x:c>
      <x:c r="G391" s="75" t="str">
        <x:v>No</x:v>
      </x:c>
      <x:c r="H391" s="75" t="str">
        <x:v>No official plugin/modding architecture verified</x:v>
      </x:c>
      <x:c r="I391" s="75" t="str">
        <x:v>No official modding architecture verified</x:v>
      </x:c>
      <x:c r="J391" s="75" t="str">
        <x:v>No official plugin model</x:v>
      </x:c>
      <x:c r="K391" s="75" t="str">
        <x:v>No plugin architecture verified</x:v>
      </x:c>
      <x:c r="L391" s="75" t="str">
        <x:v>Custom CSS/theme support is developer-reported; no general client-plugin architecture documented</x:v>
      </x:c>
      <x:c r="M391" s="75" t="str">
        <x:v>No</x:v>
      </x:c>
      <x:c r="N391" s="75" t="str">
        <x:v>No official modding architecture verified</x:v>
      </x:c>
      <x:c r="O391" s="75" t="str">
        <x:v>Instead of one modded client, users can choose a different Matrix client</x:v>
      </x:c>
      <x:c r="P391" s="75" t="str">
        <x:v>Server/webapp plugin architecture; not arbitrary desktop client mods</x:v>
      </x:c>
      <x:c r="Q391" s="75"/>
      <x:c r="R391" s="75" t="str">
        <x:v>Plugin system supported</x:v>
      </x:c>
      <x:c r="S391" s="75" t="str">
        <x:v>Themes/community modifications</x:v>
      </x:c>
      <x:c r="T391" s="75"/>
      <x:c r="U391" s="75" t="str">
        <x:v>No official plugin architecture</x:v>
      </x:c>
      <x:c r="V391" s="75" t="str">
        <x:v>No</x:v>
      </x:c>
      <x:c r="W391" s="75" t="str">
        <x:v>Apps framework more than client modding</x:v>
      </x:c>
      <x:c r="X391" s="75" t="str">
        <x:v>No</x:v>
      </x:c>
      <x:c r="Y391" s="75" t="str">
        <x:v>No client mods</x:v>
      </x:c>
      <x:c r="Z391" s="75" t="str">
        <x:v>Project aims for rich theming/plugin support</x:v>
      </x:c>
      <x:c r="AA391" s="75"/>
      <x:c r="AB391" s="75" t="str">
        <x:v>Add-ons/plugins ecosystem</x:v>
      </x:c>
      <x:c r="AC391" s="78" t="str">
        <x:v>Themes marketplace, not arbitrary client plugins</x:v>
      </x:c>
      <x:c r="AD391" s="75" t="str">
        <x:v>No official plugins verified</x:v>
      </x:c>
      <x:c r="AE391" s="75" t="str">
        <x:v>No</x:v>
      </x:c>
      <x:c r="AF391" s="75" t="str">
        <x:v>No</x:v>
      </x:c>
      <x:c r="AG391" s="75" t="str">
        <x:v>No general client plugin architecture</x:v>
      </x:c>
      <x:c r="AH391" s="122" t="n">
        <x:v>17</x:v>
      </x:c>
      <x:c r="AI391" s="123" t="str">
        <x:v>Canonical source for Client &amp; Distribution!17</x:v>
      </x:c>
    </x:row>
    <x:row r="392">
      <x:c r="A392" s="119" t="str">
        <x:v>Client &amp; Distribution</x:v>
      </x:c>
      <x:c r="B392" s="121" t="str">
        <x:v>Push Notification Model</x:v>
      </x:c>
      <x:c r="C392" s="75" t="str">
        <x:v>FCM/APNs internally; exact implementation details not all public</x:v>
      </x:c>
      <x:c r="D392" s="75" t="str">
        <x:v>Nostr relay model</x:v>
      </x:c>
      <x:c r="E392" s="75"/>
      <x:c r="F392" s="75" t="str">
        <x:v>Native push on mobile</x:v>
      </x:c>
      <x:c r="G392" s="75"/>
      <x:c r="H392" s="75"/>
      <x:c r="I392" s="75"/>
      <x:c r="J392" s="75"/>
      <x:c r="K392" s="75"/>
      <x:c r="L392" s="75" t="str">
        <x:v>Optional content-free signed wake relay to FCM/APNs for official store apps; self-host/custom relay and no-push builds are supported</x:v>
      </x:c>
      <x:c r="M392" s="75"/>
      <x:c r="N392" s="75"/>
      <x:c r="O392" s="75" t="str">
        <x:v>Homeserver/client-specific (FCM/APNs/UnifiedPush/etc.)</x:v>
      </x:c>
      <x:c r="P392" s="75" t="str">
        <x:v>FCM/APNs; enterprise push options</x:v>
      </x:c>
      <x:c r="Q392" s="75"/>
      <x:c r="R392" s="75" t="str">
        <x:v>Mobile-client dependent</x:v>
      </x:c>
      <x:c r="S392" s="75"/>
      <x:c r="T392" s="75"/>
      <x:c r="U392" s="75"/>
      <x:c r="V392" s="75"/>
      <x:c r="W392" s="75" t="str">
        <x:v>FCM/APNs; self-host configuration</x:v>
      </x:c>
      <x:c r="X392" s="75" t="str">
        <x:v>ATProto/client dependent</x:v>
      </x:c>
      <x:c r="Y392" s="75"/>
      <x:c r="Z392" s="75" t="str">
        <x:v>Client-dependent</x:v>
      </x:c>
      <x:c r="AA392" s="75"/>
      <x:c r="AB392" s="75"/>
      <x:c r="AC392" s="78"/>
      <x:c r="AD392" s="75"/>
      <x:c r="AE392" s="75"/>
      <x:c r="AF392" s="75"/>
      <x:c r="AG392" s="75" t="str">
        <x:v>FCM/APNs; exact self-host push options vary</x:v>
      </x:c>
      <x:c r="AH392" s="122" t="n">
        <x:v>18</x:v>
      </x:c>
      <x:c r="AI392" s="123" t="str">
        <x:v>Canonical source for Client &amp; Distribution!18</x:v>
      </x:c>
    </x:row>
    <x:row r="393">
      <x:c r="A393" s="119" t="str">
        <x:v>Client &amp; Distribution</x:v>
      </x:c>
      <x:c r="B393" s="121" t="str">
        <x:v>Client Notes</x:v>
      </x:c>
      <x:c r="C393" s="75" t="str">
        <x:v>One official client family controls UX.</x:v>
      </x:c>
      <x:c r="D393" s="75" t="str">
        <x:v>Client is distinct from relays/protocol.</x:v>
      </x:c>
      <x:c r="E393" s="75" t="str">
        <x:v>Android and desktop share advanced features.</x:v>
      </x:c>
      <x:c r="F393" s="75" t="str">
        <x:v>Wide device support for a small team.</x:v>
      </x:c>
      <x:c r="G393" s="75" t="str">
        <x:v>Product-first hosted alpha.</x:v>
      </x:c>
      <x:c r="H393" s="75" t="str">
        <x:v>Native mobile is still beta as of Sep 2026.</x:v>
      </x:c>
      <x:c r="I393" s="75" t="str">
        <x:v>Native desktop/mobile/web.</x:v>
      </x:c>
      <x:c r="J393" s="75" t="str">
        <x:v>Web + Tauri desktop are current; mobile apps are in development.</x:v>
      </x:c>
      <x:c r="K393" s="75" t="str">
        <x:v>Signed Windows/macOS builds plus mobile work.</x:v>
      </x:c>
      <x:c r="L393" s="75" t="str">
        <x:v>The official relay sees home/subscription/timing/network/platform metadata but not message text, sender names, conversation IDs, attachments or encryption keys</x:v>
      </x:c>
      <x:c r="M393" s="75" t="str">
        <x:v>Very new platform.</x:v>
      </x:c>
      <x:c r="N393" s="75" t="str">
        <x:v>Open beta.</x:v>
      </x:c>
      <x:c r="O393" s="75" t="str">
        <x:v>Element is only one option; do not treat Element's limitations as Matrix-wide limits.</x:v>
      </x:c>
      <x:c r="P393" s="75" t="str">
        <x:v>Enterprise deployment focus.</x:v>
      </x:c>
      <x:c r="Q393" s="75" t="str">
        <x:v>High-performance native stack is a headline differentiator.</x:v>
      </x:c>
      <x:c r="R393" s="75" t="str">
        <x:v>Native desktop focus.</x:v>
      </x:c>
      <x:c r="S393" s="75" t="str">
        <x:v>Open-source web/desktop ecosystem.</x:v>
      </x:c>
      <x:c r="T393" s="75" t="str">
        <x:v>Wide platform coverage.</x:v>
      </x:c>
      <x:c r="U393" s="75" t="str">
        <x:v>Web React/Vite; Electron desktop; native iOS TestFlight; native Android APK. Mobile is not yet in app stores.</x:v>
      </x:c>
      <x:c r="V393" s="75" t="str">
        <x:v>Portal/window workspace is a distinctive UX feature.</x:v>
      </x:c>
      <x:c r="W393" s="75" t="str">
        <x:v>Mature cross-platform collaboration client.</x:v>
      </x:c>
      <x:c r="X393" s="75" t="str">
        <x:v>Bluesky login is a core onboarding path.</x:v>
      </x:c>
      <x:c r="Y393" s="75" t="str">
        <x:v>Mobile can join calls but cannot share screen.</x:v>
      </x:c>
      <x:c r="Z393" s="75" t="str">
        <x:v>Compatibility is a design goal; current completeness varies.</x:v>
      </x:c>
      <x:c r="AA393" s="75" t="str">
        <x:v>Self-host docs explicitly warn most official clients do not currently support self-hosted instances.</x:v>
      </x:c>
      <x:c r="AB393" s="75" t="str">
        <x:v>Proprietary client family.</x:v>
      </x:c>
      <x:c r="AC393" s="78" t="str">
        <x:v>Distinctive multi-window chat UI.</x:v>
      </x:c>
      <x:c r="AD393" s="75" t="str">
        <x:v>Experimental alpha/beta.</x:v>
      </x:c>
      <x:c r="AE393" s="75" t="str">
        <x:v>Desktop + web now; mobile in progress.</x:v>
      </x:c>
      <x:c r="AF393" s="75" t="str">
        <x:v>Browser-first self-host model.</x:v>
      </x:c>
      <x:c r="AG393" s="75" t="str">
        <x:v>Team-text-first client family.</x:v>
      </x:c>
      <x:c r="AH393" s="122" t="n">
        <x:v>19</x:v>
      </x:c>
      <x:c r="AI393" s="123" t="str">
        <x:v>Canonical source for Client &amp; Distribution!19</x:v>
      </x:c>
    </x:row>
    <x:row r="394">
      <x:c r="A394" s="119" t="str">
        <x:v>Client &amp; Distribution</x:v>
      </x:c>
      <x:c r="B394" s="121" t="str">
        <x:v>Portable / Standalone Desktop Build</x:v>
      </x:c>
      <x:c r="C394" s="75" t="str">
        <x:v>No official portable build</x:v>
      </x:c>
      <x:c r="D394" s="75"/>
      <x:c r="E394" s="75"/>
      <x:c r="F394" s="75"/>
      <x:c r="G394" s="75"/>
      <x:c r="H394" s="75"/>
      <x:c r="I394" s="75"/>
      <x:c r="J394" s="75"/>
      <x:c r="K394" s="75"/>
      <x:c r="L394" s="75" t="str">
        <x:v>Not documented</x:v>
      </x:c>
      <x:c r="M394" s="75"/>
      <x:c r="N394" s="75"/>
      <x:c r="O394" s="75"/>
      <x:c r="P394" s="75"/>
      <x:c r="Q394" s="75"/>
      <x:c r="R394" s="75"/>
      <x:c r="S394" s="75"/>
      <x:c r="T394" s="75"/>
      <x:c r="U394" s="75"/>
      <x:c r="V394" s="75" t="str">
        <x:v>N/A</x:v>
      </x:c>
      <x:c r="W394" s="75"/>
      <x:c r="X394" s="75"/>
      <x:c r="Y394" s="75"/>
      <x:c r="Z394" s="75"/>
      <x:c r="AA394" s="75"/>
      <x:c r="AB394" s="75"/>
      <x:c r="AC394" s="78"/>
      <x:c r="AD394" s="75"/>
      <x:c r="AE394" s="75"/>
      <x:c r="AF394" s="75"/>
      <x:c r="AG394" s="75"/>
      <x:c r="AH394" s="122" t="n">
        <x:v>21</x:v>
      </x:c>
      <x:c r="AI394" s="123" t="str">
        <x:v>Canonical source for Client &amp; Distribution!21</x:v>
      </x:c>
    </x:row>
    <x:row r="395">
      <x:c r="A395" s="119" t="str">
        <x:v>Client &amp; Distribution</x:v>
      </x:c>
      <x:c r="B395" s="121" t="str">
        <x:v>ARM Desktop Support</x:v>
      </x:c>
      <x:c r="C395" s="75" t="str">
        <x:v>Client/platform dependent</x:v>
      </x:c>
      <x:c r="D395" s="75"/>
      <x:c r="E395" s="75"/>
      <x:c r="F395" s="75"/>
      <x:c r="G395" s="75"/>
      <x:c r="H395" s="75"/>
      <x:c r="I395" s="75"/>
      <x:c r="J395" s="75"/>
      <x:c r="K395" s="75"/>
      <x:c r="L395" s="75" t="str">
        <x:v>Not documented</x:v>
      </x:c>
      <x:c r="M395" s="75"/>
      <x:c r="N395" s="75"/>
      <x:c r="O395" s="75" t="str">
        <x:v>Client-dependent</x:v>
      </x:c>
      <x:c r="P395" s="75"/>
      <x:c r="Q395" s="75"/>
      <x:c r="R395" s="75"/>
      <x:c r="S395" s="75"/>
      <x:c r="T395" s="75"/>
      <x:c r="U395" s="75"/>
      <x:c r="V395" s="75" t="str">
        <x:v>N/A</x:v>
      </x:c>
      <x:c r="W395" s="75"/>
      <x:c r="X395" s="75"/>
      <x:c r="Y395" s="75"/>
      <x:c r="Z395" s="75"/>
      <x:c r="AA395" s="75"/>
      <x:c r="AB395" s="75"/>
      <x:c r="AC395" s="78"/>
      <x:c r="AD395" s="75"/>
      <x:c r="AE395" s="75"/>
      <x:c r="AF395" s="75"/>
      <x:c r="AG395" s="75"/>
      <x:c r="AH395" s="122" t="n">
        <x:v>22</x:v>
      </x:c>
      <x:c r="AI395" s="123" t="str">
        <x:v>Canonical source for Client &amp; Distribution!22</x:v>
      </x:c>
    </x:row>
    <x:row r="396">
      <x:c r="A396" s="119" t="str">
        <x:v>Client &amp; Distribution</x:v>
      </x:c>
      <x:c r="B396" s="121" t="str">
        <x:v>Automatic Updates</x:v>
      </x:c>
      <x:c r="C396" s="75" t="str">
        <x:v>Yes</x:v>
      </x:c>
      <x:c r="D396" s="75"/>
      <x:c r="E396" s="75"/>
      <x:c r="F396" s="75"/>
      <x:c r="G396" s="75"/>
      <x:c r="H396" s="75"/>
      <x:c r="I396" s="75"/>
      <x:c r="J396" s="75"/>
      <x:c r="K396" s="75"/>
      <x:c r="L396" s="75" t="str">
        <x:v>Server auto-updater is documented; native release tooling also exists</x:v>
      </x:c>
      <x:c r="M396" s="75"/>
      <x:c r="N396" s="75"/>
      <x:c r="O396" s="75"/>
      <x:c r="P396" s="75"/>
      <x:c r="Q396" s="75"/>
      <x:c r="R396" s="75"/>
      <x:c r="S396" s="75"/>
      <x:c r="T396" s="75"/>
      <x:c r="U396" s="75"/>
      <x:c r="V396" s="75" t="str">
        <x:v>Optional</x:v>
      </x:c>
      <x:c r="W396" s="75"/>
      <x:c r="X396" s="75"/>
      <x:c r="Y396" s="75"/>
      <x:c r="Z396" s="75"/>
      <x:c r="AA396" s="75" t="str">
        <x:v>Client-dependent</x:v>
      </x:c>
      <x:c r="AB396" s="75"/>
      <x:c r="AC396" s="78"/>
      <x:c r="AD396" s="75"/>
      <x:c r="AE396" s="75"/>
      <x:c r="AF396" s="75"/>
      <x:c r="AG396" s="75"/>
      <x:c r="AH396" s="122" t="n">
        <x:v>23</x:v>
      </x:c>
      <x:c r="AI396" s="123" t="str">
        <x:v>Canonical source for Client &amp; Distribution!23</x:v>
      </x:c>
    </x:row>
    <x:row r="397">
      <x:c r="A397" s="119" t="str">
        <x:v>Client &amp; Distribution</x:v>
      </x:c>
      <x:c r="B397" s="121" t="str">
        <x:v>System Tray / Background Mode</x:v>
      </x:c>
      <x:c r="C397" s="75" t="str">
        <x:v>Yes</x:v>
      </x:c>
      <x:c r="D397" s="75"/>
      <x:c r="E397" s="75"/>
      <x:c r="F397" s="75"/>
      <x:c r="G397" s="75"/>
      <x:c r="H397" s="75"/>
      <x:c r="I397" s="75"/>
      <x:c r="J397" s="75"/>
      <x:c r="K397" s="75"/>
      <x:c r="L397" s="75" t="str">
        <x:v>Tauri desktop + native Flutter clients support background call/notification behavior</x:v>
      </x:c>
      <x:c r="M397" s="75"/>
      <x:c r="N397" s="75"/>
      <x:c r="O397" s="75"/>
      <x:c r="P397" s="75" t="str">
        <x:v>Yes</x:v>
      </x:c>
      <x:c r="Q397" s="75"/>
      <x:c r="R397" s="75"/>
      <x:c r="S397" s="75"/>
      <x:c r="T397" s="75"/>
      <x:c r="U397" s="75"/>
      <x:c r="V397" s="75" t="str">
        <x:v>Yes</x:v>
      </x:c>
      <x:c r="W397" s="75"/>
      <x:c r="X397" s="75"/>
      <x:c r="Y397" s="75"/>
      <x:c r="Z397" s="75"/>
      <x:c r="AA397" s="75"/>
      <x:c r="AB397" s="75"/>
      <x:c r="AC397" s="78"/>
      <x:c r="AD397" s="75"/>
      <x:c r="AE397" s="75"/>
      <x:c r="AF397" s="75"/>
      <x:c r="AG397" s="75" t="str">
        <x:v>Yes</x:v>
      </x:c>
      <x:c r="AH397" s="122" t="n">
        <x:v>24</x:v>
      </x:c>
      <x:c r="AI397" s="123" t="str">
        <x:v>Canonical source for Client &amp; Distribution!24</x:v>
      </x:c>
    </x:row>
    <x:row r="398">
      <x:c r="A398" s="119" t="str">
        <x:v>Client &amp; Distribution</x:v>
      </x:c>
      <x:c r="B398" s="121" t="str">
        <x:v>Voice Overlay</x:v>
      </x:c>
      <x:c r="C398" s="75" t="str">
        <x:v>Yes — game overlay</x:v>
      </x:c>
      <x:c r="D398" s="75"/>
      <x:c r="E398" s="75"/>
      <x:c r="F398" s="75"/>
      <x:c r="G398" s="75"/>
      <x:c r="H398" s="75"/>
      <x:c r="I398" s="75"/>
      <x:c r="J398" s="75"/>
      <x:c r="K398" s="75"/>
      <x:c r="L398" s="75" t="str">
        <x:v>Not documented</x:v>
      </x:c>
      <x:c r="M398" s="75"/>
      <x:c r="N398" s="75"/>
      <x:c r="O398" s="75"/>
      <x:c r="P398" s="75"/>
      <x:c r="Q398" s="75"/>
      <x:c r="R398" s="75"/>
      <x:c r="S398" s="75"/>
      <x:c r="T398" s="75"/>
      <x:c r="U398" s="75"/>
      <x:c r="V398" s="75" t="str">
        <x:v>Yes — always-on-top voice HUD</x:v>
      </x:c>
      <x:c r="W398" s="75"/>
      <x:c r="X398" s="75"/>
      <x:c r="Y398" s="75"/>
      <x:c r="Z398" s="75"/>
      <x:c r="AA398" s="75"/>
      <x:c r="AB398" s="75" t="str">
        <x:v>Client/plugin dependent</x:v>
      </x:c>
      <x:c r="AC398" s="78"/>
      <x:c r="AD398" s="75"/>
      <x:c r="AE398" s="75"/>
      <x:c r="AF398" s="75"/>
      <x:c r="AG398" s="75"/>
      <x:c r="AH398" s="122" t="n">
        <x:v>25</x:v>
      </x:c>
      <x:c r="AI398" s="123" t="str">
        <x:v>Canonical metric shared by: Extra Features: Voice Overlay | Client &amp; Distribution: Voice Overlay</x:v>
      </x:c>
    </x:row>
    <x:row r="399">
      <x:c r="A399" s="119" t="str">
        <x:v>Performance &amp; Client Stack</x:v>
      </x:c>
      <x:c r="B399" s="121" t="str">
        <x:v>Desktop Client Framework (Native Rust/Qt vs Electron vs PWA)</x:v>
      </x:c>
      <x:c r="C399" s="75" t="str">
        <x:v>Electron 42 desktop; React Native 0.86 mobile (2026)</x:v>
      </x:c>
      <x:c r="D399" s="75"/>
      <x:c r="E399" s="75" t="str">
        <x:v>Web + desktop + Android</x:v>
      </x:c>
      <x:c r="F399" s="75" t="str">
        <x:v>Web + Windows/Linux/macOS/iOS/Android</x:v>
      </x:c>
      <x:c r="G399" s="75" t="str">
        <x:v>Web-first Next.js/TypeScript; PWA</x:v>
      </x:c>
      <x:c r="H399" s="75" t="str">
        <x:v>Web/PWA + Electron desktop; Flutter native mobile beta</x:v>
      </x:c>
      <x:c r="I399" s="75" t="str">
        <x:v>Native apps built with Wails v3; web client</x:v>
      </x:c>
      <x:c r="J399" s="75" t="str">
        <x:v>Tauri desktop</x:v>
      </x:c>
      <x:c r="K399" s="75" t="str">
        <x:v>Native Flutter + Rust</x:v>
      </x:c>
      <x:c r="L399" s="75" t="str">
        <x:v>Tauri + SvelteKit; Rust owns native audio/video/capture/device work</x:v>
      </x:c>
      <x:c r="M399" s="75"/>
      <x:c r="N399" s="75" t="str">
        <x:v>Web; native mobile planned</x:v>
      </x:c>
      <x:c r="O399" s="75" t="str">
        <x:v>No single client stack — Element is one client, not Matrix; clients include Element/Element X, Cinny, FluffyChat, Nheko, etc.</x:v>
      </x:c>
      <x:c r="P399" s="75" t="str">
        <x:v>Electron desktop; web; native mobile</x:v>
      </x:c>
      <x:c r="Q399" s="75" t="str">
        <x:v>Native Rust desktop; native mobile; web</x:v>
      </x:c>
      <x:c r="R399" s="75" t="str">
        <x:v>Native Qt desktop client</x:v>
      </x:c>
      <x:c r="S399" s="75" t="str">
        <x:v>Web + Electron desktop</x:v>
      </x:c>
      <x:c r="T399" s="75" t="str">
        <x:v>Web + native desktop/mobile</x:v>
      </x:c>
      <x:c r="U399" s="75" t="str">
        <x:v>Electron desktop; React/Vite web</x:v>
      </x:c>
      <x:c r="V399" s="75" t="str">
        <x:v>Web/desktop app</x:v>
      </x:c>
      <x:c r="W399" s="75" t="str">
        <x:v>Web + Electron desktop + native mobile</x:v>
      </x:c>
      <x:c r="X399" s="75" t="str">
        <x:v>Web app</x:v>
      </x:c>
      <x:c r="Y399" s="75"/>
      <x:c r="Z399" s="75"/>
      <x:c r="AA399" s="75" t="str">
        <x:v>Web PWA (Solid.js); desktop Electron wrapper; native Android; iOS project</x:v>
      </x:c>
      <x:c r="AB399" s="75"/>
      <x:c r="AC399" s="78" t="str">
        <x:v>Web + Windows + Android</x:v>
      </x:c>
      <x:c r="AD399" s="75"/>
      <x:c r="AE399" s="75" t="str">
        <x:v>Web + Tauri desktop; mobile in works</x:v>
      </x:c>
      <x:c r="AF399" s="75" t="str">
        <x:v>Browser-first; desktop/mobile roadmap/availability evolving</x:v>
      </x:c>
      <x:c r="AG399" s="75" t="str">
        <x:v>Web app + Electron desktop + React Native mobile</x:v>
      </x:c>
      <x:c r="AH399" s="122" t="n">
        <x:v>3</x:v>
      </x:c>
      <x:c r="AI399" s="123" t="str">
        <x:v>Canonical source for Performance &amp; Client Stack!3</x:v>
      </x:c>
    </x:row>
    <x:row r="400">
      <x:c r="A400" s="119" t="str">
        <x:v>Performance &amp; Client Stack</x:v>
      </x:c>
      <x:c r="B400" s="121" t="str">
        <x:v>Idle Desktop RAM Usage (MB)</x:v>
      </x:c>
      <x:c r="C400" s="75"/>
      <x:c r="D400" s="75"/>
      <x:c r="E400" s="75"/>
      <x:c r="F400" s="75"/>
      <x:c r="G400" s="75"/>
      <x:c r="H400" s="75"/>
      <x:c r="I400" s="75"/>
      <x:c r="J400" s="75" t="str">
        <x:v>~80 MB (vendor claim)</x:v>
      </x:c>
      <x:c r="K400" s="75"/>
      <x:c r="L400" s="75" t="str">
        <x:v>78 MB RAM on Windows initial boot (developer-reported measurement)</x:v>
      </x:c>
      <x:c r="M400" s="75"/>
      <x:c r="N400" s="75"/>
      <x:c r="O400" s="75" t="str">
        <x:v>Varies by client</x:v>
      </x:c>
      <x:c r="P400" s="75"/>
      <x:c r="Q400" s="75"/>
      <x:c r="R400" s="75"/>
      <x:c r="S400" s="75"/>
      <x:c r="T400" s="75"/>
      <x:c r="U400" s="75" t="str">
        <x:v>No public benchmark claimed</x:v>
      </x:c>
      <x:c r="V400" s="75" t="str">
        <x:v>13.5MB + 315MB
Client + Webview2</x:v>
      </x:c>
      <x:c r="W400" s="75"/>
      <x:c r="X400" s="75"/>
      <x:c r="Y400" s="75"/>
      <x:c r="Z400" s="75"/>
      <x:c r="AA400" s="75"/>
      <x:c r="AB400" s="75"/>
      <x:c r="AC400" s="78"/>
      <x:c r="AD400" s="75"/>
      <x:c r="AE400" s="75"/>
      <x:c r="AF400" s="75"/>
      <x:c r="AG400" s="75"/>
      <x:c r="AH400" s="122" t="n">
        <x:v>4</x:v>
      </x:c>
      <x:c r="AI400" s="123" t="str">
        <x:v>Canonical source for Performance &amp; Client Stack!4</x:v>
      </x:c>
    </x:row>
    <x:row r="401">
      <x:c r="A401" s="119" t="str">
        <x:v>Performance &amp; Client Stack</x:v>
      </x:c>
      <x:c r="B401" s="121" t="str">
        <x:v>Linux Support (Flatpak / Deb / AUR)</x:v>
      </x:c>
      <x:c r="C401" s="75" t="str">
        <x:v>Yes — official .deb, .tar.gz, .rpm, .pkg.tar.zst; no official Flatpak listed</x:v>
      </x:c>
      <x:c r="D401" s="75"/>
      <x:c r="E401" s="75"/>
      <x:c r="F401" s="75" t="str">
        <x:v>Yes</x:v>
      </x:c>
      <x:c r="G401" s="75" t="str">
        <x:v>Web/PWA</x:v>
      </x:c>
      <x:c r="H401" s="75" t="str">
        <x:v>Yes — deb/rpm/AppImage/tar.gz</x:v>
      </x:c>
      <x:c r="I401" s="75" t="str">
        <x:v>Yes</x:v>
      </x:c>
      <x:c r="J401" s="75" t="str">
        <x:v>Web</x:v>
      </x:c>
      <x:c r="K401" s="75" t="str">
        <x:v>Yes</x:v>
      </x:c>
      <x:c r="L401" s="75"/>
      <x:c r="M401" s="75"/>
      <x:c r="N401" s="75" t="str">
        <x:v>Web</x:v>
      </x:c>
      <x:c r="O401" s="75" t="str">
        <x:v>Varies by client</x:v>
      </x:c>
      <x:c r="P401" s="75" t="str">
        <x:v>Yes</x:v>
      </x:c>
      <x:c r="Q401" s="75" t="str">
        <x:v>Yes</x:v>
      </x:c>
      <x:c r="R401" s="75" t="str">
        <x:v>Yes</x:v>
      </x:c>
      <x:c r="S401" s="75" t="str">
        <x:v>Yes — deb/AppImage</x:v>
      </x:c>
      <x:c r="T401" s="75" t="str">
        <x:v>Yes — deb/AppImage/rpm/tar</x:v>
      </x:c>
      <x:c r="U401" s="75" t="str">
        <x:v>Yes</x:v>
      </x:c>
      <x:c r="V401" s="75" t="str">
        <x:v>Appiamge &amp; .deb</x:v>
      </x:c>
      <x:c r="W401" s="75" t="str">
        <x:v>Yes</x:v>
      </x:c>
      <x:c r="X401" s="75" t="str">
        <x:v>Web</x:v>
      </x:c>
      <x:c r="Y401" s="75"/>
      <x:c r="Z401" s="75" t="str">
        <x:v>Client-dependent</x:v>
      </x:c>
      <x:c r="AA401" s="75" t="str">
        <x:v>Yes</x:v>
      </x:c>
      <x:c r="AB401" s="75" t="str">
        <x:v>Yes</x:v>
      </x:c>
      <x:c r="AC401" s="78"/>
      <x:c r="AD401" s="75"/>
      <x:c r="AE401" s="75"/>
      <x:c r="AF401" s="75" t="str">
        <x:v>Browser</x:v>
      </x:c>
      <x:c r="AG401" s="75" t="str">
        <x:v>Yes</x:v>
      </x:c>
      <x:c r="AH401" s="122" t="n">
        <x:v>7</x:v>
      </x:c>
      <x:c r="AI401" s="123" t="str">
        <x:v>Canonical source for Performance &amp; Client Stack!7</x:v>
      </x:c>
    </x:row>
    <x:row r="402">
      <x:c r="A402" s="119" t="str">
        <x:v>Performance &amp; Client Stack</x:v>
      </x:c>
      <x:c r="B402" s="121" t="str">
        <x:v>Mobile App Feature Parity</x:v>
      </x:c>
      <x:c r="C402" s="75" t="str">
        <x:v>High but not full; mobile and desktop are converging, with some feature/surface differences</x:v>
      </x:c>
      <x:c r="D402" s="75"/>
      <x:c r="E402" s="75" t="str">
        <x:v>Yes</x:v>
      </x:c>
      <x:c r="F402" s="75" t="str">
        <x:v>Yes — AppImage/deb beta</x:v>
      </x:c>
      <x:c r="G402" s="75"/>
      <x:c r="H402" s="75" t="str">
        <x:v>Partial — web has more features</x:v>
      </x:c>
      <x:c r="I402" s="75"/>
      <x:c r="J402" s="75" t="str">
        <x:v>Not yet — mobile apps in development</x:v>
      </x:c>
      <x:c r="K402" s="75" t="str">
        <x:v>Yes</x:v>
      </x:c>
      <x:c r="L402" s="75" t="str">
        <x:v>High — Flutter mobile has full chat/guild administration plus native voice/video/screen share</x:v>
      </x:c>
      <x:c r="M402" s="75"/>
      <x:c r="N402" s="75" t="str">
        <x:v>Web</x:v>
      </x:c>
      <x:c r="O402" s="75" t="str">
        <x:v>Varies by client</x:v>
      </x:c>
      <x:c r="P402" s="75" t="str">
        <x:v>High</x:v>
      </x:c>
      <x:c r="Q402" s="75" t="str">
        <x:v>High</x:v>
      </x:c>
      <x:c r="R402" s="75" t="str">
        <x:v>Not full parity; third-party mobile clients</x:v>
      </x:c>
      <x:c r="S402" s="75" t="str">
        <x:v>Partial</x:v>
      </x:c>
      <x:c r="T402" s="75" t="str">
        <x:v>High</x:v>
      </x:c>
      <x:c r="U402" s="75" t="str">
        <x:v>Partial beta — Android known limitations include no push, camera, or large-room screen-share sending</x:v>
      </x:c>
      <x:c r="V402" s="75" t="str">
        <x:v>High</x:v>
      </x:c>
      <x:c r="W402" s="75" t="str">
        <x:v>High</x:v>
      </x:c>
      <x:c r="X402" s="75" t="str">
        <x:v>Web</x:v>
      </x:c>
      <x:c r="Y402" s="75" t="str">
        <x:v>Partial — mobile lacks screen sharing and some management features</x:v>
      </x:c>
      <x:c r="Z402" s="75" t="str">
        <x:v>Client-dependent</x:v>
      </x:c>
      <x:c r="AA402" s="75" t="str">
        <x:v>Partial</x:v>
      </x:c>
      <x:c r="AB402" s="75"/>
      <x:c r="AC402" s="78"/>
      <x:c r="AD402" s="75" t="str">
        <x:v>Linux experimental</x:v>
      </x:c>
      <x:c r="AE402" s="75"/>
      <x:c r="AF402" s="75" t="str">
        <x:v>Browser</x:v>
      </x:c>
      <x:c r="AG402" s="75" t="str">
        <x:v>High but some differences</x:v>
      </x:c>
      <x:c r="AH402" s="122" t="n">
        <x:v>8</x:v>
      </x:c>
      <x:c r="AI402" s="123" t="str">
        <x:v>Canonical source for Performance &amp; Client Stack!8</x:v>
      </x:c>
    </x:row>
    <x:row r="403">
      <x:c r="A403" s="119" t="str">
        <x:v>Performance &amp; Client Stack</x:v>
      </x:c>
      <x:c r="B403" s="121" t="str">
        <x:v>Android Distribution (Play Store / F-Droid / APK)</x:v>
      </x:c>
      <x:c r="C403" s="75" t="str">
        <x:v>Google Play (official); F-Droid/APK not officially listed on Discord's download page</x:v>
      </x:c>
      <x:c r="D403" s="75"/>
      <x:c r="E403" s="75" t="str">
        <x:v>Android / Google Play</x:v>
      </x:c>
      <x:c r="F403" s="75" t="str">
        <x:v>Signed APK</x:v>
      </x:c>
      <x:c r="G403" s="75"/>
      <x:c r="H403" s="75" t="str">
        <x:v>Android native beta/public testing + PWA</x:v>
      </x:c>
      <x:c r="I403" s="75" t="str">
        <x:v>Google Play</x:v>
      </x:c>
      <x:c r="J403" s="75" t="str">
        <x:v>Web</x:v>
      </x:c>
      <x:c r="K403" s="75" t="str">
        <x:v>Mobile port</x:v>
      </x:c>
      <x:c r="L403" s="75" t="str">
        <x:v>Android Play Store beta/open-testing + sideload (developer report)</x:v>
      </x:c>
      <x:c r="M403" s="75"/>
      <x:c r="N403" s="75" t="str">
        <x:v>Planned</x:v>
      </x:c>
      <x:c r="O403" s="75" t="str">
        <x:v>Varies by client</x:v>
      </x:c>
      <x:c r="P403" s="75" t="str">
        <x:v>Google Play / enterprise distribution</x:v>
      </x:c>
      <x:c r="Q403" s="75" t="str">
        <x:v>Native Android</x:v>
      </x:c>
      <x:c r="R403" s="75" t="str">
        <x:v>Third-party clients</x:v>
      </x:c>
      <x:c r="S403" s="75" t="str">
        <x:v>Android APK</x:v>
      </x:c>
      <x:c r="T403" s="75" t="str">
        <x:v>Google Play</x:v>
      </x:c>
      <x:c r="U403" s="75" t="str">
        <x:v>Native APK beta — https://pqp.gg/android</x:v>
      </x:c>
      <x:c r="V403" s="75" t="str">
        <x:v>Playstore &amp; APK</x:v>
      </x:c>
      <x:c r="W403" s="75" t="str">
        <x:v>Google Play</x:v>
      </x:c>
      <x:c r="X403" s="75" t="str">
        <x:v>Web</x:v>
      </x:c>
      <x:c r="Y403" s="75" t="str">
        <x:v>Google Play</x:v>
      </x:c>
      <x:c r="Z403" s="75" t="str">
        <x:v>Client-dependent</x:v>
      </x:c>
      <x:c r="AA403" s="75"/>
      <x:c r="AB403" s="75" t="str">
        <x:v>Google Play / availability varies</x:v>
      </x:c>
      <x:c r="AC403" s="78" t="str">
        <x:v>Android APK</x:v>
      </x:c>
      <x:c r="AD403" s="75"/>
      <x:c r="AE403" s="75" t="str">
        <x:v>Mobile in works</x:v>
      </x:c>
      <x:c r="AF403" s="75" t="str">
        <x:v>Mobile browser/app roadmap</x:v>
      </x:c>
      <x:c r="AG403" s="75"/>
      <x:c r="AH403" s="122" t="n">
        <x:v>9</x:v>
      </x:c>
      <x:c r="AI403" s="123" t="str">
        <x:v>Canonical source for Performance &amp; Client Stack!9</x:v>
      </x:c>
    </x:row>
    <x:row r="404">
      <x:c r="A404" s="119" t="str">
        <x:v>Performance &amp; Client Stack</x:v>
      </x:c>
      <x:c r="B404" s="121" t="str">
        <x:v>iOS Distribution (App Store / TestFlight / Sideload)</x:v>
      </x:c>
      <x:c r="C404" s="75" t="str">
        <x:v>App Store; TestFlight used for beta/testing</x:v>
      </x:c>
      <x:c r="D404" s="75"/>
      <x:c r="E404" s="75"/>
      <x:c r="F404" s="75" t="str">
        <x:v>App Store</x:v>
      </x:c>
      <x:c r="G404" s="75"/>
      <x:c r="H404" s="75" t="str">
        <x:v>TestFlight beta; no App Store yet</x:v>
      </x:c>
      <x:c r="I404" s="75" t="str">
        <x:v>iOS app available</x:v>
      </x:c>
      <x:c r="J404" s="75" t="str">
        <x:v>Web</x:v>
      </x:c>
      <x:c r="K404" s="75" t="str">
        <x:v>iOS TestFlight planned/coming</x:v>
      </x:c>
      <x:c r="L404" s="75" t="str">
        <x:v>TestFlight and self-build (developer report)</x:v>
      </x:c>
      <x:c r="M404" s="75"/>
      <x:c r="N404" s="75" t="str">
        <x:v>Planned</x:v>
      </x:c>
      <x:c r="O404" s="75" t="str">
        <x:v>Varies by client</x:v>
      </x:c>
      <x:c r="P404" s="75" t="str">
        <x:v>App Store / enterprise distribution</x:v>
      </x:c>
      <x:c r="Q404" s="75" t="str">
        <x:v>Native iOS</x:v>
      </x:c>
      <x:c r="R404" s="75" t="str">
        <x:v>Third-party clients</x:v>
      </x:c>
      <x:c r="S404" s="75" t="str">
        <x:v>No iOS app documented</x:v>
      </x:c>
      <x:c r="T404" s="75" t="str">
        <x:v>App Store</x:v>
      </x:c>
      <x:c r="U404" s="75" t="str">
        <x:v>Native TestFlight beta — https://pqp.gg/beta</x:v>
      </x:c>
      <x:c r="V404" s="75" t="str">
        <x:v>Testflight - Awaiting appstore approval</x:v>
      </x:c>
      <x:c r="W404" s="75" t="str">
        <x:v>App Store</x:v>
      </x:c>
      <x:c r="X404" s="75" t="str">
        <x:v>Web</x:v>
      </x:c>
      <x:c r="Y404" s="75" t="str">
        <x:v>App Store</x:v>
      </x:c>
      <x:c r="Z404" s="75" t="str">
        <x:v>Client-dependent</x:v>
      </x:c>
      <x:c r="AA404" s="75"/>
      <x:c r="AB404" s="75" t="str">
        <x:v>App Store / availability varies</x:v>
      </x:c>
      <x:c r="AC404" s="78"/>
      <x:c r="AD404" s="75"/>
      <x:c r="AE404" s="75" t="str">
        <x:v>Mobile in works</x:v>
      </x:c>
      <x:c r="AF404" s="75" t="str">
        <x:v>Mobile browser/app roadmap</x:v>
      </x:c>
      <x:c r="AG404" s="75" t="str">
        <x:v>App Store</x:v>
      </x:c>
      <x:c r="AH404" s="122" t="n">
        <x:v>10</x:v>
      </x:c>
      <x:c r="AI404" s="123" t="str">
        <x:v>Canonical source for Performance &amp; Client Stack!10</x:v>
      </x:c>
    </x:row>
    <x:row r="405">
      <x:c r="A405" s="119" t="str">
        <x:v>Performance &amp; Client Stack</x:v>
      </x:c>
      <x:c r="B405" s="121" t="str">
        <x:v>Push Notification Engine (FCM / APNs / UnifiedPush / Polling)</x:v>
      </x:c>
      <x:c r="C405" s="75"/>
      <x:c r="D405" s="75"/>
      <x:c r="E405" s="75" t="str">
        <x:v>Web</x:v>
      </x:c>
      <x:c r="F405" s="75" t="str">
        <x:v>PWA/add-to-home-screen</x:v>
      </x:c>
      <x:c r="G405" s="75"/>
      <x:c r="H405" s="75"/>
      <x:c r="I405" s="75"/>
      <x:c r="J405" s="75" t="str">
        <x:v>Yes</x:v>
      </x:c>
      <x:c r="K405" s="75" t="str">
        <x:v>No/limited web</x:v>
      </x:c>
      <x:c r="L405" s="75" t="str">
        <x:v>Optional content-free signed wake relay to FCM/APNs for official store apps; self-host/custom relay and no-push builds are supported</x:v>
      </x:c>
      <x:c r="M405" s="75" t="str">
        <x:v>Yes</x:v>
      </x:c>
      <x:c r="N405" s="75" t="str">
        <x:v>Yes</x:v>
      </x:c>
      <x:c r="O405" s="75" t="str">
        <x:v>Varies by client/server</x:v>
      </x:c>
      <x:c r="P405" s="75" t="str">
        <x:v>FCM/APNs; enterprise options vary</x:v>
      </x:c>
      <x:c r="Q405" s="75" t="str">
        <x:v>Web</x:v>
      </x:c>
      <x:c r="R405" s="75" t="str">
        <x:v>Client-dependent</x:v>
      </x:c>
      <x:c r="S405" s="75"/>
      <x:c r="T405" s="75" t="str">
        <x:v>Web app</x:v>
      </x:c>
      <x:c r="U405" s="75" t="str">
        <x:v>Not publicly claimed</x:v>
      </x:c>
      <x:c r="V405" s="75" t="str">
        <x:v>Web</x:v>
      </x:c>
      <x:c r="W405" s="75" t="str">
        <x:v>FCM/APNs; deployment-specific</x:v>
      </x:c>
      <x:c r="X405" s="75" t="str">
        <x:v>Yes</x:v>
      </x:c>
      <x:c r="Y405" s="75"/>
      <x:c r="Z405" s="75" t="str">
        <x:v>Operator/client-dependent</x:v>
      </x:c>
      <x:c r="AA405" s="75"/>
      <x:c r="AB405" s="75"/>
      <x:c r="AC405" s="78" t="str">
        <x:v>Yes</x:v>
      </x:c>
      <x:c r="AD405" s="75"/>
      <x:c r="AE405" s="75" t="str">
        <x:v>Web</x:v>
      </x:c>
      <x:c r="AF405" s="75" t="str">
        <x:v>Yes</x:v>
      </x:c>
      <x:c r="AG405" s="75"/>
      <x:c r="AH405" s="122" t="n">
        <x:v>11</x:v>
      </x:c>
      <x:c r="AI405" s="123" t="str">
        <x:v>Canonical source for Performance &amp; Client Stack!11</x:v>
      </x:c>
    </x:row>
    <x:row r="406">
      <x:c r="A406" s="119" t="str">
        <x:v>Performance &amp; Client Stack</x:v>
      </x:c>
      <x:c r="B406" s="121" t="str">
        <x:v>Auto-Update Delivery</x:v>
      </x:c>
      <x:c r="C406" s="75" t="str">
        <x:v>Yes</x:v>
      </x:c>
      <x:c r="D406" s="75"/>
      <x:c r="E406" s="75"/>
      <x:c r="F406" s="75"/>
      <x:c r="G406" s="75"/>
      <x:c r="H406" s="75"/>
      <x:c r="I406" s="75"/>
      <x:c r="J406" s="75"/>
      <x:c r="K406" s="75"/>
      <x:c r="L406" s="75" t="str">
        <x:v>Server auto-updater is documented; native release tooling also exists</x:v>
      </x:c>
      <x:c r="M406" s="75"/>
      <x:c r="N406" s="75"/>
      <x:c r="O406" s="75"/>
      <x:c r="P406" s="75"/>
      <x:c r="Q406" s="75"/>
      <x:c r="R406" s="75"/>
      <x:c r="S406" s="75"/>
      <x:c r="T406" s="75"/>
      <x:c r="U406" s="75"/>
      <x:c r="V406" s="75" t="str">
        <x:v>optional</x:v>
      </x:c>
      <x:c r="W406" s="75"/>
      <x:c r="X406" s="75"/>
      <x:c r="Y406" s="75"/>
      <x:c r="Z406" s="75"/>
      <x:c r="AA406" s="75" t="str">
        <x:v>Desktop/mobile dependent</x:v>
      </x:c>
      <x:c r="AB406" s="75"/>
      <x:c r="AC406" s="78"/>
      <x:c r="AD406" s="75"/>
      <x:c r="AE406" s="75"/>
      <x:c r="AF406" s="75"/>
      <x:c r="AG406" s="75"/>
      <x:c r="AH406" s="122" t="n">
        <x:v>17</x:v>
      </x:c>
      <x:c r="AI406" s="123" t="str">
        <x:v>Canonical source for Performance &amp; Client Stack!17</x:v>
      </x:c>
    </x:row>
    <x:row r="407">
      <x:c r="A407" s="119" t="str">
        <x:v>Performance &amp; Client Stack</x:v>
      </x:c>
      <x:c r="B407" s="121" t="str">
        <x:v>Hardware Acceleration Controls</x:v>
      </x:c>
      <x:c r="C407" s="75" t="str">
        <x:v>Yes</x:v>
      </x:c>
      <x:c r="D407" s="75"/>
      <x:c r="E407" s="75"/>
      <x:c r="F407" s="75"/>
      <x:c r="G407" s="75"/>
      <x:c r="H407" s="75"/>
      <x:c r="I407" s="75"/>
      <x:c r="J407" s="75"/>
      <x:c r="K407" s="75"/>
      <x:c r="L407" s="75" t="str">
        <x:v>Not documented</x:v>
      </x:c>
      <x:c r="M407" s="75"/>
      <x:c r="N407" s="75"/>
      <x:c r="O407" s="75"/>
      <x:c r="P407" s="75" t="str">
        <x:v>Client-dependent</x:v>
      </x:c>
      <x:c r="Q407" s="75"/>
      <x:c r="R407" s="75"/>
      <x:c r="S407" s="75"/>
      <x:c r="T407" s="75"/>
      <x:c r="U407" s="75"/>
      <x:c r="V407" s="75"/>
      <x:c r="W407" s="75"/>
      <x:c r="X407" s="75"/>
      <x:c r="Y407" s="75"/>
      <x:c r="Z407" s="75"/>
      <x:c r="AA407" s="75"/>
      <x:c r="AB407" s="75"/>
      <x:c r="AC407" s="78"/>
      <x:c r="AD407" s="75"/>
      <x:c r="AE407" s="75"/>
      <x:c r="AF407" s="75"/>
      <x:c r="AG407" s="75"/>
      <x:c r="AH407" s="122" t="n">
        <x:v>18</x:v>
      </x:c>
      <x:c r="AI407" s="123" t="str">
        <x:v>Canonical source for Performance &amp; Client Stack!18</x:v>
      </x:c>
    </x:row>
    <x:row r="408">
      <x:c r="A408" s="119" t="str">
        <x:v>Accounts &amp; Identity</x:v>
      </x:c>
      <x:c r="B408" s="121" t="str">
        <x:v>Signup Requirements</x:v>
      </x:c>
      <x:c r="C408" s="75"/>
      <x:c r="D408" s="75"/>
      <x:c r="E408" s="75"/>
      <x:c r="F408" s="75"/>
      <x:c r="G408" s="75"/>
      <x:c r="H408" s="75"/>
      <x:c r="I408" s="75"/>
      <x:c r="J408" s="75"/>
      <x:c r="K408" s="75"/>
      <x:c r="L408" s="75" t="str">
        <x:v>Official instance: username + password + email. Self-host can disable email, leaving username/password.</x:v>
      </x:c>
      <x:c r="M408" s="75"/>
      <x:c r="N408" s="75"/>
      <x:c r="O408" s="75"/>
      <x:c r="P408" s="75"/>
      <x:c r="Q408" s="75"/>
      <x:c r="R408" s="75"/>
      <x:c r="S408" s="75"/>
      <x:c r="T408" s="75"/>
      <x:c r="U408" s="75" t="str">
        <x:v>Accounts are handled through Clerk; exact mandatory signup fields not stated</x:v>
      </x:c>
      <x:c r="V408" s="75"/>
      <x:c r="W408" s="75"/>
      <x:c r="X408" s="75"/>
      <x:c r="Y408" s="75"/>
      <x:c r="Z408" s="75"/>
      <x:c r="AA408" s="75"/>
      <x:c r="AB408" s="75"/>
      <x:c r="AC408" s="78"/>
      <x:c r="AD408" s="75"/>
      <x:c r="AE408" s="75"/>
      <x:c r="AF408" s="75"/>
      <x:c r="AG408" s="75"/>
      <x:c r="AH408" s="122" t="n">
        <x:v>3</x:v>
      </x:c>
      <x:c r="AI408" s="123" t="str">
        <x:v>Canonical source for Accounts &amp; Identity!3</x:v>
      </x:c>
    </x:row>
    <x:row r="409">
      <x:c r="A409" s="119" t="str">
        <x:v>Accounts &amp; Identity</x:v>
      </x:c>
      <x:c r="B409" s="121" t="str">
        <x:v>Username Required?</x:v>
      </x:c>
      <x:c r="C409" s="75" t="str">
        <x:v>Yes</x:v>
      </x:c>
      <x:c r="D409" s="75"/>
      <x:c r="E409" s="75"/>
      <x:c r="F409" s="75"/>
      <x:c r="G409" s="75"/>
      <x:c r="H409" s="75" t="str">
        <x:v>Yes</x:v>
      </x:c>
      <x:c r="I409" s="75" t="str">
        <x:v>Yes</x:v>
      </x:c>
      <x:c r="J409" s="75"/>
      <x:c r="K409" s="75"/>
      <x:c r="L409" s="75" t="str">
        <x:v>Yes</x:v>
      </x:c>
      <x:c r="M409" s="75"/>
      <x:c r="N409" s="75"/>
      <x:c r="O409" s="75"/>
      <x:c r="P409" s="75"/>
      <x:c r="Q409" s="75"/>
      <x:c r="R409" s="75" t="str">
        <x:v>Yes</x:v>
      </x:c>
      <x:c r="S409" s="75"/>
      <x:c r="T409" s="75" t="str">
        <x:v>Yes</x:v>
      </x:c>
      <x:c r="U409" s="75"/>
      <x:c r="V409" s="75" t="str">
        <x:v>Yes</x:v>
      </x:c>
      <x:c r="W409" s="75"/>
      <x:c r="X409" s="75"/>
      <x:c r="Y409" s="75" t="str">
        <x:v>Yes</x:v>
      </x:c>
      <x:c r="Z409" s="75"/>
      <x:c r="AA409" s="75"/>
      <x:c r="AB409" s="75"/>
      <x:c r="AC409" s="78"/>
      <x:c r="AD409" s="75"/>
      <x:c r="AE409" s="75"/>
      <x:c r="AF409" s="75"/>
      <x:c r="AG409" s="75"/>
      <x:c r="AH409" s="122" t="n">
        <x:v>4</x:v>
      </x:c>
      <x:c r="AI409" s="123" t="str">
        <x:v>Canonical source for Accounts &amp; Identity!4</x:v>
      </x:c>
    </x:row>
    <x:row r="410">
      <x:c r="A410" s="119" t="str">
        <x:v>Accounts &amp; Identity</x:v>
      </x:c>
      <x:c r="B410" s="121" t="str">
        <x:v>Password Required?</x:v>
      </x:c>
      <x:c r="C410" s="75" t="str">
        <x:v>Yes</x:v>
      </x:c>
      <x:c r="D410" s="75" t="str">
        <x:v>No / key-based</x:v>
      </x:c>
      <x:c r="E410" s="75"/>
      <x:c r="F410" s="75"/>
      <x:c r="G410" s="75"/>
      <x:c r="H410" s="75" t="str">
        <x:v>Yes</x:v>
      </x:c>
      <x:c r="I410" s="75" t="str">
        <x:v>Yes</x:v>
      </x:c>
      <x:c r="J410" s="75" t="str">
        <x:v>Yes</x:v>
      </x:c>
      <x:c r="K410" s="75" t="str">
        <x:v>No / key-based</x:v>
      </x:c>
      <x:c r="L410" s="75" t="str">
        <x:v>Yes</x:v>
      </x:c>
      <x:c r="M410" s="75"/>
      <x:c r="N410" s="75"/>
      <x:c r="O410" s="75"/>
      <x:c r="P410" s="75"/>
      <x:c r="Q410" s="75"/>
      <x:c r="R410" s="75" t="str">
        <x:v>Yes</x:v>
      </x:c>
      <x:c r="S410" s="75"/>
      <x:c r="T410" s="75" t="str">
        <x:v>Yes</x:v>
      </x:c>
      <x:c r="U410" s="75"/>
      <x:c r="V410" s="75" t="str">
        <x:v>Yes</x:v>
      </x:c>
      <x:c r="W410" s="75"/>
      <x:c r="X410" s="75"/>
      <x:c r="Y410" s="75" t="str">
        <x:v>Yes</x:v>
      </x:c>
      <x:c r="Z410" s="75"/>
      <x:c r="AA410" s="75"/>
      <x:c r="AB410" s="75"/>
      <x:c r="AC410" s="78"/>
      <x:c r="AD410" s="75"/>
      <x:c r="AE410" s="75"/>
      <x:c r="AF410" s="75" t="str">
        <x:v>Yes</x:v>
      </x:c>
      <x:c r="AG410" s="75"/>
      <x:c r="AH410" s="122" t="n">
        <x:v>5</x:v>
      </x:c>
      <x:c r="AI410" s="123" t="str">
        <x:v>Canonical source for Accounts &amp; Identity!5</x:v>
      </x:c>
    </x:row>
    <x:row r="411">
      <x:c r="A411" s="119" t="str">
        <x:v>Accounts &amp; Identity</x:v>
      </x:c>
      <x:c r="B411" s="121" t="str">
        <x:v>Email Required?</x:v>
      </x:c>
      <x:c r="C411" s="75"/>
      <x:c r="D411" s="75"/>
      <x:c r="E411" s="75"/>
      <x:c r="F411" s="75"/>
      <x:c r="G411" s="75" t="str">
        <x:v>Yes</x:v>
      </x:c>
      <x:c r="H411" s="75"/>
      <x:c r="I411" s="75" t="str">
        <x:v>No</x:v>
      </x:c>
      <x:c r="J411" s="75"/>
      <x:c r="K411" s="75"/>
      <x:c r="L411" s="75" t="str">
        <x:v>Yes on official instance; optional on self-host</x:v>
      </x:c>
      <x:c r="M411" s="75" t="str">
        <x:v>No</x:v>
      </x:c>
      <x:c r="N411" s="75"/>
      <x:c r="O411" s="75" t="str">
        <x:v>Optional / provider-dependent</x:v>
      </x:c>
      <x:c r="P411" s="75" t="str">
        <x:v>Yes</x:v>
      </x:c>
      <x:c r="Q411" s="75"/>
      <x:c r="R411" s="75"/>
      <x:c r="S411" s="75"/>
      <x:c r="T411" s="75"/>
      <x:c r="U411" s="75"/>
      <x:c r="V411" s="75" t="str">
        <x:v>No</x:v>
      </x:c>
      <x:c r="W411" s="75" t="str">
        <x:v>Yes</x:v>
      </x:c>
      <x:c r="X411" s="75"/>
      <x:c r="Y411" s="75"/>
      <x:c r="Z411" s="75"/>
      <x:c r="AA411" s="75" t="str">
        <x:v>Yes</x:v>
      </x:c>
      <x:c r="AB411" s="75"/>
      <x:c r="AC411" s="78" t="str">
        <x:v>Yes</x:v>
      </x:c>
      <x:c r="AD411" s="75"/>
      <x:c r="AE411" s="75"/>
      <x:c r="AF411" s="75"/>
      <x:c r="AG411" s="75" t="str">
        <x:v>Yes</x:v>
      </x:c>
      <x:c r="AH411" s="122" t="n">
        <x:v>6</x:v>
      </x:c>
      <x:c r="AI411" s="123" t="str">
        <x:v>Canonical source for Accounts &amp; Identity!6</x:v>
      </x:c>
    </x:row>
    <x:row r="412">
      <x:c r="A412" s="119" t="str">
        <x:v>Accounts &amp; Identity</x:v>
      </x:c>
      <x:c r="B412" s="121" t="str">
        <x:v>Phone Required?</x:v>
      </x:c>
      <x:c r="C412" s="75" t="str">
        <x:v>May be required</x:v>
      </x:c>
      <x:c r="D412" s="75"/>
      <x:c r="E412" s="75"/>
      <x:c r="F412" s="75"/>
      <x:c r="G412" s="75"/>
      <x:c r="H412" s="75" t="str">
        <x:v>May be required</x:v>
      </x:c>
      <x:c r="I412" s="75" t="str">
        <x:v>No</x:v>
      </x:c>
      <x:c r="J412" s="75"/>
      <x:c r="K412" s="75"/>
      <x:c r="L412" s="75" t="str">
        <x:v>No</x:v>
      </x:c>
      <x:c r="M412" s="75" t="str">
        <x:v>No</x:v>
      </x:c>
      <x:c r="N412" s="75"/>
      <x:c r="O412" s="75"/>
      <x:c r="P412" s="75"/>
      <x:c r="Q412" s="75"/>
      <x:c r="R412" s="75"/>
      <x:c r="S412" s="75"/>
      <x:c r="T412" s="75"/>
      <x:c r="U412" s="75"/>
      <x:c r="V412" s="75" t="str">
        <x:v>No</x:v>
      </x:c>
      <x:c r="W412" s="75"/>
      <x:c r="X412" s="75"/>
      <x:c r="Y412" s="75"/>
      <x:c r="Z412" s="75"/>
      <x:c r="AA412" s="75"/>
      <x:c r="AB412" s="75"/>
      <x:c r="AC412" s="78" t="str">
        <x:v>No</x:v>
      </x:c>
      <x:c r="AD412" s="75"/>
      <x:c r="AE412" s="75"/>
      <x:c r="AF412" s="75"/>
      <x:c r="AG412" s="75"/>
      <x:c r="AH412" s="122" t="n">
        <x:v>7</x:v>
      </x:c>
      <x:c r="AI412" s="123" t="str">
        <x:v>Canonical source for Accounts &amp; Identity!7</x:v>
      </x:c>
    </x:row>
    <x:row r="413">
      <x:c r="A413" s="119" t="str">
        <x:v>Accounts &amp; Identity</x:v>
      </x:c>
      <x:c r="B413" s="121" t="str">
        <x:v>Date of Birth Required?</x:v>
      </x:c>
      <x:c r="C413" s="75" t="str">
        <x:v>Yes</x:v>
      </x:c>
      <x:c r="D413" s="75"/>
      <x:c r="E413" s="75"/>
      <x:c r="F413" s="75"/>
      <x:c r="G413" s="75"/>
      <x:c r="H413" s="75" t="str">
        <x:v>Yes</x:v>
      </x:c>
      <x:c r="I413" s="75"/>
      <x:c r="J413" s="75"/>
      <x:c r="K413" s="75"/>
      <x:c r="L413" s="75" t="str">
        <x:v>No</x:v>
      </x:c>
      <x:c r="M413" s="75"/>
      <x:c r="N413" s="75"/>
      <x:c r="O413" s="75"/>
      <x:c r="P413" s="75"/>
      <x:c r="Q413" s="75"/>
      <x:c r="R413" s="75"/>
      <x:c r="S413" s="75"/>
      <x:c r="T413" s="75"/>
      <x:c r="U413" s="75"/>
      <x:c r="V413" s="75" t="str">
        <x:v>no</x:v>
      </x:c>
      <x:c r="W413" s="75"/>
      <x:c r="X413" s="75"/>
      <x:c r="Y413" s="75"/>
      <x:c r="Z413" s="75"/>
      <x:c r="AA413" s="75"/>
      <x:c r="AB413" s="75"/>
      <x:c r="AC413" s="78"/>
      <x:c r="AD413" s="75"/>
      <x:c r="AE413" s="75"/>
      <x:c r="AF413" s="75"/>
      <x:c r="AG413" s="75"/>
      <x:c r="AH413" s="122" t="n">
        <x:v>8</x:v>
      </x:c>
      <x:c r="AI413" s="123" t="str">
        <x:v>Canonical source for Accounts &amp; Identity!8</x:v>
      </x:c>
    </x:row>
    <x:row r="414">
      <x:c r="A414" s="119" t="str">
        <x:v>Accounts &amp; Identity</x:v>
      </x:c>
      <x:c r="B414" s="121" t="str">
        <x:v>Government ID / Age Verification Possible?</x:v>
      </x:c>
      <x:c r="C414" s="75" t="str">
        <x:v>Possible in some regions / safety flows</x:v>
      </x:c>
      <x:c r="D414" s="75"/>
      <x:c r="E414" s="75"/>
      <x:c r="F414" s="75"/>
      <x:c r="G414" s="75"/>
      <x:c r="H414" s="75"/>
      <x:c r="I414" s="75" t="str">
        <x:v>No</x:v>
      </x:c>
      <x:c r="J414" s="75"/>
      <x:c r="K414" s="75"/>
      <x:c r="L414" s="75" t="str">
        <x:v>No</x:v>
      </x:c>
      <x:c r="M414" s="75" t="str">
        <x:v>No</x:v>
      </x:c>
      <x:c r="N414" s="75"/>
      <x:c r="O414" s="75"/>
      <x:c r="P414" s="75"/>
      <x:c r="Q414" s="75"/>
      <x:c r="R414" s="75"/>
      <x:c r="S414" s="75"/>
      <x:c r="T414" s="75"/>
      <x:c r="U414" s="75"/>
      <x:c r="V414" s="75" t="str">
        <x:v>No</x:v>
      </x:c>
      <x:c r="W414" s="75"/>
      <x:c r="X414" s="75"/>
      <x:c r="Y414" s="75"/>
      <x:c r="Z414" s="75"/>
      <x:c r="AA414" s="75"/>
      <x:c r="AB414" s="75"/>
      <x:c r="AC414" s="78"/>
      <x:c r="AD414" s="75"/>
      <x:c r="AE414" s="75"/>
      <x:c r="AF414" s="75"/>
      <x:c r="AG414" s="75"/>
      <x:c r="AH414" s="122" t="n">
        <x:v>9</x:v>
      </x:c>
      <x:c r="AI414" s="123" t="str">
        <x:v>Canonical source for Accounts &amp; Identity!9</x:v>
      </x:c>
    </x:row>
    <x:row r="415">
      <x:c r="A415" s="119" t="str">
        <x:v>Accounts &amp; Identity</x:v>
      </x:c>
      <x:c r="B415" s="121" t="str">
        <x:v>Cryptographic Keypair / Secret Required?</x:v>
      </x:c>
      <x:c r="C415" s="75" t="str">
        <x:v>No</x:v>
      </x:c>
      <x:c r="D415" s="75" t="str">
        <x:v>Yes</x:v>
      </x:c>
      <x:c r="E415" s="75" t="str">
        <x:v>Yes</x:v>
      </x:c>
      <x:c r="F415" s="75"/>
      <x:c r="G415" s="75"/>
      <x:c r="H415" s="75" t="str">
        <x:v>No</x:v>
      </x:c>
      <x:c r="I415" s="75" t="str">
        <x:v>No</x:v>
      </x:c>
      <x:c r="J415" s="75"/>
      <x:c r="K415" s="75" t="str">
        <x:v>Yes</x:v>
      </x:c>
      <x:c r="L415" s="75" t="str">
        <x:v>E2EE-capable accounts use cryptographic device/account identities, but no user-entered key is required at signup</x:v>
      </x:c>
      <x:c r="M415" s="75" t="str">
        <x:v>Yes</x:v>
      </x:c>
      <x:c r="N415" s="75"/>
      <x:c r="O415" s="75"/>
      <x:c r="P415" s="75"/>
      <x:c r="Q415" s="75"/>
      <x:c r="R415" s="75"/>
      <x:c r="S415" s="75"/>
      <x:c r="T415" s="75"/>
      <x:c r="U415" s="75"/>
      <x:c r="V415" s="75" t="str">
        <x:v>No</x:v>
      </x:c>
      <x:c r="W415" s="75"/>
      <x:c r="X415" s="75"/>
      <x:c r="Y415" s="75" t="str">
        <x:v>No</x:v>
      </x:c>
      <x:c r="Z415" s="75"/>
      <x:c r="AA415" s="75"/>
      <x:c r="AB415" s="75"/>
      <x:c r="AC415" s="78"/>
      <x:c r="AD415" s="75"/>
      <x:c r="AE415" s="75"/>
      <x:c r="AF415" s="75"/>
      <x:c r="AG415" s="75"/>
      <x:c r="AH415" s="122" t="n">
        <x:v>10</x:v>
      </x:c>
      <x:c r="AI415" s="123" t="str">
        <x:v>Canonical source for Accounts &amp; Identity!10</x:v>
      </x:c>
    </x:row>
    <x:row r="416">
      <x:c r="A416" s="119" t="str">
        <x:v>Accounts &amp; Identity</x:v>
      </x:c>
      <x:c r="B416" s="121" t="str">
        <x:v>Guest / No-Account Access?</x:v>
      </x:c>
      <x:c r="C416" s="75"/>
      <x:c r="D416" s="75"/>
      <x:c r="E416" s="75"/>
      <x:c r="F416" s="75"/>
      <x:c r="G416" s="75"/>
      <x:c r="H416" s="75"/>
      <x:c r="I416" s="75"/>
      <x:c r="J416" s="75"/>
      <x:c r="K416" s="75"/>
      <x:c r="L416" s="75" t="str">
        <x:v>No</x:v>
      </x:c>
      <x:c r="M416" s="75"/>
      <x:c r="N416" s="75"/>
      <x:c r="O416" s="75"/>
      <x:c r="P416" s="75"/>
      <x:c r="Q416" s="75" t="str">
        <x:v>Yes for some event/link flows</x:v>
      </x:c>
      <x:c r="R416" s="75"/>
      <x:c r="S416" s="75"/>
      <x:c r="T416" s="75"/>
      <x:c r="U416" s="75"/>
      <x:c r="V416" s="75" t="str">
        <x:v>no</x:v>
      </x:c>
      <x:c r="W416" s="75"/>
      <x:c r="X416" s="75"/>
      <x:c r="Y416" s="75"/>
      <x:c r="Z416" s="75"/>
      <x:c r="AA416" s="75"/>
      <x:c r="AB416" s="75"/>
      <x:c r="AC416" s="78"/>
      <x:c r="AD416" s="75"/>
      <x:c r="AE416" s="75"/>
      <x:c r="AF416" s="75"/>
      <x:c r="AG416" s="75"/>
      <x:c r="AH416" s="122" t="n">
        <x:v>12</x:v>
      </x:c>
      <x:c r="AI416" s="123" t="str">
        <x:v>Canonical source for Accounts &amp; Identity!12</x:v>
      </x:c>
    </x:row>
    <x:row r="417">
      <x:c r="A417" s="119" t="str">
        <x:v>Accounts &amp; Identity</x:v>
      </x:c>
      <x:c r="B417" s="121" t="str">
        <x:v>Account Recovery Method</x:v>
      </x:c>
      <x:c r="C417" s="75" t="str">
        <x:v>Email reset</x:v>
      </x:c>
      <x:c r="D417" s="75"/>
      <x:c r="E417" s="75"/>
      <x:c r="F417" s="75"/>
      <x:c r="G417" s="75"/>
      <x:c r="H417" s="75" t="str">
        <x:v>Email reset</x:v>
      </x:c>
      <x:c r="I417" s="75"/>
      <x:c r="J417" s="75"/>
      <x:c r="K417" s="75" t="str">
        <x:v>Recovery phrase / key material</x:v>
      </x:c>
      <x:c r="L417" s="75" t="str">
        <x:v>Email reset when email is enabled; operator-assisted policy is needed when email is disabled</x:v>
      </x:c>
      <x:c r="M417" s="75"/>
      <x:c r="N417" s="75"/>
      <x:c r="O417" s="75"/>
      <x:c r="P417" s="75"/>
      <x:c r="Q417" s="75"/>
      <x:c r="R417" s="75"/>
      <x:c r="S417" s="75"/>
      <x:c r="T417" s="75"/>
      <x:c r="U417" s="75"/>
      <x:c r="V417" s="75" t="str">
        <x:v>12-word Rift Key / recovery key</x:v>
      </x:c>
      <x:c r="W417" s="75"/>
      <x:c r="X417" s="75"/>
      <x:c r="Y417" s="75" t="str">
        <x:v>Email reset</x:v>
      </x:c>
      <x:c r="Z417" s="75"/>
      <x:c r="AA417" s="75"/>
      <x:c r="AB417" s="75"/>
      <x:c r="AC417" s="78" t="str">
        <x:v>Email reset</x:v>
      </x:c>
      <x:c r="AD417" s="75"/>
      <x:c r="AE417" s="75"/>
      <x:c r="AF417" s="75"/>
      <x:c r="AG417" s="75"/>
      <x:c r="AH417" s="122" t="n">
        <x:v>13</x:v>
      </x:c>
      <x:c r="AI417" s="123" t="str">
        <x:v>Canonical source for Accounts &amp; Identity!13</x:v>
      </x:c>
    </x:row>
    <x:row r="418">
      <x:c r="A418" s="119" t="str">
        <x:v>Accounts &amp; Identity</x:v>
      </x:c>
      <x:c r="B418" s="121" t="str">
        <x:v>Password Reset Available?</x:v>
      </x:c>
      <x:c r="C418" s="75" t="str">
        <x:v>Yes</x:v>
      </x:c>
      <x:c r="D418" s="75"/>
      <x:c r="E418" s="75"/>
      <x:c r="F418" s="75"/>
      <x:c r="G418" s="75"/>
      <x:c r="H418" s="75" t="str">
        <x:v>Yes</x:v>
      </x:c>
      <x:c r="I418" s="75"/>
      <x:c r="J418" s="75"/>
      <x:c r="K418" s="75"/>
      <x:c r="L418" s="75" t="str">
        <x:v>Email reset when email is enabled; operator-assisted policy is needed when email is disabled</x:v>
      </x:c>
      <x:c r="M418" s="75"/>
      <x:c r="N418" s="75"/>
      <x:c r="O418" s="75"/>
      <x:c r="P418" s="75"/>
      <x:c r="Q418" s="75"/>
      <x:c r="R418" s="75"/>
      <x:c r="S418" s="75"/>
      <x:c r="T418" s="75"/>
      <x:c r="U418" s="75"/>
      <x:c r="V418" s="75" t="str">
        <x:v>yes - recovery key</x:v>
      </x:c>
      <x:c r="W418" s="75"/>
      <x:c r="X418" s="75"/>
      <x:c r="Y418" s="75" t="str">
        <x:v>Yes</x:v>
      </x:c>
      <x:c r="Z418" s="75"/>
      <x:c r="AA418" s="75"/>
      <x:c r="AB418" s="75"/>
      <x:c r="AC418" s="78" t="str">
        <x:v>Yes</x:v>
      </x:c>
      <x:c r="AD418" s="75"/>
      <x:c r="AE418" s="75"/>
      <x:c r="AF418" s="75"/>
      <x:c r="AG418" s="75"/>
      <x:c r="AH418" s="122" t="n">
        <x:v>14</x:v>
      </x:c>
      <x:c r="AI418" s="123" t="str">
        <x:v>Canonical source for Accounts &amp; Identity!14</x:v>
      </x:c>
    </x:row>
    <x:row r="419">
      <x:c r="A419" s="119" t="str">
        <x:v>Accounts &amp; Identity</x:v>
      </x:c>
      <x:c r="B419" s="121" t="str">
        <x:v>Recovery Without Email/Phone?</x:v>
      </x:c>
      <x:c r="C419" s="75"/>
      <x:c r="D419" s="75"/>
      <x:c r="E419" s="75"/>
      <x:c r="F419" s="75"/>
      <x:c r="G419" s="75"/>
      <x:c r="H419" s="75"/>
      <x:c r="I419" s="75"/>
      <x:c r="J419" s="75"/>
      <x:c r="K419" s="75" t="str">
        <x:v>Yes — recovery key</x:v>
      </x:c>
      <x:c r="L419" s="75" t="str">
        <x:v>Partial — possible only through operator-assisted recovery when email is disabled</x:v>
      </x:c>
      <x:c r="M419" s="75"/>
      <x:c r="N419" s="75"/>
      <x:c r="O419" s="75"/>
      <x:c r="P419" s="75"/>
      <x:c r="Q419" s="75"/>
      <x:c r="R419" s="75"/>
      <x:c r="S419" s="75"/>
      <x:c r="T419" s="75"/>
      <x:c r="U419" s="75"/>
      <x:c r="V419" s="75" t="str">
        <x:v>Yes — recovery key</x:v>
      </x:c>
      <x:c r="W419" s="75"/>
      <x:c r="X419" s="75"/>
      <x:c r="Y419" s="75"/>
      <x:c r="Z419" s="75"/>
      <x:c r="AA419" s="75"/>
      <x:c r="AB419" s="75"/>
      <x:c r="AC419" s="78"/>
      <x:c r="AD419" s="75"/>
      <x:c r="AE419" s="75"/>
      <x:c r="AF419" s="75"/>
      <x:c r="AG419" s="75"/>
      <x:c r="AH419" s="122" t="n">
        <x:v>15</x:v>
      </x:c>
      <x:c r="AI419" s="123" t="str">
        <x:v>Canonical source for Accounts &amp; Identity!15</x:v>
      </x:c>
    </x:row>
    <x:row r="420">
      <x:c r="A420" s="119" t="str">
        <x:v>Accounts &amp; Identity</x:v>
      </x:c>
      <x:c r="B420" s="121" t="str">
        <x:v>Global Unique Username?</x:v>
      </x:c>
      <x:c r="C420" s="75" t="str">
        <x:v>Yes / central namespace</x:v>
      </x:c>
      <x:c r="D420" s="75"/>
      <x:c r="E420" s="75"/>
      <x:c r="F420" s="75"/>
      <x:c r="G420" s="75"/>
      <x:c r="H420" s="75" t="str">
        <x:v>Yes / central namespace</x:v>
      </x:c>
      <x:c r="I420" s="75" t="str">
        <x:v>Yes / central namespace</x:v>
      </x:c>
      <x:c r="J420" s="75"/>
      <x:c r="K420" s="75"/>
      <x:c r="L420" s="75" t="str">
        <x:v>Yes — username@domain</x:v>
      </x:c>
      <x:c r="M420" s="75"/>
      <x:c r="N420" s="75"/>
      <x:c r="O420" s="75" t="str">
        <x:v>Homeserver-scoped Matrix ID</x:v>
      </x:c>
      <x:c r="P420" s="75"/>
      <x:c r="Q420" s="75"/>
      <x:c r="R420" s="75"/>
      <x:c r="S420" s="75"/>
      <x:c r="T420" s="75"/>
      <x:c r="U420" s="75"/>
      <x:c r="V420" s="75" t="str">
        <x:v>Yes / central namespace</x:v>
      </x:c>
      <x:c r="W420" s="75"/>
      <x:c r="X420" s="75"/>
      <x:c r="Y420" s="75" t="str">
        <x:v>Yes / central namespace</x:v>
      </x:c>
      <x:c r="Z420" s="75"/>
      <x:c r="AA420" s="75"/>
      <x:c r="AB420" s="75"/>
      <x:c r="AC420" s="78"/>
      <x:c r="AD420" s="75"/>
      <x:c r="AE420" s="75"/>
      <x:c r="AF420" s="75"/>
      <x:c r="AG420" s="75"/>
      <x:c r="AH420" s="122" t="n">
        <x:v>17</x:v>
      </x:c>
      <x:c r="AI420" s="123" t="str">
        <x:v>Canonical source for Accounts &amp; Identity!17</x:v>
      </x:c>
    </x:row>
    <x:row r="421">
      <x:c r="A421" s="119" t="str">
        <x:v>Accounts &amp; Identity</x:v>
      </x:c>
      <x:c r="B421" s="121" t="str">
        <x:v>Display Name Separate from Username?</x:v>
      </x:c>
      <x:c r="C421" s="75" t="str">
        <x:v>Yes</x:v>
      </x:c>
      <x:c r="D421" s="75"/>
      <x:c r="E421" s="75"/>
      <x:c r="F421" s="75"/>
      <x:c r="G421" s="75"/>
      <x:c r="H421" s="75" t="str">
        <x:v>Yes</x:v>
      </x:c>
      <x:c r="I421" s="75"/>
      <x:c r="J421" s="75"/>
      <x:c r="K421" s="75"/>
      <x:c r="L421" s="75" t="str">
        <x:v>Yes</x:v>
      </x:c>
      <x:c r="M421" s="75"/>
      <x:c r="N421" s="75"/>
      <x:c r="O421" s="75" t="str">
        <x:v>Yes</x:v>
      </x:c>
      <x:c r="P421" s="75"/>
      <x:c r="Q421" s="75" t="str">
        <x:v>Yes</x:v>
      </x:c>
      <x:c r="R421" s="75"/>
      <x:c r="S421" s="75"/>
      <x:c r="T421" s="75"/>
      <x:c r="U421" s="75"/>
      <x:c r="V421" s="75" t="str">
        <x:v>Yes</x:v>
      </x:c>
      <x:c r="W421" s="75"/>
      <x:c r="X421" s="75"/>
      <x:c r="Y421" s="75" t="str">
        <x:v>Yes</x:v>
      </x:c>
      <x:c r="Z421" s="75"/>
      <x:c r="AA421" s="75"/>
      <x:c r="AB421" s="75"/>
      <x:c r="AC421" s="78"/>
      <x:c r="AD421" s="75"/>
      <x:c r="AE421" s="75"/>
      <x:c r="AF421" s="75"/>
      <x:c r="AG421" s="75"/>
      <x:c r="AH421" s="122" t="n">
        <x:v>18</x:v>
      </x:c>
      <x:c r="AI421" s="123" t="str">
        <x:v>Canonical source for Accounts &amp; Identity!18</x:v>
      </x:c>
    </x:row>
    <x:row r="422">
      <x:c r="A422" s="119" t="str">
        <x:v>Accounts &amp; Identity</x:v>
      </x:c>
      <x:c r="B422" s="121" t="str">
        <x:v>Per-Community Profile?</x:v>
      </x:c>
      <x:c r="C422" s="75" t="str">
        <x:v>Yes</x:v>
      </x:c>
      <x:c r="D422" s="75"/>
      <x:c r="E422" s="75"/>
      <x:c r="F422" s="75"/>
      <x:c r="G422" s="75"/>
      <x:c r="H422" s="75" t="str">
        <x:v>Yes</x:v>
      </x:c>
      <x:c r="I422" s="75"/>
      <x:c r="J422" s="75"/>
      <x:c r="K422" s="75"/>
      <x:c r="L422" s="75" t="str">
        <x:v>Not specifically documented</x:v>
      </x:c>
      <x:c r="M422" s="75"/>
      <x:c r="N422" s="75"/>
      <x:c r="O422" s="75" t="str">
        <x:v>Client/provider-dependent</x:v>
      </x:c>
      <x:c r="P422" s="75"/>
      <x:c r="Q422" s="75"/>
      <x:c r="R422" s="75"/>
      <x:c r="S422" s="75"/>
      <x:c r="T422" s="75"/>
      <x:c r="U422" s="75"/>
      <x:c r="V422" s="75" t="str">
        <x:v>yes</x:v>
      </x:c>
      <x:c r="W422" s="75"/>
      <x:c r="X422" s="75"/>
      <x:c r="Y422" s="75"/>
      <x:c r="Z422" s="75"/>
      <x:c r="AA422" s="75"/>
      <x:c r="AB422" s="75"/>
      <x:c r="AC422" s="78"/>
      <x:c r="AD422" s="75"/>
      <x:c r="AE422" s="75"/>
      <x:c r="AF422" s="75"/>
      <x:c r="AG422" s="75"/>
      <x:c r="AH422" s="122" t="n">
        <x:v>19</x:v>
      </x:c>
      <x:c r="AI422" s="123" t="str">
        <x:v>Canonical source for Accounts &amp; Identity!19</x:v>
      </x:c>
    </x:row>
    <x:row r="423">
      <x:c r="A423" s="119" t="str">
        <x:v>Accounts &amp; Identity</x:v>
      </x:c>
      <x:c r="B423" s="121" t="str">
        <x:v>Multiple Accounts Supported?</x:v>
      </x:c>
      <x:c r="C423" s="75" t="str">
        <x:v>Desktop Account Switcher up to 5 accounts</x:v>
      </x:c>
      <x:c r="D423" s="75" t="str">
        <x:v>Key-based identity</x:v>
      </x:c>
      <x:c r="E423" s="75"/>
      <x:c r="F423" s="75"/>
      <x:c r="G423" s="75"/>
      <x:c r="H423" s="75"/>
      <x:c r="I423" s="75"/>
      <x:c r="J423" s="75"/>
      <x:c r="K423" s="75" t="str">
        <x:v>Multi-device identity sync</x:v>
      </x:c>
      <x:c r="L423" s="75" t="str">
        <x:v>Not documented</x:v>
      </x:c>
      <x:c r="M423" s="75"/>
      <x:c r="N423" s="75"/>
      <x:c r="O423" s="75" t="str">
        <x:v>Client-dependent; some support multiple accounts</x:v>
      </x:c>
      <x:c r="P423" s="75" t="str">
        <x:v>Multiple servers</x:v>
      </x:c>
      <x:c r="Q423" s="75"/>
      <x:c r="R423" s="75" t="str">
        <x:v>Server identity/bookmarks rather than cloud account switching</x:v>
      </x:c>
      <x:c r="S423" s="75"/>
      <x:c r="T423" s="75"/>
      <x:c r="U423" s="75"/>
      <x:c r="V423" s="75" t="str">
        <x:v>no</x:v>
      </x:c>
      <x:c r="W423" s="75" t="str">
        <x:v>Multiple workspaces</x:v>
      </x:c>
      <x:c r="X423" s="75" t="str">
        <x:v>ATProto identity</x:v>
      </x:c>
      <x:c r="Y423" s="75"/>
      <x:c r="Z423" s="75"/>
      <x:c r="AA423" s="75"/>
      <x:c r="AB423" s="75"/>
      <x:c r="AC423" s="78"/>
      <x:c r="AD423" s="75"/>
      <x:c r="AE423" s="75"/>
      <x:c r="AF423" s="75"/>
      <x:c r="AG423" s="75" t="str">
        <x:v>Multiple accounts/orgs</x:v>
      </x:c>
      <x:c r="AH423" s="122" t="n">
        <x:v>20</x:v>
      </x:c>
      <x:c r="AI423" s="123" t="str">
        <x:v>Canonical source for Accounts &amp; Identity!20</x:v>
      </x:c>
    </x:row>
    <x:row r="424">
      <x:c r="A424" s="119" t="str">
        <x:v>Accounts &amp; Identity</x:v>
      </x:c>
      <x:c r="B424" s="121" t="str">
        <x:v>Account Switcher Max Accounts</x:v>
      </x:c>
      <x:c r="C424" s="75" t="str">
        <x:v>5</x:v>
      </x:c>
      <x:c r="D424" s="75"/>
      <x:c r="E424" s="75"/>
      <x:c r="F424" s="75"/>
      <x:c r="G424" s="75"/>
      <x:c r="H424" s="75"/>
      <x:c r="I424" s="75"/>
      <x:c r="J424" s="75"/>
      <x:c r="K424" s="75"/>
      <x:c r="L424" s="75" t="str">
        <x:v>Not documented</x:v>
      </x:c>
      <x:c r="M424" s="75"/>
      <x:c r="N424" s="75"/>
      <x:c r="O424" s="75"/>
      <x:c r="P424" s="75"/>
      <x:c r="Q424" s="75"/>
      <x:c r="R424" s="75"/>
      <x:c r="S424" s="75"/>
      <x:c r="T424" s="75"/>
      <x:c r="U424" s="75"/>
      <x:c r="V424" s="75" t="str">
        <x:v>N/A</x:v>
      </x:c>
      <x:c r="W424" s="75"/>
      <x:c r="X424" s="75"/>
      <x:c r="Y424" s="75"/>
      <x:c r="Z424" s="75"/>
      <x:c r="AA424" s="75"/>
      <x:c r="AB424" s="75"/>
      <x:c r="AC424" s="78"/>
      <x:c r="AD424" s="75"/>
      <x:c r="AE424" s="75"/>
      <x:c r="AF424" s="75"/>
      <x:c r="AG424" s="75"/>
      <x:c r="AH424" s="122" t="n">
        <x:v>21</x:v>
      </x:c>
      <x:c r="AI424" s="123" t="str">
        <x:v>Canonical source for Accounts &amp; Identity!21</x:v>
      </x:c>
    </x:row>
    <x:row r="425">
      <x:c r="A425" s="119" t="str">
        <x:v>Accounts &amp; Identity</x:v>
      </x:c>
      <x:c r="B425" s="121" t="str">
        <x:v>Identity Portable Across Servers / Instances?</x:v>
      </x:c>
      <x:c r="C425" s="75"/>
      <x:c r="D425" s="75"/>
      <x:c r="E425" s="75"/>
      <x:c r="F425" s="75"/>
      <x:c r="G425" s="75"/>
      <x:c r="H425" s="75"/>
      <x:c r="I425" s="75"/>
      <x:c r="J425" s="75"/>
      <x:c r="K425" s="75"/>
      <x:c r="L425" s="75" t="str">
        <x:v>Federated identity works across instances, but home-instance migration is not documented</x:v>
      </x:c>
      <x:c r="M425" s="75"/>
      <x:c r="N425" s="75"/>
      <x:c r="O425" s="75"/>
      <x:c r="P425" s="75"/>
      <x:c r="Q425" s="75"/>
      <x:c r="R425" s="75"/>
      <x:c r="S425" s="75"/>
      <x:c r="T425" s="75"/>
      <x:c r="U425" s="75"/>
      <x:c r="V425" s="75" t="str">
        <x:v>N/A</x:v>
      </x:c>
      <x:c r="W425" s="75"/>
      <x:c r="X425" s="75"/>
      <x:c r="Y425" s="75"/>
      <x:c r="Z425" s="75"/>
      <x:c r="AA425" s="75"/>
      <x:c r="AB425" s="75"/>
      <x:c r="AC425" s="78"/>
      <x:c r="AD425" s="75"/>
      <x:c r="AE425" s="75"/>
      <x:c r="AF425" s="75"/>
      <x:c r="AG425" s="75"/>
      <x:c r="AH425" s="122" t="n">
        <x:v>22</x:v>
      </x:c>
      <x:c r="AI425" s="123" t="str">
        <x:v>Canonical source for Accounts &amp; Identity!22</x:v>
      </x:c>
    </x:row>
    <x:row r="426">
      <x:c r="A426" s="119" t="str">
        <x:v>Accounts &amp; Identity</x:v>
      </x:c>
      <x:c r="B426" s="121" t="str">
        <x:v>Minimum Age</x:v>
      </x:c>
      <x:c r="C426" s="75"/>
      <x:c r="D426" s="75"/>
      <x:c r="E426" s="75"/>
      <x:c r="F426" s="75"/>
      <x:c r="G426" s="75"/>
      <x:c r="H426" s="75"/>
      <x:c r="I426" s="75"/>
      <x:c r="J426" s="75"/>
      <x:c r="K426" s="75"/>
      <x:c r="L426" s="75" t="str">
        <x:v>Operator-configurable legal minimum age when custom policy pages are enabled; no single Kaede-wide age</x:v>
      </x:c>
      <x:c r="M426" s="75"/>
      <x:c r="N426" s="75"/>
      <x:c r="O426" s="75"/>
      <x:c r="P426" s="75"/>
      <x:c r="Q426" s="75"/>
      <x:c r="R426" s="75"/>
      <x:c r="S426" s="75"/>
      <x:c r="T426" s="75"/>
      <x:c r="U426" s="75"/>
      <x:c r="V426" s="75" t="str">
        <x:v>18+</x:v>
      </x:c>
      <x:c r="W426" s="75"/>
      <x:c r="X426" s="75"/>
      <x:c r="Y426" s="75"/>
      <x:c r="Z426" s="75"/>
      <x:c r="AA426" s="75"/>
      <x:c r="AB426" s="75"/>
      <x:c r="AC426" s="78"/>
      <x:c r="AD426" s="75"/>
      <x:c r="AE426" s="75"/>
      <x:c r="AF426" s="75"/>
      <x:c r="AG426" s="75"/>
      <x:c r="AH426" s="122" t="n">
        <x:v>24</x:v>
      </x:c>
      <x:c r="AI426" s="123" t="str">
        <x:v>Canonical source for Accounts &amp; Identity!24</x:v>
      </x:c>
    </x:row>
    <x:row r="427">
      <x:c r="A427" s="119" t="str">
        <x:v>Accounts &amp; Identity</x:v>
      </x:c>
      <x:c r="B427" s="121" t="str">
        <x:v>Self-Service Account Deletion?</x:v>
      </x:c>
      <x:c r="C427" s="75" t="str">
        <x:v>Yes</x:v>
      </x:c>
      <x:c r="D427" s="75"/>
      <x:c r="E427" s="75"/>
      <x:c r="F427" s="75"/>
      <x:c r="G427" s="75"/>
      <x:c r="H427" s="75" t="str">
        <x:v>Yes</x:v>
      </x:c>
      <x:c r="I427" s="75"/>
      <x:c r="J427" s="75"/>
      <x:c r="K427" s="75"/>
      <x:c r="L427" s="75" t="str">
        <x:v>No — operator guide explicitly says no self-service account-deletion control</x:v>
      </x:c>
      <x:c r="M427" s="75"/>
      <x:c r="N427" s="75"/>
      <x:c r="O427" s="75"/>
      <x:c r="P427" s="75"/>
      <x:c r="Q427" s="75" t="str">
        <x:v>Yes</x:v>
      </x:c>
      <x:c r="R427" s="75"/>
      <x:c r="S427" s="75"/>
      <x:c r="T427" s="75"/>
      <x:c r="U427" s="75"/>
      <x:c r="V427" s="75" t="str">
        <x:v>Yes</x:v>
      </x:c>
      <x:c r="W427" s="75"/>
      <x:c r="X427" s="75"/>
      <x:c r="Y427" s="75" t="str">
        <x:v>Yes</x:v>
      </x:c>
      <x:c r="Z427" s="75"/>
      <x:c r="AA427" s="75"/>
      <x:c r="AB427" s="75"/>
      <x:c r="AC427" s="78"/>
      <x:c r="AD427" s="75"/>
      <x:c r="AE427" s="75"/>
      <x:c r="AF427" s="75"/>
      <x:c r="AG427" s="75"/>
      <x:c r="AH427" s="122" t="n">
        <x:v>25</x:v>
      </x:c>
      <x:c r="AI427" s="123" t="str">
        <x:v>Canonical source for Accounts &amp; Identity!25</x:v>
      </x:c>
    </x:row>
    <x:row r="428">
      <x:c r="A428" s="119" t="str">
        <x:v>Accounts &amp; Identity</x:v>
      </x:c>
      <x:c r="B428" s="121" t="str">
        <x:v>Account Deletion Retention</x:v>
      </x:c>
      <x:c r="C428" s="75"/>
      <x:c r="D428" s="75"/>
      <x:c r="E428" s="75"/>
      <x:c r="F428" s="75"/>
      <x:c r="G428" s="75"/>
      <x:c r="H428" s="75"/>
      <x:c r="I428" s="75"/>
      <x:c r="J428" s="75"/>
      <x:c r="K428" s="75"/>
      <x:c r="L428" s="75" t="str">
        <x:v>Operator/request workflow; exact purge window is deployment-specific/not publicly fixed</x:v>
      </x:c>
      <x:c r="M428" s="75"/>
      <x:c r="N428" s="75"/>
      <x:c r="O428" s="75"/>
      <x:c r="P428" s="75"/>
      <x:c r="Q428" s="75"/>
      <x:c r="R428" s="75"/>
      <x:c r="S428" s="75"/>
      <x:c r="T428" s="75"/>
      <x:c r="U428" s="75"/>
      <x:c r="V428" s="75"/>
      <x:c r="W428" s="75"/>
      <x:c r="X428" s="75"/>
      <x:c r="Y428" s="75"/>
      <x:c r="Z428" s="75"/>
      <x:c r="AA428" s="75"/>
      <x:c r="AB428" s="75"/>
      <x:c r="AC428" s="78"/>
      <x:c r="AD428" s="75"/>
      <x:c r="AE428" s="75"/>
      <x:c r="AF428" s="75"/>
      <x:c r="AG428" s="75"/>
      <x:c r="AH428" s="122" t="n">
        <x:v>26</x:v>
      </x:c>
      <x:c r="AI428" s="123" t="str">
        <x:v>Canonical source for Accounts &amp; Identity!26</x:v>
      </x:c>
    </x:row>
    <x:row r="429">
      <x:c r="A429" s="119" t="str">
        <x:v>Accounts &amp; Identity</x:v>
      </x:c>
      <x:c r="B429" s="121" t="str">
        <x:v>Inactive Account Deletion Policy</x:v>
      </x:c>
      <x:c r="C429" s="75" t="str">
        <x:v>May delete inactive accounts after 2 years</x:v>
      </x:c>
      <x:c r="D429" s="75"/>
      <x:c r="E429" s="75"/>
      <x:c r="F429" s="75"/>
      <x:c r="G429" s="75"/>
      <x:c r="H429" s="75"/>
      <x:c r="I429" s="75"/>
      <x:c r="J429" s="75"/>
      <x:c r="K429" s="75"/>
      <x:c r="L429" s="75" t="str">
        <x:v>Not documented</x:v>
      </x:c>
      <x:c r="M429" s="75"/>
      <x:c r="N429" s="75"/>
      <x:c r="O429" s="75"/>
      <x:c r="P429" s="75"/>
      <x:c r="Q429" s="75"/>
      <x:c r="R429" s="75"/>
      <x:c r="S429" s="75"/>
      <x:c r="T429" s="75"/>
      <x:c r="U429" s="75"/>
      <x:c r="V429" s="75"/>
      <x:c r="W429" s="75"/>
      <x:c r="X429" s="75"/>
      <x:c r="Y429" s="75"/>
      <x:c r="Z429" s="75"/>
      <x:c r="AA429" s="75"/>
      <x:c r="AB429" s="75"/>
      <x:c r="AC429" s="78"/>
      <x:c r="AD429" s="75"/>
      <x:c r="AE429" s="75"/>
      <x:c r="AF429" s="75"/>
      <x:c r="AG429" s="75"/>
      <x:c r="AH429" s="122" t="n">
        <x:v>27</x:v>
      </x:c>
      <x:c r="AI429" s="123" t="str">
        <x:v>Canonical source for Accounts &amp; Identity!27</x:v>
      </x:c>
    </x:row>
    <x:row r="430">
      <x:c r="A430" s="119" t="str">
        <x:v>Accounts &amp; Identity</x:v>
      </x:c>
      <x:c r="B430" s="121" t="str">
        <x:v>Source &amp; Notes</x:v>
      </x:c>
      <x:c r="C430" s="75"/>
      <x:c r="D430" s="75"/>
      <x:c r="E430" s="75"/>
      <x:c r="F430" s="75"/>
      <x:c r="G430" s="75"/>
      <x:c r="H430" s="75"/>
      <x:c r="I430" s="75"/>
      <x:c r="J430" s="75"/>
      <x:c r="K430" s="75"/>
      <x:c r="L430" s="75"/>
      <x:c r="M430" s="75"/>
      <x:c r="N430" s="75"/>
      <x:c r="O430" s="75"/>
      <x:c r="P430" s="75"/>
      <x:c r="Q430" s="75"/>
      <x:c r="R430" s="75"/>
      <x:c r="S430" s="75"/>
      <x:c r="T430" s="75"/>
      <x:c r="U430" s="75" t="str">
        <x:v>Hosted account system uses Clerk; exact signup/recovery field requirements were not provided</x:v>
      </x:c>
      <x:c r="V430" s="75"/>
      <x:c r="W430" s="75"/>
      <x:c r="X430" s="75"/>
      <x:c r="Y430" s="75"/>
      <x:c r="Z430" s="75"/>
      <x:c r="AA430" s="75"/>
      <x:c r="AB430" s="75"/>
      <x:c r="AC430" s="78"/>
      <x:c r="AD430" s="75"/>
      <x:c r="AE430" s="75"/>
      <x:c r="AF430" s="75"/>
      <x:c r="AG430" s="75"/>
      <x:c r="AH430" s="122" t="n">
        <x:v>28</x:v>
      </x:c>
      <x:c r="AI430" s="123" t="str">
        <x:v>Canonical source for Accounts &amp; Identity!28</x:v>
      </x:c>
    </x:row>
    <x:row r="431">
      <x:c r="A431" s="119" t="str">
        <x:v>Accounts &amp; Identity</x:v>
      </x:c>
      <x:c r="B431" s="121" t="str">
        <x:v>Account / Identity Source URL</x:v>
      </x:c>
      <x:c r="C431" s="75" t="str">
        <x:v>https://support.discord.com/hc/en-us/articles/31676852332439-Discord-Sign-Up-and-Registration-Guide</x:v>
      </x:c>
      <x:c r="D431" s="75" t="str">
        <x:v>See Research Sources</x:v>
      </x:c>
      <x:c r="E431" s="75" t="str">
        <x:v>See Research Sources</x:v>
      </x:c>
      <x:c r="F431" s="75" t="str">
        <x:v>See Research Sources</x:v>
      </x:c>
      <x:c r="G431" s="75" t="str">
        <x:v>See Research Sources</x:v>
      </x:c>
      <x:c r="H431" s="75" t="str">
        <x:v>See Research Sources</x:v>
      </x:c>
      <x:c r="I431" s="75" t="str">
        <x:v>See Research Sources</x:v>
      </x:c>
      <x:c r="J431" s="75" t="str">
        <x:v>See Research Sources</x:v>
      </x:c>
      <x:c r="K431" s="75" t="str">
        <x:v>See Research Sources</x:v>
      </x:c>
      <x:c r="L431" s="75" t="str">
        <x:v>https://github.com/CookieNom/KaedeChat/blob/main/docs/operator.md</x:v>
      </x:c>
      <x:c r="M431" s="75" t="str">
        <x:v>See Research Sources</x:v>
      </x:c>
      <x:c r="N431" s="75" t="str">
        <x:v>See Research Sources</x:v>
      </x:c>
      <x:c r="O431" s="75" t="str">
        <x:v>See Research Sources</x:v>
      </x:c>
      <x:c r="P431" s="75" t="str">
        <x:v>See Research Sources</x:v>
      </x:c>
      <x:c r="Q431" s="75" t="str">
        <x:v>See Research Sources</x:v>
      </x:c>
      <x:c r="R431" s="75" t="str">
        <x:v>See Research Sources</x:v>
      </x:c>
      <x:c r="S431" s="75" t="str">
        <x:v>See Research Sources</x:v>
      </x:c>
      <x:c r="T431" s="75" t="str">
        <x:v>See Research Sources</x:v>
      </x:c>
      <x:c r="U431" s="75" t="str">
        <x:v>See Research Sources</x:v>
      </x:c>
      <x:c r="V431" s="75" t="str">
        <x:v>https://therift.chat/about/</x:v>
      </x:c>
      <x:c r="W431" s="75" t="str">
        <x:v>See Research Sources</x:v>
      </x:c>
      <x:c r="X431" s="75" t="str">
        <x:v>See Research Sources</x:v>
      </x:c>
      <x:c r="Y431" s="75" t="str">
        <x:v>See Research Sources</x:v>
      </x:c>
      <x:c r="Z431" s="75" t="str">
        <x:v>See Research Sources</x:v>
      </x:c>
      <x:c r="AA431" s="75" t="str">
        <x:v>See Research Sources</x:v>
      </x:c>
      <x:c r="AB431" s="75" t="str">
        <x:v>See Research Sources</x:v>
      </x:c>
      <x:c r="AC431" s="78" t="str">
        <x:v>See Research Sources</x:v>
      </x:c>
      <x:c r="AD431" s="75" t="str">
        <x:v>See Research Sources</x:v>
      </x:c>
      <x:c r="AE431" s="75" t="str">
        <x:v>See Research Sources</x:v>
      </x:c>
      <x:c r="AF431" s="75" t="str">
        <x:v>See Research Sources</x:v>
      </x:c>
      <x:c r="AG431" s="75" t="str">
        <x:v>See Research Sources</x:v>
      </x:c>
      <x:c r="AH431" s="122" t="n">
        <x:v>29</x:v>
      </x:c>
      <x:c r="AI431" s="123" t="str">
        <x:v>Canonical source for Accounts &amp; Identity!29</x:v>
      </x:c>
    </x:row>
    <x:row r="432">
      <x:c r="A432" s="119" t="str">
        <x:v>Accounts &amp; Identity</x:v>
      </x:c>
      <x:c r="B432" s="121" t="str">
        <x:v>Account / Identity Notes</x:v>
      </x:c>
      <x:c r="C432" s="75" t="str">
        <x:v>Email + username + password + DOB on desktop; phone or email on mobile; verification may be required</x:v>
      </x:c>
      <x:c r="D432" s="75" t="str">
        <x:v>Keypair/secret-based Nostr identity</x:v>
      </x:c>
      <x:c r="E432" s="75" t="str">
        <x:v>Server account or key-based messenger identity</x:v>
      </x:c>
      <x:c r="F432" s="75"/>
      <x:c r="G432" s="75"/>
      <x:c r="H432" s="75" t="str">
        <x:v>Email + username + password + DOB; phone verification may be triggered</x:v>
      </x:c>
      <x:c r="I432" s="75" t="str">
        <x:v>Username + password; no email/phone/ID required</x:v>
      </x:c>
      <x:c r="J432" s="75" t="str">
        <x:v>Email/password on Fermi hosted instance</x:v>
      </x:c>
      <x:c r="K432" s="75" t="str">
        <x:v>No traditional account; Ed25519 key + 24-word recovery phrase</x:v>
      </x:c>
      <x:c r="L432" s="75" t="str">
        <x:v>Handles are immutable username@domain. Email may be disabled by operators. Public operator docs say there is currently no full account export, account migration or self-service account deletion.</x:v>
      </x:c>
      <x:c r="M432" s="75" t="str">
        <x:v>No email/phone required; secret-key identity</x:v>
      </x:c>
      <x:c r="N432" s="75"/>
      <x:c r="O432" s="75" t="str">
        <x:v>Account on a homeserver; credential/SSO rules are server-dependent</x:v>
      </x:c>
      <x:c r="P432" s="75" t="str">
        <x:v>Email/SSO/LDAP depending deployment</x:v>
      </x:c>
      <x:c r="Q432" s="75"/>
      <x:c r="R432" s="75" t="str">
        <x:v>Username/certificate/password depending server</x:v>
      </x:c>
      <x:c r="S432" s="75" t="str">
        <x:v>Email verification required for messaging</x:v>
      </x:c>
      <x:c r="T432" s="75" t="str">
        <x:v>Email + username/password</x:v>
      </x:c>
      <x:c r="U432" s="75" t="str">
        <x:v>Hosted accounts via Clerk; self-host operator controls its own deployment</x:v>
      </x:c>
      <x:c r="V432" s="75" t="str">
        <x:v>Username + password only; no email/phone/ID</x:v>
      </x:c>
      <x:c r="W432" s="75" t="str">
        <x:v>Email/SSO/LDAP depending deployment</x:v>
      </x:c>
      <x:c r="X432" s="75" t="str">
        <x:v>Bluesky/ATProto identity by default</x:v>
      </x:c>
      <x:c r="Y432" s="75" t="str">
        <x:v>Username/email/password</x:v>
      </x:c>
      <x:c r="Z432" s="75" t="str">
        <x:v>Operator-configurable account rules</x:v>
      </x:c>
      <x:c r="AA432" s="75"/>
      <x:c r="AB432" s="75"/>
      <x:c r="AC432" s="78" t="str">
        <x:v>Email only; no phone/ID</x:v>
      </x:c>
      <x:c r="AD432" s="75" t="str">
        <x:v>Device/account registration</x:v>
      </x:c>
      <x:c r="AE432" s="75"/>
      <x:c r="AF432" s="75" t="str">
        <x:v>Email/password or account</x:v>
      </x:c>
      <x:c r="AG432" s="75" t="str">
        <x:v>Email/SSO depending deployment</x:v>
      </x:c>
      <x:c r="AH432" s="122" t="n">
        <x:v>30</x:v>
      </x:c>
      <x:c r="AI432" s="123" t="str">
        <x:v>Canonical source for Accounts &amp; Identity!30</x:v>
      </x:c>
    </x:row>
    <x:row r="433">
      <x:c r="A433" s="119" t="str">
        <x:v>Accounts &amp; Identity</x:v>
      </x:c>
      <x:c r="B433" s="121" t="str">
        <x:v>Two-Factor Authentication (TOTP)?</x:v>
      </x:c>
      <x:c r="C433" s="75" t="str">
        <x:v>Yes</x:v>
      </x:c>
      <x:c r="D433" s="75"/>
      <x:c r="E433" s="75"/>
      <x:c r="F433" s="75"/>
      <x:c r="G433" s="75"/>
      <x:c r="H433" s="75"/>
      <x:c r="I433" s="75"/>
      <x:c r="J433" s="75"/>
      <x:c r="K433" s="75"/>
      <x:c r="L433" s="75" t="str">
        <x:v>Yes/likely — backend architecture explicitly protects encrypted TOTP material; UI enrollment flow was not independently reviewed</x:v>
      </x:c>
      <x:c r="M433" s="75"/>
      <x:c r="N433" s="75"/>
      <x:c r="O433" s="75" t="str">
        <x:v>Provider/client dependent</x:v>
      </x:c>
      <x:c r="P433" s="75" t="str">
        <x:v>Yes</x:v>
      </x:c>
      <x:c r="Q433" s="75"/>
      <x:c r="R433" s="75"/>
      <x:c r="S433" s="75"/>
      <x:c r="T433" s="75"/>
      <x:c r="U433" s="75"/>
      <x:c r="V433" s="75" t="str">
        <x:v>Yes - Other Logged in Rift Instances</x:v>
      </x:c>
      <x:c r="W433" s="75" t="str">
        <x:v>Yes</x:v>
      </x:c>
      <x:c r="X433" s="75"/>
      <x:c r="Y433" s="75"/>
      <x:c r="Z433" s="75"/>
      <x:c r="AA433" s="75"/>
      <x:c r="AB433" s="75"/>
      <x:c r="AC433" s="78"/>
      <x:c r="AD433" s="75"/>
      <x:c r="AE433" s="75"/>
      <x:c r="AF433" s="75"/>
      <x:c r="AG433" s="75" t="str">
        <x:v>Yes</x:v>
      </x:c>
      <x:c r="AH433" s="122" t="n">
        <x:v>32</x:v>
      </x:c>
      <x:c r="AI433" s="123" t="str">
        <x:v>Canonical source for Accounts &amp; Identity!32</x:v>
      </x:c>
    </x:row>
    <x:row r="434">
      <x:c r="A434" s="119" t="str">
        <x:v>Accounts &amp; Identity</x:v>
      </x:c>
      <x:c r="B434" s="121" t="str">
        <x:v>Passkeys / WebAuthn?</x:v>
      </x:c>
      <x:c r="C434" s="75"/>
      <x:c r="D434" s="75"/>
      <x:c r="E434" s="75"/>
      <x:c r="F434" s="75"/>
      <x:c r="G434" s="75"/>
      <x:c r="H434" s="75"/>
      <x:c r="I434" s="75"/>
      <x:c r="J434" s="75"/>
      <x:c r="K434" s="75"/>
      <x:c r="L434" s="75" t="str">
        <x:v>Not documented</x:v>
      </x:c>
      <x:c r="M434" s="75"/>
      <x:c r="N434" s="75"/>
      <x:c r="O434" s="75"/>
      <x:c r="P434" s="75" t="str">
        <x:v>SSO/provider dependent</x:v>
      </x:c>
      <x:c r="Q434" s="75"/>
      <x:c r="R434" s="75"/>
      <x:c r="S434" s="75"/>
      <x:c r="T434" s="75"/>
      <x:c r="U434" s="75"/>
      <x:c r="V434" s="75"/>
      <x:c r="W434" s="75"/>
      <x:c r="X434" s="75"/>
      <x:c r="Y434" s="75"/>
      <x:c r="Z434" s="75"/>
      <x:c r="AA434" s="75"/>
      <x:c r="AB434" s="75"/>
      <x:c r="AC434" s="78"/>
      <x:c r="AD434" s="75"/>
      <x:c r="AE434" s="75"/>
      <x:c r="AF434" s="75"/>
      <x:c r="AG434" s="75"/>
      <x:c r="AH434" s="122" t="n">
        <x:v>33</x:v>
      </x:c>
      <x:c r="AI434" s="123" t="str">
        <x:v>Canonical source for Accounts &amp; Identity!33</x:v>
      </x:c>
    </x:row>
    <x:row r="435">
      <x:c r="A435" s="119" t="str">
        <x:v>Accounts &amp; Identity</x:v>
      </x:c>
      <x:c r="B435" s="121" t="str">
        <x:v>SAML / Enterprise SSO?</x:v>
      </x:c>
      <x:c r="C435" s="75"/>
      <x:c r="D435" s="75"/>
      <x:c r="E435" s="75"/>
      <x:c r="F435" s="75"/>
      <x:c r="G435" s="75"/>
      <x:c r="H435" s="75"/>
      <x:c r="I435" s="75"/>
      <x:c r="J435" s="75"/>
      <x:c r="K435" s="75"/>
      <x:c r="L435" s="75" t="str">
        <x:v>Not documented</x:v>
      </x:c>
      <x:c r="M435" s="75"/>
      <x:c r="N435" s="75"/>
      <x:c r="O435" s="75"/>
      <x:c r="P435" s="75" t="str">
        <x:v>Yes — paid editions</x:v>
      </x:c>
      <x:c r="Q435" s="75"/>
      <x:c r="R435" s="75"/>
      <x:c r="S435" s="75"/>
      <x:c r="T435" s="75"/>
      <x:c r="U435" s="75"/>
      <x:c r="V435" s="75"/>
      <x:c r="W435" s="75" t="str">
        <x:v>Yes — enterprise</x:v>
      </x:c>
      <x:c r="X435" s="75"/>
      <x:c r="Y435" s="75"/>
      <x:c r="Z435" s="75"/>
      <x:c r="AA435" s="75"/>
      <x:c r="AB435" s="75"/>
      <x:c r="AC435" s="78"/>
      <x:c r="AD435" s="75"/>
      <x:c r="AE435" s="75"/>
      <x:c r="AF435" s="75"/>
      <x:c r="AG435" s="75" t="str">
        <x:v>Yes — plans/deployment dependent</x:v>
      </x:c>
      <x:c r="AH435" s="122" t="n">
        <x:v>34</x:v>
      </x:c>
      <x:c r="AI435" s="123" t="str">
        <x:v>Canonical source for Accounts &amp; Identity!34</x:v>
      </x:c>
    </x:row>
    <x:row r="436">
      <x:c r="A436" s="119" t="str">
        <x:v>Accounts &amp; Identity</x:v>
      </x:c>
      <x:c r="B436" s="121" t="str">
        <x:v>OIDC / OAuth Login?</x:v>
      </x:c>
      <x:c r="C436" s="75"/>
      <x:c r="D436" s="75"/>
      <x:c r="E436" s="75"/>
      <x:c r="F436" s="75"/>
      <x:c r="G436" s="75"/>
      <x:c r="H436" s="75"/>
      <x:c r="I436" s="75"/>
      <x:c r="J436" s="75"/>
      <x:c r="K436" s="75"/>
      <x:c r="L436" s="75" t="str">
        <x:v>Not documented</x:v>
      </x:c>
      <x:c r="M436" s="75"/>
      <x:c r="N436" s="75"/>
      <x:c r="O436" s="75" t="str">
        <x:v>Provider-dependent</x:v>
      </x:c>
      <x:c r="P436" s="75" t="str">
        <x:v>Yes</x:v>
      </x:c>
      <x:c r="Q436" s="75"/>
      <x:c r="R436" s="75"/>
      <x:c r="S436" s="75"/>
      <x:c r="T436" s="75"/>
      <x:c r="U436" s="75"/>
      <x:c r="V436" s="75"/>
      <x:c r="W436" s="75" t="str">
        <x:v>Yes</x:v>
      </x:c>
      <x:c r="X436" s="75"/>
      <x:c r="Y436" s="75"/>
      <x:c r="Z436" s="75"/>
      <x:c r="AA436" s="75"/>
      <x:c r="AB436" s="75"/>
      <x:c r="AC436" s="78"/>
      <x:c r="AD436" s="75"/>
      <x:c r="AE436" s="75"/>
      <x:c r="AF436" s="75"/>
      <x:c r="AG436" s="75" t="str">
        <x:v>Yes</x:v>
      </x:c>
      <x:c r="AH436" s="122" t="n">
        <x:v>35</x:v>
      </x:c>
      <x:c r="AI436" s="123" t="str">
        <x:v>Canonical source for Accounts &amp; Identity!35</x:v>
      </x:c>
    </x:row>
    <x:row r="437">
      <x:c r="A437" s="119" t="str">
        <x:v>Accounts &amp; Identity</x:v>
      </x:c>
      <x:c r="B437" s="121" t="str">
        <x:v>Active Session / Device Management?</x:v>
      </x:c>
      <x:c r="C437" s="75" t="str">
        <x:v>Yes</x:v>
      </x:c>
      <x:c r="D437" s="75"/>
      <x:c r="E437" s="75"/>
      <x:c r="F437" s="75"/>
      <x:c r="G437" s="75"/>
      <x:c r="H437" s="75"/>
      <x:c r="I437" s="75"/>
      <x:c r="J437" s="75"/>
      <x:c r="K437" s="75"/>
      <x:c r="L437" s="75" t="str">
        <x:v>Yes — sessions are independently revocable in the E2EE/security model</x:v>
      </x:c>
      <x:c r="M437" s="75"/>
      <x:c r="N437" s="75"/>
      <x:c r="O437" s="75" t="str">
        <x:v>Client-dependent</x:v>
      </x:c>
      <x:c r="P437" s="75"/>
      <x:c r="Q437" s="75"/>
      <x:c r="R437" s="75"/>
      <x:c r="S437" s="75"/>
      <x:c r="T437" s="75"/>
      <x:c r="U437" s="75"/>
      <x:c r="V437" s="75" t="str">
        <x:v>Yes</x:v>
      </x:c>
      <x:c r="W437" s="75"/>
      <x:c r="X437" s="75"/>
      <x:c r="Y437" s="75"/>
      <x:c r="Z437" s="75"/>
      <x:c r="AA437" s="75"/>
      <x:c r="AB437" s="75"/>
      <x:c r="AC437" s="78"/>
      <x:c r="AD437" s="75"/>
      <x:c r="AE437" s="75"/>
      <x:c r="AF437" s="75"/>
      <x:c r="AG437" s="75"/>
      <x:c r="AH437" s="122" t="n">
        <x:v>36</x:v>
      </x:c>
      <x:c r="AI437" s="123" t="str">
        <x:v>Canonical source for Accounts &amp; Identity!36</x:v>
      </x:c>
    </x:row>
    <x:row r="438">
      <x:c r="A438" s="119" t="str">
        <x:v>Portability &amp; Bridging</x:v>
      </x:c>
      <x:c r="B438" s="121" t="str">
        <x:v>Discord Server Importer (Channels / Roles / Emotes)</x:v>
      </x:c>
      <x:c r="C438" s="75" t="str">
        <x:v>N/A — Discord is the source platform</x:v>
      </x:c>
      <x:c r="D438" s="75" t="str">
        <x:v>Yes — channels, roles, emoji and up to 10,000 messages/channel; optional live two-way bridge</x:v>
      </x:c>
      <x:c r="E438" s="75" t="str">
        <x:v>No template importer verified</x:v>
      </x:c>
      <x:c r="F438" s="75" t="str">
        <x:v>No Discord importer verified</x:v>
      </x:c>
      <x:c r="G438" s="75" t="str">
        <x:v>Planned/advertised Discord server template import</x:v>
      </x:c>
      <x:c r="H438" s="75" t="str">
        <x:v>No full Discord importer verified</x:v>
      </x:c>
      <x:c r="I438" s="75" t="str">
        <x:v>Yes — channels/roles/permissions/emojis/soundboard/events/assets</x:v>
      </x:c>
      <x:c r="J438" s="75" t="str">
        <x:v>No self-service importer verified; Creator plan advertises white-glove Discord migration</x:v>
      </x:c>
      <x:c r="K438" s="75" t="str">
        <x:v>No Discord importer verified</x:v>
      </x:c>
      <x:c r="L438" s="75" t="str">
        <x:v>No dedicated importer; official live Discord bridge exists</x:v>
      </x:c>
      <x:c r="M438" s="75" t="str">
        <x:v>No importer verified</x:v>
      </x:c>
      <x:c r="N438" s="75" t="str">
        <x:v>Yes — broad structural importer</x:v>
      </x:c>
      <x:c r="O438" s="75" t="str">
        <x:v>No protocol-level Discord importer; tools/clients may provide migration</x:v>
      </x:c>
      <x:c r="P438" s="75" t="str">
        <x:v>No native Discord importer</x:v>
      </x:c>
      <x:c r="Q438" s="75"/>
      <x:c r="R438" s="75" t="str">
        <x:v>No</x:v>
      </x:c>
      <x:c r="S438" s="75" t="str">
        <x:v>No importer verified</x:v>
      </x:c>
      <x:c r="T438" s="75" t="str">
        <x:v>Partial/template migration reported</x:v>
      </x:c>
      <x:c r="U438" s="75" t="str">
        <x:v>Layout only — categories, channels and main permissions; no messages or members</x:v>
      </x:c>
      <x:c r="V438" s="75" t="str">
        <x:v>Yes — Discord template structure import: categories, channels, forum tags, roles/order/colors, equivalent permissions; no messages/members</x:v>
      </x:c>
      <x:c r="W438" s="75" t="str">
        <x:v>No first-party Discord importer verified</x:v>
      </x:c>
      <x:c r="X438" s="75" t="str">
        <x:v>Discord bridge/import component exists</x:v>
      </x:c>
      <x:c r="Y438" s="75" t="str">
        <x:v>Yes — Discord server template import (roles/channels/groups/permissions)</x:v>
      </x:c>
      <x:c r="Z438" s="75" t="str">
        <x:v>Not an importer; aims for Discord client/bot API compatibility</x:v>
      </x:c>
      <x:c r="AA438" s="75" t="str">
        <x:v>No first-party Discord importer verified</x:v>
      </x:c>
      <x:c r="AB438" s="75" t="str">
        <x:v>No</x:v>
      </x:c>
      <x:c r="AC438" s="78" t="str">
        <x:v>Yes — built-in Discord importer</x:v>
      </x:c>
      <x:c r="AD438" s="75" t="str">
        <x:v>No Discord importer verified</x:v>
      </x:c>
      <x:c r="AE438" s="75" t="str">
        <x:v>No — design intentionally differs from Discord</x:v>
      </x:c>
      <x:c r="AF438" s="75" t="str">
        <x:v>No importer verified</x:v>
      </x:c>
      <x:c r="AG438" s="75" t="str">
        <x:v>No Discord importer; imports Slack/Mattermost/Rocket.Chat supported</x:v>
      </x:c>
      <x:c r="AH438" s="122" t="n">
        <x:v>3</x:v>
      </x:c>
      <x:c r="AI438" s="123" t="str">
        <x:v>Canonical metric shared by: At a Glance: Discord Server Importer | Portability &amp; Bridging: Discord Server Importer (Channels / Roles / Emotes)</x:v>
      </x:c>
    </x:row>
    <x:row r="439">
      <x:c r="A439" s="119" t="str">
        <x:v>Portability &amp; Bridging</x:v>
      </x:c>
      <x:c r="B439" s="121" t="str">
        <x:v>Full Chat History Export (JSON / CSV / HTML)</x:v>
      </x:c>
      <x:c r="C439" s="75" t="str">
        <x:v>Yes — Data Package ZIP; messages/account data delivered primarily as JSON</x:v>
      </x:c>
      <x:c r="D439" s="75"/>
      <x:c r="E439" s="75" t="str">
        <x:v>Account export/re-import</x:v>
      </x:c>
      <x:c r="F439" s="75"/>
      <x:c r="G439" s="75"/>
      <x:c r="H439" s="75" t="str">
        <x:v>Data export available</x:v>
      </x:c>
      <x:c r="I439" s="75"/>
      <x:c r="J439" s="75"/>
      <x:c r="K439" s="75" t="str">
        <x:v>Local archive export/import</x:v>
      </x:c>
      <x:c r="L439" s="75" t="str">
        <x:v>No full account/chat export workflow documented</x:v>
      </x:c>
      <x:c r="M439" s="75"/>
      <x:c r="N439" s="75" t="str">
        <x:v>Yes</x:v>
      </x:c>
      <x:c r="O439" s="75" t="str">
        <x:v>Homeserver/client-dependent exports</x:v>
      </x:c>
      <x:c r="P439" s="75" t="str">
        <x:v>Bulk export tools/admin export</x:v>
      </x:c>
      <x:c r="Q439" s="75"/>
      <x:c r="R439" s="75" t="str">
        <x:v>Server/operator logs/config; no Discord-style chat export</x:v>
      </x:c>
      <x:c r="S439" s="75"/>
      <x:c r="T439" s="75"/>
      <x:c r="U439" s="75" t="str">
        <x:v>Data export available; exact export format not stated</x:v>
      </x:c>
      <x:c r="V439" s="75" t="str">
        <x:v>No</x:v>
      </x:c>
      <x:c r="W439" s="75" t="str">
        <x:v>Admin export tools</x:v>
      </x:c>
      <x:c r="X439" s="75"/>
      <x:c r="Y439" s="75"/>
      <x:c r="Z439" s="75"/>
      <x:c r="AA439" s="75"/>
      <x:c r="AB439" s="75"/>
      <x:c r="AC439" s="78"/>
      <x:c r="AD439" s="75"/>
      <x:c r="AE439" s="75" t="str">
        <x:v>No</x:v>
      </x:c>
      <x:c r="AF439" s="75"/>
      <x:c r="AG439" s="75" t="str">
        <x:v>Exports available</x:v>
      </x:c>
      <x:c r="AH439" s="122" t="n">
        <x:v>4</x:v>
      </x:c>
      <x:c r="AI439" s="123" t="str">
        <x:v>Canonical source for Portability &amp; Bridging!4</x:v>
      </x:c>
    </x:row>
    <x:row r="440">
      <x:c r="A440" s="119" t="str">
        <x:v>Portability &amp; Bridging</x:v>
      </x:c>
      <x:c r="B440" s="121" t="str">
        <x:v>Media / Attachment Backup &amp; Export</x:v>
      </x:c>
      <x:c r="C440" s="75" t="str">
        <x:v>Yes — Data Package can include uploaded attachments in their file formats</x:v>
      </x:c>
      <x:c r="D440" s="75"/>
      <x:c r="E440" s="75" t="str">
        <x:v>Operator data</x:v>
      </x:c>
      <x:c r="F440" s="75"/>
      <x:c r="G440" s="75"/>
      <x:c r="H440" s="75"/>
      <x:c r="I440" s="75"/>
      <x:c r="J440" s="75"/>
      <x:c r="K440" s="75" t="str">
        <x:v>Local files/data export</x:v>
      </x:c>
      <x:c r="L440" s="75" t="str">
        <x:v>Direct attachment download exists; bulk media export is not documented</x:v>
      </x:c>
      <x:c r="M440" s="75"/>
      <x:c r="N440" s="75" t="str">
        <x:v>Yes</x:v>
      </x:c>
      <x:c r="O440" s="75" t="str">
        <x:v>Homeserver/client-dependent</x:v>
      </x:c>
      <x:c r="P440" s="75" t="str">
        <x:v>Export/backup supported admin-side</x:v>
      </x:c>
      <x:c r="Q440" s="75"/>
      <x:c r="R440" s="75" t="str">
        <x:v>N/A</x:v>
      </x:c>
      <x:c r="S440" s="75"/>
      <x:c r="T440" s="75"/>
      <x:c r="U440" s="75" t="str">
        <x:v>Data export exists; attachment-specific export behavior not stated</x:v>
      </x:c>
      <x:c r="V440" s="75" t="str">
        <x:v>Direct Attachement downloads</x:v>
      </x:c>
      <x:c r="W440" s="75" t="str">
        <x:v>Backup/export supported admin-side</x:v>
      </x:c>
      <x:c r="X440" s="75"/>
      <x:c r="Y440" s="75"/>
      <x:c r="Z440" s="75"/>
      <x:c r="AA440" s="75"/>
      <x:c r="AB440" s="75"/>
      <x:c r="AC440" s="78"/>
      <x:c r="AD440" s="75"/>
      <x:c r="AE440" s="75" t="str">
        <x:v>No</x:v>
      </x:c>
      <x:c r="AF440" s="75" t="str">
        <x:v>Operator files</x:v>
      </x:c>
      <x:c r="AG440" s="75" t="str">
        <x:v>Exports include realm data; attachment details deployment-dependent</x:v>
      </x:c>
      <x:c r="AH440" s="122" t="n">
        <x:v>5</x:v>
      </x:c>
      <x:c r="AI440" s="123" t="str">
        <x:v>Canonical source for Portability &amp; Bridging!5</x:v>
      </x:c>
    </x:row>
    <x:row r="441">
      <x:c r="A441" s="119" t="str">
        <x:v>Portability &amp; Bridging</x:v>
      </x:c>
      <x:c r="B441" s="121" t="str">
        <x:v>Native Discord Bridge Support</x:v>
      </x:c>
      <x:c r="C441" s="75" t="str">
        <x:v>N/A — Discord is the source platform</x:v>
      </x:c>
      <x:c r="D441" s="75" t="str">
        <x:v>Yes — optional live two-way bridge</x:v>
      </x:c>
      <x:c r="E441" s="75" t="str">
        <x:v>Discord bridge WIP</x:v>
      </x:c>
      <x:c r="F441" s="75" t="str">
        <x:v>No</x:v>
      </x:c>
      <x:c r="G441" s="75" t="str">
        <x:v>No native bridge verified</x:v>
      </x:c>
      <x:c r="H441" s="75" t="str">
        <x:v>No native Discord bridge verified</x:v>
      </x:c>
      <x:c r="I441" s="75" t="str">
        <x:v>No native live bridge verified</x:v>
      </x:c>
      <x:c r="J441" s="75" t="str">
        <x:v>Discord bot/API compatibility can ease bot migration</x:v>
      </x:c>
      <x:c r="K441" s="75" t="str">
        <x:v>No Discord bridge verified</x:v>
      </x:c>
      <x:c r="L441" s="75" t="str">
        <x:v>Yes — official Discord↔Kaede bridge bot is included in the repository</x:v>
      </x:c>
      <x:c r="M441" s="75" t="str">
        <x:v>No</x:v>
      </x:c>
      <x:c r="N441" s="75" t="str">
        <x:v>No live bridge verified</x:v>
      </x:c>
      <x:c r="O441" s="75" t="str">
        <x:v>Yes — ecosystem bridges such as matrix-appservice-discord / mautrix-discord</x:v>
      </x:c>
      <x:c r="P441" s="75" t="str">
        <x:v>No native Discord bridge</x:v>
      </x:c>
      <x:c r="Q441" s="75" t="str">
        <x:v>No</x:v>
      </x:c>
      <x:c r="R441" s="75" t="str">
        <x:v>No</x:v>
      </x:c>
      <x:c r="S441" s="75" t="str">
        <x:v>No</x:v>
      </x:c>
      <x:c r="T441" s="75"/>
      <x:c r="U441" s="75" t="str">
        <x:v>No</x:v>
      </x:c>
      <x:c r="V441" s="75" t="str">
        <x:v>No</x:v>
      </x:c>
      <x:c r="W441" s="75" t="str">
        <x:v>No native Discord bridge</x:v>
      </x:c>
      <x:c r="X441" s="75" t="str">
        <x:v>Yes — bidirectional Discord bridge package</x:v>
      </x:c>
      <x:c r="Y441" s="75" t="str">
        <x:v>No native live Discord bridge</x:v>
      </x:c>
      <x:c r="Z441" s="75" t="str">
        <x:v>API compatibility enables some Discord bots/clients, not a live bridge</x:v>
      </x:c>
      <x:c r="AA441" s="75" t="str">
        <x:v>No native Discord bridge verified</x:v>
      </x:c>
      <x:c r="AB441" s="75" t="str">
        <x:v>No native</x:v>
      </x:c>
      <x:c r="AC441" s="78" t="str">
        <x:v>No live bridge verified</x:v>
      </x:c>
      <x:c r="AD441" s="75" t="str">
        <x:v>Bridge possible by protocol design; no native bridge verified</x:v>
      </x:c>
      <x:c r="AE441" s="75" t="str">
        <x:v>No</x:v>
      </x:c>
      <x:c r="AF441" s="75" t="str">
        <x:v>No</x:v>
      </x:c>
      <x:c r="AG441" s="75" t="str">
        <x:v>No native Discord bridge</x:v>
      </x:c>
      <x:c r="AH441" s="122" t="n">
        <x:v>6</x:v>
      </x:c>
      <x:c r="AI441" s="123" t="str">
        <x:v>Canonical source for Portability &amp; Bridging!6</x:v>
      </x:c>
    </x:row>
    <x:row r="442">
      <x:c r="A442" s="119" t="str">
        <x:v>Portability &amp; Bridging</x:v>
      </x:c>
      <x:c r="B442" s="121" t="str">
        <x:v>Matrix Bridge / Appservice Support</x:v>
      </x:c>
      <x:c r="C442" s="75" t="str">
        <x:v>No native official Matrix bridge/appservice</x:v>
      </x:c>
      <x:c r="D442" s="75" t="str">
        <x:v>N/A</x:v>
      </x:c>
      <x:c r="E442" s="75" t="str">
        <x:v>No Matrix bridge verified</x:v>
      </x:c>
      <x:c r="F442" s="75" t="str">
        <x:v>No</x:v>
      </x:c>
      <x:c r="G442" s="75" t="str">
        <x:v>No native Matrix bridge verified</x:v>
      </x:c>
      <x:c r="H442" s="75" t="str">
        <x:v>No Matrix bridge verified</x:v>
      </x:c>
      <x:c r="I442" s="75" t="str">
        <x:v>No native Matrix bridge verified</x:v>
      </x:c>
      <x:c r="J442" s="75" t="str">
        <x:v>No Matrix bridge verified</x:v>
      </x:c>
      <x:c r="K442" s="75" t="str">
        <x:v>No Matrix bridge verified</x:v>
      </x:c>
      <x:c r="L442" s="75" t="str">
        <x:v>No Matrix bridge documented</x:v>
      </x:c>
      <x:c r="M442" s="75" t="str">
        <x:v>No</x:v>
      </x:c>
      <x:c r="N442" s="75" t="str">
        <x:v>No native Matrix bridge verified</x:v>
      </x:c>
      <x:c r="O442" s="75" t="str">
        <x:v>N/A — Matrix is itself the Matrix protocol</x:v>
      </x:c>
      <x:c r="P442" s="75" t="str">
        <x:v>Integrations possible; no native Matrix bridge core</x:v>
      </x:c>
      <x:c r="Q442" s="75" t="str">
        <x:v>No</x:v>
      </x:c>
      <x:c r="R442" s="75" t="str">
        <x:v>No native</x:v>
      </x:c>
      <x:c r="S442" s="75" t="str">
        <x:v>No</x:v>
      </x:c>
      <x:c r="T442" s="75"/>
      <x:c r="U442" s="75" t="str">
        <x:v>No shipping Matrix bridge claim</x:v>
      </x:c>
      <x:c r="V442" s="75" t="str">
        <x:v>No</x:v>
      </x:c>
      <x:c r="W442" s="75" t="str">
        <x:v>Federation uses Matrix protocol components; not the same as a generic Matrix bridge</x:v>
      </x:c>
      <x:c r="X442" s="75" t="str">
        <x:v>N/A</x:v>
      </x:c>
      <x:c r="Y442" s="75" t="str">
        <x:v>No native Matrix bridge</x:v>
      </x:c>
      <x:c r="Z442" s="75" t="str">
        <x:v>No native Matrix bridge verified</x:v>
      </x:c>
      <x:c r="AA442" s="75" t="str">
        <x:v>No native Matrix bridge verified</x:v>
      </x:c>
      <x:c r="AB442" s="75" t="str">
        <x:v>No native</x:v>
      </x:c>
      <x:c r="AC442" s="78" t="str">
        <x:v>No</x:v>
      </x:c>
      <x:c r="AD442" s="75" t="str">
        <x:v>Bridge to Matrix possible in theory, not native</x:v>
      </x:c>
      <x:c r="AE442" s="75" t="str">
        <x:v>No</x:v>
      </x:c>
      <x:c r="AF442" s="75" t="str">
        <x:v>No</x:v>
      </x:c>
      <x:c r="AG442" s="75" t="str">
        <x:v>No native Matrix bridge</x:v>
      </x:c>
      <x:c r="AH442" s="122" t="n">
        <x:v>7</x:v>
      </x:c>
      <x:c r="AI442" s="123" t="str">
        <x:v>Canonical source for Portability &amp; Bridging!7</x:v>
      </x:c>
    </x:row>
    <x:row r="443">
      <x:c r="A443" s="119" t="str">
        <x:v>Portability &amp; Bridging</x:v>
      </x:c>
      <x:c r="B443" s="121" t="str">
        <x:v>IRC Relay Bridge Support</x:v>
      </x:c>
      <x:c r="C443" s="75" t="str">
        <x:v>No native official IRC relay bridge</x:v>
      </x:c>
      <x:c r="D443" s="75"/>
      <x:c r="E443" s="75" t="str">
        <x:v>No IRC bridge verified</x:v>
      </x:c>
      <x:c r="F443" s="75" t="str">
        <x:v>No</x:v>
      </x:c>
      <x:c r="G443" s="75" t="str">
        <x:v>No native IRC bridge verified</x:v>
      </x:c>
      <x:c r="H443" s="75" t="str">
        <x:v>No IRC bridge verified</x:v>
      </x:c>
      <x:c r="I443" s="75" t="str">
        <x:v>No native IRC bridge verified</x:v>
      </x:c>
      <x:c r="J443" s="75" t="str">
        <x:v>Discord bridge via Bolt/community mentioned; not core verified</x:v>
      </x:c>
      <x:c r="K443" s="75" t="str">
        <x:v>No IRC bridge</x:v>
      </x:c>
      <x:c r="L443" s="75" t="str">
        <x:v>No IRC bridge documented</x:v>
      </x:c>
      <x:c r="M443" s="75" t="str">
        <x:v>No</x:v>
      </x:c>
      <x:c r="N443" s="75" t="str">
        <x:v>No native IRC bridge verified</x:v>
      </x:c>
      <x:c r="O443" s="75" t="str">
        <x:v>Yes — ecosystem IRC bridges</x:v>
      </x:c>
      <x:c r="P443" s="75" t="str">
        <x:v>Integrations possible</x:v>
      </x:c>
      <x:c r="Q443" s="75" t="str">
        <x:v>No</x:v>
      </x:c>
      <x:c r="R443" s="75" t="str">
        <x:v>No native</x:v>
      </x:c>
      <x:c r="S443" s="75" t="str">
        <x:v>No</x:v>
      </x:c>
      <x:c r="T443" s="75"/>
      <x:c r="U443" s="75" t="str">
        <x:v>No</x:v>
      </x:c>
      <x:c r="V443" s="75" t="str">
        <x:v>No</x:v>
      </x:c>
      <x:c r="W443" s="75"/>
      <x:c r="X443" s="75" t="str">
        <x:v>No native IRC</x:v>
      </x:c>
      <x:c r="Y443" s="75" t="str">
        <x:v>No native IRC bridge</x:v>
      </x:c>
      <x:c r="Z443" s="75" t="str">
        <x:v>No native IRC bridge verified</x:v>
      </x:c>
      <x:c r="AA443" s="75" t="str">
        <x:v>No native IRC bridge verified</x:v>
      </x:c>
      <x:c r="AB443" s="75" t="str">
        <x:v>No native</x:v>
      </x:c>
      <x:c r="AC443" s="78" t="str">
        <x:v>No</x:v>
      </x:c>
      <x:c r="AD443" s="75"/>
      <x:c r="AE443" s="75" t="str">
        <x:v>No</x:v>
      </x:c>
      <x:c r="AF443" s="75" t="str">
        <x:v>No</x:v>
      </x:c>
      <x:c r="AG443" s="75" t="str">
        <x:v>IRC integration possible via bots; no native relay verified</x:v>
      </x:c>
      <x:c r="AH443" s="122" t="n">
        <x:v>8</x:v>
      </x:c>
      <x:c r="AI443" s="123" t="str">
        <x:v>Canonical source for Portability &amp; Bridging!8</x:v>
      </x:c>
    </x:row>
    <x:row r="444">
      <x:c r="A444" s="119" t="str">
        <x:v>Portability &amp; Bridging</x:v>
      </x:c>
      <x:c r="B444" s="121" t="str">
        <x:v>Multi-Server / Account Switching UX</x:v>
      </x:c>
      <x:c r="C444" s="75" t="str">
        <x:v>Yes — server switching + desktop Account Switcher for up to 5 accounts</x:v>
      </x:c>
      <x:c r="D444" s="75" t="str">
        <x:v>Nostr identity works across relays</x:v>
      </x:c>
      <x:c r="E444" s="75" t="str">
        <x:v>Accounts can export/import; messenger identity crosses home servers</x:v>
      </x:c>
      <x:c r="F444" s="75" t="str">
        <x:v>Multi-server</x:v>
      </x:c>
      <x:c r="G444" s="75"/>
      <x:c r="H444" s="75" t="str">
        <x:v>Self-host instances supported; federation/account portability not yet</x:v>
      </x:c>
      <x:c r="I444" s="75" t="str">
        <x:v>Multi-server UX</x:v>
      </x:c>
      <x:c r="J444" s="75" t="str">
        <x:v>Instance picker in Fermi</x:v>
      </x:c>
      <x:c r="K444" s="75" t="str">
        <x:v>Identity key works across relays</x:v>
      </x:c>
      <x:c r="L444" s="75" t="str">
        <x:v>One home account accesses federated resources; no cross-home account switcher/migration workflow documented</x:v>
      </x:c>
      <x:c r="M444" s="75" t="str">
        <x:v>Single service</x:v>
      </x:c>
      <x:c r="N444" s="75" t="str">
        <x:v>Self-host/federation design</x:v>
      </x:c>
      <x:c r="O444" s="75" t="str">
        <x:v>Client choice is a core feature; users can switch Matrix clients on the same account</x:v>
      </x:c>
      <x:c r="P444" s="75" t="str">
        <x:v>Desktop supports multiple servers</x:v>
      </x:c>
      <x:c r="Q444" s="75" t="str">
        <x:v>Multi-clan</x:v>
      </x:c>
      <x:c r="R444" s="75" t="str">
        <x:v>Multi-server bookmarks; account identity can use certificates</x:v>
      </x:c>
      <x:c r="S444" s="75" t="str">
        <x:v>Single hosted service UX</x:v>
      </x:c>
      <x:c r="T444" s="75" t="str">
        <x:v>Multi-community</x:v>
      </x:c>
      <x:c r="U444" s="75" t="str">
        <x:v>No</x:v>
      </x:c>
      <x:c r="V444" s="75" t="str">
        <x:v>Multi-community/portal UX</x:v>
      </x:c>
      <x:c r="W444" s="75" t="str">
        <x:v>Multiple workspaces supported by clients</x:v>
      </x:c>
      <x:c r="X444" s="75" t="str">
        <x:v>ATProto identity/client model</x:v>
      </x:c>
      <x:c r="Y444" s="75"/>
      <x:c r="Z444" s="75" t="str">
        <x:v>Instances are separate; no federation</x:v>
      </x:c>
      <x:c r="AA444" s="75" t="str">
        <x:v>Multiple servers/instances are not fully seamless in official clients</x:v>
      </x:c>
      <x:c r="AB444" s="75" t="str">
        <x:v>Multi-server bookmarks/connections</x:v>
      </x:c>
      <x:c r="AC444" s="78" t="str">
        <x:v>Self-host/node migration</x:v>
      </x:c>
      <x:c r="AD444" s="75" t="str">
        <x:v>Federation target is single account across servers</x:v>
      </x:c>
      <x:c r="AE444" s="75" t="str">
        <x:v>Lobby-based UX</x:v>
      </x:c>
      <x:c r="AF444" s="75" t="str">
        <x:v>Server selection</x:v>
      </x:c>
      <x:c r="AG444" s="75" t="str">
        <x:v>Multiple organizations/accounts supported</x:v>
      </x:c>
      <x:c r="AH444" s="122" t="n">
        <x:v>9</x:v>
      </x:c>
      <x:c r="AI444" s="123" t="str">
        <x:v>Canonical source for Portability &amp; Bridging!9</x:v>
      </x:c>
    </x:row>
    <x:row r="445">
      <x:c r="A445" s="119" t="str">
        <x:v>Portability &amp; Bridging</x:v>
      </x:c>
      <x:c r="B445" s="121" t="str">
        <x:v>Migration Depth</x:v>
      </x:c>
      <x:c r="C445" s="75"/>
      <x:c r="D445" s="75"/>
      <x:c r="E445" s="75"/>
      <x:c r="F445" s="75"/>
      <x:c r="G445" s="75"/>
      <x:c r="H445" s="75"/>
      <x:c r="I445" s="75"/>
      <x:c r="J445" s="75"/>
      <x:c r="K445" s="75"/>
      <x:c r="L445" s="75" t="str">
        <x:v>Bridge/interoperability exists; no automated Discord data migration/importer</x:v>
      </x:c>
      <x:c r="M445" s="75"/>
      <x:c r="N445" s="75"/>
      <x:c r="O445" s="75"/>
      <x:c r="P445" s="75"/>
      <x:c r="Q445" s="75"/>
      <x:c r="R445" s="75"/>
      <x:c r="S445" s="75"/>
      <x:c r="T445" s="75"/>
      <x:c r="U445" s="75"/>
      <x:c r="V445" s="75"/>
      <x:c r="W445" s="75"/>
      <x:c r="X445" s="75"/>
      <x:c r="Y445" s="75"/>
      <x:c r="Z445" s="75"/>
      <x:c r="AA445" s="75"/>
      <x:c r="AB445" s="75"/>
      <x:c r="AC445" s="78"/>
      <x:c r="AD445" s="75"/>
      <x:c r="AE445" s="75"/>
      <x:c r="AF445" s="75"/>
      <x:c r="AG445" s="75"/>
      <x:c r="AH445" s="122" t="n">
        <x:v>10</x:v>
      </x:c>
      <x:c r="AI445" s="123" t="str">
        <x:v>Canonical source for Portability &amp; Bridging!10</x:v>
      </x:c>
    </x:row>
    <x:row r="446">
      <x:c r="A446" s="119" t="str">
        <x:v>Portability &amp; Bridging</x:v>
      </x:c>
      <x:c r="B446" s="121" t="str">
        <x:v>Discord Webhook Compatibility</x:v>
      </x:c>
      <x:c r="C446" s="75" t="str">
        <x:v>N/A</x:v>
      </x:c>
      <x:c r="D446" s="75"/>
      <x:c r="E446" s="75"/>
      <x:c r="F446" s="75"/>
      <x:c r="G446" s="75"/>
      <x:c r="H446" s="75"/>
      <x:c r="I446" s="75"/>
      <x:c r="J446" s="75"/>
      <x:c r="K446" s="75"/>
      <x:c r="L446" s="75" t="str">
        <x:v>No Discord webhook-format compatibility claim; Kaede has its own incoming webhook model</x:v>
      </x:c>
      <x:c r="M446" s="75"/>
      <x:c r="N446" s="75"/>
      <x:c r="O446" s="75"/>
      <x:c r="P446" s="75"/>
      <x:c r="Q446" s="75"/>
      <x:c r="R446" s="75"/>
      <x:c r="S446" s="75"/>
      <x:c r="T446" s="75"/>
      <x:c r="U446" s="75" t="str">
        <x:v>Yes — Discord-compatible incoming webhooks</x:v>
      </x:c>
      <x:c r="V446" s="75" t="str">
        <x:v>Yes — accepts Discord webhook format</x:v>
      </x:c>
      <x:c r="W446" s="75"/>
      <x:c r="X446" s="75"/>
      <x:c r="Y446" s="75"/>
      <x:c r="Z446" s="75"/>
      <x:c r="AA446" s="75"/>
      <x:c r="AB446" s="75"/>
      <x:c r="AC446" s="78"/>
      <x:c r="AD446" s="75"/>
      <x:c r="AE446" s="75"/>
      <x:c r="AF446" s="75"/>
      <x:c r="AG446" s="75"/>
      <x:c r="AH446" s="122" t="n">
        <x:v>16</x:v>
      </x:c>
      <x:c r="AI446" s="123" t="str">
        <x:v>Canonical source for Portability &amp; Bridging!16</x:v>
      </x:c>
    </x:row>
    <x:row r="447">
      <x:c r="A447" s="119" t="str">
        <x:v>Interop &amp; Portability Details</x:v>
      </x:c>
      <x:c r="B447" s="121" t="str">
        <x:v>Discord Server Template Import</x:v>
      </x:c>
      <x:c r="C447" s="75" t="str">
        <x:v>N/A</x:v>
      </x:c>
      <x:c r="D447" s="75" t="str">
        <x:v>Yes — built-in Discord import wizard</x:v>
      </x:c>
      <x:c r="E447" s="75" t="str">
        <x:v>No</x:v>
      </x:c>
      <x:c r="F447" s="75" t="str">
        <x:v>No</x:v>
      </x:c>
      <x:c r="G447" s="75" t="str">
        <x:v>Planned/advertised</x:v>
      </x:c>
      <x:c r="H447" s="75" t="str">
        <x:v>No full importer verified</x:v>
      </x:c>
      <x:c r="I447" s="75" t="str">
        <x:v>Yes</x:v>
      </x:c>
      <x:c r="J447" s="75" t="str">
        <x:v>No</x:v>
      </x:c>
      <x:c r="K447" s="75" t="str">
        <x:v>No</x:v>
      </x:c>
      <x:c r="L447" s="75" t="str">
        <x:v>No dedicated Discord server importer documented</x:v>
      </x:c>
      <x:c r="M447" s="75" t="str">
        <x:v>No</x:v>
      </x:c>
      <x:c r="N447" s="75" t="str">
        <x:v>Yes</x:v>
      </x:c>
      <x:c r="O447" s="75" t="str">
        <x:v>Third-party/tool-dependent</x:v>
      </x:c>
      <x:c r="P447" s="75" t="str">
        <x:v>No</x:v>
      </x:c>
      <x:c r="Q447" s="75"/>
      <x:c r="R447" s="75" t="str">
        <x:v>No</x:v>
      </x:c>
      <x:c r="S447" s="75" t="str">
        <x:v>No</x:v>
      </x:c>
      <x:c r="T447" s="75" t="str">
        <x:v>Template/import tools reported</x:v>
      </x:c>
      <x:c r="U447" s="75" t="str">
        <x:v>Yes — paste a discord.new template; layout only</x:v>
      </x:c>
      <x:c r="V447" s="75" t="str">
        <x:v>Yes — previewed structure import</x:v>
      </x:c>
      <x:c r="W447" s="75" t="str">
        <x:v>No verified</x:v>
      </x:c>
      <x:c r="X447" s="75" t="str">
        <x:v>Bridge-based rather than template importer</x:v>
      </x:c>
      <x:c r="Y447" s="75" t="str">
        <x:v>Yes</x:v>
      </x:c>
      <x:c r="Z447" s="75" t="str">
        <x:v>No — API compatibility approach instead</x:v>
      </x:c>
      <x:c r="AA447" s="75" t="str">
        <x:v>No verified</x:v>
      </x:c>
      <x:c r="AB447" s="75" t="str">
        <x:v>No</x:v>
      </x:c>
      <x:c r="AC447" s="78" t="str">
        <x:v>Yes</x:v>
      </x:c>
      <x:c r="AD447" s="75" t="str">
        <x:v>No</x:v>
      </x:c>
      <x:c r="AE447" s="75" t="str">
        <x:v>No</x:v>
      </x:c>
      <x:c r="AF447" s="75" t="str">
        <x:v>No</x:v>
      </x:c>
      <x:c r="AG447" s="75" t="str">
        <x:v>No</x:v>
      </x:c>
      <x:c r="AH447" s="122" t="n">
        <x:v>3</x:v>
      </x:c>
      <x:c r="AI447" s="123" t="str">
        <x:v>Canonical source for Interop &amp; Portability Details!3</x:v>
      </x:c>
    </x:row>
    <x:row r="448">
      <x:c r="A448" s="119" t="str">
        <x:v>Interop &amp; Portability Details</x:v>
      </x:c>
      <x:c r="B448" s="121" t="str">
        <x:v>Discord Channels Import</x:v>
      </x:c>
      <x:c r="C448" s="75" t="str">
        <x:v>N/A</x:v>
      </x:c>
      <x:c r="D448" s="75"/>
      <x:c r="E448" s="75" t="str">
        <x:v>No</x:v>
      </x:c>
      <x:c r="F448" s="75" t="str">
        <x:v>No</x:v>
      </x:c>
      <x:c r="G448" s="75" t="str">
        <x:v>Planned/advertised</x:v>
      </x:c>
      <x:c r="H448" s="75" t="str">
        <x:v>No full importer verified</x:v>
      </x:c>
      <x:c r="I448" s="75" t="str">
        <x:v>Yes</x:v>
      </x:c>
      <x:c r="J448" s="75" t="str">
        <x:v>No</x:v>
      </x:c>
      <x:c r="K448" s="75" t="str">
        <x:v>No</x:v>
      </x:c>
      <x:c r="L448" s="75" t="str">
        <x:v>No dedicated Discord server importer documented</x:v>
      </x:c>
      <x:c r="M448" s="75" t="str">
        <x:v>No</x:v>
      </x:c>
      <x:c r="N448" s="75" t="str">
        <x:v>Yes</x:v>
      </x:c>
      <x:c r="O448" s="75" t="str">
        <x:v>Tool-dependent</x:v>
      </x:c>
      <x:c r="P448" s="75" t="str">
        <x:v>No</x:v>
      </x:c>
      <x:c r="Q448" s="75"/>
      <x:c r="R448" s="75" t="str">
        <x:v>No</x:v>
      </x:c>
      <x:c r="S448" s="75" t="str">
        <x:v>No</x:v>
      </x:c>
      <x:c r="T448" s="75"/>
      <x:c r="U448" s="75" t="str">
        <x:v>Yes</x:v>
      </x:c>
      <x:c r="V448" s="75" t="str">
        <x:v>Yes — via template structure import</x:v>
      </x:c>
      <x:c r="W448" s="75" t="str">
        <x:v>No verified</x:v>
      </x:c>
      <x:c r="X448" s="75"/>
      <x:c r="Y448" s="75" t="str">
        <x:v>Yes</x:v>
      </x:c>
      <x:c r="Z448" s="75" t="str">
        <x:v>N/A/compatibility</x:v>
      </x:c>
      <x:c r="AA448" s="75" t="str">
        <x:v>No verified</x:v>
      </x:c>
      <x:c r="AB448" s="75" t="str">
        <x:v>No</x:v>
      </x:c>
      <x:c r="AC448" s="78"/>
      <x:c r="AD448" s="75" t="str">
        <x:v>No</x:v>
      </x:c>
      <x:c r="AE448" s="75" t="str">
        <x:v>No</x:v>
      </x:c>
      <x:c r="AF448" s="75" t="str">
        <x:v>No</x:v>
      </x:c>
      <x:c r="AG448" s="75" t="str">
        <x:v>No</x:v>
      </x:c>
      <x:c r="AH448" s="122" t="n">
        <x:v>4</x:v>
      </x:c>
      <x:c r="AI448" s="123" t="str">
        <x:v>Canonical source for Interop &amp; Portability Details!4</x:v>
      </x:c>
    </x:row>
    <x:row r="449">
      <x:c r="A449" s="119" t="str">
        <x:v>Interop &amp; Portability Details</x:v>
      </x:c>
      <x:c r="B449" s="121" t="str">
        <x:v>Discord Roles Import</x:v>
      </x:c>
      <x:c r="C449" s="75" t="str">
        <x:v>N/A</x:v>
      </x:c>
      <x:c r="D449" s="75" t="str">
        <x:v>Yes — names, colors, hierarchy and mapped permissions</x:v>
      </x:c>
      <x:c r="E449" s="75" t="str">
        <x:v>No</x:v>
      </x:c>
      <x:c r="F449" s="75" t="str">
        <x:v>No</x:v>
      </x:c>
      <x:c r="G449" s="75" t="str">
        <x:v>Planned/advertised</x:v>
      </x:c>
      <x:c r="H449" s="75" t="str">
        <x:v>No full importer verified</x:v>
      </x:c>
      <x:c r="I449" s="75" t="str">
        <x:v>Yes</x:v>
      </x:c>
      <x:c r="J449" s="75" t="str">
        <x:v>No</x:v>
      </x:c>
      <x:c r="K449" s="75" t="str">
        <x:v>No</x:v>
      </x:c>
      <x:c r="L449" s="75" t="str">
        <x:v>No dedicated Discord server importer documented</x:v>
      </x:c>
      <x:c r="M449" s="75" t="str">
        <x:v>No</x:v>
      </x:c>
      <x:c r="N449" s="75" t="str">
        <x:v>Yes</x:v>
      </x:c>
      <x:c r="O449" s="75" t="str">
        <x:v>Tool-dependent</x:v>
      </x:c>
      <x:c r="P449" s="75" t="str">
        <x:v>No</x:v>
      </x:c>
      <x:c r="Q449" s="75"/>
      <x:c r="R449" s="75" t="str">
        <x:v>No</x:v>
      </x:c>
      <x:c r="S449" s="75" t="str">
        <x:v>No</x:v>
      </x:c>
      <x:c r="T449" s="75"/>
      <x:c r="U449" s="75" t="str">
        <x:v>Yes — main roles/layout</x:v>
      </x:c>
      <x:c r="V449" s="75" t="str">
        <x:v>Yes — roles, colors, order</x:v>
      </x:c>
      <x:c r="W449" s="75" t="str">
        <x:v>No verified</x:v>
      </x:c>
      <x:c r="X449" s="75"/>
      <x:c r="Y449" s="75" t="str">
        <x:v>Yes</x:v>
      </x:c>
      <x:c r="Z449" s="75" t="str">
        <x:v>N/A/compatibility</x:v>
      </x:c>
      <x:c r="AA449" s="75" t="str">
        <x:v>No verified</x:v>
      </x:c>
      <x:c r="AB449" s="75" t="str">
        <x:v>No</x:v>
      </x:c>
      <x:c r="AC449" s="78"/>
      <x:c r="AD449" s="75" t="str">
        <x:v>No</x:v>
      </x:c>
      <x:c r="AE449" s="75" t="str">
        <x:v>No</x:v>
      </x:c>
      <x:c r="AF449" s="75" t="str">
        <x:v>No</x:v>
      </x:c>
      <x:c r="AG449" s="75" t="str">
        <x:v>No</x:v>
      </x:c>
      <x:c r="AH449" s="122" t="n">
        <x:v>5</x:v>
      </x:c>
      <x:c r="AI449" s="123" t="str">
        <x:v>Canonical source for Interop &amp; Portability Details!5</x:v>
      </x:c>
    </x:row>
    <x:row r="450">
      <x:c r="A450" s="119" t="str">
        <x:v>Interop &amp; Portability Details</x:v>
      </x:c>
      <x:c r="B450" s="121" t="str">
        <x:v>Discord Permission Import</x:v>
      </x:c>
      <x:c r="C450" s="75" t="str">
        <x:v>N/A</x:v>
      </x:c>
      <x:c r="D450" s="75" t="str">
        <x:v>Partial — permissions are mapped where Armada has an equivalent; unsupported Discord-only permissions are dropped</x:v>
      </x:c>
      <x:c r="E450" s="75" t="str">
        <x:v>No</x:v>
      </x:c>
      <x:c r="F450" s="75" t="str">
        <x:v>No</x:v>
      </x:c>
      <x:c r="G450" s="75" t="str">
        <x:v>Planned/advertised</x:v>
      </x:c>
      <x:c r="H450" s="75" t="str">
        <x:v>No full importer verified</x:v>
      </x:c>
      <x:c r="I450" s="75" t="str">
        <x:v>Yes</x:v>
      </x:c>
      <x:c r="J450" s="75" t="str">
        <x:v>No</x:v>
      </x:c>
      <x:c r="K450" s="75" t="str">
        <x:v>No</x:v>
      </x:c>
      <x:c r="L450" s="75" t="str">
        <x:v>No dedicated Discord server importer documented</x:v>
      </x:c>
      <x:c r="M450" s="75" t="str">
        <x:v>No</x:v>
      </x:c>
      <x:c r="N450" s="75" t="str">
        <x:v>Yes</x:v>
      </x:c>
      <x:c r="O450" s="75" t="str">
        <x:v>Tool-dependent</x:v>
      </x:c>
      <x:c r="P450" s="75" t="str">
        <x:v>No</x:v>
      </x:c>
      <x:c r="Q450" s="75"/>
      <x:c r="R450" s="75" t="str">
        <x:v>No</x:v>
      </x:c>
      <x:c r="S450" s="75" t="str">
        <x:v>No</x:v>
      </x:c>
      <x:c r="T450" s="75"/>
      <x:c r="U450" s="75" t="str">
        <x:v>Yes — main permissions</x:v>
      </x:c>
      <x:c r="V450" s="75" t="str">
        <x:v>Yes — rules with Rift equivalents</x:v>
      </x:c>
      <x:c r="W450" s="75" t="str">
        <x:v>No verified</x:v>
      </x:c>
      <x:c r="X450" s="75"/>
      <x:c r="Y450" s="75" t="str">
        <x:v>Yes</x:v>
      </x:c>
      <x:c r="Z450" s="75" t="str">
        <x:v>N/A/compatibility</x:v>
      </x:c>
      <x:c r="AA450" s="75" t="str">
        <x:v>No verified</x:v>
      </x:c>
      <x:c r="AB450" s="75" t="str">
        <x:v>No</x:v>
      </x:c>
      <x:c r="AC450" s="78"/>
      <x:c r="AD450" s="75" t="str">
        <x:v>No</x:v>
      </x:c>
      <x:c r="AE450" s="75" t="str">
        <x:v>No</x:v>
      </x:c>
      <x:c r="AF450" s="75" t="str">
        <x:v>No</x:v>
      </x:c>
      <x:c r="AG450" s="75" t="str">
        <x:v>No</x:v>
      </x:c>
      <x:c r="AH450" s="122" t="n">
        <x:v>6</x:v>
      </x:c>
      <x:c r="AI450" s="123" t="str">
        <x:v>Canonical metric shared by: Portability &amp; Bridging: Discord Permission Import | Interop &amp; Portability Details: Discord Permission Import</x:v>
      </x:c>
    </x:row>
    <x:row r="451">
      <x:c r="A451" s="119" t="str">
        <x:v>Interop &amp; Portability Details</x:v>
      </x:c>
      <x:c r="B451" s="121" t="str">
        <x:v>Discord Emoji / Sticker Import</x:v>
      </x:c>
      <x:c r="C451" s="75" t="str">
        <x:v>N/A</x:v>
      </x:c>
      <x:c r="D451" s="75"/>
      <x:c r="E451" s="75" t="str">
        <x:v>No</x:v>
      </x:c>
      <x:c r="F451" s="75" t="str">
        <x:v>No</x:v>
      </x:c>
      <x:c r="G451" s="75"/>
      <x:c r="H451" s="75" t="str">
        <x:v>No</x:v>
      </x:c>
      <x:c r="I451" s="75" t="str">
        <x:v>Yes</x:v>
      </x:c>
      <x:c r="J451" s="75" t="str">
        <x:v>No</x:v>
      </x:c>
      <x:c r="K451" s="75" t="str">
        <x:v>No</x:v>
      </x:c>
      <x:c r="L451" s="75" t="str">
        <x:v>No dedicated Discord server importer documented</x:v>
      </x:c>
      <x:c r="M451" s="75" t="str">
        <x:v>No</x:v>
      </x:c>
      <x:c r="N451" s="75" t="str">
        <x:v>Yes</x:v>
      </x:c>
      <x:c r="O451" s="75" t="str">
        <x:v>Tool-dependent</x:v>
      </x:c>
      <x:c r="P451" s="75" t="str">
        <x:v>No</x:v>
      </x:c>
      <x:c r="Q451" s="75"/>
      <x:c r="R451" s="75" t="str">
        <x:v>No</x:v>
      </x:c>
      <x:c r="S451" s="75" t="str">
        <x:v>No</x:v>
      </x:c>
      <x:c r="T451" s="75"/>
      <x:c r="U451" s="75"/>
      <x:c r="V451" s="75" t="str">
        <x:v>No / not documented</x:v>
      </x:c>
      <x:c r="W451" s="75" t="str">
        <x:v>No</x:v>
      </x:c>
      <x:c r="X451" s="75"/>
      <x:c r="Y451" s="75" t="str">
        <x:v>No</x:v>
      </x:c>
      <x:c r="Z451" s="75" t="str">
        <x:v>N/A/compatibility</x:v>
      </x:c>
      <x:c r="AA451" s="75" t="str">
        <x:v>No verified</x:v>
      </x:c>
      <x:c r="AB451" s="75" t="str">
        <x:v>No</x:v>
      </x:c>
      <x:c r="AC451" s="78"/>
      <x:c r="AD451" s="75" t="str">
        <x:v>No</x:v>
      </x:c>
      <x:c r="AE451" s="75" t="str">
        <x:v>No</x:v>
      </x:c>
      <x:c r="AF451" s="75" t="str">
        <x:v>No</x:v>
      </x:c>
      <x:c r="AG451" s="75" t="str">
        <x:v>No</x:v>
      </x:c>
      <x:c r="AH451" s="122" t="n">
        <x:v>7</x:v>
      </x:c>
      <x:c r="AI451" s="123" t="str">
        <x:v>Canonical metric shared by: Portability &amp; Bridging: Discord Emoji / Sticker Import | Interop &amp; Portability Details: Discord Emoji / Sticker Import</x:v>
      </x:c>
    </x:row>
    <x:row r="452">
      <x:c r="A452" s="119" t="str">
        <x:v>Interop &amp; Portability Details</x:v>
      </x:c>
      <x:c r="B452" s="121" t="str">
        <x:v>Discord Message History Import</x:v>
      </x:c>
      <x:c r="C452" s="75" t="str">
        <x:v>N/A</x:v>
      </x:c>
      <x:c r="D452" s="75" t="str">
        <x:v>Yes — newest 10,000 messages/channel for servers with 100 members or fewer</x:v>
      </x:c>
      <x:c r="E452" s="75" t="str">
        <x:v>No</x:v>
      </x:c>
      <x:c r="F452" s="75" t="str">
        <x:v>No</x:v>
      </x:c>
      <x:c r="G452" s="75" t="str">
        <x:v>No</x:v>
      </x:c>
      <x:c r="H452" s="75" t="str">
        <x:v>No</x:v>
      </x:c>
      <x:c r="I452" s="75" t="str">
        <x:v>No</x:v>
      </x:c>
      <x:c r="J452" s="75" t="str">
        <x:v>No</x:v>
      </x:c>
      <x:c r="K452" s="75" t="str">
        <x:v>No</x:v>
      </x:c>
      <x:c r="L452" s="75" t="str">
        <x:v>No dedicated Discord server importer documented</x:v>
      </x:c>
      <x:c r="M452" s="75" t="str">
        <x:v>No</x:v>
      </x:c>
      <x:c r="N452" s="75" t="str">
        <x:v>No</x:v>
      </x:c>
      <x:c r="O452" s="75" t="str">
        <x:v>Possible with bridge/import tooling</x:v>
      </x:c>
      <x:c r="P452" s="75" t="str">
        <x:v>No</x:v>
      </x:c>
      <x:c r="Q452" s="75"/>
      <x:c r="R452" s="75" t="str">
        <x:v>No</x:v>
      </x:c>
      <x:c r="S452" s="75" t="str">
        <x:v>No</x:v>
      </x:c>
      <x:c r="T452" s="75" t="str">
        <x:v>No</x:v>
      </x:c>
      <x:c r="U452" s="75" t="str">
        <x:v>No</x:v>
      </x:c>
      <x:c r="V452" s="75" t="str">
        <x:v>No</x:v>
      </x:c>
      <x:c r="W452" s="75" t="str">
        <x:v>No</x:v>
      </x:c>
      <x:c r="X452" s="75"/>
      <x:c r="Y452" s="75" t="str">
        <x:v>No</x:v>
      </x:c>
      <x:c r="Z452" s="75" t="str">
        <x:v>No</x:v>
      </x:c>
      <x:c r="AA452" s="75" t="str">
        <x:v>No</x:v>
      </x:c>
      <x:c r="AB452" s="75" t="str">
        <x:v>No</x:v>
      </x:c>
      <x:c r="AC452" s="78"/>
      <x:c r="AD452" s="75" t="str">
        <x:v>No</x:v>
      </x:c>
      <x:c r="AE452" s="75" t="str">
        <x:v>No</x:v>
      </x:c>
      <x:c r="AF452" s="75" t="str">
        <x:v>No</x:v>
      </x:c>
      <x:c r="AG452" s="75" t="str">
        <x:v>No</x:v>
      </x:c>
      <x:c r="AH452" s="122" t="n">
        <x:v>8</x:v>
      </x:c>
      <x:c r="AI452" s="123" t="str">
        <x:v>Canonical metric shared by: Portability &amp; Bridging: Discord Message History Import | Interop &amp; Portability Details: Discord Message History Import</x:v>
      </x:c>
    </x:row>
    <x:row r="453">
      <x:c r="A453" s="119" t="str">
        <x:v>Interop &amp; Portability Details</x:v>
      </x:c>
      <x:c r="B453" s="121" t="str">
        <x:v>Discord Attachment Import</x:v>
      </x:c>
      <x:c r="C453" s="75" t="str">
        <x:v>N/A</x:v>
      </x:c>
      <x:c r="D453" s="75"/>
      <x:c r="E453" s="75" t="str">
        <x:v>No</x:v>
      </x:c>
      <x:c r="F453" s="75" t="str">
        <x:v>No</x:v>
      </x:c>
      <x:c r="G453" s="75" t="str">
        <x:v>No</x:v>
      </x:c>
      <x:c r="H453" s="75" t="str">
        <x:v>No</x:v>
      </x:c>
      <x:c r="I453" s="75" t="str">
        <x:v>No</x:v>
      </x:c>
      <x:c r="J453" s="75" t="str">
        <x:v>No</x:v>
      </x:c>
      <x:c r="K453" s="75" t="str">
        <x:v>No</x:v>
      </x:c>
      <x:c r="L453" s="75" t="str">
        <x:v>No dedicated Discord server importer documented</x:v>
      </x:c>
      <x:c r="M453" s="75" t="str">
        <x:v>No</x:v>
      </x:c>
      <x:c r="N453" s="75" t="str">
        <x:v>No</x:v>
      </x:c>
      <x:c r="O453" s="75" t="str">
        <x:v>Possible with tooling</x:v>
      </x:c>
      <x:c r="P453" s="75" t="str">
        <x:v>No</x:v>
      </x:c>
      <x:c r="Q453" s="75"/>
      <x:c r="R453" s="75" t="str">
        <x:v>No</x:v>
      </x:c>
      <x:c r="S453" s="75" t="str">
        <x:v>No</x:v>
      </x:c>
      <x:c r="T453" s="75" t="str">
        <x:v>No</x:v>
      </x:c>
      <x:c r="U453" s="75" t="str">
        <x:v>No</x:v>
      </x:c>
      <x:c r="V453" s="75" t="str">
        <x:v>No</x:v>
      </x:c>
      <x:c r="W453" s="75" t="str">
        <x:v>No</x:v>
      </x:c>
      <x:c r="X453" s="75"/>
      <x:c r="Y453" s="75" t="str">
        <x:v>No</x:v>
      </x:c>
      <x:c r="Z453" s="75" t="str">
        <x:v>No</x:v>
      </x:c>
      <x:c r="AA453" s="75" t="str">
        <x:v>No</x:v>
      </x:c>
      <x:c r="AB453" s="75" t="str">
        <x:v>No</x:v>
      </x:c>
      <x:c r="AC453" s="78"/>
      <x:c r="AD453" s="75" t="str">
        <x:v>No</x:v>
      </x:c>
      <x:c r="AE453" s="75" t="str">
        <x:v>No</x:v>
      </x:c>
      <x:c r="AF453" s="75" t="str">
        <x:v>No</x:v>
      </x:c>
      <x:c r="AG453" s="75" t="str">
        <x:v>No</x:v>
      </x:c>
      <x:c r="AH453" s="122" t="n">
        <x:v>9</x:v>
      </x:c>
      <x:c r="AI453" s="123" t="str">
        <x:v>Canonical metric shared by: Portability &amp; Bridging: Discord Attachment Import | Interop &amp; Portability Details: Discord Attachment Import</x:v>
      </x:c>
    </x:row>
    <x:row r="454">
      <x:c r="A454" s="119" t="str">
        <x:v>Interop &amp; Portability Details</x:v>
      </x:c>
      <x:c r="B454" s="121" t="str">
        <x:v>User Data Export</x:v>
      </x:c>
      <x:c r="C454" s="75" t="str">
        <x:v>Yes</x:v>
      </x:c>
      <x:c r="D454" s="75" t="str">
        <x:v>Nostr events/keys are portable</x:v>
      </x:c>
      <x:c r="E454" s="75" t="str">
        <x:v>Yes — account export/import</x:v>
      </x:c>
      <x:c r="F454" s="75"/>
      <x:c r="G454" s="75"/>
      <x:c r="H454" s="75" t="str">
        <x:v>Yes</x:v>
      </x:c>
      <x:c r="I454" s="75"/>
      <x:c r="J454" s="75" t="str">
        <x:v>Operator-defined</x:v>
      </x:c>
      <x:c r="K454" s="75" t="str">
        <x:v>Yes — local archive export/import</x:v>
      </x:c>
      <x:c r="L454" s="75" t="str">
        <x:v>No full account/chat export workflow documented</x:v>
      </x:c>
      <x:c r="M454" s="75"/>
      <x:c r="N454" s="75" t="str">
        <x:v>Export coming soon</x:v>
      </x:c>
      <x:c r="O454" s="75" t="str">
        <x:v>Client/homeserver-dependent</x:v>
      </x:c>
      <x:c r="P454" s="75" t="str">
        <x:v>Yes — admin/bulk export</x:v>
      </x:c>
      <x:c r="Q454" s="75"/>
      <x:c r="R454" s="75" t="str">
        <x:v>Server logs/config only</x:v>
      </x:c>
      <x:c r="S454" s="75"/>
      <x:c r="T454" s="75"/>
      <x:c r="U454" s="75" t="str">
        <x:v>Yes</x:v>
      </x:c>
      <x:c r="V454" s="75" t="str">
        <x:v>Yes - Account Data Export</x:v>
      </x:c>
      <x:c r="W454" s="75" t="str">
        <x:v>Yes/admin tools</x:v>
      </x:c>
      <x:c r="X454" s="75" t="str">
        <x:v>ATProto data portability</x:v>
      </x:c>
      <x:c r="Y454" s="75"/>
      <x:c r="Z454" s="75"/>
      <x:c r="AA454" s="75"/>
      <x:c r="AB454" s="75"/>
      <x:c r="AC454" s="78"/>
      <x:c r="AD454" s="75"/>
      <x:c r="AE454" s="75"/>
      <x:c r="AF454" s="75" t="str">
        <x:v>Operator-controlled</x:v>
      </x:c>
      <x:c r="AG454" s="75" t="str">
        <x:v>Yes</x:v>
      </x:c>
      <x:c r="AH454" s="122" t="n">
        <x:v>10</x:v>
      </x:c>
      <x:c r="AI454" s="123" t="str">
        <x:v>Canonical source for Interop &amp; Portability Details!10</x:v>
      </x:c>
    </x:row>
    <x:row r="455">
      <x:c r="A455" s="119" t="str">
        <x:v>Interop &amp; Portability Details</x:v>
      </x:c>
      <x:c r="B455" s="121" t="str">
        <x:v>Export Format</x:v>
      </x:c>
      <x:c r="C455" s="75" t="str">
        <x:v>ZIP / JSON-heavy Data Package</x:v>
      </x:c>
      <x:c r="D455" s="75" t="str">
        <x:v>Nostr events</x:v>
      </x:c>
      <x:c r="E455" s="75" t="str">
        <x:v>DCTS export</x:v>
      </x:c>
      <x:c r="F455" s="75"/>
      <x:c r="G455" s="75"/>
      <x:c r="H455" s="75"/>
      <x:c r="I455" s="75"/>
      <x:c r="J455" s="75"/>
      <x:c r="K455" s="75" t="str">
        <x:v>Encrypted .hollow/local formats</x:v>
      </x:c>
      <x:c r="L455" s="75" t="str">
        <x:v>No full account/chat export workflow documented</x:v>
      </x:c>
      <x:c r="M455" s="75"/>
      <x:c r="N455" s="75"/>
      <x:c r="O455" s="75" t="str">
        <x:v>Client/provider-dependent</x:v>
      </x:c>
      <x:c r="P455" s="75" t="str">
        <x:v>Bulk/export formats</x:v>
      </x:c>
      <x:c r="Q455" s="75"/>
      <x:c r="R455" s="75" t="str">
        <x:v>N/A</x:v>
      </x:c>
      <x:c r="S455" s="75"/>
      <x:c r="T455" s="75"/>
      <x:c r="U455" s="75" t="str">
        <x:v>Not publicly specified in the response</x:v>
      </x:c>
      <x:c r="V455" s="75" t="str">
        <x:v>.json</x:v>
      </x:c>
      <x:c r="W455" s="75" t="str">
        <x:v>Export/backup deployment-dependent</x:v>
      </x:c>
      <x:c r="X455" s="75" t="str">
        <x:v>ATProto records</x:v>
      </x:c>
      <x:c r="Y455" s="75"/>
      <x:c r="Z455" s="75"/>
      <x:c r="AA455" s="75"/>
      <x:c r="AB455" s="75"/>
      <x:c r="AC455" s="78"/>
      <x:c r="AD455" s="75"/>
      <x:c r="AE455" s="75"/>
      <x:c r="AF455" s="75"/>
      <x:c r="AG455" s="75" t="str">
        <x:v>Zulip export archives</x:v>
      </x:c>
      <x:c r="AH455" s="122" t="n">
        <x:v>11</x:v>
      </x:c>
      <x:c r="AI455" s="123" t="str">
        <x:v>Canonical source for Interop &amp; Portability Details!11</x:v>
      </x:c>
    </x:row>
    <x:row r="456">
      <x:c r="A456" s="119" t="str">
        <x:v>Interop &amp; Portability Details</x:v>
      </x:c>
      <x:c r="B456" s="121" t="str">
        <x:v>Attachment Export</x:v>
      </x:c>
      <x:c r="C456" s="75" t="str">
        <x:v>Yes in data package</x:v>
      </x:c>
      <x:c r="D456" s="75" t="str">
        <x:v>Relay dependent</x:v>
      </x:c>
      <x:c r="E456" s="75"/>
      <x:c r="F456" s="75"/>
      <x:c r="G456" s="75"/>
      <x:c r="H456" s="75"/>
      <x:c r="I456" s="75"/>
      <x:c r="J456" s="75"/>
      <x:c r="K456" s="75" t="str">
        <x:v>Yes/local</x:v>
      </x:c>
      <x:c r="L456" s="75" t="str">
        <x:v>Direct attachment download exists; bulk media export is not documented</x:v>
      </x:c>
      <x:c r="M456" s="75"/>
      <x:c r="N456" s="75" t="str">
        <x:v>Export coming soon</x:v>
      </x:c>
      <x:c r="O456" s="75" t="str">
        <x:v>Client/provider-dependent</x:v>
      </x:c>
      <x:c r="P456" s="75" t="str">
        <x:v>Yes/admin backup/export</x:v>
      </x:c>
      <x:c r="Q456" s="75"/>
      <x:c r="R456" s="75" t="str">
        <x:v>N/A</x:v>
      </x:c>
      <x:c r="S456" s="75"/>
      <x:c r="T456" s="75"/>
      <x:c r="U456" s="75" t="str">
        <x:v>Yes</x:v>
      </x:c>
      <x:c r="V456" s="75" t="str">
        <x:v>Direct Download</x:v>
      </x:c>
      <x:c r="W456" s="75" t="str">
        <x:v>Yes/admin backup</x:v>
      </x:c>
      <x:c r="X456" s="75"/>
      <x:c r="Y456" s="75"/>
      <x:c r="Z456" s="75"/>
      <x:c r="AA456" s="75"/>
      <x:c r="AB456" s="75"/>
      <x:c r="AC456" s="78"/>
      <x:c r="AD456" s="75"/>
      <x:c r="AE456" s="75"/>
      <x:c r="AF456" s="75" t="str">
        <x:v>Operator-controlled</x:v>
      </x:c>
      <x:c r="AG456" s="75" t="str">
        <x:v>Yes/admin export</x:v>
      </x:c>
      <x:c r="AH456" s="122" t="n">
        <x:v>12</x:v>
      </x:c>
      <x:c r="AI456" s="123" t="str">
        <x:v>Canonical source for Interop &amp; Portability Details!12</x:v>
      </x:c>
    </x:row>
    <x:row r="457">
      <x:c r="A457" s="119" t="str">
        <x:v>Interop &amp; Portability Details</x:v>
      </x:c>
      <x:c r="B457" s="121" t="str">
        <x:v>Native Bridge / Appservice Framework</x:v>
      </x:c>
      <x:c r="C457" s="75" t="str">
        <x:v>No general bridge framework</x:v>
      </x:c>
      <x:c r="D457" s="75" t="str">
        <x:v>Yes — Discord two-way bridge; bridge can be self-hosted</x:v>
      </x:c>
      <x:c r="E457" s="75" t="str">
        <x:v>Custom decentralized messenger/server protocol</x:v>
      </x:c>
      <x:c r="F457" s="75" t="str">
        <x:v>No</x:v>
      </x:c>
      <x:c r="G457" s="75" t="str">
        <x:v>No public framework yet</x:v>
      </x:c>
      <x:c r="H457" s="75" t="str">
        <x:v>No federation bridge framework yet</x:v>
      </x:c>
      <x:c r="I457" s="75" t="str">
        <x:v>No general bridge framework</x:v>
      </x:c>
      <x:c r="J457" s="75" t="str">
        <x:v>Discord API compatibility</x:v>
      </x:c>
      <x:c r="K457" s="75" t="str">
        <x:v>No general bridge framework</x:v>
      </x:c>
      <x:c r="L457" s="75" t="str">
        <x:v>Yes — official Discord bridge repository</x:v>
      </x:c>
      <x:c r="M457" s="75" t="str">
        <x:v>No</x:v>
      </x:c>
      <x:c r="N457" s="75" t="str">
        <x:v>Discord-compatible bot/API surface</x:v>
      </x:c>
      <x:c r="O457" s="75" t="str">
        <x:v>Yes — Application Services/bridges are core ecosystem pattern</x:v>
      </x:c>
      <x:c r="P457" s="75" t="str">
        <x:v>Plugins/webhooks/integrations</x:v>
      </x:c>
      <x:c r="Q457" s="75" t="str">
        <x:v>API-first integrations</x:v>
      </x:c>
      <x:c r="R457" s="75" t="str">
        <x:v>No</x:v>
      </x:c>
      <x:c r="S457" s="75" t="str">
        <x:v>No</x:v>
      </x:c>
      <x:c r="T457" s="75" t="str">
        <x:v>No general bridge framework</x:v>
      </x:c>
      <x:c r="U457" s="75" t="str">
        <x:v>No native Matrix/IRC bridge; incoming Discord-compatible webhooks</x:v>
      </x:c>
      <x:c r="V457" s="75" t="str">
        <x:v>No general bridge framework</x:v>
      </x:c>
      <x:c r="W457" s="75" t="str">
        <x:v>Apps/integrations + federation</x:v>
      </x:c>
      <x:c r="X457" s="75" t="str">
        <x:v>Yes — bridge package</x:v>
      </x:c>
      <x:c r="Y457" s="75" t="str">
        <x:v>Apps/Bots can integrate external services</x:v>
      </x:c>
      <x:c r="Z457" s="75" t="str">
        <x:v>Discord-compatible bot/client ecosystem rather than bridges</x:v>
      </x:c>
      <x:c r="AA457" s="75" t="str">
        <x:v>No native appservice framework</x:v>
      </x:c>
      <x:c r="AB457" s="75" t="str">
        <x:v>No general bridge framework</x:v>
      </x:c>
      <x:c r="AC457" s="78" t="str">
        <x:v>Open API/webhooks</x:v>
      </x:c>
      <x:c r="AD457" s="75" t="str">
        <x:v>Federation/bridge architecture in development</x:v>
      </x:c>
      <x:c r="AE457" s="75" t="str">
        <x:v>Game APIs/integrations rather than bridges</x:v>
      </x:c>
      <x:c r="AF457" s="75" t="str">
        <x:v>No</x:v>
      </x:c>
      <x:c r="AG457" s="75" t="str">
        <x:v>Integrations/bots/webhooks</x:v>
      </x:c>
      <x:c r="AH457" s="122" t="n">
        <x:v>13</x:v>
      </x:c>
      <x:c r="AI457" s="123" t="str">
        <x:v>Canonical source for Interop &amp; Portability Details!13</x:v>
      </x:c>
    </x:row>
    <x:row r="458">
      <x:c r="A458" s="119" t="str">
        <x:v>Interop &amp; Portability Details</x:v>
      </x:c>
      <x:c r="B458" s="121" t="str">
        <x:v>Discord Bridge</x:v>
      </x:c>
      <x:c r="C458" s="75" t="str">
        <x:v>N/A</x:v>
      </x:c>
      <x:c r="D458" s="75" t="str">
        <x:v>Yes — Discord bridge supported/self-hostable per subreddit reports</x:v>
      </x:c>
      <x:c r="E458" s="75" t="str">
        <x:v>Discord bridge WIP</x:v>
      </x:c>
      <x:c r="F458" s="75" t="str">
        <x:v>No</x:v>
      </x:c>
      <x:c r="G458" s="75" t="str">
        <x:v>No</x:v>
      </x:c>
      <x:c r="H458" s="75" t="str">
        <x:v>No native</x:v>
      </x:c>
      <x:c r="I458" s="75" t="str">
        <x:v>No live Discord bridge</x:v>
      </x:c>
      <x:c r="J458" s="75" t="str">
        <x:v>Community Discord bridge possible</x:v>
      </x:c>
      <x:c r="K458" s="75" t="str">
        <x:v>No</x:v>
      </x:c>
      <x:c r="L458" s="75" t="str">
        <x:v>Yes — official Discord bridge bot is included</x:v>
      </x:c>
      <x:c r="M458" s="75" t="str">
        <x:v>No</x:v>
      </x:c>
      <x:c r="N458" s="75" t="str">
        <x:v>No live bridge</x:v>
      </x:c>
      <x:c r="O458" s="75" t="str">
        <x:v>Yes — matrix-appservice-discord / mautrix-discord</x:v>
      </x:c>
      <x:c r="P458" s="75" t="str">
        <x:v>No</x:v>
      </x:c>
      <x:c r="Q458" s="75" t="str">
        <x:v>No</x:v>
      </x:c>
      <x:c r="R458" s="75" t="str">
        <x:v>No</x:v>
      </x:c>
      <x:c r="S458" s="75" t="str">
        <x:v>No</x:v>
      </x:c>
      <x:c r="T458" s="75" t="str">
        <x:v>No</x:v>
      </x:c>
      <x:c r="U458" s="75" t="str">
        <x:v>No live bridge</x:v>
      </x:c>
      <x:c r="V458" s="75" t="str">
        <x:v>No</x:v>
      </x:c>
      <x:c r="W458" s="75" t="str">
        <x:v>No native</x:v>
      </x:c>
      <x:c r="X458" s="75" t="str">
        <x:v>Yes — bidirectional Discord bridge</x:v>
      </x:c>
      <x:c r="Y458" s="75" t="str">
        <x:v>No live bridge</x:v>
      </x:c>
      <x:c r="Z458" s="75" t="str">
        <x:v>Not live bridge; compatibility target</x:v>
      </x:c>
      <x:c r="AA458" s="75" t="str">
        <x:v>No native</x:v>
      </x:c>
      <x:c r="AB458" s="75" t="str">
        <x:v>No</x:v>
      </x:c>
      <x:c r="AC458" s="78" t="str">
        <x:v>No live bridge</x:v>
      </x:c>
      <x:c r="AD458" s="75" t="str">
        <x:v>No</x:v>
      </x:c>
      <x:c r="AE458" s="75" t="str">
        <x:v>No</x:v>
      </x:c>
      <x:c r="AF458" s="75" t="str">
        <x:v>No</x:v>
      </x:c>
      <x:c r="AG458" s="75" t="str">
        <x:v>No native</x:v>
      </x:c>
      <x:c r="AH458" s="122" t="n">
        <x:v>14</x:v>
      </x:c>
      <x:c r="AI458" s="123" t="str">
        <x:v>Canonical source for Interop &amp; Portability Details!14</x:v>
      </x:c>
    </x:row>
    <x:row r="459">
      <x:c r="A459" s="119" t="str">
        <x:v>Interop &amp; Portability Details</x:v>
      </x:c>
      <x:c r="B459" s="121" t="str">
        <x:v>Matrix Bridge</x:v>
      </x:c>
      <x:c r="C459" s="75" t="str">
        <x:v>Third-party Matrix bridges can connect to Discord; not native</x:v>
      </x:c>
      <x:c r="D459" s="75" t="str">
        <x:v>No native Matrix bridge verified</x:v>
      </x:c>
      <x:c r="E459" s="75" t="str">
        <x:v>No</x:v>
      </x:c>
      <x:c r="F459" s="75" t="str">
        <x:v>No</x:v>
      </x:c>
      <x:c r="G459" s="75" t="str">
        <x:v>No</x:v>
      </x:c>
      <x:c r="H459" s="75" t="str">
        <x:v>No native</x:v>
      </x:c>
      <x:c r="I459" s="75" t="str">
        <x:v>No</x:v>
      </x:c>
      <x:c r="J459" s="75" t="str">
        <x:v>No</x:v>
      </x:c>
      <x:c r="K459" s="75" t="str">
        <x:v>No</x:v>
      </x:c>
      <x:c r="L459" s="75" t="str">
        <x:v>No Matrix bridge documented</x:v>
      </x:c>
      <x:c r="M459" s="75" t="str">
        <x:v>No</x:v>
      </x:c>
      <x:c r="N459" s="75" t="str">
        <x:v>No</x:v>
      </x:c>
      <x:c r="O459" s="75" t="str">
        <x:v>N/A</x:v>
      </x:c>
      <x:c r="P459" s="75" t="str">
        <x:v>Integration possible</x:v>
      </x:c>
      <x:c r="Q459" s="75" t="str">
        <x:v>No</x:v>
      </x:c>
      <x:c r="R459" s="75" t="str">
        <x:v>No</x:v>
      </x:c>
      <x:c r="S459" s="75" t="str">
        <x:v>No</x:v>
      </x:c>
      <x:c r="T459" s="75" t="str">
        <x:v>No</x:v>
      </x:c>
      <x:c r="U459" s="75" t="str">
        <x:v>No</x:v>
      </x:c>
      <x:c r="V459" s="75" t="str">
        <x:v>No</x:v>
      </x:c>
      <x:c r="W459" s="75" t="str">
        <x:v>Federation uses Matrix-based technology but is not a generic Matrix client bridge</x:v>
      </x:c>
      <x:c r="X459" s="75" t="str">
        <x:v>N/A</x:v>
      </x:c>
      <x:c r="Y459" s="75" t="str">
        <x:v>No</x:v>
      </x:c>
      <x:c r="Z459" s="75" t="str">
        <x:v>No native</x:v>
      </x:c>
      <x:c r="AA459" s="75" t="str">
        <x:v>No native</x:v>
      </x:c>
      <x:c r="AB459" s="75" t="str">
        <x:v>No</x:v>
      </x:c>
      <x:c r="AC459" s="78" t="str">
        <x:v>No</x:v>
      </x:c>
      <x:c r="AD459" s="75" t="str">
        <x:v>Possible in theory</x:v>
      </x:c>
      <x:c r="AE459" s="75" t="str">
        <x:v>No</x:v>
      </x:c>
      <x:c r="AF459" s="75" t="str">
        <x:v>No</x:v>
      </x:c>
      <x:c r="AG459" s="75" t="str">
        <x:v>No native</x:v>
      </x:c>
      <x:c r="AH459" s="122" t="n">
        <x:v>15</x:v>
      </x:c>
      <x:c r="AI459" s="123" t="str">
        <x:v>Canonical source for Interop &amp; Portability Details!15</x:v>
      </x:c>
    </x:row>
    <x:row r="460">
      <x:c r="A460" s="119" t="str">
        <x:v>Interop &amp; Portability Details</x:v>
      </x:c>
      <x:c r="B460" s="121" t="str">
        <x:v>IRC Bridge</x:v>
      </x:c>
      <x:c r="C460" s="75" t="str">
        <x:v>Third-party relays; not native</x:v>
      </x:c>
      <x:c r="D460" s="75" t="str">
        <x:v>Nostr bridges possible</x:v>
      </x:c>
      <x:c r="E460" s="75" t="str">
        <x:v>No</x:v>
      </x:c>
      <x:c r="F460" s="75" t="str">
        <x:v>No</x:v>
      </x:c>
      <x:c r="G460" s="75" t="str">
        <x:v>No</x:v>
      </x:c>
      <x:c r="H460" s="75" t="str">
        <x:v>No native</x:v>
      </x:c>
      <x:c r="I460" s="75" t="str">
        <x:v>No</x:v>
      </x:c>
      <x:c r="J460" s="75" t="str">
        <x:v>No</x:v>
      </x:c>
      <x:c r="K460" s="75" t="str">
        <x:v>No</x:v>
      </x:c>
      <x:c r="L460" s="75" t="str">
        <x:v>No IRC bridge documented</x:v>
      </x:c>
      <x:c r="M460" s="75" t="str">
        <x:v>No</x:v>
      </x:c>
      <x:c r="N460" s="75" t="str">
        <x:v>No</x:v>
      </x:c>
      <x:c r="O460" s="75" t="str">
        <x:v>Yes — IRC bridges</x:v>
      </x:c>
      <x:c r="P460" s="75" t="str">
        <x:v>Integration possible</x:v>
      </x:c>
      <x:c r="Q460" s="75" t="str">
        <x:v>No</x:v>
      </x:c>
      <x:c r="R460" s="75" t="str">
        <x:v>No</x:v>
      </x:c>
      <x:c r="S460" s="75" t="str">
        <x:v>No</x:v>
      </x:c>
      <x:c r="T460" s="75" t="str">
        <x:v>No</x:v>
      </x:c>
      <x:c r="U460" s="75" t="str">
        <x:v>No</x:v>
      </x:c>
      <x:c r="V460" s="75" t="str">
        <x:v>No</x:v>
      </x:c>
      <x:c r="W460" s="75" t="str">
        <x:v>IRC integration possible</x:v>
      </x:c>
      <x:c r="X460" s="75"/>
      <x:c r="Y460" s="75" t="str">
        <x:v>No</x:v>
      </x:c>
      <x:c r="Z460" s="75" t="str">
        <x:v>No native</x:v>
      </x:c>
      <x:c r="AA460" s="75" t="str">
        <x:v>No native</x:v>
      </x:c>
      <x:c r="AB460" s="75" t="str">
        <x:v>No</x:v>
      </x:c>
      <x:c r="AC460" s="78" t="str">
        <x:v>No</x:v>
      </x:c>
      <x:c r="AD460" s="75"/>
      <x:c r="AE460" s="75" t="str">
        <x:v>No</x:v>
      </x:c>
      <x:c r="AF460" s="75" t="str">
        <x:v>No</x:v>
      </x:c>
      <x:c r="AG460" s="75" t="str">
        <x:v>Via integration possible</x:v>
      </x:c>
      <x:c r="AH460" s="122" t="n">
        <x:v>16</x:v>
      </x:c>
      <x:c r="AI460" s="123" t="str">
        <x:v>Canonical source for Interop &amp; Portability Details!16</x:v>
      </x:c>
    </x:row>
    <x:row r="461">
      <x:c r="A461" s="119" t="str">
        <x:v>Interop &amp; Portability Details</x:v>
      </x:c>
      <x:c r="B461" s="121" t="str">
        <x:v>Federation / Cross-Instance Interop</x:v>
      </x:c>
      <x:c r="C461" s="75" t="str">
        <x:v>No</x:v>
      </x:c>
      <x:c r="D461" s="75" t="str">
        <x:v>Yes through relays/protocol</x:v>
      </x:c>
      <x:c r="E461" s="75" t="str">
        <x:v>Yes — messenger cross-home-server</x:v>
      </x:c>
      <x:c r="F461" s="75" t="str">
        <x:v>No</x:v>
      </x:c>
      <x:c r="G461" s="75" t="str">
        <x:v>No</x:v>
      </x:c>
      <x:c r="H461" s="75" t="str">
        <x:v>Not yet</x:v>
      </x:c>
      <x:c r="I461" s="75" t="str">
        <x:v>No</x:v>
      </x:c>
      <x:c r="J461" s="75" t="str">
        <x:v>Federation planned</x:v>
      </x:c>
      <x:c r="K461" s="75" t="str">
        <x:v>Relay-based interoperability</x:v>
      </x:c>
      <x:c r="L461" s="75" t="str">
        <x:v>Yes — kaede-fed/1 federation across homes</x:v>
      </x:c>
      <x:c r="M461" s="75" t="str">
        <x:v>No</x:v>
      </x:c>
      <x:c r="N461" s="75" t="str">
        <x:v>Federation/self-hosting</x:v>
      </x:c>
      <x:c r="O461" s="75" t="str">
        <x:v>Yes — native federation</x:v>
      </x:c>
      <x:c r="P461" s="75" t="str">
        <x:v>No</x:v>
      </x:c>
      <x:c r="Q461" s="75" t="str">
        <x:v>No federation verified</x:v>
      </x:c>
      <x:c r="R461" s="75" t="str">
        <x:v>No</x:v>
      </x:c>
      <x:c r="S461" s="75" t="str">
        <x:v>No</x:v>
      </x:c>
      <x:c r="T461" s="75" t="str">
        <x:v>No</x:v>
      </x:c>
      <x:c r="U461" s="75" t="str">
        <x:v>No</x:v>
      </x:c>
      <x:c r="V461" s="75" t="str">
        <x:v>No</x:v>
      </x:c>
      <x:c r="W461" s="75" t="str">
        <x:v>Yes — supported federation features</x:v>
      </x:c>
      <x:c r="X461" s="75" t="str">
        <x:v>ATProto federation</x:v>
      </x:c>
      <x:c r="Y461" s="75" t="str">
        <x:v>No</x:v>
      </x:c>
      <x:c r="Z461" s="75" t="str">
        <x:v>No</x:v>
      </x:c>
      <x:c r="AA461" s="75" t="str">
        <x:v>No federation</x:v>
      </x:c>
      <x:c r="AB461" s="75" t="str">
        <x:v>No</x:v>
      </x:c>
      <x:c r="AC461" s="78" t="str">
        <x:v>Node/federation migration</x:v>
      </x:c>
      <x:c r="AD461" s="75" t="str">
        <x:v>Planned federation</x:v>
      </x:c>
      <x:c r="AE461" s="75" t="str">
        <x:v>No</x:v>
      </x:c>
      <x:c r="AF461" s="75" t="str">
        <x:v>No federation</x:v>
      </x:c>
      <x:c r="AG461" s="75" t="str">
        <x:v>No</x:v>
      </x:c>
      <x:c r="AH461" s="122" t="n">
        <x:v>17</x:v>
      </x:c>
      <x:c r="AI461" s="123" t="str">
        <x:v>Canonical source for Interop &amp; Portability Details!17</x:v>
      </x:c>
    </x:row>
    <x:row r="462">
      <x:c r="A462" s="119" t="str">
        <x:v>Interop &amp; Portability Details</x:v>
      </x:c>
      <x:c r="B462" s="121" t="str">
        <x:v>Account Portability</x:v>
      </x:c>
      <x:c r="C462" s="75" t="str">
        <x:v>No</x:v>
      </x:c>
      <x:c r="D462" s="75" t="str">
        <x:v>Yes — keypair identity</x:v>
      </x:c>
      <x:c r="E462" s="75" t="str">
        <x:v>Yes</x:v>
      </x:c>
      <x:c r="F462" s="75" t="str">
        <x:v>No</x:v>
      </x:c>
      <x:c r="G462" s="75" t="str">
        <x:v>No</x:v>
      </x:c>
      <x:c r="H462" s="75" t="str">
        <x:v>No</x:v>
      </x:c>
      <x:c r="I462" s="75" t="str">
        <x:v>Limited</x:v>
      </x:c>
      <x:c r="J462" s="75" t="str">
        <x:v>Planned</x:v>
      </x:c>
      <x:c r="K462" s="75" t="str">
        <x:v>Yes — identity key portable</x:v>
      </x:c>
      <x:c r="L462" s="75" t="str">
        <x:v>One home account accesses federated resources; no cross-home account switcher/migration workflow documented</x:v>
      </x:c>
      <x:c r="M462" s="75" t="str">
        <x:v>No</x:v>
      </x:c>
      <x:c r="N462" s="75"/>
      <x:c r="O462" s="75" t="str">
        <x:v>Partial — ID is homeserver-scoped; migration is not universally seamless</x:v>
      </x:c>
      <x:c r="P462" s="75" t="str">
        <x:v>No</x:v>
      </x:c>
      <x:c r="Q462" s="75" t="str">
        <x:v>No</x:v>
      </x:c>
      <x:c r="R462" s="75" t="str">
        <x:v>Certificates/bookmarks manually portable</x:v>
      </x:c>
      <x:c r="S462" s="75" t="str">
        <x:v>No</x:v>
      </x:c>
      <x:c r="T462" s="75" t="str">
        <x:v>No</x:v>
      </x:c>
      <x:c r="U462" s="75" t="str">
        <x:v>Export/self-host</x:v>
      </x:c>
      <x:c r="V462" s="75" t="str">
        <x:v>No</x:v>
      </x:c>
      <x:c r="W462" s="75" t="str">
        <x:v>Limited</x:v>
      </x:c>
      <x:c r="X462" s="75" t="str">
        <x:v>ATProto identity</x:v>
      </x:c>
      <x:c r="Y462" s="75" t="str">
        <x:v>No</x:v>
      </x:c>
      <x:c r="Z462" s="75" t="str">
        <x:v>No</x:v>
      </x:c>
      <x:c r="AA462" s="75" t="str">
        <x:v>No</x:v>
      </x:c>
      <x:c r="AB462" s="75" t="str">
        <x:v>Limited</x:v>
      </x:c>
      <x:c r="AC462" s="78" t="str">
        <x:v>Community data/node migration</x:v>
      </x:c>
      <x:c r="AD462" s="75" t="str">
        <x:v>Planned</x:v>
      </x:c>
      <x:c r="AE462" s="75" t="str">
        <x:v>No</x:v>
      </x:c>
      <x:c r="AF462" s="75" t="str">
        <x:v>Server/operator migration</x:v>
      </x:c>
      <x:c r="AG462" s="75" t="str">
        <x:v>No cross-server account portability</x:v>
      </x:c>
      <x:c r="AH462" s="122" t="n">
        <x:v>18</x:v>
      </x:c>
      <x:c r="AI462" s="123" t="str">
        <x:v>Canonical metric shared by: Portability &amp; Bridging: Account Portability | Interop &amp; Portability Details: Account Portability</x:v>
      </x:c>
    </x:row>
    <x:row r="463">
      <x:c r="A463" s="119" t="str">
        <x:v>Interop &amp; Portability Details</x:v>
      </x:c>
      <x:c r="B463" s="121" t="str">
        <x:v>Client Portability</x:v>
      </x:c>
      <x:c r="C463" s="75" t="str">
        <x:v>Official clients only</x:v>
      </x:c>
      <x:c r="D463" s="75" t="str">
        <x:v>Open client/protocol potential</x:v>
      </x:c>
      <x:c r="E463" s="75" t="str">
        <x:v>Open-source clients</x:v>
      </x:c>
      <x:c r="F463" s="75" t="str">
        <x:v>Official clients</x:v>
      </x:c>
      <x:c r="G463" s="75" t="str">
        <x:v>Single first-party client/service</x:v>
      </x:c>
      <x:c r="H463" s="75" t="str">
        <x:v>Open clients/self-host but no federation</x:v>
      </x:c>
      <x:c r="I463" s="75" t="str">
        <x:v>Official clients</x:v>
      </x:c>
      <x:c r="J463" s="75" t="str">
        <x:v>Yes — custom clients</x:v>
      </x:c>
      <x:c r="K463" s="75" t="str">
        <x:v>Single open-source client currently</x:v>
      </x:c>
      <x:c r="L463" s="75" t="str">
        <x:v>Official clients share the same server APIs; third-party portability is possible but ecosystem is nascent</x:v>
      </x:c>
      <x:c r="M463" s="75" t="str">
        <x:v>No</x:v>
      </x:c>
      <x:c r="N463" s="75"/>
      <x:c r="O463" s="75" t="str">
        <x:v>Yes — switch clients freely against same Matrix account</x:v>
      </x:c>
      <x:c r="P463" s="75" t="str">
        <x:v>Official clients can connect to custom servers</x:v>
      </x:c>
      <x:c r="Q463" s="75" t="str">
        <x:v>Open-source clients</x:v>
      </x:c>
      <x:c r="R463" s="75" t="str">
        <x:v>Yes across Mumble-compatible clients</x:v>
      </x:c>
      <x:c r="S463" s="75" t="str">
        <x:v>Open-source clients possible</x:v>
      </x:c>
      <x:c r="T463" s="75" t="str">
        <x:v>Official clients</x:v>
      </x:c>
      <x:c r="U463" s="75" t="str">
        <x:v>Open source</x:v>
      </x:c>
      <x:c r="V463" s="75" t="str">
        <x:v>Official client</x:v>
      </x:c>
      <x:c r="W463" s="75" t="str">
        <x:v>Official clients can connect to custom servers</x:v>
      </x:c>
      <x:c r="X463" s="75" t="str">
        <x:v>Potentially via open protocol</x:v>
      </x:c>
      <x:c r="Y463" s="75" t="str">
        <x:v>First-party clients</x:v>
      </x:c>
      <x:c r="Z463" s="75" t="str">
        <x:v>Potentially compatible clients</x:v>
      </x:c>
      <x:c r="AA463" s="75" t="str">
        <x:v>Limited — client custom-instance support is uneven</x:v>
      </x:c>
      <x:c r="AB463" s="75" t="str">
        <x:v>Official ecosystem</x:v>
      </x:c>
      <x:c r="AC463" s="78" t="str">
        <x:v>Open API/client</x:v>
      </x:c>
      <x:c r="AD463" s="75"/>
      <x:c r="AE463" s="75" t="str">
        <x:v>Official client</x:v>
      </x:c>
      <x:c r="AF463" s="75" t="str">
        <x:v>Official client</x:v>
      </x:c>
      <x:c r="AG463" s="75" t="str">
        <x:v>Official clients can connect to custom servers</x:v>
      </x:c>
      <x:c r="AH463" s="122" t="n">
        <x:v>19</x:v>
      </x:c>
      <x:c r="AI463" s="123" t="str">
        <x:v>Canonical source for Interop &amp; Portability Details!19</x:v>
      </x:c>
    </x:row>
    <x:row r="464">
      <x:c r="A464" s="119" t="str">
        <x:v>Interop &amp; Portability Details</x:v>
      </x:c>
      <x:c r="B464" s="121" t="str">
        <x:v>Interop Notes</x:v>
      </x:c>
      <x:c r="C464" s="75" t="str">
        <x:v>Discord is the source platform.</x:v>
      </x:c>
      <x:c r="D464" s="75" t="str">
        <x:v>Built-in Discord import covers server metadata, text/announcement channels, roles, custom emoji and eligible history; members/private/forum/media channels do not migrate. Optional bridge mirrors supported content both ways.</x:v>
      </x:c>
      <x:c r="E464" s="75" t="str">
        <x:v>Discord bridge is experimental/WIP; native cross-instance messenger is more mature.</x:v>
      </x:c>
      <x:c r="F464" s="75" t="str">
        <x:v>No migration/federation framework verified.</x:v>
      </x:c>
      <x:c r="G464" s="75" t="str">
        <x:v>Migration features are still alpha/roadmap.</x:v>
      </x:c>
      <x:c r="H464" s="75" t="str">
        <x:v>Roadmap includes federation; do not mark it available yet.</x:v>
      </x:c>
      <x:c r="I464" s="75" t="str">
        <x:v>Importer handles structural server migration, not message history.</x:v>
      </x:c>
      <x:c r="J464" s="75" t="str">
        <x:v>API compatibility is currently more mature than federation.</x:v>
      </x:c>
      <x:c r="K464" s="75" t="str">
        <x:v>Local-first portability is stronger than migration from Discord.</x:v>
      </x:c>
      <x:c r="L464" s="75" t="str">
        <x:v>Discord bridge copies live messages between paired plaintext channels; it is not a history importer.</x:v>
      </x:c>
      <x:c r="M464" s="75" t="str">
        <x:v>No migration/interop framework verified.</x:v>
      </x:c>
      <x:c r="N464" s="75" t="str">
        <x:v>Importer handles channels/categories/roles/permissions/emoji/bans/icon.</x:v>
      </x:c>
      <x:c r="O464" s="75" t="str">
        <x:v>Matrix is strongest here because interoperability is part of the protocol model, not a single-vendor feature.</x:v>
      </x:c>
      <x:c r="P464" s="75" t="str">
        <x:v>Strong admin migration/export tools, but not federation.</x:v>
      </x:c>
      <x:c r="Q464" s="75" t="str">
        <x:v>Extensible API/integration focus rather than federation.</x:v>
      </x:c>
      <x:c r="R464" s="75" t="str">
        <x:v>Voice protocol interoperability rather than social-platform migration.</x:v>
      </x:c>
      <x:c r="S464" s="75" t="str">
        <x:v>No built-in Discord migration/federation verified.</x:v>
      </x:c>
      <x:c r="T464" s="75" t="str">
        <x:v>Migration features exist, but exact data coverage is not comprehensively documented.</x:v>
      </x:c>
      <x:c r="U464" s="75" t="str">
        <x:v>Discord template import is layout-only: categories, channels and main permissions. Messages and members do not migrate.</x:v>
      </x:c>
      <x:c r="V464" s="75" t="str">
        <x:v>No migration/bridge framework verified.</x:v>
      </x:c>
      <x:c r="W464" s="75" t="str">
        <x:v>Federation is real but has explicit limitations such as no E2EE/calls in federated rooms.</x:v>
      </x:c>
      <x:c r="X464" s="75" t="str">
        <x:v>Discord bridge is first-class in the repo.</x:v>
      </x:c>
      <x:c r="Y464" s="75" t="str">
        <x:v>Discord template import is structural only; it does not move messages, users, files, emojis, bots or webhooks.</x:v>
      </x:c>
      <x:c r="Z464" s="75" t="str">
        <x:v>Designed to make Discord clients/bots easier to reuse on a separate service.</x:v>
      </x:c>
      <x:c r="AA464" s="75" t="str">
        <x:v>Self-hosting exists but migration/interop tooling is still limited.</x:v>
      </x:c>
      <x:c r="AB464" s="75" t="str">
        <x:v>Independent servers are portable operationally, not federated socially.</x:v>
      </x:c>
      <x:c r="AC464" s="78" t="str">
        <x:v>Built-in importer is a major onboarding feature.</x:v>
      </x:c>
      <x:c r="AD464" s="75" t="str">
        <x:v>Open protocol direction should allow bridges, but current production interop is limited.</x:v>
      </x:c>
      <x:c r="AE464" s="75" t="str">
        <x:v>No Discord importer because product model intentionally differs.</x:v>
      </x:c>
      <x:c r="AF464" s="75" t="str">
        <x:v>Self-host control rather than cross-platform bridging.</x:v>
      </x:c>
      <x:c r="AG464" s="75" t="str">
        <x:v>Native importers focus on Slack, Mattermost and Rocket.Chat rather than Discord.</x:v>
      </x:c>
      <x:c r="AH464" s="122" t="n">
        <x:v>20</x:v>
      </x:c>
      <x:c r="AI464" s="123" t="str">
        <x:v>Canonical source for Interop &amp; Portability Details!20</x:v>
      </x:c>
    </x:row>
    <x:row r="465">
      <x:c r="A465" s="119" t="str">
        <x:v>Interop &amp; Portability Details</x:v>
      </x:c>
      <x:c r="B465" s="121" t="str">
        <x:v>Discord Categories Import</x:v>
      </x:c>
      <x:c r="C465" s="75" t="str">
        <x:v>N/A</x:v>
      </x:c>
      <x:c r="D465" s="75" t="str">
        <x:v>Yes — category grouping preserved</x:v>
      </x:c>
      <x:c r="E465" s="75"/>
      <x:c r="F465" s="75"/>
      <x:c r="G465" s="75"/>
      <x:c r="H465" s="75"/>
      <x:c r="I465" s="75"/>
      <x:c r="J465" s="75"/>
      <x:c r="K465" s="75"/>
      <x:c r="L465" s="75" t="str">
        <x:v>No dedicated Discord server importer documented</x:v>
      </x:c>
      <x:c r="M465" s="75"/>
      <x:c r="N465" s="75"/>
      <x:c r="O465" s="75"/>
      <x:c r="P465" s="75"/>
      <x:c r="Q465" s="75"/>
      <x:c r="R465" s="75"/>
      <x:c r="S465" s="75"/>
      <x:c r="T465" s="75"/>
      <x:c r="U465" s="75" t="str">
        <x:v>Yes</x:v>
      </x:c>
      <x:c r="V465" s="75" t="str">
        <x:v>Yes — Discord template import preserves categories/order</x:v>
      </x:c>
      <x:c r="W465" s="75"/>
      <x:c r="X465" s="75"/>
      <x:c r="Y465" s="75"/>
      <x:c r="Z465" s="75"/>
      <x:c r="AA465" s="75"/>
      <x:c r="AB465" s="75"/>
      <x:c r="AC465" s="78"/>
      <x:c r="AD465" s="75"/>
      <x:c r="AE465" s="75"/>
      <x:c r="AF465" s="75"/>
      <x:c r="AG465" s="75"/>
      <x:c r="AH465" s="122" t="n">
        <x:v>22</x:v>
      </x:c>
      <x:c r="AI465" s="123" t="str">
        <x:v>Canonical source for Interop &amp; Portability Details!22</x:v>
      </x:c>
    </x:row>
    <x:row r="466">
      <x:c r="A466" s="119" t="str">
        <x:v>Interop &amp; Portability Details</x:v>
      </x:c>
      <x:c r="B466" s="121" t="str">
        <x:v>Discord Forum Tags Import</x:v>
      </x:c>
      <x:c r="C466" s="75" t="str">
        <x:v>N/A</x:v>
      </x:c>
      <x:c r="D466" s="75"/>
      <x:c r="E466" s="75"/>
      <x:c r="F466" s="75"/>
      <x:c r="G466" s="75"/>
      <x:c r="H466" s="75"/>
      <x:c r="I466" s="75"/>
      <x:c r="J466" s="75"/>
      <x:c r="K466" s="75"/>
      <x:c r="L466" s="75" t="str">
        <x:v>No dedicated Discord server importer documented</x:v>
      </x:c>
      <x:c r="M466" s="75"/>
      <x:c r="N466" s="75"/>
      <x:c r="O466" s="75"/>
      <x:c r="P466" s="75"/>
      <x:c r="Q466" s="75"/>
      <x:c r="R466" s="75"/>
      <x:c r="S466" s="75"/>
      <x:c r="T466" s="75"/>
      <x:c r="U466" s="75"/>
      <x:c r="V466" s="75" t="str">
        <x:v>Yes — template import includes forum tags</x:v>
      </x:c>
      <x:c r="W466" s="75"/>
      <x:c r="X466" s="75"/>
      <x:c r="Y466" s="75"/>
      <x:c r="Z466" s="75"/>
      <x:c r="AA466" s="75"/>
      <x:c r="AB466" s="75"/>
      <x:c r="AC466" s="78"/>
      <x:c r="AD466" s="75"/>
      <x:c r="AE466" s="75"/>
      <x:c r="AF466" s="75"/>
      <x:c r="AG466" s="75"/>
      <x:c r="AH466" s="122" t="n">
        <x:v>23</x:v>
      </x:c>
      <x:c r="AI466" s="123" t="str">
        <x:v>Canonical source for Interop &amp; Portability Details!23</x:v>
      </x:c>
    </x:row>
    <x:row r="467">
      <x:c r="A467" s="119" t="str">
        <x:v>Interop &amp; Portability Details</x:v>
      </x:c>
      <x:c r="B467" s="121" t="str">
        <x:v>Discord Webhook Format Compatibility</x:v>
      </x:c>
      <x:c r="C467" s="75" t="str">
        <x:v>N/A</x:v>
      </x:c>
      <x:c r="D467" s="75"/>
      <x:c r="E467" s="75"/>
      <x:c r="F467" s="75"/>
      <x:c r="G467" s="75"/>
      <x:c r="H467" s="75"/>
      <x:c r="I467" s="75"/>
      <x:c r="J467" s="75"/>
      <x:c r="K467" s="75"/>
      <x:c r="L467" s="75" t="str">
        <x:v>No Discord webhook-format compatibility claim; Kaede has its own incoming webhook model</x:v>
      </x:c>
      <x:c r="M467" s="75"/>
      <x:c r="N467" s="75"/>
      <x:c r="O467" s="75"/>
      <x:c r="P467" s="75"/>
      <x:c r="Q467" s="75"/>
      <x:c r="R467" s="75"/>
      <x:c r="S467" s="75"/>
      <x:c r="T467" s="75"/>
      <x:c r="U467" s="75" t="str">
        <x:v>Yes — incoming Discord-compatible webhooks</x:v>
      </x:c>
      <x:c r="V467" s="75" t="str">
        <x:v>Yes — incoming webhooks accept Discord format</x:v>
      </x:c>
      <x:c r="W467" s="75"/>
      <x:c r="X467" s="75"/>
      <x:c r="Y467" s="75"/>
      <x:c r="Z467" s="75"/>
      <x:c r="AA467" s="75"/>
      <x:c r="AB467" s="75"/>
      <x:c r="AC467" s="78"/>
      <x:c r="AD467" s="75"/>
      <x:c r="AE467" s="75"/>
      <x:c r="AF467" s="75"/>
      <x:c r="AG467" s="75"/>
      <x:c r="AH467" s="122" t="n">
        <x:v>24</x:v>
      </x:c>
      <x:c r="AI467" s="123" t="str">
        <x:v>Canonical source for Interop &amp; Portability Details!24</x:v>
      </x:c>
    </x:row>
    <x:row r="468">
      <x:c r="A468" s="119" t="str">
        <x:v>Interop &amp; Portability Details</x:v>
      </x:c>
      <x:c r="B468" s="121" t="str">
        <x:v>Self-Host to Hosted Migration Tooling</x:v>
      </x:c>
      <x:c r="C468" s="75"/>
      <x:c r="D468" s="75"/>
      <x:c r="E468" s="75"/>
      <x:c r="F468" s="75"/>
      <x:c r="G468" s="75"/>
      <x:c r="H468" s="75"/>
      <x:c r="I468" s="75"/>
      <x:c r="J468" s="75"/>
      <x:c r="K468" s="75"/>
      <x:c r="L468" s="75" t="str">
        <x:v>No hosted↔self-host migration tooling documented</x:v>
      </x:c>
      <x:c r="M468" s="75"/>
      <x:c r="N468" s="75"/>
      <x:c r="O468" s="75"/>
      <x:c r="P468" s="75"/>
      <x:c r="Q468" s="75"/>
      <x:c r="R468" s="75"/>
      <x:c r="S468" s="75"/>
      <x:c r="T468" s="75"/>
      <x:c r="U468" s="75" t="str">
        <x:v>No migration tooling claim provided</x:v>
      </x:c>
      <x:c r="V468" s="75" t="str">
        <x:v>N/A — no public self-hosting</x:v>
      </x:c>
      <x:c r="W468" s="75"/>
      <x:c r="X468" s="75"/>
      <x:c r="Y468" s="75"/>
      <x:c r="Z468" s="75"/>
      <x:c r="AA468" s="75"/>
      <x:c r="AB468" s="75"/>
      <x:c r="AC468" s="78"/>
      <x:c r="AD468" s="75"/>
      <x:c r="AE468" s="75"/>
      <x:c r="AF468" s="75"/>
      <x:c r="AG468" s="75"/>
      <x:c r="AH468" s="122" t="n">
        <x:v>25</x:v>
      </x:c>
      <x:c r="AI468" s="123" t="str">
        <x:v>Canonical source for Interop &amp; Portability Details!25</x:v>
      </x:c>
    </x:row>
    <x:row r="469">
      <x:c r="A469" s="119" t="str">
        <x:v>Security &amp; Privacy</x:v>
      </x:c>
      <x:c r="B469" s="121" t="str">
        <x:v>Encryption in Transit (TLS 1.3)</x:v>
      </x:c>
      <x:c r="C469" s="75"/>
      <x:c r="D469" s="75" t="str">
        <x:v>TLS + Nostr relay transport</x:v>
      </x:c>
      <x:c r="E469" s="75" t="str">
        <x:v>TLS required for network access</x:v>
      </x:c>
      <x:c r="F469" s="75" t="str">
        <x:v>TLS</x:v>
      </x:c>
      <x:c r="G469" s="75" t="str">
        <x:v>TLS in transit</x:v>
      </x:c>
      <x:c r="H469" s="75" t="str">
        <x:v>Encrypted in transit; at rest for stored content</x:v>
      </x:c>
      <x:c r="I469" s="75" t="str">
        <x:v>TLS in transit</x:v>
      </x:c>
      <x:c r="J469" s="75" t="str">
        <x:v>TLS when deployed</x:v>
      </x:c>
      <x:c r="K469" s="75" t="str">
        <x:v>TLS relays + end-to-end crypto</x:v>
      </x:c>
      <x:c r="L469" s="75" t="str">
        <x:v>Yes — HTTPS/TLS required for production</x:v>
      </x:c>
      <x:c r="M469" s="75" t="str">
        <x:v>TLS</x:v>
      </x:c>
      <x:c r="N469" s="75" t="str">
        <x:v>TLS</x:v>
      </x:c>
      <x:c r="O469" s="75" t="str">
        <x:v>HTTPS/TLS transport; implementation-dependent TLS configuration</x:v>
      </x:c>
      <x:c r="P469" s="75" t="str">
        <x:v>TLS configurable; enterprise deployment-controlled</x:v>
      </x:c>
      <x:c r="Q469" s="75" t="str">
        <x:v>TLS</x:v>
      </x:c>
      <x:c r="R469" s="75" t="str">
        <x:v>TLS control channel + encrypted voice transport</x:v>
      </x:c>
      <x:c r="S469" s="75" t="str">
        <x:v>TLS in transit</x:v>
      </x:c>
      <x:c r="T469" s="75" t="str">
        <x:v>TLS/encrypted connections</x:v>
      </x:c>
      <x:c r="U469" s="75" t="str">
        <x:v>Yes — TLS in transit; TLS 1.3 specifically not claimed</x:v>
      </x:c>
      <x:c r="V469" s="75" t="str">
        <x:v>TLS</x:v>
      </x:c>
      <x:c r="W469" s="75" t="str">
        <x:v>TLS in transit configurable</x:v>
      </x:c>
      <x:c r="X469" s="75" t="str">
        <x:v>TLS</x:v>
      </x:c>
      <x:c r="Y469" s="75" t="str">
        <x:v>TLS in transit</x:v>
      </x:c>
      <x:c r="Z469" s="75" t="str">
        <x:v>TLS when correctly deployed; operator-controlled</x:v>
      </x:c>
      <x:c r="AA469" s="75" t="str">
        <x:v>TLS in transit</x:v>
      </x:c>
      <x:c r="AB469" s="75" t="str">
        <x:v>Encrypted transport</x:v>
      </x:c>
      <x:c r="AC469" s="78" t="str">
        <x:v>TLS</x:v>
      </x:c>
      <x:c r="AD469" s="75" t="str">
        <x:v>TLS</x:v>
      </x:c>
      <x:c r="AE469" s="75" t="str">
        <x:v>TLS</x:v>
      </x:c>
      <x:c r="AF469" s="75" t="str">
        <x:v>TLS</x:v>
      </x:c>
      <x:c r="AG469" s="75" t="str">
        <x:v>TLS in transit</x:v>
      </x:c>
      <x:c r="AH469" s="122" t="n">
        <x:v>3</x:v>
      </x:c>
      <x:c r="AI469" s="123" t="str">
        <x:v>Canonical source for Security &amp; Privacy!3</x:v>
      </x:c>
    </x:row>
    <x:row r="470">
      <x:c r="A470" s="119" t="str">
        <x:v>Security &amp; Privacy</x:v>
      </x:c>
      <x:c r="B470" s="121" t="str">
        <x:v>E2EE 1:1 DMs</x:v>
      </x:c>
      <x:c r="C470" s="75" t="str">
        <x:v>No for text DMs; DM voice/video calls are E2EE</x:v>
      </x:c>
      <x:c r="D470" s="75" t="str">
        <x:v>Yes — E2EE community/DM design</x:v>
      </x:c>
      <x:c r="E470" s="75" t="str">
        <x:v>Yes — desktop server DMs can be E2EE; decentralized messenger always E2EE</x:v>
      </x:c>
      <x:c r="F470" s="75" t="str">
        <x:v>No E2EE text claim</x:v>
      </x:c>
      <x:c r="G470" s="75" t="str">
        <x:v>Yes — DM text E2EE by default</x:v>
      </x:c>
      <x:c r="H470" s="75" t="str">
        <x:v>No — latest 2026 privacy policy says nothing is E2EE yet</x:v>
      </x:c>
      <x:c r="I470" s="75" t="str">
        <x:v>No text E2EE claim</x:v>
      </x:c>
      <x:c r="J470" s="75" t="str">
        <x:v>Yes — vodozemac-backed E2EE live</x:v>
      </x:c>
      <x:c r="K470" s="75" t="str">
        <x:v>Yes</x:v>
      </x:c>
      <x:c r="L470" s="75" t="str">
        <x:v>Yes — optional room/DM MLS 1.0</x:v>
      </x:c>
      <x:c r="M470" s="75" t="str">
        <x:v>E2EE not yet verified/currently WIP</x:v>
      </x:c>
      <x:c r="N470" s="75"/>
      <x:c r="O470" s="75" t="str">
        <x:v>Supported by Matrix E2EE; default behavior is client-dependent</x:v>
      </x:c>
      <x:c r="P470" s="75" t="str">
        <x:v>No native E2EE for server-stored messages</x:v>
      </x:c>
      <x:c r="Q470" s="75" t="str">
        <x:v>E2EE claimed</x:v>
      </x:c>
      <x:c r="R470" s="75" t="str">
        <x:v>N/A — not a Discord-style persistent DM platform</x:v>
      </x:c>
      <x:c r="S470" s="75" t="str">
        <x:v>No public default E2EE verified</x:v>
      </x:c>
      <x:c r="T470" s="75" t="str">
        <x:v>No E2EE text claim</x:v>
      </x:c>
      <x:c r="U470" s="75" t="str">
        <x:v>No — not marketed as an E2EE product feature</x:v>
      </x:c>
      <x:c r="V470" s="75" t="str">
        <x:v>Yes — DM text E2EE (Signal-style X3DH/Double Ratchet)</x:v>
      </x:c>
      <x:c r="W470" s="75" t="str">
        <x:v>E2EE available for certain conversations but deployment/client constraints apply</x:v>
      </x:c>
      <x:c r="X470" s="75" t="str">
        <x:v>No E2EE chat claim verified</x:v>
      </x:c>
      <x:c r="Y470" s="75" t="str">
        <x:v>No text E2EE disclosed</x:v>
      </x:c>
      <x:c r="Z470" s="75" t="str">
        <x:v>No documented default text E2EE</x:v>
      </x:c>
      <x:c r="AA470" s="75" t="str">
        <x:v>No default text E2EE verified</x:v>
      </x:c>
      <x:c r="AB470" s="75"/>
      <x:c r="AC470" s="78" t="str">
        <x:v>No default E2EE claim</x:v>
      </x:c>
      <x:c r="AD470" s="75" t="str">
        <x:v>Default unencrypted; per-conversation E2EE planned/opt-in</x:v>
      </x:c>
      <x:c r="AE470" s="75" t="str">
        <x:v>No E2EE text claim</x:v>
      </x:c>
      <x:c r="AF470" s="75" t="str">
        <x:v>Server/operator controlled; E2EE not claimed</x:v>
      </x:c>
      <x:c r="AG470" s="75" t="str">
        <x:v>No native E2EE for server-stored chat</x:v>
      </x:c>
      <x:c r="AH470" s="122" t="n">
        <x:v>4</x:v>
      </x:c>
      <x:c r="AI470" s="123" t="str">
        <x:v>Canonical source for Security &amp; Privacy!4</x:v>
      </x:c>
    </x:row>
    <x:row r="471">
      <x:c r="A471" s="119" t="str">
        <x:v>Security &amp; Privacy</x:v>
      </x:c>
      <x:c r="B471" s="121" t="str">
        <x:v>E2EE Group DMs</x:v>
      </x:c>
      <x:c r="C471" s="75" t="str">
        <x:v>No for text Group DMs; GDM voice/video calls are E2EE</x:v>
      </x:c>
      <x:c r="D471" s="75"/>
      <x:c r="E471" s="75"/>
      <x:c r="F471" s="75" t="str">
        <x:v>No</x:v>
      </x:c>
      <x:c r="G471" s="75"/>
      <x:c r="H471" s="75" t="str">
        <x:v>No</x:v>
      </x:c>
      <x:c r="I471" s="75" t="str">
        <x:v>No text E2EE claim</x:v>
      </x:c>
      <x:c r="J471" s="75" t="str">
        <x:v>Not publicly claimed</x:v>
      </x:c>
      <x:c r="K471" s="75" t="str">
        <x:v>Yes</x:v>
      </x:c>
      <x:c r="L471" s="75" t="str">
        <x:v>Yes — optional room/DM MLS 1.0</x:v>
      </x:c>
      <x:c r="M471" s="75"/>
      <x:c r="N471" s="75"/>
      <x:c r="O471" s="75" t="str">
        <x:v>Supported in encrypted rooms; default client behavior varies</x:v>
      </x:c>
      <x:c r="P471" s="75" t="str">
        <x:v>No</x:v>
      </x:c>
      <x:c r="Q471" s="75" t="str">
        <x:v>E2EE claimed</x:v>
      </x:c>
      <x:c r="R471" s="75" t="str">
        <x:v>N/A</x:v>
      </x:c>
      <x:c r="S471" s="75" t="str">
        <x:v>No</x:v>
      </x:c>
      <x:c r="T471" s="75" t="str">
        <x:v>No</x:v>
      </x:c>
      <x:c r="U471" s="75" t="str">
        <x:v>No — not marketed as an E2EE product feature</x:v>
      </x:c>
      <x:c r="V471" s="75" t="str">
        <x:v>No — group chats / Splinters are encrypted at rest, not E2EE</x:v>
      </x:c>
      <x:c r="W471" s="75" t="str">
        <x:v>E2EE support exists; exact group behavior/version-dependent</x:v>
      </x:c>
      <x:c r="X471" s="75" t="str">
        <x:v>No</x:v>
      </x:c>
      <x:c r="Y471" s="75" t="str">
        <x:v>No text E2EE disclosed</x:v>
      </x:c>
      <x:c r="Z471" s="75" t="str">
        <x:v>No documented default text E2EE</x:v>
      </x:c>
      <x:c r="AA471" s="75" t="str">
        <x:v>No default text E2EE verified</x:v>
      </x:c>
      <x:c r="AB471" s="75"/>
      <x:c r="AC471" s="78" t="str">
        <x:v>No</x:v>
      </x:c>
      <x:c r="AD471" s="75"/>
      <x:c r="AE471" s="75" t="str">
        <x:v>No</x:v>
      </x:c>
      <x:c r="AF471" s="75"/>
      <x:c r="AG471" s="75" t="str">
        <x:v>No</x:v>
      </x:c>
      <x:c r="AH471" s="122" t="n">
        <x:v>5</x:v>
      </x:c>
      <x:c r="AI471" s="123" t="str">
        <x:v>Canonical source for Security &amp; Privacy!5</x:v>
      </x:c>
    </x:row>
    <x:row r="472">
      <x:c r="A472" s="119" t="str">
        <x:v>Security &amp; Privacy</x:v>
      </x:c>
      <x:c r="B472" s="121" t="str">
        <x:v>E2EE Channels / Rooms</x:v>
      </x:c>
      <x:c r="C472" s="75" t="str">
        <x:v>No for text channels/rooms; voice/video channels are E2EE except Stage</x:v>
      </x:c>
      <x:c r="D472" s="75" t="str">
        <x:v>Yes — encrypted communities</x:v>
      </x:c>
      <x:c r="E472" s="75" t="str">
        <x:v>Server channels generally not E2EE</x:v>
      </x:c>
      <x:c r="F472" s="75" t="str">
        <x:v>No</x:v>
      </x:c>
      <x:c r="G472" s="75" t="str">
        <x:v>No — server/community text channels are plaintext to server</x:v>
      </x:c>
      <x:c r="H472" s="75" t="str">
        <x:v>No</x:v>
      </x:c>
      <x:c r="I472" s="75" t="str">
        <x:v>No channel text E2EE claim</x:v>
      </x:c>
      <x:c r="J472" s="75" t="str">
        <x:v>No published channel E2EE claim</x:v>
      </x:c>
      <x:c r="K472" s="75" t="str">
        <x:v>Encrypted private channels; public channels intentionally unencrypted</x:v>
      </x:c>
      <x:c r="L472" s="75" t="str">
        <x:v>Yes — optional room/DM MLS 1.0</x:v>
      </x:c>
      <x:c r="M472" s="75"/>
      <x:c r="N472" s="75"/>
      <x:c r="O472" s="75" t="str">
        <x:v>Supported for encrypted rooms; not every room is encrypted</x:v>
      </x:c>
      <x:c r="P472" s="75" t="str">
        <x:v>No</x:v>
      </x:c>
      <x:c r="Q472" s="75"/>
      <x:c r="R472" s="75" t="str">
        <x:v>N/A</x:v>
      </x:c>
      <x:c r="S472" s="75" t="str">
        <x:v>No</x:v>
      </x:c>
      <x:c r="T472" s="75" t="str">
        <x:v>No</x:v>
      </x:c>
      <x:c r="U472" s="75" t="str">
        <x:v>No — not marketed as an E2EE product feature</x:v>
      </x:c>
      <x:c r="V472" s="75" t="str">
        <x:v>No — Shard/community channel text is encrypted at rest, not E2EE</x:v>
      </x:c>
      <x:c r="W472" s="75" t="str">
        <x:v>Encrypted rooms supported locally; federation docs note E2EE is not supported across federated servers</x:v>
      </x:c>
      <x:c r="X472" s="75" t="str">
        <x:v>No</x:v>
      </x:c>
      <x:c r="Y472" s="75" t="str">
        <x:v>No text E2EE disclosed</x:v>
      </x:c>
      <x:c r="Z472" s="75" t="str">
        <x:v>No documented channel E2EE</x:v>
      </x:c>
      <x:c r="AA472" s="75" t="str">
        <x:v>No default channel E2EE</x:v>
      </x:c>
      <x:c r="AB472" s="75"/>
      <x:c r="AC472" s="78" t="str">
        <x:v>No</x:v>
      </x:c>
      <x:c r="AD472" s="75"/>
      <x:c r="AE472" s="75" t="str">
        <x:v>No</x:v>
      </x:c>
      <x:c r="AF472" s="75"/>
      <x:c r="AG472" s="75" t="str">
        <x:v>No</x:v>
      </x:c>
      <x:c r="AH472" s="122" t="n">
        <x:v>6</x:v>
      </x:c>
      <x:c r="AI472" s="123" t="str">
        <x:v>Canonical source for Security &amp; Privacy!6</x:v>
      </x:c>
    </x:row>
    <x:row r="473">
      <x:c r="A473" s="119" t="str">
        <x:v>Security &amp; Privacy</x:v>
      </x:c>
      <x:c r="B473" s="121" t="str">
        <x:v>E2EE Voice &amp; Video</x:v>
      </x:c>
      <x:c r="C473" s="75" t="str">
        <x:v>Yes by default for voice/video calls and Go Live; Stage channels excepted</x:v>
      </x:c>
      <x:c r="D473" s="75"/>
      <x:c r="E473" s="75"/>
      <x:c r="F473" s="75"/>
      <x:c r="G473" s="75"/>
      <x:c r="H473" s="75" t="str">
        <x:v>No currently; voice/video E2EE in development</x:v>
      </x:c>
      <x:c r="I473" s="75" t="str">
        <x:v>Voice E2EE claimed</x:v>
      </x:c>
      <x:c r="J473" s="75" t="str">
        <x:v>Not publicly claimed</x:v>
      </x:c>
      <x:c r="K473" s="75" t="str">
        <x:v>Olm+MLS+SFrame stated for media/messages</x:v>
      </x:c>
      <x:c r="L473" s="75" t="str">
        <x:v>Yes — MLS policy also protects supported LiveKit microphone/camera/screen/screen-audio frames</x:v>
      </x:c>
      <x:c r="M473" s="75"/>
      <x:c r="N473" s="75"/>
      <x:c r="O473" s="75" t="str">
        <x:v>MatrixRTC supports E2EE; client/media implementation matters</x:v>
      </x:c>
      <x:c r="P473" s="75"/>
      <x:c r="Q473" s="75" t="str">
        <x:v>E2EE claimed</x:v>
      </x:c>
      <x:c r="R473" s="75" t="str">
        <x:v>Voice encrypted in transit; not E2EE against server operator</x:v>
      </x:c>
      <x:c r="S473" s="75"/>
      <x:c r="T473" s="75" t="str">
        <x:v>Calls use encrypted connections; E2EE not claimed</x:v>
      </x:c>
      <x:c r="U473" s="75" t="str">
        <x:v>Not marketed as an E2EE product feature</x:v>
      </x:c>
      <x:c r="V473" s="75" t="str">
        <x:v>Yes — direct voice/video/screen calls are documented as E2EE</x:v>
      </x:c>
      <x:c r="W473" s="75" t="str">
        <x:v>Call-provider/deployment-dependent</x:v>
      </x:c>
      <x:c r="X473" s="75"/>
      <x:c r="Y473" s="75" t="str">
        <x:v>Calls transmitted in real time; E2EE not claimed in privacy policy</x:v>
      </x:c>
      <x:c r="Z473" s="75"/>
      <x:c r="AA473" s="75"/>
      <x:c r="AB473" s="75"/>
      <x:c r="AC473" s="78"/>
      <x:c r="AD473" s="75"/>
      <x:c r="AE473" s="75"/>
      <x:c r="AF473" s="75"/>
      <x:c r="AG473" s="75" t="str">
        <x:v>External provider-dependent</x:v>
      </x:c>
      <x:c r="AH473" s="122" t="n">
        <x:v>7</x:v>
      </x:c>
      <x:c r="AI473" s="123" t="str">
        <x:v>Canonical source for Security &amp; Privacy!7</x:v>
      </x:c>
    </x:row>
    <x:row r="474">
      <x:c r="A474" s="119" t="str">
        <x:v>Security &amp; Privacy</x:v>
      </x:c>
      <x:c r="B474" s="121" t="str">
        <x:v>Mandatory Signup Credentials (Phone / Email / Keypair)</x:v>
      </x:c>
      <x:c r="C474" s="75" t="str">
        <x:v>Email + username + password + DOB on desktop; phone or email on mobile; verification may be required</x:v>
      </x:c>
      <x:c r="D474" s="75" t="str">
        <x:v>Keypair/secret-based Nostr identity</x:v>
      </x:c>
      <x:c r="E474" s="75" t="str">
        <x:v>Server account or key-based messenger identity</x:v>
      </x:c>
      <x:c r="F474" s="75"/>
      <x:c r="G474" s="75"/>
      <x:c r="H474" s="75" t="str">
        <x:v>Email + username + password + DOB; phone verification may be triggered</x:v>
      </x:c>
      <x:c r="I474" s="75" t="str">
        <x:v>Username + password; no email/phone/ID required</x:v>
      </x:c>
      <x:c r="J474" s="75" t="str">
        <x:v>Email/password on Fermi hosted instance</x:v>
      </x:c>
      <x:c r="K474" s="75" t="str">
        <x:v>No traditional account; Ed25519 key + 24-word recovery phrase</x:v>
      </x:c>
      <x:c r="L474" s="75" t="str">
        <x:v>Official instance requires username/password/email; self-host can disable email</x:v>
      </x:c>
      <x:c r="M474" s="75" t="str">
        <x:v>No email/phone required; secret-key identity</x:v>
      </x:c>
      <x:c r="N474" s="75"/>
      <x:c r="O474" s="75" t="str">
        <x:v>Account on a homeserver; credential/SSO rules are server-dependent</x:v>
      </x:c>
      <x:c r="P474" s="75" t="str">
        <x:v>Email/SSO/LDAP depending deployment</x:v>
      </x:c>
      <x:c r="Q474" s="75"/>
      <x:c r="R474" s="75" t="str">
        <x:v>Username/certificate/password depending server</x:v>
      </x:c>
      <x:c r="S474" s="75" t="str">
        <x:v>Email verification required for messaging</x:v>
      </x:c>
      <x:c r="T474" s="75" t="str">
        <x:v>Email + username/password</x:v>
      </x:c>
      <x:c r="U474" s="75" t="str">
        <x:v>Accounts via Clerk; exact mandatory fields not stated</x:v>
      </x:c>
      <x:c r="V474" s="75" t="str">
        <x:v>Username + password only; no email/phone/ID</x:v>
      </x:c>
      <x:c r="W474" s="75" t="str">
        <x:v>Email/SSO/LDAP depending deployment</x:v>
      </x:c>
      <x:c r="X474" s="75" t="str">
        <x:v>Bluesky/ATProto identity by default</x:v>
      </x:c>
      <x:c r="Y474" s="75" t="str">
        <x:v>Username/email/password</x:v>
      </x:c>
      <x:c r="Z474" s="75" t="str">
        <x:v>Operator-configurable account rules</x:v>
      </x:c>
      <x:c r="AA474" s="75"/>
      <x:c r="AB474" s="75"/>
      <x:c r="AC474" s="78" t="str">
        <x:v>Email only; no phone/ID</x:v>
      </x:c>
      <x:c r="AD474" s="75" t="str">
        <x:v>Device/account registration</x:v>
      </x:c>
      <x:c r="AE474" s="75"/>
      <x:c r="AF474" s="75" t="str">
        <x:v>Email/password or account</x:v>
      </x:c>
      <x:c r="AG474" s="75" t="str">
        <x:v>Email/SSO depending deployment</x:v>
      </x:c>
      <x:c r="AH474" s="122" t="n">
        <x:v>8</x:v>
      </x:c>
      <x:c r="AI474" s="123" t="str">
        <x:v>Canonical source for Security &amp; Privacy!8</x:v>
      </x:c>
    </x:row>
    <x:row r="475">
      <x:c r="A475" s="119" t="str">
        <x:v>Security &amp; Privacy</x:v>
      </x:c>
      <x:c r="B475" s="121" t="str">
        <x:v>Metadata Retention Policy</x:v>
      </x:c>
      <x:c r="C475" s="75" t="str">
        <x:v>Generally retained while an account is active/as needed; some data has fixed legal/safety periods; inactive accounts may be deleted after 2 years</x:v>
      </x:c>
      <x:c r="D475" s="75" t="str">
        <x:v>Relay stores encrypted events</x:v>
      </x:c>
      <x:c r="E475" s="75" t="str">
        <x:v>Operator controlled; messenger relay stores encrypted messages temporarily</x:v>
      </x:c>
      <x:c r="F475" s="75"/>
      <x:c r="G475" s="75"/>
      <x:c r="H475" s="75" t="str">
        <x:v>Published retention policy</x:v>
      </x:c>
      <x:c r="I475" s="75"/>
      <x:c r="J475" s="75" t="str">
        <x:v>Operator controlled</x:v>
      </x:c>
      <x:c r="K475" s="75" t="str">
        <x:v>Data stored locally; relay stores no persistent content</x:v>
      </x:c>
      <x:c r="L475" s="75" t="str">
        <x:v>Developer reports data retained until user deletes/requests deletion; operators have retention/purge jobs and configurable policies</x:v>
      </x:c>
      <x:c r="M475" s="75" t="str">
        <x:v>Published privacy policy</x:v>
      </x:c>
      <x:c r="N475" s="75"/>
      <x:c r="O475" s="75" t="str">
        <x:v>Homeserver-dependent</x:v>
      </x:c>
      <x:c r="P475" s="75" t="str">
        <x:v>Deployment/admin controlled</x:v>
      </x:c>
      <x:c r="Q475" s="75"/>
      <x:c r="R475" s="75" t="str">
        <x:v>Server/operator-controlled</x:v>
      </x:c>
      <x:c r="S475" s="75"/>
      <x:c r="T475" s="75" t="str">
        <x:v>Published privacy policy</x:v>
      </x:c>
      <x:c r="U475" s="75" t="str">
        <x:v>Message retention controls + data export; exact retention windows not stated</x:v>
      </x:c>
      <x:c r="V475" s="75" t="str">
        <x:v>Deletion stated as hard delete</x:v>
      </x:c>
      <x:c r="W475" s="75" t="str">
        <x:v>Admin/deployment policy</x:v>
      </x:c>
      <x:c r="X475" s="75" t="str">
        <x:v>ATProto/provider dependent</x:v>
      </x:c>
      <x:c r="Y475" s="75"/>
      <x:c r="Z475" s="75" t="str">
        <x:v>Operator-controlled</x:v>
      </x:c>
      <x:c r="AA475" s="75"/>
      <x:c r="AB475" s="75" t="str">
        <x:v>Operator/service-dependent</x:v>
      </x:c>
      <x:c r="AC475" s="78"/>
      <x:c r="AD475" s="75"/>
      <x:c r="AE475" s="75"/>
      <x:c r="AF475" s="75" t="str">
        <x:v>Operator controlled</x:v>
      </x:c>
      <x:c r="AG475" s="75" t="str">
        <x:v>Hosted/self-host policy-dependent</x:v>
      </x:c>
      <x:c r="AH475" s="122" t="n">
        <x:v>9</x:v>
      </x:c>
      <x:c r="AI475" s="123" t="str">
        <x:v>Canonical source for Security &amp; Privacy!9</x:v>
      </x:c>
    </x:row>
    <x:row r="476">
      <x:c r="A476" s="119" t="str">
        <x:v>Security &amp; Privacy</x:v>
      </x:c>
      <x:c r="B476" s="121" t="str">
        <x:v>IP Address Logging Policy</x:v>
      </x:c>
      <x:c r="C476" s="75" t="str">
        <x:v>Yes — IP address is collected as device/use information</x:v>
      </x:c>
      <x:c r="D476" s="75" t="str">
        <x:v>Relay sees metadata; content encrypted</x:v>
      </x:c>
      <x:c r="E476" s="75" t="str">
        <x:v>Operator controlled; official messenger claims privacy model</x:v>
      </x:c>
      <x:c r="F476" s="75"/>
      <x:c r="G476" s="75"/>
      <x:c r="H476" s="75" t="str">
        <x:v>IP/network data processed; approximate location derived</x:v>
      </x:c>
      <x:c r="I476" s="75" t="str">
        <x:v>Operator/service dependent</x:v>
      </x:c>
      <x:c r="J476" s="75" t="str">
        <x:v>Operator controlled</x:v>
      </x:c>
      <x:c r="K476" s="75" t="str">
        <x:v>Official relay claims no IP logging; self-host operator could log metadata</x:v>
      </x:c>
      <x:c r="L476" s="75" t="str">
        <x:v>Not publicly specified</x:v>
      </x:c>
      <x:c r="M476" s="75"/>
      <x:c r="N476" s="75"/>
      <x:c r="O476" s="75" t="str">
        <x:v>Homeserver/operator sees IP/network metadata; exact logging is operator-dependent</x:v>
      </x:c>
      <x:c r="P476" s="75" t="str">
        <x:v>Deployment/admin controlled</x:v>
      </x:c>
      <x:c r="Q476" s="75"/>
      <x:c r="R476" s="75" t="str">
        <x:v>Server/operator-controlled</x:v>
      </x:c>
      <x:c r="S476" s="75"/>
      <x:c r="T476" s="75"/>
      <x:c r="U476" s="75"/>
      <x:c r="V476" s="75"/>
      <x:c r="W476" s="75" t="str">
        <x:v>Admin/deployment policy</x:v>
      </x:c>
      <x:c r="X476" s="75" t="str">
        <x:v>Provider dependent</x:v>
      </x:c>
      <x:c r="Y476" s="75" t="str">
        <x:v>Yes — device/network info incl. IP collected</x:v>
      </x:c>
      <x:c r="Z476" s="75" t="str">
        <x:v>Operator-controlled</x:v>
      </x:c>
      <x:c r="AA476" s="75"/>
      <x:c r="AB476" s="75" t="str">
        <x:v>Operator/service-dependent</x:v>
      </x:c>
      <x:c r="AC476" s="78"/>
      <x:c r="AD476" s="75"/>
      <x:c r="AE476" s="75"/>
      <x:c r="AF476" s="75" t="str">
        <x:v>Operator controlled</x:v>
      </x:c>
      <x:c r="AG476" s="75" t="str">
        <x:v>Hosted/operator dependent</x:v>
      </x:c>
      <x:c r="AH476" s="122" t="n">
        <x:v>10</x:v>
      </x:c>
      <x:c r="AI476" s="123" t="str">
        <x:v>Canonical source for Security &amp; Privacy!10</x:v>
      </x:c>
    </x:row>
    <x:row r="477">
      <x:c r="A477" s="119" t="str">
        <x:v>Security &amp; Privacy</x:v>
      </x:c>
      <x:c r="B477" s="121" t="str">
        <x:v>EXIF Scrubbing on Uploads</x:v>
      </x:c>
      <x:c r="C477" s="75"/>
      <x:c r="D477" s="75"/>
      <x:c r="E477" s="75"/>
      <x:c r="F477" s="75"/>
      <x:c r="G477" s="75"/>
      <x:c r="H477" s="75"/>
      <x:c r="I477" s="75"/>
      <x:c r="J477" s="75"/>
      <x:c r="K477" s="75"/>
      <x:c r="L477" s="75" t="str">
        <x:v>Not explicitly documented</x:v>
      </x:c>
      <x:c r="M477" s="75"/>
      <x:c r="N477" s="75"/>
      <x:c r="O477" s="75" t="str">
        <x:v>Client/server-dependent</x:v>
      </x:c>
      <x:c r="P477" s="75"/>
      <x:c r="Q477" s="75"/>
      <x:c r="R477" s="75" t="str">
        <x:v>N/A</x:v>
      </x:c>
      <x:c r="S477" s="75"/>
      <x:c r="T477" s="75"/>
      <x:c r="U477" s="75"/>
      <x:c r="V477" s="75" t="str">
        <x:v>Yes — automatic EXIF stripping</x:v>
      </x:c>
      <x:c r="W477" s="75"/>
      <x:c r="X477" s="75"/>
      <x:c r="Y477" s="75"/>
      <x:c r="Z477" s="75"/>
      <x:c r="AA477" s="75"/>
      <x:c r="AB477" s="75"/>
      <x:c r="AC477" s="78"/>
      <x:c r="AD477" s="75"/>
      <x:c r="AE477" s="75"/>
      <x:c r="AF477" s="75"/>
      <x:c r="AG477" s="75"/>
      <x:c r="AH477" s="122" t="n">
        <x:v>11</x:v>
      </x:c>
      <x:c r="AI477" s="123" t="str">
        <x:v>Canonical source for Security &amp; Privacy!11</x:v>
      </x:c>
    </x:row>
    <x:row r="478">
      <x:c r="A478" s="119" t="str">
        <x:v>Security &amp; Privacy</x:v>
      </x:c>
      <x:c r="B478" s="121" t="str">
        <x:v>Server Jurisdiction / Location</x:v>
      </x:c>
      <x:c r="C478" s="75"/>
      <x:c r="D478" s="75" t="str">
        <x:v>Relay/operator/global</x:v>
      </x:c>
      <x:c r="E478" s="75" t="str">
        <x:v>Self-host operator controlled</x:v>
      </x:c>
      <x:c r="F478" s="75"/>
      <x:c r="G478" s="75" t="str">
        <x:v>Fenrid LLC (New Mexico, US); global infrastructure</x:v>
      </x:c>
      <x:c r="H478" s="75" t="str">
        <x:v>Fluxer Platform AB (Sweden); most stored data hosted in New Jersey, US</x:v>
      </x:c>
      <x:c r="I478" s="75" t="str">
        <x:v>Hosted + self-host operator dependent</x:v>
      </x:c>
      <x:c r="J478" s="75" t="str">
        <x:v>Self-host/operator jurisdiction</x:v>
      </x:c>
      <x:c r="K478" s="75" t="str">
        <x:v>Local-first; relay jurisdiction replaceable</x:v>
      </x:c>
      <x:c r="L478" s="75" t="str">
        <x:v>Official deployment uses OVH core, Backblaze object storage and Hivelocity LiveKit capacity serving US-East/South America (developer report)</x:v>
      </x:c>
      <x:c r="M478" s="75"/>
      <x:c r="N478" s="75" t="str">
        <x:v>Federated/self-host operator-dependent</x:v>
      </x:c>
      <x:c r="O478" s="75" t="str">
        <x:v>Federated — jurisdiction/location depends on homeserver(s) participating in a room</x:v>
      </x:c>
      <x:c r="P478" s="75" t="str">
        <x:v>Cloud or self-host jurisdiction</x:v>
      </x:c>
      <x:c r="Q478" s="75"/>
      <x:c r="R478" s="75" t="str">
        <x:v>Self-hosted — operator-selected jurisdiction</x:v>
      </x:c>
      <x:c r="S478" s="75"/>
      <x:c r="T478" s="75" t="str">
        <x:v>Regional data storage by user/community region</x:v>
      </x:c>
      <x:c r="U478" s="75" t="str">
        <x:v>Hosted in São Paulo, Brazil; self-host location is operator-controlled</x:v>
      </x:c>
      <x:c r="V478" s="75"/>
      <x:c r="W478" s="75" t="str">
        <x:v>Cloud or self-host jurisdiction</x:v>
      </x:c>
      <x:c r="X478" s="75" t="str">
        <x:v>ATProto/PDS-dependent</x:v>
      </x:c>
      <x:c r="Y478" s="75" t="str">
        <x:v>Root Communications, Inc., United States</x:v>
      </x:c>
      <x:c r="Z478" s="75" t="str">
        <x:v>Self-hosted — operator-selected jurisdiction</x:v>
      </x:c>
      <x:c r="AA478" s="75" t="str">
        <x:v>Hosted service: Europe-oriented; self-host location is operator-controlled</x:v>
      </x:c>
      <x:c r="AB478" s="75" t="str">
        <x:v>Self-hosted/hosted — jurisdiction depends operator/provider</x:v>
      </x:c>
      <x:c r="AC478" s="78" t="str">
        <x:v>Hosted/self-host dependent</x:v>
      </x:c>
      <x:c r="AD478" s="75" t="str">
        <x:v>Hosted/self-host dependent</x:v>
      </x:c>
      <x:c r="AE478" s="75"/>
      <x:c r="AF478" s="75" t="str">
        <x:v>Self-host jurisdiction</x:v>
      </x:c>
      <x:c r="AG478" s="75" t="str">
        <x:v>Cloud jurisdiction/provider; self-host operator-controlled</x:v>
      </x:c>
      <x:c r="AH478" s="122" t="n">
        <x:v>12</x:v>
      </x:c>
      <x:c r="AI478" s="123" t="str">
        <x:v>Canonical source for Security &amp; Privacy!12</x:v>
      </x:c>
    </x:row>
    <x:row r="479">
      <x:c r="A479" s="119" t="str">
        <x:v>Encryption Details</x:v>
      </x:c>
      <x:c r="B479" s="121" t="str">
        <x:v>Text 1:1 DM E2EE</x:v>
      </x:c>
      <x:c r="C479" s="75" t="str">
        <x:v>No (text)</x:v>
      </x:c>
      <x:c r="D479" s="75" t="str">
        <x:v>Yes</x:v>
      </x:c>
      <x:c r="E479" s="75" t="str">
        <x:v>Yes for desktop server DMs when enabled; messenger always yes</x:v>
      </x:c>
      <x:c r="F479" s="75" t="str">
        <x:v>No default text E2EE verified</x:v>
      </x:c>
      <x:c r="G479" s="75" t="str">
        <x:v>Yes</x:v>
      </x:c>
      <x:c r="H479" s="75" t="str">
        <x:v>No</x:v>
      </x:c>
      <x:c r="I479" s="75" t="str">
        <x:v>No</x:v>
      </x:c>
      <x:c r="J479" s="75" t="str">
        <x:v>No</x:v>
      </x:c>
      <x:c r="K479" s="75" t="str">
        <x:v>Yes</x:v>
      </x:c>
      <x:c r="L479" s="75" t="str">
        <x:v>Yes — optional room/DM MLS 1.0</x:v>
      </x:c>
      <x:c r="M479" s="75"/>
      <x:c r="N479" s="75"/>
      <x:c r="O479" s="75" t="str">
        <x:v>Supported; default depends on client/room</x:v>
      </x:c>
      <x:c r="P479" s="75" t="str">
        <x:v>No</x:v>
      </x:c>
      <x:c r="Q479" s="75" t="str">
        <x:v>E2EE claimed</x:v>
      </x:c>
      <x:c r="R479" s="75" t="str">
        <x:v>N/A</x:v>
      </x:c>
      <x:c r="S479" s="75" t="str">
        <x:v>No default E2EE verified</x:v>
      </x:c>
      <x:c r="T479" s="75" t="str">
        <x:v>No</x:v>
      </x:c>
      <x:c r="U479" s="75" t="str">
        <x:v>No — not marketed as E2EE</x:v>
      </x:c>
      <x:c r="V479" s="75" t="str">
        <x:v>Yes</x:v>
      </x:c>
      <x:c r="W479" s="75" t="str">
        <x:v>Available in supported E2EE conversations</x:v>
      </x:c>
      <x:c r="X479" s="75" t="str">
        <x:v>No default E2EE verified</x:v>
      </x:c>
      <x:c r="Y479" s="75" t="str">
        <x:v>No claim / treated as server-readable</x:v>
      </x:c>
      <x:c r="Z479" s="75" t="str">
        <x:v>No documented default</x:v>
      </x:c>
      <x:c r="AA479" s="75" t="str">
        <x:v>No default E2EE verified</x:v>
      </x:c>
      <x:c r="AB479" s="75"/>
      <x:c r="AC479" s="78" t="str">
        <x:v>No default E2EE claim</x:v>
      </x:c>
      <x:c r="AD479" s="75" t="str">
        <x:v>No by default</x:v>
      </x:c>
      <x:c r="AE479" s="75" t="str">
        <x:v>No</x:v>
      </x:c>
      <x:c r="AF479" s="75"/>
      <x:c r="AG479" s="75" t="str">
        <x:v>No</x:v>
      </x:c>
      <x:c r="AH479" s="122" t="n">
        <x:v>3</x:v>
      </x:c>
      <x:c r="AI479" s="123" t="str">
        <x:v>Canonical source for Encryption Details!3</x:v>
      </x:c>
    </x:row>
    <x:row r="480">
      <x:c r="A480" s="119" t="str">
        <x:v>Encryption Details</x:v>
      </x:c>
      <x:c r="B480" s="121" t="str">
        <x:v>Group DM E2EE</x:v>
      </x:c>
      <x:c r="C480" s="75" t="str">
        <x:v>No (text)</x:v>
      </x:c>
      <x:c r="D480" s="75" t="str">
        <x:v>Yes</x:v>
      </x:c>
      <x:c r="E480" s="75"/>
      <x:c r="F480" s="75" t="str">
        <x:v>No</x:v>
      </x:c>
      <x:c r="G480" s="75"/>
      <x:c r="H480" s="75" t="str">
        <x:v>No</x:v>
      </x:c>
      <x:c r="I480" s="75" t="str">
        <x:v>No</x:v>
      </x:c>
      <x:c r="J480" s="75" t="str">
        <x:v>No</x:v>
      </x:c>
      <x:c r="K480" s="75" t="str">
        <x:v>Yes</x:v>
      </x:c>
      <x:c r="L480" s="75" t="str">
        <x:v>Yes — optional room/DM MLS 1.0</x:v>
      </x:c>
      <x:c r="M480" s="75"/>
      <x:c r="N480" s="75"/>
      <x:c r="O480" s="75" t="str">
        <x:v>Supported in encrypted rooms</x:v>
      </x:c>
      <x:c r="P480" s="75" t="str">
        <x:v>No</x:v>
      </x:c>
      <x:c r="Q480" s="75" t="str">
        <x:v>E2EE claimed</x:v>
      </x:c>
      <x:c r="R480" s="75" t="str">
        <x:v>N/A</x:v>
      </x:c>
      <x:c r="S480" s="75" t="str">
        <x:v>No</x:v>
      </x:c>
      <x:c r="T480" s="75" t="str">
        <x:v>No</x:v>
      </x:c>
      <x:c r="U480" s="75" t="str">
        <x:v>No — not marketed as E2EE</x:v>
      </x:c>
      <x:c r="V480" s="75" t="str">
        <x:v>No — Splinters/group chats are server-readable after decryption</x:v>
      </x:c>
      <x:c r="W480" s="75" t="str">
        <x:v>Available with limitations/version-dependent</x:v>
      </x:c>
      <x:c r="X480" s="75" t="str">
        <x:v>No</x:v>
      </x:c>
      <x:c r="Y480" s="75" t="str">
        <x:v>No claim</x:v>
      </x:c>
      <x:c r="Z480" s="75" t="str">
        <x:v>No documented default</x:v>
      </x:c>
      <x:c r="AA480" s="75" t="str">
        <x:v>No default E2EE verified</x:v>
      </x:c>
      <x:c r="AB480" s="75"/>
      <x:c r="AC480" s="78" t="str">
        <x:v>No</x:v>
      </x:c>
      <x:c r="AD480" s="75"/>
      <x:c r="AE480" s="75" t="str">
        <x:v>No</x:v>
      </x:c>
      <x:c r="AF480" s="75"/>
      <x:c r="AG480" s="75" t="str">
        <x:v>No</x:v>
      </x:c>
      <x:c r="AH480" s="122" t="n">
        <x:v>4</x:v>
      </x:c>
      <x:c r="AI480" s="123" t="str">
        <x:v>Canonical source for Encryption Details!4</x:v>
      </x:c>
    </x:row>
    <x:row r="481">
      <x:c r="A481" s="119" t="str">
        <x:v>Encryption Details</x:v>
      </x:c>
      <x:c r="B481" s="121" t="str">
        <x:v>Community / Channel Text E2EE</x:v>
      </x:c>
      <x:c r="C481" s="75" t="str">
        <x:v>No (text)</x:v>
      </x:c>
      <x:c r="D481" s="75" t="str">
        <x:v>Yes</x:v>
      </x:c>
      <x:c r="E481" s="75" t="str">
        <x:v>No for normal server channels</x:v>
      </x:c>
      <x:c r="F481" s="75" t="str">
        <x:v>No</x:v>
      </x:c>
      <x:c r="G481" s="75" t="str">
        <x:v>No</x:v>
      </x:c>
      <x:c r="H481" s="75" t="str">
        <x:v>No</x:v>
      </x:c>
      <x:c r="I481" s="75" t="str">
        <x:v>No</x:v>
      </x:c>
      <x:c r="J481" s="75" t="str">
        <x:v>No</x:v>
      </x:c>
      <x:c r="K481" s="75" t="str">
        <x:v>Yes for private channels; public channels are intentionally plaintext/public</x:v>
      </x:c>
      <x:c r="L481" s="75" t="str">
        <x:v>Yes — optional room/DM MLS 1.0</x:v>
      </x:c>
      <x:c r="M481" s="75"/>
      <x:c r="N481" s="75"/>
      <x:c r="O481" s="75" t="str">
        <x:v>Supported in encrypted rooms</x:v>
      </x:c>
      <x:c r="P481" s="75" t="str">
        <x:v>No</x:v>
      </x:c>
      <x:c r="Q481" s="75"/>
      <x:c r="R481" s="75" t="str">
        <x:v>N/A</x:v>
      </x:c>
      <x:c r="S481" s="75" t="str">
        <x:v>No</x:v>
      </x:c>
      <x:c r="T481" s="75" t="str">
        <x:v>No</x:v>
      </x:c>
      <x:c r="U481" s="75" t="str">
        <x:v>No — not marketed as E2EE</x:v>
      </x:c>
      <x:c r="V481" s="75" t="str">
        <x:v>No — community channels are encrypted at rest, not E2EE</x:v>
      </x:c>
      <x:c r="W481" s="75" t="str">
        <x:v>Available for encrypted rooms; federation has limitations</x:v>
      </x:c>
      <x:c r="X481" s="75" t="str">
        <x:v>No</x:v>
      </x:c>
      <x:c r="Y481" s="75" t="str">
        <x:v>No claim</x:v>
      </x:c>
      <x:c r="Z481" s="75" t="str">
        <x:v>No documented default</x:v>
      </x:c>
      <x:c r="AA481" s="75" t="str">
        <x:v>No</x:v>
      </x:c>
      <x:c r="AB481" s="75"/>
      <x:c r="AC481" s="78" t="str">
        <x:v>No</x:v>
      </x:c>
      <x:c r="AD481" s="75" t="str">
        <x:v>No by default</x:v>
      </x:c>
      <x:c r="AE481" s="75" t="str">
        <x:v>No</x:v>
      </x:c>
      <x:c r="AF481" s="75"/>
      <x:c r="AG481" s="75" t="str">
        <x:v>No</x:v>
      </x:c>
      <x:c r="AH481" s="122" t="n">
        <x:v>5</x:v>
      </x:c>
      <x:c r="AI481" s="123" t="str">
        <x:v>Canonical source for Encryption Details!5</x:v>
      </x:c>
    </x:row>
    <x:row r="482">
      <x:c r="A482" s="119" t="str">
        <x:v>Encryption Details</x:v>
      </x:c>
      <x:c r="B482" s="121" t="str">
        <x:v>Voice E2EE</x:v>
      </x:c>
      <x:c r="C482" s="75" t="str">
        <x:v>Yes by default for calls/Go Live via DAVE</x:v>
      </x:c>
      <x:c r="D482" s="75"/>
      <x:c r="E482" s="75"/>
      <x:c r="F482" s="75"/>
      <x:c r="G482" s="75"/>
      <x:c r="H482" s="75" t="str">
        <x:v>No currently</x:v>
      </x:c>
      <x:c r="I482" s="75" t="str">
        <x:v>Yes — voice claimed E2EE</x:v>
      </x:c>
      <x:c r="J482" s="75" t="str">
        <x:v>No currently</x:v>
      </x:c>
      <x:c r="K482" s="75" t="str">
        <x:v>Yes/SFrame claim</x:v>
      </x:c>
      <x:c r="L482" s="75" t="str">
        <x:v>Yes — MLS policy also protects supported LiveKit microphone/camera/screen/screen-audio frames</x:v>
      </x:c>
      <x:c r="M482" s="75"/>
      <x:c r="N482" s="75"/>
      <x:c r="O482" s="75" t="str">
        <x:v>Supported by MatrixRTC/capable clients</x:v>
      </x:c>
      <x:c r="P482" s="75" t="str">
        <x:v>Not generally E2EE against server; deployment media security applies</x:v>
      </x:c>
      <x:c r="Q482" s="75" t="str">
        <x:v>E2EE claimed</x:v>
      </x:c>
      <x:c r="R482" s="75" t="str">
        <x:v>No — media is encrypted to server, not E2EE against server operator</x:v>
      </x:c>
      <x:c r="S482" s="75"/>
      <x:c r="T482" s="75" t="str">
        <x:v>Encrypted transport; E2EE not claimed</x:v>
      </x:c>
      <x:c r="U482" s="75" t="str">
        <x:v>Not marketed as an E2EE product feature</x:v>
      </x:c>
      <x:c r="V482" s="75" t="str">
        <x:v>Yes — direct calls</x:v>
      </x:c>
      <x:c r="W482" s="75" t="str">
        <x:v>Provider/deployment-dependent</x:v>
      </x:c>
      <x:c r="X482" s="75" t="str">
        <x:v>N/A</x:v>
      </x:c>
      <x:c r="Y482" s="75" t="str">
        <x:v>No E2EE claim in privacy policy</x:v>
      </x:c>
      <x:c r="Z482" s="75"/>
      <x:c r="AA482" s="75"/>
      <x:c r="AB482" s="75"/>
      <x:c r="AC482" s="78"/>
      <x:c r="AD482" s="75"/>
      <x:c r="AE482" s="75"/>
      <x:c r="AF482" s="75"/>
      <x:c r="AG482" s="75" t="str">
        <x:v>External provider-dependent</x:v>
      </x:c>
      <x:c r="AH482" s="122" t="n">
        <x:v>6</x:v>
      </x:c>
      <x:c r="AI482" s="123" t="str">
        <x:v>Canonical source for Encryption Details!6</x:v>
      </x:c>
    </x:row>
    <x:row r="483">
      <x:c r="A483" s="119" t="str">
        <x:v>Encryption Details</x:v>
      </x:c>
      <x:c r="B483" s="121" t="str">
        <x:v>Video E2EE</x:v>
      </x:c>
      <x:c r="C483" s="75" t="str">
        <x:v>Yes by default for calls/Go Live via DAVE</x:v>
      </x:c>
      <x:c r="D483" s="75"/>
      <x:c r="E483" s="75"/>
      <x:c r="F483" s="75"/>
      <x:c r="G483" s="75"/>
      <x:c r="H483" s="75" t="str">
        <x:v>No currently</x:v>
      </x:c>
      <x:c r="I483" s="75"/>
      <x:c r="J483" s="75" t="str">
        <x:v>No currently</x:v>
      </x:c>
      <x:c r="K483" s="75" t="str">
        <x:v>Yes/SFrame claim</x:v>
      </x:c>
      <x:c r="L483" s="75" t="str">
        <x:v>Yes — MLS policy also protects supported LiveKit microphone/camera/screen/screen-audio frames</x:v>
      </x:c>
      <x:c r="M483" s="75"/>
      <x:c r="N483" s="75"/>
      <x:c r="O483" s="75" t="str">
        <x:v>Supported by MatrixRTC/capable clients</x:v>
      </x:c>
      <x:c r="P483" s="75" t="str">
        <x:v>Same</x:v>
      </x:c>
      <x:c r="Q483" s="75" t="str">
        <x:v>E2EE claimed</x:v>
      </x:c>
      <x:c r="R483" s="75" t="str">
        <x:v>N/A</x:v>
      </x:c>
      <x:c r="S483" s="75"/>
      <x:c r="T483" s="75" t="str">
        <x:v>Encrypted transport; E2EE not claimed</x:v>
      </x:c>
      <x:c r="U483" s="75" t="str">
        <x:v>Not marketed as an E2EE product feature</x:v>
      </x:c>
      <x:c r="V483" s="75" t="str">
        <x:v>Yes — direct calls</x:v>
      </x:c>
      <x:c r="W483" s="75" t="str">
        <x:v>Provider/deployment-dependent</x:v>
      </x:c>
      <x:c r="X483" s="75" t="str">
        <x:v>N/A</x:v>
      </x:c>
      <x:c r="Y483" s="75" t="str">
        <x:v>No E2EE claim</x:v>
      </x:c>
      <x:c r="Z483" s="75"/>
      <x:c r="AA483" s="75"/>
      <x:c r="AB483" s="75"/>
      <x:c r="AC483" s="78"/>
      <x:c r="AD483" s="75"/>
      <x:c r="AE483" s="75"/>
      <x:c r="AF483" s="75"/>
      <x:c r="AG483" s="75" t="str">
        <x:v>External provider-dependent</x:v>
      </x:c>
      <x:c r="AH483" s="122" t="n">
        <x:v>7</x:v>
      </x:c>
      <x:c r="AI483" s="123" t="str">
        <x:v>Canonical source for Encryption Details!7</x:v>
      </x:c>
    </x:row>
    <x:row r="484">
      <x:c r="A484" s="119" t="str">
        <x:v>Encryption Details</x:v>
      </x:c>
      <x:c r="B484" s="121" t="str">
        <x:v>Screen Share E2EE</x:v>
      </x:c>
      <x:c r="C484" s="75" t="str">
        <x:v>Yes by default for Go Live; Stage exception</x:v>
      </x:c>
      <x:c r="D484" s="75"/>
      <x:c r="E484" s="75"/>
      <x:c r="F484" s="75"/>
      <x:c r="G484" s="75"/>
      <x:c r="H484" s="75" t="str">
        <x:v>No currently</x:v>
      </x:c>
      <x:c r="I484" s="75"/>
      <x:c r="J484" s="75" t="str">
        <x:v>No currently</x:v>
      </x:c>
      <x:c r="K484" s="75"/>
      <x:c r="L484" s="75" t="str">
        <x:v>Yes — MLS policy also protects supported LiveKit microphone/camera/screen/screen-audio frames</x:v>
      </x:c>
      <x:c r="M484" s="75"/>
      <x:c r="N484" s="75"/>
      <x:c r="O484" s="75" t="str">
        <x:v>Supported by MatrixRTC/capable clients</x:v>
      </x:c>
      <x:c r="P484" s="75" t="str">
        <x:v>Same</x:v>
      </x:c>
      <x:c r="Q484" s="75"/>
      <x:c r="R484" s="75" t="str">
        <x:v>N/A</x:v>
      </x:c>
      <x:c r="S484" s="75"/>
      <x:c r="T484" s="75"/>
      <x:c r="U484" s="75" t="str">
        <x:v>Not marketed as an E2EE product feature</x:v>
      </x:c>
      <x:c r="V484" s="75" t="str">
        <x:v>Yes — direct screen sharing/calls</x:v>
      </x:c>
      <x:c r="W484" s="75" t="str">
        <x:v>Provider/deployment-dependent</x:v>
      </x:c>
      <x:c r="X484" s="75" t="str">
        <x:v>N/A</x:v>
      </x:c>
      <x:c r="Y484" s="75" t="str">
        <x:v>No E2EE claim</x:v>
      </x:c>
      <x:c r="Z484" s="75"/>
      <x:c r="AA484" s="75"/>
      <x:c r="AB484" s="75"/>
      <x:c r="AC484" s="78"/>
      <x:c r="AD484" s="75"/>
      <x:c r="AE484" s="75"/>
      <x:c r="AF484" s="75"/>
      <x:c r="AG484" s="75" t="str">
        <x:v>External provider-dependent</x:v>
      </x:c>
      <x:c r="AH484" s="122" t="n">
        <x:v>8</x:v>
      </x:c>
      <x:c r="AI484" s="123" t="str">
        <x:v>Canonical source for Encryption Details!8</x:v>
      </x:c>
    </x:row>
    <x:row r="485">
      <x:c r="A485" s="119" t="str">
        <x:v>Encryption Details</x:v>
      </x:c>
      <x:c r="B485" s="121" t="str">
        <x:v>Encryption Default / Optional</x:v>
      </x:c>
      <x:c r="C485" s="75" t="str">
        <x:v>Mandatory for supported voice/video; text not E2EE</x:v>
      </x:c>
      <x:c r="D485" s="75" t="str">
        <x:v>E2EE by default for communities</x:v>
      </x:c>
      <x:c r="E485" s="75" t="str">
        <x:v>Messenger mandatory; server DM encryption optional</x:v>
      </x:c>
      <x:c r="F485" s="75"/>
      <x:c r="G485" s="75" t="str">
        <x:v>DM encryption is intended/default; media status is evolving</x:v>
      </x:c>
      <x:c r="H485" s="75" t="str">
        <x:v>Not E2EE as of 2026-09-13 privacy policy</x:v>
      </x:c>
      <x:c r="I485" s="75" t="str">
        <x:v>Voice only / text not claimed E2EE</x:v>
      </x:c>
      <x:c r="J485" s="75" t="str">
        <x:v>No E2EE currently</x:v>
      </x:c>
      <x:c r="K485" s="75" t="str">
        <x:v>Mandatory for private communication; public channels intentionally not</x:v>
      </x:c>
      <x:c r="L485" s="75" t="str">
        <x:v>Optional, room-level; activation is fail-closed and irreversible for future content once active</x:v>
      </x:c>
      <x:c r="M485" s="75" t="str">
        <x:v>E2EE WIP; TLS today</x:v>
      </x:c>
      <x:c r="N485" s="75" t="str">
        <x:v>Mixed/eligible content</x:v>
      </x:c>
      <x:c r="O485" s="75" t="str">
        <x:v>Optional at protocol level; many clients default private chats to encrypted</x:v>
      </x:c>
      <x:c r="P485" s="75" t="str">
        <x:v>Server-side enterprise collaboration model</x:v>
      </x:c>
      <x:c r="Q485" s="75" t="str">
        <x:v>Claimed zero-knowledge/E2EE</x:v>
      </x:c>
      <x:c r="R485" s="75" t="str">
        <x:v>Transport encryption</x:v>
      </x:c>
      <x:c r="S485" s="75"/>
      <x:c r="T485" s="75" t="str">
        <x:v>Transport encryption</x:v>
      </x:c>
      <x:c r="U485" s="75" t="str">
        <x:v>TLS in transit; no E2EE product claim</x:v>
      </x:c>
      <x:c r="V485" s="75" t="str">
        <x:v>DM E2EE is default; Shard text is not E2EE</x:v>
      </x:c>
      <x:c r="W485" s="75" t="str">
        <x:v>Optional/room-dependent</x:v>
      </x:c>
      <x:c r="X485" s="75" t="str">
        <x:v>No E2EE verified</x:v>
      </x:c>
      <x:c r="Y485" s="75" t="str">
        <x:v>Transport encryption only</x:v>
      </x:c>
      <x:c r="Z485" s="75" t="str">
        <x:v>No platform-wide E2EE guarantee</x:v>
      </x:c>
      <x:c r="AA485" s="75"/>
      <x:c r="AB485" s="75"/>
      <x:c r="AC485" s="78" t="str">
        <x:v>Transport/server-side</x:v>
      </x:c>
      <x:c r="AD485" s="75" t="str">
        <x:v>Per-conversation opt-in planned; default unencrypted</x:v>
      </x:c>
      <x:c r="AE485" s="75" t="str">
        <x:v>Transport encryption</x:v>
      </x:c>
      <x:c r="AF485" s="75" t="str">
        <x:v>Transport/self-host privacy model</x:v>
      </x:c>
      <x:c r="AG485" s="75" t="str">
        <x:v>Server-stored chat, no native E2EE</x:v>
      </x:c>
      <x:c r="AH485" s="122" t="n">
        <x:v>9</x:v>
      </x:c>
      <x:c r="AI485" s="123" t="str">
        <x:v>Canonical source for Encryption Details!9</x:v>
      </x:c>
    </x:row>
    <x:row r="486">
      <x:c r="A486" s="119" t="str">
        <x:v>Encryption Details</x:v>
      </x:c>
      <x:c r="B486" s="121" t="str">
        <x:v>Can Hosted Server / Operator Read Text?</x:v>
      </x:c>
      <x:c r="C486" s="75" t="str">
        <x:v>Yes for text</x:v>
      </x:c>
      <x:c r="D486" s="75" t="str">
        <x:v>No for encrypted message bodies</x:v>
      </x:c>
      <x:c r="E486" s="75" t="str">
        <x:v>Server can read normal channel text; encrypted DMs are ciphertext</x:v>
      </x:c>
      <x:c r="F486" s="75" t="str">
        <x:v>Yes for text</x:v>
      </x:c>
      <x:c r="G486" s="75" t="str">
        <x:v>No for encrypted DM plaintext in normal flow; yes for community channels</x:v>
      </x:c>
      <x:c r="H486" s="75" t="str">
        <x:v>Yes</x:v>
      </x:c>
      <x:c r="I486" s="75" t="str">
        <x:v>Yes for text on hosted/self-host server</x:v>
      </x:c>
      <x:c r="J486" s="75" t="str">
        <x:v>Yes</x:v>
      </x:c>
      <x:c r="K486" s="75" t="str">
        <x:v>No for private plaintext</x:v>
      </x:c>
      <x:c r="L486" s="75" t="str">
        <x:v>Plaintext rooms: yes. Active MLS rooms: no message/file/media plaintext is available to honest-but-curious servers.</x:v>
      </x:c>
      <x:c r="M486" s="75" t="str">
        <x:v>Yes for current server-readable content</x:v>
      </x:c>
      <x:c r="N486" s="75" t="str">
        <x:v>Depends encrypted content type</x:v>
      </x:c>
      <x:c r="O486" s="75" t="str">
        <x:v>Not for correctly E2EE-encrypted events; homeserver still stores ciphertext and metadata</x:v>
      </x:c>
      <x:c r="P486" s="75" t="str">
        <x:v>Yes</x:v>
      </x:c>
      <x:c r="Q486" s="75"/>
      <x:c r="R486" s="75" t="str">
        <x:v>N/A for persistent chat; server handles voice routing</x:v>
      </x:c>
      <x:c r="S486" s="75" t="str">
        <x:v>Yes for hosted text</x:v>
      </x:c>
      <x:c r="T486" s="75" t="str">
        <x:v>Yes for text</x:v>
      </x:c>
      <x:c r="U486" s="75" t="str">
        <x:v>No E2EE product claim; exact access policy not stated</x:v>
      </x:c>
      <x:c r="V486" s="75" t="str">
        <x:v>No for E2EE DM plaintext; yes for Shard/community channel plaintext</x:v>
      </x:c>
      <x:c r="W486" s="75" t="str">
        <x:v>Not for local E2EE message bodies when functioning; server still sees metadata</x:v>
      </x:c>
      <x:c r="X486" s="75" t="str">
        <x:v>Potentially visible to hosting services</x:v>
      </x:c>
      <x:c r="Y486" s="75" t="str">
        <x:v>Yes for stored text</x:v>
      </x:c>
      <x:c r="Z486" s="75" t="str">
        <x:v>Yes unless operator adds extra encryption</x:v>
      </x:c>
      <x:c r="AA486" s="75" t="str">
        <x:v>Yes for normal text</x:v>
      </x:c>
      <x:c r="AB486" s="75"/>
      <x:c r="AC486" s="78" t="str">
        <x:v>Yes</x:v>
      </x:c>
      <x:c r="AD486" s="75" t="str">
        <x:v>Yes for unencrypted content</x:v>
      </x:c>
      <x:c r="AE486" s="75" t="str">
        <x:v>Yes</x:v>
      </x:c>
      <x:c r="AF486" s="75" t="str">
        <x:v>Server operator may access text unless separate E2EE exists</x:v>
      </x:c>
      <x:c r="AG486" s="75" t="str">
        <x:v>Yes</x:v>
      </x:c>
      <x:c r="AH486" s="122" t="n">
        <x:v>10</x:v>
      </x:c>
      <x:c r="AI486" s="123" t="str">
        <x:v>Canonical source for Encryption Details!10</x:v>
      </x:c>
    </x:row>
    <x:row r="487">
      <x:c r="A487" s="119" t="str">
        <x:v>Encryption Details</x:v>
      </x:c>
      <x:c r="B487" s="121" t="str">
        <x:v>Key Ownership / Storage</x:v>
      </x:c>
      <x:c r="C487" s="75" t="str">
        <x:v>DAVE keys negotiated by clients; text stored server-side</x:v>
      </x:c>
      <x:c r="D487" s="75" t="str">
        <x:v>User-held Nostr keys</x:v>
      </x:c>
      <x:c r="E487" s="75" t="str">
        <x:v>Device-generated key</x:v>
      </x:c>
      <x:c r="F487" s="75" t="str">
        <x:v>Server-side</x:v>
      </x:c>
      <x:c r="G487" s="75" t="str">
        <x:v>Passphrase-derived account key + per-message encryption keys; server stores public key/ciphertext</x:v>
      </x:c>
      <x:c r="H487" s="75" t="str">
        <x:v>Server-side storage; transport/at-rest encryption</x:v>
      </x:c>
      <x:c r="I487" s="75"/>
      <x:c r="J487" s="75" t="str">
        <x:v>Server/operator</x:v>
      </x:c>
      <x:c r="K487" s="75" t="str">
        <x:v>User-held Ed25519/device keys</x:v>
      </x:c>
      <x:c r="L487" s="75" t="str">
        <x:v>Client-held MLS identity/vault; server stores public credentials and encrypted portable state but not MLS group secrets/private keys</x:v>
      </x:c>
      <x:c r="M487" s="75"/>
      <x:c r="N487" s="75"/>
      <x:c r="O487" s="75" t="str">
        <x:v>Client-held device keys; cross-signing/key backup implementations defined by Matrix</x:v>
      </x:c>
      <x:c r="P487" s="75" t="str">
        <x:v>Server-side / deployment-controlled</x:v>
      </x:c>
      <x:c r="Q487" s="75"/>
      <x:c r="R487" s="75" t="str">
        <x:v>TLS/certificate/server session model</x:v>
      </x:c>
      <x:c r="S487" s="75" t="str">
        <x:v>Server-side</x:v>
      </x:c>
      <x:c r="T487" s="75" t="str">
        <x:v>Server-side</x:v>
      </x:c>
      <x:c r="U487" s="75" t="str">
        <x:v>Server-side</x:v>
      </x:c>
      <x:c r="V487" s="75" t="str">
        <x:v>User device / Rift Key roots the encryption keys</x:v>
      </x:c>
      <x:c r="W487" s="75" t="str">
        <x:v>Client keys for E2EE; exact implementation/version-dependent</x:v>
      </x:c>
      <x:c r="X487" s="75" t="str">
        <x:v>ATProto/PDS</x:v>
      </x:c>
      <x:c r="Y487" s="75" t="str">
        <x:v>Server-managed</x:v>
      </x:c>
      <x:c r="Z487" s="75" t="str">
        <x:v>Operator-controlled</x:v>
      </x:c>
      <x:c r="AA487" s="75"/>
      <x:c r="AB487" s="75" t="str">
        <x:v>Proprietary</x:v>
      </x:c>
      <x:c r="AC487" s="78" t="str">
        <x:v>Server-side</x:v>
      </x:c>
      <x:c r="AD487" s="75"/>
      <x:c r="AE487" s="75" t="str">
        <x:v>Server-side</x:v>
      </x:c>
      <x:c r="AF487" s="75"/>
      <x:c r="AG487" s="75" t="str">
        <x:v>Server-side</x:v>
      </x:c>
      <x:c r="AH487" s="122" t="n">
        <x:v>11</x:v>
      </x:c>
      <x:c r="AI487" s="123" t="str">
        <x:v>Canonical source for Encryption Details!11</x:v>
      </x:c>
    </x:row>
    <x:row r="488">
      <x:c r="A488" s="119" t="str">
        <x:v>Encryption Details</x:v>
      </x:c>
      <x:c r="B488" s="121" t="str">
        <x:v>Forward Secrecy / Ratcheting</x:v>
      </x:c>
      <x:c r="C488" s="75" t="str">
        <x:v>DAVE design; exact ratchet properties depend spec</x:v>
      </x:c>
      <x:c r="D488" s="75"/>
      <x:c r="E488" s="75"/>
      <x:c r="F488" s="75"/>
      <x:c r="G488" s="75" t="str">
        <x:v>Not Signal Double Ratchet; founder explicitly says mature Signal-level forward secrecy is not claimed</x:v>
      </x:c>
      <x:c r="H488" s="75" t="str">
        <x:v>N/A currently</x:v>
      </x:c>
      <x:c r="I488" s="75"/>
      <x:c r="J488" s="75" t="str">
        <x:v>N/A</x:v>
      </x:c>
      <x:c r="K488" s="75" t="str">
        <x:v>Olm/MLS/SFrame design</x:v>
      </x:c>
      <x:c r="L488" s="75" t="str">
        <x:v>Yes — MLS 1.0 epochs/rekeys; membership/device changes force rekey before writes resume</x:v>
      </x:c>
      <x:c r="M488" s="75"/>
      <x:c r="N488" s="75"/>
      <x:c r="O488" s="75" t="str">
        <x:v>Megolm/Olm-era designs and newer crypto work; properties vary by room/media protocol</x:v>
      </x:c>
      <x:c r="P488" s="75" t="str">
        <x:v>N/A</x:v>
      </x:c>
      <x:c r="Q488" s="75"/>
      <x:c r="R488" s="75" t="str">
        <x:v>N/A</x:v>
      </x:c>
      <x:c r="S488" s="75" t="str">
        <x:v>N/A</x:v>
      </x:c>
      <x:c r="T488" s="75" t="str">
        <x:v>N/A</x:v>
      </x:c>
      <x:c r="U488" s="75" t="str">
        <x:v>N/A</x:v>
      </x:c>
      <x:c r="V488" s="75" t="str">
        <x:v>Yes — X3DH / Double Ratchet design</x:v>
      </x:c>
      <x:c r="W488" s="75" t="str">
        <x:v>Version-dependent</x:v>
      </x:c>
      <x:c r="X488" s="75" t="str">
        <x:v>N/A</x:v>
      </x:c>
      <x:c r="Y488" s="75"/>
      <x:c r="Z488" s="75"/>
      <x:c r="AA488" s="75"/>
      <x:c r="AB488" s="75"/>
      <x:c r="AC488" s="78" t="str">
        <x:v>N/A</x:v>
      </x:c>
      <x:c r="AD488" s="75"/>
      <x:c r="AE488" s="75" t="str">
        <x:v>N/A</x:v>
      </x:c>
      <x:c r="AF488" s="75"/>
      <x:c r="AG488" s="75" t="str">
        <x:v>N/A</x:v>
      </x:c>
      <x:c r="AH488" s="122" t="n">
        <x:v>12</x:v>
      </x:c>
      <x:c r="AI488" s="123" t="str">
        <x:v>Canonical source for Encryption Details!12</x:v>
      </x:c>
    </x:row>
    <x:row r="489">
      <x:c r="A489" s="119" t="str">
        <x:v>Encryption Details</x:v>
      </x:c>
      <x:c r="B489" s="121" t="str">
        <x:v>Multi-Device E2EE</x:v>
      </x:c>
      <x:c r="C489" s="75" t="str">
        <x:v>Yes for DAVE-compatible clients</x:v>
      </x:c>
      <x:c r="D489" s="75"/>
      <x:c r="E489" s="75" t="str">
        <x:v>Yes — multi-device sync described</x:v>
      </x:c>
      <x:c r="F489" s="75"/>
      <x:c r="G489" s="75"/>
      <x:c r="H489" s="75" t="str">
        <x:v>N/A currently</x:v>
      </x:c>
      <x:c r="I489" s="75"/>
      <x:c r="J489" s="75" t="str">
        <x:v>N/A</x:v>
      </x:c>
      <x:c r="K489" s="75" t="str">
        <x:v>Multi-device supported</x:v>
      </x:c>
      <x:c r="L489" s="75" t="str">
        <x:v>Yes — portable encrypted account state supports multiple signed-in clients with serialized MLS state updates</x:v>
      </x:c>
      <x:c r="M489" s="75"/>
      <x:c r="N489" s="75"/>
      <x:c r="O489" s="75" t="str">
        <x:v>Yes — designed for multi-device keys</x:v>
      </x:c>
      <x:c r="P489" s="75" t="str">
        <x:v>N/A</x:v>
      </x:c>
      <x:c r="Q489" s="75"/>
      <x:c r="R489" s="75" t="str">
        <x:v>N/A</x:v>
      </x:c>
      <x:c r="S489" s="75" t="str">
        <x:v>N/A</x:v>
      </x:c>
      <x:c r="T489" s="75" t="str">
        <x:v>N/A</x:v>
      </x:c>
      <x:c r="U489" s="75" t="str">
        <x:v>N/A</x:v>
      </x:c>
      <x:c r="V489" s="75"/>
      <x:c r="W489" s="75" t="str">
        <x:v>Version-dependent</x:v>
      </x:c>
      <x:c r="X489" s="75" t="str">
        <x:v>N/A</x:v>
      </x:c>
      <x:c r="Y489" s="75"/>
      <x:c r="Z489" s="75"/>
      <x:c r="AA489" s="75"/>
      <x:c r="AB489" s="75"/>
      <x:c r="AC489" s="78" t="str">
        <x:v>N/A</x:v>
      </x:c>
      <x:c r="AD489" s="75"/>
      <x:c r="AE489" s="75" t="str">
        <x:v>N/A</x:v>
      </x:c>
      <x:c r="AF489" s="75"/>
      <x:c r="AG489" s="75" t="str">
        <x:v>N/A</x:v>
      </x:c>
      <x:c r="AH489" s="122" t="n">
        <x:v>13</x:v>
      </x:c>
      <x:c r="AI489" s="123" t="str">
        <x:v>Canonical metric shared by: Encryption Details: Multi-Device E2EE | Security Matrix: Multi-Device E2EE?</x:v>
      </x:c>
    </x:row>
    <x:row r="490">
      <x:c r="A490" s="119" t="str">
        <x:v>Encryption Details</x:v>
      </x:c>
      <x:c r="B490" s="121" t="str">
        <x:v>Metadata Protected by E2EE?</x:v>
      </x:c>
      <x:c r="C490" s="75" t="str">
        <x:v>No — metadata remains visible</x:v>
      </x:c>
      <x:c r="D490" s="75" t="str">
        <x:v>No — relay metadata remains</x:v>
      </x:c>
      <x:c r="E490" s="75" t="str">
        <x:v>No — home server sees routing metadata</x:v>
      </x:c>
      <x:c r="F490" s="75" t="str">
        <x:v>No</x:v>
      </x:c>
      <x:c r="G490" s="75" t="str">
        <x:v>No — delivery/relationship metadata remains</x:v>
      </x:c>
      <x:c r="H490" s="75" t="str">
        <x:v>No</x:v>
      </x:c>
      <x:c r="I490" s="75" t="str">
        <x:v>No</x:v>
      </x:c>
      <x:c r="J490" s="75" t="str">
        <x:v>No</x:v>
      </x:c>
      <x:c r="K490" s="75" t="str">
        <x:v>No — relay metadata/timing can exist</x:v>
      </x:c>
      <x:c r="L490" s="75" t="str">
        <x:v>No — routing metadata, participants, timestamps, sizes, delivery activity and track kinds remain visible</x:v>
      </x:c>
      <x:c r="M490" s="75" t="str">
        <x:v>No</x:v>
      </x:c>
      <x:c r="N490" s="75" t="str">
        <x:v>No</x:v>
      </x:c>
      <x:c r="O490" s="75" t="str">
        <x:v>No — homeserver/federation metadata remains visible</x:v>
      </x:c>
      <x:c r="P490" s="75" t="str">
        <x:v>No</x:v>
      </x:c>
      <x:c r="Q490" s="75" t="str">
        <x:v>No</x:v>
      </x:c>
      <x:c r="R490" s="75" t="str">
        <x:v>No</x:v>
      </x:c>
      <x:c r="S490" s="75" t="str">
        <x:v>No</x:v>
      </x:c>
      <x:c r="T490" s="75" t="str">
        <x:v>No</x:v>
      </x:c>
      <x:c r="U490" s="75" t="str">
        <x:v>No</x:v>
      </x:c>
      <x:c r="V490" s="75" t="str">
        <x:v>No — metadata/routing information is not hidden by E2EE</x:v>
      </x:c>
      <x:c r="W490" s="75" t="str">
        <x:v>No</x:v>
      </x:c>
      <x:c r="X490" s="75" t="str">
        <x:v>No</x:v>
      </x:c>
      <x:c r="Y490" s="75" t="str">
        <x:v>No</x:v>
      </x:c>
      <x:c r="Z490" s="75" t="str">
        <x:v>No</x:v>
      </x:c>
      <x:c r="AA490" s="75" t="str">
        <x:v>No</x:v>
      </x:c>
      <x:c r="AB490" s="75"/>
      <x:c r="AC490" s="78" t="str">
        <x:v>No</x:v>
      </x:c>
      <x:c r="AD490" s="75" t="str">
        <x:v>No</x:v>
      </x:c>
      <x:c r="AE490" s="75" t="str">
        <x:v>No</x:v>
      </x:c>
      <x:c r="AF490" s="75" t="str">
        <x:v>No</x:v>
      </x:c>
      <x:c r="AG490" s="75" t="str">
        <x:v>No</x:v>
      </x:c>
      <x:c r="AH490" s="122" t="n">
        <x:v>14</x:v>
      </x:c>
      <x:c r="AI490" s="123" t="str">
        <x:v>Canonical source for Encryption Details!14</x:v>
      </x:c>
    </x:row>
    <x:row r="491">
      <x:c r="A491" s="119" t="str">
        <x:v>Encryption Details</x:v>
      </x:c>
      <x:c r="B491" s="121" t="str">
        <x:v>Public Cryptographic Design</x:v>
      </x:c>
      <x:c r="C491" s="75" t="str">
        <x:v>Yes — DAVE design public</x:v>
      </x:c>
      <x:c r="D491" s="75" t="str">
        <x:v>Open protocol/code</x:v>
      </x:c>
      <x:c r="E491" s="75" t="str">
        <x:v>Public docs/source</x:v>
      </x:c>
      <x:c r="F491" s="75" t="str">
        <x:v>No public E2EE protocol</x:v>
      </x:c>
      <x:c r="G491" s="75" t="str">
        <x:v>Yes — founder publishes design boundaries/primitives</x:v>
      </x:c>
      <x:c r="H491" s="75" t="str">
        <x:v>E2EE roadmap/design discussion public, but not deployed as policy baseline</x:v>
      </x:c>
      <x:c r="I491" s="75" t="str">
        <x:v>No public cryptographic design found</x:v>
      </x:c>
      <x:c r="J491" s="75" t="str">
        <x:v>No public E2EE design</x:v>
      </x:c>
      <x:c r="K491" s="75" t="str">
        <x:v>Whitepaper/source public</x:v>
      </x:c>
      <x:c r="L491" s="75" t="str">
        <x:v>Yes — public E2EE contract documents threat model, MLS suite and rollout gates</x:v>
      </x:c>
      <x:c r="M491" s="75" t="str">
        <x:v>No public mature E2EE design verified</x:v>
      </x:c>
      <x:c r="N491" s="75"/>
      <x:c r="O491" s="75" t="str">
        <x:v>Yes — open specification/MSC process</x:v>
      </x:c>
      <x:c r="P491" s="75" t="str">
        <x:v>Open-source implementation for core messaging</x:v>
      </x:c>
      <x:c r="Q491" s="75"/>
      <x:c r="R491" s="75" t="str">
        <x:v>Public protocol/source</x:v>
      </x:c>
      <x:c r="S491" s="75" t="str">
        <x:v>No public E2EE design</x:v>
      </x:c>
      <x:c r="T491" s="75" t="str">
        <x:v>No public E2EE design</x:v>
      </x:c>
      <x:c r="U491" s="75" t="str">
        <x:v>No</x:v>
      </x:c>
      <x:c r="V491" s="75" t="str">
        <x:v>Yes — protocol model publicly described</x:v>
      </x:c>
      <x:c r="W491" s="75" t="str">
        <x:v>Public implementation/docs</x:v>
      </x:c>
      <x:c r="X491" s="75" t="str">
        <x:v>No</x:v>
      </x:c>
      <x:c r="Y491" s="75" t="str">
        <x:v>No public crypto protocol</x:v>
      </x:c>
      <x:c r="Z491" s="75" t="str">
        <x:v>No mature platform-wide crypto design verified</x:v>
      </x:c>
      <x:c r="AA491" s="75" t="str">
        <x:v>No public text-E2EE design verified</x:v>
      </x:c>
      <x:c r="AB491" s="75" t="str">
        <x:v>Limited public details</x:v>
      </x:c>
      <x:c r="AC491" s="78" t="str">
        <x:v>No public E2EE design</x:v>
      </x:c>
      <x:c r="AD491" s="75"/>
      <x:c r="AE491" s="75" t="str">
        <x:v>No public E2EE design</x:v>
      </x:c>
      <x:c r="AF491" s="75" t="str">
        <x:v>No public crypto design</x:v>
      </x:c>
      <x:c r="AG491" s="75" t="str">
        <x:v>Open source but no E2EE protocol</x:v>
      </x:c>
      <x:c r="AH491" s="122" t="n">
        <x:v>15</x:v>
      </x:c>
      <x:c r="AI491" s="123" t="str">
        <x:v>Canonical source for Encryption Details!15</x:v>
      </x:c>
    </x:row>
    <x:row r="492">
      <x:c r="A492" s="119" t="str">
        <x:v>Encryption Details</x:v>
      </x:c>
      <x:c r="B492" s="121" t="str">
        <x:v>Independent Cryptographic Audit</x:v>
      </x:c>
      <x:c r="C492" s="75" t="str">
        <x:v>Trail of Bits reviews of DAVE (2024/2025)</x:v>
      </x:c>
      <x:c r="D492" s="75"/>
      <x:c r="E492" s="75"/>
      <x:c r="F492" s="75" t="str">
        <x:v>No audit verified</x:v>
      </x:c>
      <x:c r="G492" s="75" t="str">
        <x:v>No independent audit published</x:v>
      </x:c>
      <x:c r="H492" s="75" t="str">
        <x:v>No comprehensive audit verified</x:v>
      </x:c>
      <x:c r="I492" s="75"/>
      <x:c r="J492" s="75" t="str">
        <x:v>No</x:v>
      </x:c>
      <x:c r="K492" s="75"/>
      <x:c r="L492" s="75" t="str">
        <x:v>No independent cryptographic audit published; docs list external review as a remaining release gate</x:v>
      </x:c>
      <x:c r="M492" s="75" t="str">
        <x:v>No independent audit verified</x:v>
      </x:c>
      <x:c r="N492" s="75"/>
      <x:c r="O492" s="75" t="str">
        <x:v>Multiple implementation/protocol audits; no single universal client audit</x:v>
      </x:c>
      <x:c r="P492" s="75" t="str">
        <x:v>Security certifications/audits vary by offering</x:v>
      </x:c>
      <x:c r="Q492" s="75"/>
      <x:c r="R492" s="75"/>
      <x:c r="S492" s="75"/>
      <x:c r="T492" s="75"/>
      <x:c r="U492" s="75" t="str">
        <x:v>None published</x:v>
      </x:c>
      <x:c r="V492" s="75" t="str">
        <x:v>No independent audit yet; Rift says audits are planned</x:v>
      </x:c>
      <x:c r="W492" s="75"/>
      <x:c r="X492" s="75"/>
      <x:c r="Y492" s="75" t="str">
        <x:v>No public audit verified</x:v>
      </x:c>
      <x:c r="Z492" s="75" t="str">
        <x:v>No</x:v>
      </x:c>
      <x:c r="AA492" s="75" t="str">
        <x:v>No comprehensive crypto audit verified</x:v>
      </x:c>
      <x:c r="AB492" s="75"/>
      <x:c r="AC492" s="78"/>
      <x:c r="AD492" s="75" t="str">
        <x:v>No audit verified</x:v>
      </x:c>
      <x:c r="AE492" s="75"/>
      <x:c r="AF492" s="75"/>
      <x:c r="AG492" s="75"/>
      <x:c r="AH492" s="122" t="n">
        <x:v>16</x:v>
      </x:c>
      <x:c r="AI492" s="123" t="str">
        <x:v>Canonical source for Encryption Details!16</x:v>
      </x:c>
    </x:row>
    <x:row r="493">
      <x:c r="A493" s="119" t="str">
        <x:v>Encryption Details</x:v>
      </x:c>
      <x:c r="B493" s="121" t="str">
        <x:v>Encryption Scope Notes</x:v>
      </x:c>
      <x:c r="C493" s="75" t="str">
        <x:v>Discord text chat remains server-readable even though voice/video is now E2EE.</x:v>
      </x:c>
      <x:c r="D493" s="75"/>
      <x:c r="E493" s="75" t="str">
        <x:v>Encryption depends on which DCTS messaging mode is used.</x:v>
      </x:c>
      <x:c r="F493" s="75" t="str">
        <x:v>Security details are sparse; do not infer E2EE from WebRTC/LiveKit.</x:v>
      </x:c>
      <x:c r="G493" s="75" t="str">
        <x:v>Fenrid itself cautions that its home-grown design is not equivalent to Signal's mature ratchet protocol.</x:v>
      </x:c>
      <x:c r="H493" s="75" t="str">
        <x:v>Latest privacy policy explicitly says nothing on Fluxer is E2EE yet; voice/video E2EE is in development.</x:v>
      </x:c>
      <x:c r="I493" s="75" t="str">
        <x:v>Voice E2EE is claimed; do not extend that claim to text messages.</x:v>
      </x:c>
      <x:c r="J493" s="75" t="str">
        <x:v>Project discussions explicitly say E2EE is not currently implemented.</x:v>
      </x:c>
      <x:c r="K493" s="75"/>
      <x:c r="L493" s="75" t="str">
        <x:v>MLS 1.0 RFC 9420; mandatory suite MLS_128_DHKEMX25519_AES128GCM_SHA256_Ed25519</x:v>
      </x:c>
      <x:c r="M493" s="75" t="str">
        <x:v>Do not treat privacy-first marketing as proof of deployed E2EE.</x:v>
      </x:c>
      <x:c r="N493" s="75" t="str">
        <x:v>Treat E2EE claims as feature-scope specific, not universal.</x:v>
      </x:c>
      <x:c r="O493" s="75" t="str">
        <x:v>Matrix supports E2EE, but whether a room is encrypted and how UX works is client/homeserver-dependent.</x:v>
      </x:c>
      <x:c r="P493" s="75" t="str">
        <x:v>Self-hosting can keep plaintext under your organization's control, but is not E2EE.</x:v>
      </x:c>
      <x:c r="Q493" s="75" t="str">
        <x:v>Marketing/repo claims E2EE; exact room-by-room defaults should be verified before high-stakes use.</x:v>
      </x:c>
      <x:c r="R493" s="75" t="str">
        <x:v>Strong encrypted transport is not the same as E2EE from client to client.</x:v>
      </x:c>
      <x:c r="S493" s="75" t="str">
        <x:v>No default E2EE was verified.</x:v>
      </x:c>
      <x:c r="T493" s="75" t="str">
        <x:v>Privacy policy says calls use encrypted connections; that is not the same as E2EE.</x:v>
      </x:c>
      <x:c r="U493" s="75" t="str">
        <x:v>TLS in transit. pqp does not market E2EE as a product feature.</x:v>
      </x:c>
      <x:c r="V493" s="75" t="str">
        <x:v>DM text and direct calls are E2EE; Shard/community text and Splinters are not.</x:v>
      </x:c>
      <x:c r="W493" s="75" t="str">
        <x:v>Federation documentation explicitly says E2EE is not supported across federated servers.</x:v>
      </x:c>
      <x:c r="X493" s="75" t="str">
        <x:v>Privacy inherits ATProto/server design rather than E2EE.</x:v>
      </x:c>
      <x:c r="Y493" s="75" t="str">
        <x:v>Privacy policy says calls are real-time and not stored, but does not claim end-to-end encryption.</x:v>
      </x:c>
      <x:c r="Z493" s="75" t="str">
        <x:v>Self-hosting changes who you trust; it does not automatically create end-to-end encryption.</x:v>
      </x:c>
      <x:c r="AA493" s="75" t="str">
        <x:v>Do not infer LiveKit's E2EE capability means Stoat currently enables E2EE.</x:v>
      </x:c>
      <x:c r="AB493" s="75"/>
      <x:c r="AC493" s="78" t="str">
        <x:v>Privacy focus is data policy/open source/self-hosting rather than E2EE messaging.</x:v>
      </x:c>
      <x:c r="AD493" s="75" t="str">
        <x:v>Developer states E2EE is per-conversation opt-in and default is currently unencrypted.</x:v>
      </x:c>
      <x:c r="AE493" s="75" t="str">
        <x:v>Security model is typical hosted app; no E2EE claim verified.</x:v>
      </x:c>
      <x:c r="AF493" s="75" t="str">
        <x:v>Self-hosting/data sovereignty is the main privacy control, not verified E2EE.</x:v>
      </x:c>
      <x:c r="AG493" s="75" t="str">
        <x:v>Zulip prioritizes searchable server-side team history rather than E2EE chat.</x:v>
      </x:c>
      <x:c r="AH493" s="122" t="n">
        <x:v>17</x:v>
      </x:c>
      <x:c r="AI493" s="123" t="str">
        <x:v>Canonical source for Encryption Details!17</x:v>
      </x:c>
    </x:row>
    <x:row r="494">
      <x:c r="A494" s="119" t="str">
        <x:v>Encryption Details</x:v>
      </x:c>
      <x:c r="B494" s="121" t="str">
        <x:v>Encrypted Attachments / Media with E2EE</x:v>
      </x:c>
      <x:c r="C494" s="75" t="str">
        <x:v>Voice/video media E2EE; text attachments not DM-text E2EE</x:v>
      </x:c>
      <x:c r="D494" s="75"/>
      <x:c r="E494" s="75"/>
      <x:c r="F494" s="75"/>
      <x:c r="G494" s="75"/>
      <x:c r="H494" s="75"/>
      <x:c r="I494" s="75"/>
      <x:c r="J494" s="75"/>
      <x:c r="K494" s="75"/>
      <x:c r="L494" s="75" t="str">
        <x:v>Yes — encrypted chunked AEAD attachment format; filenames/MIME/previews stay in encrypted manifest</x:v>
      </x:c>
      <x:c r="M494" s="75"/>
      <x:c r="N494" s="75"/>
      <x:c r="O494" s="75" t="str">
        <x:v>Yes in encrypted rooms (client-dependent)</x:v>
      </x:c>
      <x:c r="P494" s="75"/>
      <x:c r="Q494" s="75"/>
      <x:c r="R494" s="75"/>
      <x:c r="S494" s="75"/>
      <x:c r="T494" s="75"/>
      <x:c r="U494" s="75"/>
      <x:c r="V494" s="75" t="str">
        <x:v>E2EE in DMs</x:v>
      </x:c>
      <x:c r="W494" s="75"/>
      <x:c r="X494" s="75"/>
      <x:c r="Y494" s="75"/>
      <x:c r="Z494" s="75"/>
      <x:c r="AA494" s="75"/>
      <x:c r="AB494" s="75"/>
      <x:c r="AC494" s="78"/>
      <x:c r="AD494" s="75"/>
      <x:c r="AE494" s="75"/>
      <x:c r="AF494" s="75"/>
      <x:c r="AG494" s="75"/>
      <x:c r="AH494" s="122" t="n">
        <x:v>19</x:v>
      </x:c>
      <x:c r="AI494" s="123" t="str">
        <x:v>Canonical source for Encryption Details!19</x:v>
      </x:c>
    </x:row>
    <x:row r="495">
      <x:c r="A495" s="119" t="str">
        <x:v>Encryption Details</x:v>
      </x:c>
      <x:c r="B495" s="121" t="str">
        <x:v>Device Verification / Trust UX</x:v>
      </x:c>
      <x:c r="C495" s="75" t="str">
        <x:v>DAVE verification mechanisms exist for calls</x:v>
      </x:c>
      <x:c r="D495" s="75"/>
      <x:c r="E495" s="75"/>
      <x:c r="F495" s="75"/>
      <x:c r="G495" s="75"/>
      <x:c r="H495" s="75"/>
      <x:c r="I495" s="75"/>
      <x:c r="J495" s="75"/>
      <x:c r="K495" s="75"/>
      <x:c r="L495" s="75" t="str">
        <x:v>Yes — room safety number comparison is the identity-verification step</x:v>
      </x:c>
      <x:c r="M495" s="75"/>
      <x:c r="N495" s="75"/>
      <x:c r="O495" s="75" t="str">
        <x:v>Yes — client-dependent cross-signing/device verification</x:v>
      </x:c>
      <x:c r="P495" s="75"/>
      <x:c r="Q495" s="75"/>
      <x:c r="R495" s="75"/>
      <x:c r="S495" s="75"/>
      <x:c r="T495" s="75"/>
      <x:c r="U495" s="75"/>
      <x:c r="V495" s="75"/>
      <x:c r="W495" s="75"/>
      <x:c r="X495" s="75"/>
      <x:c r="Y495" s="75"/>
      <x:c r="Z495" s="75"/>
      <x:c r="AA495" s="75"/>
      <x:c r="AB495" s="75"/>
      <x:c r="AC495" s="78"/>
      <x:c r="AD495" s="75"/>
      <x:c r="AE495" s="75"/>
      <x:c r="AF495" s="75"/>
      <x:c r="AG495" s="75"/>
      <x:c r="AH495" s="122" t="n">
        <x:v>20</x:v>
      </x:c>
      <x:c r="AI495" s="123" t="str">
        <x:v>Canonical source for Encryption Details!20</x:v>
      </x:c>
    </x:row>
    <x:row r="496">
      <x:c r="A496" s="119" t="str">
        <x:v>Encryption Details</x:v>
      </x:c>
      <x:c r="B496" s="121" t="str">
        <x:v>Encrypted Backup / Key Recovery</x:v>
      </x:c>
      <x:c r="C496" s="75" t="str">
        <x:v>N/A for non-E2EE text</x:v>
      </x:c>
      <x:c r="D496" s="75"/>
      <x:c r="E496" s="75"/>
      <x:c r="F496" s="75"/>
      <x:c r="G496" s="75"/>
      <x:c r="H496" s="75"/>
      <x:c r="I496" s="75"/>
      <x:c r="J496" s="75"/>
      <x:c r="K496" s="75"/>
      <x:c r="L496" s="75" t="str">
        <x:v>Yes — encrypted recovery/vault flow exists; synchronized plaintext cache is bounded to newest 2,000 messages or 8 MiB</x:v>
      </x:c>
      <x:c r="M496" s="75"/>
      <x:c r="N496" s="75"/>
      <x:c r="O496" s="75" t="str">
        <x:v>Client/provider dependent</x:v>
      </x:c>
      <x:c r="P496" s="75"/>
      <x:c r="Q496" s="75"/>
      <x:c r="R496" s="75"/>
      <x:c r="S496" s="75"/>
      <x:c r="T496" s="75"/>
      <x:c r="U496" s="75"/>
      <x:c r="V496" s="75"/>
      <x:c r="W496" s="75"/>
      <x:c r="X496" s="75"/>
      <x:c r="Y496" s="75"/>
      <x:c r="Z496" s="75"/>
      <x:c r="AA496" s="75"/>
      <x:c r="AB496" s="75"/>
      <x:c r="AC496" s="78"/>
      <x:c r="AD496" s="75"/>
      <x:c r="AE496" s="75"/>
      <x:c r="AF496" s="75"/>
      <x:c r="AG496" s="75"/>
      <x:c r="AH496" s="122" t="n">
        <x:v>21</x:v>
      </x:c>
      <x:c r="AI496" s="123" t="str">
        <x:v>Canonical source for Encryption Details!21</x:v>
      </x:c>
    </x:row>
    <x:row r="497">
      <x:c r="A497" s="119" t="str">
        <x:v>Encryption Details</x:v>
      </x:c>
      <x:c r="B497" s="121" t="str">
        <x:v>Server-Side Search Works on E2EE Text</x:v>
      </x:c>
      <x:c r="C497" s="75" t="str">
        <x:v>N/A — text not E2EE</x:v>
      </x:c>
      <x:c r="D497" s="75"/>
      <x:c r="E497" s="75"/>
      <x:c r="F497" s="75"/>
      <x:c r="G497" s="75"/>
      <x:c r="H497" s="75"/>
      <x:c r="I497" s="75"/>
      <x:c r="J497" s="75"/>
      <x:c r="K497" s="75"/>
      <x:c r="L497" s="75" t="str">
        <x:v>No — server-side plaintext search is disabled for E2EE channels</x:v>
      </x:c>
      <x:c r="M497" s="75"/>
      <x:c r="N497" s="75"/>
      <x:c r="O497" s="75" t="str">
        <x:v>Generally limited/client-side depending implementation</x:v>
      </x:c>
      <x:c r="P497" s="75"/>
      <x:c r="Q497" s="75"/>
      <x:c r="R497" s="75"/>
      <x:c r="S497" s="75"/>
      <x:c r="T497" s="75"/>
      <x:c r="U497" s="75"/>
      <x:c r="V497" s="75"/>
      <x:c r="W497" s="75"/>
      <x:c r="X497" s="75"/>
      <x:c r="Y497" s="75"/>
      <x:c r="Z497" s="75"/>
      <x:c r="AA497" s="75"/>
      <x:c r="AB497" s="75"/>
      <x:c r="AC497" s="78"/>
      <x:c r="AD497" s="75"/>
      <x:c r="AE497" s="75"/>
      <x:c r="AF497" s="75"/>
      <x:c r="AG497" s="75"/>
      <x:c r="AH497" s="122" t="n">
        <x:v>22</x:v>
      </x:c>
      <x:c r="AI497" s="123" t="str">
        <x:v>Canonical source for Encryption Details!22</x:v>
      </x:c>
    </x:row>
    <x:row r="498">
      <x:c r="A498" s="119" t="str">
        <x:v>Security Matrix</x:v>
      </x:c>
      <x:c r="B498" s="121" t="str">
        <x:v>TLS in Transit?</x:v>
      </x:c>
      <x:c r="C498" s="75"/>
      <x:c r="D498" s="75" t="str">
        <x:v>TLS + Nostr relay transport</x:v>
      </x:c>
      <x:c r="E498" s="75" t="str">
        <x:v>TLS required for network access</x:v>
      </x:c>
      <x:c r="F498" s="75" t="str">
        <x:v>TLS</x:v>
      </x:c>
      <x:c r="G498" s="75" t="str">
        <x:v>TLS in transit</x:v>
      </x:c>
      <x:c r="H498" s="75" t="str">
        <x:v>Encrypted in transit; at rest for stored content</x:v>
      </x:c>
      <x:c r="I498" s="75" t="str">
        <x:v>TLS in transit</x:v>
      </x:c>
      <x:c r="J498" s="75" t="str">
        <x:v>TLS when deployed</x:v>
      </x:c>
      <x:c r="K498" s="75" t="str">
        <x:v>TLS relays + end-to-end crypto</x:v>
      </x:c>
      <x:c r="L498" s="75" t="str">
        <x:v>Yes — HTTPS/TLS required for production</x:v>
      </x:c>
      <x:c r="M498" s="75" t="str">
        <x:v>TLS</x:v>
      </x:c>
      <x:c r="N498" s="75" t="str">
        <x:v>TLS</x:v>
      </x:c>
      <x:c r="O498" s="75" t="str">
        <x:v>HTTPS/TLS transport; implementation-dependent TLS configuration</x:v>
      </x:c>
      <x:c r="P498" s="75" t="str">
        <x:v>TLS configurable; enterprise deployment-controlled</x:v>
      </x:c>
      <x:c r="Q498" s="75" t="str">
        <x:v>TLS</x:v>
      </x:c>
      <x:c r="R498" s="75" t="str">
        <x:v>TLS control channel + encrypted voice transport</x:v>
      </x:c>
      <x:c r="S498" s="75" t="str">
        <x:v>TLS in transit</x:v>
      </x:c>
      <x:c r="T498" s="75" t="str">
        <x:v>TLS/encrypted connections</x:v>
      </x:c>
      <x:c r="U498" s="75" t="str">
        <x:v>Yes</x:v>
      </x:c>
      <x:c r="V498" s="75" t="str">
        <x:v>TLS</x:v>
      </x:c>
      <x:c r="W498" s="75" t="str">
        <x:v>TLS in transit configurable</x:v>
      </x:c>
      <x:c r="X498" s="75" t="str">
        <x:v>TLS</x:v>
      </x:c>
      <x:c r="Y498" s="75" t="str">
        <x:v>TLS in transit</x:v>
      </x:c>
      <x:c r="Z498" s="75" t="str">
        <x:v>TLS when correctly deployed; operator-controlled</x:v>
      </x:c>
      <x:c r="AA498" s="75" t="str">
        <x:v>TLS in transit</x:v>
      </x:c>
      <x:c r="AB498" s="75" t="str">
        <x:v>Encrypted transport</x:v>
      </x:c>
      <x:c r="AC498" s="78" t="str">
        <x:v>TLS</x:v>
      </x:c>
      <x:c r="AD498" s="75" t="str">
        <x:v>TLS</x:v>
      </x:c>
      <x:c r="AE498" s="75" t="str">
        <x:v>TLS</x:v>
      </x:c>
      <x:c r="AF498" s="75" t="str">
        <x:v>TLS</x:v>
      </x:c>
      <x:c r="AG498" s="75" t="str">
        <x:v>TLS in transit</x:v>
      </x:c>
      <x:c r="AH498" s="122" t="n">
        <x:v>4</x:v>
      </x:c>
      <x:c r="AI498" s="123" t="str">
        <x:v>Canonical source for Security Matrix!4</x:v>
      </x:c>
    </x:row>
    <x:row r="499">
      <x:c r="A499" s="119" t="str">
        <x:v>Security Matrix</x:v>
      </x:c>
      <x:c r="B499" s="121" t="str">
        <x:v>TLS 1.3 Explicitly Documented?</x:v>
      </x:c>
      <x:c r="C499" s="75" t="str">
        <x:v>Yes</x:v>
      </x:c>
      <x:c r="D499" s="75"/>
      <x:c r="E499" s="75"/>
      <x:c r="F499" s="75"/>
      <x:c r="G499" s="75"/>
      <x:c r="H499" s="75"/>
      <x:c r="I499" s="75"/>
      <x:c r="J499" s="75"/>
      <x:c r="K499" s="75"/>
      <x:c r="L499" s="75" t="str">
        <x:v>TLS required; TLS 1.3 is not explicitly pinned in the reviewed Kaede docs</x:v>
      </x:c>
      <x:c r="M499" s="75"/>
      <x:c r="N499" s="75"/>
      <x:c r="O499" s="75"/>
      <x:c r="P499" s="75"/>
      <x:c r="Q499" s="75"/>
      <x:c r="R499" s="75"/>
      <x:c r="S499" s="75"/>
      <x:c r="T499" s="75"/>
      <x:c r="U499" s="75" t="str">
        <x:v>No — TLS is claimed, specific TLS version is not</x:v>
      </x:c>
      <x:c r="V499" s="75"/>
      <x:c r="W499" s="75"/>
      <x:c r="X499" s="75"/>
      <x:c r="Y499" s="75"/>
      <x:c r="Z499" s="75"/>
      <x:c r="AA499" s="75"/>
      <x:c r="AB499" s="75"/>
      <x:c r="AC499" s="78"/>
      <x:c r="AD499" s="75"/>
      <x:c r="AE499" s="75"/>
      <x:c r="AF499" s="75"/>
      <x:c r="AG499" s="75"/>
      <x:c r="AH499" s="122" t="n">
        <x:v>5</x:v>
      </x:c>
      <x:c r="AI499" s="123" t="str">
        <x:v>Canonical source for Security Matrix!5</x:v>
      </x:c>
    </x:row>
    <x:row r="500">
      <x:c r="A500" s="119" t="str">
        <x:v>Security Matrix</x:v>
      </x:c>
      <x:c r="B500" s="121" t="str">
        <x:v>Encryption at Rest?</x:v>
      </x:c>
      <x:c r="C500" s="75" t="str">
        <x:v>Yes</x:v>
      </x:c>
      <x:c r="D500" s="75"/>
      <x:c r="E500" s="75"/>
      <x:c r="F500" s="75"/>
      <x:c r="G500" s="75"/>
      <x:c r="H500" s="75" t="str">
        <x:v>Yes</x:v>
      </x:c>
      <x:c r="I500" s="75"/>
      <x:c r="J500" s="75"/>
      <x:c r="K500" s="75"/>
      <x:c r="L500" s="75" t="str">
        <x:v>Partial — selected secrets/TOTP/signing material are encrypted, but universal plaintext-message database-at-rest encryption is not claimed</x:v>
      </x:c>
      <x:c r="M500" s="75"/>
      <x:c r="N500" s="75"/>
      <x:c r="O500" s="75"/>
      <x:c r="P500" s="75"/>
      <x:c r="Q500" s="75"/>
      <x:c r="R500" s="75"/>
      <x:c r="S500" s="75"/>
      <x:c r="T500" s="75"/>
      <x:c r="U500" s="75"/>
      <x:c r="V500" s="75" t="str">
        <x:v>Yes</x:v>
      </x:c>
      <x:c r="W500" s="75"/>
      <x:c r="X500" s="75"/>
      <x:c r="Y500" s="75"/>
      <x:c r="Z500" s="75"/>
      <x:c r="AA500" s="75"/>
      <x:c r="AB500" s="75"/>
      <x:c r="AC500" s="78"/>
      <x:c r="AD500" s="75"/>
      <x:c r="AE500" s="75"/>
      <x:c r="AF500" s="75"/>
      <x:c r="AG500" s="75"/>
      <x:c r="AH500" s="122" t="n">
        <x:v>6</x:v>
      </x:c>
      <x:c r="AI500" s="123" t="str">
        <x:v>Canonical metric shared by: Security &amp; Privacy: Encryption at Rest? | Security Matrix: Encryption at Rest?</x:v>
      </x:c>
    </x:row>
    <x:row r="501">
      <x:c r="A501" s="119" t="str">
        <x:v>Security Matrix</x:v>
      </x:c>
      <x:c r="B501" s="121" t="str">
        <x:v>Text E2EE</x:v>
      </x:c>
      <x:c r="C501" s="75"/>
      <x:c r="D501" s="75"/>
      <x:c r="E501" s="75"/>
      <x:c r="F501" s="75"/>
      <x:c r="G501" s="75"/>
      <x:c r="H501" s="75"/>
      <x:c r="I501" s="75"/>
      <x:c r="J501" s="75"/>
      <x:c r="K501" s="75"/>
      <x:c r="L501" s="75" t="str">
        <x:v>Yes — optional room/DM MLS 1.0</x:v>
      </x:c>
      <x:c r="M501" s="75"/>
      <x:c r="N501" s="75"/>
      <x:c r="O501" s="75"/>
      <x:c r="P501" s="75"/>
      <x:c r="Q501" s="75"/>
      <x:c r="R501" s="75"/>
      <x:c r="S501" s="75"/>
      <x:c r="T501" s="75"/>
      <x:c r="U501" s="75"/>
      <x:c r="V501" s="75"/>
      <x:c r="W501" s="75"/>
      <x:c r="X501" s="75"/>
      <x:c r="Y501" s="75"/>
      <x:c r="Z501" s="75"/>
      <x:c r="AA501" s="75"/>
      <x:c r="AB501" s="75"/>
      <x:c r="AC501" s="78"/>
      <x:c r="AD501" s="75"/>
      <x:c r="AE501" s="75"/>
      <x:c r="AF501" s="75"/>
      <x:c r="AG501" s="75"/>
      <x:c r="AH501" s="122" t="n">
        <x:v>7</x:v>
      </x:c>
      <x:c r="AI501" s="123" t="str">
        <x:v>Canonical source for Security Matrix!7</x:v>
      </x:c>
    </x:row>
    <x:row r="502">
      <x:c r="A502" s="119" t="str">
        <x:v>Security Matrix</x:v>
      </x:c>
      <x:c r="B502" s="121" t="str">
        <x:v>1:1 DM Text E2EE?</x:v>
      </x:c>
      <x:c r="C502" s="75" t="str">
        <x:v>No (text)</x:v>
      </x:c>
      <x:c r="D502" s="75" t="str">
        <x:v>Yes</x:v>
      </x:c>
      <x:c r="E502" s="75" t="str">
        <x:v>Yes for desktop server DMs when enabled; messenger always yes</x:v>
      </x:c>
      <x:c r="F502" s="75" t="str">
        <x:v>No default text E2EE verified</x:v>
      </x:c>
      <x:c r="G502" s="75" t="str">
        <x:v>Yes</x:v>
      </x:c>
      <x:c r="H502" s="75" t="str">
        <x:v>No</x:v>
      </x:c>
      <x:c r="I502" s="75" t="str">
        <x:v>No</x:v>
      </x:c>
      <x:c r="J502" s="75" t="str">
        <x:v>No</x:v>
      </x:c>
      <x:c r="K502" s="75" t="str">
        <x:v>Yes</x:v>
      </x:c>
      <x:c r="L502" s="75" t="str">
        <x:v>Yes — optional room/DM MLS 1.0</x:v>
      </x:c>
      <x:c r="M502" s="75"/>
      <x:c r="N502" s="75"/>
      <x:c r="O502" s="75" t="str">
        <x:v>Supported; default depends on client/room</x:v>
      </x:c>
      <x:c r="P502" s="75" t="str">
        <x:v>No</x:v>
      </x:c>
      <x:c r="Q502" s="75" t="str">
        <x:v>E2EE claimed</x:v>
      </x:c>
      <x:c r="R502" s="75" t="str">
        <x:v>N/A</x:v>
      </x:c>
      <x:c r="S502" s="75" t="str">
        <x:v>No default E2EE verified</x:v>
      </x:c>
      <x:c r="T502" s="75" t="str">
        <x:v>No</x:v>
      </x:c>
      <x:c r="U502" s="75" t="str">
        <x:v>No — not marketed as E2EE</x:v>
      </x:c>
      <x:c r="V502" s="75" t="str">
        <x:v>Yes — Signal-style X3DH/Double Ratchet</x:v>
      </x:c>
      <x:c r="W502" s="75" t="str">
        <x:v>Available in supported E2EE conversations</x:v>
      </x:c>
      <x:c r="X502" s="75" t="str">
        <x:v>No default E2EE verified</x:v>
      </x:c>
      <x:c r="Y502" s="75" t="str">
        <x:v>No claim / treated as server-readable</x:v>
      </x:c>
      <x:c r="Z502" s="75" t="str">
        <x:v>No documented default</x:v>
      </x:c>
      <x:c r="AA502" s="75" t="str">
        <x:v>No default E2EE verified</x:v>
      </x:c>
      <x:c r="AB502" s="75"/>
      <x:c r="AC502" s="78" t="str">
        <x:v>No default E2EE claim</x:v>
      </x:c>
      <x:c r="AD502" s="75" t="str">
        <x:v>No by default</x:v>
      </x:c>
      <x:c r="AE502" s="75" t="str">
        <x:v>No</x:v>
      </x:c>
      <x:c r="AF502" s="75"/>
      <x:c r="AG502" s="75" t="str">
        <x:v>No</x:v>
      </x:c>
      <x:c r="AH502" s="122" t="n">
        <x:v>8</x:v>
      </x:c>
      <x:c r="AI502" s="123" t="str">
        <x:v>Canonical source for Security Matrix!8</x:v>
      </x:c>
    </x:row>
    <x:row r="503">
      <x:c r="A503" s="119" t="str">
        <x:v>Security Matrix</x:v>
      </x:c>
      <x:c r="B503" s="121" t="str">
        <x:v>Group DM Text E2EE?</x:v>
      </x:c>
      <x:c r="C503" s="75" t="str">
        <x:v>No (text)</x:v>
      </x:c>
      <x:c r="D503" s="75" t="str">
        <x:v>Yes</x:v>
      </x:c>
      <x:c r="E503" s="75"/>
      <x:c r="F503" s="75" t="str">
        <x:v>No</x:v>
      </x:c>
      <x:c r="G503" s="75"/>
      <x:c r="H503" s="75" t="str">
        <x:v>No</x:v>
      </x:c>
      <x:c r="I503" s="75" t="str">
        <x:v>No</x:v>
      </x:c>
      <x:c r="J503" s="75" t="str">
        <x:v>No</x:v>
      </x:c>
      <x:c r="K503" s="75" t="str">
        <x:v>Yes</x:v>
      </x:c>
      <x:c r="L503" s="75" t="str">
        <x:v>Yes — optional room/DM MLS 1.0</x:v>
      </x:c>
      <x:c r="M503" s="75"/>
      <x:c r="N503" s="75"/>
      <x:c r="O503" s="75" t="str">
        <x:v>Supported in encrypted rooms</x:v>
      </x:c>
      <x:c r="P503" s="75" t="str">
        <x:v>No</x:v>
      </x:c>
      <x:c r="Q503" s="75" t="str">
        <x:v>E2EE claimed</x:v>
      </x:c>
      <x:c r="R503" s="75" t="str">
        <x:v>N/A</x:v>
      </x:c>
      <x:c r="S503" s="75" t="str">
        <x:v>No</x:v>
      </x:c>
      <x:c r="T503" s="75" t="str">
        <x:v>No</x:v>
      </x:c>
      <x:c r="U503" s="75" t="str">
        <x:v>No — not marketed as E2EE</x:v>
      </x:c>
      <x:c r="V503" s="75" t="str">
        <x:v>No — Splinters encrypted at rest, not E2EE</x:v>
      </x:c>
      <x:c r="W503" s="75" t="str">
        <x:v>Available with limitations/version-dependent</x:v>
      </x:c>
      <x:c r="X503" s="75" t="str">
        <x:v>No</x:v>
      </x:c>
      <x:c r="Y503" s="75" t="str">
        <x:v>No claim</x:v>
      </x:c>
      <x:c r="Z503" s="75" t="str">
        <x:v>No documented default</x:v>
      </x:c>
      <x:c r="AA503" s="75" t="str">
        <x:v>No default E2EE verified</x:v>
      </x:c>
      <x:c r="AB503" s="75"/>
      <x:c r="AC503" s="78" t="str">
        <x:v>No</x:v>
      </x:c>
      <x:c r="AD503" s="75"/>
      <x:c r="AE503" s="75" t="str">
        <x:v>No</x:v>
      </x:c>
      <x:c r="AF503" s="75"/>
      <x:c r="AG503" s="75" t="str">
        <x:v>No</x:v>
      </x:c>
      <x:c r="AH503" s="122" t="n">
        <x:v>9</x:v>
      </x:c>
      <x:c r="AI503" s="123" t="str">
        <x:v>Canonical source for Security Matrix!9</x:v>
      </x:c>
    </x:row>
    <x:row r="504">
      <x:c r="A504" s="119" t="str">
        <x:v>Security Matrix</x:v>
      </x:c>
      <x:c r="B504" s="121" t="str">
        <x:v>Private Channel Text E2EE?</x:v>
      </x:c>
      <x:c r="C504" s="75" t="str">
        <x:v>No (text)</x:v>
      </x:c>
      <x:c r="D504" s="75" t="str">
        <x:v>Yes</x:v>
      </x:c>
      <x:c r="E504" s="75" t="str">
        <x:v>No for normal server channels</x:v>
      </x:c>
      <x:c r="F504" s="75" t="str">
        <x:v>No</x:v>
      </x:c>
      <x:c r="G504" s="75" t="str">
        <x:v>No</x:v>
      </x:c>
      <x:c r="H504" s="75" t="str">
        <x:v>No</x:v>
      </x:c>
      <x:c r="I504" s="75" t="str">
        <x:v>No</x:v>
      </x:c>
      <x:c r="J504" s="75" t="str">
        <x:v>No</x:v>
      </x:c>
      <x:c r="K504" s="75" t="str">
        <x:v>Yes for private channels; public channels are intentionally plaintext/public</x:v>
      </x:c>
      <x:c r="L504" s="75" t="str">
        <x:v>Yes — optional room/DM MLS 1.0</x:v>
      </x:c>
      <x:c r="M504" s="75"/>
      <x:c r="N504" s="75"/>
      <x:c r="O504" s="75" t="str">
        <x:v>Supported in encrypted rooms</x:v>
      </x:c>
      <x:c r="P504" s="75" t="str">
        <x:v>No</x:v>
      </x:c>
      <x:c r="Q504" s="75"/>
      <x:c r="R504" s="75" t="str">
        <x:v>N/A</x:v>
      </x:c>
      <x:c r="S504" s="75" t="str">
        <x:v>No</x:v>
      </x:c>
      <x:c r="T504" s="75" t="str">
        <x:v>No</x:v>
      </x:c>
      <x:c r="U504" s="75" t="str">
        <x:v>No — not marketed as E2EE</x:v>
      </x:c>
      <x:c r="V504" s="75" t="str">
        <x:v>No — Shard/community channels encrypted at rest</x:v>
      </x:c>
      <x:c r="W504" s="75" t="str">
        <x:v>Available for encrypted rooms; federation has limitations</x:v>
      </x:c>
      <x:c r="X504" s="75" t="str">
        <x:v>No</x:v>
      </x:c>
      <x:c r="Y504" s="75" t="str">
        <x:v>No claim</x:v>
      </x:c>
      <x:c r="Z504" s="75" t="str">
        <x:v>No documented default</x:v>
      </x:c>
      <x:c r="AA504" s="75" t="str">
        <x:v>No</x:v>
      </x:c>
      <x:c r="AB504" s="75"/>
      <x:c r="AC504" s="78" t="str">
        <x:v>No</x:v>
      </x:c>
      <x:c r="AD504" s="75" t="str">
        <x:v>No by default</x:v>
      </x:c>
      <x:c r="AE504" s="75" t="str">
        <x:v>No</x:v>
      </x:c>
      <x:c r="AF504" s="75"/>
      <x:c r="AG504" s="75" t="str">
        <x:v>No</x:v>
      </x:c>
      <x:c r="AH504" s="122" t="n">
        <x:v>10</x:v>
      </x:c>
      <x:c r="AI504" s="123" t="str">
        <x:v>Canonical source for Security Matrix!10</x:v>
      </x:c>
    </x:row>
    <x:row r="505">
      <x:c r="A505" s="119" t="str">
        <x:v>Security Matrix</x:v>
      </x:c>
      <x:c r="B505" s="121" t="str">
        <x:v>Public Channel Text E2EE?</x:v>
      </x:c>
      <x:c r="C505" s="75" t="str">
        <x:v>No</x:v>
      </x:c>
      <x:c r="D505" s="75"/>
      <x:c r="E505" s="75"/>
      <x:c r="F505" s="75"/>
      <x:c r="G505" s="75" t="str">
        <x:v>No</x:v>
      </x:c>
      <x:c r="H505" s="75" t="str">
        <x:v>No</x:v>
      </x:c>
      <x:c r="I505" s="75"/>
      <x:c r="J505" s="75"/>
      <x:c r="K505" s="75" t="str">
        <x:v>Optional / room-dependent</x:v>
      </x:c>
      <x:c r="L505" s="75" t="str">
        <x:v>Yes — optional room/DM MLS 1.0</x:v>
      </x:c>
      <x:c r="M505" s="75"/>
      <x:c r="N505" s="75"/>
      <x:c r="O505" s="75" t="str">
        <x:v>Optional / room-dependent</x:v>
      </x:c>
      <x:c r="P505" s="75" t="str">
        <x:v>No</x:v>
      </x:c>
      <x:c r="Q505" s="75"/>
      <x:c r="R505" s="75"/>
      <x:c r="S505" s="75"/>
      <x:c r="T505" s="75"/>
      <x:c r="U505" s="75"/>
      <x:c r="V505" s="75" t="str">
        <x:v>No</x:v>
      </x:c>
      <x:c r="W505" s="75" t="str">
        <x:v>Optional / room-dependent</x:v>
      </x:c>
      <x:c r="X505" s="75"/>
      <x:c r="Y505" s="75" t="str">
        <x:v>No</x:v>
      </x:c>
      <x:c r="Z505" s="75"/>
      <x:c r="AA505" s="75"/>
      <x:c r="AB505" s="75"/>
      <x:c r="AC505" s="78"/>
      <x:c r="AD505" s="75"/>
      <x:c r="AE505" s="75"/>
      <x:c r="AF505" s="75"/>
      <x:c r="AG505" s="75" t="str">
        <x:v>No</x:v>
      </x:c>
      <x:c r="AH505" s="122" t="n">
        <x:v>11</x:v>
      </x:c>
      <x:c r="AI505" s="123" t="str">
        <x:v>Canonical source for Security Matrix!11</x:v>
      </x:c>
    </x:row>
    <x:row r="506">
      <x:c r="A506" s="119" t="str">
        <x:v>Security Matrix</x:v>
      </x:c>
      <x:c r="B506" s="121" t="str">
        <x:v>E2EE Default or Optional</x:v>
      </x:c>
      <x:c r="C506" s="75" t="str">
        <x:v>Mandatory for supported voice/video; text not E2EE</x:v>
      </x:c>
      <x:c r="D506" s="75" t="str">
        <x:v>E2EE by default for communities</x:v>
      </x:c>
      <x:c r="E506" s="75" t="str">
        <x:v>Messenger mandatory; server DM encryption optional</x:v>
      </x:c>
      <x:c r="F506" s="75"/>
      <x:c r="G506" s="75" t="str">
        <x:v>DM encryption is intended/default; media status is evolving</x:v>
      </x:c>
      <x:c r="H506" s="75" t="str">
        <x:v>Not E2EE as of 2026-09-13 privacy policy</x:v>
      </x:c>
      <x:c r="I506" s="75" t="str">
        <x:v>Voice only / text not claimed E2EE</x:v>
      </x:c>
      <x:c r="J506" s="75" t="str">
        <x:v>No E2EE currently</x:v>
      </x:c>
      <x:c r="K506" s="75" t="str">
        <x:v>Mandatory for private communication; public channels intentionally not</x:v>
      </x:c>
      <x:c r="L506" s="75" t="str">
        <x:v>Optional, room-level; activation is fail-closed and irreversible for future content once active</x:v>
      </x:c>
      <x:c r="M506" s="75" t="str">
        <x:v>E2EE WIP; TLS today</x:v>
      </x:c>
      <x:c r="N506" s="75" t="str">
        <x:v>Mixed/eligible content</x:v>
      </x:c>
      <x:c r="O506" s="75" t="str">
        <x:v>Optional at protocol level; many clients default private chats to encrypted</x:v>
      </x:c>
      <x:c r="P506" s="75" t="str">
        <x:v>Server-side enterprise collaboration model</x:v>
      </x:c>
      <x:c r="Q506" s="75" t="str">
        <x:v>Claimed zero-knowledge/E2EE</x:v>
      </x:c>
      <x:c r="R506" s="75" t="str">
        <x:v>Transport encryption</x:v>
      </x:c>
      <x:c r="S506" s="75"/>
      <x:c r="T506" s="75" t="str">
        <x:v>Transport encryption</x:v>
      </x:c>
      <x:c r="U506" s="75" t="str">
        <x:v>No E2EE product claim</x:v>
      </x:c>
      <x:c r="V506" s="75" t="str">
        <x:v>Default for DMs/direct calls; not used for Shard channels</x:v>
      </x:c>
      <x:c r="W506" s="75" t="str">
        <x:v>Optional/room-dependent</x:v>
      </x:c>
      <x:c r="X506" s="75" t="str">
        <x:v>No E2EE verified</x:v>
      </x:c>
      <x:c r="Y506" s="75" t="str">
        <x:v>Transport encryption only</x:v>
      </x:c>
      <x:c r="Z506" s="75" t="str">
        <x:v>No platform-wide E2EE guarantee</x:v>
      </x:c>
      <x:c r="AA506" s="75"/>
      <x:c r="AB506" s="75"/>
      <x:c r="AC506" s="78" t="str">
        <x:v>Transport/server-side</x:v>
      </x:c>
      <x:c r="AD506" s="75" t="str">
        <x:v>Per-conversation opt-in planned; default unencrypted</x:v>
      </x:c>
      <x:c r="AE506" s="75" t="str">
        <x:v>Transport encryption</x:v>
      </x:c>
      <x:c r="AF506" s="75" t="str">
        <x:v>Transport/self-host privacy model</x:v>
      </x:c>
      <x:c r="AG506" s="75" t="str">
        <x:v>Server-stored chat, no native E2EE</x:v>
      </x:c>
      <x:c r="AH506" s="122" t="n">
        <x:v>12</x:v>
      </x:c>
      <x:c r="AI506" s="123" t="str">
        <x:v>Canonical source for Security Matrix!12</x:v>
      </x:c>
    </x:row>
    <x:row r="507">
      <x:c r="A507" s="119" t="str">
        <x:v>Security Matrix</x:v>
      </x:c>
      <x:c r="B507" s="121" t="str">
        <x:v>Can Service / Server Read Text?</x:v>
      </x:c>
      <x:c r="C507" s="75" t="str">
        <x:v>Yes for text</x:v>
      </x:c>
      <x:c r="D507" s="75" t="str">
        <x:v>No for encrypted message bodies</x:v>
      </x:c>
      <x:c r="E507" s="75" t="str">
        <x:v>Server can read normal channel text; encrypted DMs are ciphertext</x:v>
      </x:c>
      <x:c r="F507" s="75" t="str">
        <x:v>Yes for text</x:v>
      </x:c>
      <x:c r="G507" s="75" t="str">
        <x:v>No for encrypted DM plaintext in normal flow; yes for community channels</x:v>
      </x:c>
      <x:c r="H507" s="75" t="str">
        <x:v>Yes</x:v>
      </x:c>
      <x:c r="I507" s="75" t="str">
        <x:v>Yes for text on hosted/self-host server</x:v>
      </x:c>
      <x:c r="J507" s="75" t="str">
        <x:v>Yes</x:v>
      </x:c>
      <x:c r="K507" s="75" t="str">
        <x:v>No for private plaintext</x:v>
      </x:c>
      <x:c r="L507" s="75" t="str">
        <x:v>Plaintext rooms: yes. Active MLS rooms: no message/file/media plaintext is available to honest-but-curious servers.</x:v>
      </x:c>
      <x:c r="M507" s="75" t="str">
        <x:v>Yes for current server-readable content</x:v>
      </x:c>
      <x:c r="N507" s="75" t="str">
        <x:v>Depends encrypted content type</x:v>
      </x:c>
      <x:c r="O507" s="75" t="str">
        <x:v>Not for correctly E2EE-encrypted events; homeserver still stores ciphertext and metadata</x:v>
      </x:c>
      <x:c r="P507" s="75" t="str">
        <x:v>Yes</x:v>
      </x:c>
      <x:c r="Q507" s="75"/>
      <x:c r="R507" s="75" t="str">
        <x:v>N/A for persistent chat; server handles voice routing</x:v>
      </x:c>
      <x:c r="S507" s="75" t="str">
        <x:v>Yes for hosted text</x:v>
      </x:c>
      <x:c r="T507" s="75" t="str">
        <x:v>Yes for text</x:v>
      </x:c>
      <x:c r="U507" s="75" t="str">
        <x:v>No E2EE product claim; exact hosted-message access policy not stated in the response</x:v>
      </x:c>
      <x:c r="V507" s="75" t="str">
        <x:v>Cannot read E2EE DM plaintext; can process Shard/community plaintext</x:v>
      </x:c>
      <x:c r="W507" s="75" t="str">
        <x:v>Not for local E2EE message bodies when functioning; server still sees metadata</x:v>
      </x:c>
      <x:c r="X507" s="75" t="str">
        <x:v>Potentially visible to hosting services</x:v>
      </x:c>
      <x:c r="Y507" s="75" t="str">
        <x:v>Yes for stored text</x:v>
      </x:c>
      <x:c r="Z507" s="75" t="str">
        <x:v>Yes unless operator adds extra encryption</x:v>
      </x:c>
      <x:c r="AA507" s="75" t="str">
        <x:v>Yes for normal text</x:v>
      </x:c>
      <x:c r="AB507" s="75"/>
      <x:c r="AC507" s="78" t="str">
        <x:v>Yes</x:v>
      </x:c>
      <x:c r="AD507" s="75" t="str">
        <x:v>Yes for unencrypted content</x:v>
      </x:c>
      <x:c r="AE507" s="75" t="str">
        <x:v>Yes</x:v>
      </x:c>
      <x:c r="AF507" s="75" t="str">
        <x:v>Server operator may access text unless separate E2EE exists</x:v>
      </x:c>
      <x:c r="AG507" s="75" t="str">
        <x:v>Yes</x:v>
      </x:c>
      <x:c r="AH507" s="122" t="n">
        <x:v>13</x:v>
      </x:c>
      <x:c r="AI507" s="123" t="str">
        <x:v>Canonical metric shared by: Security &amp; Privacy: Can Service / Server Read Text? | Security Matrix: Can Service / Server Read Text?</x:v>
      </x:c>
    </x:row>
    <x:row r="508">
      <x:c r="A508" s="119" t="str">
        <x:v>Security Matrix</x:v>
      </x:c>
      <x:c r="B508" s="121" t="str">
        <x:v>Voice E2EE?</x:v>
      </x:c>
      <x:c r="C508" s="75" t="str">
        <x:v>Yes by default for calls/Go Live via DAVE</x:v>
      </x:c>
      <x:c r="D508" s="75"/>
      <x:c r="E508" s="75"/>
      <x:c r="F508" s="75"/>
      <x:c r="G508" s="75"/>
      <x:c r="H508" s="75" t="str">
        <x:v>No currently</x:v>
      </x:c>
      <x:c r="I508" s="75" t="str">
        <x:v>Yes — voice claimed E2EE</x:v>
      </x:c>
      <x:c r="J508" s="75" t="str">
        <x:v>No currently</x:v>
      </x:c>
      <x:c r="K508" s="75" t="str">
        <x:v>Yes/SFrame claim</x:v>
      </x:c>
      <x:c r="L508" s="75" t="str">
        <x:v>Yes — MLS policy also protects supported LiveKit microphone/camera/screen/screen-audio frames</x:v>
      </x:c>
      <x:c r="M508" s="75"/>
      <x:c r="N508" s="75"/>
      <x:c r="O508" s="75" t="str">
        <x:v>Supported by MatrixRTC/capable clients</x:v>
      </x:c>
      <x:c r="P508" s="75" t="str">
        <x:v>Not generally E2EE against server; deployment media security applies</x:v>
      </x:c>
      <x:c r="Q508" s="75" t="str">
        <x:v>E2EE claimed</x:v>
      </x:c>
      <x:c r="R508" s="75" t="str">
        <x:v>No — media is encrypted to server, not E2EE against server operator</x:v>
      </x:c>
      <x:c r="S508" s="75"/>
      <x:c r="T508" s="75" t="str">
        <x:v>Encrypted transport; E2EE not claimed</x:v>
      </x:c>
      <x:c r="U508" s="75" t="str">
        <x:v>Not marketed as E2EE</x:v>
      </x:c>
      <x:c r="V508" s="75" t="str">
        <x:v>Yes — direct calls</x:v>
      </x:c>
      <x:c r="W508" s="75" t="str">
        <x:v>Provider/deployment-dependent</x:v>
      </x:c>
      <x:c r="X508" s="75" t="str">
        <x:v>N/A</x:v>
      </x:c>
      <x:c r="Y508" s="75" t="str">
        <x:v>No E2EE claim in privacy policy</x:v>
      </x:c>
      <x:c r="Z508" s="75"/>
      <x:c r="AA508" s="75"/>
      <x:c r="AB508" s="75"/>
      <x:c r="AC508" s="78"/>
      <x:c r="AD508" s="75"/>
      <x:c r="AE508" s="75"/>
      <x:c r="AF508" s="75"/>
      <x:c r="AG508" s="75" t="str">
        <x:v>External provider-dependent</x:v>
      </x:c>
      <x:c r="AH508" s="122" t="n">
        <x:v>15</x:v>
      </x:c>
      <x:c r="AI508" s="123" t="str">
        <x:v>Canonical source for Security Matrix!15</x:v>
      </x:c>
    </x:row>
    <x:row r="509">
      <x:c r="A509" s="119" t="str">
        <x:v>Security Matrix</x:v>
      </x:c>
      <x:c r="B509" s="121" t="str">
        <x:v>Video E2EE?</x:v>
      </x:c>
      <x:c r="C509" s="75" t="str">
        <x:v>Yes by default for calls/Go Live via DAVE</x:v>
      </x:c>
      <x:c r="D509" s="75"/>
      <x:c r="E509" s="75"/>
      <x:c r="F509" s="75"/>
      <x:c r="G509" s="75"/>
      <x:c r="H509" s="75" t="str">
        <x:v>No currently</x:v>
      </x:c>
      <x:c r="I509" s="75"/>
      <x:c r="J509" s="75" t="str">
        <x:v>No currently</x:v>
      </x:c>
      <x:c r="K509" s="75" t="str">
        <x:v>Yes/SFrame claim</x:v>
      </x:c>
      <x:c r="L509" s="75" t="str">
        <x:v>Yes — MLS policy also protects supported LiveKit microphone/camera/screen/screen-audio frames</x:v>
      </x:c>
      <x:c r="M509" s="75"/>
      <x:c r="N509" s="75"/>
      <x:c r="O509" s="75" t="str">
        <x:v>Supported by MatrixRTC/capable clients</x:v>
      </x:c>
      <x:c r="P509" s="75" t="str">
        <x:v>Same</x:v>
      </x:c>
      <x:c r="Q509" s="75" t="str">
        <x:v>E2EE claimed</x:v>
      </x:c>
      <x:c r="R509" s="75" t="str">
        <x:v>N/A</x:v>
      </x:c>
      <x:c r="S509" s="75"/>
      <x:c r="T509" s="75" t="str">
        <x:v>Encrypted transport; E2EE not claimed</x:v>
      </x:c>
      <x:c r="U509" s="75" t="str">
        <x:v>Not marketed as E2EE</x:v>
      </x:c>
      <x:c r="V509" s="75" t="str">
        <x:v>Yes — direct calls</x:v>
      </x:c>
      <x:c r="W509" s="75" t="str">
        <x:v>Provider/deployment-dependent</x:v>
      </x:c>
      <x:c r="X509" s="75" t="str">
        <x:v>N/A</x:v>
      </x:c>
      <x:c r="Y509" s="75" t="str">
        <x:v>No E2EE claim</x:v>
      </x:c>
      <x:c r="Z509" s="75"/>
      <x:c r="AA509" s="75"/>
      <x:c r="AB509" s="75"/>
      <x:c r="AC509" s="78"/>
      <x:c r="AD509" s="75"/>
      <x:c r="AE509" s="75"/>
      <x:c r="AF509" s="75"/>
      <x:c r="AG509" s="75" t="str">
        <x:v>External provider-dependent</x:v>
      </x:c>
      <x:c r="AH509" s="122" t="n">
        <x:v>16</x:v>
      </x:c>
      <x:c r="AI509" s="123" t="str">
        <x:v>Canonical source for Security Matrix!16</x:v>
      </x:c>
    </x:row>
    <x:row r="510">
      <x:c r="A510" s="119" t="str">
        <x:v>Security Matrix</x:v>
      </x:c>
      <x:c r="B510" s="121" t="str">
        <x:v>Screen Share E2EE?</x:v>
      </x:c>
      <x:c r="C510" s="75" t="str">
        <x:v>Yes by default for Go Live; Stage exception</x:v>
      </x:c>
      <x:c r="D510" s="75"/>
      <x:c r="E510" s="75"/>
      <x:c r="F510" s="75"/>
      <x:c r="G510" s="75"/>
      <x:c r="H510" s="75" t="str">
        <x:v>No currently</x:v>
      </x:c>
      <x:c r="I510" s="75"/>
      <x:c r="J510" s="75" t="str">
        <x:v>No currently</x:v>
      </x:c>
      <x:c r="K510" s="75"/>
      <x:c r="L510" s="75" t="str">
        <x:v>Yes — MLS policy also protects supported LiveKit microphone/camera/screen/screen-audio frames</x:v>
      </x:c>
      <x:c r="M510" s="75"/>
      <x:c r="N510" s="75"/>
      <x:c r="O510" s="75" t="str">
        <x:v>Supported by MatrixRTC/capable clients</x:v>
      </x:c>
      <x:c r="P510" s="75" t="str">
        <x:v>Same</x:v>
      </x:c>
      <x:c r="Q510" s="75"/>
      <x:c r="R510" s="75" t="str">
        <x:v>N/A</x:v>
      </x:c>
      <x:c r="S510" s="75"/>
      <x:c r="T510" s="75"/>
      <x:c r="U510" s="75" t="str">
        <x:v>Not marketed as E2EE</x:v>
      </x:c>
      <x:c r="V510" s="75" t="str">
        <x:v>Yes — direct calls</x:v>
      </x:c>
      <x:c r="W510" s="75" t="str">
        <x:v>Provider/deployment-dependent</x:v>
      </x:c>
      <x:c r="X510" s="75" t="str">
        <x:v>N/A</x:v>
      </x:c>
      <x:c r="Y510" s="75" t="str">
        <x:v>No E2EE claim</x:v>
      </x:c>
      <x:c r="Z510" s="75"/>
      <x:c r="AA510" s="75"/>
      <x:c r="AB510" s="75"/>
      <x:c r="AC510" s="78"/>
      <x:c r="AD510" s="75"/>
      <x:c r="AE510" s="75"/>
      <x:c r="AF510" s="75"/>
      <x:c r="AG510" s="75" t="str">
        <x:v>External provider-dependent</x:v>
      </x:c>
      <x:c r="AH510" s="122" t="n">
        <x:v>17</x:v>
      </x:c>
      <x:c r="AI510" s="123" t="str">
        <x:v>Canonical source for Security Matrix!17</x:v>
      </x:c>
    </x:row>
    <x:row r="511">
      <x:c r="A511" s="119" t="str">
        <x:v>Security Matrix</x:v>
      </x:c>
      <x:c r="B511" s="121" t="str">
        <x:v>Key &amp; Crypto Model</x:v>
      </x:c>
      <x:c r="C511" s="75"/>
      <x:c r="D511" s="75"/>
      <x:c r="E511" s="75"/>
      <x:c r="F511" s="75"/>
      <x:c r="G511" s="75"/>
      <x:c r="H511" s="75"/>
      <x:c r="I511" s="75"/>
      <x:c r="J511" s="75"/>
      <x:c r="K511" s="75"/>
      <x:c r="L511" s="75" t="str">
        <x:v>MLS 1.0 RFC 9420; mandatory suite MLS_128_DHKEMX25519_AES128GCM_SHA256_Ed25519</x:v>
      </x:c>
      <x:c r="M511" s="75"/>
      <x:c r="N511" s="75"/>
      <x:c r="O511" s="75"/>
      <x:c r="P511" s="75"/>
      <x:c r="Q511" s="75"/>
      <x:c r="R511" s="75"/>
      <x:c r="S511" s="75"/>
      <x:c r="T511" s="75"/>
      <x:c r="U511" s="75"/>
      <x:c r="V511" s="75"/>
      <x:c r="W511" s="75"/>
      <x:c r="X511" s="75"/>
      <x:c r="Y511" s="75"/>
      <x:c r="Z511" s="75"/>
      <x:c r="AA511" s="75"/>
      <x:c r="AB511" s="75"/>
      <x:c r="AC511" s="78"/>
      <x:c r="AD511" s="75"/>
      <x:c r="AE511" s="75"/>
      <x:c r="AF511" s="75"/>
      <x:c r="AG511" s="75"/>
      <x:c r="AH511" s="122" t="n">
        <x:v>18</x:v>
      </x:c>
      <x:c r="AI511" s="123" t="str">
        <x:v>Canonical source for Security Matrix!18</x:v>
      </x:c>
    </x:row>
    <x:row r="512">
      <x:c r="A512" s="119" t="str">
        <x:v>Security Matrix</x:v>
      </x:c>
      <x:c r="B512" s="121" t="str">
        <x:v>Client-Held Keys?</x:v>
      </x:c>
      <x:c r="C512" s="75" t="str">
        <x:v>No</x:v>
      </x:c>
      <x:c r="D512" s="75" t="str">
        <x:v>Yes</x:v>
      </x:c>
      <x:c r="E512" s="75" t="str">
        <x:v>Yes</x:v>
      </x:c>
      <x:c r="F512" s="75" t="str">
        <x:v>No</x:v>
      </x:c>
      <x:c r="G512" s="75" t="str">
        <x:v>Yes</x:v>
      </x:c>
      <x:c r="H512" s="75" t="str">
        <x:v>No</x:v>
      </x:c>
      <x:c r="I512" s="75"/>
      <x:c r="J512" s="75"/>
      <x:c r="K512" s="75" t="str">
        <x:v>Yes</x:v>
      </x:c>
      <x:c r="L512" s="75" t="str">
        <x:v>Client-held MLS identity/vault; server stores public credentials and encrypted portable state but not MLS group secrets/private keys</x:v>
      </x:c>
      <x:c r="M512" s="75"/>
      <x:c r="N512" s="75"/>
      <x:c r="O512" s="75" t="str">
        <x:v>Yes</x:v>
      </x:c>
      <x:c r="P512" s="75" t="str">
        <x:v>No</x:v>
      </x:c>
      <x:c r="Q512" s="75"/>
      <x:c r="R512" s="75"/>
      <x:c r="S512" s="75" t="str">
        <x:v>No</x:v>
      </x:c>
      <x:c r="T512" s="75" t="str">
        <x:v>No</x:v>
      </x:c>
      <x:c r="U512" s="75" t="str">
        <x:v>No</x:v>
      </x:c>
      <x:c r="V512" s="75" t="str">
        <x:v>Yes — Rift Key/device key model</x:v>
      </x:c>
      <x:c r="W512" s="75"/>
      <x:c r="X512" s="75"/>
      <x:c r="Y512" s="75" t="str">
        <x:v>No</x:v>
      </x:c>
      <x:c r="Z512" s="75"/>
      <x:c r="AA512" s="75" t="str">
        <x:v>No</x:v>
      </x:c>
      <x:c r="AB512" s="75"/>
      <x:c r="AC512" s="78" t="str">
        <x:v>No</x:v>
      </x:c>
      <x:c r="AD512" s="75"/>
      <x:c r="AE512" s="75" t="str">
        <x:v>No</x:v>
      </x:c>
      <x:c r="AF512" s="75"/>
      <x:c r="AG512" s="75" t="str">
        <x:v>No</x:v>
      </x:c>
      <x:c r="AH512" s="122" t="n">
        <x:v>19</x:v>
      </x:c>
      <x:c r="AI512" s="123" t="str">
        <x:v>Canonical source for Security Matrix!19</x:v>
      </x:c>
    </x:row>
    <x:row r="513">
      <x:c r="A513" s="119" t="str">
        <x:v>Security Matrix</x:v>
      </x:c>
      <x:c r="B513" s="121" t="str">
        <x:v>Forward Secrecy / Ratcheting?</x:v>
      </x:c>
      <x:c r="C513" s="75" t="str">
        <x:v>DAVE design; exact ratchet properties depend spec</x:v>
      </x:c>
      <x:c r="D513" s="75"/>
      <x:c r="E513" s="75"/>
      <x:c r="F513" s="75"/>
      <x:c r="G513" s="75" t="str">
        <x:v>Not Signal Double Ratchet; founder explicitly says mature Signal-level forward secrecy is not claimed</x:v>
      </x:c>
      <x:c r="H513" s="75" t="str">
        <x:v>N/A currently</x:v>
      </x:c>
      <x:c r="I513" s="75"/>
      <x:c r="J513" s="75" t="str">
        <x:v>N/A</x:v>
      </x:c>
      <x:c r="K513" s="75" t="str">
        <x:v>Olm/MLS/SFrame design</x:v>
      </x:c>
      <x:c r="L513" s="75" t="str">
        <x:v>Yes — MLS 1.0 epochs/rekeys; membership/device changes force rekey before writes resume</x:v>
      </x:c>
      <x:c r="M513" s="75"/>
      <x:c r="N513" s="75"/>
      <x:c r="O513" s="75" t="str">
        <x:v>Megolm/Olm-era designs and newer crypto work; properties vary by room/media protocol</x:v>
      </x:c>
      <x:c r="P513" s="75" t="str">
        <x:v>N/A</x:v>
      </x:c>
      <x:c r="Q513" s="75"/>
      <x:c r="R513" s="75" t="str">
        <x:v>N/A</x:v>
      </x:c>
      <x:c r="S513" s="75" t="str">
        <x:v>N/A</x:v>
      </x:c>
      <x:c r="T513" s="75" t="str">
        <x:v>N/A</x:v>
      </x:c>
      <x:c r="U513" s="75" t="str">
        <x:v>N/A</x:v>
      </x:c>
      <x:c r="V513" s="75" t="str">
        <x:v>Yes — X3DH / Double Ratchet</x:v>
      </x:c>
      <x:c r="W513" s="75" t="str">
        <x:v>Version-dependent</x:v>
      </x:c>
      <x:c r="X513" s="75" t="str">
        <x:v>N/A</x:v>
      </x:c>
      <x:c r="Y513" s="75"/>
      <x:c r="Z513" s="75"/>
      <x:c r="AA513" s="75"/>
      <x:c r="AB513" s="75"/>
      <x:c r="AC513" s="78" t="str">
        <x:v>N/A</x:v>
      </x:c>
      <x:c r="AD513" s="75"/>
      <x:c r="AE513" s="75" t="str">
        <x:v>N/A</x:v>
      </x:c>
      <x:c r="AF513" s="75"/>
      <x:c r="AG513" s="75" t="str">
        <x:v>N/A</x:v>
      </x:c>
      <x:c r="AH513" s="122" t="n">
        <x:v>21</x:v>
      </x:c>
      <x:c r="AI513" s="123" t="str">
        <x:v>Canonical source for Security Matrix!21</x:v>
      </x:c>
    </x:row>
    <x:row r="514">
      <x:c r="A514" s="119" t="str">
        <x:v>Security Matrix</x:v>
      </x:c>
      <x:c r="B514" s="121" t="str">
        <x:v>Metadata Hidden by E2EE?</x:v>
      </x:c>
      <x:c r="C514" s="75" t="str">
        <x:v>No — metadata remains visible</x:v>
      </x:c>
      <x:c r="D514" s="75" t="str">
        <x:v>No — relay metadata remains</x:v>
      </x:c>
      <x:c r="E514" s="75" t="str">
        <x:v>No — home server sees routing metadata</x:v>
      </x:c>
      <x:c r="F514" s="75" t="str">
        <x:v>No</x:v>
      </x:c>
      <x:c r="G514" s="75" t="str">
        <x:v>No — delivery/relationship metadata remains</x:v>
      </x:c>
      <x:c r="H514" s="75" t="str">
        <x:v>No</x:v>
      </x:c>
      <x:c r="I514" s="75" t="str">
        <x:v>No</x:v>
      </x:c>
      <x:c r="J514" s="75" t="str">
        <x:v>No</x:v>
      </x:c>
      <x:c r="K514" s="75" t="str">
        <x:v>No — relay metadata/timing can exist</x:v>
      </x:c>
      <x:c r="L514" s="75" t="str">
        <x:v>No — routing metadata, participants, timestamps, sizes, delivery activity and track kinds remain visible</x:v>
      </x:c>
      <x:c r="M514" s="75" t="str">
        <x:v>No</x:v>
      </x:c>
      <x:c r="N514" s="75" t="str">
        <x:v>No</x:v>
      </x:c>
      <x:c r="O514" s="75" t="str">
        <x:v>No — homeserver/federation metadata remains visible</x:v>
      </x:c>
      <x:c r="P514" s="75" t="str">
        <x:v>No</x:v>
      </x:c>
      <x:c r="Q514" s="75" t="str">
        <x:v>No</x:v>
      </x:c>
      <x:c r="R514" s="75" t="str">
        <x:v>No</x:v>
      </x:c>
      <x:c r="S514" s="75" t="str">
        <x:v>No</x:v>
      </x:c>
      <x:c r="T514" s="75" t="str">
        <x:v>No</x:v>
      </x:c>
      <x:c r="U514" s="75" t="str">
        <x:v>No</x:v>
      </x:c>
      <x:c r="V514" s="75" t="str">
        <x:v>No — metadata/routing information is not hidden by E2EE</x:v>
      </x:c>
      <x:c r="W514" s="75" t="str">
        <x:v>No</x:v>
      </x:c>
      <x:c r="X514" s="75" t="str">
        <x:v>No</x:v>
      </x:c>
      <x:c r="Y514" s="75" t="str">
        <x:v>No</x:v>
      </x:c>
      <x:c r="Z514" s="75" t="str">
        <x:v>No</x:v>
      </x:c>
      <x:c r="AA514" s="75" t="str">
        <x:v>No</x:v>
      </x:c>
      <x:c r="AB514" s="75"/>
      <x:c r="AC514" s="78" t="str">
        <x:v>No</x:v>
      </x:c>
      <x:c r="AD514" s="75" t="str">
        <x:v>No</x:v>
      </x:c>
      <x:c r="AE514" s="75" t="str">
        <x:v>No</x:v>
      </x:c>
      <x:c r="AF514" s="75" t="str">
        <x:v>No</x:v>
      </x:c>
      <x:c r="AG514" s="75" t="str">
        <x:v>No</x:v>
      </x:c>
      <x:c r="AH514" s="122" t="n">
        <x:v>22</x:v>
      </x:c>
      <x:c r="AI514" s="123" t="str">
        <x:v>Canonical source for Security Matrix!22</x:v>
      </x:c>
    </x:row>
    <x:row r="515">
      <x:c r="A515" s="119" t="str">
        <x:v>Security Matrix</x:v>
      </x:c>
      <x:c r="B515" s="121" t="str">
        <x:v>Public Crypto Design?</x:v>
      </x:c>
      <x:c r="C515" s="75" t="str">
        <x:v>Yes — DAVE design public</x:v>
      </x:c>
      <x:c r="D515" s="75" t="str">
        <x:v>Open protocol/code</x:v>
      </x:c>
      <x:c r="E515" s="75" t="str">
        <x:v>Public docs/source</x:v>
      </x:c>
      <x:c r="F515" s="75" t="str">
        <x:v>No public E2EE protocol</x:v>
      </x:c>
      <x:c r="G515" s="75" t="str">
        <x:v>Yes — founder publishes design boundaries/primitives</x:v>
      </x:c>
      <x:c r="H515" s="75" t="str">
        <x:v>E2EE roadmap/design discussion public, but not deployed as policy baseline</x:v>
      </x:c>
      <x:c r="I515" s="75" t="str">
        <x:v>No public cryptographic design found</x:v>
      </x:c>
      <x:c r="J515" s="75" t="str">
        <x:v>No public E2EE design</x:v>
      </x:c>
      <x:c r="K515" s="75" t="str">
        <x:v>Whitepaper/source public</x:v>
      </x:c>
      <x:c r="L515" s="75" t="str">
        <x:v>Yes — public E2EE contract documents threat model, MLS suite and rollout gates</x:v>
      </x:c>
      <x:c r="M515" s="75" t="str">
        <x:v>No public mature E2EE design verified</x:v>
      </x:c>
      <x:c r="N515" s="75"/>
      <x:c r="O515" s="75" t="str">
        <x:v>Yes — open specification/MSC process</x:v>
      </x:c>
      <x:c r="P515" s="75" t="str">
        <x:v>Open-source implementation for core messaging</x:v>
      </x:c>
      <x:c r="Q515" s="75"/>
      <x:c r="R515" s="75" t="str">
        <x:v>Public protocol/source</x:v>
      </x:c>
      <x:c r="S515" s="75" t="str">
        <x:v>No public E2EE design</x:v>
      </x:c>
      <x:c r="T515" s="75" t="str">
        <x:v>No public E2EE design</x:v>
      </x:c>
      <x:c r="U515" s="75" t="str">
        <x:v>No</x:v>
      </x:c>
      <x:c r="V515" s="75" t="str">
        <x:v>Yes — protocol model described publicly</x:v>
      </x:c>
      <x:c r="W515" s="75" t="str">
        <x:v>Public implementation/docs</x:v>
      </x:c>
      <x:c r="X515" s="75" t="str">
        <x:v>No</x:v>
      </x:c>
      <x:c r="Y515" s="75" t="str">
        <x:v>No public crypto protocol</x:v>
      </x:c>
      <x:c r="Z515" s="75" t="str">
        <x:v>No mature platform-wide crypto design verified</x:v>
      </x:c>
      <x:c r="AA515" s="75" t="str">
        <x:v>No public text-E2EE design verified</x:v>
      </x:c>
      <x:c r="AB515" s="75" t="str">
        <x:v>Limited public details</x:v>
      </x:c>
      <x:c r="AC515" s="78" t="str">
        <x:v>No public E2EE design</x:v>
      </x:c>
      <x:c r="AD515" s="75"/>
      <x:c r="AE515" s="75" t="str">
        <x:v>No public E2EE design</x:v>
      </x:c>
      <x:c r="AF515" s="75" t="str">
        <x:v>No public crypto design</x:v>
      </x:c>
      <x:c r="AG515" s="75" t="str">
        <x:v>Open source but no E2EE protocol</x:v>
      </x:c>
      <x:c r="AH515" s="122" t="n">
        <x:v>23</x:v>
      </x:c>
      <x:c r="AI515" s="123" t="str">
        <x:v>Canonical source for Security Matrix!23</x:v>
      </x:c>
    </x:row>
    <x:row r="516">
      <x:c r="A516" s="119" t="str">
        <x:v>Security Matrix</x:v>
      </x:c>
      <x:c r="B516" s="121" t="str">
        <x:v>Independent Crypto Audit?</x:v>
      </x:c>
      <x:c r="C516" s="75" t="str">
        <x:v>Trail of Bits reviews of DAVE (2024/2025)</x:v>
      </x:c>
      <x:c r="D516" s="75"/>
      <x:c r="E516" s="75"/>
      <x:c r="F516" s="75" t="str">
        <x:v>No audit verified</x:v>
      </x:c>
      <x:c r="G516" s="75" t="str">
        <x:v>No independent audit published</x:v>
      </x:c>
      <x:c r="H516" s="75" t="str">
        <x:v>No comprehensive audit verified</x:v>
      </x:c>
      <x:c r="I516" s="75"/>
      <x:c r="J516" s="75" t="str">
        <x:v>No</x:v>
      </x:c>
      <x:c r="K516" s="75"/>
      <x:c r="L516" s="75" t="str">
        <x:v>No independent cryptographic audit published; docs list external review as a remaining release gate</x:v>
      </x:c>
      <x:c r="M516" s="75" t="str">
        <x:v>No independent audit verified</x:v>
      </x:c>
      <x:c r="N516" s="75"/>
      <x:c r="O516" s="75" t="str">
        <x:v>Multiple implementation/protocol audits; no single universal client audit</x:v>
      </x:c>
      <x:c r="P516" s="75" t="str">
        <x:v>Security certifications/audits vary by offering</x:v>
      </x:c>
      <x:c r="Q516" s="75"/>
      <x:c r="R516" s="75"/>
      <x:c r="S516" s="75"/>
      <x:c r="T516" s="75"/>
      <x:c r="U516" s="75" t="str">
        <x:v>None published</x:v>
      </x:c>
      <x:c r="V516" s="75" t="str">
        <x:v>No — audits listed as future work</x:v>
      </x:c>
      <x:c r="W516" s="75"/>
      <x:c r="X516" s="75"/>
      <x:c r="Y516" s="75" t="str">
        <x:v>No public audit verified</x:v>
      </x:c>
      <x:c r="Z516" s="75" t="str">
        <x:v>No</x:v>
      </x:c>
      <x:c r="AA516" s="75" t="str">
        <x:v>No comprehensive crypto audit verified</x:v>
      </x:c>
      <x:c r="AB516" s="75"/>
      <x:c r="AC516" s="78"/>
      <x:c r="AD516" s="75" t="str">
        <x:v>No audit verified</x:v>
      </x:c>
      <x:c r="AE516" s="75"/>
      <x:c r="AF516" s="75"/>
      <x:c r="AG516" s="75"/>
      <x:c r="AH516" s="122" t="n">
        <x:v>24</x:v>
      </x:c>
      <x:c r="AI516" s="123" t="str">
        <x:v>Canonical source for Security Matrix!24</x:v>
      </x:c>
    </x:row>
    <x:row r="517">
      <x:c r="A517" s="119" t="str">
        <x:v>Security Matrix</x:v>
      </x:c>
      <x:c r="B517" s="121" t="str">
        <x:v>IP Address Collected?</x:v>
      </x:c>
      <x:c r="C517" s="75" t="str">
        <x:v>Yes — IP address is collected as device/use information</x:v>
      </x:c>
      <x:c r="D517" s="75" t="str">
        <x:v>Relay sees metadata; content encrypted</x:v>
      </x:c>
      <x:c r="E517" s="75" t="str">
        <x:v>Operator controlled; official messenger claims privacy model</x:v>
      </x:c>
      <x:c r="F517" s="75"/>
      <x:c r="G517" s="75"/>
      <x:c r="H517" s="75" t="str">
        <x:v>IP/network data processed; approximate location derived</x:v>
      </x:c>
      <x:c r="I517" s="75" t="str">
        <x:v>Operator/service dependent</x:v>
      </x:c>
      <x:c r="J517" s="75" t="str">
        <x:v>Operator controlled</x:v>
      </x:c>
      <x:c r="K517" s="75" t="str">
        <x:v>Official relay claims no IP logging; self-host operator could log metadata</x:v>
      </x:c>
      <x:c r="L517" s="75" t="str">
        <x:v>Not publicly specified</x:v>
      </x:c>
      <x:c r="M517" s="75"/>
      <x:c r="N517" s="75"/>
      <x:c r="O517" s="75" t="str">
        <x:v>Homeserver/operator sees IP/network metadata; exact logging is operator-dependent</x:v>
      </x:c>
      <x:c r="P517" s="75" t="str">
        <x:v>Deployment/admin controlled</x:v>
      </x:c>
      <x:c r="Q517" s="75"/>
      <x:c r="R517" s="75" t="str">
        <x:v>Server/operator-controlled</x:v>
      </x:c>
      <x:c r="S517" s="75"/>
      <x:c r="T517" s="75"/>
      <x:c r="U517" s="75"/>
      <x:c r="V517" s="75"/>
      <x:c r="W517" s="75" t="str">
        <x:v>Admin/deployment policy</x:v>
      </x:c>
      <x:c r="X517" s="75" t="str">
        <x:v>Provider dependent</x:v>
      </x:c>
      <x:c r="Y517" s="75" t="str">
        <x:v>Yes — device/network info incl. IP collected</x:v>
      </x:c>
      <x:c r="Z517" s="75" t="str">
        <x:v>Operator-controlled</x:v>
      </x:c>
      <x:c r="AA517" s="75"/>
      <x:c r="AB517" s="75" t="str">
        <x:v>Operator/service-dependent</x:v>
      </x:c>
      <x:c r="AC517" s="78"/>
      <x:c r="AD517" s="75"/>
      <x:c r="AE517" s="75"/>
      <x:c r="AF517" s="75" t="str">
        <x:v>Operator controlled</x:v>
      </x:c>
      <x:c r="AG517" s="75" t="str">
        <x:v>Hosted/operator dependent</x:v>
      </x:c>
      <x:c r="AH517" s="122" t="n">
        <x:v>26</x:v>
      </x:c>
      <x:c r="AI517" s="123" t="str">
        <x:v>Canonical metric shared by: Security &amp; Privacy: IP Address Collected? | Security Matrix: IP Address Collected?</x:v>
      </x:c>
    </x:row>
    <x:row r="518">
      <x:c r="A518" s="119" t="str">
        <x:v>Security Matrix</x:v>
      </x:c>
      <x:c r="B518" s="121" t="str">
        <x:v>IP Retention Window</x:v>
      </x:c>
      <x:c r="C518" s="75"/>
      <x:c r="D518" s="75"/>
      <x:c r="E518" s="75"/>
      <x:c r="F518" s="75"/>
      <x:c r="G518" s="75"/>
      <x:c r="H518" s="75"/>
      <x:c r="I518" s="75"/>
      <x:c r="J518" s="75"/>
      <x:c r="K518" s="75"/>
      <x:c r="L518" s="75" t="str">
        <x:v>Not publicly specified</x:v>
      </x:c>
      <x:c r="M518" s="75"/>
      <x:c r="N518" s="75"/>
      <x:c r="O518" s="75"/>
      <x:c r="P518" s="75"/>
      <x:c r="Q518" s="75"/>
      <x:c r="R518" s="75"/>
      <x:c r="S518" s="75"/>
      <x:c r="T518" s="75"/>
      <x:c r="U518" s="75"/>
      <x:c r="V518" s="75" t="str">
        <x:v>48 hours / HMAC fingerprint</x:v>
      </x:c>
      <x:c r="W518" s="75"/>
      <x:c r="X518" s="75"/>
      <x:c r="Y518" s="75"/>
      <x:c r="Z518" s="75"/>
      <x:c r="AA518" s="75"/>
      <x:c r="AB518" s="75"/>
      <x:c r="AC518" s="78"/>
      <x:c r="AD518" s="75"/>
      <x:c r="AE518" s="75"/>
      <x:c r="AF518" s="75"/>
      <x:c r="AG518" s="75"/>
      <x:c r="AH518" s="122" t="n">
        <x:v>27</x:v>
      </x:c>
      <x:c r="AI518" s="123" t="str">
        <x:v>Canonical metric shared by: Security &amp; Privacy: IP Retention Window | Security Matrix: IP Retention Window</x:v>
      </x:c>
    </x:row>
    <x:row r="519">
      <x:c r="A519" s="119" t="str">
        <x:v>Security Matrix</x:v>
      </x:c>
      <x:c r="B519" s="121" t="str">
        <x:v>Voice Stored?</x:v>
      </x:c>
      <x:c r="C519" s="75" t="str">
        <x:v>Generally no</x:v>
      </x:c>
      <x:c r="D519" s="75"/>
      <x:c r="E519" s="75"/>
      <x:c r="F519" s="75"/>
      <x:c r="G519" s="75"/>
      <x:c r="H519" s="75"/>
      <x:c r="I519" s="75"/>
      <x:c r="J519" s="75"/>
      <x:c r="K519" s="75"/>
      <x:c r="L519" s="75" t="str">
        <x:v>No native recording documented</x:v>
      </x:c>
      <x:c r="M519" s="75"/>
      <x:c r="N519" s="75"/>
      <x:c r="O519" s="75"/>
      <x:c r="P519" s="75"/>
      <x:c r="Q519" s="75"/>
      <x:c r="R519" s="75" t="str">
        <x:v>Generally no</x:v>
      </x:c>
      <x:c r="S519" s="75"/>
      <x:c r="T519" s="75"/>
      <x:c r="U519" s="75"/>
      <x:c r="V519" s="75" t="str">
        <x:v>Generally no</x:v>
      </x:c>
      <x:c r="W519" s="75"/>
      <x:c r="X519" s="75"/>
      <x:c r="Y519" s="75" t="str">
        <x:v>Generally no</x:v>
      </x:c>
      <x:c r="Z519" s="75"/>
      <x:c r="AA519" s="75"/>
      <x:c r="AB519" s="75"/>
      <x:c r="AC519" s="78"/>
      <x:c r="AD519" s="75"/>
      <x:c r="AE519" s="75"/>
      <x:c r="AF519" s="75"/>
      <x:c r="AG519" s="75"/>
      <x:c r="AH519" s="122" t="n">
        <x:v>29</x:v>
      </x:c>
      <x:c r="AI519" s="123" t="str">
        <x:v>Canonical source for Security Matrix!29</x:v>
      </x:c>
    </x:row>
    <x:row r="520">
      <x:c r="A520" s="119" t="str">
        <x:v>Security Matrix</x:v>
      </x:c>
      <x:c r="B520" s="121" t="str">
        <x:v>Video Stored?</x:v>
      </x:c>
      <x:c r="C520" s="75" t="str">
        <x:v>Generally no</x:v>
      </x:c>
      <x:c r="D520" s="75"/>
      <x:c r="E520" s="75"/>
      <x:c r="F520" s="75"/>
      <x:c r="G520" s="75"/>
      <x:c r="H520" s="75"/>
      <x:c r="I520" s="75"/>
      <x:c r="J520" s="75"/>
      <x:c r="K520" s="75"/>
      <x:c r="L520" s="75" t="str">
        <x:v>No native recording documented</x:v>
      </x:c>
      <x:c r="M520" s="75"/>
      <x:c r="N520" s="75"/>
      <x:c r="O520" s="75"/>
      <x:c r="P520" s="75"/>
      <x:c r="Q520" s="75"/>
      <x:c r="R520" s="75"/>
      <x:c r="S520" s="75"/>
      <x:c r="T520" s="75"/>
      <x:c r="U520" s="75"/>
      <x:c r="V520" s="75" t="str">
        <x:v>Generally no</x:v>
      </x:c>
      <x:c r="W520" s="75"/>
      <x:c r="X520" s="75"/>
      <x:c r="Y520" s="75" t="str">
        <x:v>Generally no</x:v>
      </x:c>
      <x:c r="Z520" s="75"/>
      <x:c r="AA520" s="75"/>
      <x:c r="AB520" s="75"/>
      <x:c r="AC520" s="78"/>
      <x:c r="AD520" s="75"/>
      <x:c r="AE520" s="75"/>
      <x:c r="AF520" s="75"/>
      <x:c r="AG520" s="75"/>
      <x:c r="AH520" s="122" t="n">
        <x:v>30</x:v>
      </x:c>
      <x:c r="AI520" s="123" t="str">
        <x:v>Canonical source for Security Matrix!30</x:v>
      </x:c>
    </x:row>
    <x:row r="521">
      <x:c r="A521" s="119" t="str">
        <x:v>Security Matrix</x:v>
      </x:c>
      <x:c r="B521" s="121" t="str">
        <x:v>Message Retention Default</x:v>
      </x:c>
      <x:c r="C521" s="75" t="str">
        <x:v>Generally retained while an account is active/as needed; some data has fixed legal/safety periods; inactive accounts may be deleted after 2 years</x:v>
      </x:c>
      <x:c r="D521" s="75" t="str">
        <x:v>Relay stores encrypted events</x:v>
      </x:c>
      <x:c r="E521" s="75" t="str">
        <x:v>Operator controlled; messenger relay stores encrypted messages temporarily</x:v>
      </x:c>
      <x:c r="F521" s="75"/>
      <x:c r="G521" s="75"/>
      <x:c r="H521" s="75" t="str">
        <x:v>Published retention policy</x:v>
      </x:c>
      <x:c r="I521" s="75"/>
      <x:c r="J521" s="75" t="str">
        <x:v>Operator controlled</x:v>
      </x:c>
      <x:c r="K521" s="75" t="str">
        <x:v>Data stored locally; relay stores no persistent content</x:v>
      </x:c>
      <x:c r="L521" s="75" t="str">
        <x:v>Developer reports message/content retention until user deletion/request; operator jobs enforce configured cleanup</x:v>
      </x:c>
      <x:c r="M521" s="75" t="str">
        <x:v>Published privacy policy</x:v>
      </x:c>
      <x:c r="N521" s="75"/>
      <x:c r="O521" s="75" t="str">
        <x:v>Homeserver-dependent</x:v>
      </x:c>
      <x:c r="P521" s="75" t="str">
        <x:v>Deployment/admin controlled</x:v>
      </x:c>
      <x:c r="Q521" s="75"/>
      <x:c r="R521" s="75" t="str">
        <x:v>Server/operator-controlled</x:v>
      </x:c>
      <x:c r="S521" s="75"/>
      <x:c r="T521" s="75" t="str">
        <x:v>Published privacy policy</x:v>
      </x:c>
      <x:c r="U521" s="75" t="str">
        <x:v>Retention controls exist; default window not publicly stated</x:v>
      </x:c>
      <x:c r="V521" s="75" t="str">
        <x:v>Deletion stated as hard delete</x:v>
      </x:c>
      <x:c r="W521" s="75" t="str">
        <x:v>Admin/deployment policy</x:v>
      </x:c>
      <x:c r="X521" s="75" t="str">
        <x:v>ATProto/provider dependent</x:v>
      </x:c>
      <x:c r="Y521" s="75"/>
      <x:c r="Z521" s="75" t="str">
        <x:v>Operator-controlled</x:v>
      </x:c>
      <x:c r="AA521" s="75"/>
      <x:c r="AB521" s="75" t="str">
        <x:v>Operator/service-dependent</x:v>
      </x:c>
      <x:c r="AC521" s="78"/>
      <x:c r="AD521" s="75"/>
      <x:c r="AE521" s="75"/>
      <x:c r="AF521" s="75" t="str">
        <x:v>Operator controlled</x:v>
      </x:c>
      <x:c r="AG521" s="75" t="str">
        <x:v>Hosted/self-host policy-dependent</x:v>
      </x:c>
      <x:c r="AH521" s="122" t="n">
        <x:v>31</x:v>
      </x:c>
      <x:c r="AI521" s="123" t="str">
        <x:v>Canonical source for Security Matrix!31</x:v>
      </x:c>
    </x:row>
    <x:row r="522">
      <x:c r="A522" s="119" t="str">
        <x:v>Security Matrix</x:v>
      </x:c>
      <x:c r="B522" s="121" t="str">
        <x:v>Deleted Message Retention</x:v>
      </x:c>
      <x:c r="C522" s="75"/>
      <x:c r="D522" s="75"/>
      <x:c r="E522" s="75"/>
      <x:c r="F522" s="75"/>
      <x:c r="G522" s="75"/>
      <x:c r="H522" s="75"/>
      <x:c r="I522" s="75"/>
      <x:c r="J522" s="75"/>
      <x:c r="K522" s="75"/>
      <x:c r="L522" s="75" t="str">
        <x:v>No single public deleted-message retention interval located</x:v>
      </x:c>
      <x:c r="M522" s="75"/>
      <x:c r="N522" s="75"/>
      <x:c r="O522" s="75"/>
      <x:c r="P522" s="75"/>
      <x:c r="Q522" s="75"/>
      <x:c r="R522" s="75"/>
      <x:c r="S522" s="75"/>
      <x:c r="T522" s="75"/>
      <x:c r="U522" s="75"/>
      <x:c r="V522" s="75" t="str">
        <x:v>Immediate hard delete claimed</x:v>
      </x:c>
      <x:c r="W522" s="75"/>
      <x:c r="X522" s="75"/>
      <x:c r="Y522" s="75"/>
      <x:c r="Z522" s="75"/>
      <x:c r="AA522" s="75"/>
      <x:c r="AB522" s="75"/>
      <x:c r="AC522" s="78"/>
      <x:c r="AD522" s="75"/>
      <x:c r="AE522" s="75"/>
      <x:c r="AF522" s="75"/>
      <x:c r="AG522" s="75"/>
      <x:c r="AH522" s="122" t="n">
        <x:v>32</x:v>
      </x:c>
      <x:c r="AI522" s="123" t="str">
        <x:v>Canonical source for Security Matrix!32</x:v>
      </x:c>
    </x:row>
    <x:row r="523">
      <x:c r="A523" s="119" t="str">
        <x:v>Security Matrix</x:v>
      </x:c>
      <x:c r="B523" s="121" t="str">
        <x:v>Data Region Selectable?</x:v>
      </x:c>
      <x:c r="C523" s="75"/>
      <x:c r="D523" s="75" t="str">
        <x:v>Operator-selected</x:v>
      </x:c>
      <x:c r="E523" s="75" t="str">
        <x:v>Operator-selected</x:v>
      </x:c>
      <x:c r="F523" s="75"/>
      <x:c r="G523" s="75"/>
      <x:c r="H523" s="75"/>
      <x:c r="I523" s="75" t="str">
        <x:v>Operator-selected</x:v>
      </x:c>
      <x:c r="J523" s="75" t="str">
        <x:v>Operator-selected</x:v>
      </x:c>
      <x:c r="K523" s="75"/>
      <x:c r="L523" s="75" t="str">
        <x:v>Self-host: operator chooses region/providers; official hosted service does not document per-user region selection</x:v>
      </x:c>
      <x:c r="M523" s="75"/>
      <x:c r="N523" s="75" t="str">
        <x:v>Operator-selected</x:v>
      </x:c>
      <x:c r="O523" s="75"/>
      <x:c r="P523" s="75" t="str">
        <x:v>Operator-selected</x:v>
      </x:c>
      <x:c r="Q523" s="75"/>
      <x:c r="R523" s="75" t="str">
        <x:v>Operator-selected</x:v>
      </x:c>
      <x:c r="S523" s="75"/>
      <x:c r="T523" s="75" t="str">
        <x:v>Yes</x:v>
      </x:c>
      <x:c r="U523" s="75" t="str">
        <x:v>Hosted service is in São Paulo; self-hosters choose their own region</x:v>
      </x:c>
      <x:c r="V523" s="75"/>
      <x:c r="W523" s="75" t="str">
        <x:v>Operator-selected</x:v>
      </x:c>
      <x:c r="X523" s="75"/>
      <x:c r="Y523" s="75"/>
      <x:c r="Z523" s="75" t="str">
        <x:v>Operator-selected</x:v>
      </x:c>
      <x:c r="AA523" s="75" t="str">
        <x:v>Operator-selected</x:v>
      </x:c>
      <x:c r="AB523" s="75" t="str">
        <x:v>Operator-selected</x:v>
      </x:c>
      <x:c r="AC523" s="78" t="str">
        <x:v>Operator-selected</x:v>
      </x:c>
      <x:c r="AD523" s="75" t="str">
        <x:v>Operator-selected</x:v>
      </x:c>
      <x:c r="AE523" s="75"/>
      <x:c r="AF523" s="75" t="str">
        <x:v>Operator-selected</x:v>
      </x:c>
      <x:c r="AG523" s="75" t="str">
        <x:v>Operator-selected</x:v>
      </x:c>
      <x:c r="AH523" s="122" t="n">
        <x:v>33</x:v>
      </x:c>
      <x:c r="AI523" s="123" t="str">
        <x:v>Canonical metric shared by: Security &amp; Privacy: Data Region Selectable? | Security Matrix: Data Region Selectable?</x:v>
      </x:c>
    </x:row>
    <x:row r="524">
      <x:c r="A524" s="119" t="str">
        <x:v>Security Matrix</x:v>
      </x:c>
      <x:c r="B524" s="121" t="str">
        <x:v>Security / Privacy Notes</x:v>
      </x:c>
      <x:c r="C524" s="75" t="str">
        <x:v>Discord text chat remains server-readable even though voice/video is now E2EE.</x:v>
      </x:c>
      <x:c r="D524" s="75"/>
      <x:c r="E524" s="75" t="str">
        <x:v>Encryption depends on which DCTS messaging mode is used.</x:v>
      </x:c>
      <x:c r="F524" s="75" t="str">
        <x:v>Security details are sparse; do not infer E2EE from WebRTC/LiveKit.</x:v>
      </x:c>
      <x:c r="G524" s="75" t="str">
        <x:v>Fenrid itself cautions that its home-grown design is not equivalent to Signal's mature ratchet protocol.</x:v>
      </x:c>
      <x:c r="H524" s="75" t="str">
        <x:v>Latest privacy policy explicitly says nothing on Fluxer is E2EE yet; voice/video E2EE is in development.</x:v>
      </x:c>
      <x:c r="I524" s="75" t="str">
        <x:v>Voice E2EE is claimed; do not extend that claim to text messages.</x:v>
      </x:c>
      <x:c r="J524" s="75" t="str">
        <x:v>Project discussions explicitly say E2EE is not currently implemented.</x:v>
      </x:c>
      <x:c r="K524" s="75"/>
      <x:c r="L524" s="75" t="str">
        <x:v>https://github.com/CookieNom/KaedeChat/blob/main/docs/e2ee.md</x:v>
      </x:c>
      <x:c r="M524" s="75" t="str">
        <x:v>Do not treat privacy-first marketing as proof of deployed E2EE.</x:v>
      </x:c>
      <x:c r="N524" s="75" t="str">
        <x:v>Treat E2EE claims as feature-scope specific, not universal.</x:v>
      </x:c>
      <x:c r="O524" s="75" t="str">
        <x:v>Matrix supports E2EE, but whether a room is encrypted and how UX works is client/homeserver-dependent.</x:v>
      </x:c>
      <x:c r="P524" s="75" t="str">
        <x:v>Self-hosting can keep plaintext under your organization's control, but is not E2EE.</x:v>
      </x:c>
      <x:c r="Q524" s="75" t="str">
        <x:v>Marketing/repo claims E2EE; exact room-by-room defaults should be verified before high-stakes use.</x:v>
      </x:c>
      <x:c r="R524" s="75" t="str">
        <x:v>Strong encrypted transport is not the same as E2EE from client to client.</x:v>
      </x:c>
      <x:c r="S524" s="75" t="str">
        <x:v>No default E2EE was verified.</x:v>
      </x:c>
      <x:c r="T524" s="75" t="str">
        <x:v>Privacy policy says calls use encrypted connections; that is not the same as E2EE.</x:v>
      </x:c>
      <x:c r="U524" s="75" t="str">
        <x:v>TLS in transit; hosted in São Paulo; Clerk accounts; cookie-less Umami analytics + signup conversion tag; no E2EE product claim.</x:v>
      </x:c>
      <x:c r="V524" s="75" t="str">
        <x:v>DM text uses client-side Signal-style X3DH/Double Ratchet (AES-256-GCM); Shard messages are encrypted at rest but not E2EE.</x:v>
      </x:c>
      <x:c r="W524" s="75" t="str">
        <x:v>Federation documentation explicitly says E2EE is not supported across federated servers.</x:v>
      </x:c>
      <x:c r="X524" s="75" t="str">
        <x:v>Privacy inherits ATProto/server design rather than E2EE.</x:v>
      </x:c>
      <x:c r="Y524" s="75" t="str">
        <x:v>Privacy policy says calls are real-time and not stored, but does not claim end-to-end encryption.</x:v>
      </x:c>
      <x:c r="Z524" s="75" t="str">
        <x:v>Self-hosting changes who you trust; it does not automatically create end-to-end encryption.</x:v>
      </x:c>
      <x:c r="AA524" s="75" t="str">
        <x:v>Do not infer LiveKit's E2EE capability means Stoat currently enables E2EE.</x:v>
      </x:c>
      <x:c r="AB524" s="75"/>
      <x:c r="AC524" s="78" t="str">
        <x:v>Privacy focus is data policy/open source/self-hosting rather than E2EE messaging.</x:v>
      </x:c>
      <x:c r="AD524" s="75" t="str">
        <x:v>Developer states E2EE is per-conversation opt-in and default is currently unencrypted.</x:v>
      </x:c>
      <x:c r="AE524" s="75" t="str">
        <x:v>Security model is typical hosted app; no E2EE claim verified.</x:v>
      </x:c>
      <x:c r="AF524" s="75" t="str">
        <x:v>Self-hosting/data sovereignty is the main privacy control, not verified E2EE.</x:v>
      </x:c>
      <x:c r="AG524" s="75" t="str">
        <x:v>Zulip prioritizes searchable server-side team history rather than E2EE chat.</x:v>
      </x:c>
      <x:c r="AH524" s="122" t="n">
        <x:v>35</x:v>
      </x:c>
      <x:c r="AI524" s="123" t="str">
        <x:v>Canonical source for Security Matrix!35</x:v>
      </x:c>
    </x:row>
    <x:row r="525">
      <x:c r="A525" s="119" t="str">
        <x:v>Security Matrix</x:v>
      </x:c>
      <x:c r="B525" s="121" t="str">
        <x:v>2FA / TOTP Available?</x:v>
      </x:c>
      <x:c r="C525" s="75" t="str">
        <x:v>Yes</x:v>
      </x:c>
      <x:c r="D525" s="75"/>
      <x:c r="E525" s="75"/>
      <x:c r="F525" s="75"/>
      <x:c r="G525" s="75"/>
      <x:c r="H525" s="75"/>
      <x:c r="I525" s="75"/>
      <x:c r="J525" s="75"/>
      <x:c r="K525" s="75"/>
      <x:c r="L525" s="75" t="str">
        <x:v>Yes/likely — architecture explicitly references protected TOTP material</x:v>
      </x:c>
      <x:c r="M525" s="75"/>
      <x:c r="N525" s="75"/>
      <x:c r="O525" s="75"/>
      <x:c r="P525" s="75" t="str">
        <x:v>Yes</x:v>
      </x:c>
      <x:c r="Q525" s="75"/>
      <x:c r="R525" s="75"/>
      <x:c r="S525" s="75"/>
      <x:c r="T525" s="75"/>
      <x:c r="U525" s="75"/>
      <x:c r="V525" s="75"/>
      <x:c r="W525" s="75" t="str">
        <x:v>Yes</x:v>
      </x:c>
      <x:c r="X525" s="75"/>
      <x:c r="Y525" s="75"/>
      <x:c r="Z525" s="75"/>
      <x:c r="AA525" s="75"/>
      <x:c r="AB525" s="75"/>
      <x:c r="AC525" s="78"/>
      <x:c r="AD525" s="75"/>
      <x:c r="AE525" s="75"/>
      <x:c r="AF525" s="75"/>
      <x:c r="AG525" s="75" t="str">
        <x:v>Yes</x:v>
      </x:c>
      <x:c r="AH525" s="122" t="n">
        <x:v>37</x:v>
      </x:c>
      <x:c r="AI525" s="123" t="str">
        <x:v>Canonical source for Security Matrix!37</x:v>
      </x:c>
    </x:row>
    <x:row r="526">
      <x:c r="A526" s="119" t="str">
        <x:v>Security Matrix</x:v>
      </x:c>
      <x:c r="B526" s="121" t="str">
        <x:v>SSO / Enterprise Identity?</x:v>
      </x:c>
      <x:c r="C526" s="75"/>
      <x:c r="D526" s="75"/>
      <x:c r="E526" s="75"/>
      <x:c r="F526" s="75"/>
      <x:c r="G526" s="75"/>
      <x:c r="H526" s="75"/>
      <x:c r="I526" s="75"/>
      <x:c r="J526" s="75"/>
      <x:c r="K526" s="75"/>
      <x:c r="L526" s="75" t="str">
        <x:v>No enterprise SSO documented</x:v>
      </x:c>
      <x:c r="M526" s="75"/>
      <x:c r="N526" s="75"/>
      <x:c r="O526" s="75" t="str">
        <x:v>Provider-dependent</x:v>
      </x:c>
      <x:c r="P526" s="75" t="str">
        <x:v>Yes</x:v>
      </x:c>
      <x:c r="Q526" s="75"/>
      <x:c r="R526" s="75"/>
      <x:c r="S526" s="75"/>
      <x:c r="T526" s="75"/>
      <x:c r="U526" s="75"/>
      <x:c r="V526" s="75"/>
      <x:c r="W526" s="75" t="str">
        <x:v>Yes</x:v>
      </x:c>
      <x:c r="X526" s="75"/>
      <x:c r="Y526" s="75"/>
      <x:c r="Z526" s="75"/>
      <x:c r="AA526" s="75"/>
      <x:c r="AB526" s="75"/>
      <x:c r="AC526" s="78"/>
      <x:c r="AD526" s="75"/>
      <x:c r="AE526" s="75"/>
      <x:c r="AF526" s="75"/>
      <x:c r="AG526" s="75" t="str">
        <x:v>Yes</x:v>
      </x:c>
      <x:c r="AH526" s="122" t="n">
        <x:v>38</x:v>
      </x:c>
      <x:c r="AI526" s="123" t="str">
        <x:v>Canonical source for Security Matrix!38</x:v>
      </x:c>
    </x:row>
    <x:row r="527">
      <x:c r="A527" s="119" t="str">
        <x:v>Security Matrix</x:v>
      </x:c>
      <x:c r="B527" s="121" t="str">
        <x:v>Public Vulnerability Disclosure Policy?</x:v>
      </x:c>
      <x:c r="C527" s="75" t="str">
        <x:v>Yes</x:v>
      </x:c>
      <x:c r="D527" s="75"/>
      <x:c r="E527" s="75"/>
      <x:c r="F527" s="75"/>
      <x:c r="G527" s="75"/>
      <x:c r="H527" s="75"/>
      <x:c r="I527" s="75"/>
      <x:c r="J527" s="75"/>
      <x:c r="K527" s="75"/>
      <x:c r="L527" s="75" t="str">
        <x:v>No public vulnerability disclosure policy located</x:v>
      </x:c>
      <x:c r="M527" s="75"/>
      <x:c r="N527" s="75"/>
      <x:c r="O527" s="75"/>
      <x:c r="P527" s="75"/>
      <x:c r="Q527" s="75"/>
      <x:c r="R527" s="75"/>
      <x:c r="S527" s="75"/>
      <x:c r="T527" s="75"/>
      <x:c r="U527" s="75" t="str">
        <x:v>Yes — https://pqp.gg/.well-known/security.txt</x:v>
      </x:c>
      <x:c r="V527" s="75"/>
      <x:c r="W527" s="75"/>
      <x:c r="X527" s="75"/>
      <x:c r="Y527" s="75"/>
      <x:c r="Z527" s="75"/>
      <x:c r="AA527" s="75"/>
      <x:c r="AB527" s="75"/>
      <x:c r="AC527" s="78"/>
      <x:c r="AD527" s="75"/>
      <x:c r="AE527" s="75"/>
      <x:c r="AF527" s="75"/>
      <x:c r="AG527" s="75"/>
      <x:c r="AH527" s="122" t="n">
        <x:v>39</x:v>
      </x:c>
      <x:c r="AI527" s="123" t="str">
        <x:v>Canonical source for Security Matrix!39</x:v>
      </x:c>
    </x:row>
    <x:row r="528">
      <x:c r="A528" s="119" t="str">
        <x:v>Security Matrix</x:v>
      </x:c>
      <x:c r="B528" s="121" t="str">
        <x:v>Security Advisories Published?</x:v>
      </x:c>
      <x:c r="C528" s="75" t="str">
        <x:v>Yes</x:v>
      </x:c>
      <x:c r="D528" s="75"/>
      <x:c r="E528" s="75"/>
      <x:c r="F528" s="75"/>
      <x:c r="G528" s="75"/>
      <x:c r="H528" s="75"/>
      <x:c r="I528" s="75"/>
      <x:c r="J528" s="75"/>
      <x:c r="K528" s="75"/>
      <x:c r="L528" s="75" t="str">
        <x:v>No public security-advisory feed located</x:v>
      </x:c>
      <x:c r="M528" s="75"/>
      <x:c r="N528" s="75"/>
      <x:c r="O528" s="75" t="str">
        <x:v>Yes</x:v>
      </x:c>
      <x:c r="P528" s="75" t="str">
        <x:v>Yes</x:v>
      </x:c>
      <x:c r="Q528" s="75"/>
      <x:c r="R528" s="75" t="str">
        <x:v>Yes</x:v>
      </x:c>
      <x:c r="S528" s="75"/>
      <x:c r="T528" s="75"/>
      <x:c r="U528" s="75" t="str">
        <x:v>No public breach/CVE story reported by the project</x:v>
      </x:c>
      <x:c r="V528" s="75"/>
      <x:c r="W528" s="75" t="str">
        <x:v>Yes</x:v>
      </x:c>
      <x:c r="X528" s="75"/>
      <x:c r="Y528" s="75"/>
      <x:c r="Z528" s="75"/>
      <x:c r="AA528" s="75"/>
      <x:c r="AB528" s="75"/>
      <x:c r="AC528" s="78"/>
      <x:c r="AD528" s="75"/>
      <x:c r="AE528" s="75"/>
      <x:c r="AF528" s="75"/>
      <x:c r="AG528" s="75"/>
      <x:c r="AH528" s="122" t="n">
        <x:v>40</x:v>
      </x:c>
      <x:c r="AI528" s="123" t="str">
        <x:v>Canonical source for Security Matrix!40</x:v>
      </x:c>
    </x:row>
    <x:row r="529">
      <x:c r="A529" s="119" t="str">
        <x:v>Security History &amp; Audits</x:v>
      </x:c>
      <x:c r="B529" s="121" t="str">
        <x:v>Known Past CVEs / Exploits</x:v>
      </x:c>
      <x:c r="C529" s="75"/>
      <x:c r="D529" s="75"/>
      <x:c r="E529" s="75"/>
      <x:c r="F529" s="75"/>
      <x:c r="G529" s="75"/>
      <x:c r="H529" s="75"/>
      <x:c r="I529" s="75"/>
      <x:c r="J529" s="75"/>
      <x:c r="K529" s="75"/>
      <x:c r="L529" s="75" t="str">
        <x:v>None publicly known/reported by developer</x:v>
      </x:c>
      <x:c r="M529" s="75"/>
      <x:c r="N529" s="75"/>
      <x:c r="O529" s="75" t="str">
        <x:v>Implementation-specific; protocol/clients/servers have had CVEs</x:v>
      </x:c>
      <x:c r="P529" s="75" t="str">
        <x:v>Public CVEs/security advisories</x:v>
      </x:c>
      <x:c r="Q529" s="75"/>
      <x:c r="R529" s="75" t="str">
        <x:v>Public CVEs/advisories exist over long project history</x:v>
      </x:c>
      <x:c r="S529" s="75"/>
      <x:c r="T529" s="75"/>
      <x:c r="U529" s="75" t="str">
        <x:v>No public CVE/exploit story reported by the project</x:v>
      </x:c>
      <x:c r="V529" s="75" t="str">
        <x:v>No Known</x:v>
      </x:c>
      <x:c r="W529" s="75" t="str">
        <x:v>Public CVEs/security advisories</x:v>
      </x:c>
      <x:c r="X529" s="75"/>
      <x:c r="Y529" s="75"/>
      <x:c r="Z529" s="75"/>
      <x:c r="AA529" s="75"/>
      <x:c r="AB529" s="75"/>
      <x:c r="AC529" s="78"/>
      <x:c r="AD529" s="75"/>
      <x:c r="AE529" s="75"/>
      <x:c r="AF529" s="75"/>
      <x:c r="AG529" s="75"/>
      <x:c r="AH529" s="122" t="n">
        <x:v>3</x:v>
      </x:c>
      <x:c r="AI529" s="123" t="str">
        <x:v>Canonical source for Security History &amp; Audits!3</x:v>
      </x:c>
    </x:row>
    <x:row r="530">
      <x:c r="A530" s="119" t="str">
        <x:v>Security History &amp; Audits</x:v>
      </x:c>
      <x:c r="B530" s="121" t="str">
        <x:v>Data Breach / Leak History</x:v>
      </x:c>
      <x:c r="C530" s="75" t="str">
        <x:v>Yes — 2025 third-party customer-support vendor incident; ~70,000 users may have had government-ID photos exposed; core Discord service was not breached</x:v>
      </x:c>
      <x:c r="D530" s="75"/>
      <x:c r="E530" s="75"/>
      <x:c r="F530" s="75"/>
      <x:c r="G530" s="75" t="str">
        <x:v>No public breach verified</x:v>
      </x:c>
      <x:c r="H530" s="75" t="str">
        <x:v>No major public breach verified</x:v>
      </x:c>
      <x:c r="I530" s="75"/>
      <x:c r="J530" s="75"/>
      <x:c r="K530" s="75"/>
      <x:c r="L530" s="75" t="str">
        <x:v>None publicly known/reported by developer</x:v>
      </x:c>
      <x:c r="M530" s="75"/>
      <x:c r="N530" s="75"/>
      <x:c r="O530" s="75" t="str">
        <x:v>Incidents are provider/implementation-specific</x:v>
      </x:c>
      <x:c r="P530" s="75" t="str">
        <x:v>Past vulnerabilities; major breach of vendor service not verified</x:v>
      </x:c>
      <x:c r="Q530" s="75"/>
      <x:c r="R530" s="75" t="str">
        <x:v>No central hosted data breach model</x:v>
      </x:c>
      <x:c r="S530" s="75"/>
      <x:c r="T530" s="75"/>
      <x:c r="U530" s="75" t="str">
        <x:v>No public breach story reported by the project</x:v>
      </x:c>
      <x:c r="V530" s="75" t="str">
        <x:v>No Known</x:v>
      </x:c>
      <x:c r="W530" s="75"/>
      <x:c r="X530" s="75"/>
      <x:c r="Y530" s="75" t="str">
        <x:v>No public breach verified</x:v>
      </x:c>
      <x:c r="Z530" s="75" t="str">
        <x:v>No major public breach verified</x:v>
      </x:c>
      <x:c r="AA530" s="75" t="str">
        <x:v>No major public hosted-service breach verified</x:v>
      </x:c>
      <x:c r="AB530" s="75" t="str">
        <x:v>No recent major breach verified here</x:v>
      </x:c>
      <x:c r="AC530" s="78"/>
      <x:c r="AD530" s="75"/>
      <x:c r="AE530" s="75"/>
      <x:c r="AF530" s="75"/>
      <x:c r="AG530" s="75" t="str">
        <x:v>No major current breach verified</x:v>
      </x:c>
      <x:c r="AH530" s="122" t="n">
        <x:v>4</x:v>
      </x:c>
      <x:c r="AI530" s="123" t="str">
        <x:v>Canonical source for Security History &amp; Audits!4</x:v>
      </x:c>
    </x:row>
    <x:row r="531">
      <x:c r="A531" s="119" t="str">
        <x:v>Security History &amp; Audits</x:v>
      </x:c>
      <x:c r="B531" s="121" t="str">
        <x:v>Independent Security Audits (Public / Private / None)</x:v>
      </x:c>
      <x:c r="C531" s="75" t="str">
        <x:v>Public targeted audits of DAVE E2EE; no comprehensive public whole-platform audit verified</x:v>
      </x:c>
      <x:c r="D531" s="75" t="str">
        <x:v>No comprehensive independent security audit verified</x:v>
      </x:c>
      <x:c r="E531" s="75" t="str">
        <x:v>No comprehensive independent security audit verified</x:v>
      </x:c>
      <x:c r="F531" s="75" t="str">
        <x:v>No comprehensive independent security audit verified</x:v>
      </x:c>
      <x:c r="G531" s="75" t="str">
        <x:v>No independent audit published</x:v>
      </x:c>
      <x:c r="H531" s="75" t="str">
        <x:v>No comprehensive independent audit verified</x:v>
      </x:c>
      <x:c r="I531" s="75" t="str">
        <x:v>No comprehensive independent security audit verified</x:v>
      </x:c>
      <x:c r="J531" s="75" t="str">
        <x:v>No comprehensive independent security audit verified</x:v>
      </x:c>
      <x:c r="K531" s="75" t="str">
        <x:v>No comprehensive independent security audit verified</x:v>
      </x:c>
      <x:c r="L531" s="75" t="str">
        <x:v>None published</x:v>
      </x:c>
      <x:c r="M531" s="75" t="str">
        <x:v>No comprehensive independent security audit verified</x:v>
      </x:c>
      <x:c r="N531" s="75" t="str">
        <x:v>No comprehensive independent security audit verified</x:v>
      </x:c>
      <x:c r="O531" s="75" t="str">
        <x:v>Multiple independent audits across implementations; no single Matrix-wide audit</x:v>
      </x:c>
      <x:c r="P531" s="75"/>
      <x:c r="Q531" s="75" t="str">
        <x:v>No comprehensive independent security audit verified</x:v>
      </x:c>
      <x:c r="R531" s="75"/>
      <x:c r="S531" s="75" t="str">
        <x:v>No comprehensive independent security audit verified</x:v>
      </x:c>
      <x:c r="T531" s="75" t="str">
        <x:v>No comprehensive independent security audit verified</x:v>
      </x:c>
      <x:c r="U531" s="75" t="str">
        <x:v>None published</x:v>
      </x:c>
      <x:c r="V531" s="75" t="str">
        <x:v>No comprehensive independent security audit verified</x:v>
      </x:c>
      <x:c r="W531" s="75" t="str">
        <x:v>Security audits/certifications vary by offering</x:v>
      </x:c>
      <x:c r="X531" s="75" t="str">
        <x:v>No comprehensive independent security audit verified</x:v>
      </x:c>
      <x:c r="Y531" s="75" t="str">
        <x:v>No independent audit published</x:v>
      </x:c>
      <x:c r="Z531" s="75" t="str">
        <x:v>No independent audit published</x:v>
      </x:c>
      <x:c r="AA531" s="75" t="str">
        <x:v>No comprehensive independent audit verified</x:v>
      </x:c>
      <x:c r="AB531" s="75"/>
      <x:c r="AC531" s="78" t="str">
        <x:v>No comprehensive independent security audit verified</x:v>
      </x:c>
      <x:c r="AD531" s="75" t="str">
        <x:v>No comprehensive independent security audit verified</x:v>
      </x:c>
      <x:c r="AE531" s="75" t="str">
        <x:v>No comprehensive independent security audit verified</x:v>
      </x:c>
      <x:c r="AF531" s="75" t="str">
        <x:v>No comprehensive independent security audit verified</x:v>
      </x:c>
      <x:c r="AG531" s="75"/>
      <x:c r="AH531" s="122" t="n">
        <x:v>5</x:v>
      </x:c>
      <x:c r="AI531" s="123" t="str">
        <x:v>Canonical source for Security History &amp; Audits!5</x:v>
      </x:c>
    </x:row>
    <x:row r="532">
      <x:c r="A532" s="119" t="str">
        <x:v>Security History &amp; Audits</x:v>
      </x:c>
      <x:c r="B532" s="121" t="str">
        <x:v>Auditing Firm &amp; Date of Last Audit</x:v>
      </x:c>
      <x:c r="C532" s="75" t="str">
        <x:v>Trail of Bits — DAVE design/implementation review (2024) and follow-up audit (2025)</x:v>
      </x:c>
      <x:c r="D532" s="75"/>
      <x:c r="E532" s="75"/>
      <x:c r="F532" s="75"/>
      <x:c r="G532" s="75"/>
      <x:c r="H532" s="75"/>
      <x:c r="I532" s="75"/>
      <x:c r="J532" s="75"/>
      <x:c r="K532" s="75"/>
      <x:c r="L532" s="75" t="str">
        <x:v>None published</x:v>
      </x:c>
      <x:c r="M532" s="75"/>
      <x:c r="N532" s="75"/>
      <x:c r="O532" s="75" t="str">
        <x:v>Implementation-specific</x:v>
      </x:c>
      <x:c r="P532" s="75"/>
      <x:c r="Q532" s="75"/>
      <x:c r="R532" s="75"/>
      <x:c r="S532" s="75"/>
      <x:c r="T532" s="75"/>
      <x:c r="U532" s="75" t="str">
        <x:v>N/A — no independent audit published</x:v>
      </x:c>
      <x:c r="V532" s="75"/>
      <x:c r="W532" s="75"/>
      <x:c r="X532" s="75"/>
      <x:c r="Y532" s="75"/>
      <x:c r="Z532" s="75"/>
      <x:c r="AA532" s="75"/>
      <x:c r="AB532" s="75"/>
      <x:c r="AC532" s="78"/>
      <x:c r="AD532" s="75"/>
      <x:c r="AE532" s="75"/>
      <x:c r="AF532" s="75"/>
      <x:c r="AG532" s="75"/>
      <x:c r="AH532" s="122" t="n">
        <x:v>6</x:v>
      </x:c>
      <x:c r="AI532" s="123" t="str">
        <x:v>Canonical source for Security History &amp; Audits!6</x:v>
      </x:c>
    </x:row>
    <x:row r="533">
      <x:c r="A533" s="119" t="str">
        <x:v>Security History &amp; Audits</x:v>
      </x:c>
      <x:c r="B533" s="121" t="str">
        <x:v>Active Bug Bounty Program</x:v>
      </x:c>
      <x:c r="C533" s="75" t="str">
        <x:v>Yes — private Bugcrowd program with cash bounties; DAVE is in scope</x:v>
      </x:c>
      <x:c r="D533" s="75"/>
      <x:c r="E533" s="75"/>
      <x:c r="F533" s="75"/>
      <x:c r="G533" s="75" t="str">
        <x:v>No public bug bounty verified</x:v>
      </x:c>
      <x:c r="H533" s="75"/>
      <x:c r="I533" s="75"/>
      <x:c r="J533" s="75"/>
      <x:c r="K533" s="75"/>
      <x:c r="L533" s="75" t="str">
        <x:v>No public bug bounty located</x:v>
      </x:c>
      <x:c r="M533" s="75"/>
      <x:c r="N533" s="75"/>
      <x:c r="O533" s="75" t="str">
        <x:v>Implementation-specific</x:v>
      </x:c>
      <x:c r="P533" s="75" t="str">
        <x:v>Security disclosure/bounty program</x:v>
      </x:c>
      <x:c r="Q533" s="75"/>
      <x:c r="R533" s="75" t="str">
        <x:v>No formal bounty verified</x:v>
      </x:c>
      <x:c r="S533" s="75"/>
      <x:c r="T533" s="75"/>
      <x:c r="U533" s="75"/>
      <x:c r="V533" s="75"/>
      <x:c r="W533" s="75"/>
      <x:c r="X533" s="75"/>
      <x:c r="Y533" s="75" t="str">
        <x:v>No public bug bounty verified</x:v>
      </x:c>
      <x:c r="Z533" s="75" t="str">
        <x:v>No formal bounty verified</x:v>
      </x:c>
      <x:c r="AA533" s="75"/>
      <x:c r="AB533" s="75"/>
      <x:c r="AC533" s="78"/>
      <x:c r="AD533" s="75"/>
      <x:c r="AE533" s="75"/>
      <x:c r="AF533" s="75"/>
      <x:c r="AG533" s="75"/>
      <x:c r="AH533" s="122" t="n">
        <x:v>7</x:v>
      </x:c>
      <x:c r="AI533" s="123" t="str">
        <x:v>Canonical source for Security History &amp; Audits!7</x:v>
      </x:c>
    </x:row>
    <x:row r="534">
      <x:c r="A534" s="119" t="str">
        <x:v>Security History &amp; Audits</x:v>
      </x:c>
      <x:c r="B534" s="121" t="str">
        <x:v>Vulnerability Disclosure Responsiveness</x:v>
      </x:c>
      <x:c r="C534" s="75" t="str">
        <x:v>Reports are usually answered within ~24 hours, per Discord's security page</x:v>
      </x:c>
      <x:c r="D534" s="75"/>
      <x:c r="E534" s="75"/>
      <x:c r="F534" s="75"/>
      <x:c r="G534" s="75"/>
      <x:c r="H534" s="75" t="str">
        <x:v>Public security/privacy documentation</x:v>
      </x:c>
      <x:c r="I534" s="75"/>
      <x:c r="J534" s="75"/>
      <x:c r="K534" s="75"/>
      <x:c r="L534" s="75" t="str">
        <x:v>Developer reports a security-researcher friend has privately reported bugs before production; no formal public disclosure program located</x:v>
      </x:c>
      <x:c r="M534" s="75"/>
      <x:c r="N534" s="75"/>
      <x:c r="O534" s="75" t="str">
        <x:v>Public security advisories across ecosystem</x:v>
      </x:c>
      <x:c r="P534" s="75" t="str">
        <x:v>Public advisories/responsive security process</x:v>
      </x:c>
      <x:c r="Q534" s="75"/>
      <x:c r="R534" s="75" t="str">
        <x:v>Public GitHub/security channels</x:v>
      </x:c>
      <x:c r="S534" s="75"/>
      <x:c r="T534" s="75"/>
      <x:c r="U534" s="75" t="str">
        <x:v>Security contact published at /.well-known/security.txt; response history not independently established</x:v>
      </x:c>
      <x:c r="V534" s="75"/>
      <x:c r="W534" s="75" t="str">
        <x:v>Public security advisories</x:v>
      </x:c>
      <x:c r="X534" s="75"/>
      <x:c r="Y534" s="75"/>
      <x:c r="Z534" s="75" t="str">
        <x:v>Public GitHub</x:v>
      </x:c>
      <x:c r="AA534" s="75" t="str">
        <x:v>Public issues/security advisories</x:v>
      </x:c>
      <x:c r="AB534" s="75"/>
      <x:c r="AC534" s="78"/>
      <x:c r="AD534" s="75"/>
      <x:c r="AE534" s="75"/>
      <x:c r="AF534" s="75"/>
      <x:c r="AG534" s="75" t="str">
        <x:v>Public security process</x:v>
      </x:c>
      <x:c r="AH534" s="122" t="n">
        <x:v>8</x:v>
      </x:c>
      <x:c r="AI534" s="123" t="str">
        <x:v>Canonical source for Security History &amp; Audits!8</x:v>
      </x:c>
    </x:row>
    <x:row r="535">
      <x:c r="A535" s="119" t="str">
        <x:v>Security History &amp; Audits</x:v>
      </x:c>
      <x:c r="B535" s="121" t="str">
        <x:v>Security Program Maturity</x:v>
      </x:c>
      <x:c r="C535" s="75"/>
      <x:c r="D535" s="75"/>
      <x:c r="E535" s="75"/>
      <x:c r="F535" s="75"/>
      <x:c r="G535" s="75"/>
      <x:c r="H535" s="75"/>
      <x:c r="I535" s="75"/>
      <x:c r="J535" s="75"/>
      <x:c r="K535" s="75"/>
      <x:c r="L535" s="75" t="str">
        <x:v>Developer reports a security-researcher friend has privately reported bugs before production; no formal public disclosure program located</x:v>
      </x:c>
      <x:c r="M535" s="75"/>
      <x:c r="N535" s="75"/>
      <x:c r="O535" s="75"/>
      <x:c r="P535" s="75"/>
      <x:c r="Q535" s="75"/>
      <x:c r="R535" s="75"/>
      <x:c r="S535" s="75"/>
      <x:c r="T535" s="75"/>
      <x:c r="U535" s="75" t="str">
        <x:v>Early product; security contact published; no independent audit yet</x:v>
      </x:c>
      <x:c r="V535" s="75"/>
      <x:c r="W535" s="75"/>
      <x:c r="X535" s="75"/>
      <x:c r="Y535" s="75"/>
      <x:c r="Z535" s="75"/>
      <x:c r="AA535" s="75"/>
      <x:c r="AB535" s="75"/>
      <x:c r="AC535" s="78"/>
      <x:c r="AD535" s="75"/>
      <x:c r="AE535" s="75"/>
      <x:c r="AF535" s="75"/>
      <x:c r="AG535" s="75"/>
      <x:c r="AH535" s="122" t="n">
        <x:v>9</x:v>
      </x:c>
      <x:c r="AI535" s="123" t="str">
        <x:v>Canonical source for Security History &amp; Audits!9</x:v>
      </x:c>
    </x:row>
    <x:row r="536">
      <x:c r="A536" s="119" t="str">
        <x:v>Security History &amp; Audits</x:v>
      </x:c>
      <x:c r="B536" s="121" t="str">
        <x:v>Public Security Advisory / CVE Process</x:v>
      </x:c>
      <x:c r="C536" s="75" t="str">
        <x:v>Yes</x:v>
      </x:c>
      <x:c r="D536" s="75"/>
      <x:c r="E536" s="75"/>
      <x:c r="F536" s="75"/>
      <x:c r="G536" s="75"/>
      <x:c r="H536" s="75"/>
      <x:c r="I536" s="75"/>
      <x:c r="J536" s="75"/>
      <x:c r="K536" s="75"/>
      <x:c r="L536" s="75" t="str">
        <x:v>No public CVE/advisory process located</x:v>
      </x:c>
      <x:c r="M536" s="75"/>
      <x:c r="N536" s="75"/>
      <x:c r="O536" s="75" t="str">
        <x:v>Yes</x:v>
      </x:c>
      <x:c r="P536" s="75" t="str">
        <x:v>Yes</x:v>
      </x:c>
      <x:c r="Q536" s="75"/>
      <x:c r="R536" s="75" t="str">
        <x:v>Yes</x:v>
      </x:c>
      <x:c r="S536" s="75"/>
      <x:c r="T536" s="75"/>
      <x:c r="U536" s="75" t="str">
        <x:v>Security contact: https://pqp.gg/.well-known/security.txt; no public CVE story reported</x:v>
      </x:c>
      <x:c r="V536" s="75"/>
      <x:c r="W536" s="75" t="str">
        <x:v>Yes</x:v>
      </x:c>
      <x:c r="X536" s="75"/>
      <x:c r="Y536" s="75"/>
      <x:c r="Z536" s="75"/>
      <x:c r="AA536" s="75"/>
      <x:c r="AB536" s="75"/>
      <x:c r="AC536" s="78"/>
      <x:c r="AD536" s="75"/>
      <x:c r="AE536" s="75"/>
      <x:c r="AF536" s="75"/>
      <x:c r="AG536" s="75"/>
      <x:c r="AH536" s="122" t="n">
        <x:v>10</x:v>
      </x:c>
      <x:c r="AI536" s="123" t="str">
        <x:v>Canonical source for Security History &amp; Audits!10</x:v>
      </x:c>
    </x:row>
    <x:row r="537">
      <x:c r="A537" s="119" t="str">
        <x:v>Security History &amp; Audits</x:v>
      </x:c>
      <x:c r="B537" s="121" t="str">
        <x:v>Independent Penetration Tests Published</x:v>
      </x:c>
      <x:c r="C537" s="75" t="str">
        <x:v>Security/audit details vary; DAVE cryptographic audits published</x:v>
      </x:c>
      <x:c r="D537" s="75"/>
      <x:c r="E537" s="75"/>
      <x:c r="F537" s="75"/>
      <x:c r="G537" s="75"/>
      <x:c r="H537" s="75"/>
      <x:c r="I537" s="75"/>
      <x:c r="J537" s="75"/>
      <x:c r="K537" s="75"/>
      <x:c r="L537" s="75" t="str">
        <x:v>None published</x:v>
      </x:c>
      <x:c r="M537" s="75"/>
      <x:c r="N537" s="75"/>
      <x:c r="O537" s="75"/>
      <x:c r="P537" s="75"/>
      <x:c r="Q537" s="75"/>
      <x:c r="R537" s="75"/>
      <x:c r="S537" s="75"/>
      <x:c r="T537" s="75"/>
      <x:c r="U537" s="75" t="str">
        <x:v>None published</x:v>
      </x:c>
      <x:c r="V537" s="75"/>
      <x:c r="W537" s="75"/>
      <x:c r="X537" s="75"/>
      <x:c r="Y537" s="75"/>
      <x:c r="Z537" s="75"/>
      <x:c r="AA537" s="75"/>
      <x:c r="AB537" s="75"/>
      <x:c r="AC537" s="78"/>
      <x:c r="AD537" s="75"/>
      <x:c r="AE537" s="75"/>
      <x:c r="AF537" s="75"/>
      <x:c r="AG537" s="75"/>
      <x:c r="AH537" s="122" t="n">
        <x:v>11</x:v>
      </x:c>
      <x:c r="AI537" s="123" t="str">
        <x:v>Canonical source for Security History &amp; Audits!11</x:v>
      </x:c>
    </x:row>
    <x:row r="538">
      <x:c r="A538" s="119" t="str">
        <x:v>Security History &amp; Audits</x:v>
      </x:c>
      <x:c r="B538" s="121" t="str">
        <x:v>Release / Artifact Signing Documented</x:v>
      </x:c>
      <x:c r="C538" s="75"/>
      <x:c r="D538" s="75"/>
      <x:c r="E538" s="75"/>
      <x:c r="F538" s="75"/>
      <x:c r="G538" s="75"/>
      <x:c r="H538" s="75"/>
      <x:c r="I538" s="75"/>
      <x:c r="J538" s="75"/>
      <x:c r="K538" s="75"/>
      <x:c r="L538" s="75" t="str">
        <x:v>No release-signing documentation located</x:v>
      </x:c>
      <x:c r="M538" s="75"/>
      <x:c r="N538" s="75"/>
      <x:c r="O538" s="75"/>
      <x:c r="P538" s="75"/>
      <x:c r="Q538" s="75"/>
      <x:c r="R538" s="75"/>
      <x:c r="S538" s="75"/>
      <x:c r="T538" s="75"/>
      <x:c r="U538" s="75"/>
      <x:c r="V538" s="75"/>
      <x:c r="W538" s="75"/>
      <x:c r="X538" s="75"/>
      <x:c r="Y538" s="75"/>
      <x:c r="Z538" s="75"/>
      <x:c r="AA538" s="75"/>
      <x:c r="AB538" s="75"/>
      <x:c r="AC538" s="78"/>
      <x:c r="AD538" s="75"/>
      <x:c r="AE538" s="75"/>
      <x:c r="AF538" s="75"/>
      <x:c r="AG538" s="75"/>
      <x:c r="AH538" s="122" t="n">
        <x:v>12</x:v>
      </x:c>
      <x:c r="AI538" s="123" t="str">
        <x:v>Canonical source for Security History &amp; Audits!12</x:v>
      </x:c>
    </x:row>
    <x:row r="539">
      <x:c r="A539" s="119" t="str">
        <x:v>Security History &amp; Audits</x:v>
      </x:c>
      <x:c r="B539" s="121" t="str">
        <x:v>SBOM / Supply-Chain Transparency</x:v>
      </x:c>
      <x:c r="C539" s="75"/>
      <x:c r="D539" s="75"/>
      <x:c r="E539" s="75"/>
      <x:c r="F539" s="75"/>
      <x:c r="G539" s="75"/>
      <x:c r="H539" s="75"/>
      <x:c r="I539" s="75"/>
      <x:c r="J539" s="75"/>
      <x:c r="K539" s="75"/>
      <x:c r="L539" s="75" t="str">
        <x:v>No SBOM/public supply-chain inventory located</x:v>
      </x:c>
      <x:c r="M539" s="75"/>
      <x:c r="N539" s="75"/>
      <x:c r="O539" s="75"/>
      <x:c r="P539" s="75"/>
      <x:c r="Q539" s="75"/>
      <x:c r="R539" s="75"/>
      <x:c r="S539" s="75"/>
      <x:c r="T539" s="75"/>
      <x:c r="U539" s="75"/>
      <x:c r="V539" s="75"/>
      <x:c r="W539" s="75"/>
      <x:c r="X539" s="75"/>
      <x:c r="Y539" s="75"/>
      <x:c r="Z539" s="75"/>
      <x:c r="AA539" s="75"/>
      <x:c r="AB539" s="75"/>
      <x:c r="AC539" s="78"/>
      <x:c r="AD539" s="75"/>
      <x:c r="AE539" s="75"/>
      <x:c r="AF539" s="75"/>
      <x:c r="AG539" s="75"/>
      <x:c r="AH539" s="122" t="n">
        <x:v>13</x:v>
      </x:c>
      <x:c r="AI539" s="123" t="str">
        <x:v>Canonical source for Security History &amp; Audits!13</x:v>
      </x:c>
    </x:row>
    <x:row r="540">
      <x:c r="A540" s="119" t="str">
        <x:v>Moderation &amp; Safety</x:v>
      </x:c>
      <x:c r="B540" s="121" t="str">
        <x:v>Native AutoMod Engine</x:v>
      </x:c>
      <x:c r="C540" s="75" t="str">
        <x:v>Yes — AutoMod</x:v>
      </x:c>
      <x:c r="D540" s="75"/>
      <x:c r="E540" s="75" t="str">
        <x:v>Server/operator moderation</x:v>
      </x:c>
      <x:c r="F540" s="75"/>
      <x:c r="G540" s="75" t="str">
        <x:v>Native moderation</x:v>
      </x:c>
      <x:c r="H540" s="75" t="str">
        <x:v>Native moderation</x:v>
      </x:c>
      <x:c r="I540" s="75"/>
      <x:c r="J540" s="75"/>
      <x:c r="K540" s="75"/>
      <x:c r="L540" s="75" t="str">
        <x:v>Yes — developer reports native AutoMod</x:v>
      </x:c>
      <x:c r="M540" s="75" t="str">
        <x:v>Native moderation</x:v>
      </x:c>
      <x:c r="N540" s="75"/>
      <x:c r="O540" s="75" t="str">
        <x:v>Protocol supports room permissions/power levels; tooling varies by client/server</x:v>
      </x:c>
      <x:c r="P540" s="75" t="str">
        <x:v>Moderation/admin/retention/compliance tools</x:v>
      </x:c>
      <x:c r="Q540" s="75"/>
      <x:c r="R540" s="75" t="str">
        <x:v>ACLs/permissions rather than AutoMod</x:v>
      </x:c>
      <x:c r="S540" s="75"/>
      <x:c r="T540" s="75"/>
      <x:c r="U540" s="75" t="str">
        <x:v>Native moderation</x:v>
      </x:c>
      <x:c r="V540" s="75" t="str">
        <x:v>Yes — built-in AutoMod</x:v>
      </x:c>
      <x:c r="W540" s="75" t="str">
        <x:v>Moderation/admin tools</x:v>
      </x:c>
      <x:c r="X540" s="75"/>
      <x:c r="Y540" s="75" t="str">
        <x:v>Yes — Moderation App + native controls</x:v>
      </x:c>
      <x:c r="Z540" s="75" t="str">
        <x:v>Discord-compatible moderation target</x:v>
      </x:c>
      <x:c r="AA540" s="75" t="str">
        <x:v>Partial/native moderation controls</x:v>
      </x:c>
      <x:c r="AB540" s="75" t="str">
        <x:v>Permissions/admin tools</x:v>
      </x:c>
      <x:c r="AC540" s="78" t="str">
        <x:v>Built-in automod</x:v>
      </x:c>
      <x:c r="AD540" s="75"/>
      <x:c r="AE540" s="75"/>
      <x:c r="AF540" s="75"/>
      <x:c r="AG540" s="75" t="str">
        <x:v>Moderation/admin controls; no Discord-style AutoMod core</x:v>
      </x:c>
      <x:c r="AH540" s="122" t="n">
        <x:v>3</x:v>
      </x:c>
      <x:c r="AI540" s="123" t="str">
        <x:v>Canonical source for Moderation &amp; Safety!3</x:v>
      </x:c>
    </x:row>
    <x:row r="541">
      <x:c r="A541" s="119" t="str">
        <x:v>Moderation &amp; Safety</x:v>
      </x:c>
      <x:c r="B541" s="121" t="str">
        <x:v>Custom Keyword &amp; Regex Blocklists</x:v>
      </x:c>
      <x:c r="C541" s="75" t="str">
        <x:v>Yes — custom keywords + Rust-flavor regex</x:v>
      </x:c>
      <x:c r="D541" s="75"/>
      <x:c r="E541" s="75" t="str">
        <x:v>Advanced anti-spam advertised</x:v>
      </x:c>
      <x:c r="F541" s="75"/>
      <x:c r="G541" s="75"/>
      <x:c r="H541" s="75"/>
      <x:c r="I541" s="75"/>
      <x:c r="J541" s="75"/>
      <x:c r="K541" s="75"/>
      <x:c r="L541" s="75" t="str">
        <x:v>AutoMod exists, but exact keyword/regex rule types were not fully documented in reviewed public docs</x:v>
      </x:c>
      <x:c r="M541" s="75"/>
      <x:c r="N541" s="75"/>
      <x:c r="O541" s="75" t="str">
        <x:v>Client/server/bot-dependent</x:v>
      </x:c>
      <x:c r="P541" s="75"/>
      <x:c r="Q541" s="75"/>
      <x:c r="R541" s="75" t="str">
        <x:v>No text AutoMod focus</x:v>
      </x:c>
      <x:c r="S541" s="75"/>
      <x:c r="T541" s="75"/>
      <x:c r="U541" s="75"/>
      <x:c r="V541" s="75" t="str">
        <x:v>Yes - built-in automod</x:v>
      </x:c>
      <x:c r="W541" s="75"/>
      <x:c r="X541" s="75"/>
      <x:c r="Y541" s="75"/>
      <x:c r="Z541" s="75"/>
      <x:c r="AA541" s="75"/>
      <x:c r="AB541" s="75"/>
      <x:c r="AC541" s="78" t="str">
        <x:v>Blocklists/automod</x:v>
      </x:c>
      <x:c r="AD541" s="75"/>
      <x:c r="AE541" s="75"/>
      <x:c r="AF541" s="75"/>
      <x:c r="AG541" s="75"/>
      <x:c r="AH541" s="122" t="n">
        <x:v>4</x:v>
      </x:c>
      <x:c r="AI541" s="123" t="str">
        <x:v>Canonical source for Moderation &amp; Safety!4</x:v>
      </x:c>
    </x:row>
    <x:row r="542">
      <x:c r="A542" s="119" t="str">
        <x:v>Moderation &amp; Safety</x:v>
      </x:c>
      <x:c r="B542" s="121" t="str">
        <x:v>Anti-Spam &amp; Rate Limiting</x:v>
      </x:c>
      <x:c r="C542" s="75" t="str">
        <x:v>Yes — AutoMod spam filter, platform/API rate limits, verification levels, and slowmode</x:v>
      </x:c>
      <x:c r="D542" s="75"/>
      <x:c r="E542" s="75" t="str">
        <x:v>Advanced anti-spam/rate controls</x:v>
      </x:c>
      <x:c r="F542" s="75"/>
      <x:c r="G542" s="75" t="str">
        <x:v>Yes / planned native</x:v>
      </x:c>
      <x:c r="H542" s="75" t="str">
        <x:v>Rate limits + moderation tools</x:v>
      </x:c>
      <x:c r="I542" s="75"/>
      <x:c r="J542" s="75"/>
      <x:c r="K542" s="75"/>
      <x:c r="L542" s="75" t="str">
        <x:v>Yes — API/gateway mutation rate limits and bounded report limits are documented</x:v>
      </x:c>
      <x:c r="M542" s="75"/>
      <x:c r="N542" s="75"/>
      <x:c r="O542" s="75" t="str">
        <x:v>Homeserver and bot-dependent</x:v>
      </x:c>
      <x:c r="P542" s="75" t="str">
        <x:v>Rate limits + admin controls</x:v>
      </x:c>
      <x:c r="Q542" s="75"/>
      <x:c r="R542" s="75" t="str">
        <x:v>Server ACLs/rate controls</x:v>
      </x:c>
      <x:c r="S542" s="75"/>
      <x:c r="T542" s="75"/>
      <x:c r="U542" s="75" t="str">
        <x:v>Rate controls</x:v>
      </x:c>
      <x:c r="V542" s="75" t="str">
        <x:v>Yes — spam protection + slowmode</x:v>
      </x:c>
      <x:c r="W542" s="75" t="str">
        <x:v>Rate limiting + moderation</x:v>
      </x:c>
      <x:c r="X542" s="75"/>
      <x:c r="Y542" s="75" t="str">
        <x:v>Yes — spam rules</x:v>
      </x:c>
      <x:c r="Z542" s="75" t="str">
        <x:v>Configurable rate limiting</x:v>
      </x:c>
      <x:c r="AA542" s="75" t="str">
        <x:v>Rate limiting + moderation controls</x:v>
      </x:c>
      <x:c r="AB542" s="75" t="str">
        <x:v>Anti-spam/flood controls</x:v>
      </x:c>
      <x:c r="AC542" s="78" t="str">
        <x:v>Spam/raid tools</x:v>
      </x:c>
      <x:c r="AD542" s="75"/>
      <x:c r="AE542" s="75"/>
      <x:c r="AF542" s="75"/>
      <x:c r="AG542" s="75" t="str">
        <x:v>Rate limiting/admin controls</x:v>
      </x:c>
      <x:c r="AH542" s="122" t="n">
        <x:v>5</x:v>
      </x:c>
      <x:c r="AI542" s="123" t="str">
        <x:v>Canonical source for Moderation &amp; Safety!5</x:v>
      </x:c>
    </x:row>
    <x:row r="543">
      <x:c r="A543" s="119" t="str">
        <x:v>Moderation &amp; Safety</x:v>
      </x:c>
      <x:c r="B543" s="121" t="str">
        <x:v>Anti-Raid / Mass Join Mitigation</x:v>
      </x:c>
      <x:c r="C543" s="75" t="str">
        <x:v>Yes — Raid Protection uses ML signals and can require CAPTCHA; verification/security controls also available</x:v>
      </x:c>
      <x:c r="D543" s="75"/>
      <x:c r="E543" s="75" t="str">
        <x:v>Federated ban-sharing planned</x:v>
      </x:c>
      <x:c r="F543" s="75"/>
      <x:c r="G543" s="75"/>
      <x:c r="H543" s="75"/>
      <x:c r="I543" s="75"/>
      <x:c r="J543" s="75"/>
      <x:c r="K543" s="75"/>
      <x:c r="L543" s="75" t="str">
        <x:v>Not fully documented</x:v>
      </x:c>
      <x:c r="M543" s="75"/>
      <x:c r="N543" s="75"/>
      <x:c r="O543" s="75" t="str">
        <x:v>Homeserver/operator-dependent</x:v>
      </x:c>
      <x:c r="P543" s="75"/>
      <x:c r="Q543" s="75"/>
      <x:c r="R543" s="75" t="str">
        <x:v>N/A</x:v>
      </x:c>
      <x:c r="S543" s="75"/>
      <x:c r="T543" s="75"/>
      <x:c r="U543" s="75"/>
      <x:c r="V543" s="75" t="str">
        <x:v>Yes — join-spike detection, account-age gate, raid mode</x:v>
      </x:c>
      <x:c r="W543" s="75"/>
      <x:c r="X543" s="75"/>
      <x:c r="Y543" s="75"/>
      <x:c r="Z543" s="75"/>
      <x:c r="AA543" s="75"/>
      <x:c r="AB543" s="75"/>
      <x:c r="AC543" s="78" t="str">
        <x:v>Automod raid protection</x:v>
      </x:c>
      <x:c r="AD543" s="75"/>
      <x:c r="AE543" s="75"/>
      <x:c r="AF543" s="75"/>
      <x:c r="AG543" s="75"/>
      <x:c r="AH543" s="122" t="n">
        <x:v>6</x:v>
      </x:c>
      <x:c r="AI543" s="123" t="str">
        <x:v>Canonical source for Moderation &amp; Safety!6</x:v>
      </x:c>
    </x:row>
    <x:row r="544">
      <x:c r="A544" s="119" t="str">
        <x:v>Moderation &amp; Safety</x:v>
      </x:c>
      <x:c r="B544" s="121" t="str">
        <x:v>Audit Log Retention Period</x:v>
      </x:c>
      <x:c r="C544" s="75" t="str">
        <x:v>45 days</x:v>
      </x:c>
      <x:c r="D544" s="75"/>
      <x:c r="E544" s="75" t="str">
        <x:v>Operator controlled</x:v>
      </x:c>
      <x:c r="F544" s="75"/>
      <x:c r="G544" s="75"/>
      <x:c r="H544" s="75"/>
      <x:c r="I544" s="75"/>
      <x:c r="J544" s="75"/>
      <x:c r="K544" s="75"/>
      <x:c r="L544" s="75" t="str">
        <x:v>Developer reports no audit-depth limit; public docs confirm audit records but do not publish a retention cap</x:v>
      </x:c>
      <x:c r="M544" s="75"/>
      <x:c r="N544" s="75"/>
      <x:c r="O544" s="75" t="str">
        <x:v>Homeserver-dependent</x:v>
      </x:c>
      <x:c r="P544" s="75" t="str">
        <x:v>Audit logs enterprise/deployment-dependent</x:v>
      </x:c>
      <x:c r="Q544" s="75"/>
      <x:c r="R544" s="75" t="str">
        <x:v>Server logs operator-controlled</x:v>
      </x:c>
      <x:c r="S544" s="75"/>
      <x:c r="T544" s="75"/>
      <x:c r="U544" s="75" t="str">
        <x:v>Audit log exists; retention period not publicly claimed</x:v>
      </x:c>
      <x:c r="V544" s="75"/>
      <x:c r="W544" s="75" t="str">
        <x:v>Audit logs enterprise/admin</x:v>
      </x:c>
      <x:c r="X544" s="75"/>
      <x:c r="Y544" s="75"/>
      <x:c r="Z544" s="75"/>
      <x:c r="AA544" s="75"/>
      <x:c r="AB544" s="75" t="str">
        <x:v>Server logs/operator-controlled</x:v>
      </x:c>
      <x:c r="AC544" s="78"/>
      <x:c r="AD544" s="75"/>
      <x:c r="AE544" s="75"/>
      <x:c r="AF544" s="75"/>
      <x:c r="AG544" s="75" t="str">
        <x:v>Audit/admin logs deployment-dependent</x:v>
      </x:c>
      <x:c r="AH544" s="122" t="n">
        <x:v>7</x:v>
      </x:c>
      <x:c r="AI544" s="123" t="str">
        <x:v>Canonical source for Moderation &amp; Safety!7</x:v>
      </x:c>
    </x:row>
    <x:row r="545">
      <x:c r="A545" s="119" t="str">
        <x:v>Moderation &amp; Safety</x:v>
      </x:c>
      <x:c r="B545" s="121" t="str">
        <x:v>Audit Log Granularity &amp; Filtering</x:v>
      </x:c>
      <x:c r="C545" s="75" t="str">
        <x:v>Granular administrative actions with actor/target/changes/reason; available in client and API</x:v>
      </x:c>
      <x:c r="D545" s="75"/>
      <x:c r="E545" s="75" t="str">
        <x:v>Operator tools</x:v>
      </x:c>
      <x:c r="F545" s="75"/>
      <x:c r="G545" s="75"/>
      <x:c r="H545" s="75"/>
      <x:c r="I545" s="75"/>
      <x:c r="J545" s="75"/>
      <x:c r="K545" s="75"/>
      <x:c r="L545" s="75" t="str">
        <x:v>Yes — administration audit includes actor, action, target, safe metadata and timestamp</x:v>
      </x:c>
      <x:c r="M545" s="75"/>
      <x:c r="N545" s="75"/>
      <x:c r="O545" s="75" t="str">
        <x:v>Homeserver-dependent</x:v>
      </x:c>
      <x:c r="P545" s="75" t="str">
        <x:v>Detailed audit/compliance tooling</x:v>
      </x:c>
      <x:c r="Q545" s="75"/>
      <x:c r="R545" s="75" t="str">
        <x:v>ACL/log tools</x:v>
      </x:c>
      <x:c r="S545" s="75"/>
      <x:c r="T545" s="75"/>
      <x:c r="U545" s="75" t="str">
        <x:v>Audit log exists; detailed filtering/granularity not stated</x:v>
      </x:c>
      <x:c r="V545" s="75" t="str">
        <x:v>Yes — searchable mod feed by user/date/action</x:v>
      </x:c>
      <x:c r="W545" s="75" t="str">
        <x:v>Detailed enterprise audit tools</x:v>
      </x:c>
      <x:c r="X545" s="75"/>
      <x:c r="Y545" s="75"/>
      <x:c r="Z545" s="75"/>
      <x:c r="AA545" s="75"/>
      <x:c r="AB545" s="75" t="str">
        <x:v>Detailed permissions/logging</x:v>
      </x:c>
      <x:c r="AC545" s="78" t="str">
        <x:v>Moderation tooling</x:v>
      </x:c>
      <x:c r="AD545" s="75"/>
      <x:c r="AE545" s="75"/>
      <x:c r="AF545" s="75"/>
      <x:c r="AG545" s="75" t="str">
        <x:v>Admin tooling</x:v>
      </x:c>
      <x:c r="AH545" s="122" t="n">
        <x:v>8</x:v>
      </x:c>
      <x:c r="AI545" s="123" t="str">
        <x:v>Canonical source for Moderation &amp; Safety!8</x:v>
      </x:c>
    </x:row>
    <x:row r="546">
      <x:c r="A546" s="119" t="str">
        <x:v>Moderation &amp; Safety</x:v>
      </x:c>
      <x:c r="B546" s="121" t="str">
        <x:v>New Member Screening / Gate</x:v>
      </x:c>
      <x:c r="C546" s="75" t="str">
        <x:v>Yes — Rules Screening + verification levels; Server Member Applications are available/rolling out</x:v>
      </x:c>
      <x:c r="D546" s="75"/>
      <x:c r="E546" s="75" t="str">
        <x:v>Instance controls</x:v>
      </x:c>
      <x:c r="F546" s="75"/>
      <x:c r="G546" s="75"/>
      <x:c r="H546" s="75"/>
      <x:c r="I546" s="75"/>
      <x:c r="J546" s="75"/>
      <x:c r="K546" s="75"/>
      <x:c r="L546" s="75"/>
      <x:c r="M546" s="75"/>
      <x:c r="N546" s="75"/>
      <x:c r="O546" s="75" t="str">
        <x:v>Client/server-dependent</x:v>
      </x:c>
      <x:c r="P546" s="75" t="str">
        <x:v>Invite/SSO/admin restrictions</x:v>
      </x:c>
      <x:c r="Q546" s="75"/>
      <x:c r="R546" s="75" t="str">
        <x:v>Password/cert/ACL gates</x:v>
      </x:c>
      <x:c r="S546" s="75"/>
      <x:c r="T546" s="75"/>
      <x:c r="U546" s="75"/>
      <x:c r="V546" s="75"/>
      <x:c r="W546" s="75" t="str">
        <x:v>Invite/SSO/approval options</x:v>
      </x:c>
      <x:c r="X546" s="75"/>
      <x:c r="Y546" s="75"/>
      <x:c r="Z546" s="75"/>
      <x:c r="AA546" s="75"/>
      <x:c r="AB546" s="75" t="str">
        <x:v>Password/permissions</x:v>
      </x:c>
      <x:c r="AC546" s="78"/>
      <x:c r="AD546" s="75"/>
      <x:c r="AE546" s="75"/>
      <x:c r="AF546" s="75"/>
      <x:c r="AG546" s="75" t="str">
        <x:v>Invite/SSO/domain controls</x:v>
      </x:c>
      <x:c r="AH546" s="122" t="n">
        <x:v>9</x:v>
      </x:c>
      <x:c r="AI546" s="123" t="str">
        <x:v>Canonical source for Moderation &amp; Safety!9</x:v>
      </x:c>
    </x:row>
    <x:row r="547">
      <x:c r="A547" s="119" t="str">
        <x:v>Moderation &amp; Safety</x:v>
      </x:c>
      <x:c r="B547" s="121" t="str">
        <x:v>Report Management Queue &amp; Mod Dashboard</x:v>
      </x:c>
      <x:c r="C547" s="75"/>
      <x:c r="D547" s="75"/>
      <x:c r="E547" s="75" t="str">
        <x:v>Operator responsibility</x:v>
      </x:c>
      <x:c r="F547" s="75"/>
      <x:c r="G547" s="75" t="str">
        <x:v>Native moderation controls</x:v>
      </x:c>
      <x:c r="H547" s="75"/>
      <x:c r="I547" s="75"/>
      <x:c r="J547" s="75"/>
      <x:c r="K547" s="75"/>
      <x:c r="L547" s="75" t="str">
        <x:v>Yes — instance Trust &amp; Safety report queue with triage/review/request-info/action/no-action/duplicate/reopen workflow</x:v>
      </x:c>
      <x:c r="M547" s="75"/>
      <x:c r="N547" s="75"/>
      <x:c r="O547" s="75" t="str">
        <x:v>Client/server-dependent</x:v>
      </x:c>
      <x:c r="P547" s="75" t="str">
        <x:v>Admin console</x:v>
      </x:c>
      <x:c r="Q547" s="75"/>
      <x:c r="R547" s="75" t="str">
        <x:v>Admin tools</x:v>
      </x:c>
      <x:c r="S547" s="75"/>
      <x:c r="T547" s="75"/>
      <x:c r="U547" s="75" t="str">
        <x:v>Reports in-app</x:v>
      </x:c>
      <x:c r="V547" s="75" t="str">
        <x:v>Yes — structured reports + Shard Command Center</x:v>
      </x:c>
      <x:c r="W547" s="75" t="str">
        <x:v>Admin console</x:v>
      </x:c>
      <x:c r="X547" s="75"/>
      <x:c r="Y547" s="75" t="str">
        <x:v>Moderation App dashboards/analytics</x:v>
      </x:c>
      <x:c r="Z547" s="75"/>
      <x:c r="AA547" s="75"/>
      <x:c r="AB547" s="75" t="str">
        <x:v>Admin tools</x:v>
      </x:c>
      <x:c r="AC547" s="78" t="str">
        <x:v>Admin/mod tools</x:v>
      </x:c>
      <x:c r="AD547" s="75"/>
      <x:c r="AE547" s="75"/>
      <x:c r="AF547" s="75"/>
      <x:c r="AG547" s="75" t="str">
        <x:v>Admin UI</x:v>
      </x:c>
      <x:c r="AH547" s="122" t="n">
        <x:v>10</x:v>
      </x:c>
      <x:c r="AI547" s="123" t="str">
        <x:v>Canonical source for Moderation &amp; Safety!10</x:v>
      </x:c>
    </x:row>
    <x:row r="548">
      <x:c r="A548" s="119" t="str">
        <x:v>Moderation &amp; Safety</x:v>
      </x:c>
      <x:c r="B548" s="121" t="str">
        <x:v>Moderator Workflow &amp; Enforcement</x:v>
      </x:c>
      <x:c r="C548" s="75"/>
      <x:c r="D548" s="75"/>
      <x:c r="E548" s="75"/>
      <x:c r="F548" s="75"/>
      <x:c r="G548" s="75"/>
      <x:c r="H548" s="75"/>
      <x:c r="I548" s="75"/>
      <x:c r="J548" s="75"/>
      <x:c r="K548" s="75"/>
      <x:c r="L548" s="75" t="str">
        <x:v>Yes — instance Trust &amp; Safety report queue with triage/review/request-info/action/no-action/duplicate/reopen workflow</x:v>
      </x:c>
      <x:c r="M548" s="75"/>
      <x:c r="N548" s="75"/>
      <x:c r="O548" s="75"/>
      <x:c r="P548" s="75"/>
      <x:c r="Q548" s="75"/>
      <x:c r="R548" s="75"/>
      <x:c r="S548" s="75"/>
      <x:c r="T548" s="75"/>
      <x:c r="U548" s="75"/>
      <x:c r="V548" s="75"/>
      <x:c r="W548" s="75"/>
      <x:c r="X548" s="75"/>
      <x:c r="Y548" s="75"/>
      <x:c r="Z548" s="75"/>
      <x:c r="AA548" s="75"/>
      <x:c r="AB548" s="75"/>
      <x:c r="AC548" s="78"/>
      <x:c r="AD548" s="75"/>
      <x:c r="AE548" s="75"/>
      <x:c r="AF548" s="75"/>
      <x:c r="AG548" s="75"/>
      <x:c r="AH548" s="122" t="n">
        <x:v>11</x:v>
      </x:c>
      <x:c r="AI548" s="123" t="str">
        <x:v>Canonical source for Moderation &amp; Safety!11</x:v>
      </x:c>
    </x:row>
    <x:row r="549">
      <x:c r="A549" s="119" t="str">
        <x:v>Moderation Detail</x:v>
      </x:c>
      <x:c r="B549" s="121" t="str">
        <x:v>Native AutoMod?</x:v>
      </x:c>
      <x:c r="C549" s="75" t="str">
        <x:v>Yes — AutoMod</x:v>
      </x:c>
      <x:c r="D549" s="75"/>
      <x:c r="E549" s="75" t="str">
        <x:v>Server/operator moderation</x:v>
      </x:c>
      <x:c r="F549" s="75"/>
      <x:c r="G549" s="75" t="str">
        <x:v>Native moderation</x:v>
      </x:c>
      <x:c r="H549" s="75" t="str">
        <x:v>Native moderation</x:v>
      </x:c>
      <x:c r="I549" s="75"/>
      <x:c r="J549" s="75"/>
      <x:c r="K549" s="75"/>
      <x:c r="L549" s="75" t="str">
        <x:v>Yes — developer reports native AutoMod</x:v>
      </x:c>
      <x:c r="M549" s="75" t="str">
        <x:v>Native moderation</x:v>
      </x:c>
      <x:c r="N549" s="75"/>
      <x:c r="O549" s="75" t="str">
        <x:v>Protocol supports room permissions/power levels; tooling varies by client/server</x:v>
      </x:c>
      <x:c r="P549" s="75" t="str">
        <x:v>Moderation/admin/retention/compliance tools</x:v>
      </x:c>
      <x:c r="Q549" s="75"/>
      <x:c r="R549" s="75" t="str">
        <x:v>ACLs/permissions rather than AutoMod</x:v>
      </x:c>
      <x:c r="S549" s="75"/>
      <x:c r="T549" s="75"/>
      <x:c r="U549" s="75" t="str">
        <x:v>Native moderation</x:v>
      </x:c>
      <x:c r="V549" s="75" t="str">
        <x:v>Yes</x:v>
      </x:c>
      <x:c r="W549" s="75" t="str">
        <x:v>Moderation/admin tools</x:v>
      </x:c>
      <x:c r="X549" s="75"/>
      <x:c r="Y549" s="75" t="str">
        <x:v>Yes — Moderation App + native controls</x:v>
      </x:c>
      <x:c r="Z549" s="75" t="str">
        <x:v>Discord-compatible moderation target</x:v>
      </x:c>
      <x:c r="AA549" s="75" t="str">
        <x:v>Partial/native moderation controls</x:v>
      </x:c>
      <x:c r="AB549" s="75" t="str">
        <x:v>Permissions/admin tools</x:v>
      </x:c>
      <x:c r="AC549" s="78" t="str">
        <x:v>Built-in automod</x:v>
      </x:c>
      <x:c r="AD549" s="75"/>
      <x:c r="AE549" s="75"/>
      <x:c r="AF549" s="75"/>
      <x:c r="AG549" s="75" t="str">
        <x:v>Moderation/admin controls; no Discord-style AutoMod core</x:v>
      </x:c>
      <x:c r="AH549" s="122" t="n">
        <x:v>4</x:v>
      </x:c>
      <x:c r="AI549" s="123" t="str">
        <x:v>Canonical source for Moderation Detail!4</x:v>
      </x:c>
    </x:row>
    <x:row r="550">
      <x:c r="A550" s="119" t="str">
        <x:v>Moderation Detail</x:v>
      </x:c>
      <x:c r="B550" s="121" t="str">
        <x:v>Custom Keyword Blocklist?</x:v>
      </x:c>
      <x:c r="C550" s="75" t="str">
        <x:v>Yes — custom keywords + Rust-flavor regex</x:v>
      </x:c>
      <x:c r="D550" s="75"/>
      <x:c r="E550" s="75" t="str">
        <x:v>Advanced anti-spam advertised</x:v>
      </x:c>
      <x:c r="F550" s="75"/>
      <x:c r="G550" s="75"/>
      <x:c r="H550" s="75"/>
      <x:c r="I550" s="75"/>
      <x:c r="J550" s="75"/>
      <x:c r="K550" s="75"/>
      <x:c r="L550" s="75" t="str">
        <x:v>AutoMod exists, but exact keyword/regex rule types were not fully documented in reviewed public docs</x:v>
      </x:c>
      <x:c r="M550" s="75"/>
      <x:c r="N550" s="75"/>
      <x:c r="O550" s="75" t="str">
        <x:v>Client/server/bot-dependent</x:v>
      </x:c>
      <x:c r="P550" s="75"/>
      <x:c r="Q550" s="75"/>
      <x:c r="R550" s="75" t="str">
        <x:v>No text AutoMod focus</x:v>
      </x:c>
      <x:c r="S550" s="75"/>
      <x:c r="T550" s="75"/>
      <x:c r="U550" s="75"/>
      <x:c r="V550" s="75" t="str">
        <x:v>Yes</x:v>
      </x:c>
      <x:c r="W550" s="75"/>
      <x:c r="X550" s="75"/>
      <x:c r="Y550" s="75"/>
      <x:c r="Z550" s="75"/>
      <x:c r="AA550" s="75"/>
      <x:c r="AB550" s="75"/>
      <x:c r="AC550" s="78" t="str">
        <x:v>Blocklists/automod</x:v>
      </x:c>
      <x:c r="AD550" s="75"/>
      <x:c r="AE550" s="75"/>
      <x:c r="AF550" s="75"/>
      <x:c r="AG550" s="75"/>
      <x:c r="AH550" s="122" t="n">
        <x:v>5</x:v>
      </x:c>
      <x:c r="AI550" s="123" t="str">
        <x:v>Canonical source for Moderation Detail!5</x:v>
      </x:c>
    </x:row>
    <x:row r="551">
      <x:c r="A551" s="119" t="str">
        <x:v>Moderation Detail</x:v>
      </x:c>
      <x:c r="B551" s="121" t="str">
        <x:v>Regex Blocklist?</x:v>
      </x:c>
      <x:c r="C551" s="75" t="str">
        <x:v>Yes</x:v>
      </x:c>
      <x:c r="D551" s="75"/>
      <x:c r="E551" s="75"/>
      <x:c r="F551" s="75"/>
      <x:c r="G551" s="75"/>
      <x:c r="H551" s="75"/>
      <x:c r="I551" s="75"/>
      <x:c r="J551" s="75"/>
      <x:c r="K551" s="75"/>
      <x:c r="L551" s="75" t="str">
        <x:v>AutoMod exists, but exact keyword/regex rule types were not fully documented in reviewed public docs</x:v>
      </x:c>
      <x:c r="M551" s="75"/>
      <x:c r="N551" s="75"/>
      <x:c r="O551" s="75"/>
      <x:c r="P551" s="75" t="str">
        <x:v>Yes</x:v>
      </x:c>
      <x:c r="Q551" s="75"/>
      <x:c r="R551" s="75" t="str">
        <x:v>No</x:v>
      </x:c>
      <x:c r="S551" s="75"/>
      <x:c r="T551" s="75"/>
      <x:c r="U551" s="75"/>
      <x:c r="V551" s="75"/>
      <x:c r="W551" s="75" t="str">
        <x:v>Yes</x:v>
      </x:c>
      <x:c r="X551" s="75"/>
      <x:c r="Y551" s="75" t="str">
        <x:v>Yes</x:v>
      </x:c>
      <x:c r="Z551" s="75"/>
      <x:c r="AA551" s="75" t="str">
        <x:v>Yes</x:v>
      </x:c>
      <x:c r="AB551" s="75"/>
      <x:c r="AC551" s="78"/>
      <x:c r="AD551" s="75"/>
      <x:c r="AE551" s="75"/>
      <x:c r="AF551" s="75"/>
      <x:c r="AG551" s="75"/>
      <x:c r="AH551" s="122" t="n">
        <x:v>6</x:v>
      </x:c>
      <x:c r="AI551" s="123" t="str">
        <x:v>Canonical source for Moderation Detail!6</x:v>
      </x:c>
    </x:row>
    <x:row r="552">
      <x:c r="A552" s="119" t="str">
        <x:v>Moderation Detail</x:v>
      </x:c>
      <x:c r="B552" s="121" t="str">
        <x:v>Link Filter?</x:v>
      </x:c>
      <x:c r="C552" s="75"/>
      <x:c r="D552" s="75"/>
      <x:c r="E552" s="75"/>
      <x:c r="F552" s="75"/>
      <x:c r="G552" s="75"/>
      <x:c r="H552" s="75"/>
      <x:c r="I552" s="75"/>
      <x:c r="J552" s="75"/>
      <x:c r="K552" s="75"/>
      <x:c r="L552" s="75" t="str">
        <x:v>AutoMod exists, but exact keyword/regex rule types were not fully documented in reviewed public docs</x:v>
      </x:c>
      <x:c r="M552" s="75"/>
      <x:c r="N552" s="75"/>
      <x:c r="O552" s="75"/>
      <x:c r="P552" s="75"/>
      <x:c r="Q552" s="75"/>
      <x:c r="R552" s="75"/>
      <x:c r="S552" s="75"/>
      <x:c r="T552" s="75"/>
      <x:c r="U552" s="75"/>
      <x:c r="V552" s="75"/>
      <x:c r="W552" s="75"/>
      <x:c r="X552" s="75"/>
      <x:c r="Y552" s="75"/>
      <x:c r="Z552" s="75"/>
      <x:c r="AA552" s="75"/>
      <x:c r="AB552" s="75"/>
      <x:c r="AC552" s="78"/>
      <x:c r="AD552" s="75"/>
      <x:c r="AE552" s="75"/>
      <x:c r="AF552" s="75"/>
      <x:c r="AG552" s="75"/>
      <x:c r="AH552" s="122" t="n">
        <x:v>7</x:v>
      </x:c>
      <x:c r="AI552" s="123" t="str">
        <x:v>Canonical source for Moderation Detail!7</x:v>
      </x:c>
    </x:row>
    <x:row r="553">
      <x:c r="A553" s="119" t="str">
        <x:v>Moderation Detail</x:v>
      </x:c>
      <x:c r="B553" s="121" t="str">
        <x:v>Mention Spam Protection?</x:v>
      </x:c>
      <x:c r="C553" s="75" t="str">
        <x:v>Yes / included in anti-spam</x:v>
      </x:c>
      <x:c r="D553" s="75"/>
      <x:c r="E553" s="75" t="str">
        <x:v>Yes / included in anti-spam</x:v>
      </x:c>
      <x:c r="F553" s="75"/>
      <x:c r="G553" s="75"/>
      <x:c r="H553" s="75"/>
      <x:c r="I553" s="75"/>
      <x:c r="J553" s="75"/>
      <x:c r="K553" s="75"/>
      <x:c r="L553" s="75" t="str">
        <x:v>AutoMod exists, but exact keyword/regex rule types were not fully documented in reviewed public docs</x:v>
      </x:c>
      <x:c r="M553" s="75"/>
      <x:c r="N553" s="75"/>
      <x:c r="O553" s="75"/>
      <x:c r="P553" s="75"/>
      <x:c r="Q553" s="75"/>
      <x:c r="R553" s="75"/>
      <x:c r="S553" s="75"/>
      <x:c r="T553" s="75"/>
      <x:c r="U553" s="75"/>
      <x:c r="V553" s="75" t="str">
        <x:v>Yes</x:v>
      </x:c>
      <x:c r="W553" s="75"/>
      <x:c r="X553" s="75"/>
      <x:c r="Y553" s="75" t="str">
        <x:v>Yes / included in anti-spam</x:v>
      </x:c>
      <x:c r="Z553" s="75"/>
      <x:c r="AA553" s="75"/>
      <x:c r="AB553" s="75" t="str">
        <x:v>Yes / included in anti-spam</x:v>
      </x:c>
      <x:c r="AC553" s="78" t="str">
        <x:v>Yes / included in anti-spam</x:v>
      </x:c>
      <x:c r="AD553" s="75"/>
      <x:c r="AE553" s="75"/>
      <x:c r="AF553" s="75"/>
      <x:c r="AG553" s="75"/>
      <x:c r="AH553" s="122" t="n">
        <x:v>8</x:v>
      </x:c>
      <x:c r="AI553" s="123" t="str">
        <x:v>Canonical metric shared by: Moderation &amp; Safety: Mention Spam Protection? | Moderation Detail: Mention Spam Protection?</x:v>
      </x:c>
    </x:row>
    <x:row r="554">
      <x:c r="A554" s="119" t="str">
        <x:v>Moderation Detail</x:v>
      </x:c>
      <x:c r="B554" s="121" t="str">
        <x:v>Message Spam Detection?</x:v>
      </x:c>
      <x:c r="C554" s="75" t="str">
        <x:v>Yes — AutoMod spam filter, platform/API rate limits, verification levels, and slowmode</x:v>
      </x:c>
      <x:c r="D554" s="75"/>
      <x:c r="E554" s="75" t="str">
        <x:v>Advanced anti-spam/rate controls</x:v>
      </x:c>
      <x:c r="F554" s="75"/>
      <x:c r="G554" s="75" t="str">
        <x:v>Yes / planned native</x:v>
      </x:c>
      <x:c r="H554" s="75" t="str">
        <x:v>Rate limits + moderation tools</x:v>
      </x:c>
      <x:c r="I554" s="75"/>
      <x:c r="J554" s="75"/>
      <x:c r="K554" s="75"/>
      <x:c r="L554" s="75" t="str">
        <x:v>AutoMod exists, but exact keyword/regex rule types were not fully documented in reviewed public docs</x:v>
      </x:c>
      <x:c r="M554" s="75"/>
      <x:c r="N554" s="75"/>
      <x:c r="O554" s="75" t="str">
        <x:v>Homeserver and bot-dependent</x:v>
      </x:c>
      <x:c r="P554" s="75" t="str">
        <x:v>Rate limits + admin controls</x:v>
      </x:c>
      <x:c r="Q554" s="75"/>
      <x:c r="R554" s="75" t="str">
        <x:v>Server ACLs/rate controls</x:v>
      </x:c>
      <x:c r="S554" s="75"/>
      <x:c r="T554" s="75"/>
      <x:c r="U554" s="75" t="str">
        <x:v>Rate controls</x:v>
      </x:c>
      <x:c r="V554" s="75" t="str">
        <x:v>Yes</x:v>
      </x:c>
      <x:c r="W554" s="75" t="str">
        <x:v>Rate limiting + moderation</x:v>
      </x:c>
      <x:c r="X554" s="75"/>
      <x:c r="Y554" s="75" t="str">
        <x:v>Yes — spam rules</x:v>
      </x:c>
      <x:c r="Z554" s="75" t="str">
        <x:v>Configurable rate limiting</x:v>
      </x:c>
      <x:c r="AA554" s="75" t="str">
        <x:v>Rate limiting + moderation controls</x:v>
      </x:c>
      <x:c r="AB554" s="75" t="str">
        <x:v>Anti-spam/flood controls</x:v>
      </x:c>
      <x:c r="AC554" s="78" t="str">
        <x:v>Spam/raid tools</x:v>
      </x:c>
      <x:c r="AD554" s="75"/>
      <x:c r="AE554" s="75"/>
      <x:c r="AF554" s="75"/>
      <x:c r="AG554" s="75" t="str">
        <x:v>Rate limiting/admin controls</x:v>
      </x:c>
      <x:c r="AH554" s="122" t="n">
        <x:v>9</x:v>
      </x:c>
      <x:c r="AI554" s="123" t="str">
        <x:v>Canonical source for Moderation Detail!9</x:v>
      </x:c>
    </x:row>
    <x:row r="555">
      <x:c r="A555" s="119" t="str">
        <x:v>Moderation Detail</x:v>
      </x:c>
      <x:c r="B555" s="121" t="str">
        <x:v>Rate Limits?</x:v>
      </x:c>
      <x:c r="C555" s="75" t="str">
        <x:v>Yes — AutoMod spam filter, platform/API rate limits, verification levels, and slowmode</x:v>
      </x:c>
      <x:c r="D555" s="75"/>
      <x:c r="E555" s="75" t="str">
        <x:v>Advanced anti-spam/rate controls</x:v>
      </x:c>
      <x:c r="F555" s="75"/>
      <x:c r="G555" s="75" t="str">
        <x:v>Yes / planned native</x:v>
      </x:c>
      <x:c r="H555" s="75" t="str">
        <x:v>Rate limits + moderation tools</x:v>
      </x:c>
      <x:c r="I555" s="75"/>
      <x:c r="J555" s="75"/>
      <x:c r="K555" s="75"/>
      <x:c r="L555" s="75" t="str">
        <x:v>Yes — API/gateway mutation rate limits and bounded report limits are documented</x:v>
      </x:c>
      <x:c r="M555" s="75"/>
      <x:c r="N555" s="75"/>
      <x:c r="O555" s="75" t="str">
        <x:v>Homeserver and bot-dependent</x:v>
      </x:c>
      <x:c r="P555" s="75" t="str">
        <x:v>Rate limits + admin controls</x:v>
      </x:c>
      <x:c r="Q555" s="75"/>
      <x:c r="R555" s="75" t="str">
        <x:v>Server ACLs/rate controls</x:v>
      </x:c>
      <x:c r="S555" s="75"/>
      <x:c r="T555" s="75"/>
      <x:c r="U555" s="75" t="str">
        <x:v>Rate controls</x:v>
      </x:c>
      <x:c r="V555" s="75" t="str">
        <x:v>Yes / slowmode</x:v>
      </x:c>
      <x:c r="W555" s="75" t="str">
        <x:v>Rate limiting + moderation</x:v>
      </x:c>
      <x:c r="X555" s="75"/>
      <x:c r="Y555" s="75" t="str">
        <x:v>Yes — spam rules</x:v>
      </x:c>
      <x:c r="Z555" s="75" t="str">
        <x:v>Configurable rate limiting</x:v>
      </x:c>
      <x:c r="AA555" s="75" t="str">
        <x:v>Rate limiting + moderation controls</x:v>
      </x:c>
      <x:c r="AB555" s="75" t="str">
        <x:v>Anti-spam/flood controls</x:v>
      </x:c>
      <x:c r="AC555" s="78" t="str">
        <x:v>Spam/raid tools</x:v>
      </x:c>
      <x:c r="AD555" s="75"/>
      <x:c r="AE555" s="75"/>
      <x:c r="AF555" s="75"/>
      <x:c r="AG555" s="75" t="str">
        <x:v>Rate limiting/admin controls</x:v>
      </x:c>
      <x:c r="AH555" s="122" t="n">
        <x:v>10</x:v>
      </x:c>
      <x:c r="AI555" s="123" t="str">
        <x:v>Canonical source for Moderation Detail!10</x:v>
      </x:c>
    </x:row>
    <x:row r="556">
      <x:c r="A556" s="119" t="str">
        <x:v>Moderation Detail</x:v>
      </x:c>
      <x:c r="B556" s="121" t="str">
        <x:v>Slowmode?</x:v>
      </x:c>
      <x:c r="C556" s="75" t="str">
        <x:v>Yes</x:v>
      </x:c>
      <x:c r="D556" s="75"/>
      <x:c r="E556" s="75"/>
      <x:c r="F556" s="75"/>
      <x:c r="G556" s="75"/>
      <x:c r="H556" s="75"/>
      <x:c r="I556" s="75"/>
      <x:c r="J556" s="75"/>
      <x:c r="K556" s="75"/>
      <x:c r="L556" s="75" t="str">
        <x:v>Not documented</x:v>
      </x:c>
      <x:c r="M556" s="75"/>
      <x:c r="N556" s="75"/>
      <x:c r="O556" s="75"/>
      <x:c r="P556" s="75"/>
      <x:c r="Q556" s="75"/>
      <x:c r="R556" s="75"/>
      <x:c r="S556" s="75"/>
      <x:c r="T556" s="75"/>
      <x:c r="U556" s="75"/>
      <x:c r="V556" s="75" t="str">
        <x:v>Yes</x:v>
      </x:c>
      <x:c r="W556" s="75"/>
      <x:c r="X556" s="75"/>
      <x:c r="Y556" s="75"/>
      <x:c r="Z556" s="75"/>
      <x:c r="AA556" s="75"/>
      <x:c r="AB556" s="75"/>
      <x:c r="AC556" s="78"/>
      <x:c r="AD556" s="75"/>
      <x:c r="AE556" s="75"/>
      <x:c r="AF556" s="75"/>
      <x:c r="AG556" s="75"/>
      <x:c r="AH556" s="122" t="n">
        <x:v>11</x:v>
      </x:c>
      <x:c r="AI556" s="123" t="str">
        <x:v>Canonical metric shared by: Moderation &amp; Safety: Slowmode? | Moderation Detail: Slowmode?</x:v>
      </x:c>
    </x:row>
    <x:row r="557">
      <x:c r="A557" s="119" t="str">
        <x:v>Moderation Detail</x:v>
      </x:c>
      <x:c r="B557" s="121" t="str">
        <x:v>Raid Detection?</x:v>
      </x:c>
      <x:c r="C557" s="75" t="str">
        <x:v>Yes — Raid Protection uses ML signals and can require CAPTCHA; verification/security controls also available</x:v>
      </x:c>
      <x:c r="D557" s="75"/>
      <x:c r="E557" s="75" t="str">
        <x:v>Federated ban-sharing planned</x:v>
      </x:c>
      <x:c r="F557" s="75"/>
      <x:c r="G557" s="75"/>
      <x:c r="H557" s="75"/>
      <x:c r="I557" s="75"/>
      <x:c r="J557" s="75"/>
      <x:c r="K557" s="75"/>
      <x:c r="L557" s="75" t="str">
        <x:v>Not fully documented</x:v>
      </x:c>
      <x:c r="M557" s="75"/>
      <x:c r="N557" s="75"/>
      <x:c r="O557" s="75" t="str">
        <x:v>Homeserver/operator-dependent</x:v>
      </x:c>
      <x:c r="P557" s="75"/>
      <x:c r="Q557" s="75"/>
      <x:c r="R557" s="75" t="str">
        <x:v>N/A</x:v>
      </x:c>
      <x:c r="S557" s="75"/>
      <x:c r="T557" s="75"/>
      <x:c r="U557" s="75"/>
      <x:c r="V557" s="75" t="str">
        <x:v>Yes</x:v>
      </x:c>
      <x:c r="W557" s="75"/>
      <x:c r="X557" s="75"/>
      <x:c r="Y557" s="75"/>
      <x:c r="Z557" s="75"/>
      <x:c r="AA557" s="75"/>
      <x:c r="AB557" s="75"/>
      <x:c r="AC557" s="78" t="str">
        <x:v>Automod raid protection</x:v>
      </x:c>
      <x:c r="AD557" s="75"/>
      <x:c r="AE557" s="75"/>
      <x:c r="AF557" s="75"/>
      <x:c r="AG557" s="75"/>
      <x:c r="AH557" s="122" t="n">
        <x:v>13</x:v>
      </x:c>
      <x:c r="AI557" s="123" t="str">
        <x:v>Canonical source for Moderation Detail!13</x:v>
      </x:c>
    </x:row>
    <x:row r="558">
      <x:c r="A558" s="119" t="str">
        <x:v>Moderation Detail</x:v>
      </x:c>
      <x:c r="B558" s="121" t="str">
        <x:v>Mass-Join Protection?</x:v>
      </x:c>
      <x:c r="C558" s="75" t="str">
        <x:v>Yes — Raid Protection uses ML signals and can require CAPTCHA; verification/security controls also available</x:v>
      </x:c>
      <x:c r="D558" s="75"/>
      <x:c r="E558" s="75" t="str">
        <x:v>Federated ban-sharing planned</x:v>
      </x:c>
      <x:c r="F558" s="75"/>
      <x:c r="G558" s="75"/>
      <x:c r="H558" s="75"/>
      <x:c r="I558" s="75"/>
      <x:c r="J558" s="75"/>
      <x:c r="K558" s="75"/>
      <x:c r="L558" s="75" t="str">
        <x:v>Not fully documented</x:v>
      </x:c>
      <x:c r="M558" s="75"/>
      <x:c r="N558" s="75"/>
      <x:c r="O558" s="75" t="str">
        <x:v>Homeserver/operator-dependent</x:v>
      </x:c>
      <x:c r="P558" s="75"/>
      <x:c r="Q558" s="75"/>
      <x:c r="R558" s="75" t="str">
        <x:v>N/A</x:v>
      </x:c>
      <x:c r="S558" s="75"/>
      <x:c r="T558" s="75"/>
      <x:c r="U558" s="75"/>
      <x:c r="V558" s="75" t="str">
        <x:v>Yes</x:v>
      </x:c>
      <x:c r="W558" s="75"/>
      <x:c r="X558" s="75"/>
      <x:c r="Y558" s="75"/>
      <x:c r="Z558" s="75"/>
      <x:c r="AA558" s="75"/>
      <x:c r="AB558" s="75"/>
      <x:c r="AC558" s="78" t="str">
        <x:v>Automod raid protection</x:v>
      </x:c>
      <x:c r="AD558" s="75"/>
      <x:c r="AE558" s="75"/>
      <x:c r="AF558" s="75"/>
      <x:c r="AG558" s="75"/>
      <x:c r="AH558" s="122" t="n">
        <x:v>14</x:v>
      </x:c>
      <x:c r="AI558" s="123" t="str">
        <x:v>Canonical source for Moderation Detail!14</x:v>
      </x:c>
    </x:row>
    <x:row r="559">
      <x:c r="A559" s="119" t="str">
        <x:v>Moderation Detail</x:v>
      </x:c>
      <x:c r="B559" s="121" t="str">
        <x:v>CAPTCHA / Challenge?</x:v>
      </x:c>
      <x:c r="C559" s="75" t="str">
        <x:v>Yes</x:v>
      </x:c>
      <x:c r="D559" s="75"/>
      <x:c r="E559" s="75"/>
      <x:c r="F559" s="75"/>
      <x:c r="G559" s="75"/>
      <x:c r="H559" s="75"/>
      <x:c r="I559" s="75"/>
      <x:c r="J559" s="75"/>
      <x:c r="K559" s="75"/>
      <x:c r="L559" s="75" t="str">
        <x:v>Optional Turnstile can be enabled for registration/failed sign-in challenges</x:v>
      </x:c>
      <x:c r="M559" s="75"/>
      <x:c r="N559" s="75"/>
      <x:c r="O559" s="75"/>
      <x:c r="P559" s="75"/>
      <x:c r="Q559" s="75"/>
      <x:c r="R559" s="75"/>
      <x:c r="S559" s="75"/>
      <x:c r="T559" s="75"/>
      <x:c r="U559" s="75"/>
      <x:c r="V559" s="75"/>
      <x:c r="W559" s="75"/>
      <x:c r="X559" s="75"/>
      <x:c r="Y559" s="75"/>
      <x:c r="Z559" s="75"/>
      <x:c r="AA559" s="75"/>
      <x:c r="AB559" s="75"/>
      <x:c r="AC559" s="78"/>
      <x:c r="AD559" s="75"/>
      <x:c r="AE559" s="75"/>
      <x:c r="AF559" s="75"/>
      <x:c r="AG559" s="75"/>
      <x:c r="AH559" s="122" t="n">
        <x:v>15</x:v>
      </x:c>
      <x:c r="AI559" s="123" t="str">
        <x:v>Canonical source for Moderation Detail!15</x:v>
      </x:c>
    </x:row>
    <x:row r="560">
      <x:c r="A560" s="119" t="str">
        <x:v>Moderation Detail</x:v>
      </x:c>
      <x:c r="B560" s="121" t="str">
        <x:v>Verification Levels?</x:v>
      </x:c>
      <x:c r="C560" s="75" t="str">
        <x:v>Yes</x:v>
      </x:c>
      <x:c r="D560" s="75"/>
      <x:c r="E560" s="75"/>
      <x:c r="F560" s="75"/>
      <x:c r="G560" s="75"/>
      <x:c r="H560" s="75"/>
      <x:c r="I560" s="75"/>
      <x:c r="J560" s="75"/>
      <x:c r="K560" s="75"/>
      <x:c r="L560" s="75" t="str">
        <x:v>Not documented</x:v>
      </x:c>
      <x:c r="M560" s="75"/>
      <x:c r="N560" s="75"/>
      <x:c r="O560" s="75"/>
      <x:c r="P560" s="75"/>
      <x:c r="Q560" s="75"/>
      <x:c r="R560" s="75"/>
      <x:c r="S560" s="75"/>
      <x:c r="T560" s="75"/>
      <x:c r="U560" s="75"/>
      <x:c r="V560" s="75"/>
      <x:c r="W560" s="75"/>
      <x:c r="X560" s="75"/>
      <x:c r="Y560" s="75"/>
      <x:c r="Z560" s="75"/>
      <x:c r="AA560" s="75"/>
      <x:c r="AB560" s="75"/>
      <x:c r="AC560" s="78"/>
      <x:c r="AD560" s="75"/>
      <x:c r="AE560" s="75"/>
      <x:c r="AF560" s="75"/>
      <x:c r="AG560" s="75"/>
      <x:c r="AH560" s="122" t="n">
        <x:v>16</x:v>
      </x:c>
      <x:c r="AI560" s="123" t="str">
        <x:v>Canonical metric shared by: Moderation &amp; Safety: Verification Levels? | Moderation Detail: Verification Levels?</x:v>
      </x:c>
    </x:row>
    <x:row r="561">
      <x:c r="A561" s="119" t="str">
        <x:v>Moderation Detail</x:v>
      </x:c>
      <x:c r="B561" s="121" t="str">
        <x:v>Rules Screening?</x:v>
      </x:c>
      <x:c r="C561" s="75" t="str">
        <x:v>Yes — Rules Screening + verification levels; Server Member Applications are available/rolling out</x:v>
      </x:c>
      <x:c r="D561" s="75"/>
      <x:c r="E561" s="75" t="str">
        <x:v>Instance controls</x:v>
      </x:c>
      <x:c r="F561" s="75"/>
      <x:c r="G561" s="75"/>
      <x:c r="H561" s="75"/>
      <x:c r="I561" s="75"/>
      <x:c r="J561" s="75"/>
      <x:c r="K561" s="75"/>
      <x:c r="L561" s="75" t="str">
        <x:v>Not documented</x:v>
      </x:c>
      <x:c r="M561" s="75"/>
      <x:c r="N561" s="75"/>
      <x:c r="O561" s="75" t="str">
        <x:v>Client/server-dependent</x:v>
      </x:c>
      <x:c r="P561" s="75" t="str">
        <x:v>Invite/SSO/admin restrictions</x:v>
      </x:c>
      <x:c r="Q561" s="75"/>
      <x:c r="R561" s="75" t="str">
        <x:v>Password/cert/ACL gates</x:v>
      </x:c>
      <x:c r="S561" s="75"/>
      <x:c r="T561" s="75"/>
      <x:c r="U561" s="75"/>
      <x:c r="V561" s="75" t="str">
        <x:v>Yes</x:v>
      </x:c>
      <x:c r="W561" s="75" t="str">
        <x:v>Invite/SSO/approval options</x:v>
      </x:c>
      <x:c r="X561" s="75"/>
      <x:c r="Y561" s="75"/>
      <x:c r="Z561" s="75"/>
      <x:c r="AA561" s="75"/>
      <x:c r="AB561" s="75" t="str">
        <x:v>Password/permissions</x:v>
      </x:c>
      <x:c r="AC561" s="78"/>
      <x:c r="AD561" s="75"/>
      <x:c r="AE561" s="75"/>
      <x:c r="AF561" s="75"/>
      <x:c r="AG561" s="75" t="str">
        <x:v>Invite/SSO/domain controls</x:v>
      </x:c>
      <x:c r="AH561" s="122" t="n">
        <x:v>17</x:v>
      </x:c>
      <x:c r="AI561" s="123" t="str">
        <x:v>Canonical metric shared by: Moderation &amp; Safety: Rules Screening? | Moderation Detail: Rules Screening?</x:v>
      </x:c>
    </x:row>
    <x:row r="562">
      <x:c r="A562" s="119" t="str">
        <x:v>Moderation Detail</x:v>
      </x:c>
      <x:c r="B562" s="121" t="str">
        <x:v>Join Questions / Application?</x:v>
      </x:c>
      <x:c r="C562" s="75" t="str">
        <x:v>Yes — Rules Screening + verification levels; Server Member Applications are available/rolling out</x:v>
      </x:c>
      <x:c r="D562" s="75"/>
      <x:c r="E562" s="75" t="str">
        <x:v>Instance controls</x:v>
      </x:c>
      <x:c r="F562" s="75"/>
      <x:c r="G562" s="75"/>
      <x:c r="H562" s="75"/>
      <x:c r="I562" s="75"/>
      <x:c r="J562" s="75"/>
      <x:c r="K562" s="75"/>
      <x:c r="L562" s="75" t="str">
        <x:v>Not documented</x:v>
      </x:c>
      <x:c r="M562" s="75"/>
      <x:c r="N562" s="75"/>
      <x:c r="O562" s="75" t="str">
        <x:v>Client/server-dependent</x:v>
      </x:c>
      <x:c r="P562" s="75" t="str">
        <x:v>Invite/SSO/admin restrictions</x:v>
      </x:c>
      <x:c r="Q562" s="75"/>
      <x:c r="R562" s="75" t="str">
        <x:v>Password/cert/ACL gates</x:v>
      </x:c>
      <x:c r="S562" s="75"/>
      <x:c r="T562" s="75"/>
      <x:c r="U562" s="75"/>
      <x:c r="V562" s="75" t="str">
        <x:v>Yes</x:v>
      </x:c>
      <x:c r="W562" s="75" t="str">
        <x:v>Invite/SSO/approval options</x:v>
      </x:c>
      <x:c r="X562" s="75"/>
      <x:c r="Y562" s="75"/>
      <x:c r="Z562" s="75"/>
      <x:c r="AA562" s="75"/>
      <x:c r="AB562" s="75" t="str">
        <x:v>Password/permissions</x:v>
      </x:c>
      <x:c r="AC562" s="78"/>
      <x:c r="AD562" s="75"/>
      <x:c r="AE562" s="75"/>
      <x:c r="AF562" s="75"/>
      <x:c r="AG562" s="75" t="str">
        <x:v>Invite/SSO/domain controls</x:v>
      </x:c>
      <x:c r="AH562" s="122" t="n">
        <x:v>18</x:v>
      </x:c>
      <x:c r="AI562" s="123" t="str">
        <x:v>Canonical metric shared by: Moderation &amp; Safety: Join Questions / Application? | Moderation Detail: Join Questions / Application?</x:v>
      </x:c>
    </x:row>
    <x:row r="563">
      <x:c r="A563" s="119" t="str">
        <x:v>Moderation Detail</x:v>
      </x:c>
      <x:c r="B563" s="121" t="str">
        <x:v>Mod Queue?</x:v>
      </x:c>
      <x:c r="C563" s="75"/>
      <x:c r="D563" s="75"/>
      <x:c r="E563" s="75" t="str">
        <x:v>Operator responsibility</x:v>
      </x:c>
      <x:c r="F563" s="75"/>
      <x:c r="G563" s="75" t="str">
        <x:v>Native moderation controls</x:v>
      </x:c>
      <x:c r="H563" s="75"/>
      <x:c r="I563" s="75"/>
      <x:c r="J563" s="75"/>
      <x:c r="K563" s="75"/>
      <x:c r="L563" s="75" t="str">
        <x:v>Yes — instance Trust &amp; Safety report queue with triage/review/request-info/action/no-action/duplicate/reopen workflow</x:v>
      </x:c>
      <x:c r="M563" s="75"/>
      <x:c r="N563" s="75"/>
      <x:c r="O563" s="75" t="str">
        <x:v>Client/server-dependent</x:v>
      </x:c>
      <x:c r="P563" s="75" t="str">
        <x:v>Admin console</x:v>
      </x:c>
      <x:c r="Q563" s="75"/>
      <x:c r="R563" s="75" t="str">
        <x:v>Admin tools</x:v>
      </x:c>
      <x:c r="S563" s="75"/>
      <x:c r="T563" s="75"/>
      <x:c r="U563" s="75" t="str">
        <x:v>Reports in-app</x:v>
      </x:c>
      <x:c r="V563" s="75" t="str">
        <x:v>Yes — Shard Command Center/mod feed</x:v>
      </x:c>
      <x:c r="W563" s="75" t="str">
        <x:v>Admin console</x:v>
      </x:c>
      <x:c r="X563" s="75"/>
      <x:c r="Y563" s="75" t="str">
        <x:v>Moderation App dashboards/analytics</x:v>
      </x:c>
      <x:c r="Z563" s="75"/>
      <x:c r="AA563" s="75"/>
      <x:c r="AB563" s="75" t="str">
        <x:v>Admin tools</x:v>
      </x:c>
      <x:c r="AC563" s="78" t="str">
        <x:v>Admin/mod tools</x:v>
      </x:c>
      <x:c r="AD563" s="75"/>
      <x:c r="AE563" s="75"/>
      <x:c r="AF563" s="75"/>
      <x:c r="AG563" s="75" t="str">
        <x:v>Admin UI</x:v>
      </x:c>
      <x:c r="AH563" s="122" t="n">
        <x:v>20</x:v>
      </x:c>
      <x:c r="AI563" s="123" t="str">
        <x:v>Canonical source for Moderation Detail!20</x:v>
      </x:c>
    </x:row>
    <x:row r="564">
      <x:c r="A564" s="119" t="str">
        <x:v>Moderation Detail</x:v>
      </x:c>
      <x:c r="B564" s="121" t="str">
        <x:v>User Report Queue?</x:v>
      </x:c>
      <x:c r="C564" s="75"/>
      <x:c r="D564" s="75"/>
      <x:c r="E564" s="75" t="str">
        <x:v>Operator responsibility</x:v>
      </x:c>
      <x:c r="F564" s="75"/>
      <x:c r="G564" s="75" t="str">
        <x:v>Native moderation controls</x:v>
      </x:c>
      <x:c r="H564" s="75"/>
      <x:c r="I564" s="75"/>
      <x:c r="J564" s="75"/>
      <x:c r="K564" s="75"/>
      <x:c r="L564" s="75" t="str">
        <x:v>Yes — instance Trust &amp; Safety report queue with triage/review/request-info/action/no-action/duplicate/reopen workflow</x:v>
      </x:c>
      <x:c r="M564" s="75"/>
      <x:c r="N564" s="75"/>
      <x:c r="O564" s="75" t="str">
        <x:v>Client/server-dependent</x:v>
      </x:c>
      <x:c r="P564" s="75" t="str">
        <x:v>Admin console</x:v>
      </x:c>
      <x:c r="Q564" s="75"/>
      <x:c r="R564" s="75" t="str">
        <x:v>Admin tools</x:v>
      </x:c>
      <x:c r="S564" s="75"/>
      <x:c r="T564" s="75"/>
      <x:c r="U564" s="75" t="str">
        <x:v>Reports in-app</x:v>
      </x:c>
      <x:c r="V564" s="75" t="str">
        <x:v>Yes — structured reports/status</x:v>
      </x:c>
      <x:c r="W564" s="75" t="str">
        <x:v>Admin console</x:v>
      </x:c>
      <x:c r="X564" s="75"/>
      <x:c r="Y564" s="75" t="str">
        <x:v>Moderation App dashboards/analytics</x:v>
      </x:c>
      <x:c r="Z564" s="75"/>
      <x:c r="AA564" s="75"/>
      <x:c r="AB564" s="75" t="str">
        <x:v>Admin tools</x:v>
      </x:c>
      <x:c r="AC564" s="78" t="str">
        <x:v>Admin/mod tools</x:v>
      </x:c>
      <x:c r="AD564" s="75"/>
      <x:c r="AE564" s="75"/>
      <x:c r="AF564" s="75"/>
      <x:c r="AG564" s="75" t="str">
        <x:v>Admin UI</x:v>
      </x:c>
      <x:c r="AH564" s="122" t="n">
        <x:v>21</x:v>
      </x:c>
      <x:c r="AI564" s="123" t="str">
        <x:v>Canonical source for Moderation Detail!21</x:v>
      </x:c>
    </x:row>
    <x:row r="565">
      <x:c r="A565" s="119" t="str">
        <x:v>Moderation Detail</x:v>
      </x:c>
      <x:c r="B565" s="121" t="str">
        <x:v>AutoMod Alert Channel?</x:v>
      </x:c>
      <x:c r="C565" s="75" t="str">
        <x:v>Yes</x:v>
      </x:c>
      <x:c r="D565" s="75"/>
      <x:c r="E565" s="75"/>
      <x:c r="F565" s="75"/>
      <x:c r="G565" s="75"/>
      <x:c r="H565" s="75"/>
      <x:c r="I565" s="75"/>
      <x:c r="J565" s="75"/>
      <x:c r="K565" s="75"/>
      <x:c r="L565" s="75" t="str">
        <x:v>Not documented</x:v>
      </x:c>
      <x:c r="M565" s="75"/>
      <x:c r="N565" s="75"/>
      <x:c r="O565" s="75"/>
      <x:c r="P565" s="75"/>
      <x:c r="Q565" s="75"/>
      <x:c r="R565" s="75"/>
      <x:c r="S565" s="75"/>
      <x:c r="T565" s="75"/>
      <x:c r="U565" s="75"/>
      <x:c r="V565" s="75" t="str">
        <x:v>Command Center</x:v>
      </x:c>
      <x:c r="W565" s="75"/>
      <x:c r="X565" s="75"/>
      <x:c r="Y565" s="75"/>
      <x:c r="Z565" s="75"/>
      <x:c r="AA565" s="75"/>
      <x:c r="AB565" s="75"/>
      <x:c r="AC565" s="78"/>
      <x:c r="AD565" s="75"/>
      <x:c r="AE565" s="75"/>
      <x:c r="AF565" s="75"/>
      <x:c r="AG565" s="75"/>
      <x:c r="AH565" s="122" t="n">
        <x:v>22</x:v>
      </x:c>
      <x:c r="AI565" s="123" t="str">
        <x:v>Canonical source for Moderation Detail!22</x:v>
      </x:c>
    </x:row>
    <x:row r="566">
      <x:c r="A566" s="119" t="str">
        <x:v>Moderation Detail</x:v>
      </x:c>
      <x:c r="B566" s="121" t="str">
        <x:v>Audit Log?</x:v>
      </x:c>
      <x:c r="C566" s="75" t="str">
        <x:v>Granular administrative actions with actor/target/changes/reason; available in client and API</x:v>
      </x:c>
      <x:c r="D566" s="75"/>
      <x:c r="E566" s="75" t="str">
        <x:v>Operator tools</x:v>
      </x:c>
      <x:c r="F566" s="75"/>
      <x:c r="G566" s="75"/>
      <x:c r="H566" s="75"/>
      <x:c r="I566" s="75"/>
      <x:c r="J566" s="75"/>
      <x:c r="K566" s="75"/>
      <x:c r="L566" s="75" t="str">
        <x:v>Yes — administration audit includes actor, action, target, safe metadata and timestamp</x:v>
      </x:c>
      <x:c r="M566" s="75"/>
      <x:c r="N566" s="75"/>
      <x:c r="O566" s="75" t="str">
        <x:v>Homeserver-dependent</x:v>
      </x:c>
      <x:c r="P566" s="75" t="str">
        <x:v>Detailed audit/compliance tooling</x:v>
      </x:c>
      <x:c r="Q566" s="75"/>
      <x:c r="R566" s="75" t="str">
        <x:v>ACL/log tools</x:v>
      </x:c>
      <x:c r="S566" s="75"/>
      <x:c r="T566" s="75"/>
      <x:c r="U566" s="75" t="str">
        <x:v>Yes</x:v>
      </x:c>
      <x:c r="V566" s="75" t="str">
        <x:v>Yes</x:v>
      </x:c>
      <x:c r="W566" s="75" t="str">
        <x:v>Detailed enterprise audit tools</x:v>
      </x:c>
      <x:c r="X566" s="75"/>
      <x:c r="Y566" s="75"/>
      <x:c r="Z566" s="75"/>
      <x:c r="AA566" s="75"/>
      <x:c r="AB566" s="75" t="str">
        <x:v>Detailed permissions/logging</x:v>
      </x:c>
      <x:c r="AC566" s="78" t="str">
        <x:v>Moderation tooling</x:v>
      </x:c>
      <x:c r="AD566" s="75"/>
      <x:c r="AE566" s="75"/>
      <x:c r="AF566" s="75"/>
      <x:c r="AG566" s="75" t="str">
        <x:v>Admin tooling</x:v>
      </x:c>
      <x:c r="AH566" s="122" t="n">
        <x:v>23</x:v>
      </x:c>
      <x:c r="AI566" s="123" t="str">
        <x:v>Canonical source for Moderation Detail!23</x:v>
      </x:c>
    </x:row>
    <x:row r="567">
      <x:c r="A567" s="119" t="str">
        <x:v>Moderation Detail</x:v>
      </x:c>
      <x:c r="B567" s="121" t="str">
        <x:v>Audit Retention Days</x:v>
      </x:c>
      <x:c r="C567" s="75" t="str">
        <x:v>45 days</x:v>
      </x:c>
      <x:c r="D567" s="75"/>
      <x:c r="E567" s="75" t="str">
        <x:v>Operator controlled</x:v>
      </x:c>
      <x:c r="F567" s="75"/>
      <x:c r="G567" s="75"/>
      <x:c r="H567" s="75"/>
      <x:c r="I567" s="75"/>
      <x:c r="J567" s="75"/>
      <x:c r="K567" s="75"/>
      <x:c r="L567" s="75" t="str">
        <x:v>Developer reports no audit-depth limit; public docs confirm audit records but do not publish a retention cap</x:v>
      </x:c>
      <x:c r="M567" s="75"/>
      <x:c r="N567" s="75"/>
      <x:c r="O567" s="75" t="str">
        <x:v>Homeserver-dependent</x:v>
      </x:c>
      <x:c r="P567" s="75" t="str">
        <x:v>Audit logs enterprise/deployment-dependent</x:v>
      </x:c>
      <x:c r="Q567" s="75"/>
      <x:c r="R567" s="75" t="str">
        <x:v>Server logs operator-controlled</x:v>
      </x:c>
      <x:c r="S567" s="75"/>
      <x:c r="T567" s="75"/>
      <x:c r="U567" s="75" t="str">
        <x:v>Not publicly claimed</x:v>
      </x:c>
      <x:c r="V567" s="75"/>
      <x:c r="W567" s="75" t="str">
        <x:v>Audit logs enterprise/admin</x:v>
      </x:c>
      <x:c r="X567" s="75"/>
      <x:c r="Y567" s="75"/>
      <x:c r="Z567" s="75"/>
      <x:c r="AA567" s="75"/>
      <x:c r="AB567" s="75" t="str">
        <x:v>Server logs/operator-controlled</x:v>
      </x:c>
      <x:c r="AC567" s="78"/>
      <x:c r="AD567" s="75"/>
      <x:c r="AE567" s="75"/>
      <x:c r="AF567" s="75"/>
      <x:c r="AG567" s="75" t="str">
        <x:v>Audit/admin logs deployment-dependent</x:v>
      </x:c>
      <x:c r="AH567" s="122" t="n">
        <x:v>24</x:v>
      </x:c>
      <x:c r="AI567" s="123" t="str">
        <x:v>Canonical source for Moderation Detail!24</x:v>
      </x:c>
    </x:row>
    <x:row r="568">
      <x:c r="A568" s="119" t="str">
        <x:v>Moderation Detail</x:v>
      </x:c>
      <x:c r="B568" s="121" t="str">
        <x:v>Audit Search / Filtering?</x:v>
      </x:c>
      <x:c r="C568" s="75" t="str">
        <x:v>Granular administrative actions with actor/target/changes/reason; available in client and API</x:v>
      </x:c>
      <x:c r="D568" s="75"/>
      <x:c r="E568" s="75" t="str">
        <x:v>Operator tools</x:v>
      </x:c>
      <x:c r="F568" s="75"/>
      <x:c r="G568" s="75"/>
      <x:c r="H568" s="75"/>
      <x:c r="I568" s="75"/>
      <x:c r="J568" s="75"/>
      <x:c r="K568" s="75"/>
      <x:c r="L568" s="75" t="str">
        <x:v>Yes — administration audit includes actor, action, target, safe metadata and timestamp</x:v>
      </x:c>
      <x:c r="M568" s="75"/>
      <x:c r="N568" s="75"/>
      <x:c r="O568" s="75" t="str">
        <x:v>Homeserver-dependent</x:v>
      </x:c>
      <x:c r="P568" s="75" t="str">
        <x:v>Detailed audit/compliance tooling</x:v>
      </x:c>
      <x:c r="Q568" s="75"/>
      <x:c r="R568" s="75" t="str">
        <x:v>ACL/log tools</x:v>
      </x:c>
      <x:c r="S568" s="75"/>
      <x:c r="T568" s="75"/>
      <x:c r="U568" s="75" t="str">
        <x:v>Not publicly claimed</x:v>
      </x:c>
      <x:c r="V568" s="75" t="str">
        <x:v>Yes</x:v>
      </x:c>
      <x:c r="W568" s="75" t="str">
        <x:v>Detailed enterprise audit tools</x:v>
      </x:c>
      <x:c r="X568" s="75"/>
      <x:c r="Y568" s="75"/>
      <x:c r="Z568" s="75"/>
      <x:c r="AA568" s="75"/>
      <x:c r="AB568" s="75" t="str">
        <x:v>Detailed permissions/logging</x:v>
      </x:c>
      <x:c r="AC568" s="78" t="str">
        <x:v>Moderation tooling</x:v>
      </x:c>
      <x:c r="AD568" s="75"/>
      <x:c r="AE568" s="75"/>
      <x:c r="AF568" s="75"/>
      <x:c r="AG568" s="75" t="str">
        <x:v>Admin tooling</x:v>
      </x:c>
      <x:c r="AH568" s="122" t="n">
        <x:v>25</x:v>
      </x:c>
      <x:c r="AI568" s="123" t="str">
        <x:v>Canonical source for Moderation Detail!25</x:v>
      </x:c>
    </x:row>
    <x:row r="569">
      <x:c r="A569" s="119" t="str">
        <x:v>Moderation Detail</x:v>
      </x:c>
      <x:c r="B569" s="121" t="str">
        <x:v>Ban?</x:v>
      </x:c>
      <x:c r="C569" s="75" t="str">
        <x:v>Yes</x:v>
      </x:c>
      <x:c r="D569" s="75" t="str">
        <x:v>Yes</x:v>
      </x:c>
      <x:c r="E569" s="75" t="str">
        <x:v>Yes</x:v>
      </x:c>
      <x:c r="F569" s="75" t="str">
        <x:v>Yes</x:v>
      </x:c>
      <x:c r="G569" s="75" t="str">
        <x:v>Yes</x:v>
      </x:c>
      <x:c r="H569" s="75" t="str">
        <x:v>Yes</x:v>
      </x:c>
      <x:c r="I569" s="75" t="str">
        <x:v>Yes</x:v>
      </x:c>
      <x:c r="J569" s="75" t="str">
        <x:v>Yes</x:v>
      </x:c>
      <x:c r="K569" s="75" t="str">
        <x:v>Yes</x:v>
      </x:c>
      <x:c r="L569" s="75" t="str">
        <x:v>Yes</x:v>
      </x:c>
      <x:c r="M569" s="75" t="str">
        <x:v>Yes</x:v>
      </x:c>
      <x:c r="N569" s="75" t="str">
        <x:v>Yes</x:v>
      </x:c>
      <x:c r="O569" s="75" t="str">
        <x:v>Yes</x:v>
      </x:c>
      <x:c r="P569" s="75" t="str">
        <x:v>Yes</x:v>
      </x:c>
      <x:c r="Q569" s="75" t="str">
        <x:v>Yes</x:v>
      </x:c>
      <x:c r="R569" s="75" t="str">
        <x:v>Yes</x:v>
      </x:c>
      <x:c r="S569" s="75" t="str">
        <x:v>Yes</x:v>
      </x:c>
      <x:c r="T569" s="75" t="str">
        <x:v>Yes</x:v>
      </x:c>
      <x:c r="U569" s="75" t="str">
        <x:v>Yes</x:v>
      </x:c>
      <x:c r="V569" s="75" t="str">
        <x:v>Yes</x:v>
      </x:c>
      <x:c r="W569" s="75" t="str">
        <x:v>Yes</x:v>
      </x:c>
      <x:c r="X569" s="75" t="str">
        <x:v>Yes</x:v>
      </x:c>
      <x:c r="Y569" s="75" t="str">
        <x:v>Yes</x:v>
      </x:c>
      <x:c r="Z569" s="75" t="str">
        <x:v>Yes</x:v>
      </x:c>
      <x:c r="AA569" s="75" t="str">
        <x:v>Yes</x:v>
      </x:c>
      <x:c r="AB569" s="75" t="str">
        <x:v>Yes</x:v>
      </x:c>
      <x:c r="AC569" s="78" t="str">
        <x:v>Yes</x:v>
      </x:c>
      <x:c r="AD569" s="75" t="str">
        <x:v>Yes</x:v>
      </x:c>
      <x:c r="AE569" s="75" t="str">
        <x:v>Yes</x:v>
      </x:c>
      <x:c r="AF569" s="75" t="str">
        <x:v>Yes</x:v>
      </x:c>
      <x:c r="AG569" s="75" t="str">
        <x:v>Yes</x:v>
      </x:c>
      <x:c r="AH569" s="122" t="n">
        <x:v>27</x:v>
      </x:c>
      <x:c r="AI569" s="123" t="str">
        <x:v>Canonical metric shared by: Moderation &amp; Safety: Ban? | Moderation Detail: Ban?</x:v>
      </x:c>
    </x:row>
    <x:row r="570">
      <x:c r="A570" s="119" t="str">
        <x:v>Moderation Detail</x:v>
      </x:c>
      <x:c r="B570" s="121" t="str">
        <x:v>Kick?</x:v>
      </x:c>
      <x:c r="C570" s="75" t="str">
        <x:v>Yes</x:v>
      </x:c>
      <x:c r="D570" s="75" t="str">
        <x:v>Yes</x:v>
      </x:c>
      <x:c r="E570" s="75" t="str">
        <x:v>Yes</x:v>
      </x:c>
      <x:c r="F570" s="75" t="str">
        <x:v>Yes</x:v>
      </x:c>
      <x:c r="G570" s="75" t="str">
        <x:v>Yes</x:v>
      </x:c>
      <x:c r="H570" s="75" t="str">
        <x:v>Yes</x:v>
      </x:c>
      <x:c r="I570" s="75" t="str">
        <x:v>Yes</x:v>
      </x:c>
      <x:c r="J570" s="75" t="str">
        <x:v>Yes</x:v>
      </x:c>
      <x:c r="K570" s="75" t="str">
        <x:v>Yes</x:v>
      </x:c>
      <x:c r="L570" s="75" t="str">
        <x:v>Yes</x:v>
      </x:c>
      <x:c r="M570" s="75" t="str">
        <x:v>Yes</x:v>
      </x:c>
      <x:c r="N570" s="75" t="str">
        <x:v>Yes</x:v>
      </x:c>
      <x:c r="O570" s="75" t="str">
        <x:v>Yes</x:v>
      </x:c>
      <x:c r="P570" s="75" t="str">
        <x:v>Yes</x:v>
      </x:c>
      <x:c r="Q570" s="75" t="str">
        <x:v>Yes</x:v>
      </x:c>
      <x:c r="R570" s="75" t="str">
        <x:v>Yes</x:v>
      </x:c>
      <x:c r="S570" s="75" t="str">
        <x:v>Yes</x:v>
      </x:c>
      <x:c r="T570" s="75" t="str">
        <x:v>Yes</x:v>
      </x:c>
      <x:c r="U570" s="75" t="str">
        <x:v>Yes</x:v>
      </x:c>
      <x:c r="V570" s="75" t="str">
        <x:v>Yes</x:v>
      </x:c>
      <x:c r="W570" s="75" t="str">
        <x:v>Yes</x:v>
      </x:c>
      <x:c r="X570" s="75" t="str">
        <x:v>Yes</x:v>
      </x:c>
      <x:c r="Y570" s="75" t="str">
        <x:v>Yes</x:v>
      </x:c>
      <x:c r="Z570" s="75" t="str">
        <x:v>Yes</x:v>
      </x:c>
      <x:c r="AA570" s="75" t="str">
        <x:v>Yes</x:v>
      </x:c>
      <x:c r="AB570" s="75" t="str">
        <x:v>Yes</x:v>
      </x:c>
      <x:c r="AC570" s="78" t="str">
        <x:v>Yes</x:v>
      </x:c>
      <x:c r="AD570" s="75" t="str">
        <x:v>Yes</x:v>
      </x:c>
      <x:c r="AE570" s="75" t="str">
        <x:v>Yes</x:v>
      </x:c>
      <x:c r="AF570" s="75" t="str">
        <x:v>Yes</x:v>
      </x:c>
      <x:c r="AG570" s="75" t="str">
        <x:v>Yes</x:v>
      </x:c>
      <x:c r="AH570" s="122" t="n">
        <x:v>28</x:v>
      </x:c>
      <x:c r="AI570" s="123" t="str">
        <x:v>Canonical metric shared by: Moderation &amp; Safety: Kick? | Moderation Detail: Kick?</x:v>
      </x:c>
    </x:row>
    <x:row r="571">
      <x:c r="A571" s="119" t="str">
        <x:v>Moderation Detail</x:v>
      </x:c>
      <x:c r="B571" s="121" t="str">
        <x:v>Timeout / Mute?</x:v>
      </x:c>
      <x:c r="C571" s="75" t="str">
        <x:v>Yes</x:v>
      </x:c>
      <x:c r="D571" s="75"/>
      <x:c r="E571" s="75"/>
      <x:c r="F571" s="75"/>
      <x:c r="G571" s="75"/>
      <x:c r="H571" s="75"/>
      <x:c r="I571" s="75"/>
      <x:c r="J571" s="75"/>
      <x:c r="K571" s="75"/>
      <x:c r="L571" s="75" t="str">
        <x:v>Yes</x:v>
      </x:c>
      <x:c r="M571" s="75"/>
      <x:c r="N571" s="75"/>
      <x:c r="O571" s="75"/>
      <x:c r="P571" s="75" t="str">
        <x:v>Yes</x:v>
      </x:c>
      <x:c r="Q571" s="75"/>
      <x:c r="R571" s="75" t="str">
        <x:v>Yes</x:v>
      </x:c>
      <x:c r="S571" s="75"/>
      <x:c r="T571" s="75"/>
      <x:c r="U571" s="75"/>
      <x:c r="V571" s="75" t="str">
        <x:v>Yes</x:v>
      </x:c>
      <x:c r="W571" s="75" t="str">
        <x:v>Yes</x:v>
      </x:c>
      <x:c r="X571" s="75"/>
      <x:c r="Y571" s="75"/>
      <x:c r="Z571" s="75"/>
      <x:c r="AA571" s="75"/>
      <x:c r="AB571" s="75" t="str">
        <x:v>Yes</x:v>
      </x:c>
      <x:c r="AC571" s="78"/>
      <x:c r="AD571" s="75"/>
      <x:c r="AE571" s="75"/>
      <x:c r="AF571" s="75"/>
      <x:c r="AG571" s="75"/>
      <x:c r="AH571" s="122" t="n">
        <x:v>29</x:v>
      </x:c>
      <x:c r="AI571" s="123" t="str">
        <x:v>Canonical metric shared by: Moderation &amp; Safety: Timeout / Mute? | Moderation Detail: Timeout / Mute?</x:v>
      </x:c>
    </x:row>
    <x:row r="572">
      <x:c r="A572" s="119" t="str">
        <x:v>Moderation Detail</x:v>
      </x:c>
      <x:c r="B572" s="121" t="str">
        <x:v>Role-Based Moderation?</x:v>
      </x:c>
      <x:c r="C572" s="75" t="str">
        <x:v>Yes</x:v>
      </x:c>
      <x:c r="D572" s="75" t="str">
        <x:v>Yes</x:v>
      </x:c>
      <x:c r="E572" s="75" t="str">
        <x:v>Yes</x:v>
      </x:c>
      <x:c r="F572" s="75" t="str">
        <x:v>Yes</x:v>
      </x:c>
      <x:c r="G572" s="75" t="str">
        <x:v>Yes</x:v>
      </x:c>
      <x:c r="H572" s="75" t="str">
        <x:v>Yes</x:v>
      </x:c>
      <x:c r="I572" s="75" t="str">
        <x:v>Yes</x:v>
      </x:c>
      <x:c r="J572" s="75" t="str">
        <x:v>Yes</x:v>
      </x:c>
      <x:c r="K572" s="75" t="str">
        <x:v>Yes</x:v>
      </x:c>
      <x:c r="L572" s="75" t="str">
        <x:v>Yes</x:v>
      </x:c>
      <x:c r="M572" s="75" t="str">
        <x:v>Yes</x:v>
      </x:c>
      <x:c r="N572" s="75" t="str">
        <x:v>Yes</x:v>
      </x:c>
      <x:c r="O572" s="75" t="str">
        <x:v>Yes</x:v>
      </x:c>
      <x:c r="P572" s="75" t="str">
        <x:v>Yes</x:v>
      </x:c>
      <x:c r="Q572" s="75" t="str">
        <x:v>Yes</x:v>
      </x:c>
      <x:c r="R572" s="75" t="str">
        <x:v>ACL-based</x:v>
      </x:c>
      <x:c r="S572" s="75" t="str">
        <x:v>Yes</x:v>
      </x:c>
      <x:c r="T572" s="75" t="str">
        <x:v>Yes</x:v>
      </x:c>
      <x:c r="U572" s="75" t="str">
        <x:v>Yes — role permissions with allow / inherit / deny per channel</x:v>
      </x:c>
      <x:c r="V572" s="75" t="str">
        <x:v>Yes</x:v>
      </x:c>
      <x:c r="W572" s="75" t="str">
        <x:v>Yes</x:v>
      </x:c>
      <x:c r="X572" s="75" t="str">
        <x:v>Yes</x:v>
      </x:c>
      <x:c r="Y572" s="75" t="str">
        <x:v>Yes</x:v>
      </x:c>
      <x:c r="Z572" s="75" t="str">
        <x:v>Yes</x:v>
      </x:c>
      <x:c r="AA572" s="75" t="str">
        <x:v>Yes</x:v>
      </x:c>
      <x:c r="AB572" s="75" t="str">
        <x:v>Yes</x:v>
      </x:c>
      <x:c r="AC572" s="78" t="str">
        <x:v>Yes</x:v>
      </x:c>
      <x:c r="AD572" s="75" t="str">
        <x:v>Yes</x:v>
      </x:c>
      <x:c r="AE572" s="75" t="str">
        <x:v>Yes</x:v>
      </x:c>
      <x:c r="AF572" s="75" t="str">
        <x:v>Yes</x:v>
      </x:c>
      <x:c r="AG572" s="75" t="str">
        <x:v>Yes</x:v>
      </x:c>
      <x:c r="AH572" s="122" t="n">
        <x:v>30</x:v>
      </x:c>
      <x:c r="AI572" s="123" t="str">
        <x:v>Canonical source for Moderation Detail!30</x:v>
      </x:c>
    </x:row>
    <x:row r="573">
      <x:c r="A573" s="119" t="str">
        <x:v>Moderation Detail</x:v>
      </x:c>
      <x:c r="B573" s="121" t="str">
        <x:v>Federated Ban Sharing?</x:v>
      </x:c>
      <x:c r="C573" s="75"/>
      <x:c r="D573" s="75"/>
      <x:c r="E573" s="75"/>
      <x:c r="F573" s="75"/>
      <x:c r="G573" s="75"/>
      <x:c r="H573" s="75"/>
      <x:c r="I573" s="75"/>
      <x:c r="J573" s="75"/>
      <x:c r="K573" s="75"/>
      <x:c r="L573" s="75" t="str">
        <x:v>Instance-level domain silence/suspend rules exist; not a shared federated ban-list service</x:v>
      </x:c>
      <x:c r="M573" s="75"/>
      <x:c r="N573" s="75"/>
      <x:c r="O573" s="75"/>
      <x:c r="P573" s="75"/>
      <x:c r="Q573" s="75"/>
      <x:c r="R573" s="75"/>
      <x:c r="S573" s="75"/>
      <x:c r="T573" s="75"/>
      <x:c r="U573" s="75"/>
      <x:c r="V573" s="75"/>
      <x:c r="W573" s="75"/>
      <x:c r="X573" s="75"/>
      <x:c r="Y573" s="75"/>
      <x:c r="Z573" s="75"/>
      <x:c r="AA573" s="75"/>
      <x:c r="AB573" s="75"/>
      <x:c r="AC573" s="78"/>
      <x:c r="AD573" s="75"/>
      <x:c r="AE573" s="75"/>
      <x:c r="AF573" s="75"/>
      <x:c r="AG573" s="75"/>
      <x:c r="AH573" s="122" t="n">
        <x:v>31</x:v>
      </x:c>
      <x:c r="AI573" s="123" t="str">
        <x:v>Canonical source for Moderation Detail!31</x:v>
      </x:c>
    </x:row>
    <x:row r="574">
      <x:c r="A574" s="119" t="str">
        <x:v>Moderation Detail</x:v>
      </x:c>
      <x:c r="B574" s="121" t="str">
        <x:v>Moderation Notes</x:v>
      </x:c>
      <x:c r="C574" s="75"/>
      <x:c r="D574" s="75"/>
      <x:c r="E574" s="75" t="str">
        <x:v>Server/operator moderation; Federated ban-sharing planned; Operator responsibility</x:v>
      </x:c>
      <x:c r="F574" s="75"/>
      <x:c r="G574" s="75"/>
      <x:c r="H574" s="75"/>
      <x:c r="I574" s="75"/>
      <x:c r="J574" s="75"/>
      <x:c r="K574" s="75"/>
      <x:c r="L574" s="75" t="str">
        <x:v>https://github.com/CookieNom/KaedeChat/blob/main/docs/administration-and-developer-portals.md</x:v>
      </x:c>
      <x:c r="M574" s="75"/>
      <x:c r="N574" s="75"/>
      <x:c r="O574" s="75" t="str">
        <x:v>Protocol supports room permissions/power levels; tooling varies by client/server; Homeserver/operator-dependent; Client/server-dependent</x:v>
      </x:c>
      <x:c r="P574" s="75"/>
      <x:c r="Q574" s="75"/>
      <x:c r="R574" s="75" t="str">
        <x:v>ACLs/permissions rather than AutoMod; N/A; Admin tools</x:v>
      </x:c>
      <x:c r="S574" s="75"/>
      <x:c r="T574" s="75"/>
      <x:c r="U574" s="75"/>
      <x:c r="V574" s="75" t="str">
        <x:v>Command Center</x:v>
      </x:c>
      <x:c r="W574" s="75"/>
      <x:c r="X574" s="75"/>
      <x:c r="Y574" s="75"/>
      <x:c r="Z574" s="75"/>
      <x:c r="AA574" s="75"/>
      <x:c r="AB574" s="75"/>
      <x:c r="AC574" s="78" t="str">
        <x:v>Built-in automod; Automod raid protection; Admin/mod tools</x:v>
      </x:c>
      <x:c r="AD574" s="75"/>
      <x:c r="AE574" s="75"/>
      <x:c r="AF574" s="75"/>
      <x:c r="AG574" s="75"/>
      <x:c r="AH574" s="122" t="n">
        <x:v>33</x:v>
      </x:c>
      <x:c r="AI574" s="123" t="str">
        <x:v>Canonical source for Moderation Detail!33</x:v>
      </x:c>
    </x:row>
    <x:row r="575">
      <x:c r="A575" s="119" t="str">
        <x:v>Moderation Detail</x:v>
      </x:c>
      <x:c r="B575" s="121" t="str">
        <x:v>Bulk Moderation Actions?</x:v>
      </x:c>
      <x:c r="C575" s="75" t="str">
        <x:v>Limited/native + bots</x:v>
      </x:c>
      <x:c r="D575" s="75"/>
      <x:c r="E575" s="75"/>
      <x:c r="F575" s="75"/>
      <x:c r="G575" s="75"/>
      <x:c r="H575" s="75"/>
      <x:c r="I575" s="75"/>
      <x:c r="J575" s="75"/>
      <x:c r="K575" s="75"/>
      <x:c r="L575" s="75" t="str">
        <x:v>Not documented</x:v>
      </x:c>
      <x:c r="M575" s="75"/>
      <x:c r="N575" s="75"/>
      <x:c r="O575" s="75"/>
      <x:c r="P575" s="75"/>
      <x:c r="Q575" s="75"/>
      <x:c r="R575" s="75"/>
      <x:c r="S575" s="75"/>
      <x:c r="T575" s="75"/>
      <x:c r="U575" s="75"/>
      <x:c r="V575" s="75" t="str">
        <x:v>Yes — searchable member table + bulk kick/ban/unban</x:v>
      </x:c>
      <x:c r="W575" s="75"/>
      <x:c r="X575" s="75"/>
      <x:c r="Y575" s="75"/>
      <x:c r="Z575" s="75"/>
      <x:c r="AA575" s="75"/>
      <x:c r="AB575" s="75"/>
      <x:c r="AC575" s="78"/>
      <x:c r="AD575" s="75"/>
      <x:c r="AE575" s="75"/>
      <x:c r="AF575" s="75"/>
      <x:c r="AG575" s="75"/>
      <x:c r="AH575" s="122" t="n">
        <x:v>35</x:v>
      </x:c>
      <x:c r="AI575" s="123" t="str">
        <x:v>Canonical source for Moderation Detail!35</x:v>
      </x:c>
    </x:row>
    <x:row r="576">
      <x:c r="A576" s="119" t="str">
        <x:v>Moderation Detail</x:v>
      </x:c>
      <x:c r="B576" s="121" t="str">
        <x:v>Deleted-Message Log?</x:v>
      </x:c>
      <x:c r="C576" s="75" t="str">
        <x:v>Audit log action metadata; deleted content generally not preserved</x:v>
      </x:c>
      <x:c r="D576" s="75"/>
      <x:c r="E576" s="75"/>
      <x:c r="F576" s="75"/>
      <x:c r="G576" s="75"/>
      <x:c r="H576" s="75"/>
      <x:c r="I576" s="75"/>
      <x:c r="J576" s="75"/>
      <x:c r="K576" s="75"/>
      <x:c r="L576" s="75" t="str">
        <x:v>Reported-message snapshots survive later edit/deletion, but there is no general deleted-message log documented</x:v>
      </x:c>
      <x:c r="M576" s="75"/>
      <x:c r="N576" s="75"/>
      <x:c r="O576" s="75"/>
      <x:c r="P576" s="75"/>
      <x:c r="Q576" s="75"/>
      <x:c r="R576" s="75"/>
      <x:c r="S576" s="75"/>
      <x:c r="T576" s="75"/>
      <x:c r="U576" s="75"/>
      <x:c r="V576" s="75" t="str">
        <x:v>Yes — 12h self-delete / 14d mod-removal log</x:v>
      </x:c>
      <x:c r="W576" s="75"/>
      <x:c r="X576" s="75"/>
      <x:c r="Y576" s="75"/>
      <x:c r="Z576" s="75"/>
      <x:c r="AA576" s="75"/>
      <x:c r="AB576" s="75"/>
      <x:c r="AC576" s="78"/>
      <x:c r="AD576" s="75"/>
      <x:c r="AE576" s="75"/>
      <x:c r="AF576" s="75"/>
      <x:c r="AG576" s="75"/>
      <x:c r="AH576" s="122" t="n">
        <x:v>36</x:v>
      </x:c>
      <x:c r="AI576" s="123" t="str">
        <x:v>Canonical source for Moderation Detail!36</x:v>
      </x:c>
    </x:row>
    <x:row r="577">
      <x:c r="A577" s="119" t="str">
        <x:v>Moderation Detail</x:v>
      </x:c>
      <x:c r="B577" s="121" t="str">
        <x:v>Edit History Lookup?</x:v>
      </x:c>
      <x:c r="C577" s="75" t="str">
        <x:v>No general native mod edit-history view</x:v>
      </x:c>
      <x:c r="D577" s="75"/>
      <x:c r="E577" s="75"/>
      <x:c r="F577" s="75"/>
      <x:c r="G577" s="75"/>
      <x:c r="H577" s="75"/>
      <x:c r="I577" s="75"/>
      <x:c r="J577" s="75"/>
      <x:c r="K577" s="75"/>
      <x:c r="L577" s="75" t="str">
        <x:v>Not documented</x:v>
      </x:c>
      <x:c r="M577" s="75"/>
      <x:c r="N577" s="75"/>
      <x:c r="O577" s="75"/>
      <x:c r="P577" s="75"/>
      <x:c r="Q577" s="75"/>
      <x:c r="R577" s="75"/>
      <x:c r="S577" s="75"/>
      <x:c r="T577" s="75"/>
      <x:c r="U577" s="75"/>
      <x:c r="V577" s="75" t="str">
        <x:v>Yes</x:v>
      </x:c>
      <x:c r="W577" s="75"/>
      <x:c r="X577" s="75"/>
      <x:c r="Y577" s="75"/>
      <x:c r="Z577" s="75"/>
      <x:c r="AA577" s="75"/>
      <x:c r="AB577" s="75"/>
      <x:c r="AC577" s="78"/>
      <x:c r="AD577" s="75"/>
      <x:c r="AE577" s="75"/>
      <x:c r="AF577" s="75"/>
      <x:c r="AG577" s="75"/>
      <x:c r="AH577" s="122" t="n">
        <x:v>37</x:v>
      </x:c>
      <x:c r="AI577" s="123" t="str">
        <x:v>Canonical source for Moderation Detail!37</x:v>
      </x:c>
    </x:row>
    <x:row r="578">
      <x:c r="A578" s="119" t="str">
        <x:v>Moderation Detail</x:v>
      </x:c>
      <x:c r="B578" s="121" t="str">
        <x:v>Permission Audit Trail / Revert?</x:v>
      </x:c>
      <x:c r="C578" s="75" t="str">
        <x:v>Audit log records permission changes</x:v>
      </x:c>
      <x:c r="D578" s="75"/>
      <x:c r="E578" s="75"/>
      <x:c r="F578" s="75"/>
      <x:c r="G578" s="75"/>
      <x:c r="H578" s="75"/>
      <x:c r="I578" s="75"/>
      <x:c r="J578" s="75"/>
      <x:c r="K578" s="75"/>
      <x:c r="L578" s="75" t="str">
        <x:v>Audit trail exists; automatic permission revert is not documented</x:v>
      </x:c>
      <x:c r="M578" s="75"/>
      <x:c r="N578" s="75"/>
      <x:c r="O578" s="75"/>
      <x:c r="P578" s="75"/>
      <x:c r="Q578" s="75"/>
      <x:c r="R578" s="75"/>
      <x:c r="S578" s="75"/>
      <x:c r="T578" s="75"/>
      <x:c r="U578" s="75"/>
      <x:c r="V578" s="75" t="str">
        <x:v>Yes — audit trail + one-click revert</x:v>
      </x:c>
      <x:c r="W578" s="75"/>
      <x:c r="X578" s="75"/>
      <x:c r="Y578" s="75"/>
      <x:c r="Z578" s="75"/>
      <x:c r="AA578" s="75"/>
      <x:c r="AB578" s="75"/>
      <x:c r="AC578" s="78"/>
      <x:c r="AD578" s="75"/>
      <x:c r="AE578" s="75"/>
      <x:c r="AF578" s="75"/>
      <x:c r="AG578" s="75"/>
      <x:c r="AH578" s="122" t="n">
        <x:v>38</x:v>
      </x:c>
      <x:c r="AI578" s="123" t="str">
        <x:v>Canonical source for Moderation Detail!38</x:v>
      </x:c>
    </x:row>
    <x:row r="579">
      <x:c r="A579" s="119" t="str">
        <x:v>Moderation Detail</x:v>
      </x:c>
      <x:c r="B579" s="121" t="str">
        <x:v>Giveaway Abuse / Entry Controls?</x:v>
      </x:c>
      <x:c r="C579" s="75" t="str">
        <x:v>Apps/bots</x:v>
      </x:c>
      <x:c r="D579" s="75"/>
      <x:c r="E579" s="75"/>
      <x:c r="F579" s="75"/>
      <x:c r="G579" s="75"/>
      <x:c r="H579" s="75"/>
      <x:c r="I579" s="75"/>
      <x:c r="J579" s="75"/>
      <x:c r="K579" s="75"/>
      <x:c r="L579" s="75" t="str">
        <x:v>Not documented</x:v>
      </x:c>
      <x:c r="M579" s="75"/>
      <x:c r="N579" s="75"/>
      <x:c r="O579" s="75"/>
      <x:c r="P579" s="75"/>
      <x:c r="Q579" s="75"/>
      <x:c r="R579" s="75"/>
      <x:c r="S579" s="75"/>
      <x:c r="T579" s="75"/>
      <x:c r="U579" s="75"/>
      <x:c r="V579" s="75" t="str">
        <x:v>Yes — entry rules + verifiable draw</x:v>
      </x:c>
      <x:c r="W579" s="75"/>
      <x:c r="X579" s="75"/>
      <x:c r="Y579" s="75"/>
      <x:c r="Z579" s="75"/>
      <x:c r="AA579" s="75"/>
      <x:c r="AB579" s="75"/>
      <x:c r="AC579" s="78"/>
      <x:c r="AD579" s="75"/>
      <x:c r="AE579" s="75"/>
      <x:c r="AF579" s="75"/>
      <x:c r="AG579" s="75"/>
      <x:c r="AH579" s="122" t="n">
        <x:v>39</x:v>
      </x:c>
      <x:c r="AI579" s="123" t="str">
        <x:v>Canonical source for Moderation Detail!39</x:v>
      </x:c>
    </x:row>
    <x:row r="580">
      <x:c r="A580" s="119" t="str">
        <x:v>Project Origin &amp; Longevity</x:v>
      </x:c>
      <x:c r="B580" s="121" t="str">
        <x:v>Inception Date</x:v>
      </x:c>
      <x:c r="C580" s="75" t="str">
        <x:v>May 2015</x:v>
      </x:c>
      <x:c r="D580" s="75" t="str">
        <x:v>2026-era project</x:v>
      </x:c>
      <x:c r="E580" s="75" t="str">
        <x:v>2023</x:v>
      </x:c>
      <x:c r="F580" s="75" t="str">
        <x:v>2026</x:v>
      </x:c>
      <x:c r="G580" s="75" t="str">
        <x:v>November 2025</x:v>
      </x:c>
      <x:c r="H580" s="75" t="str">
        <x:v>2020</x:v>
      </x:c>
      <x:c r="I580" s="75" t="str">
        <x:v>2026 ground-up rebuild</x:v>
      </x:c>
      <x:c r="J580" s="75" t="str">
        <x:v>2026 fork era</x:v>
      </x:c>
      <x:c r="K580" s="75" t="str">
        <x:v>2026-era public project</x:v>
      </x:c>
      <x:c r="L580" s="75" t="str">
        <x:v>≈ late 2025 (developer report: private use for nearly a year as of Sep 2026)</x:v>
      </x:c>
      <x:c r="M580" s="75"/>
      <x:c r="N580" s="75" t="str">
        <x:v>2026-era project</x:v>
      </x:c>
      <x:c r="O580" s="75" t="str">
        <x:v>2014</x:v>
      </x:c>
      <x:c r="P580" s="75" t="str">
        <x:v>2015</x:v>
      </x:c>
      <x:c r="Q580" s="75"/>
      <x:c r="R580" s="75" t="str">
        <x:v>2005</x:v>
      </x:c>
      <x:c r="S580" s="75"/>
      <x:c r="T580" s="75" t="str">
        <x:v>Summer 2024</x:v>
      </x:c>
      <x:c r="U580" s="75" t="str">
        <x:v>Young open beta; exact first-commit date is available in the GitHub history</x:v>
      </x:c>
      <x:c r="V580" s="75" t="str">
        <x:v>2026</x:v>
      </x:c>
      <x:c r="W580" s="75" t="str">
        <x:v>2015</x:v>
      </x:c>
      <x:c r="X580" s="75"/>
      <x:c r="Y580" s="75"/>
      <x:c r="Z580" s="75" t="str">
        <x:v>2021 (as Fosscord/Spacebar project era)</x:v>
      </x:c>
      <x:c r="AA580" s="75" t="str">
        <x:v>2021 (as Revolt; rebranded Stoat in 2025)</x:v>
      </x:c>
      <x:c r="AB580" s="75" t="str">
        <x:v>1999 project origin</x:v>
      </x:c>
      <x:c r="AC580" s="78"/>
      <x:c r="AD580" s="75" t="str">
        <x:v>Early 2026</x:v>
      </x:c>
      <x:c r="AE580" s="75" t="str">
        <x:v>~2025</x:v>
      </x:c>
      <x:c r="AF580" s="75" t="str">
        <x:v>2026-era project</x:v>
      </x:c>
      <x:c r="AG580" s="75" t="str">
        <x:v>2012</x:v>
      </x:c>
      <x:c r="AH580" s="122" t="n">
        <x:v>3</x:v>
      </x:c>
      <x:c r="AI580" s="123" t="str">
        <x:v>Canonical metric shared by: At a Glance: Inception Date | Core Features: Inception Date | Project Origin &amp; Longevity: Inception Date</x:v>
      </x:c>
    </x:row>
    <x:row r="581">
      <x:c r="A581" s="119" t="str">
        <x:v>Project Origin &amp; Longevity</x:v>
      </x:c>
      <x:c r="B581" s="121" t="str">
        <x:v>Public Release Date</x:v>
      </x:c>
      <x:c r="C581" s="75" t="str">
        <x:v>2015-05-13</x:v>
      </x:c>
      <x:c r="D581" s="75" t="str">
        <x:v>Public beta/dev 2026</x:v>
      </x:c>
      <x:c r="E581" s="75" t="str">
        <x:v>Public project by 2024</x:v>
      </x:c>
      <x:c r="F581" s="75" t="str">
        <x:v>Public 2026</x:v>
      </x:c>
      <x:c r="G581" s="75" t="str">
        <x:v>Alpha access in 2026; public v1 release not yet</x:v>
      </x:c>
      <x:c r="H581" s="75" t="str">
        <x:v>2026-01-02 public release</x:v>
      </x:c>
      <x:c r="I581" s="75" t="str">
        <x:v>2026 open beta</x:v>
      </x:c>
      <x:c r="J581" s="75" t="str">
        <x:v>Early public 2026</x:v>
      </x:c>
      <x:c r="K581" s="75" t="str">
        <x:v>Public alpha/beta 2026</x:v>
      </x:c>
      <x:c r="L581" s="75" t="str">
        <x:v>No formal public launch</x:v>
      </x:c>
      <x:c r="M581" s="75" t="str">
        <x:v>Alpha/public 2026</x:v>
      </x:c>
      <x:c r="N581" s="75" t="str">
        <x:v>Open beta 2026</x:v>
      </x:c>
      <x:c r="O581" s="75" t="str">
        <x:v>2014-09-03 (first public alpha)</x:v>
      </x:c>
      <x:c r="P581" s="75" t="str">
        <x:v>2015</x:v>
      </x:c>
      <x:c r="Q581" s="75"/>
      <x:c r="R581" s="75"/>
      <x:c r="S581" s="75"/>
      <x:c r="T581" s="75" t="str">
        <x:v>Public beta in 2026</x:v>
      </x:c>
      <x:c r="U581" s="75" t="str">
        <x:v>Open beta; exact public-beta launch date not stated</x:v>
      </x:c>
      <x:c r="V581" s="75" t="str">
        <x:v>Public Beta 2026</x:v>
      </x:c>
      <x:c r="W581" s="75" t="str">
        <x:v>2015</x:v>
      </x:c>
      <x:c r="X581" s="75" t="str">
        <x:v>Early public project</x:v>
      </x:c>
      <x:c r="Y581" s="75"/>
      <x:c r="Z581" s="75"/>
      <x:c r="AA581" s="75"/>
      <x:c r="AB581" s="75" t="str">
        <x:v>2001 first public release</x:v>
      </x:c>
      <x:c r="AC581" s="78" t="str">
        <x:v>Alpha/public before 2026</x:v>
      </x:c>
      <x:c r="AD581" s="75" t="str">
        <x:v>Alpha/beta 2026</x:v>
      </x:c>
      <x:c r="AE581" s="75" t="str">
        <x:v>Public beta 2026</x:v>
      </x:c>
      <x:c r="AF581" s="75" t="str">
        <x:v>Public beta/service 2026</x:v>
      </x:c>
      <x:c r="AG581" s="75" t="str">
        <x:v>2012 hosted; open-sourced 2015</x:v>
      </x:c>
      <x:c r="AH581" s="122" t="n">
        <x:v>4</x:v>
      </x:c>
      <x:c r="AI581" s="123" t="str">
        <x:v>Canonical metric shared by: Core Features: Public Release Date | Project Origin &amp; Longevity: Public Release Date</x:v>
      </x:c>
    </x:row>
    <x:row r="582">
      <x:c r="A582" s="119" t="str">
        <x:v>Project Origin &amp; Longevity</x:v>
      </x:c>
      <x:c r="B582" s="121" t="str">
        <x:v>Project Age (Years / Months)</x:v>
      </x:c>
      <x:c r="C582" s="75" t="str">
        <x:v>11 years 4 months (as of 2026-09-15)</x:v>
      </x:c>
      <x:c r="D582" s="75" t="str">
        <x:v>&lt;1 year</x:v>
      </x:c>
      <x:c r="E582" s="75" t="str">
        <x:v>~3 years</x:v>
      </x:c>
      <x:c r="F582" s="75" t="str">
        <x:v>&lt;1 year</x:v>
      </x:c>
      <x:c r="G582" s="75" t="str">
        <x:v>10 months</x:v>
      </x:c>
      <x:c r="H582" s="75" t="str">
        <x:v>~6 years</x:v>
      </x:c>
      <x:c r="I582" s="75" t="str">
        <x:v>&lt;1 year</x:v>
      </x:c>
      <x:c r="J582" s="75" t="str">
        <x:v>&lt;1 year</x:v>
      </x:c>
      <x:c r="K582" s="75" t="str">
        <x:v>&lt;1 year</x:v>
      </x:c>
      <x:c r="L582" s="75"/>
      <x:c r="M582" s="75"/>
      <x:c r="N582" s="75" t="str">
        <x:v>&lt;1 year</x:v>
      </x:c>
      <x:c r="O582" s="75" t="str">
        <x:v>~12 years</x:v>
      </x:c>
      <x:c r="P582" s="75" t="str">
        <x:v>~11 years</x:v>
      </x:c>
      <x:c r="Q582" s="75"/>
      <x:c r="R582" s="75" t="str">
        <x:v>~21 years</x:v>
      </x:c>
      <x:c r="S582" s="75"/>
      <x:c r="T582" s="75" t="str">
        <x:v>~2 years</x:v>
      </x:c>
      <x:c r="U582" s="75" t="str">
        <x:v>Young beta; exact age not stated in response</x:v>
      </x:c>
      <x:c r="V582" s="75" t="str">
        <x:v>5 years</x:v>
      </x:c>
      <x:c r="W582" s="75" t="str">
        <x:v>~11 years</x:v>
      </x:c>
      <x:c r="X582" s="75"/>
      <x:c r="Y582" s="75"/>
      <x:c r="Z582" s="75" t="str">
        <x:v>~5 years</x:v>
      </x:c>
      <x:c r="AA582" s="75" t="str">
        <x:v>~5 years</x:v>
      </x:c>
      <x:c r="AB582" s="75" t="str">
        <x:v>~27 years project / ~25 years public</x:v>
      </x:c>
      <x:c r="AC582" s="78"/>
      <x:c r="AD582" s="75" t="str">
        <x:v>&lt;1 year</x:v>
      </x:c>
      <x:c r="AE582" s="75" t="str">
        <x:v>~1 year</x:v>
      </x:c>
      <x:c r="AF582" s="75" t="str">
        <x:v>&lt;1 year</x:v>
      </x:c>
      <x:c r="AG582" s="75" t="str">
        <x:v>~14 years</x:v>
      </x:c>
      <x:c r="AH582" s="122" t="n">
        <x:v>5</x:v>
      </x:c>
      <x:c r="AI582" s="123" t="str">
        <x:v>Canonical source for Project Origin &amp; Longevity!5</x:v>
      </x:c>
    </x:row>
    <x:row r="583">
      <x:c r="A583" s="119" t="str">
        <x:v>Project Origin &amp; Longevity</x:v>
      </x:c>
      <x:c r="B583" s="121" t="str">
        <x:v>Current State (α / β / final)</x:v>
      </x:c>
      <x:c r="C583" s="75" t="str">
        <x:v>Stable</x:v>
      </x:c>
      <x:c r="D583" s="75" t="str">
        <x:v>Beta / active development</x:v>
      </x:c>
      <x:c r="E583" s="75" t="str">
        <x:v>Beta / active development</x:v>
      </x:c>
      <x:c r="F583" s="75" t="str">
        <x:v>Beta / public</x:v>
      </x:c>
      <x:c r="G583" s="75" t="str">
        <x:v>Alpha</x:v>
      </x:c>
      <x:c r="H583" s="75" t="str">
        <x:v>Public Beta</x:v>
      </x:c>
      <x:c r="I583" s="75" t="str">
        <x:v>Open Beta</x:v>
      </x:c>
      <x:c r="J583" s="75" t="str">
        <x:v>Active development; core text/voice/DMs/roles/moderation live</x:v>
      </x:c>
      <x:c r="K583" s="75" t="str">
        <x:v>Alpha / Beta</x:v>
      </x:c>
      <x:c r="L583" s="75" t="str">
        <x:v>Pre-launch / active development</x:v>
      </x:c>
      <x:c r="M583" s="75" t="str">
        <x:v>Alpha</x:v>
      </x:c>
      <x:c r="N583" s="75" t="str">
        <x:v>Open Beta</x:v>
      </x:c>
      <x:c r="O583" s="75" t="str">
        <x:v>Stable open standard (spec v1.x)</x:v>
      </x:c>
      <x:c r="P583" s="75" t="str">
        <x:v>Stable</x:v>
      </x:c>
      <x:c r="Q583" s="75" t="str">
        <x:v>Stable/public</x:v>
      </x:c>
      <x:c r="R583" s="75" t="str">
        <x:v>Stable</x:v>
      </x:c>
      <x:c r="S583" s="75" t="str">
        <x:v>Stable/public</x:v>
      </x:c>
      <x:c r="T583" s="75" t="str">
        <x:v>Public Beta</x:v>
      </x:c>
      <x:c r="U583" s="75" t="str">
        <x:v>Open beta</x:v>
      </x:c>
      <x:c r="V583" s="75" t="str">
        <x:v>Stable/public</x:v>
      </x:c>
      <x:c r="W583" s="75" t="str">
        <x:v>Stable</x:v>
      </x:c>
      <x:c r="X583" s="75" t="str">
        <x:v>Alpha / experimental</x:v>
      </x:c>
      <x:c r="Y583" s="75" t="str">
        <x:v>Beta</x:v>
      </x:c>
      <x:c r="Z583" s="75" t="str">
        <x:v>Alpha / WIP</x:v>
      </x:c>
      <x:c r="AA583" s="75" t="str">
        <x:v>Beta / pre-1.0</x:v>
      </x:c>
      <x:c r="AB583" s="75" t="str">
        <x:v>TS6 Beta; TS3 stable</x:v>
      </x:c>
      <x:c r="AC583" s="78" t="str">
        <x:v>Alpha</x:v>
      </x:c>
      <x:c r="AD583" s="75" t="str">
        <x:v>Alpha / Beta</x:v>
      </x:c>
      <x:c r="AE583" s="75" t="str">
        <x:v>Public Beta</x:v>
      </x:c>
      <x:c r="AF583" s="75" t="str">
        <x:v>Beta</x:v>
      </x:c>
      <x:c r="AG583" s="75" t="str">
        <x:v>Stable</x:v>
      </x:c>
      <x:c r="AH583" s="122" t="n">
        <x:v>6</x:v>
      </x:c>
      <x:c r="AI583" s="123" t="str">
        <x:v>Canonical metric shared by: At a Glance: Current State (α / β / Stable) | Core Features: Current State (α / β / final) | Project Origin &amp; Longevity: Current State (α / β / final)</x:v>
      </x:c>
    </x:row>
    <x:row r="584">
      <x:c r="A584" s="119" t="str">
        <x:v>Project Origin &amp; Longevity</x:v>
      </x:c>
      <x:c r="B584" s="121" t="str">
        <x:v>Codebase Continuity (Original / Fork / Revived)</x:v>
      </x:c>
      <x:c r="C584" s="75" t="str">
        <x:v>Original</x:v>
      </x:c>
      <x:c r="D584" s="75" t="str">
        <x:v>Original</x:v>
      </x:c>
      <x:c r="E584" s="75" t="str">
        <x:v>Original</x:v>
      </x:c>
      <x:c r="F584" s="75" t="str">
        <x:v>Original</x:v>
      </x:c>
      <x:c r="G584" s="75" t="str">
        <x:v>Original</x:v>
      </x:c>
      <x:c r="H584" s="75" t="str">
        <x:v>Original</x:v>
      </x:c>
      <x:c r="I584" s="75" t="str">
        <x:v>Original ground-up rebuild</x:v>
      </x:c>
      <x:c r="J584" s="75" t="str">
        <x:v>Fork/rework of Spacebar-compatible stack</x:v>
      </x:c>
      <x:c r="K584" s="75" t="str">
        <x:v>Original</x:v>
      </x:c>
      <x:c r="L584" s="75" t="str">
        <x:v>Original project</x:v>
      </x:c>
      <x:c r="M584" s="75" t="str">
        <x:v>Original</x:v>
      </x:c>
      <x:c r="N584" s="75" t="str">
        <x:v>Original</x:v>
      </x:c>
      <x:c r="O584" s="75" t="str">
        <x:v>Original open protocol</x:v>
      </x:c>
      <x:c r="P584" s="75" t="str">
        <x:v>Original</x:v>
      </x:c>
      <x:c r="Q584" s="75" t="str">
        <x:v>Original</x:v>
      </x:c>
      <x:c r="R584" s="75" t="str">
        <x:v>Original</x:v>
      </x:c>
      <x:c r="S584" s="75" t="str">
        <x:v>Original</x:v>
      </x:c>
      <x:c r="T584" s="75" t="str">
        <x:v>Original</x:v>
      </x:c>
      <x:c r="U584" s="75" t="str">
        <x:v>Original</x:v>
      </x:c>
      <x:c r="V584" s="75" t="str">
        <x:v>Original</x:v>
      </x:c>
      <x:c r="W584" s="75" t="str">
        <x:v>Original</x:v>
      </x:c>
      <x:c r="X584" s="75" t="str">
        <x:v>Original</x:v>
      </x:c>
      <x:c r="Y584" s="75" t="str">
        <x:v>Original</x:v>
      </x:c>
      <x:c r="Z584" s="75" t="str">
        <x:v>Reimplementation; Fosscord → Spacebar</x:v>
      </x:c>
      <x:c r="AA584" s="75" t="str">
        <x:v>Original; Revolt → Stoat rebrand</x:v>
      </x:c>
      <x:c r="AB584" s="75" t="str">
        <x:v>Original</x:v>
      </x:c>
      <x:c r="AC584" s="78" t="str">
        <x:v>Original</x:v>
      </x:c>
      <x:c r="AD584" s="75" t="str">
        <x:v>Original</x:v>
      </x:c>
      <x:c r="AE584" s="75" t="str">
        <x:v>Original</x:v>
      </x:c>
      <x:c r="AF584" s="75" t="str">
        <x:v>Original</x:v>
      </x:c>
      <x:c r="AG584" s="75" t="str">
        <x:v>Original</x:v>
      </x:c>
      <x:c r="AH584" s="122" t="n">
        <x:v>9</x:v>
      </x:c>
      <x:c r="AI584" s="123" t="str">
        <x:v>Canonical source for Project Origin &amp; Longevity!9</x:v>
      </x:c>
    </x:row>
    <x:row r="585">
      <x:c r="A585" s="119" t="str">
        <x:v>Project &amp; Maintenance</x:v>
      </x:c>
      <x:c r="B585" s="121" t="str">
        <x:v>Inception Year</x:v>
      </x:c>
      <x:c r="C585" s="75" t="str">
        <x:v>2015</x:v>
      </x:c>
      <x:c r="D585" s="75" t="str">
        <x:v>2026</x:v>
      </x:c>
      <x:c r="E585" s="75" t="str">
        <x:v>2023</x:v>
      </x:c>
      <x:c r="F585" s="75" t="str">
        <x:v>2026</x:v>
      </x:c>
      <x:c r="G585" s="75" t="str">
        <x:v>2025</x:v>
      </x:c>
      <x:c r="H585" s="75" t="str">
        <x:v>2020</x:v>
      </x:c>
      <x:c r="I585" s="75" t="str">
        <x:v>2026</x:v>
      </x:c>
      <x:c r="J585" s="75" t="str">
        <x:v>2026</x:v>
      </x:c>
      <x:c r="K585" s="75" t="str">
        <x:v>2026</x:v>
      </x:c>
      <x:c r="L585" s="75" t="str">
        <x:v>≈ late 2025 (developer report: private use for nearly a year as of Sep 2026)</x:v>
      </x:c>
      <x:c r="M585" s="75" t="str">
        <x:v>2025</x:v>
      </x:c>
      <x:c r="N585" s="75" t="str">
        <x:v>2026</x:v>
      </x:c>
      <x:c r="O585" s="75" t="str">
        <x:v>2014</x:v>
      </x:c>
      <x:c r="P585" s="75" t="str">
        <x:v>2015</x:v>
      </x:c>
      <x:c r="Q585" s="75"/>
      <x:c r="R585" s="75" t="str">
        <x:v>2005</x:v>
      </x:c>
      <x:c r="S585" s="75"/>
      <x:c r="T585" s="75" t="str">
        <x:v>2024</x:v>
      </x:c>
      <x:c r="U585" s="75" t="str">
        <x:v>Exact year/date not stated in the developer response; see GitHub first commit</x:v>
      </x:c>
      <x:c r="V585" s="75" t="str">
        <x:v>2026</x:v>
      </x:c>
      <x:c r="W585" s="75" t="str">
        <x:v>2015</x:v>
      </x:c>
      <x:c r="X585" s="75" t="str">
        <x:v>2024</x:v>
      </x:c>
      <x:c r="Y585" s="75" t="str">
        <x:v>2025</x:v>
      </x:c>
      <x:c r="Z585" s="75" t="str">
        <x:v>2021</x:v>
      </x:c>
      <x:c r="AA585" s="75" t="str">
        <x:v>2021</x:v>
      </x:c>
      <x:c r="AB585" s="75" t="str">
        <x:v>1999</x:v>
      </x:c>
      <x:c r="AC585" s="78" t="str">
        <x:v>2026</x:v>
      </x:c>
      <x:c r="AD585" s="75" t="str">
        <x:v>2026</x:v>
      </x:c>
      <x:c r="AE585" s="75" t="str">
        <x:v>2025</x:v>
      </x:c>
      <x:c r="AF585" s="75" t="str">
        <x:v>2026</x:v>
      </x:c>
      <x:c r="AG585" s="75" t="str">
        <x:v>2012</x:v>
      </x:c>
      <x:c r="AH585" s="122" t="n">
        <x:v>4</x:v>
      </x:c>
      <x:c r="AI585" s="123" t="str">
        <x:v>Canonical source for Project &amp; Maintenance!4</x:v>
      </x:c>
    </x:row>
    <x:row r="586">
      <x:c r="A586" s="119" t="str">
        <x:v>Project &amp; Maintenance</x:v>
      </x:c>
      <x:c r="B586" s="121" t="str">
        <x:v>Inception Month</x:v>
      </x:c>
      <x:c r="C586" s="75" t="str">
        <x:v>May</x:v>
      </x:c>
      <x:c r="D586" s="75"/>
      <x:c r="E586" s="75"/>
      <x:c r="F586" s="75"/>
      <x:c r="G586" s="75" t="str">
        <x:v>November</x:v>
      </x:c>
      <x:c r="H586" s="75"/>
      <x:c r="I586" s="75"/>
      <x:c r="J586" s="75"/>
      <x:c r="K586" s="75"/>
      <x:c r="L586" s="75"/>
      <x:c r="M586" s="75"/>
      <x:c r="N586" s="75"/>
      <x:c r="O586" s="75"/>
      <x:c r="P586" s="75"/>
      <x:c r="Q586" s="75"/>
      <x:c r="R586" s="75"/>
      <x:c r="S586" s="75"/>
      <x:c r="T586" s="75"/>
      <x:c r="U586" s="75"/>
      <x:c r="V586" s="75"/>
      <x:c r="W586" s="75"/>
      <x:c r="X586" s="75"/>
      <x:c r="Y586" s="75"/>
      <x:c r="Z586" s="75"/>
      <x:c r="AA586" s="75"/>
      <x:c r="AB586" s="75"/>
      <x:c r="AC586" s="78"/>
      <x:c r="AD586" s="75"/>
      <x:c r="AE586" s="75"/>
      <x:c r="AF586" s="75"/>
      <x:c r="AG586" s="75"/>
      <x:c r="AH586" s="122" t="n">
        <x:v>5</x:v>
      </x:c>
      <x:c r="AI586" s="123" t="str">
        <x:v>Canonical source for Project &amp; Maintenance!5</x:v>
      </x:c>
    </x:row>
    <x:row r="587">
      <x:c r="A587" s="119" t="str">
        <x:v>Project &amp; Maintenance</x:v>
      </x:c>
      <x:c r="B587" s="121" t="str">
        <x:v>Exact Inception Date Known?</x:v>
      </x:c>
      <x:c r="C587" s="75" t="str">
        <x:v>Yes</x:v>
      </x:c>
      <x:c r="D587" s="75"/>
      <x:c r="E587" s="75"/>
      <x:c r="F587" s="75"/>
      <x:c r="G587" s="75"/>
      <x:c r="H587" s="75" t="str">
        <x:v>Yes</x:v>
      </x:c>
      <x:c r="I587" s="75"/>
      <x:c r="J587" s="75"/>
      <x:c r="K587" s="75"/>
      <x:c r="L587" s="75"/>
      <x:c r="M587" s="75"/>
      <x:c r="N587" s="75"/>
      <x:c r="O587" s="75" t="str">
        <x:v>Yes</x:v>
      </x:c>
      <x:c r="P587" s="75"/>
      <x:c r="Q587" s="75"/>
      <x:c r="R587" s="75"/>
      <x:c r="S587" s="75"/>
      <x:c r="T587" s="75"/>
      <x:c r="U587" s="75" t="str">
        <x:v>Available from GitHub first-commit history; not supplied in response</x:v>
      </x:c>
      <x:c r="V587" s="75"/>
      <x:c r="W587" s="75"/>
      <x:c r="X587" s="75"/>
      <x:c r="Y587" s="75"/>
      <x:c r="Z587" s="75"/>
      <x:c r="AA587" s="75"/>
      <x:c r="AB587" s="75"/>
      <x:c r="AC587" s="78"/>
      <x:c r="AD587" s="75"/>
      <x:c r="AE587" s="75"/>
      <x:c r="AF587" s="75"/>
      <x:c r="AG587" s="75"/>
      <x:c r="AH587" s="122" t="n">
        <x:v>6</x:v>
      </x:c>
      <x:c r="AI587" s="123" t="str">
        <x:v>Canonical source for Project &amp; Maintenance!6</x:v>
      </x:c>
    </x:row>
    <x:row r="588">
      <x:c r="A588" s="119" t="str">
        <x:v>Project &amp; Maintenance</x:v>
      </x:c>
      <x:c r="B588" s="121" t="str">
        <x:v>Public Alpha Date</x:v>
      </x:c>
      <x:c r="C588" s="75"/>
      <x:c r="D588" s="75"/>
      <x:c r="E588" s="75"/>
      <x:c r="F588" s="75"/>
      <x:c r="G588" s="75" t="str">
        <x:v>Alpha access in 2026; public v1 release not yet</x:v>
      </x:c>
      <x:c r="H588" s="75"/>
      <x:c r="I588" s="75"/>
      <x:c r="J588" s="75" t="str">
        <x:v>Early public 2026</x:v>
      </x:c>
      <x:c r="K588" s="75" t="str">
        <x:v>Public alpha/beta 2026</x:v>
      </x:c>
      <x:c r="L588" s="75" t="str">
        <x:v>No formal public launch</x:v>
      </x:c>
      <x:c r="M588" s="75" t="str">
        <x:v>Alpha/public 2026</x:v>
      </x:c>
      <x:c r="N588" s="75"/>
      <x:c r="O588" s="75"/>
      <x:c r="P588" s="75"/>
      <x:c r="Q588" s="75"/>
      <x:c r="R588" s="75"/>
      <x:c r="S588" s="75"/>
      <x:c r="T588" s="75"/>
      <x:c r="U588" s="75"/>
      <x:c r="V588" s="75"/>
      <x:c r="W588" s="75"/>
      <x:c r="X588" s="75" t="str">
        <x:v>Early public project</x:v>
      </x:c>
      <x:c r="Y588" s="75"/>
      <x:c r="Z588" s="75"/>
      <x:c r="AA588" s="75"/>
      <x:c r="AB588" s="75"/>
      <x:c r="AC588" s="78" t="str">
        <x:v>Alpha/public before 2026</x:v>
      </x:c>
      <x:c r="AD588" s="75" t="str">
        <x:v>Alpha/beta 2026</x:v>
      </x:c>
      <x:c r="AE588" s="75"/>
      <x:c r="AF588" s="75"/>
      <x:c r="AG588" s="75"/>
      <x:c r="AH588" s="122" t="n">
        <x:v>7</x:v>
      </x:c>
      <x:c r="AI588" s="123" t="str">
        <x:v>Canonical source for Project &amp; Maintenance!7</x:v>
      </x:c>
    </x:row>
    <x:row r="589">
      <x:c r="A589" s="119" t="str">
        <x:v>Project &amp; Maintenance</x:v>
      </x:c>
      <x:c r="B589" s="121" t="str">
        <x:v>Public Beta Date</x:v>
      </x:c>
      <x:c r="C589" s="75"/>
      <x:c r="D589" s="75" t="str">
        <x:v>Public beta/dev 2026</x:v>
      </x:c>
      <x:c r="E589" s="75" t="str">
        <x:v>Public project by 2024</x:v>
      </x:c>
      <x:c r="F589" s="75" t="str">
        <x:v>Public 2026</x:v>
      </x:c>
      <x:c r="G589" s="75"/>
      <x:c r="H589" s="75" t="str">
        <x:v>2026-01-02 public release</x:v>
      </x:c>
      <x:c r="I589" s="75" t="str">
        <x:v>2026 open beta</x:v>
      </x:c>
      <x:c r="J589" s="75"/>
      <x:c r="K589" s="75" t="str">
        <x:v>Public alpha/beta 2026</x:v>
      </x:c>
      <x:c r="L589" s="75" t="str">
        <x:v>No formal public launch</x:v>
      </x:c>
      <x:c r="M589" s="75"/>
      <x:c r="N589" s="75" t="str">
        <x:v>Open beta 2026</x:v>
      </x:c>
      <x:c r="O589" s="75"/>
      <x:c r="P589" s="75"/>
      <x:c r="Q589" s="75"/>
      <x:c r="R589" s="75"/>
      <x:c r="S589" s="75"/>
      <x:c r="T589" s="75" t="str">
        <x:v>Public beta in 2026</x:v>
      </x:c>
      <x:c r="U589" s="75" t="str">
        <x:v>Open beta; exact launch date not stated</x:v>
      </x:c>
      <x:c r="V589" s="75" t="str">
        <x:v>Public 2026</x:v>
      </x:c>
      <x:c r="W589" s="75"/>
      <x:c r="X589" s="75"/>
      <x:c r="Y589" s="75"/>
      <x:c r="Z589" s="75"/>
      <x:c r="AA589" s="75"/>
      <x:c r="AB589" s="75" t="str">
        <x:v>2001 first public release</x:v>
      </x:c>
      <x:c r="AC589" s="78"/>
      <x:c r="AD589" s="75" t="str">
        <x:v>Alpha/beta 2026</x:v>
      </x:c>
      <x:c r="AE589" s="75" t="str">
        <x:v>Public beta 2026</x:v>
      </x:c>
      <x:c r="AF589" s="75" t="str">
        <x:v>Public beta/service 2026</x:v>
      </x:c>
      <x:c r="AG589" s="75"/>
      <x:c r="AH589" s="122" t="n">
        <x:v>8</x:v>
      </x:c>
      <x:c r="AI589" s="123" t="str">
        <x:v>Canonical source for Project &amp; Maintenance!8</x:v>
      </x:c>
    </x:row>
    <x:row r="590">
      <x:c r="A590" s="119" t="str">
        <x:v>Project &amp; Maintenance</x:v>
      </x:c>
      <x:c r="B590" s="121" t="str">
        <x:v>Stable / 1.0 Date</x:v>
      </x:c>
      <x:c r="C590" s="75" t="str">
        <x:v>2015-05-13</x:v>
      </x:c>
      <x:c r="D590" s="75"/>
      <x:c r="E590" s="75"/>
      <x:c r="F590" s="75"/>
      <x:c r="G590" s="75"/>
      <x:c r="H590" s="75"/>
      <x:c r="I590" s="75"/>
      <x:c r="J590" s="75"/>
      <x:c r="K590" s="75"/>
      <x:c r="L590" s="75" t="str">
        <x:v>No formal public launch</x:v>
      </x:c>
      <x:c r="M590" s="75"/>
      <x:c r="N590" s="75"/>
      <x:c r="O590" s="75" t="str">
        <x:v>2014-09-03 (first public alpha)</x:v>
      </x:c>
      <x:c r="P590" s="75" t="str">
        <x:v>2015</x:v>
      </x:c>
      <x:c r="Q590" s="75"/>
      <x:c r="R590" s="75"/>
      <x:c r="S590" s="75"/>
      <x:c r="T590" s="75"/>
      <x:c r="U590" s="75"/>
      <x:c r="V590" s="75"/>
      <x:c r="W590" s="75" t="str">
        <x:v>2015</x:v>
      </x:c>
      <x:c r="X590" s="75"/>
      <x:c r="Y590" s="75"/>
      <x:c r="Z590" s="75"/>
      <x:c r="AA590" s="75"/>
      <x:c r="AB590" s="75" t="str">
        <x:v>2001 first public release</x:v>
      </x:c>
      <x:c r="AC590" s="78"/>
      <x:c r="AD590" s="75"/>
      <x:c r="AE590" s="75"/>
      <x:c r="AF590" s="75"/>
      <x:c r="AG590" s="75" t="str">
        <x:v>2012 hosted; open-sourced 2015</x:v>
      </x:c>
      <x:c r="AH590" s="122" t="n">
        <x:v>9</x:v>
      </x:c>
      <x:c r="AI590" s="123" t="str">
        <x:v>Canonical source for Project &amp; Maintenance!9</x:v>
      </x:c>
    </x:row>
    <x:row r="591">
      <x:c r="A591" s="119" t="str">
        <x:v>Project &amp; Maintenance</x:v>
      </x:c>
      <x:c r="B591" s="121" t="str">
        <x:v>Current State</x:v>
      </x:c>
      <x:c r="C591" s="75"/>
      <x:c r="D591" s="75"/>
      <x:c r="E591" s="75"/>
      <x:c r="F591" s="75"/>
      <x:c r="G591" s="75"/>
      <x:c r="H591" s="75"/>
      <x:c r="I591" s="75"/>
      <x:c r="J591" s="75"/>
      <x:c r="K591" s="75"/>
      <x:c r="L591" s="75" t="str">
        <x:v>Pre-launch / active development</x:v>
      </x:c>
      <x:c r="M591" s="75"/>
      <x:c r="N591" s="75"/>
      <x:c r="O591" s="75"/>
      <x:c r="P591" s="75"/>
      <x:c r="Q591" s="75"/>
      <x:c r="R591" s="75"/>
      <x:c r="S591" s="75"/>
      <x:c r="T591" s="75"/>
      <x:c r="U591" s="75"/>
      <x:c r="V591" s="75"/>
      <x:c r="W591" s="75"/>
      <x:c r="X591" s="75"/>
      <x:c r="Y591" s="75"/>
      <x:c r="Z591" s="75"/>
      <x:c r="AA591" s="75"/>
      <x:c r="AB591" s="75"/>
      <x:c r="AC591" s="78"/>
      <x:c r="AD591" s="75"/>
      <x:c r="AE591" s="75"/>
      <x:c r="AF591" s="75"/>
      <x:c r="AG591" s="75"/>
      <x:c r="AH591" s="122" t="n">
        <x:v>10</x:v>
      </x:c>
      <x:c r="AI591" s="123" t="str">
        <x:v>Canonical source for Project &amp; Maintenance!10</x:v>
      </x:c>
    </x:row>
    <x:row r="592">
      <x:c r="A592" s="119" t="str">
        <x:v>Project &amp; Maintenance</x:v>
      </x:c>
      <x:c r="B592" s="121" t="str">
        <x:v>Current Lifecycle Stage</x:v>
      </x:c>
      <x:c r="C592" s="75" t="str">
        <x:v>Stable</x:v>
      </x:c>
      <x:c r="D592" s="75" t="str">
        <x:v>Beta / active development</x:v>
      </x:c>
      <x:c r="E592" s="75" t="str">
        <x:v>Beta / active development</x:v>
      </x:c>
      <x:c r="F592" s="75" t="str">
        <x:v>Beta / public</x:v>
      </x:c>
      <x:c r="G592" s="75" t="str">
        <x:v>Alpha</x:v>
      </x:c>
      <x:c r="H592" s="75" t="str">
        <x:v>Public Beta</x:v>
      </x:c>
      <x:c r="I592" s="75" t="str">
        <x:v>Open Beta</x:v>
      </x:c>
      <x:c r="J592" s="75" t="str">
        <x:v>Early Alpha</x:v>
      </x:c>
      <x:c r="K592" s="75" t="str">
        <x:v>Alpha / Beta</x:v>
      </x:c>
      <x:c r="L592" s="75" t="str">
        <x:v>Pre-launch / active development</x:v>
      </x:c>
      <x:c r="M592" s="75" t="str">
        <x:v>Alpha</x:v>
      </x:c>
      <x:c r="N592" s="75" t="str">
        <x:v>Open Beta</x:v>
      </x:c>
      <x:c r="O592" s="75" t="str">
        <x:v>Stable open standard (spec v1.x)</x:v>
      </x:c>
      <x:c r="P592" s="75" t="str">
        <x:v>Stable</x:v>
      </x:c>
      <x:c r="Q592" s="75" t="str">
        <x:v>Stable/public</x:v>
      </x:c>
      <x:c r="R592" s="75" t="str">
        <x:v>Stable</x:v>
      </x:c>
      <x:c r="S592" s="75" t="str">
        <x:v>Stable/public</x:v>
      </x:c>
      <x:c r="T592" s="75" t="str">
        <x:v>Public Beta</x:v>
      </x:c>
      <x:c r="U592" s="75" t="str">
        <x:v>Open beta</x:v>
      </x:c>
      <x:c r="V592" s="75" t="str">
        <x:v>Stable/public</x:v>
      </x:c>
      <x:c r="W592" s="75" t="str">
        <x:v>Stable</x:v>
      </x:c>
      <x:c r="X592" s="75" t="str">
        <x:v>Alpha / experimental</x:v>
      </x:c>
      <x:c r="Y592" s="75" t="str">
        <x:v>Beta</x:v>
      </x:c>
      <x:c r="Z592" s="75" t="str">
        <x:v>Alpha / WIP</x:v>
      </x:c>
      <x:c r="AA592" s="75" t="str">
        <x:v>Beta / pre-1.0</x:v>
      </x:c>
      <x:c r="AB592" s="75" t="str">
        <x:v>TS6 Beta; TS3 stable</x:v>
      </x:c>
      <x:c r="AC592" s="78" t="str">
        <x:v>Alpha</x:v>
      </x:c>
      <x:c r="AD592" s="75" t="str">
        <x:v>Alpha / Beta</x:v>
      </x:c>
      <x:c r="AE592" s="75" t="str">
        <x:v>Public Beta</x:v>
      </x:c>
      <x:c r="AF592" s="75" t="str">
        <x:v>Beta</x:v>
      </x:c>
      <x:c r="AG592" s="75" t="str">
        <x:v>Stable</x:v>
      </x:c>
      <x:c r="AH592" s="122" t="n">
        <x:v>11</x:v>
      </x:c>
      <x:c r="AI592" s="123" t="str">
        <x:v>Canonical source for Project &amp; Maintenance!11</x:v>
      </x:c>
    </x:row>
    <x:row r="593">
      <x:c r="A593" s="119" t="str">
        <x:v>Project &amp; Maintenance</x:v>
      </x:c>
      <x:c r="B593" s="121" t="str">
        <x:v>Actively Developed?</x:v>
      </x:c>
      <x:c r="C593" s="75" t="str">
        <x:v>Yes</x:v>
      </x:c>
      <x:c r="D593" s="75" t="str">
        <x:v>Yes</x:v>
      </x:c>
      <x:c r="E593" s="75" t="str">
        <x:v>Yes</x:v>
      </x:c>
      <x:c r="F593" s="75" t="str">
        <x:v>Yes</x:v>
      </x:c>
      <x:c r="G593" s="75" t="str">
        <x:v>Yes</x:v>
      </x:c>
      <x:c r="H593" s="75" t="str">
        <x:v>Yes</x:v>
      </x:c>
      <x:c r="I593" s="75" t="str">
        <x:v>Yes</x:v>
      </x:c>
      <x:c r="J593" s="75" t="str">
        <x:v>Yes</x:v>
      </x:c>
      <x:c r="K593" s="75" t="str">
        <x:v>Yes</x:v>
      </x:c>
      <x:c r="L593" s="75"/>
      <x:c r="M593" s="75" t="str">
        <x:v>Yes</x:v>
      </x:c>
      <x:c r="N593" s="75" t="str">
        <x:v>Yes</x:v>
      </x:c>
      <x:c r="O593" s="75" t="str">
        <x:v>Yes</x:v>
      </x:c>
      <x:c r="P593" s="75" t="str">
        <x:v>Yes</x:v>
      </x:c>
      <x:c r="Q593" s="75" t="str">
        <x:v>Yes</x:v>
      </x:c>
      <x:c r="R593" s="75" t="str">
        <x:v>Yes</x:v>
      </x:c>
      <x:c r="S593" s="75" t="str">
        <x:v>Yes</x:v>
      </x:c>
      <x:c r="T593" s="75" t="str">
        <x:v>Yes</x:v>
      </x:c>
      <x:c r="U593" s="75" t="str">
        <x:v>Yes</x:v>
      </x:c>
      <x:c r="V593" s="75" t="str">
        <x:v>Yes</x:v>
      </x:c>
      <x:c r="W593" s="75" t="str">
        <x:v>Yes</x:v>
      </x:c>
      <x:c r="X593" s="75" t="str">
        <x:v>Yes</x:v>
      </x:c>
      <x:c r="Y593" s="75" t="str">
        <x:v>Yes</x:v>
      </x:c>
      <x:c r="Z593" s="75" t="str">
        <x:v>Yes</x:v>
      </x:c>
      <x:c r="AA593" s="75" t="str">
        <x:v>Yes</x:v>
      </x:c>
      <x:c r="AB593" s="75" t="str">
        <x:v>Yes</x:v>
      </x:c>
      <x:c r="AC593" s="78" t="str">
        <x:v>Yes</x:v>
      </x:c>
      <x:c r="AD593" s="75" t="str">
        <x:v>Yes</x:v>
      </x:c>
      <x:c r="AE593" s="75" t="str">
        <x:v>Yes</x:v>
      </x:c>
      <x:c r="AF593" s="75" t="str">
        <x:v>Yes</x:v>
      </x:c>
      <x:c r="AG593" s="75" t="str">
        <x:v>Yes</x:v>
      </x:c>
      <x:c r="AH593" s="122" t="n">
        <x:v>12</x:v>
      </x:c>
      <x:c r="AI593" s="123" t="str">
        <x:v>Canonical source for Project &amp; Maintenance!12</x:v>
      </x:c>
    </x:row>
    <x:row r="594">
      <x:c r="A594" s="119" t="str">
        <x:v>Project &amp; Maintenance</x:v>
      </x:c>
      <x:c r="B594" s="121" t="str">
        <x:v>Development State</x:v>
      </x:c>
      <x:c r="C594" s="75" t="str">
        <x:v>Active development</x:v>
      </x:c>
      <x:c r="D594" s="75" t="str">
        <x:v>Active</x:v>
      </x:c>
      <x:c r="E594" s="75" t="str">
        <x:v>Active</x:v>
      </x:c>
      <x:c r="F594" s="75" t="str">
        <x:v>Active</x:v>
      </x:c>
      <x:c r="G594" s="75" t="str">
        <x:v>Active alpha</x:v>
      </x:c>
      <x:c r="H594" s="75" t="str">
        <x:v>Active</x:v>
      </x:c>
      <x:c r="I594" s="75" t="str">
        <x:v>Active</x:v>
      </x:c>
      <x:c r="J594" s="75" t="str">
        <x:v>Active</x:v>
      </x:c>
      <x:c r="K594" s="75" t="str">
        <x:v>Active</x:v>
      </x:c>
      <x:c r="L594" s="75" t="str">
        <x:v>Actively developed; pre-launch</x:v>
      </x:c>
      <x:c r="M594" s="75" t="str">
        <x:v>Active</x:v>
      </x:c>
      <x:c r="N594" s="75" t="str">
        <x:v>Active</x:v>
      </x:c>
      <x:c r="O594" s="75" t="str">
        <x:v>Active standard + ecosystem</x:v>
      </x:c>
      <x:c r="P594" s="75" t="str">
        <x:v>Active</x:v>
      </x:c>
      <x:c r="Q594" s="75" t="str">
        <x:v>Active</x:v>
      </x:c>
      <x:c r="R594" s="75" t="str">
        <x:v>Active</x:v>
      </x:c>
      <x:c r="S594" s="75" t="str">
        <x:v>Active</x:v>
      </x:c>
      <x:c r="T594" s="75" t="str">
        <x:v>Active</x:v>
      </x:c>
      <x:c r="U594" s="75" t="str">
        <x:v>Active</x:v>
      </x:c>
      <x:c r="V594" s="75" t="str">
        <x:v>Active</x:v>
      </x:c>
      <x:c r="W594" s="75" t="str">
        <x:v>Active</x:v>
      </x:c>
      <x:c r="X594" s="75" t="str">
        <x:v>Active</x:v>
      </x:c>
      <x:c r="Y594" s="75" t="str">
        <x:v>Active</x:v>
      </x:c>
      <x:c r="Z594" s="75" t="str">
        <x:v>Active</x:v>
      </x:c>
      <x:c r="AA594" s="75" t="str">
        <x:v>Active</x:v>
      </x:c>
      <x:c r="AB594" s="75" t="str">
        <x:v>Active</x:v>
      </x:c>
      <x:c r="AC594" s="78" t="str">
        <x:v>Active</x:v>
      </x:c>
      <x:c r="AD594" s="75" t="str">
        <x:v>Active experimental</x:v>
      </x:c>
      <x:c r="AE594" s="75" t="str">
        <x:v>Active</x:v>
      </x:c>
      <x:c r="AF594" s="75" t="str">
        <x:v>Active</x:v>
      </x:c>
      <x:c r="AG594" s="75" t="str">
        <x:v>Active</x:v>
      </x:c>
      <x:c r="AH594" s="122" t="n">
        <x:v>13</x:v>
      </x:c>
      <x:c r="AI594" s="123" t="str">
        <x:v>Canonical metric shared by: Core Features: Development State | Project Origin &amp; Longevity: Development State | Project &amp; Maintenance: Development State</x:v>
      </x:c>
    </x:row>
    <x:row r="595">
      <x:c r="A595" s="119" t="str">
        <x:v>Project &amp; Maintenance</x:v>
      </x:c>
      <x:c r="B595" s="121" t="str">
        <x:v>Maintainer Structure</x:v>
      </x:c>
      <x:c r="C595" s="75" t="str">
        <x:v>Corp (Discord Inc.)</x:v>
      </x:c>
      <x:c r="D595" s="75" t="str">
        <x:v>Open-source team</x:v>
      </x:c>
      <x:c r="E595" s="75" t="str">
        <x:v>Solo-led + contributors</x:v>
      </x:c>
      <x:c r="F595" s="75" t="str">
        <x:v>Tiny Canadian team</x:v>
      </x:c>
      <x:c r="G595" s="75" t="str">
        <x:v>Solo founder / tiny team</x:v>
      </x:c>
      <x:c r="H595" s="75" t="str">
        <x:v>Small company/open-source team</x:v>
      </x:c>
      <x:c r="I595" s="75" t="str">
        <x:v>Founder-led company</x:v>
      </x:c>
      <x:c r="J595" s="75" t="str">
        <x:v>Volunteer project</x:v>
      </x:c>
      <x:c r="K595" s="75" t="str">
        <x:v>Solo dev</x:v>
      </x:c>
      <x:c r="L595" s="75" t="str">
        <x:v>1 primary developer; security-researcher friend provides private review/bug reports (developer report)</x:v>
      </x:c>
      <x:c r="M595" s="75" t="str">
        <x:v>Small team</x:v>
      </x:c>
      <x:c r="N595" s="75" t="str">
        <x:v>Small team</x:v>
      </x:c>
      <x:c r="O595" s="75" t="str">
        <x:v>Nonprofit foundation + ecosystem companies/projects</x:v>
      </x:c>
      <x:c r="P595" s="75" t="str">
        <x:v>Corp + open-source community</x:v>
      </x:c>
      <x:c r="Q595" s="75" t="str">
        <x:v>Company/open-source team</x:v>
      </x:c>
      <x:c r="R595" s="75" t="str">
        <x:v>Community project</x:v>
      </x:c>
      <x:c r="S595" s="75" t="str">
        <x:v>Solo/small community</x:v>
      </x:c>
      <x:c r="T595" s="75" t="str">
        <x:v>Small startup team</x:v>
      </x:c>
      <x:c r="U595" s="75" t="str">
        <x:v>Independently run</x:v>
      </x:c>
      <x:c r="V595" s="75" t="str">
        <x:v>Small private company</x:v>
      </x:c>
      <x:c r="W595" s="75" t="str">
        <x:v>Corp + community</x:v>
      </x:c>
      <x:c r="X595" s="75" t="str">
        <x:v>Open-source community</x:v>
      </x:c>
      <x:c r="Y595" s="75" t="str">
        <x:v>Corp</x:v>
      </x:c>
      <x:c r="Z595" s="75" t="str">
        <x:v>Volunteer project</x:v>
      </x:c>
      <x:c r="AA595" s="75" t="str">
        <x:v>Small open-source collective</x:v>
      </x:c>
      <x:c r="AB595" s="75" t="str">
        <x:v>Corp</x:v>
      </x:c>
      <x:c r="AC595" s="78" t="str">
        <x:v>Volunteer/open-source team</x:v>
      </x:c>
      <x:c r="AD595" s="75" t="str">
        <x:v>Small founder-led team</x:v>
      </x:c>
      <x:c r="AE595" s="75" t="str">
        <x:v>Solo developer</x:v>
      </x:c>
      <x:c r="AF595" s="75" t="str">
        <x:v>Small team</x:v>
      </x:c>
      <x:c r="AG595" s="75" t="str">
        <x:v>Independent company + community</x:v>
      </x:c>
      <x:c r="AH595" s="122" t="n">
        <x:v>16</x:v>
      </x:c>
      <x:c r="AI595" s="123" t="str">
        <x:v>Canonical source for Project &amp; Maintenance!16</x:v>
      </x:c>
    </x:row>
    <x:row r="596">
      <x:c r="A596" s="119" t="str">
        <x:v>Project &amp; Maintenance</x:v>
      </x:c>
      <x:c r="B596" s="121" t="str">
        <x:v>Developer Team Size</x:v>
      </x:c>
      <x:c r="C596" s="75"/>
      <x:c r="D596" s="75" t="str">
        <x:v>Small open-source team</x:v>
      </x:c>
      <x:c r="E596" s="75" t="str">
        <x:v>Solo/very small contributor group</x:v>
      </x:c>
      <x:c r="F596" s="75" t="str">
        <x:v>Tiny Canadian team</x:v>
      </x:c>
      <x:c r="G596" s="75" t="str">
        <x:v>Solo founder-led / very small team</x:v>
      </x:c>
      <x:c r="H596" s="75"/>
      <x:c r="I596" s="75" t="str">
        <x:v>Founder-led / small team</x:v>
      </x:c>
      <x:c r="J596" s="75" t="str">
        <x:v>Small volunteer team</x:v>
      </x:c>
      <x:c r="K596" s="75" t="str">
        <x:v>Solo developer</x:v>
      </x:c>
      <x:c r="L596" s="75" t="str">
        <x:v>1 primary developer; security-researcher friend provides private review/bug reports (developer report)</x:v>
      </x:c>
      <x:c r="M596" s="75" t="str">
        <x:v>Small team</x:v>
      </x:c>
      <x:c r="N596" s="75" t="str">
        <x:v>Small team</x:v>
      </x:c>
      <x:c r="O596" s="75" t="str">
        <x:v>Matrix.org Foundation + many independent implementers</x:v>
      </x:c>
      <x:c r="P596" s="75" t="str">
        <x:v>Mattermost, Inc. + open-source community</x:v>
      </x:c>
      <x:c r="Q596" s="75" t="str">
        <x:v>Company/open-source team</x:v>
      </x:c>
      <x:c r="R596" s="75" t="str">
        <x:v>Community open-source project</x:v>
      </x:c>
      <x:c r="S596" s="75" t="str">
        <x:v>Small hobby/community project</x:v>
      </x:c>
      <x:c r="T596" s="75" t="str">
        <x:v>Small startup team</x:v>
      </x:c>
      <x:c r="U596" s="75" t="str">
        <x:v>2 — built by two brothers (official repository README)</x:v>
      </x:c>
      <x:c r="V596" s="75" t="str">
        <x:v>Small company/team</x:v>
      </x:c>
      <x:c r="W596" s="75" t="str">
        <x:v>Rocket.Chat company + open-source community</x:v>
      </x:c>
      <x:c r="X596" s="75" t="str">
        <x:v>Small open-source team</x:v>
      </x:c>
      <x:c r="Y596" s="75"/>
      <x:c r="Z596" s="75"/>
      <x:c r="AA596" s="75"/>
      <x:c r="AB596" s="75" t="str">
        <x:v>Commercial company</x:v>
      </x:c>
      <x:c r="AC596" s="78" t="str">
        <x:v>Volunteer/open-source team</x:v>
      </x:c>
      <x:c r="AD596" s="75" t="str">
        <x:v>Small team / founder-led</x:v>
      </x:c>
      <x:c r="AE596" s="75" t="str">
        <x:v>Solo developer</x:v>
      </x:c>
      <x:c r="AF596" s="75" t="str">
        <x:v>Small team/founder-led</x:v>
      </x:c>
      <x:c r="AG596" s="75" t="str">
        <x:v>Independent company + open-source community</x:v>
      </x:c>
      <x:c r="AH596" s="122" t="n">
        <x:v>17</x:v>
      </x:c>
      <x:c r="AI596" s="123" t="str">
        <x:v>Canonical metric shared by: Core Features: Developer Team Size | Project Origin &amp; Longevity: Developer Team Size | Project &amp; Maintenance: Developer Team Size</x:v>
      </x:c>
    </x:row>
    <x:row r="597">
      <x:c r="A597" s="119" t="str">
        <x:v>Project &amp; Maintenance</x:v>
      </x:c>
      <x:c r="B597" s="121" t="str">
        <x:v>Original / Fork / Reimplementation</x:v>
      </x:c>
      <x:c r="C597" s="75" t="str">
        <x:v>Original</x:v>
      </x:c>
      <x:c r="D597" s="75" t="str">
        <x:v>Original</x:v>
      </x:c>
      <x:c r="E597" s="75" t="str">
        <x:v>Original</x:v>
      </x:c>
      <x:c r="F597" s="75" t="str">
        <x:v>Original</x:v>
      </x:c>
      <x:c r="G597" s="75" t="str">
        <x:v>Original</x:v>
      </x:c>
      <x:c r="H597" s="75" t="str">
        <x:v>Original</x:v>
      </x:c>
      <x:c r="I597" s="75" t="str">
        <x:v>Original ground-up rebuild</x:v>
      </x:c>
      <x:c r="J597" s="75" t="str">
        <x:v>Fork/rework of Spacebar-compatible stack</x:v>
      </x:c>
      <x:c r="K597" s="75" t="str">
        <x:v>Original</x:v>
      </x:c>
      <x:c r="L597" s="75" t="str">
        <x:v>Original project</x:v>
      </x:c>
      <x:c r="M597" s="75" t="str">
        <x:v>Original</x:v>
      </x:c>
      <x:c r="N597" s="75" t="str">
        <x:v>Original</x:v>
      </x:c>
      <x:c r="O597" s="75" t="str">
        <x:v>Original open protocol</x:v>
      </x:c>
      <x:c r="P597" s="75" t="str">
        <x:v>Original</x:v>
      </x:c>
      <x:c r="Q597" s="75" t="str">
        <x:v>Original</x:v>
      </x:c>
      <x:c r="R597" s="75" t="str">
        <x:v>Original</x:v>
      </x:c>
      <x:c r="S597" s="75" t="str">
        <x:v>Original</x:v>
      </x:c>
      <x:c r="T597" s="75" t="str">
        <x:v>Original</x:v>
      </x:c>
      <x:c r="U597" s="75" t="str">
        <x:v>Original</x:v>
      </x:c>
      <x:c r="V597" s="75" t="str">
        <x:v>Original</x:v>
      </x:c>
      <x:c r="W597" s="75" t="str">
        <x:v>Original</x:v>
      </x:c>
      <x:c r="X597" s="75" t="str">
        <x:v>Original</x:v>
      </x:c>
      <x:c r="Y597" s="75" t="str">
        <x:v>Original</x:v>
      </x:c>
      <x:c r="Z597" s="75" t="str">
        <x:v>Reimplementation; Fosscord → Spacebar</x:v>
      </x:c>
      <x:c r="AA597" s="75" t="str">
        <x:v>Original; Revolt → Stoat rebrand</x:v>
      </x:c>
      <x:c r="AB597" s="75" t="str">
        <x:v>Original</x:v>
      </x:c>
      <x:c r="AC597" s="78" t="str">
        <x:v>Original</x:v>
      </x:c>
      <x:c r="AD597" s="75" t="str">
        <x:v>Original</x:v>
      </x:c>
      <x:c r="AE597" s="75" t="str">
        <x:v>Original</x:v>
      </x:c>
      <x:c r="AF597" s="75" t="str">
        <x:v>Original</x:v>
      </x:c>
      <x:c r="AG597" s="75" t="str">
        <x:v>Original</x:v>
      </x:c>
      <x:c r="AH597" s="122" t="n">
        <x:v>19</x:v>
      </x:c>
      <x:c r="AI597" s="123" t="str">
        <x:v>Canonical source for Project &amp; Maintenance!19</x:v>
      </x:c>
    </x:row>
    <x:row r="598">
      <x:c r="A598" s="119" t="str">
        <x:v>Project &amp; Maintenance</x:v>
      </x:c>
      <x:c r="B598" s="121" t="str">
        <x:v>Former Name / Predecessor</x:v>
      </x:c>
      <x:c r="C598" s="75" t="str">
        <x:v>N/A / none known</x:v>
      </x:c>
      <x:c r="D598" s="75" t="str">
        <x:v>N/A / none known</x:v>
      </x:c>
      <x:c r="E598" s="75" t="str">
        <x:v>N/A / none known</x:v>
      </x:c>
      <x:c r="F598" s="75" t="str">
        <x:v>N/A / none known</x:v>
      </x:c>
      <x:c r="G598" s="75" t="str">
        <x:v>N/A / none known</x:v>
      </x:c>
      <x:c r="H598" s="75" t="str">
        <x:v>N/A / none known</x:v>
      </x:c>
      <x:c r="I598" s="75" t="str">
        <x:v>N/A / none known</x:v>
      </x:c>
      <x:c r="J598" s="75" t="str">
        <x:v>Harmony platform; Fermi client</x:v>
      </x:c>
      <x:c r="K598" s="75" t="str">
        <x:v>N/A / none known</x:v>
      </x:c>
      <x:c r="L598" s="75"/>
      <x:c r="M598" s="75" t="str">
        <x:v>N/A / none known</x:v>
      </x:c>
      <x:c r="N598" s="75" t="str">
        <x:v>N/A / none known</x:v>
      </x:c>
      <x:c r="O598" s="75" t="str">
        <x:v>N/A / none known</x:v>
      </x:c>
      <x:c r="P598" s="75" t="str">
        <x:v>N/A / none known</x:v>
      </x:c>
      <x:c r="Q598" s="75" t="str">
        <x:v>N/A / none known</x:v>
      </x:c>
      <x:c r="R598" s="75" t="str">
        <x:v>N/A / none known</x:v>
      </x:c>
      <x:c r="S598" s="75" t="str">
        <x:v>N/A / none known</x:v>
      </x:c>
      <x:c r="T598" s="75" t="str">
        <x:v>N/A / none known</x:v>
      </x:c>
      <x:c r="U598" s="75" t="str">
        <x:v>N/A / none known</x:v>
      </x:c>
      <x:c r="V598" s="75" t="str">
        <x:v>N/A / none known</x:v>
      </x:c>
      <x:c r="W598" s="75" t="str">
        <x:v>N/A / none known</x:v>
      </x:c>
      <x:c r="X598" s="75" t="str">
        <x:v>N/A / none known</x:v>
      </x:c>
      <x:c r="Y598" s="75" t="str">
        <x:v>N/A / none known</x:v>
      </x:c>
      <x:c r="Z598" s="75" t="str">
        <x:v>Fosscord</x:v>
      </x:c>
      <x:c r="AA598" s="75" t="str">
        <x:v>Revolt</x:v>
      </x:c>
      <x:c r="AB598" s="75" t="str">
        <x:v>N/A / none known</x:v>
      </x:c>
      <x:c r="AC598" s="78" t="str">
        <x:v>N/A / none known</x:v>
      </x:c>
      <x:c r="AD598" s="75" t="str">
        <x:v>N/A / none known</x:v>
      </x:c>
      <x:c r="AE598" s="75" t="str">
        <x:v>N/A / none known</x:v>
      </x:c>
      <x:c r="AF598" s="75" t="str">
        <x:v>N/A / none known</x:v>
      </x:c>
      <x:c r="AG598" s="75" t="str">
        <x:v>N/A / none known</x:v>
      </x:c>
      <x:c r="AH598" s="122" t="n">
        <x:v>20</x:v>
      </x:c>
      <x:c r="AI598" s="123" t="str">
        <x:v>Canonical metric shared by: Project Origin &amp; Longevity: Former Name / Predecessor | Project &amp; Maintenance: Former Name / Predecessor</x:v>
      </x:c>
    </x:row>
    <x:row r="599">
      <x:c r="A599" s="119" t="str">
        <x:v>Project &amp; Maintenance</x:v>
      </x:c>
      <x:c r="B599" s="121" t="str">
        <x:v>Governance Model</x:v>
      </x:c>
      <x:c r="C599" s="75"/>
      <x:c r="D599" s="75"/>
      <x:c r="E599" s="75"/>
      <x:c r="F599" s="75"/>
      <x:c r="G599" s="75"/>
      <x:c r="H599" s="75"/>
      <x:c r="I599" s="75"/>
      <x:c r="J599" s="75"/>
      <x:c r="K599" s="75"/>
      <x:c r="L599" s="75" t="str">
        <x:v>Solo-maintainer project; MIT-licensed public repository</x:v>
      </x:c>
      <x:c r="M599" s="75"/>
      <x:c r="N599" s="75"/>
      <x:c r="O599" s="75"/>
      <x:c r="P599" s="75"/>
      <x:c r="Q599" s="75"/>
      <x:c r="R599" s="75"/>
      <x:c r="S599" s="75"/>
      <x:c r="T599" s="75"/>
      <x:c r="U599" s="75" t="str">
        <x:v>Independent project; AGPL development in the open</x:v>
      </x:c>
      <x:c r="V599" s="75"/>
      <x:c r="W599" s="75"/>
      <x:c r="X599" s="75"/>
      <x:c r="Y599" s="75"/>
      <x:c r="Z599" s="75"/>
      <x:c r="AA599" s="75"/>
      <x:c r="AB599" s="75"/>
      <x:c r="AC599" s="78"/>
      <x:c r="AD599" s="75"/>
      <x:c r="AE599" s="75"/>
      <x:c r="AF599" s="75"/>
      <x:c r="AG599" s="75"/>
      <x:c r="AH599" s="122" t="n">
        <x:v>21</x:v>
      </x:c>
      <x:c r="AI599" s="123" t="str">
        <x:v>Canonical metric shared by: Project Origin &amp; Longevity: Governance Model | Project &amp; Maintenance: Governance Model</x:v>
      </x:c>
    </x:row>
    <x:row r="600">
      <x:c r="A600" s="119" t="str">
        <x:v>Project &amp; Maintenance</x:v>
      </x:c>
      <x:c r="B600" s="121" t="str">
        <x:v>Release Cadence</x:v>
      </x:c>
      <x:c r="C600" s="75" t="str">
        <x:v>Stable + PTB/Beta + Canary</x:v>
      </x:c>
      <x:c r="D600" s="75" t="str">
        <x:v>Beta rolling</x:v>
      </x:c>
      <x:c r="E600" s="75" t="str">
        <x:v>Frequent beta releases</x:v>
      </x:c>
      <x:c r="F600" s="75" t="str">
        <x:v>Frequent product updates</x:v>
      </x:c>
      <x:c r="G600" s="75" t="str">
        <x:v>Alpha continuous deployment</x:v>
      </x:c>
      <x:c r="H600" s="75" t="str">
        <x:v>Stable/canary + beta mobile</x:v>
      </x:c>
      <x:c r="I600" s="75" t="str">
        <x:v>Open beta rolling releases</x:v>
      </x:c>
      <x:c r="J600" s="75" t="str">
        <x:v>Early rolling</x:v>
      </x:c>
      <x:c r="K600" s="75" t="str">
        <x:v>Rapid alpha/beta releases</x:v>
      </x:c>
      <x:c r="L600" s="75" t="str">
        <x:v>A few releases per week during current active-development phase; expected to slow (developer report)</x:v>
      </x:c>
      <x:c r="M600" s="75" t="str">
        <x:v>Alpha rolling</x:v>
      </x:c>
      <x:c r="N600" s="75" t="str">
        <x:v>Open-beta rolling</x:v>
      </x:c>
      <x:c r="O600" s="75" t="str">
        <x:v>Matrix spec releases + independent client/server release cadences</x:v>
      </x:c>
      <x:c r="P600" s="75" t="str">
        <x:v>Monthly releases + ESR</x:v>
      </x:c>
      <x:c r="Q600" s="75" t="str">
        <x:v>Active releases</x:v>
      </x:c>
      <x:c r="R600" s="75" t="str">
        <x:v>Stable releases</x:v>
      </x:c>
      <x:c r="S600" s="75" t="str">
        <x:v>Frequent GitHub releases</x:v>
      </x:c>
      <x:c r="T600" s="75" t="str">
        <x:v>Frequent beta updates</x:v>
      </x:c>
      <x:c r="U600" s="75" t="str">
        <x:v>Active releases; see https://pqp.gg/blog</x:v>
      </x:c>
      <x:c r="V600" s="75" t="str">
        <x:v>Active 2026 releases</x:v>
      </x:c>
      <x:c r="W600" s="75" t="str">
        <x:v>Frequent stable/enterprise releases</x:v>
      </x:c>
      <x:c r="X600" s="75" t="str">
        <x:v>Experimental rolling</x:v>
      </x:c>
      <x:c r="Y600" s="75" t="str">
        <x:v>Frequent product updates</x:v>
      </x:c>
      <x:c r="Z600" s="75" t="str">
        <x:v>Rolling alpha/dev</x:v>
      </x:c>
      <x:c r="AA600" s="75" t="str">
        <x:v>Rolling web/backend releases</x:v>
      </x:c>
      <x:c r="AB600" s="75" t="str">
        <x:v>TS6 Beta + TS3 stable maintenance</x:v>
      </x:c>
      <x:c r="AC600" s="78" t="str">
        <x:v>Alpha rolling</x:v>
      </x:c>
      <x:c r="AD600" s="75" t="str">
        <x:v>Alpha rolling</x:v>
      </x:c>
      <x:c r="AE600" s="75" t="str">
        <x:v>Ships frequently/public beta</x:v>
      </x:c>
      <x:c r="AF600" s="75" t="str">
        <x:v>Active beta</x:v>
      </x:c>
      <x:c r="AG600" s="75" t="str">
        <x:v>Frequent stable releases</x:v>
      </x:c>
      <x:c r="AH600" s="122" t="n">
        <x:v>23</x:v>
      </x:c>
      <x:c r="AI600" s="123" t="str">
        <x:v>Canonical source for Project &amp; Maintenance!23</x:v>
      </x:c>
    </x:row>
    <x:row r="601">
      <x:c r="A601" s="119" t="str">
        <x:v>Project &amp; Maintenance</x:v>
      </x:c>
      <x:c r="B601" s="121" t="str">
        <x:v>Public Commit Activity</x:v>
      </x:c>
      <x:c r="C601" s="75" t="str">
        <x:v>N/A for core proprietary code; selected open-source components/SDKs have public activity</x:v>
      </x:c>
      <x:c r="D601" s="75" t="str">
        <x:v>Active GitHub</x:v>
      </x:c>
      <x:c r="E601" s="75" t="str">
        <x:v>High public GitHub activity</x:v>
      </x:c>
      <x:c r="F601" s="75" t="str">
        <x:v>Closed/private code</x:v>
      </x:c>
      <x:c r="G601" s="75" t="str">
        <x:v>Private codebase; public commit velocity unavailable</x:v>
      </x:c>
      <x:c r="H601" s="75" t="str">
        <x:v>High public GitHub activity</x:v>
      </x:c>
      <x:c r="I601" s="75" t="str">
        <x:v>Active 2026 development</x:v>
      </x:c>
      <x:c r="J601" s="75" t="str">
        <x:v>Active Codeberg/GitHub</x:v>
      </x:c>
      <x:c r="K601" s="75" t="str">
        <x:v>High solo commit velocity</x:v>
      </x:c>
      <x:c r="L601" s="75" t="str">
        <x:v>High — public repository shows 247 commits at verification; developer reports 6–10 hours/day of current work</x:v>
      </x:c>
      <x:c r="M601" s="75" t="str">
        <x:v>Active</x:v>
      </x:c>
      <x:c r="N601" s="75" t="str">
        <x:v>Active</x:v>
      </x:c>
      <x:c r="O601" s="75" t="str">
        <x:v>High across spec and ecosystem repos</x:v>
      </x:c>
      <x:c r="P601" s="75" t="str">
        <x:v>High public GitHub activity</x:v>
      </x:c>
      <x:c r="Q601" s="75" t="str">
        <x:v>Active GitHub</x:v>
      </x:c>
      <x:c r="R601" s="75" t="str">
        <x:v>Active public GitHub</x:v>
      </x:c>
      <x:c r="S601" s="75" t="str">
        <x:v>Active GitHub</x:v>
      </x:c>
      <x:c r="T601" s="75" t="str">
        <x:v>Active development</x:v>
      </x:c>
      <x:c r="U601" s="75" t="str">
        <x:v>Active public GitHub repository</x:v>
      </x:c>
      <x:c r="V601" s="75" t="str">
        <x:v>Closed source</x:v>
      </x:c>
      <x:c r="W601" s="75" t="str">
        <x:v>High public GitHub activity</x:v>
      </x:c>
      <x:c r="X601" s="75" t="str">
        <x:v>Active GitHub</x:v>
      </x:c>
      <x:c r="Y601" s="75" t="str">
        <x:v>Closed source — commit velocity not public</x:v>
      </x:c>
      <x:c r="Z601" s="75" t="str">
        <x:v>Active GitHub development</x:v>
      </x:c>
      <x:c r="AA601" s="75" t="str">
        <x:v>High — active GitHub development in 2026</x:v>
      </x:c>
      <x:c r="AB601" s="75" t="str">
        <x:v>Closed source; public commit velocity N/A</x:v>
      </x:c>
      <x:c r="AC601" s="78" t="str">
        <x:v>Active GitHub</x:v>
      </x:c>
      <x:c r="AD601" s="75" t="str">
        <x:v>Active GitHub backend</x:v>
      </x:c>
      <x:c r="AE601" s="75" t="str">
        <x:v>Source-available active repo</x:v>
      </x:c>
      <x:c r="AF601" s="75" t="str">
        <x:v>Active</x:v>
      </x:c>
      <x:c r="AG601" s="75" t="str">
        <x:v>High public GitHub activity</x:v>
      </x:c>
      <x:c r="AH601" s="122" t="n">
        <x:v>24</x:v>
      </x:c>
      <x:c r="AI601" s="123" t="str">
        <x:v>Canonical source for Project &amp; Maintenance!24</x:v>
      </x:c>
    </x:row>
    <x:row r="602">
      <x:c r="A602" s="119" t="str">
        <x:v>Project &amp; Maintenance</x:v>
      </x:c>
      <x:c r="B602" s="121" t="str">
        <x:v>Public Roadmap?</x:v>
      </x:c>
      <x:c r="C602" s="75" t="str">
        <x:v>Limited — no comprehensive public product roadmap; blogs/changelogs announce plans and releases</x:v>
      </x:c>
      <x:c r="D602" s="75" t="str">
        <x:v>Public repos</x:v>
      </x:c>
      <x:c r="E602" s="75" t="str">
        <x:v>Public docs/GitHub</x:v>
      </x:c>
      <x:c r="F602" s="75" t="str">
        <x:v>Public site</x:v>
      </x:c>
      <x:c r="G602" s="75" t="str">
        <x:v>Public roadmap/story posts</x:v>
      </x:c>
      <x:c r="H602" s="75" t="str">
        <x:v>Public 2026 roadmap</x:v>
      </x:c>
      <x:c r="I602" s="75" t="str">
        <x:v>Public site/press</x:v>
      </x:c>
      <x:c r="J602" s="75" t="str">
        <x:v>Public roadmap</x:v>
      </x:c>
      <x:c r="K602" s="75" t="str">
        <x:v>Public roadmap/issues</x:v>
      </x:c>
      <x:c r="L602" s="75" t="str">
        <x:v>Yes — active roadmap in the official Kaede community (developer report)</x:v>
      </x:c>
      <x:c r="M602" s="75" t="str">
        <x:v>Public site</x:v>
      </x:c>
      <x:c r="N602" s="75" t="str">
        <x:v>Public feature tracker</x:v>
      </x:c>
      <x:c r="O602" s="75" t="str">
        <x:v>Public spec roadmap/MSC process</x:v>
      </x:c>
      <x:c r="P602" s="75" t="str">
        <x:v>Public product roadmap/release docs</x:v>
      </x:c>
      <x:c r="Q602" s="75" t="str">
        <x:v>Public docs/blog</x:v>
      </x:c>
      <x:c r="R602" s="75" t="str">
        <x:v>Public GitHub milestones/issues</x:v>
      </x:c>
      <x:c r="S602" s="75" t="str">
        <x:v>Public GitHub</x:v>
      </x:c>
      <x:c r="T602" s="75" t="str">
        <x:v>Public updates</x:v>
      </x:c>
      <x:c r="U602" s="75" t="str">
        <x:v>Public site/GitHub</x:v>
      </x:c>
      <x:c r="V602" s="75" t="str">
        <x:v>Public site/updates</x:v>
      </x:c>
      <x:c r="W602" s="75" t="str">
        <x:v>Public roadmap/release docs</x:v>
      </x:c>
      <x:c r="X602" s="75" t="str">
        <x:v>Public GitHub</x:v>
      </x:c>
      <x:c r="Y602" s="75"/>
      <x:c r="Z602" s="75" t="str">
        <x:v>Public GitHub roadmap/issues</x:v>
      </x:c>
      <x:c r="AA602" s="75" t="str">
        <x:v>Public GitHub issues/projects + update posts</x:v>
      </x:c>
      <x:c r="AB602" s="75" t="str">
        <x:v>Product roadmap/announcements</x:v>
      </x:c>
      <x:c r="AC602" s="78" t="str">
        <x:v>Public roadmap/issues</x:v>
      </x:c>
      <x:c r="AD602" s="75" t="str">
        <x:v>Public subreddit/GitHub</x:v>
      </x:c>
      <x:c r="AE602" s="75" t="str">
        <x:v>Public site</x:v>
      </x:c>
      <x:c r="AF602" s="75" t="str">
        <x:v>Public roadmap</x:v>
      </x:c>
      <x:c r="AG602" s="75" t="str">
        <x:v>Public roadmap/issues</x:v>
      </x:c>
      <x:c r="AH602" s="122" t="n">
        <x:v>25</x:v>
      </x:c>
      <x:c r="AI602" s="123" t="str">
        <x:v>Canonical metric shared by: Project Origin &amp; Longevity: Public Roadmap? | Project &amp; Maintenance: Public Roadmap?</x:v>
      </x:c>
    </x:row>
    <x:row r="603">
      <x:c r="A603" s="119" t="str">
        <x:v>Project &amp; Maintenance</x:v>
      </x:c>
      <x:c r="B603" s="121" t="str">
        <x:v>Public Issue Tracker?</x:v>
      </x:c>
      <x:c r="C603" s="75" t="str">
        <x:v>N/A for core product — no public core GitHub issue tracker; support/feedback channels are used</x:v>
      </x:c>
      <x:c r="D603" s="75" t="str">
        <x:v>Public issues</x:v>
      </x:c>
      <x:c r="E603" s="75" t="str">
        <x:v>Public issues</x:v>
      </x:c>
      <x:c r="F603" s="75" t="str">
        <x:v>Feedback/support</x:v>
      </x:c>
      <x:c r="G603" s="75"/>
      <x:c r="H603" s="75" t="str">
        <x:v>Public GitHub issues</x:v>
      </x:c>
      <x:c r="I603" s="75" t="str">
        <x:v>Support/community feedback</x:v>
      </x:c>
      <x:c r="J603" s="75" t="str">
        <x:v>Public issues</x:v>
      </x:c>
      <x:c r="K603" s="75" t="str">
        <x:v>GitHub</x:v>
      </x:c>
      <x:c r="L603" s="75" t="str">
        <x:v>Yes — GitHub Issues</x:v>
      </x:c>
      <x:c r="M603" s="75" t="str">
        <x:v>Support/community</x:v>
      </x:c>
      <x:c r="N603" s="75" t="str">
        <x:v>Community feedback</x:v>
      </x:c>
      <x:c r="O603" s="75" t="str">
        <x:v>Public GitHub issue/MSC processes</x:v>
      </x:c>
      <x:c r="P603" s="75" t="str">
        <x:v>Public GitHub issues/support</x:v>
      </x:c>
      <x:c r="Q603" s="75" t="str">
        <x:v>GitHub issues</x:v>
      </x:c>
      <x:c r="R603" s="75" t="str">
        <x:v>Public issues</x:v>
      </x:c>
      <x:c r="S603" s="75" t="str">
        <x:v>Public issues</x:v>
      </x:c>
      <x:c r="T603" s="75" t="str">
        <x:v>Community support</x:v>
      </x:c>
      <x:c r="U603" s="75" t="str">
        <x:v>GitHub/support</x:v>
      </x:c>
      <x:c r="V603" s="75" t="str">
        <x:v>Support</x:v>
      </x:c>
      <x:c r="W603" s="75" t="str">
        <x:v>Public GitHub issues</x:v>
      </x:c>
      <x:c r="X603" s="75" t="str">
        <x:v>Public issues</x:v>
      </x:c>
      <x:c r="Y603" s="75" t="str">
        <x:v>Private issue process/support</x:v>
      </x:c>
      <x:c r="Z603" s="75" t="str">
        <x:v>Public GitHub issues</x:v>
      </x:c>
      <x:c r="AA603" s="75" t="str">
        <x:v>Public issue trackers</x:v>
      </x:c>
      <x:c r="AB603" s="75" t="str">
        <x:v>Support/feedback</x:v>
      </x:c>
      <x:c r="AC603" s="78" t="str">
        <x:v>GitHub issues</x:v>
      </x:c>
      <x:c r="AD603" s="75" t="str">
        <x:v>GitHub issues</x:v>
      </x:c>
      <x:c r="AE603" s="75" t="str">
        <x:v>Support</x:v>
      </x:c>
      <x:c r="AF603" s="75" t="str">
        <x:v>Support</x:v>
      </x:c>
      <x:c r="AG603" s="75" t="str">
        <x:v>Public GitHub issues</x:v>
      </x:c>
      <x:c r="AH603" s="122" t="n">
        <x:v>26</x:v>
      </x:c>
      <x:c r="AI603" s="123" t="str">
        <x:v>Canonical source for Project &amp; Maintenance!26</x:v>
      </x:c>
    </x:row>
    <x:row r="604">
      <x:c r="A604" s="119" t="str">
        <x:v>Project &amp; Maintenance</x:v>
      </x:c>
      <x:c r="B604" s="121" t="str">
        <x:v>Public Changelog?</x:v>
      </x:c>
      <x:c r="C604" s="75" t="str">
        <x:v>Yes — public changelogs, patch notes, support updates, and developer changelog</x:v>
      </x:c>
      <x:c r="D604" s="75" t="str">
        <x:v>Git history</x:v>
      </x:c>
      <x:c r="E604" s="75" t="str">
        <x:v>Many GitHub releases</x:v>
      </x:c>
      <x:c r="F604" s="75" t="str">
        <x:v>App release notes</x:v>
      </x:c>
      <x:c r="G604" s="75"/>
      <x:c r="H604" s="75" t="str">
        <x:v>Public blog/changelog</x:v>
      </x:c>
      <x:c r="I604" s="75" t="str">
        <x:v>Public updates/press</x:v>
      </x:c>
      <x:c r="J604" s="75" t="str">
        <x:v>Public commits</x:v>
      </x:c>
      <x:c r="K604" s="75" t="str">
        <x:v>GitHub releases</x:v>
      </x:c>
      <x:c r="L604" s="75" t="str">
        <x:v>No conventional public changelog/release-note stream located; repository history is active</x:v>
      </x:c>
      <x:c r="M604" s="75" t="str">
        <x:v>Public updates</x:v>
      </x:c>
      <x:c r="N604" s="75" t="str">
        <x:v>Public site updates</x:v>
      </x:c>
      <x:c r="O604" s="75" t="str">
        <x:v>Public specification changelogs and project release notes</x:v>
      </x:c>
      <x:c r="P604" s="75" t="str">
        <x:v>Public release notes</x:v>
      </x:c>
      <x:c r="Q604" s="75" t="str">
        <x:v>Public docs/blog</x:v>
      </x:c>
      <x:c r="R604" s="75" t="str">
        <x:v>Public releases/changelog</x:v>
      </x:c>
      <x:c r="S604" s="75" t="str">
        <x:v>GitHub releases</x:v>
      </x:c>
      <x:c r="T604" s="75" t="str">
        <x:v>Public changelog/blog</x:v>
      </x:c>
      <x:c r="U604" s="75" t="str">
        <x:v>Yes — https://pqp.gg/blog</x:v>
      </x:c>
      <x:c r="V604" s="75" t="str">
        <x:v>Public site updates</x:v>
      </x:c>
      <x:c r="W604" s="75" t="str">
        <x:v>Public release notes</x:v>
      </x:c>
      <x:c r="X604" s="75" t="str">
        <x:v>GitHub commits</x:v>
      </x:c>
      <x:c r="Y604" s="75" t="str">
        <x:v>Public changelog/help docs</x:v>
      </x:c>
      <x:c r="Z604" s="75" t="str">
        <x:v>GitHub releases/commits</x:v>
      </x:c>
      <x:c r="AA604" s="75" t="str">
        <x:v>Yes — GitHub changelogs/releases and Stoat updates</x:v>
      </x:c>
      <x:c r="AB604" s="75" t="str">
        <x:v>Public news/release notes</x:v>
      </x:c>
      <x:c r="AC604" s="78" t="str">
        <x:v>GitHub releases</x:v>
      </x:c>
      <x:c r="AD604" s="75" t="str">
        <x:v>Public updates</x:v>
      </x:c>
      <x:c r="AE604" s="75" t="str">
        <x:v>Public site/repo</x:v>
      </x:c>
      <x:c r="AF604" s="75" t="str">
        <x:v>Public roadmap/updates</x:v>
      </x:c>
      <x:c r="AG604" s="75" t="str">
        <x:v>Public release notes</x:v>
      </x:c>
      <x:c r="AH604" s="122" t="n">
        <x:v>27</x:v>
      </x:c>
      <x:c r="AI604" s="123" t="str">
        <x:v>Canonical source for Project &amp; Maintenance!27</x:v>
      </x:c>
    </x:row>
    <x:row r="605">
      <x:c r="A605" s="119" t="str">
        <x:v>Project &amp; Maintenance</x:v>
      </x:c>
      <x:c r="B605" s="121" t="str">
        <x:v>Project / Maintenance Notes</x:v>
      </x:c>
      <x:c r="C605" s="75" t="str">
        <x:v>11 years 4 months (as of 2026-09-15); Stable + PTB/Beta + Canary</x:v>
      </x:c>
      <x:c r="D605" s="75" t="str">
        <x:v>&lt;1 year; Beta rolling</x:v>
      </x:c>
      <x:c r="E605" s="75" t="str">
        <x:v>~3 years; Frequent beta releases</x:v>
      </x:c>
      <x:c r="F605" s="75" t="str">
        <x:v>&lt;1 year; Frequent product updates</x:v>
      </x:c>
      <x:c r="G605" s="75" t="str">
        <x:v>10 months; Alpha continuous deployment</x:v>
      </x:c>
      <x:c r="H605" s="75" t="str">
        <x:v>~6 years; Stable/canary + beta mobile</x:v>
      </x:c>
      <x:c r="I605" s="75" t="str">
        <x:v>&lt;1 year; Open beta rolling releases</x:v>
      </x:c>
      <x:c r="J605" s="75" t="str">
        <x:v>&lt;1 year; Early rolling</x:v>
      </x:c>
      <x:c r="K605" s="75" t="str">
        <x:v>&lt;1 year; Rapid alpha/beta releases</x:v>
      </x:c>
      <x:c r="L605" s="75" t="str">
        <x:v>https://github.com/CookieNom/KaedeChat</x:v>
      </x:c>
      <x:c r="M605" s="75"/>
      <x:c r="N605" s="75" t="str">
        <x:v>&lt;1 year; Open-beta rolling</x:v>
      </x:c>
      <x:c r="O605" s="75" t="str">
        <x:v>~12 years; Matrix spec releases + independent client/server release cadences</x:v>
      </x:c>
      <x:c r="P605" s="75" t="str">
        <x:v>~11 years; Monthly releases + ESR</x:v>
      </x:c>
      <x:c r="Q605" s="75"/>
      <x:c r="R605" s="75" t="str">
        <x:v>~21 years; Stable releases</x:v>
      </x:c>
      <x:c r="S605" s="75"/>
      <x:c r="T605" s="75" t="str">
        <x:v>~2 years; Frequent beta updates</x:v>
      </x:c>
      <x:c r="U605" s="75" t="str">
        <x:v>Young open beta; independently run; release notes published at pqp.gg/blog.</x:v>
      </x:c>
      <x:c r="V605" s="75" t="str">
        <x:v>5 years; Active 2026 releases</x:v>
      </x:c>
      <x:c r="W605" s="75" t="str">
        <x:v>~11 years; Frequent stable/enterprise releases</x:v>
      </x:c>
      <x:c r="X605" s="75"/>
      <x:c r="Y605" s="75"/>
      <x:c r="Z605" s="75" t="str">
        <x:v>~5 years; Rolling alpha/dev</x:v>
      </x:c>
      <x:c r="AA605" s="75" t="str">
        <x:v>~5 years; Rolling web/backend releases</x:v>
      </x:c>
      <x:c r="AB605" s="75" t="str">
        <x:v>~27 years project / ~25 years public; TS6 Beta + TS3 stable maintenance</x:v>
      </x:c>
      <x:c r="AC605" s="78"/>
      <x:c r="AD605" s="75" t="str">
        <x:v>&lt;1 year; Alpha rolling</x:v>
      </x:c>
      <x:c r="AE605" s="75" t="str">
        <x:v>~1 year; Ships frequently/public beta</x:v>
      </x:c>
      <x:c r="AF605" s="75" t="str">
        <x:v>&lt;1 year; Active beta</x:v>
      </x:c>
      <x:c r="AG605" s="75" t="str">
        <x:v>~14 years; Frequent stable releases</x:v>
      </x:c>
      <x:c r="AH605" s="122" t="n">
        <x:v>30</x:v>
      </x:c>
      <x:c r="AI605" s="123" t="str">
        <x:v>Canonical source for Project &amp; Maintenance!30</x:v>
      </x:c>
    </x:row>
    <x:row r="606">
      <x:c r="A606" s="119" t="str">
        <x:v>Project &amp; Maintenance</x:v>
      </x:c>
      <x:c r="B606" s="121" t="str">
        <x:v>Automated CI / Build Status Public?</x:v>
      </x:c>
      <x:c r="C606" s="75" t="str">
        <x:v>Closed source</x:v>
      </x:c>
      <x:c r="D606" s="75"/>
      <x:c r="E606" s="75"/>
      <x:c r="F606" s="75"/>
      <x:c r="G606" s="75"/>
      <x:c r="H606" s="75"/>
      <x:c r="I606" s="75"/>
      <x:c r="J606" s="75"/>
      <x:c r="K606" s="75"/>
      <x:c r="L606" s="75" t="str">
        <x:v>Yes — GitHub Actions/workflows plus Make-based check/test/audit/release checks</x:v>
      </x:c>
      <x:c r="M606" s="75"/>
      <x:c r="N606" s="75"/>
      <x:c r="O606" s="75" t="str">
        <x:v>Public repos/CI</x:v>
      </x:c>
      <x:c r="P606" s="75"/>
      <x:c r="Q606" s="75"/>
      <x:c r="R606" s="75"/>
      <x:c r="S606" s="75"/>
      <x:c r="T606" s="75"/>
      <x:c r="U606" s="75"/>
      <x:c r="V606" s="75"/>
      <x:c r="W606" s="75"/>
      <x:c r="X606" s="75"/>
      <x:c r="Y606" s="75"/>
      <x:c r="Z606" s="75"/>
      <x:c r="AA606" s="75"/>
      <x:c r="AB606" s="75"/>
      <x:c r="AC606" s="78"/>
      <x:c r="AD606" s="75"/>
      <x:c r="AE606" s="75"/>
      <x:c r="AF606" s="75"/>
      <x:c r="AG606" s="75"/>
      <x:c r="AH606" s="122" t="n">
        <x:v>32</x:v>
      </x:c>
      <x:c r="AI606" s="123" t="str">
        <x:v>Canonical source for Project &amp; Maintenance!32</x:v>
      </x:c>
    </x:row>
    <x:row r="607">
      <x:c r="A607" s="119" t="str">
        <x:v>Project &amp; Maintenance</x:v>
      </x:c>
      <x:c r="B607" s="121" t="str">
        <x:v>Automated Dependency Updates?</x:v>
      </x:c>
      <x:c r="C607" s="75"/>
      <x:c r="D607" s="75"/>
      <x:c r="E607" s="75"/>
      <x:c r="F607" s="75"/>
      <x:c r="G607" s="75"/>
      <x:c r="H607" s="75"/>
      <x:c r="I607" s="75"/>
      <x:c r="J607" s="75"/>
      <x:c r="K607" s="75"/>
      <x:c r="L607" s="75" t="str">
        <x:v>Not publicly documented</x:v>
      </x:c>
      <x:c r="M607" s="75"/>
      <x:c r="N607" s="75"/>
      <x:c r="O607" s="75"/>
      <x:c r="P607" s="75"/>
      <x:c r="Q607" s="75"/>
      <x:c r="R607" s="75"/>
      <x:c r="S607" s="75"/>
      <x:c r="T607" s="75"/>
      <x:c r="U607" s="75"/>
      <x:c r="V607" s="75"/>
      <x:c r="W607" s="75"/>
      <x:c r="X607" s="75"/>
      <x:c r="Y607" s="75"/>
      <x:c r="Z607" s="75"/>
      <x:c r="AA607" s="75"/>
      <x:c r="AB607" s="75"/>
      <x:c r="AC607" s="78"/>
      <x:c r="AD607" s="75"/>
      <x:c r="AE607" s="75"/>
      <x:c r="AF607" s="75"/>
      <x:c r="AG607" s="75"/>
      <x:c r="AH607" s="122" t="n">
        <x:v>33</x:v>
      </x:c>
      <x:c r="AI607" s="123" t="str">
        <x:v>Canonical source for Project &amp; Maintenance!33</x:v>
      </x:c>
    </x:row>
    <x:row r="608">
      <x:c r="A608" s="119" t="str">
        <x:v>Project &amp; Maintenance</x:v>
      </x:c>
      <x:c r="B608" s="121" t="str">
        <x:v>Release Artifact Signing / Provenance?</x:v>
      </x:c>
      <x:c r="C608" s="75"/>
      <x:c r="D608" s="75"/>
      <x:c r="E608" s="75"/>
      <x:c r="F608" s="75"/>
      <x:c r="G608" s="75"/>
      <x:c r="H608" s="75"/>
      <x:c r="I608" s="75"/>
      <x:c r="J608" s="75"/>
      <x:c r="K608" s="75"/>
      <x:c r="L608" s="75" t="str">
        <x:v>Not publicly documented</x:v>
      </x:c>
      <x:c r="M608" s="75"/>
      <x:c r="N608" s="75"/>
      <x:c r="O608" s="75"/>
      <x:c r="P608" s="75"/>
      <x:c r="Q608" s="75"/>
      <x:c r="R608" s="75"/>
      <x:c r="S608" s="75"/>
      <x:c r="T608" s="75"/>
      <x:c r="U608" s="75"/>
      <x:c r="V608" s="75"/>
      <x:c r="W608" s="75"/>
      <x:c r="X608" s="75"/>
      <x:c r="Y608" s="75"/>
      <x:c r="Z608" s="75"/>
      <x:c r="AA608" s="75"/>
      <x:c r="AB608" s="75"/>
      <x:c r="AC608" s="78"/>
      <x:c r="AD608" s="75"/>
      <x:c r="AE608" s="75"/>
      <x:c r="AF608" s="75"/>
      <x:c r="AG608" s="75"/>
      <x:c r="AH608" s="122" t="n">
        <x:v>34</x:v>
      </x:c>
      <x:c r="AI608" s="123" t="str">
        <x:v>Canonical source for Project &amp; Maintenance!34</x:v>
      </x:c>
    </x:row>
    <x:row r="609">
      <x:c r="A609" s="119" t="str">
        <x:v>Project &amp; Maintenance</x:v>
      </x:c>
      <x:c r="B609" s="121" t="str">
        <x:v>Public Contributor Count / Bus Factor Signal</x:v>
      </x:c>
      <x:c r="C609" s="75" t="str">
        <x:v>Company development</x:v>
      </x:c>
      <x:c r="D609" s="75"/>
      <x:c r="E609" s="75"/>
      <x:c r="F609" s="75"/>
      <x:c r="G609" s="75"/>
      <x:c r="H609" s="75"/>
      <x:c r="I609" s="75"/>
      <x:c r="J609" s="75"/>
      <x:c r="K609" s="75"/>
      <x:c r="L609" s="75" t="str">
        <x:v>Solo-maintainer bus factor; private security researcher assists with bug finding</x:v>
      </x:c>
      <x:c r="M609" s="75"/>
      <x:c r="N609" s="75"/>
      <x:c r="O609" s="75"/>
      <x:c r="P609" s="75"/>
      <x:c r="Q609" s="75"/>
      <x:c r="R609" s="75"/>
      <x:c r="S609" s="75"/>
      <x:c r="T609" s="75"/>
      <x:c r="U609" s="75"/>
      <x:c r="V609" s="75" t="str">
        <x:v>Company Development</x:v>
      </x:c>
      <x:c r="W609" s="75"/>
      <x:c r="X609" s="75"/>
      <x:c r="Y609" s="75"/>
      <x:c r="Z609" s="75"/>
      <x:c r="AA609" s="75" t="str">
        <x:v>Open-source contributors</x:v>
      </x:c>
      <x:c r="AB609" s="75"/>
      <x:c r="AC609" s="78"/>
      <x:c r="AD609" s="75"/>
      <x:c r="AE609" s="75"/>
      <x:c r="AF609" s="75"/>
      <x:c r="AG609" s="75"/>
      <x:c r="AH609" s="122" t="n">
        <x:v>35</x:v>
      </x:c>
      <x:c r="AI609" s="123" t="str">
        <x:v>Canonical source for Project &amp; Maintenance!35</x:v>
      </x:c>
    </x:row>
    <x:row r="610">
      <x:c r="A610" s="119" t="str">
        <x:v>Project &amp; Maintenance</x:v>
      </x:c>
      <x:c r="B610" s="121" t="str">
        <x:v>Version Support / EOL Policy</x:v>
      </x:c>
      <x:c r="C610" s="75" t="str">
        <x:v>SaaS continuous</x:v>
      </x:c>
      <x:c r="D610" s="75"/>
      <x:c r="E610" s="75"/>
      <x:c r="F610" s="75"/>
      <x:c r="G610" s="75"/>
      <x:c r="H610" s="75"/>
      <x:c r="I610" s="75"/>
      <x:c r="J610" s="75"/>
      <x:c r="K610" s="75"/>
      <x:c r="L610" s="75" t="str">
        <x:v>No published version-support/EOL policy</x:v>
      </x:c>
      <x:c r="M610" s="75"/>
      <x:c r="N610" s="75"/>
      <x:c r="O610" s="75"/>
      <x:c r="P610" s="75" t="str">
        <x:v>Yes — ESR/support lifecycle</x:v>
      </x:c>
      <x:c r="Q610" s="75"/>
      <x:c r="R610" s="75"/>
      <x:c r="S610" s="75"/>
      <x:c r="T610" s="75"/>
      <x:c r="U610" s="75"/>
      <x:c r="V610" s="75" t="str">
        <x:v>SaaS Continuious</x:v>
      </x:c>
      <x:c r="W610" s="75" t="str">
        <x:v>Yes — documented support window</x:v>
      </x:c>
      <x:c r="X610" s="75"/>
      <x:c r="Y610" s="75"/>
      <x:c r="Z610" s="75"/>
      <x:c r="AA610" s="75"/>
      <x:c r="AB610" s="75"/>
      <x:c r="AC610" s="78"/>
      <x:c r="AD610" s="75"/>
      <x:c r="AE610" s="75"/>
      <x:c r="AF610" s="75"/>
      <x:c r="AG610" s="75"/>
      <x:c r="AH610" s="122" t="n">
        <x:v>36</x:v>
      </x:c>
      <x:c r="AI610" s="123" t="str">
        <x:v>Canonical source for Project &amp; Maintenance!36</x:v>
      </x:c>
    </x:row>
    <x:row r="611">
      <x:c r="A611" s="119" t="str">
        <x:v>Maintenance &amp; Updates</x:v>
      </x:c>
      <x:c r="B611" s="121" t="str">
        <x:v>Release Cadence (Nightly / Canary / Stable)</x:v>
      </x:c>
      <x:c r="C611" s="75" t="str">
        <x:v>Stable + PTB/Beta + Canary</x:v>
      </x:c>
      <x:c r="D611" s="75" t="str">
        <x:v>Beta rolling</x:v>
      </x:c>
      <x:c r="E611" s="75" t="str">
        <x:v>Frequent beta releases</x:v>
      </x:c>
      <x:c r="F611" s="75" t="str">
        <x:v>Frequent product updates</x:v>
      </x:c>
      <x:c r="G611" s="75" t="str">
        <x:v>Alpha continuous deployment</x:v>
      </x:c>
      <x:c r="H611" s="75" t="str">
        <x:v>Stable/canary + beta mobile</x:v>
      </x:c>
      <x:c r="I611" s="75" t="str">
        <x:v>Open beta rolling releases</x:v>
      </x:c>
      <x:c r="J611" s="75" t="str">
        <x:v>Early rolling</x:v>
      </x:c>
      <x:c r="K611" s="75" t="str">
        <x:v>Rapid alpha/beta releases</x:v>
      </x:c>
      <x:c r="L611" s="75" t="str">
        <x:v>A few releases per week during current active-development phase; expected to slow (developer report)</x:v>
      </x:c>
      <x:c r="M611" s="75" t="str">
        <x:v>Alpha rolling</x:v>
      </x:c>
      <x:c r="N611" s="75" t="str">
        <x:v>Open-beta rolling</x:v>
      </x:c>
      <x:c r="O611" s="75" t="str">
        <x:v>Matrix spec releases + independent client/server release cadences</x:v>
      </x:c>
      <x:c r="P611" s="75" t="str">
        <x:v>Monthly releases + ESR</x:v>
      </x:c>
      <x:c r="Q611" s="75" t="str">
        <x:v>Active releases</x:v>
      </x:c>
      <x:c r="R611" s="75" t="str">
        <x:v>Stable releases</x:v>
      </x:c>
      <x:c r="S611" s="75" t="str">
        <x:v>Frequent GitHub releases</x:v>
      </x:c>
      <x:c r="T611" s="75" t="str">
        <x:v>Frequent beta updates</x:v>
      </x:c>
      <x:c r="U611" s="75" t="str">
        <x:v>Active beta releases; see https://pqp.gg/blog</x:v>
      </x:c>
      <x:c r="V611" s="75" t="str">
        <x:v>Active 2026 releases</x:v>
      </x:c>
      <x:c r="W611" s="75" t="str">
        <x:v>Frequent stable/enterprise releases</x:v>
      </x:c>
      <x:c r="X611" s="75" t="str">
        <x:v>Experimental rolling</x:v>
      </x:c>
      <x:c r="Y611" s="75" t="str">
        <x:v>Frequent product updates</x:v>
      </x:c>
      <x:c r="Z611" s="75" t="str">
        <x:v>Rolling alpha/dev</x:v>
      </x:c>
      <x:c r="AA611" s="75" t="str">
        <x:v>Rolling web/backend releases</x:v>
      </x:c>
      <x:c r="AB611" s="75" t="str">
        <x:v>TS6 Beta + TS3 stable maintenance</x:v>
      </x:c>
      <x:c r="AC611" s="78" t="str">
        <x:v>Alpha rolling</x:v>
      </x:c>
      <x:c r="AD611" s="75" t="str">
        <x:v>Alpha rolling</x:v>
      </x:c>
      <x:c r="AE611" s="75" t="str">
        <x:v>Ships frequently/public beta</x:v>
      </x:c>
      <x:c r="AF611" s="75" t="str">
        <x:v>Active beta</x:v>
      </x:c>
      <x:c r="AG611" s="75" t="str">
        <x:v>Frequent stable releases</x:v>
      </x:c>
      <x:c r="AH611" s="122" t="n">
        <x:v>3</x:v>
      </x:c>
      <x:c r="AI611" s="123" t="str">
        <x:v>Canonical source for Maintenance &amp; Updates!3</x:v>
      </x:c>
    </x:row>
    <x:row r="612">
      <x:c r="A612" s="119" t="str">
        <x:v>Maintenance &amp; Updates</x:v>
      </x:c>
      <x:c r="B612" s="121" t="str">
        <x:v>Commit Velocity / GitHub Activity</x:v>
      </x:c>
      <x:c r="C612" s="75" t="str">
        <x:v>N/A for core proprietary code; selected open-source components/SDKs have public activity</x:v>
      </x:c>
      <x:c r="D612" s="75" t="str">
        <x:v>Active GitHub</x:v>
      </x:c>
      <x:c r="E612" s="75" t="str">
        <x:v>High public GitHub activity</x:v>
      </x:c>
      <x:c r="F612" s="75" t="str">
        <x:v>Closed/private code</x:v>
      </x:c>
      <x:c r="G612" s="75" t="str">
        <x:v>Private codebase; public commit velocity unavailable</x:v>
      </x:c>
      <x:c r="H612" s="75" t="str">
        <x:v>High public GitHub activity</x:v>
      </x:c>
      <x:c r="I612" s="75" t="str">
        <x:v>Active 2026 development</x:v>
      </x:c>
      <x:c r="J612" s="75" t="str">
        <x:v>Active Codeberg/GitHub</x:v>
      </x:c>
      <x:c r="K612" s="75" t="str">
        <x:v>High solo commit velocity</x:v>
      </x:c>
      <x:c r="L612" s="75" t="str">
        <x:v>High — public repository shows 247 commits at verification; developer reports 6–10 hours/day of current work</x:v>
      </x:c>
      <x:c r="M612" s="75" t="str">
        <x:v>Active</x:v>
      </x:c>
      <x:c r="N612" s="75" t="str">
        <x:v>Active</x:v>
      </x:c>
      <x:c r="O612" s="75" t="str">
        <x:v>High across spec and ecosystem repos</x:v>
      </x:c>
      <x:c r="P612" s="75" t="str">
        <x:v>High public GitHub activity</x:v>
      </x:c>
      <x:c r="Q612" s="75" t="str">
        <x:v>Active GitHub</x:v>
      </x:c>
      <x:c r="R612" s="75" t="str">
        <x:v>Active public GitHub</x:v>
      </x:c>
      <x:c r="S612" s="75" t="str">
        <x:v>Active GitHub</x:v>
      </x:c>
      <x:c r="T612" s="75" t="str">
        <x:v>Active development</x:v>
      </x:c>
      <x:c r="U612" s="75" t="str">
        <x:v>Active public GitHub repository</x:v>
      </x:c>
      <x:c r="V612" s="75" t="str">
        <x:v>Closed source</x:v>
      </x:c>
      <x:c r="W612" s="75" t="str">
        <x:v>High public GitHub activity</x:v>
      </x:c>
      <x:c r="X612" s="75" t="str">
        <x:v>Active GitHub</x:v>
      </x:c>
      <x:c r="Y612" s="75" t="str">
        <x:v>Closed source — commit velocity not public</x:v>
      </x:c>
      <x:c r="Z612" s="75" t="str">
        <x:v>Active GitHub development</x:v>
      </x:c>
      <x:c r="AA612" s="75" t="str">
        <x:v>High — active GitHub development in 2026</x:v>
      </x:c>
      <x:c r="AB612" s="75" t="str">
        <x:v>Closed source; public commit velocity N/A</x:v>
      </x:c>
      <x:c r="AC612" s="78" t="str">
        <x:v>Active GitHub</x:v>
      </x:c>
      <x:c r="AD612" s="75" t="str">
        <x:v>Active GitHub backend</x:v>
      </x:c>
      <x:c r="AE612" s="75" t="str">
        <x:v>Source-available active repo</x:v>
      </x:c>
      <x:c r="AF612" s="75" t="str">
        <x:v>Active</x:v>
      </x:c>
      <x:c r="AG612" s="75" t="str">
        <x:v>High public GitHub activity</x:v>
      </x:c>
      <x:c r="AH612" s="122" t="n">
        <x:v>4</x:v>
      </x:c>
      <x:c r="AI612" s="123" t="str">
        <x:v>Canonical source for Maintenance &amp; Updates!4</x:v>
      </x:c>
    </x:row>
    <x:row r="613">
      <x:c r="A613" s="119" t="str">
        <x:v>Maintenance &amp; Updates</x:v>
      </x:c>
      <x:c r="B613" s="121" t="str">
        <x:v>Maintainer Structure (Solo Dev / Small Collective / Foundation / Corp)</x:v>
      </x:c>
      <x:c r="C613" s="75" t="str">
        <x:v>Corp (Discord Inc.)</x:v>
      </x:c>
      <x:c r="D613" s="75" t="str">
        <x:v>Open-source team</x:v>
      </x:c>
      <x:c r="E613" s="75" t="str">
        <x:v>Solo-led + contributors</x:v>
      </x:c>
      <x:c r="F613" s="75" t="str">
        <x:v>Tiny Canadian team</x:v>
      </x:c>
      <x:c r="G613" s="75" t="str">
        <x:v>Solo founder / tiny team</x:v>
      </x:c>
      <x:c r="H613" s="75" t="str">
        <x:v>Small company/open-source team</x:v>
      </x:c>
      <x:c r="I613" s="75" t="str">
        <x:v>Founder-led company</x:v>
      </x:c>
      <x:c r="J613" s="75" t="str">
        <x:v>Volunteer project</x:v>
      </x:c>
      <x:c r="K613" s="75" t="str">
        <x:v>Solo dev</x:v>
      </x:c>
      <x:c r="L613" s="75" t="str">
        <x:v>1 primary developer; security-researcher friend provides private review/bug reports (developer report)</x:v>
      </x:c>
      <x:c r="M613" s="75" t="str">
        <x:v>Small team</x:v>
      </x:c>
      <x:c r="N613" s="75" t="str">
        <x:v>Small team</x:v>
      </x:c>
      <x:c r="O613" s="75" t="str">
        <x:v>Nonprofit foundation + ecosystem companies/projects</x:v>
      </x:c>
      <x:c r="P613" s="75" t="str">
        <x:v>Corp + open-source community</x:v>
      </x:c>
      <x:c r="Q613" s="75" t="str">
        <x:v>Company/open-source team</x:v>
      </x:c>
      <x:c r="R613" s="75" t="str">
        <x:v>Community project</x:v>
      </x:c>
      <x:c r="S613" s="75" t="str">
        <x:v>Solo/small community</x:v>
      </x:c>
      <x:c r="T613" s="75" t="str">
        <x:v>Small startup team</x:v>
      </x:c>
      <x:c r="U613" s="75" t="str">
        <x:v>Independently run; exact team size not stated</x:v>
      </x:c>
      <x:c r="V613" s="75" t="str">
        <x:v>Small private company</x:v>
      </x:c>
      <x:c r="W613" s="75" t="str">
        <x:v>Corp + community</x:v>
      </x:c>
      <x:c r="X613" s="75" t="str">
        <x:v>Open-source community</x:v>
      </x:c>
      <x:c r="Y613" s="75" t="str">
        <x:v>Corp</x:v>
      </x:c>
      <x:c r="Z613" s="75" t="str">
        <x:v>Volunteer project</x:v>
      </x:c>
      <x:c r="AA613" s="75" t="str">
        <x:v>Small open-source collective</x:v>
      </x:c>
      <x:c r="AB613" s="75" t="str">
        <x:v>Corp</x:v>
      </x:c>
      <x:c r="AC613" s="78" t="str">
        <x:v>Volunteer/open-source team</x:v>
      </x:c>
      <x:c r="AD613" s="75" t="str">
        <x:v>Small founder-led team</x:v>
      </x:c>
      <x:c r="AE613" s="75" t="str">
        <x:v>Solo developer</x:v>
      </x:c>
      <x:c r="AF613" s="75" t="str">
        <x:v>Small team</x:v>
      </x:c>
      <x:c r="AG613" s="75" t="str">
        <x:v>Independent company + community</x:v>
      </x:c>
      <x:c r="AH613" s="122" t="n">
        <x:v>5</x:v>
      </x:c>
      <x:c r="AI613" s="123" t="str">
        <x:v>Canonical source for Maintenance &amp; Updates!5</x:v>
      </x:c>
    </x:row>
    <x:row r="614">
      <x:c r="A614" s="119" t="str">
        <x:v>Maintenance &amp; Updates</x:v>
      </x:c>
      <x:c r="B614" s="121" t="str">
        <x:v>Public Roadmap Availability</x:v>
      </x:c>
      <x:c r="C614" s="75" t="str">
        <x:v>Limited — no comprehensive public product roadmap; blogs/changelogs announce plans and releases</x:v>
      </x:c>
      <x:c r="D614" s="75" t="str">
        <x:v>Public repos</x:v>
      </x:c>
      <x:c r="E614" s="75" t="str">
        <x:v>Public docs/GitHub</x:v>
      </x:c>
      <x:c r="F614" s="75" t="str">
        <x:v>Public site</x:v>
      </x:c>
      <x:c r="G614" s="75" t="str">
        <x:v>Public roadmap/story posts</x:v>
      </x:c>
      <x:c r="H614" s="75" t="str">
        <x:v>Public 2026 roadmap</x:v>
      </x:c>
      <x:c r="I614" s="75" t="str">
        <x:v>Public site/press</x:v>
      </x:c>
      <x:c r="J614" s="75" t="str">
        <x:v>Public roadmap</x:v>
      </x:c>
      <x:c r="K614" s="75" t="str">
        <x:v>Public roadmap/issues</x:v>
      </x:c>
      <x:c r="L614" s="75" t="str">
        <x:v>Yes — active roadmap in the official Kaede community (developer report)</x:v>
      </x:c>
      <x:c r="M614" s="75" t="str">
        <x:v>Public site</x:v>
      </x:c>
      <x:c r="N614" s="75" t="str">
        <x:v>Public feature tracker</x:v>
      </x:c>
      <x:c r="O614" s="75" t="str">
        <x:v>Public spec roadmap/MSC process</x:v>
      </x:c>
      <x:c r="P614" s="75" t="str">
        <x:v>Public product roadmap/release docs</x:v>
      </x:c>
      <x:c r="Q614" s="75" t="str">
        <x:v>Public docs/blog</x:v>
      </x:c>
      <x:c r="R614" s="75" t="str">
        <x:v>Public GitHub milestones/issues</x:v>
      </x:c>
      <x:c r="S614" s="75" t="str">
        <x:v>Public GitHub</x:v>
      </x:c>
      <x:c r="T614" s="75" t="str">
        <x:v>Public updates</x:v>
      </x:c>
      <x:c r="U614" s="75" t="str">
        <x:v>Public site/GitHub</x:v>
      </x:c>
      <x:c r="V614" s="75" t="str">
        <x:v>Public site/updates</x:v>
      </x:c>
      <x:c r="W614" s="75" t="str">
        <x:v>Public roadmap/release docs</x:v>
      </x:c>
      <x:c r="X614" s="75" t="str">
        <x:v>Public GitHub</x:v>
      </x:c>
      <x:c r="Y614" s="75"/>
      <x:c r="Z614" s="75" t="str">
        <x:v>Public GitHub roadmap/issues</x:v>
      </x:c>
      <x:c r="AA614" s="75" t="str">
        <x:v>Public GitHub issues/projects + update posts</x:v>
      </x:c>
      <x:c r="AB614" s="75" t="str">
        <x:v>Product roadmap/announcements</x:v>
      </x:c>
      <x:c r="AC614" s="78" t="str">
        <x:v>Public roadmap/issues</x:v>
      </x:c>
      <x:c r="AD614" s="75" t="str">
        <x:v>Public subreddit/GitHub</x:v>
      </x:c>
      <x:c r="AE614" s="75" t="str">
        <x:v>Public site</x:v>
      </x:c>
      <x:c r="AF614" s="75" t="str">
        <x:v>Public roadmap</x:v>
      </x:c>
      <x:c r="AG614" s="75" t="str">
        <x:v>Public roadmap/issues</x:v>
      </x:c>
      <x:c r="AH614" s="122" t="n">
        <x:v>6</x:v>
      </x:c>
      <x:c r="AI614" s="123" t="str">
        <x:v>Canonical source for Maintenance &amp; Updates!6</x:v>
      </x:c>
    </x:row>
    <x:row r="615">
      <x:c r="A615" s="119" t="str">
        <x:v>Maintenance &amp; Updates</x:v>
      </x:c>
      <x:c r="B615" s="121" t="str">
        <x:v>Issue Tracker Responsiveness</x:v>
      </x:c>
      <x:c r="C615" s="75" t="str">
        <x:v>N/A for core product — no public core GitHub issue tracker; support/feedback channels are used</x:v>
      </x:c>
      <x:c r="D615" s="75" t="str">
        <x:v>Public issues</x:v>
      </x:c>
      <x:c r="E615" s="75" t="str">
        <x:v>Public issues</x:v>
      </x:c>
      <x:c r="F615" s="75" t="str">
        <x:v>Feedback/support</x:v>
      </x:c>
      <x:c r="G615" s="75"/>
      <x:c r="H615" s="75" t="str">
        <x:v>Public GitHub issues</x:v>
      </x:c>
      <x:c r="I615" s="75" t="str">
        <x:v>Support/community feedback</x:v>
      </x:c>
      <x:c r="J615" s="75" t="str">
        <x:v>Public issues</x:v>
      </x:c>
      <x:c r="K615" s="75" t="str">
        <x:v>GitHub</x:v>
      </x:c>
      <x:c r="L615" s="75"/>
      <x:c r="M615" s="75" t="str">
        <x:v>Support/community</x:v>
      </x:c>
      <x:c r="N615" s="75" t="str">
        <x:v>Community feedback</x:v>
      </x:c>
      <x:c r="O615" s="75" t="str">
        <x:v>Public GitHub issue/MSC processes</x:v>
      </x:c>
      <x:c r="P615" s="75" t="str">
        <x:v>Public GitHub issues/support</x:v>
      </x:c>
      <x:c r="Q615" s="75" t="str">
        <x:v>GitHub issues</x:v>
      </x:c>
      <x:c r="R615" s="75" t="str">
        <x:v>Public issues</x:v>
      </x:c>
      <x:c r="S615" s="75" t="str">
        <x:v>Public issues</x:v>
      </x:c>
      <x:c r="T615" s="75" t="str">
        <x:v>Community support</x:v>
      </x:c>
      <x:c r="U615" s="75" t="str">
        <x:v>GitHub/support</x:v>
      </x:c>
      <x:c r="V615" s="75" t="str">
        <x:v>Support</x:v>
      </x:c>
      <x:c r="W615" s="75" t="str">
        <x:v>Public GitHub issues</x:v>
      </x:c>
      <x:c r="X615" s="75" t="str">
        <x:v>Public issues</x:v>
      </x:c>
      <x:c r="Y615" s="75" t="str">
        <x:v>Private issue process/support</x:v>
      </x:c>
      <x:c r="Z615" s="75" t="str">
        <x:v>Public GitHub issues</x:v>
      </x:c>
      <x:c r="AA615" s="75" t="str">
        <x:v>Public issue trackers</x:v>
      </x:c>
      <x:c r="AB615" s="75" t="str">
        <x:v>Support/feedback</x:v>
      </x:c>
      <x:c r="AC615" s="78" t="str">
        <x:v>GitHub issues</x:v>
      </x:c>
      <x:c r="AD615" s="75" t="str">
        <x:v>GitHub issues</x:v>
      </x:c>
      <x:c r="AE615" s="75" t="str">
        <x:v>Support</x:v>
      </x:c>
      <x:c r="AF615" s="75" t="str">
        <x:v>Support</x:v>
      </x:c>
      <x:c r="AG615" s="75" t="str">
        <x:v>Public GitHub issues</x:v>
      </x:c>
      <x:c r="AH615" s="122" t="n">
        <x:v>7</x:v>
      </x:c>
      <x:c r="AI615" s="123" t="str">
        <x:v>Canonical source for Maintenance &amp; Updates!7</x:v>
      </x:c>
    </x:row>
    <x:row r="616">
      <x:c r="A616" s="119" t="str">
        <x:v>Maintenance &amp; Updates</x:v>
      </x:c>
      <x:c r="B616" s="121" t="str">
        <x:v>Public Changelog &amp; Release Notes</x:v>
      </x:c>
      <x:c r="C616" s="75" t="str">
        <x:v>Yes — public changelogs, patch notes, support updates, and developer changelog</x:v>
      </x:c>
      <x:c r="D616" s="75" t="str">
        <x:v>Git history</x:v>
      </x:c>
      <x:c r="E616" s="75" t="str">
        <x:v>Many GitHub releases</x:v>
      </x:c>
      <x:c r="F616" s="75" t="str">
        <x:v>App release notes</x:v>
      </x:c>
      <x:c r="G616" s="75"/>
      <x:c r="H616" s="75" t="str">
        <x:v>Public blog/changelog</x:v>
      </x:c>
      <x:c r="I616" s="75" t="str">
        <x:v>Public updates/press</x:v>
      </x:c>
      <x:c r="J616" s="75" t="str">
        <x:v>Public commits</x:v>
      </x:c>
      <x:c r="K616" s="75" t="str">
        <x:v>GitHub releases</x:v>
      </x:c>
      <x:c r="L616" s="75" t="str">
        <x:v>No conventional public changelog/release-note stream located; repository history is active</x:v>
      </x:c>
      <x:c r="M616" s="75" t="str">
        <x:v>Public updates</x:v>
      </x:c>
      <x:c r="N616" s="75" t="str">
        <x:v>Public site updates</x:v>
      </x:c>
      <x:c r="O616" s="75" t="str">
        <x:v>Public specification changelogs and project release notes</x:v>
      </x:c>
      <x:c r="P616" s="75" t="str">
        <x:v>Public release notes</x:v>
      </x:c>
      <x:c r="Q616" s="75" t="str">
        <x:v>Public docs/blog</x:v>
      </x:c>
      <x:c r="R616" s="75" t="str">
        <x:v>Public releases/changelog</x:v>
      </x:c>
      <x:c r="S616" s="75" t="str">
        <x:v>GitHub releases</x:v>
      </x:c>
      <x:c r="T616" s="75" t="str">
        <x:v>Public changelog/blog</x:v>
      </x:c>
      <x:c r="U616" s="75" t="str">
        <x:v>Yes — https://pqp.gg/blog</x:v>
      </x:c>
      <x:c r="V616" s="75" t="str">
        <x:v>Public site updates</x:v>
      </x:c>
      <x:c r="W616" s="75" t="str">
        <x:v>Public release notes</x:v>
      </x:c>
      <x:c r="X616" s="75" t="str">
        <x:v>GitHub commits</x:v>
      </x:c>
      <x:c r="Y616" s="75" t="str">
        <x:v>Public changelog/help docs</x:v>
      </x:c>
      <x:c r="Z616" s="75" t="str">
        <x:v>GitHub releases/commits</x:v>
      </x:c>
      <x:c r="AA616" s="75" t="str">
        <x:v>Yes — GitHub changelogs/releases and Stoat updates</x:v>
      </x:c>
      <x:c r="AB616" s="75" t="str">
        <x:v>Public news/release notes</x:v>
      </x:c>
      <x:c r="AC616" s="78" t="str">
        <x:v>GitHub releases</x:v>
      </x:c>
      <x:c r="AD616" s="75" t="str">
        <x:v>Public updates</x:v>
      </x:c>
      <x:c r="AE616" s="75" t="str">
        <x:v>Public site/repo</x:v>
      </x:c>
      <x:c r="AF616" s="75" t="str">
        <x:v>Public roadmap/updates</x:v>
      </x:c>
      <x:c r="AG616" s="75" t="str">
        <x:v>Public release notes</x:v>
      </x:c>
      <x:c r="AH616" s="122" t="n">
        <x:v>8</x:v>
      </x:c>
      <x:c r="AI616" s="123" t="str">
        <x:v>Canonical source for Maintenance &amp; Updates!8</x:v>
      </x:c>
    </x:row>
    <x:row r="617">
      <x:c r="A617" s="119" t="str">
        <x:v>Maintenance &amp; Updates</x:v>
      </x:c>
      <x:c r="B617" s="121" t="str">
        <x:v>Last Major Release Date</x:v>
      </x:c>
      <x:c r="C617" s="75"/>
      <x:c r="D617" s="75"/>
      <x:c r="E617" s="75"/>
      <x:c r="F617" s="75"/>
      <x:c r="G617" s="75"/>
      <x:c r="H617" s="75"/>
      <x:c r="I617" s="75"/>
      <x:c r="J617" s="75"/>
      <x:c r="K617" s="75"/>
      <x:c r="L617" s="75" t="str">
        <x:v>No formal public launch</x:v>
      </x:c>
      <x:c r="M617" s="75"/>
      <x:c r="N617" s="75"/>
      <x:c r="O617" s="75"/>
      <x:c r="P617" s="75"/>
      <x:c r="Q617" s="75"/>
      <x:c r="R617" s="75"/>
      <x:c r="S617" s="75"/>
      <x:c r="T617" s="75"/>
      <x:c r="U617" s="75"/>
      <x:c r="V617" s="75"/>
      <x:c r="W617" s="75"/>
      <x:c r="X617" s="75"/>
      <x:c r="Y617" s="75"/>
      <x:c r="Z617" s="75"/>
      <x:c r="AA617" s="75"/>
      <x:c r="AB617" s="75"/>
      <x:c r="AC617" s="78"/>
      <x:c r="AD617" s="75"/>
      <x:c r="AE617" s="75"/>
      <x:c r="AF617" s="75"/>
      <x:c r="AG617" s="75"/>
      <x:c r="AH617" s="122" t="n">
        <x:v>10</x:v>
      </x:c>
      <x:c r="AI617" s="123" t="str">
        <x:v>Canonical metric shared by: Project Origin &amp; Longevity: Last Major Release Date | Project &amp; Maintenance: Last Major Release Date | Maintenance &amp; Updates: Last Major Release Date</x:v>
      </x:c>
    </x:row>
    <x:row r="618">
      <x:c r="A618" s="119" t="str">
        <x:v>Maintenance &amp; Updates</x:v>
      </x:c>
      <x:c r="B618" s="121" t="str">
        <x:v>Security Advisories?</x:v>
      </x:c>
      <x:c r="C618" s="75" t="str">
        <x:v>Yes</x:v>
      </x:c>
      <x:c r="D618" s="75"/>
      <x:c r="E618" s="75"/>
      <x:c r="F618" s="75"/>
      <x:c r="G618" s="75"/>
      <x:c r="H618" s="75"/>
      <x:c r="I618" s="75"/>
      <x:c r="J618" s="75"/>
      <x:c r="K618" s="75"/>
      <x:c r="L618" s="75" t="str">
        <x:v>No public security advisories located</x:v>
      </x:c>
      <x:c r="M618" s="75"/>
      <x:c r="N618" s="75"/>
      <x:c r="O618" s="75" t="str">
        <x:v>Yes</x:v>
      </x:c>
      <x:c r="P618" s="75" t="str">
        <x:v>Yes</x:v>
      </x:c>
      <x:c r="Q618" s="75"/>
      <x:c r="R618" s="75" t="str">
        <x:v>Yes</x:v>
      </x:c>
      <x:c r="S618" s="75"/>
      <x:c r="T618" s="75"/>
      <x:c r="U618" s="75" t="str">
        <x:v>No public breach/CVE story; security contact is published</x:v>
      </x:c>
      <x:c r="V618" s="75" t="str">
        <x:v>No Known</x:v>
      </x:c>
      <x:c r="W618" s="75" t="str">
        <x:v>Yes</x:v>
      </x:c>
      <x:c r="X618" s="75"/>
      <x:c r="Y618" s="75"/>
      <x:c r="Z618" s="75"/>
      <x:c r="AA618" s="75"/>
      <x:c r="AB618" s="75"/>
      <x:c r="AC618" s="78"/>
      <x:c r="AD618" s="75"/>
      <x:c r="AE618" s="75"/>
      <x:c r="AF618" s="75"/>
      <x:c r="AG618" s="75"/>
      <x:c r="AH618" s="122" t="n">
        <x:v>11</x:v>
      </x:c>
      <x:c r="AI618" s="123" t="str">
        <x:v>Canonical metric shared by: Project Origin &amp; Longevity: Security Advisories? | Project &amp; Maintenance: Security Advisories? | Maintenance &amp; Updates: Security Advisories?</x:v>
      </x:c>
    </x:row>
    <x:row r="619">
      <x:c r="A619" s="119" t="str">
        <x:v>Maintenance &amp; Updates</x:v>
      </x:c>
      <x:c r="B619" s="121" t="str">
        <x:v>Published Support / EOL Window</x:v>
      </x:c>
      <x:c r="C619" s="75" t="str">
        <x:v>Service continuously updated / no version EOL</x:v>
      </x:c>
      <x:c r="D619" s="75"/>
      <x:c r="E619" s="75"/>
      <x:c r="F619" s="75"/>
      <x:c r="G619" s="75"/>
      <x:c r="H619" s="75"/>
      <x:c r="I619" s="75"/>
      <x:c r="J619" s="75"/>
      <x:c r="K619" s="75"/>
      <x:c r="L619" s="75" t="str">
        <x:v>No published version-support/EOL policy</x:v>
      </x:c>
      <x:c r="M619" s="75"/>
      <x:c r="N619" s="75"/>
      <x:c r="O619" s="75"/>
      <x:c r="P619" s="75"/>
      <x:c r="Q619" s="75"/>
      <x:c r="R619" s="75"/>
      <x:c r="S619" s="75"/>
      <x:c r="T619" s="75"/>
      <x:c r="U619" s="75"/>
      <x:c r="V619" s="75"/>
      <x:c r="W619" s="75" t="str">
        <x:v>Yes — version support window documented</x:v>
      </x:c>
      <x:c r="X619" s="75"/>
      <x:c r="Y619" s="75"/>
      <x:c r="Z619" s="75"/>
      <x:c r="AA619" s="75"/>
      <x:c r="AB619" s="75"/>
      <x:c r="AC619" s="78"/>
      <x:c r="AD619" s="75"/>
      <x:c r="AE619" s="75"/>
      <x:c r="AF619" s="75"/>
      <x:c r="AG619" s="75"/>
      <x:c r="AH619" s="122" t="n">
        <x:v>12</x:v>
      </x:c>
      <x:c r="AI619" s="123" t="str">
        <x:v>Canonical source for Maintenance &amp; Updates!12</x:v>
      </x:c>
    </x:row>
    <x:row r="620">
      <x:c r="A620" s="119" t="str">
        <x:v>Maintenance &amp; Updates</x:v>
      </x:c>
      <x:c r="B620" s="121" t="str">
        <x:v>Automated Dependency Update Policy</x:v>
      </x:c>
      <x:c r="C620" s="75"/>
      <x:c r="D620" s="75"/>
      <x:c r="E620" s="75"/>
      <x:c r="F620" s="75"/>
      <x:c r="G620" s="75"/>
      <x:c r="H620" s="75"/>
      <x:c r="I620" s="75"/>
      <x:c r="J620" s="75"/>
      <x:c r="K620" s="75"/>
      <x:c r="L620" s="75" t="str">
        <x:v>Not publicly documented</x:v>
      </x:c>
      <x:c r="M620" s="75"/>
      <x:c r="N620" s="75"/>
      <x:c r="O620" s="75"/>
      <x:c r="P620" s="75"/>
      <x:c r="Q620" s="75"/>
      <x:c r="R620" s="75"/>
      <x:c r="S620" s="75"/>
      <x:c r="T620" s="75"/>
      <x:c r="U620" s="75"/>
      <x:c r="V620" s="75"/>
      <x:c r="W620" s="75"/>
      <x:c r="X620" s="75"/>
      <x:c r="Y620" s="75"/>
      <x:c r="Z620" s="75"/>
      <x:c r="AA620" s="75"/>
      <x:c r="AB620" s="75"/>
      <x:c r="AC620" s="78"/>
      <x:c r="AD620" s="75"/>
      <x:c r="AE620" s="75"/>
      <x:c r="AF620" s="75"/>
      <x:c r="AG620" s="75"/>
      <x:c r="AH620" s="122" t="n">
        <x:v>13</x:v>
      </x:c>
      <x:c r="AI620" s="123" t="str">
        <x:v>Canonical source for Maintenance &amp; Updates!13</x:v>
      </x:c>
    </x:row>
    <x:row r="621">
      <x:c r="A621" s="119" t="str">
        <x:v>Maintenance &amp; Updates</x:v>
      </x:c>
      <x:c r="B621" s="121" t="str">
        <x:v>Release Signing / Provenance</x:v>
      </x:c>
      <x:c r="C621" s="75"/>
      <x:c r="D621" s="75"/>
      <x:c r="E621" s="75"/>
      <x:c r="F621" s="75"/>
      <x:c r="G621" s="75"/>
      <x:c r="H621" s="75"/>
      <x:c r="I621" s="75"/>
      <x:c r="J621" s="75"/>
      <x:c r="K621" s="75"/>
      <x:c r="L621" s="75" t="str">
        <x:v>Not publicly documented</x:v>
      </x:c>
      <x:c r="M621" s="75"/>
      <x:c r="N621" s="75"/>
      <x:c r="O621" s="75"/>
      <x:c r="P621" s="75"/>
      <x:c r="Q621" s="75"/>
      <x:c r="R621" s="75"/>
      <x:c r="S621" s="75"/>
      <x:c r="T621" s="75"/>
      <x:c r="U621" s="75"/>
      <x:c r="V621" s="75"/>
      <x:c r="W621" s="75"/>
      <x:c r="X621" s="75"/>
      <x:c r="Y621" s="75"/>
      <x:c r="Z621" s="75"/>
      <x:c r="AA621" s="75"/>
      <x:c r="AB621" s="75"/>
      <x:c r="AC621" s="78"/>
      <x:c r="AD621" s="75"/>
      <x:c r="AE621" s="75"/>
      <x:c r="AF621" s="75"/>
      <x:c r="AG621" s="75"/>
      <x:c r="AH621" s="122" t="n">
        <x:v>14</x:v>
      </x:c>
      <x:c r="AI621" s="123" t="str">
        <x:v>Canonical source for Maintenance &amp; Updates!14</x:v>
      </x:c>
    </x:row>
    <x:row r="622">
      <x:c r="A622" s="119" t="str">
        <x:v>Developer Extensibility</x:v>
      </x:c>
      <x:c r="B622" s="121" t="str">
        <x:v>Bot / Gateway API Type (REST / WebSockets / Gateway)</x:v>
      </x:c>
      <x:c r="C622" s="75" t="str">
        <x:v>REST/HTTP API + Gateway WebSocket</x:v>
      </x:c>
      <x:c r="D622" s="75" t="str">
        <x:v>Nostr/Concord protocols</x:v>
      </x:c>
      <x:c r="E622" s="75" t="str">
        <x:v>Custom server/WebSocket APIs</x:v>
      </x:c>
      <x:c r="F622" s="75"/>
      <x:c r="G622" s="75" t="str">
        <x:v>Bot API planned after public release</x:v>
      </x:c>
      <x:c r="H622" s="75" t="str">
        <x:v>REST + Gateway/WebSocket, deliberately Discord-like</x:v>
      </x:c>
      <x:c r="I622" s="75"/>
      <x:c r="J622" s="75" t="str">
        <x:v>Discord-compatible API</x:v>
      </x:c>
      <x:c r="K622" s="75" t="str">
        <x:v>Custom protocol; no HTTP API emphasis</x:v>
      </x:c>
      <x:c r="L622" s="75" t="str">
        <x:v>Scoped REST + direct Gateway/WebSocket API; federated bot workers connect directly to target authorities</x:v>
      </x:c>
      <x:c r="M622" s="75"/>
      <x:c r="N622" s="75" t="str">
        <x:v>Discord-compatible API</x:v>
      </x:c>
      <x:c r="O622" s="75" t="str">
        <x:v>Open Client-Server, Server-Server, Application Service APIs; WebSocket-like sync transports depending spec version</x:v>
      </x:c>
      <x:c r="P622" s="75" t="str">
        <x:v>REST + WebSocket API</x:v>
      </x:c>
      <x:c r="Q622" s="75" t="str">
        <x:v>API-first design</x:v>
      </x:c>
      <x:c r="R622" s="75" t="str">
        <x:v>Server RPC/API (Ice) + protocol libraries</x:v>
      </x:c>
      <x:c r="S622" s="75"/>
      <x:c r="T622" s="75"/>
      <x:c r="U622" s="75" t="str">
        <x:v>No public bot-token / third-party API; session-only application API by design</x:v>
      </x:c>
      <x:c r="V622" s="75"/>
      <x:c r="W622" s="75" t="str">
        <x:v>REST + realtime/WebSocket/DDP + Apps engine</x:v>
      </x:c>
      <x:c r="X622" s="75" t="str">
        <x:v>ATProto + Roomy SDK</x:v>
      </x:c>
      <x:c r="Y622" s="75" t="str">
        <x:v>Root Community API + hosted app/bot runtime</x:v>
      </x:c>
      <x:c r="Z622" s="75" t="str">
        <x:v>Discord-compatible REST + Gateway</x:v>
      </x:c>
      <x:c r="AA622" s="75" t="str">
        <x:v>REST + WebSocket event API</x:v>
      </x:c>
      <x:c r="AB622" s="75"/>
      <x:c r="AC622" s="78" t="str">
        <x:v>Official API used by client</x:v>
      </x:c>
      <x:c r="AD622" s="75" t="str">
        <x:v>Custom API/federation</x:v>
      </x:c>
      <x:c r="AE622" s="75"/>
      <x:c r="AF622" s="75"/>
      <x:c r="AG622" s="75" t="str">
        <x:v>REST + realtime event queues</x:v>
      </x:c>
      <x:c r="AH622" s="122" t="n">
        <x:v>3</x:v>
      </x:c>
      <x:c r="AI622" s="123" t="str">
        <x:v>Canonical source for Developer Extensibility!3</x:v>
      </x:c>
    </x:row>
    <x:row r="623">
      <x:c r="A623" s="119" t="str">
        <x:v>Developer Extensibility</x:v>
      </x:c>
      <x:c r="B623" s="121" t="str">
        <x:v>Inbound Webhooks</x:v>
      </x:c>
      <x:c r="C623" s="75" t="str">
        <x:v>Yes</x:v>
      </x:c>
      <x:c r="D623" s="75" t="str">
        <x:v>Nostr relays/integrations</x:v>
      </x:c>
      <x:c r="E623" s="75" t="str">
        <x:v>Plugins</x:v>
      </x:c>
      <x:c r="F623" s="75"/>
      <x:c r="G623" s="75" t="str">
        <x:v>No current public webhook API verified</x:v>
      </x:c>
      <x:c r="H623" s="75"/>
      <x:c r="I623" s="75"/>
      <x:c r="J623" s="75" t="str">
        <x:v>Discord-compatible target</x:v>
      </x:c>
      <x:c r="K623" s="75" t="str">
        <x:v>No</x:v>
      </x:c>
      <x:c r="L623" s="75" t="str">
        <x:v>Yes</x:v>
      </x:c>
      <x:c r="M623" s="75"/>
      <x:c r="N623" s="75" t="str">
        <x:v>Webhooks supported</x:v>
      </x:c>
      <x:c r="O623" s="75" t="str">
        <x:v>Application services/webhooks via integrations</x:v>
      </x:c>
      <x:c r="P623" s="75" t="str">
        <x:v>Yes</x:v>
      </x:c>
      <x:c r="Q623" s="75" t="str">
        <x:v>Integrations</x:v>
      </x:c>
      <x:c r="R623" s="75" t="str">
        <x:v>No Discord-style incoming webhooks</x:v>
      </x:c>
      <x:c r="S623" s="75"/>
      <x:c r="T623" s="75"/>
      <x:c r="U623" s="75" t="str">
        <x:v>Yes — Discord-compatible incoming webhooks</x:v>
      </x:c>
      <x:c r="V623" s="75" t="str">
        <x:v>Yes — Discord, GitHub and Slack-compatible incoming webhooks</x:v>
      </x:c>
      <x:c r="W623" s="75" t="str">
        <x:v>Yes</x:v>
      </x:c>
      <x:c r="X623" s="75" t="str">
        <x:v>Bridge/integrations</x:v>
      </x:c>
      <x:c r="Y623" s="75"/>
      <x:c r="Z623" s="75" t="str">
        <x:v>Discord-compatible webhooks target</x:v>
      </x:c>
      <x:c r="AA623" s="75"/>
      <x:c r="AB623" s="75"/>
      <x:c r="AC623" s="78" t="str">
        <x:v>Incoming webhooks</x:v>
      </x:c>
      <x:c r="AD623" s="75"/>
      <x:c r="AE623" s="75"/>
      <x:c r="AF623" s="75"/>
      <x:c r="AG623" s="75" t="str">
        <x:v>Yes — incoming webhooks/integrations</x:v>
      </x:c>
      <x:c r="AH623" s="122" t="n">
        <x:v>4</x:v>
      </x:c>
      <x:c r="AI623" s="123" t="str">
        <x:v>Canonical source for Developer Extensibility!4</x:v>
      </x:c>
    </x:row>
    <x:row r="624">
      <x:c r="A624" s="119" t="str">
        <x:v>Developer Extensibility</x:v>
      </x:c>
      <x:c r="B624" s="121" t="str">
        <x:v>Outbound Webhooks</x:v>
      </x:c>
      <x:c r="C624" s="75" t="str">
        <x:v>Yes — webhook events and interaction endpoints</x:v>
      </x:c>
      <x:c r="D624" s="75" t="str">
        <x:v>Nostr events</x:v>
      </x:c>
      <x:c r="E624" s="75" t="str">
        <x:v>Events/plugins</x:v>
      </x:c>
      <x:c r="F624" s="75"/>
      <x:c r="G624" s="75" t="str">
        <x:v>No current public event webhook API verified</x:v>
      </x:c>
      <x:c r="H624" s="75" t="str">
        <x:v>Gateway events/webhooks</x:v>
      </x:c>
      <x:c r="I624" s="75"/>
      <x:c r="J624" s="75" t="str">
        <x:v>Gateway/events</x:v>
      </x:c>
      <x:c r="K624" s="75" t="str">
        <x:v>No</x:v>
      </x:c>
      <x:c r="L624" s="75" t="str">
        <x:v>Gateway event stream is primary realtime event mechanism; no generic outbound webhook subscription system was verified</x:v>
      </x:c>
      <x:c r="M624" s="75"/>
      <x:c r="N624" s="75" t="str">
        <x:v>Events/interactions</x:v>
      </x:c>
      <x:c r="O624" s="75" t="str">
        <x:v>Application Service transactions/events</x:v>
      </x:c>
      <x:c r="P624" s="75" t="str">
        <x:v>Yes</x:v>
      </x:c>
      <x:c r="Q624" s="75" t="str">
        <x:v>Integrations</x:v>
      </x:c>
      <x:c r="R624" s="75" t="str">
        <x:v>No Discord-style outbound webhooks</x:v>
      </x:c>
      <x:c r="S624" s="75"/>
      <x:c r="T624" s="75"/>
      <x:c r="U624" s="75" t="str">
        <x:v>Not publicly claimed</x:v>
      </x:c>
      <x:c r="V624" s="75"/>
      <x:c r="W624" s="75" t="str">
        <x:v>Yes</x:v>
      </x:c>
      <x:c r="X624" s="75" t="str">
        <x:v>ATProto events</x:v>
      </x:c>
      <x:c r="Y624" s="75" t="str">
        <x:v>Event subscriptions in hosted runtime</x:v>
      </x:c>
      <x:c r="Z624" s="75" t="str">
        <x:v>Gateway events</x:v>
      </x:c>
      <x:c r="AA624" s="75"/>
      <x:c r="AB624" s="75"/>
      <x:c r="AC624" s="78" t="str">
        <x:v>API/events</x:v>
      </x:c>
      <x:c r="AD624" s="75" t="str">
        <x:v>Federation events/webhooks planned</x:v>
      </x:c>
      <x:c r="AE624" s="75"/>
      <x:c r="AF624" s="75"/>
      <x:c r="AG624" s="75" t="str">
        <x:v>Yes — bots/webhooks/event queues</x:v>
      </x:c>
      <x:c r="AH624" s="122" t="n">
        <x:v>5</x:v>
      </x:c>
      <x:c r="AI624" s="123" t="str">
        <x:v>Canonical source for Developer Extensibility!5</x:v>
      </x:c>
    </x:row>
    <x:row r="625">
      <x:c r="A625" s="119" t="str">
        <x:v>Developer Extensibility</x:v>
      </x:c>
      <x:c r="B625" s="121" t="str">
        <x:v>Official SDKs &amp; Libraries (JS / Python / Rust / Go)</x:v>
      </x:c>
      <x:c r="C625" s="75" t="str">
        <x:v>JS/TS: official Embedded App SDK; no official general bot SDKs for Python/Rust/Go; Social SDK targets C++/Unity/Unreal</x:v>
      </x:c>
      <x:c r="D625" s="75" t="str">
        <x:v>Nostr libraries</x:v>
      </x:c>
      <x:c r="E625" s="75" t="str">
        <x:v>Custom/open-source ecosystem</x:v>
      </x:c>
      <x:c r="F625" s="75"/>
      <x:c r="G625" s="75" t="str">
        <x:v>No public SDKs yet</x:v>
      </x:c>
      <x:c r="H625" s="75"/>
      <x:c r="I625" s="75"/>
      <x:c r="J625" s="75" t="str">
        <x:v>Discord bot libraries largely reusable</x:v>
      </x:c>
      <x:c r="K625" s="75" t="str">
        <x:v>Open source</x:v>
      </x:c>
      <x:c r="L625" s="75" t="str">
        <x:v>Official Python SDK: kaede-bot</x:v>
      </x:c>
      <x:c r="M625" s="75"/>
      <x:c r="N625" s="75" t="str">
        <x:v>discord.py/discord.js compatibility</x:v>
      </x:c>
      <x:c r="O625" s="75" t="str">
        <x:v>Many SDKs incl JS/TS, Rust, Python, Go/community</x:v>
      </x:c>
      <x:c r="P625" s="75" t="str">
        <x:v>Client/server APIs; Go/JS ecosystem</x:v>
      </x:c>
      <x:c r="Q625" s="75" t="str">
        <x:v>SDK/integration ecosystem</x:v>
      </x:c>
      <x:c r="R625" s="75" t="str">
        <x:v>Community libraries</x:v>
      </x:c>
      <x:c r="S625" s="75" t="str">
        <x:v>Official Nerimity.js</x:v>
      </x:c>
      <x:c r="T625" s="75"/>
      <x:c r="U625" s="75" t="str">
        <x:v>None publicly offered for third-party bot development</x:v>
      </x:c>
      <x:c r="V625" s="75"/>
      <x:c r="W625" s="75" t="str">
        <x:v>SDKs/APIs + Apps framework</x:v>
      </x:c>
      <x:c r="X625" s="75" t="str">
        <x:v>Roomy SDK</x:v>
      </x:c>
      <x:c r="Y625" s="75" t="str">
        <x:v>Official TypeScript SDK / Node runtime</x:v>
      </x:c>
      <x:c r="Z625" s="75" t="str">
        <x:v>Discord ecosystem compatibility; Spacebar docs</x:v>
      </x:c>
      <x:c r="AA625" s="75" t="str">
        <x:v>Official TypeScript client SDK; community libraries</x:v>
      </x:c>
      <x:c r="AB625" s="75"/>
      <x:c r="AC625" s="78" t="str">
        <x:v>Official .NET SDK</x:v>
      </x:c>
      <x:c r="AD625" s="75"/>
      <x:c r="AE625" s="75"/>
      <x:c r="AF625" s="75"/>
      <x:c r="AG625" s="75" t="str">
        <x:v>Official/community libraries incl Python; broad API</x:v>
      </x:c>
      <x:c r="AH625" s="122" t="n">
        <x:v>6</x:v>
      </x:c>
      <x:c r="AI625" s="123" t="str">
        <x:v>Canonical source for Developer Extensibility!6</x:v>
      </x:c>
    </x:row>
    <x:row r="626">
      <x:c r="A626" s="119" t="str">
        <x:v>Developer Extensibility</x:v>
      </x:c>
      <x:c r="B626" s="121" t="str">
        <x:v>Custom Slash / Interaction Commands</x:v>
      </x:c>
      <x:c r="C626" s="75" t="str">
        <x:v>Yes — slash commands, components, modals, interactions</x:v>
      </x:c>
      <x:c r="D626" s="75" t="str">
        <x:v>Protocol-driven</x:v>
      </x:c>
      <x:c r="E626" s="75" t="str">
        <x:v>Plugin system</x:v>
      </x:c>
      <x:c r="F626" s="75"/>
      <x:c r="G626" s="75" t="str">
        <x:v>Native slash commands exist; developer interaction API planned</x:v>
      </x:c>
      <x:c r="H626" s="75"/>
      <x:c r="I626" s="75"/>
      <x:c r="J626" s="75" t="str">
        <x:v>Interactions target</x:v>
      </x:c>
      <x:c r="K626" s="75" t="str">
        <x:v>No bot ecosystem yet</x:v>
      </x:c>
      <x:c r="L626" s="75" t="str">
        <x:v>Yes — commands, buttons, selects, checkboxes, text inputs, modals, polls, files and forwarding are documented</x:v>
      </x:c>
      <x:c r="M626" s="75"/>
      <x:c r="N626" s="75" t="str">
        <x:v>Slash commands/buttons/modals</x:v>
      </x:c>
      <x:c r="O626" s="75" t="str">
        <x:v>Client extensions/bots; interaction UX client-dependent</x:v>
      </x:c>
      <x:c r="P626" s="75" t="str">
        <x:v>Slash commands + interactive messages</x:v>
      </x:c>
      <x:c r="Q626" s="75" t="str">
        <x:v>Bots</x:v>
      </x:c>
      <x:c r="R626" s="75" t="str">
        <x:v>N/A</x:v>
      </x:c>
      <x:c r="S626" s="75" t="str">
        <x:v>Bots/API</x:v>
      </x:c>
      <x:c r="T626" s="75"/>
      <x:c r="U626" s="75"/>
      <x:c r="V626" s="75"/>
      <x:c r="W626" s="75" t="str">
        <x:v>Slash commands/apps</x:v>
      </x:c>
      <x:c r="X626" s="75"/>
      <x:c r="Y626" s="75" t="str">
        <x:v>Bots/commands + full GUI Apps</x:v>
      </x:c>
      <x:c r="Z626" s="75" t="str">
        <x:v>Discord interaction compatibility target</x:v>
      </x:c>
      <x:c r="AA626" s="75"/>
      <x:c r="AB626" s="75"/>
      <x:c r="AC626" s="78" t="str">
        <x:v>Bots/OAuth apps</x:v>
      </x:c>
      <x:c r="AD626" s="75"/>
      <x:c r="AE626" s="75" t="str">
        <x:v>Native modules rather than bot-first</x:v>
      </x:c>
      <x:c r="AF626" s="75"/>
      <x:c r="AG626" s="75" t="str">
        <x:v>Slash-command-style integrations/bots</x:v>
      </x:c>
      <x:c r="AH626" s="122" t="n">
        <x:v>7</x:v>
      </x:c>
      <x:c r="AI626" s="123" t="str">
        <x:v>Canonical source for Developer Extensibility!7</x:v>
      </x:c>
    </x:row>
    <x:row r="627">
      <x:c r="A627" s="119" t="str">
        <x:v>Developer Extensibility</x:v>
      </x:c>
      <x:c r="B627" s="121" t="str">
        <x:v>Client Plugin / Modding Architecture</x:v>
      </x:c>
      <x:c r="C627" s="75" t="str">
        <x:v>No official client plugin/modding architecture</x:v>
      </x:c>
      <x:c r="D627" s="75" t="str">
        <x:v>Independent clients possible</x:v>
      </x:c>
      <x:c r="E627" s="75" t="str">
        <x:v>Plugin system</x:v>
      </x:c>
      <x:c r="F627" s="75"/>
      <x:c r="G627" s="75" t="str">
        <x:v>No</x:v>
      </x:c>
      <x:c r="H627" s="75" t="str">
        <x:v>No official client-plugin architecture verified</x:v>
      </x:c>
      <x:c r="I627" s="75" t="str">
        <x:v>No client plugins verified</x:v>
      </x:c>
      <x:c r="J627" s="75" t="str">
        <x:v>Independent clients encouraged</x:v>
      </x:c>
      <x:c r="K627" s="75" t="str">
        <x:v>No plugin ecosystem</x:v>
      </x:c>
      <x:c r="L627" s="75" t="str">
        <x:v>No general client plugin architecture documented; custom CSS/theme support is developer-reported</x:v>
      </x:c>
      <x:c r="M627" s="75"/>
      <x:c r="N627" s="75" t="str">
        <x:v>No client plugins verified</x:v>
      </x:c>
      <x:c r="O627" s="75" t="str">
        <x:v>Multiple independent clients rather than plugins to one official client</x:v>
      </x:c>
      <x:c r="P627" s="75" t="str">
        <x:v>Plugin architecture (server/webapp)</x:v>
      </x:c>
      <x:c r="Q627" s="75"/>
      <x:c r="R627" s="75" t="str">
        <x:v>Plugins supported</x:v>
      </x:c>
      <x:c r="S627" s="75" t="str">
        <x:v>Themes/RPC</x:v>
      </x:c>
      <x:c r="T627" s="75"/>
      <x:c r="U627" s="75" t="str">
        <x:v>No official plugin architecture claimed</x:v>
      </x:c>
      <x:c r="V627" s="75"/>
      <x:c r="W627" s="75" t="str">
        <x:v>Apps/plugin framework</x:v>
      </x:c>
      <x:c r="X627" s="75" t="str">
        <x:v>Open protocol client ecosystem</x:v>
      </x:c>
      <x:c r="Y627" s="75" t="str">
        <x:v>No client modding</x:v>
      </x:c>
      <x:c r="Z627" s="75" t="str">
        <x:v>Spacebar-aware client theming/plugin goals</x:v>
      </x:c>
      <x:c r="AA627" s="75" t="str">
        <x:v>Community clients/themes; no stable official plugin architecture verified</x:v>
      </x:c>
      <x:c r="AB627" s="75" t="str">
        <x:v>Plugins/addons ecosystem</x:v>
      </x:c>
      <x:c r="AC627" s="78" t="str">
        <x:v>Themes rather than client mods</x:v>
      </x:c>
      <x:c r="AD627" s="75" t="str">
        <x:v>No</x:v>
      </x:c>
      <x:c r="AE627" s="75" t="str">
        <x:v>No</x:v>
      </x:c>
      <x:c r="AF627" s="75"/>
      <x:c r="AG627" s="75" t="str">
        <x:v>No client plugin architecture</x:v>
      </x:c>
      <x:c r="AH627" s="122" t="n">
        <x:v>8</x:v>
      </x:c>
      <x:c r="AI627" s="123" t="str">
        <x:v>Canonical source for Developer Extensibility!8</x:v>
      </x:c>
    </x:row>
    <x:row r="628">
      <x:c r="A628" s="119" t="str">
        <x:v>Developer Extensibility</x:v>
      </x:c>
      <x:c r="B628" s="121" t="str">
        <x:v>API Rate Limits &amp; Developer Portal</x:v>
      </x:c>
      <x:c r="C628" s="75" t="str">
        <x:v>Yes — Developer Portal + per-route/global REST limits; Gateway 120 events/60s/connection</x:v>
      </x:c>
      <x:c r="D628" s="75" t="str">
        <x:v>Open source</x:v>
      </x:c>
      <x:c r="E628" s="75" t="str">
        <x:v>Operator configured</x:v>
      </x:c>
      <x:c r="F628" s="75"/>
      <x:c r="G628" s="75" t="str">
        <x:v>No public developer portal/API limits yet</x:v>
      </x:c>
      <x:c r="H628" s="75"/>
      <x:c r="I628" s="75"/>
      <x:c r="J628" s="75" t="str">
        <x:v>Public source/API</x:v>
      </x:c>
      <x:c r="K628" s="75" t="str">
        <x:v>Source/whitepaper</x:v>
      </x:c>
      <x:c r="L628" s="75" t="str">
        <x:v>Rate limiting is implemented and Retry-After is handled; exact per-endpoint quotas are not exhaustively summarized in the reviewed docs</x:v>
      </x:c>
      <x:c r="M628" s="75"/>
      <x:c r="N628" s="75"/>
      <x:c r="O628" s="75" t="str">
        <x:v>Public spec/API; rate limits homeserver-dependent</x:v>
      </x:c>
      <x:c r="P628" s="75" t="str">
        <x:v>Documented APIs/rate limits</x:v>
      </x:c>
      <x:c r="Q628" s="75" t="str">
        <x:v>Public API/docs</x:v>
      </x:c>
      <x:c r="R628" s="75" t="str">
        <x:v>Public protocol/docs; limits server-controlled</x:v>
      </x:c>
      <x:c r="S628" s="75" t="str">
        <x:v>Public API docs</x:v>
      </x:c>
      <x:c r="T628" s="75"/>
      <x:c r="U628" s="75" t="str">
        <x:v>No public third-party API/developer portal</x:v>
      </x:c>
      <x:c r="V628" s="75"/>
      <x:c r="W628" s="75" t="str">
        <x:v>Public API docs/rate limits</x:v>
      </x:c>
      <x:c r="X628" s="75" t="str">
        <x:v>Public code</x:v>
      </x:c>
      <x:c r="Y628" s="75"/>
      <x:c r="Z628" s="75" t="str">
        <x:v>Documented API; operator-configurable</x:v>
      </x:c>
      <x:c r="AA628" s="75"/>
      <x:c r="AB628" s="75"/>
      <x:c r="AC628" s="78" t="str">
        <x:v>Public API</x:v>
      </x:c>
      <x:c r="AD628" s="75"/>
      <x:c r="AE628" s="75"/>
      <x:c r="AF628" s="75"/>
      <x:c r="AG628" s="75" t="str">
        <x:v>Public API docs/rate behavior</x:v>
      </x:c>
      <x:c r="AH628" s="122" t="n">
        <x:v>9</x:v>
      </x:c>
      <x:c r="AI628" s="123" t="str">
        <x:v>Canonical source for Developer Extensibility!9</x:v>
      </x:c>
    </x:row>
    <x:row r="629">
      <x:c r="A629" s="119" t="str">
        <x:v>Developer Extensibility</x:v>
      </x:c>
      <x:c r="B629" s="121" t="str">
        <x:v>App Marketplace / Directory</x:v>
      </x:c>
      <x:c r="C629" s="75" t="str">
        <x:v>Yes — App Directory / platform apps</x:v>
      </x:c>
      <x:c r="D629" s="75"/>
      <x:c r="E629" s="75"/>
      <x:c r="F629" s="75"/>
      <x:c r="G629" s="75"/>
      <x:c r="H629" s="75"/>
      <x:c r="I629" s="75"/>
      <x:c r="J629" s="75"/>
      <x:c r="K629" s="75"/>
      <x:c r="L629" s="75" t="str">
        <x:v>Yes — federated public App Directory for reviewed applications/bots</x:v>
      </x:c>
      <x:c r="M629" s="75"/>
      <x:c r="N629" s="75"/>
      <x:c r="O629" s="75"/>
      <x:c r="P629" s="75" t="str">
        <x:v>Plugin marketplace/ecosystem</x:v>
      </x:c>
      <x:c r="Q629" s="75"/>
      <x:c r="R629" s="75"/>
      <x:c r="S629" s="75"/>
      <x:c r="T629" s="75"/>
      <x:c r="U629" s="75"/>
      <x:c r="V629" s="75" t="str">
        <x:v>No</x:v>
      </x:c>
      <x:c r="W629" s="75" t="str">
        <x:v>Yes — Marketplace</x:v>
      </x:c>
      <x:c r="X629" s="75"/>
      <x:c r="Y629" s="75"/>
      <x:c r="Z629" s="75"/>
      <x:c r="AA629" s="75"/>
      <x:c r="AB629" s="75"/>
      <x:c r="AC629" s="78"/>
      <x:c r="AD629" s="75"/>
      <x:c r="AE629" s="75"/>
      <x:c r="AF629" s="75"/>
      <x:c r="AG629" s="75" t="str">
        <x:v>Integration directory</x:v>
      </x:c>
      <x:c r="AH629" s="122" t="n">
        <x:v>15</x:v>
      </x:c>
      <x:c r="AI629" s="123" t="str">
        <x:v>Canonical source for Developer Extensibility!15</x:v>
      </x:c>
    </x:row>
    <x:row r="630">
      <x:c r="A630" s="119" t="str">
        <x:v>Developer Extensibility</x:v>
      </x:c>
      <x:c r="B630" s="121" t="str">
        <x:v>User-Installed Apps</x:v>
      </x:c>
      <x:c r="C630" s="75" t="str">
        <x:v>Yes — user-installable apps supported</x:v>
      </x:c>
      <x:c r="D630" s="75"/>
      <x:c r="E630" s="75"/>
      <x:c r="F630" s="75"/>
      <x:c r="G630" s="75"/>
      <x:c r="H630" s="75"/>
      <x:c r="I630" s="75"/>
      <x:c r="J630" s="75"/>
      <x:c r="K630" s="75"/>
      <x:c r="L630" s="75" t="str">
        <x:v>Yes — guild and user installation contexts are supported</x:v>
      </x:c>
      <x:c r="M630" s="75"/>
      <x:c r="N630" s="75"/>
      <x:c r="O630" s="75"/>
      <x:c r="P630" s="75"/>
      <x:c r="Q630" s="75"/>
      <x:c r="R630" s="75"/>
      <x:c r="S630" s="75"/>
      <x:c r="T630" s="75"/>
      <x:c r="U630" s="75"/>
      <x:c r="V630" s="75" t="str">
        <x:v>No</x:v>
      </x:c>
      <x:c r="W630" s="75" t="str">
        <x:v>Workspace-admin app install</x:v>
      </x:c>
      <x:c r="X630" s="75"/>
      <x:c r="Y630" s="75"/>
      <x:c r="Z630" s="75"/>
      <x:c r="AA630" s="75"/>
      <x:c r="AB630" s="75"/>
      <x:c r="AC630" s="78"/>
      <x:c r="AD630" s="75"/>
      <x:c r="AE630" s="75"/>
      <x:c r="AF630" s="75"/>
      <x:c r="AG630" s="75"/>
      <x:c r="AH630" s="122" t="n">
        <x:v>16</x:v>
      </x:c>
      <x:c r="AI630" s="123" t="str">
        <x:v>Canonical source for Developer Extensibility!16</x:v>
      </x:c>
    </x:row>
    <x:row r="631">
      <x:c r="A631" s="119" t="str">
        <x:v>Developer API Detail</x:v>
      </x:c>
      <x:c r="B631" s="121" t="str">
        <x:v>API Surfaces</x:v>
      </x:c>
      <x:c r="C631" s="75"/>
      <x:c r="D631" s="75"/>
      <x:c r="E631" s="75"/>
      <x:c r="F631" s="75"/>
      <x:c r="G631" s="75"/>
      <x:c r="H631" s="75"/>
      <x:c r="I631" s="75"/>
      <x:c r="J631" s="75"/>
      <x:c r="K631" s="75"/>
      <x:c r="L631" s="75" t="str">
        <x:v>Scoped REST + direct Gateway/WebSocket API; federated bot workers connect directly to target authorities</x:v>
      </x:c>
      <x:c r="M631" s="75"/>
      <x:c r="N631" s="75"/>
      <x:c r="O631" s="75"/>
      <x:c r="P631" s="75"/>
      <x:c r="Q631" s="75"/>
      <x:c r="R631" s="75"/>
      <x:c r="S631" s="75"/>
      <x:c r="T631" s="75"/>
      <x:c r="U631" s="75" t="str">
        <x:v>Session-only application API; incoming Discord-compatible webhooks; no public bot-token/third-party API</x:v>
      </x:c>
      <x:c r="V631" s="75"/>
      <x:c r="W631" s="75"/>
      <x:c r="X631" s="75"/>
      <x:c r="Y631" s="75"/>
      <x:c r="Z631" s="75"/>
      <x:c r="AA631" s="75"/>
      <x:c r="AB631" s="75"/>
      <x:c r="AC631" s="78"/>
      <x:c r="AD631" s="75"/>
      <x:c r="AE631" s="75"/>
      <x:c r="AF631" s="75"/>
      <x:c r="AG631" s="75"/>
      <x:c r="AH631" s="122" t="n">
        <x:v>3</x:v>
      </x:c>
      <x:c r="AI631" s="123" t="str">
        <x:v>Canonical source for Developer API Detail!3</x:v>
      </x:c>
    </x:row>
    <x:row r="632">
      <x:c r="A632" s="119" t="str">
        <x:v>Developer API Detail</x:v>
      </x:c>
      <x:c r="B632" s="121" t="str">
        <x:v>Public REST API?</x:v>
      </x:c>
      <x:c r="C632" s="75" t="str">
        <x:v>Yes</x:v>
      </x:c>
      <x:c r="D632" s="75" t="str">
        <x:v>No</x:v>
      </x:c>
      <x:c r="E632" s="75"/>
      <x:c r="F632" s="75"/>
      <x:c r="G632" s="75"/>
      <x:c r="H632" s="75" t="str">
        <x:v>Yes</x:v>
      </x:c>
      <x:c r="I632" s="75"/>
      <x:c r="J632" s="75"/>
      <x:c r="K632" s="75" t="str">
        <x:v>Yes</x:v>
      </x:c>
      <x:c r="L632" s="75" t="str">
        <x:v>Yes</x:v>
      </x:c>
      <x:c r="M632" s="75"/>
      <x:c r="N632" s="75"/>
      <x:c r="O632" s="75"/>
      <x:c r="P632" s="75" t="str">
        <x:v>Yes</x:v>
      </x:c>
      <x:c r="Q632" s="75"/>
      <x:c r="R632" s="75"/>
      <x:c r="S632" s="75" t="str">
        <x:v>Yes</x:v>
      </x:c>
      <x:c r="T632" s="75"/>
      <x:c r="U632" s="75" t="str">
        <x:v>No public third-party REST API</x:v>
      </x:c>
      <x:c r="V632" s="75"/>
      <x:c r="W632" s="75" t="str">
        <x:v>Yes</x:v>
      </x:c>
      <x:c r="X632" s="75"/>
      <x:c r="Y632" s="75"/>
      <x:c r="Z632" s="75" t="str">
        <x:v>Yes</x:v>
      </x:c>
      <x:c r="AA632" s="75" t="str">
        <x:v>Yes</x:v>
      </x:c>
      <x:c r="AB632" s="75"/>
      <x:c r="AC632" s="78"/>
      <x:c r="AD632" s="75"/>
      <x:c r="AE632" s="75"/>
      <x:c r="AF632" s="75"/>
      <x:c r="AG632" s="75" t="str">
        <x:v>Yes</x:v>
      </x:c>
      <x:c r="AH632" s="122" t="n">
        <x:v>4</x:v>
      </x:c>
      <x:c r="AI632" s="123" t="str">
        <x:v>Canonical source for Developer API Detail!4</x:v>
      </x:c>
    </x:row>
    <x:row r="633">
      <x:c r="A633" s="119" t="str">
        <x:v>Developer API Detail</x:v>
      </x:c>
      <x:c r="B633" s="121" t="str">
        <x:v>Gateway / WebSocket API?</x:v>
      </x:c>
      <x:c r="C633" s="75" t="str">
        <x:v>Yes</x:v>
      </x:c>
      <x:c r="D633" s="75"/>
      <x:c r="E633" s="75" t="str">
        <x:v>Yes</x:v>
      </x:c>
      <x:c r="F633" s="75"/>
      <x:c r="G633" s="75"/>
      <x:c r="H633" s="75" t="str">
        <x:v>Yes</x:v>
      </x:c>
      <x:c r="I633" s="75"/>
      <x:c r="J633" s="75"/>
      <x:c r="K633" s="75"/>
      <x:c r="L633" s="75" t="str">
        <x:v>Yes</x:v>
      </x:c>
      <x:c r="M633" s="75"/>
      <x:c r="N633" s="75"/>
      <x:c r="O633" s="75" t="str">
        <x:v>Yes</x:v>
      </x:c>
      <x:c r="P633" s="75" t="str">
        <x:v>Yes</x:v>
      </x:c>
      <x:c r="Q633" s="75"/>
      <x:c r="R633" s="75"/>
      <x:c r="S633" s="75"/>
      <x:c r="T633" s="75"/>
      <x:c r="U633" s="75" t="str">
        <x:v>No public third-party gateway/bot API</x:v>
      </x:c>
      <x:c r="V633" s="75"/>
      <x:c r="W633" s="75" t="str">
        <x:v>Yes</x:v>
      </x:c>
      <x:c r="X633" s="75"/>
      <x:c r="Y633" s="75"/>
      <x:c r="Z633" s="75" t="str">
        <x:v>Yes</x:v>
      </x:c>
      <x:c r="AA633" s="75" t="str">
        <x:v>Yes</x:v>
      </x:c>
      <x:c r="AB633" s="75"/>
      <x:c r="AC633" s="78"/>
      <x:c r="AD633" s="75"/>
      <x:c r="AE633" s="75"/>
      <x:c r="AF633" s="75"/>
      <x:c r="AG633" s="75"/>
      <x:c r="AH633" s="122" t="n">
        <x:v>5</x:v>
      </x:c>
      <x:c r="AI633" s="123" t="str">
        <x:v>Canonical source for Developer API Detail!5</x:v>
      </x:c>
    </x:row>
    <x:row r="634">
      <x:c r="A634" s="119" t="str">
        <x:v>Developer API Detail</x:v>
      </x:c>
      <x:c r="B634" s="121" t="str">
        <x:v>Realtime Event API?</x:v>
      </x:c>
      <x:c r="C634" s="75" t="str">
        <x:v>Yes</x:v>
      </x:c>
      <x:c r="D634" s="75"/>
      <x:c r="E634" s="75" t="str">
        <x:v>Yes</x:v>
      </x:c>
      <x:c r="F634" s="75"/>
      <x:c r="G634" s="75"/>
      <x:c r="H634" s="75" t="str">
        <x:v>Yes</x:v>
      </x:c>
      <x:c r="I634" s="75"/>
      <x:c r="J634" s="75"/>
      <x:c r="K634" s="75"/>
      <x:c r="L634" s="75" t="str">
        <x:v>Yes</x:v>
      </x:c>
      <x:c r="M634" s="75"/>
      <x:c r="N634" s="75"/>
      <x:c r="O634" s="75" t="str">
        <x:v>Yes</x:v>
      </x:c>
      <x:c r="P634" s="75" t="str">
        <x:v>Yes</x:v>
      </x:c>
      <x:c r="Q634" s="75"/>
      <x:c r="R634" s="75"/>
      <x:c r="S634" s="75" t="str">
        <x:v>Yes</x:v>
      </x:c>
      <x:c r="T634" s="75"/>
      <x:c r="U634" s="75" t="str">
        <x:v>No public third-party realtime API</x:v>
      </x:c>
      <x:c r="V634" s="75"/>
      <x:c r="W634" s="75" t="str">
        <x:v>Yes</x:v>
      </x:c>
      <x:c r="X634" s="75"/>
      <x:c r="Y634" s="75"/>
      <x:c r="Z634" s="75" t="str">
        <x:v>Yes</x:v>
      </x:c>
      <x:c r="AA634" s="75" t="str">
        <x:v>Yes</x:v>
      </x:c>
      <x:c r="AB634" s="75"/>
      <x:c r="AC634" s="78"/>
      <x:c r="AD634" s="75"/>
      <x:c r="AE634" s="75"/>
      <x:c r="AF634" s="75"/>
      <x:c r="AG634" s="75" t="str">
        <x:v>Yes</x:v>
      </x:c>
      <x:c r="AH634" s="122" t="n">
        <x:v>6</x:v>
      </x:c>
      <x:c r="AI634" s="123" t="str">
        <x:v>Canonical source for Developer API Detail!6</x:v>
      </x:c>
    </x:row>
    <x:row r="635">
      <x:c r="A635" s="119" t="str">
        <x:v>Developer API Detail</x:v>
      </x:c>
      <x:c r="B635" s="121" t="str">
        <x:v>Inbound Webhooks?</x:v>
      </x:c>
      <x:c r="C635" s="75" t="str">
        <x:v>Yes</x:v>
      </x:c>
      <x:c r="D635" s="75" t="str">
        <x:v>Nostr relays/integrations</x:v>
      </x:c>
      <x:c r="E635" s="75" t="str">
        <x:v>Plugins</x:v>
      </x:c>
      <x:c r="F635" s="75"/>
      <x:c r="G635" s="75" t="str">
        <x:v>No current public webhook API verified</x:v>
      </x:c>
      <x:c r="H635" s="75"/>
      <x:c r="I635" s="75"/>
      <x:c r="J635" s="75" t="str">
        <x:v>Discord-compatible target</x:v>
      </x:c>
      <x:c r="K635" s="75" t="str">
        <x:v>No</x:v>
      </x:c>
      <x:c r="L635" s="75" t="str">
        <x:v>Yes</x:v>
      </x:c>
      <x:c r="M635" s="75"/>
      <x:c r="N635" s="75" t="str">
        <x:v>Webhooks supported</x:v>
      </x:c>
      <x:c r="O635" s="75" t="str">
        <x:v>Application services/webhooks via integrations</x:v>
      </x:c>
      <x:c r="P635" s="75" t="str">
        <x:v>Yes</x:v>
      </x:c>
      <x:c r="Q635" s="75" t="str">
        <x:v>Integrations</x:v>
      </x:c>
      <x:c r="R635" s="75" t="str">
        <x:v>No Discord-style incoming webhooks</x:v>
      </x:c>
      <x:c r="S635" s="75"/>
      <x:c r="T635" s="75"/>
      <x:c r="U635" s="75" t="str">
        <x:v>Yes — Discord-compatible incoming webhooks</x:v>
      </x:c>
      <x:c r="V635" s="75" t="str">
        <x:v>Yes — Discord/GitHub/Slack-compatible</x:v>
      </x:c>
      <x:c r="W635" s="75" t="str">
        <x:v>Yes</x:v>
      </x:c>
      <x:c r="X635" s="75" t="str">
        <x:v>Bridge/integrations</x:v>
      </x:c>
      <x:c r="Y635" s="75"/>
      <x:c r="Z635" s="75" t="str">
        <x:v>Discord-compatible webhooks target</x:v>
      </x:c>
      <x:c r="AA635" s="75"/>
      <x:c r="AB635" s="75"/>
      <x:c r="AC635" s="78" t="str">
        <x:v>Incoming webhooks</x:v>
      </x:c>
      <x:c r="AD635" s="75"/>
      <x:c r="AE635" s="75"/>
      <x:c r="AF635" s="75"/>
      <x:c r="AG635" s="75" t="str">
        <x:v>Yes — incoming webhooks/integrations</x:v>
      </x:c>
      <x:c r="AH635" s="122" t="n">
        <x:v>7</x:v>
      </x:c>
      <x:c r="AI635" s="123" t="str">
        <x:v>Canonical source for Developer API Detail!7</x:v>
      </x:c>
    </x:row>
    <x:row r="636">
      <x:c r="A636" s="119" t="str">
        <x:v>Developer API Detail</x:v>
      </x:c>
      <x:c r="B636" s="121" t="str">
        <x:v>Outbound / Event Webhooks?</x:v>
      </x:c>
      <x:c r="C636" s="75" t="str">
        <x:v>Yes — webhook events and interaction endpoints</x:v>
      </x:c>
      <x:c r="D636" s="75" t="str">
        <x:v>Nostr events</x:v>
      </x:c>
      <x:c r="E636" s="75" t="str">
        <x:v>Events/plugins</x:v>
      </x:c>
      <x:c r="F636" s="75"/>
      <x:c r="G636" s="75" t="str">
        <x:v>No current public event webhook API verified</x:v>
      </x:c>
      <x:c r="H636" s="75" t="str">
        <x:v>Gateway events/webhooks</x:v>
      </x:c>
      <x:c r="I636" s="75"/>
      <x:c r="J636" s="75" t="str">
        <x:v>Gateway/events</x:v>
      </x:c>
      <x:c r="K636" s="75" t="str">
        <x:v>No</x:v>
      </x:c>
      <x:c r="L636" s="75" t="str">
        <x:v>Gateway event stream is primary realtime event mechanism; no generic outbound webhook subscription system was verified</x:v>
      </x:c>
      <x:c r="M636" s="75"/>
      <x:c r="N636" s="75" t="str">
        <x:v>Events/interactions</x:v>
      </x:c>
      <x:c r="O636" s="75" t="str">
        <x:v>Application Service transactions/events</x:v>
      </x:c>
      <x:c r="P636" s="75" t="str">
        <x:v>Yes</x:v>
      </x:c>
      <x:c r="Q636" s="75" t="str">
        <x:v>Integrations</x:v>
      </x:c>
      <x:c r="R636" s="75" t="str">
        <x:v>No Discord-style outbound webhooks</x:v>
      </x:c>
      <x:c r="S636" s="75"/>
      <x:c r="T636" s="75"/>
      <x:c r="U636" s="75" t="str">
        <x:v>Not publicly claimed</x:v>
      </x:c>
      <x:c r="V636" s="75"/>
      <x:c r="W636" s="75" t="str">
        <x:v>Yes</x:v>
      </x:c>
      <x:c r="X636" s="75" t="str">
        <x:v>ATProto events</x:v>
      </x:c>
      <x:c r="Y636" s="75" t="str">
        <x:v>Event subscriptions in hosted runtime</x:v>
      </x:c>
      <x:c r="Z636" s="75" t="str">
        <x:v>Gateway events</x:v>
      </x:c>
      <x:c r="AA636" s="75"/>
      <x:c r="AB636" s="75"/>
      <x:c r="AC636" s="78" t="str">
        <x:v>API/events</x:v>
      </x:c>
      <x:c r="AD636" s="75" t="str">
        <x:v>Federation events/webhooks planned</x:v>
      </x:c>
      <x:c r="AE636" s="75"/>
      <x:c r="AF636" s="75"/>
      <x:c r="AG636" s="75" t="str">
        <x:v>Yes — bots/webhooks/event queues</x:v>
      </x:c>
      <x:c r="AH636" s="122" t="n">
        <x:v>8</x:v>
      </x:c>
      <x:c r="AI636" s="123" t="str">
        <x:v>Canonical source for Developer API Detail!8</x:v>
      </x:c>
    </x:row>
    <x:row r="637">
      <x:c r="A637" s="119" t="str">
        <x:v>Developer API Detail</x:v>
      </x:c>
      <x:c r="B637" s="121" t="str">
        <x:v>Bot Accounts?</x:v>
      </x:c>
      <x:c r="C637" s="75" t="str">
        <x:v>Yes</x:v>
      </x:c>
      <x:c r="D637" s="75"/>
      <x:c r="E637" s="75"/>
      <x:c r="F637" s="75"/>
      <x:c r="G637" s="75" t="str">
        <x:v>Yes</x:v>
      </x:c>
      <x:c r="H637" s="75" t="str">
        <x:v>Yes</x:v>
      </x:c>
      <x:c r="I637" s="75"/>
      <x:c r="J637" s="75" t="str">
        <x:v>Yes</x:v>
      </x:c>
      <x:c r="K637" s="75" t="str">
        <x:v>Yes</x:v>
      </x:c>
      <x:c r="L637" s="75" t="str">
        <x:v>Yes — bot applications are federated accounts with scoped installs</x:v>
      </x:c>
      <x:c r="M637" s="75"/>
      <x:c r="N637" s="75" t="str">
        <x:v>Yes</x:v>
      </x:c>
      <x:c r="O637" s="75" t="str">
        <x:v>Yes</x:v>
      </x:c>
      <x:c r="P637" s="75" t="str">
        <x:v>Yes</x:v>
      </x:c>
      <x:c r="Q637" s="75" t="str">
        <x:v>Yes</x:v>
      </x:c>
      <x:c r="R637" s="75"/>
      <x:c r="S637" s="75" t="str">
        <x:v>Yes</x:v>
      </x:c>
      <x:c r="T637" s="75"/>
      <x:c r="U637" s="75" t="str">
        <x:v>No public bot API yet</x:v>
      </x:c>
      <x:c r="V637" s="75" t="str">
        <x:v>No</x:v>
      </x:c>
      <x:c r="W637" s="75" t="str">
        <x:v>Yes</x:v>
      </x:c>
      <x:c r="X637" s="75"/>
      <x:c r="Y637" s="75" t="str">
        <x:v>Yes</x:v>
      </x:c>
      <x:c r="Z637" s="75" t="str">
        <x:v>Yes</x:v>
      </x:c>
      <x:c r="AA637" s="75" t="str">
        <x:v>Yes</x:v>
      </x:c>
      <x:c r="AB637" s="75"/>
      <x:c r="AC637" s="78" t="str">
        <x:v>Yes</x:v>
      </x:c>
      <x:c r="AD637" s="75"/>
      <x:c r="AE637" s="75" t="str">
        <x:v>Yes</x:v>
      </x:c>
      <x:c r="AF637" s="75"/>
      <x:c r="AG637" s="75" t="str">
        <x:v>Yes</x:v>
      </x:c>
      <x:c r="AH637" s="122" t="n">
        <x:v>9</x:v>
      </x:c>
      <x:c r="AI637" s="123" t="str">
        <x:v>Canonical metric shared by: Developer Extensibility: Bot Accounts? | Developer API Detail: Bot Accounts?</x:v>
      </x:c>
    </x:row>
    <x:row r="638">
      <x:c r="A638" s="119" t="str">
        <x:v>Developer API Detail</x:v>
      </x:c>
      <x:c r="B638" s="121" t="str">
        <x:v>Official JS / TS SDK?</x:v>
      </x:c>
      <x:c r="C638" s="75" t="str">
        <x:v>Yes</x:v>
      </x:c>
      <x:c r="D638" s="75"/>
      <x:c r="E638" s="75"/>
      <x:c r="F638" s="75"/>
      <x:c r="G638" s="75"/>
      <x:c r="H638" s="75"/>
      <x:c r="I638" s="75"/>
      <x:c r="J638" s="75"/>
      <x:c r="K638" s="75"/>
      <x:c r="L638" s="75" t="str">
        <x:v>No official JS/TS bot SDK documented</x:v>
      </x:c>
      <x:c r="M638" s="75"/>
      <x:c r="N638" s="75" t="str">
        <x:v>Yes</x:v>
      </x:c>
      <x:c r="O638" s="75" t="str">
        <x:v>Yes</x:v>
      </x:c>
      <x:c r="P638" s="75" t="str">
        <x:v>Yes</x:v>
      </x:c>
      <x:c r="Q638" s="75"/>
      <x:c r="R638" s="75"/>
      <x:c r="S638" s="75" t="str">
        <x:v>Yes</x:v>
      </x:c>
      <x:c r="T638" s="75"/>
      <x:c r="U638" s="75" t="str">
        <x:v>No public SDK</x:v>
      </x:c>
      <x:c r="V638" s="75" t="str">
        <x:v>No</x:v>
      </x:c>
      <x:c r="W638" s="75"/>
      <x:c r="X638" s="75"/>
      <x:c r="Y638" s="75" t="str">
        <x:v>Yes</x:v>
      </x:c>
      <x:c r="Z638" s="75"/>
      <x:c r="AA638" s="75" t="str">
        <x:v>Yes</x:v>
      </x:c>
      <x:c r="AB638" s="75"/>
      <x:c r="AC638" s="78"/>
      <x:c r="AD638" s="75"/>
      <x:c r="AE638" s="75"/>
      <x:c r="AF638" s="75"/>
      <x:c r="AG638" s="75"/>
      <x:c r="AH638" s="122" t="n">
        <x:v>11</x:v>
      </x:c>
      <x:c r="AI638" s="123" t="str">
        <x:v>Canonical source for Developer API Detail!11</x:v>
      </x:c>
    </x:row>
    <x:row r="639">
      <x:c r="A639" s="119" t="str">
        <x:v>Developer API Detail</x:v>
      </x:c>
      <x:c r="B639" s="121" t="str">
        <x:v>Official Python SDK?</x:v>
      </x:c>
      <x:c r="C639" s="75"/>
      <x:c r="D639" s="75"/>
      <x:c r="E639" s="75"/>
      <x:c r="F639" s="75"/>
      <x:c r="G639" s="75"/>
      <x:c r="H639" s="75"/>
      <x:c r="I639" s="75"/>
      <x:c r="J639" s="75"/>
      <x:c r="K639" s="75"/>
      <x:c r="L639" s="75" t="str">
        <x:v>Yes — official kaede-bot package</x:v>
      </x:c>
      <x:c r="M639" s="75"/>
      <x:c r="N639" s="75"/>
      <x:c r="O639" s="75" t="str">
        <x:v>Yes</x:v>
      </x:c>
      <x:c r="P639" s="75"/>
      <x:c r="Q639" s="75"/>
      <x:c r="R639" s="75"/>
      <x:c r="S639" s="75"/>
      <x:c r="T639" s="75"/>
      <x:c r="U639" s="75" t="str">
        <x:v>No public SDK</x:v>
      </x:c>
      <x:c r="V639" s="75" t="str">
        <x:v>No</x:v>
      </x:c>
      <x:c r="W639" s="75"/>
      <x:c r="X639" s="75"/>
      <x:c r="Y639" s="75"/>
      <x:c r="Z639" s="75"/>
      <x:c r="AA639" s="75"/>
      <x:c r="AB639" s="75"/>
      <x:c r="AC639" s="78"/>
      <x:c r="AD639" s="75"/>
      <x:c r="AE639" s="75"/>
      <x:c r="AF639" s="75"/>
      <x:c r="AG639" s="75" t="str">
        <x:v>Yes</x:v>
      </x:c>
      <x:c r="AH639" s="122" t="n">
        <x:v>12</x:v>
      </x:c>
      <x:c r="AI639" s="123" t="str">
        <x:v>Canonical source for Developer API Detail!12</x:v>
      </x:c>
    </x:row>
    <x:row r="640">
      <x:c r="A640" s="119" t="str">
        <x:v>Developer API Detail</x:v>
      </x:c>
      <x:c r="B640" s="121" t="str">
        <x:v>Official Rust SDK?</x:v>
      </x:c>
      <x:c r="C640" s="75"/>
      <x:c r="D640" s="75"/>
      <x:c r="E640" s="75"/>
      <x:c r="F640" s="75"/>
      <x:c r="G640" s="75"/>
      <x:c r="H640" s="75"/>
      <x:c r="I640" s="75"/>
      <x:c r="J640" s="75"/>
      <x:c r="K640" s="75"/>
      <x:c r="L640" s="75" t="str">
        <x:v>No official Rust bot SDK documented</x:v>
      </x:c>
      <x:c r="M640" s="75"/>
      <x:c r="N640" s="75"/>
      <x:c r="O640" s="75" t="str">
        <x:v>Yes</x:v>
      </x:c>
      <x:c r="P640" s="75"/>
      <x:c r="Q640" s="75"/>
      <x:c r="R640" s="75"/>
      <x:c r="S640" s="75"/>
      <x:c r="T640" s="75"/>
      <x:c r="U640" s="75" t="str">
        <x:v>No public SDK</x:v>
      </x:c>
      <x:c r="V640" s="75" t="str">
        <x:v>No</x:v>
      </x:c>
      <x:c r="W640" s="75"/>
      <x:c r="X640" s="75"/>
      <x:c r="Y640" s="75"/>
      <x:c r="Z640" s="75"/>
      <x:c r="AA640" s="75"/>
      <x:c r="AB640" s="75"/>
      <x:c r="AC640" s="78"/>
      <x:c r="AD640" s="75"/>
      <x:c r="AE640" s="75"/>
      <x:c r="AF640" s="75"/>
      <x:c r="AG640" s="75"/>
      <x:c r="AH640" s="122" t="n">
        <x:v>13</x:v>
      </x:c>
      <x:c r="AI640" s="123" t="str">
        <x:v>Canonical source for Developer API Detail!13</x:v>
      </x:c>
    </x:row>
    <x:row r="641">
      <x:c r="A641" s="119" t="str">
        <x:v>Developer API Detail</x:v>
      </x:c>
      <x:c r="B641" s="121" t="str">
        <x:v>Official Go SDK?</x:v>
      </x:c>
      <x:c r="C641" s="75"/>
      <x:c r="D641" s="75"/>
      <x:c r="E641" s="75"/>
      <x:c r="F641" s="75"/>
      <x:c r="G641" s="75"/>
      <x:c r="H641" s="75"/>
      <x:c r="I641" s="75"/>
      <x:c r="J641" s="75"/>
      <x:c r="K641" s="75"/>
      <x:c r="L641" s="75" t="str">
        <x:v>No official Go bot SDK documented</x:v>
      </x:c>
      <x:c r="M641" s="75"/>
      <x:c r="N641" s="75"/>
      <x:c r="O641" s="75" t="str">
        <x:v>Yes</x:v>
      </x:c>
      <x:c r="P641" s="75" t="str">
        <x:v>Yes</x:v>
      </x:c>
      <x:c r="Q641" s="75"/>
      <x:c r="R641" s="75"/>
      <x:c r="S641" s="75"/>
      <x:c r="T641" s="75"/>
      <x:c r="U641" s="75" t="str">
        <x:v>No public SDK</x:v>
      </x:c>
      <x:c r="V641" s="75" t="str">
        <x:v>No</x:v>
      </x:c>
      <x:c r="W641" s="75"/>
      <x:c r="X641" s="75"/>
      <x:c r="Y641" s="75"/>
      <x:c r="Z641" s="75"/>
      <x:c r="AA641" s="75"/>
      <x:c r="AB641" s="75"/>
      <x:c r="AC641" s="78"/>
      <x:c r="AD641" s="75"/>
      <x:c r="AE641" s="75"/>
      <x:c r="AF641" s="75"/>
      <x:c r="AG641" s="75"/>
      <x:c r="AH641" s="122" t="n">
        <x:v>14</x:v>
      </x:c>
      <x:c r="AI641" s="123" t="str">
        <x:v>Canonical source for Developer API Detail!14</x:v>
      </x:c>
    </x:row>
    <x:row r="642">
      <x:c r="A642" s="119" t="str">
        <x:v>Developer API Detail</x:v>
      </x:c>
      <x:c r="B642" s="121" t="str">
        <x:v>Community SDK Ecosystem?</x:v>
      </x:c>
      <x:c r="C642" s="75" t="str">
        <x:v>JS/TS: official Embedded App SDK; no official general bot SDKs for Python/Rust/Go; Social SDK targets C++/Unity/Unreal</x:v>
      </x:c>
      <x:c r="D642" s="75" t="str">
        <x:v>Nostr libraries</x:v>
      </x:c>
      <x:c r="E642" s="75" t="str">
        <x:v>Custom/open-source ecosystem</x:v>
      </x:c>
      <x:c r="F642" s="75"/>
      <x:c r="G642" s="75" t="str">
        <x:v>No public SDKs yet</x:v>
      </x:c>
      <x:c r="H642" s="75"/>
      <x:c r="I642" s="75"/>
      <x:c r="J642" s="75" t="str">
        <x:v>Discord bot libraries largely reusable</x:v>
      </x:c>
      <x:c r="K642" s="75" t="str">
        <x:v>Open source</x:v>
      </x:c>
      <x:c r="L642" s="75" t="str">
        <x:v>Early ecosystem; official Python SDK is the primary SDK</x:v>
      </x:c>
      <x:c r="M642" s="75"/>
      <x:c r="N642" s="75" t="str">
        <x:v>discord.py/discord.js compatibility</x:v>
      </x:c>
      <x:c r="O642" s="75" t="str">
        <x:v>Many SDKs incl JS/TS, Rust, Python, Go/community</x:v>
      </x:c>
      <x:c r="P642" s="75" t="str">
        <x:v>Client/server APIs; Go/JS ecosystem</x:v>
      </x:c>
      <x:c r="Q642" s="75" t="str">
        <x:v>SDK/integration ecosystem</x:v>
      </x:c>
      <x:c r="R642" s="75" t="str">
        <x:v>Community libraries</x:v>
      </x:c>
      <x:c r="S642" s="75" t="str">
        <x:v>Official Nerimity.js</x:v>
      </x:c>
      <x:c r="T642" s="75"/>
      <x:c r="U642" s="75"/>
      <x:c r="V642" s="75" t="str">
        <x:v>No</x:v>
      </x:c>
      <x:c r="W642" s="75" t="str">
        <x:v>SDKs/APIs + Apps framework</x:v>
      </x:c>
      <x:c r="X642" s="75" t="str">
        <x:v>Roomy SDK</x:v>
      </x:c>
      <x:c r="Y642" s="75" t="str">
        <x:v>Official TypeScript SDK / Node runtime</x:v>
      </x:c>
      <x:c r="Z642" s="75" t="str">
        <x:v>Discord ecosystem compatibility; Spacebar docs</x:v>
      </x:c>
      <x:c r="AA642" s="75" t="str">
        <x:v>Official TypeScript client SDK; community libraries</x:v>
      </x:c>
      <x:c r="AB642" s="75"/>
      <x:c r="AC642" s="78" t="str">
        <x:v>Official .NET SDK</x:v>
      </x:c>
      <x:c r="AD642" s="75"/>
      <x:c r="AE642" s="75"/>
      <x:c r="AF642" s="75"/>
      <x:c r="AG642" s="75" t="str">
        <x:v>Official/community libraries incl Python; broad API</x:v>
      </x:c>
      <x:c r="AH642" s="122" t="n">
        <x:v>15</x:v>
      </x:c>
      <x:c r="AI642" s="123" t="str">
        <x:v>Canonical source for Developer API Detail!15</x:v>
      </x:c>
    </x:row>
    <x:row r="643">
      <x:c r="A643" s="119" t="str">
        <x:v>Developer API Detail</x:v>
      </x:c>
      <x:c r="B643" s="121" t="str">
        <x:v>Slash Commands?</x:v>
      </x:c>
      <x:c r="C643" s="75" t="str">
        <x:v>Yes — slash commands, components, modals, interactions</x:v>
      </x:c>
      <x:c r="D643" s="75" t="str">
        <x:v>Protocol-driven</x:v>
      </x:c>
      <x:c r="E643" s="75" t="str">
        <x:v>Plugin system</x:v>
      </x:c>
      <x:c r="F643" s="75"/>
      <x:c r="G643" s="75" t="str">
        <x:v>Native slash commands exist; developer interaction API planned</x:v>
      </x:c>
      <x:c r="H643" s="75"/>
      <x:c r="I643" s="75"/>
      <x:c r="J643" s="75" t="str">
        <x:v>Interactions target</x:v>
      </x:c>
      <x:c r="K643" s="75" t="str">
        <x:v>No bot ecosystem yet</x:v>
      </x:c>
      <x:c r="L643" s="75" t="str">
        <x:v>Yes</x:v>
      </x:c>
      <x:c r="M643" s="75"/>
      <x:c r="N643" s="75" t="str">
        <x:v>Slash commands/buttons/modals</x:v>
      </x:c>
      <x:c r="O643" s="75" t="str">
        <x:v>Client extensions/bots; interaction UX client-dependent</x:v>
      </x:c>
      <x:c r="P643" s="75" t="str">
        <x:v>Slash commands + interactive messages</x:v>
      </x:c>
      <x:c r="Q643" s="75" t="str">
        <x:v>Bots</x:v>
      </x:c>
      <x:c r="R643" s="75" t="str">
        <x:v>N/A</x:v>
      </x:c>
      <x:c r="S643" s="75" t="str">
        <x:v>Bots/API</x:v>
      </x:c>
      <x:c r="T643" s="75"/>
      <x:c r="U643" s="75" t="str">
        <x:v>No public third-party interactions API; built-in /roll, /flip and /draw exist</x:v>
      </x:c>
      <x:c r="V643" s="75" t="str">
        <x:v>minimal</x:v>
      </x:c>
      <x:c r="W643" s="75" t="str">
        <x:v>Slash commands/apps</x:v>
      </x:c>
      <x:c r="X643" s="75"/>
      <x:c r="Y643" s="75" t="str">
        <x:v>Bots/commands + full GUI Apps</x:v>
      </x:c>
      <x:c r="Z643" s="75" t="str">
        <x:v>Discord interaction compatibility target</x:v>
      </x:c>
      <x:c r="AA643" s="75"/>
      <x:c r="AB643" s="75"/>
      <x:c r="AC643" s="78" t="str">
        <x:v>Bots/OAuth apps</x:v>
      </x:c>
      <x:c r="AD643" s="75"/>
      <x:c r="AE643" s="75" t="str">
        <x:v>Native modules rather than bot-first</x:v>
      </x:c>
      <x:c r="AF643" s="75"/>
      <x:c r="AG643" s="75" t="str">
        <x:v>Slash-command-style integrations/bots</x:v>
      </x:c>
      <x:c r="AH643" s="122" t="n">
        <x:v>17</x:v>
      </x:c>
      <x:c r="AI643" s="123" t="str">
        <x:v>Canonical source for Developer API Detail!17</x:v>
      </x:c>
    </x:row>
    <x:row r="644">
      <x:c r="A644" s="119" t="str">
        <x:v>Developer API Detail</x:v>
      </x:c>
      <x:c r="B644" s="121" t="str">
        <x:v>Buttons / Components?</x:v>
      </x:c>
      <x:c r="C644" s="75" t="str">
        <x:v>Yes — slash commands, components, modals, interactions</x:v>
      </x:c>
      <x:c r="D644" s="75" t="str">
        <x:v>Protocol-driven</x:v>
      </x:c>
      <x:c r="E644" s="75" t="str">
        <x:v>Plugin system</x:v>
      </x:c>
      <x:c r="F644" s="75"/>
      <x:c r="G644" s="75" t="str">
        <x:v>Native slash commands exist; developer interaction API planned</x:v>
      </x:c>
      <x:c r="H644" s="75"/>
      <x:c r="I644" s="75"/>
      <x:c r="J644" s="75" t="str">
        <x:v>Interactions target</x:v>
      </x:c>
      <x:c r="K644" s="75" t="str">
        <x:v>No bot ecosystem yet</x:v>
      </x:c>
      <x:c r="L644" s="75" t="str">
        <x:v>Yes</x:v>
      </x:c>
      <x:c r="M644" s="75"/>
      <x:c r="N644" s="75" t="str">
        <x:v>Slash commands/buttons/modals</x:v>
      </x:c>
      <x:c r="O644" s="75" t="str">
        <x:v>Client extensions/bots; interaction UX client-dependent</x:v>
      </x:c>
      <x:c r="P644" s="75" t="str">
        <x:v>Slash commands + interactive messages</x:v>
      </x:c>
      <x:c r="Q644" s="75" t="str">
        <x:v>Bots</x:v>
      </x:c>
      <x:c r="R644" s="75" t="str">
        <x:v>N/A</x:v>
      </x:c>
      <x:c r="S644" s="75" t="str">
        <x:v>Bots/API</x:v>
      </x:c>
      <x:c r="T644" s="75"/>
      <x:c r="U644" s="75"/>
      <x:c r="V644" s="75" t="str">
        <x:v>Yes</x:v>
      </x:c>
      <x:c r="W644" s="75" t="str">
        <x:v>Slash commands/apps</x:v>
      </x:c>
      <x:c r="X644" s="75"/>
      <x:c r="Y644" s="75" t="str">
        <x:v>Bots/commands + full GUI Apps</x:v>
      </x:c>
      <x:c r="Z644" s="75" t="str">
        <x:v>Discord interaction compatibility target</x:v>
      </x:c>
      <x:c r="AA644" s="75"/>
      <x:c r="AB644" s="75"/>
      <x:c r="AC644" s="78" t="str">
        <x:v>Bots/OAuth apps</x:v>
      </x:c>
      <x:c r="AD644" s="75"/>
      <x:c r="AE644" s="75" t="str">
        <x:v>Native modules rather than bot-first</x:v>
      </x:c>
      <x:c r="AF644" s="75"/>
      <x:c r="AG644" s="75" t="str">
        <x:v>Slash-command-style integrations/bots</x:v>
      </x:c>
      <x:c r="AH644" s="122" t="n">
        <x:v>18</x:v>
      </x:c>
      <x:c r="AI644" s="123" t="str">
        <x:v>Canonical source for Developer API Detail!18</x:v>
      </x:c>
    </x:row>
    <x:row r="645">
      <x:c r="A645" s="119" t="str">
        <x:v>Developer API Detail</x:v>
      </x:c>
      <x:c r="B645" s="121" t="str">
        <x:v>Modals / Forms?</x:v>
      </x:c>
      <x:c r="C645" s="75" t="str">
        <x:v>Yes — slash commands, components, modals, interactions</x:v>
      </x:c>
      <x:c r="D645" s="75" t="str">
        <x:v>Protocol-driven</x:v>
      </x:c>
      <x:c r="E645" s="75" t="str">
        <x:v>Plugin system</x:v>
      </x:c>
      <x:c r="F645" s="75"/>
      <x:c r="G645" s="75" t="str">
        <x:v>Native slash commands exist; developer interaction API planned</x:v>
      </x:c>
      <x:c r="H645" s="75"/>
      <x:c r="I645" s="75"/>
      <x:c r="J645" s="75" t="str">
        <x:v>Interactions target</x:v>
      </x:c>
      <x:c r="K645" s="75" t="str">
        <x:v>No bot ecosystem yet</x:v>
      </x:c>
      <x:c r="L645" s="75" t="str">
        <x:v>Yes</x:v>
      </x:c>
      <x:c r="M645" s="75"/>
      <x:c r="N645" s="75" t="str">
        <x:v>Slash commands/buttons/modals</x:v>
      </x:c>
      <x:c r="O645" s="75" t="str">
        <x:v>Client extensions/bots; interaction UX client-dependent</x:v>
      </x:c>
      <x:c r="P645" s="75" t="str">
        <x:v>Slash commands + interactive messages</x:v>
      </x:c>
      <x:c r="Q645" s="75" t="str">
        <x:v>Bots</x:v>
      </x:c>
      <x:c r="R645" s="75" t="str">
        <x:v>N/A</x:v>
      </x:c>
      <x:c r="S645" s="75" t="str">
        <x:v>Bots/API</x:v>
      </x:c>
      <x:c r="T645" s="75"/>
      <x:c r="U645" s="75"/>
      <x:c r="V645" s="75" t="str">
        <x:v>Yes</x:v>
      </x:c>
      <x:c r="W645" s="75" t="str">
        <x:v>Slash commands/apps</x:v>
      </x:c>
      <x:c r="X645" s="75"/>
      <x:c r="Y645" s="75" t="str">
        <x:v>Bots/commands + full GUI Apps</x:v>
      </x:c>
      <x:c r="Z645" s="75" t="str">
        <x:v>Discord interaction compatibility target</x:v>
      </x:c>
      <x:c r="AA645" s="75"/>
      <x:c r="AB645" s="75"/>
      <x:c r="AC645" s="78" t="str">
        <x:v>Bots/OAuth apps</x:v>
      </x:c>
      <x:c r="AD645" s="75"/>
      <x:c r="AE645" s="75" t="str">
        <x:v>Native modules rather than bot-first</x:v>
      </x:c>
      <x:c r="AF645" s="75"/>
      <x:c r="AG645" s="75" t="str">
        <x:v>Slash-command-style integrations/bots</x:v>
      </x:c>
      <x:c r="AH645" s="122" t="n">
        <x:v>19</x:v>
      </x:c>
      <x:c r="AI645" s="123" t="str">
        <x:v>Canonical source for Developer API Detail!19</x:v>
      </x:c>
    </x:row>
    <x:row r="646">
      <x:c r="A646" s="119" t="str">
        <x:v>Developer API Detail</x:v>
      </x:c>
      <x:c r="B646" s="121" t="str">
        <x:v>Embedded Apps?</x:v>
      </x:c>
      <x:c r="C646" s="75" t="str">
        <x:v>Yes</x:v>
      </x:c>
      <x:c r="D646" s="75"/>
      <x:c r="E646" s="75"/>
      <x:c r="F646" s="75"/>
      <x:c r="G646" s="75"/>
      <x:c r="H646" s="75"/>
      <x:c r="I646" s="75"/>
      <x:c r="J646" s="75"/>
      <x:c r="K646" s="75"/>
      <x:c r="L646" s="75" t="str">
        <x:v>No embedded iframe/web-app runtime</x:v>
      </x:c>
      <x:c r="M646" s="75"/>
      <x:c r="N646" s="75"/>
      <x:c r="O646" s="75"/>
      <x:c r="P646" s="75" t="str">
        <x:v>Yes</x:v>
      </x:c>
      <x:c r="Q646" s="75" t="str">
        <x:v>Yes</x:v>
      </x:c>
      <x:c r="R646" s="75"/>
      <x:c r="S646" s="75"/>
      <x:c r="T646" s="75"/>
      <x:c r="U646" s="75"/>
      <x:c r="V646" s="75" t="str">
        <x:v>Yes — Portals / embedded workspaces</x:v>
      </x:c>
      <x:c r="W646" s="75" t="str">
        <x:v>Yes</x:v>
      </x:c>
      <x:c r="X646" s="75"/>
      <x:c r="Y646" s="75" t="str">
        <x:v>Yes</x:v>
      </x:c>
      <x:c r="Z646" s="75"/>
      <x:c r="AA646" s="75"/>
      <x:c r="AB646" s="75"/>
      <x:c r="AC646" s="78"/>
      <x:c r="AD646" s="75"/>
      <x:c r="AE646" s="75"/>
      <x:c r="AF646" s="75"/>
      <x:c r="AG646" s="75"/>
      <x:c r="AH646" s="122" t="n">
        <x:v>20</x:v>
      </x:c>
      <x:c r="AI646" s="123" t="str">
        <x:v>Canonical metric shared by: Developer Extensibility: Embedded Apps? | Developer API Detail: Embedded Apps?</x:v>
      </x:c>
    </x:row>
    <x:row r="647">
      <x:c r="A647" s="119" t="str">
        <x:v>Developer API Detail</x:v>
      </x:c>
      <x:c r="B647" s="121" t="str">
        <x:v>Server Plugins?</x:v>
      </x:c>
      <x:c r="C647" s="75"/>
      <x:c r="D647" s="75"/>
      <x:c r="E647" s="75" t="str">
        <x:v>Yes</x:v>
      </x:c>
      <x:c r="F647" s="75"/>
      <x:c r="G647" s="75"/>
      <x:c r="H647" s="75"/>
      <x:c r="I647" s="75"/>
      <x:c r="J647" s="75"/>
      <x:c r="K647" s="75"/>
      <x:c r="L647" s="75" t="str">
        <x:v>No server-plugin system documented</x:v>
      </x:c>
      <x:c r="M647" s="75"/>
      <x:c r="N647" s="75"/>
      <x:c r="O647" s="75"/>
      <x:c r="P647" s="75" t="str">
        <x:v>Yes</x:v>
      </x:c>
      <x:c r="Q647" s="75"/>
      <x:c r="R647" s="75" t="str">
        <x:v>Yes</x:v>
      </x:c>
      <x:c r="S647" s="75"/>
      <x:c r="T647" s="75"/>
      <x:c r="U647" s="75"/>
      <x:c r="V647" s="75"/>
      <x:c r="W647" s="75" t="str">
        <x:v>Yes</x:v>
      </x:c>
      <x:c r="X647" s="75"/>
      <x:c r="Y647" s="75"/>
      <x:c r="Z647" s="75"/>
      <x:c r="AA647" s="75"/>
      <x:c r="AB647" s="75" t="str">
        <x:v>Yes</x:v>
      </x:c>
      <x:c r="AC647" s="78"/>
      <x:c r="AD647" s="75"/>
      <x:c r="AE647" s="75"/>
      <x:c r="AF647" s="75"/>
      <x:c r="AG647" s="75"/>
      <x:c r="AH647" s="122" t="n">
        <x:v>22</x:v>
      </x:c>
      <x:c r="AI647" s="123" t="str">
        <x:v>Canonical source for Developer API Detail!22</x:v>
      </x:c>
    </x:row>
    <x:row r="648">
      <x:c r="A648" s="119" t="str">
        <x:v>Developer API Detail</x:v>
      </x:c>
      <x:c r="B648" s="121" t="str">
        <x:v>Client Plugins?</x:v>
      </x:c>
      <x:c r="C648" s="75" t="str">
        <x:v>No official client plugin/modding architecture</x:v>
      </x:c>
      <x:c r="D648" s="75" t="str">
        <x:v>Independent clients possible</x:v>
      </x:c>
      <x:c r="E648" s="75" t="str">
        <x:v>Plugin system</x:v>
      </x:c>
      <x:c r="F648" s="75"/>
      <x:c r="G648" s="75" t="str">
        <x:v>No</x:v>
      </x:c>
      <x:c r="H648" s="75" t="str">
        <x:v>No official client-plugin architecture verified</x:v>
      </x:c>
      <x:c r="I648" s="75" t="str">
        <x:v>No client plugins verified</x:v>
      </x:c>
      <x:c r="J648" s="75" t="str">
        <x:v>Independent clients encouraged</x:v>
      </x:c>
      <x:c r="K648" s="75" t="str">
        <x:v>No plugin ecosystem</x:v>
      </x:c>
      <x:c r="L648" s="75" t="str">
        <x:v>No general client plugin architecture documented; custom CSS/theme support is developer-reported</x:v>
      </x:c>
      <x:c r="M648" s="75"/>
      <x:c r="N648" s="75" t="str">
        <x:v>No client plugins verified</x:v>
      </x:c>
      <x:c r="O648" s="75" t="str">
        <x:v>Multiple independent clients rather than plugins to one official client</x:v>
      </x:c>
      <x:c r="P648" s="75" t="str">
        <x:v>Plugin architecture (server/webapp)</x:v>
      </x:c>
      <x:c r="Q648" s="75"/>
      <x:c r="R648" s="75" t="str">
        <x:v>Plugins supported</x:v>
      </x:c>
      <x:c r="S648" s="75" t="str">
        <x:v>Themes/RPC</x:v>
      </x:c>
      <x:c r="T648" s="75"/>
      <x:c r="U648" s="75" t="str">
        <x:v>No official plugin architecture claimed</x:v>
      </x:c>
      <x:c r="V648" s="75"/>
      <x:c r="W648" s="75" t="str">
        <x:v>Apps/plugin framework</x:v>
      </x:c>
      <x:c r="X648" s="75" t="str">
        <x:v>Open protocol client ecosystem</x:v>
      </x:c>
      <x:c r="Y648" s="75" t="str">
        <x:v>No client modding</x:v>
      </x:c>
      <x:c r="Z648" s="75" t="str">
        <x:v>Spacebar-aware client theming/plugin goals</x:v>
      </x:c>
      <x:c r="AA648" s="75" t="str">
        <x:v>Community clients/themes; no stable official plugin architecture verified</x:v>
      </x:c>
      <x:c r="AB648" s="75" t="str">
        <x:v>Plugins/addons ecosystem</x:v>
      </x:c>
      <x:c r="AC648" s="78" t="str">
        <x:v>Themes rather than client mods</x:v>
      </x:c>
      <x:c r="AD648" s="75" t="str">
        <x:v>No</x:v>
      </x:c>
      <x:c r="AE648" s="75" t="str">
        <x:v>No</x:v>
      </x:c>
      <x:c r="AF648" s="75"/>
      <x:c r="AG648" s="75" t="str">
        <x:v>No client plugin architecture</x:v>
      </x:c>
      <x:c r="AH648" s="122" t="n">
        <x:v>23</x:v>
      </x:c>
      <x:c r="AI648" s="123" t="str">
        <x:v>Canonical source for Developer API Detail!23</x:v>
      </x:c>
    </x:row>
    <x:row r="649">
      <x:c r="A649" s="119" t="str">
        <x:v>Developer API Detail</x:v>
      </x:c>
      <x:c r="B649" s="121" t="str">
        <x:v>OAuth2?</x:v>
      </x:c>
      <x:c r="C649" s="75" t="str">
        <x:v>Yes</x:v>
      </x:c>
      <x:c r="D649" s="75"/>
      <x:c r="E649" s="75"/>
      <x:c r="F649" s="75"/>
      <x:c r="G649" s="75"/>
      <x:c r="H649" s="75"/>
      <x:c r="I649" s="75"/>
      <x:c r="J649" s="75"/>
      <x:c r="K649" s="75"/>
      <x:c r="L649" s="75" t="str">
        <x:v>No OAuth2 login flow documented; apps use Kaede-specific install templates/scoped credentials</x:v>
      </x:c>
      <x:c r="M649" s="75"/>
      <x:c r="N649" s="75"/>
      <x:c r="O649" s="75"/>
      <x:c r="P649" s="75" t="str">
        <x:v>Yes</x:v>
      </x:c>
      <x:c r="Q649" s="75"/>
      <x:c r="R649" s="75"/>
      <x:c r="S649" s="75"/>
      <x:c r="T649" s="75"/>
      <x:c r="U649" s="75"/>
      <x:c r="V649" s="75"/>
      <x:c r="W649" s="75" t="str">
        <x:v>Yes</x:v>
      </x:c>
      <x:c r="X649" s="75"/>
      <x:c r="Y649" s="75"/>
      <x:c r="Z649" s="75"/>
      <x:c r="AA649" s="75"/>
      <x:c r="AB649" s="75"/>
      <x:c r="AC649" s="78" t="str">
        <x:v>Yes</x:v>
      </x:c>
      <x:c r="AD649" s="75"/>
      <x:c r="AE649" s="75"/>
      <x:c r="AF649" s="75"/>
      <x:c r="AG649" s="75"/>
      <x:c r="AH649" s="122" t="n">
        <x:v>24</x:v>
      </x:c>
      <x:c r="AI649" s="123" t="str">
        <x:v>Canonical metric shared by: Developer Extensibility: OAuth2? | Developer API Detail: OAuth2?</x:v>
      </x:c>
    </x:row>
    <x:row r="650">
      <x:c r="A650" s="119" t="str">
        <x:v>Developer API Detail</x:v>
      </x:c>
      <x:c r="B650" s="121" t="str">
        <x:v>Developer Portal?</x:v>
      </x:c>
      <x:c r="C650" s="75" t="str">
        <x:v>Yes — Developer Portal + per-route/global REST limits; Gateway 120 events/60s/connection</x:v>
      </x:c>
      <x:c r="D650" s="75" t="str">
        <x:v>Open source</x:v>
      </x:c>
      <x:c r="E650" s="75" t="str">
        <x:v>Operator configured</x:v>
      </x:c>
      <x:c r="F650" s="75"/>
      <x:c r="G650" s="75" t="str">
        <x:v>No public developer portal/API limits yet</x:v>
      </x:c>
      <x:c r="H650" s="75"/>
      <x:c r="I650" s="75"/>
      <x:c r="J650" s="75" t="str">
        <x:v>Public source/API</x:v>
      </x:c>
      <x:c r="K650" s="75" t="str">
        <x:v>Source/whitepaper</x:v>
      </x:c>
      <x:c r="L650" s="75" t="str">
        <x:v>Yes</x:v>
      </x:c>
      <x:c r="M650" s="75"/>
      <x:c r="N650" s="75"/>
      <x:c r="O650" s="75" t="str">
        <x:v>Public spec/API; rate limits homeserver-dependent</x:v>
      </x:c>
      <x:c r="P650" s="75" t="str">
        <x:v>Documented APIs/rate limits</x:v>
      </x:c>
      <x:c r="Q650" s="75" t="str">
        <x:v>Public API/docs</x:v>
      </x:c>
      <x:c r="R650" s="75" t="str">
        <x:v>Public protocol/docs; limits server-controlled</x:v>
      </x:c>
      <x:c r="S650" s="75" t="str">
        <x:v>Public API docs</x:v>
      </x:c>
      <x:c r="T650" s="75"/>
      <x:c r="U650" s="75" t="str">
        <x:v>No public developer portal</x:v>
      </x:c>
      <x:c r="V650" s="75" t="str">
        <x:v>No</x:v>
      </x:c>
      <x:c r="W650" s="75" t="str">
        <x:v>Public API docs/rate limits</x:v>
      </x:c>
      <x:c r="X650" s="75" t="str">
        <x:v>Public code</x:v>
      </x:c>
      <x:c r="Y650" s="75"/>
      <x:c r="Z650" s="75" t="str">
        <x:v>Documented API; operator-configurable</x:v>
      </x:c>
      <x:c r="AA650" s="75"/>
      <x:c r="AB650" s="75"/>
      <x:c r="AC650" s="78" t="str">
        <x:v>Public API</x:v>
      </x:c>
      <x:c r="AD650" s="75"/>
      <x:c r="AE650" s="75"/>
      <x:c r="AF650" s="75"/>
      <x:c r="AG650" s="75" t="str">
        <x:v>Public API docs/rate behavior</x:v>
      </x:c>
      <x:c r="AH650" s="122" t="n">
        <x:v>25</x:v>
      </x:c>
      <x:c r="AI650" s="123" t="str">
        <x:v>Canonical metric shared by: Developer Extensibility: Developer Portal? | Developer API Detail: Developer Portal?</x:v>
      </x:c>
    </x:row>
    <x:row r="651">
      <x:c r="A651" s="119" t="str">
        <x:v>Developer API Detail</x:v>
      </x:c>
      <x:c r="B651" s="121" t="str">
        <x:v>API Rate Limits Published?</x:v>
      </x:c>
      <x:c r="C651" s="75" t="str">
        <x:v>Yes — Developer Portal + per-route/global REST limits; Gateway 120 events/60s/connection</x:v>
      </x:c>
      <x:c r="D651" s="75" t="str">
        <x:v>Open source</x:v>
      </x:c>
      <x:c r="E651" s="75" t="str">
        <x:v>Operator configured</x:v>
      </x:c>
      <x:c r="F651" s="75"/>
      <x:c r="G651" s="75" t="str">
        <x:v>No public developer portal/API limits yet</x:v>
      </x:c>
      <x:c r="H651" s="75"/>
      <x:c r="I651" s="75"/>
      <x:c r="J651" s="75" t="str">
        <x:v>Public source/API</x:v>
      </x:c>
      <x:c r="K651" s="75" t="str">
        <x:v>Source/whitepaper</x:v>
      </x:c>
      <x:c r="L651" s="75" t="str">
        <x:v>Rate limiting is implemented and Retry-After is handled; exact per-endpoint quotas are not exhaustively summarized in the reviewed docs</x:v>
      </x:c>
      <x:c r="M651" s="75"/>
      <x:c r="N651" s="75"/>
      <x:c r="O651" s="75" t="str">
        <x:v>Public spec/API; rate limits homeserver-dependent</x:v>
      </x:c>
      <x:c r="P651" s="75" t="str">
        <x:v>Documented APIs/rate limits</x:v>
      </x:c>
      <x:c r="Q651" s="75" t="str">
        <x:v>Public API/docs</x:v>
      </x:c>
      <x:c r="R651" s="75" t="str">
        <x:v>Public protocol/docs; limits server-controlled</x:v>
      </x:c>
      <x:c r="S651" s="75" t="str">
        <x:v>Public API docs</x:v>
      </x:c>
      <x:c r="T651" s="75"/>
      <x:c r="U651" s="75" t="str">
        <x:v>Not for third-party developers; no public bot API</x:v>
      </x:c>
      <x:c r="V651" s="75"/>
      <x:c r="W651" s="75" t="str">
        <x:v>Public API docs/rate limits</x:v>
      </x:c>
      <x:c r="X651" s="75" t="str">
        <x:v>Public code</x:v>
      </x:c>
      <x:c r="Y651" s="75"/>
      <x:c r="Z651" s="75" t="str">
        <x:v>Documented API; operator-configurable</x:v>
      </x:c>
      <x:c r="AA651" s="75"/>
      <x:c r="AB651" s="75"/>
      <x:c r="AC651" s="78" t="str">
        <x:v>Public API</x:v>
      </x:c>
      <x:c r="AD651" s="75"/>
      <x:c r="AE651" s="75"/>
      <x:c r="AF651" s="75"/>
      <x:c r="AG651" s="75" t="str">
        <x:v>Public API docs/rate behavior</x:v>
      </x:c>
      <x:c r="AH651" s="122" t="n">
        <x:v>26</x:v>
      </x:c>
      <x:c r="AI651" s="123" t="str">
        <x:v>Canonical source for Developer API Detail!26</x:v>
      </x:c>
    </x:row>
    <x:row r="652">
      <x:c r="A652" s="119" t="str">
        <x:v>Developer API Detail</x:v>
      </x:c>
      <x:c r="B652" s="121" t="str">
        <x:v>Bot Hosting Included?</x:v>
      </x:c>
      <x:c r="C652" s="75"/>
      <x:c r="D652" s="75"/>
      <x:c r="E652" s="75"/>
      <x:c r="F652" s="75"/>
      <x:c r="G652" s="75"/>
      <x:c r="H652" s="75"/>
      <x:c r="I652" s="75"/>
      <x:c r="J652" s="75"/>
      <x:c r="K652" s="75"/>
      <x:c r="L652" s="75" t="str">
        <x:v>No bundled bot hosting; developers run their own Python workers</x:v>
      </x:c>
      <x:c r="M652" s="75"/>
      <x:c r="N652" s="75"/>
      <x:c r="O652" s="75"/>
      <x:c r="P652" s="75"/>
      <x:c r="Q652" s="75"/>
      <x:c r="R652" s="75"/>
      <x:c r="S652" s="75"/>
      <x:c r="T652" s="75"/>
      <x:c r="U652" s="75"/>
      <x:c r="V652" s="75"/>
      <x:c r="W652" s="75"/>
      <x:c r="X652" s="75"/>
      <x:c r="Y652" s="75" t="str">
        <x:v>Yes — hosted app runtime</x:v>
      </x:c>
      <x:c r="Z652" s="75"/>
      <x:c r="AA652" s="75"/>
      <x:c r="AB652" s="75"/>
      <x:c r="AC652" s="78"/>
      <x:c r="AD652" s="75"/>
      <x:c r="AE652" s="75"/>
      <x:c r="AF652" s="75"/>
      <x:c r="AG652" s="75"/>
      <x:c r="AH652" s="122" t="n">
        <x:v>27</x:v>
      </x:c>
      <x:c r="AI652" s="123" t="str">
        <x:v>Canonical source for Developer API Detail!27</x:v>
      </x:c>
    </x:row>
    <x:row r="653">
      <x:c r="A653" s="119" t="str">
        <x:v>Developer API Detail</x:v>
      </x:c>
      <x:c r="B653" s="121" t="str">
        <x:v>Paid Developer Features?</x:v>
      </x:c>
      <x:c r="C653" s="75" t="str">
        <x:v>Developer monetization planned/supported</x:v>
      </x:c>
      <x:c r="D653" s="75"/>
      <x:c r="E653" s="75"/>
      <x:c r="F653" s="75"/>
      <x:c r="G653" s="75"/>
      <x:c r="H653" s="75"/>
      <x:c r="I653" s="75"/>
      <x:c r="J653" s="75"/>
      <x:c r="K653" s="75"/>
      <x:c r="L653" s="75" t="str">
        <x:v>No paid developer features documented</x:v>
      </x:c>
      <x:c r="M653" s="75"/>
      <x:c r="N653" s="75"/>
      <x:c r="O653" s="75"/>
      <x:c r="P653" s="75"/>
      <x:c r="Q653" s="75"/>
      <x:c r="R653" s="75"/>
      <x:c r="S653" s="75"/>
      <x:c r="T653" s="75"/>
      <x:c r="U653" s="75"/>
      <x:c r="V653" s="75"/>
      <x:c r="W653" s="75"/>
      <x:c r="X653" s="75"/>
      <x:c r="Y653" s="75" t="str">
        <x:v>Developer monetization planned/supported</x:v>
      </x:c>
      <x:c r="Z653" s="75"/>
      <x:c r="AA653" s="75"/>
      <x:c r="AB653" s="75"/>
      <x:c r="AC653" s="78"/>
      <x:c r="AD653" s="75"/>
      <x:c r="AE653" s="75"/>
      <x:c r="AF653" s="75"/>
      <x:c r="AG653" s="75"/>
      <x:c r="AH653" s="122" t="n">
        <x:v>28</x:v>
      </x:c>
      <x:c r="AI653" s="123" t="str">
        <x:v>Canonical source for Developer API Detail!28</x:v>
      </x:c>
    </x:row>
    <x:row r="654">
      <x:c r="A654" s="119" t="str">
        <x:v>Developer API Detail</x:v>
      </x:c>
      <x:c r="B654" s="121" t="str">
        <x:v>Developer Notes</x:v>
      </x:c>
      <x:c r="C654" s="75" t="str">
        <x:v>REST/HTTP API + Gateway WebSocket; JS/TS: official Embedded App SDK; no official general bot SDKs for Python/Rust/Go; Social SDK targets C++/Unity/Unreal; Yes — slash commands, components, modals, interactions</x:v>
      </x:c>
      <x:c r="D654" s="75" t="str">
        <x:v>Nostr/Concord protocols; Nostr libraries; Protocol-driven</x:v>
      </x:c>
      <x:c r="E654" s="75" t="str">
        <x:v>Custom server/WebSocket APIs; Custom/open-source ecosystem; Plugin system</x:v>
      </x:c>
      <x:c r="F654" s="75"/>
      <x:c r="G654" s="75" t="str">
        <x:v>Bot API planned after public release; No public SDKs yet; Native slash commands exist; developer interaction API planned</x:v>
      </x:c>
      <x:c r="H654" s="75"/>
      <x:c r="I654" s="75"/>
      <x:c r="J654" s="75" t="str">
        <x:v>Discord-compatible API; Discord bot libraries largely reusable; Interactions target</x:v>
      </x:c>
      <x:c r="K654" s="75" t="str">
        <x:v>Custom protocol; no HTTP API emphasis; Open source; No bot ecosystem yet</x:v>
      </x:c>
      <x:c r="L654" s="75" t="str">
        <x:v>https://github.com/CookieNom/KaedeChat/blob/main/docs/bot-api-quickstart.md</x:v>
      </x:c>
      <x:c r="M654" s="75"/>
      <x:c r="N654" s="75" t="str">
        <x:v>Discord-compatible API; discord.py/discord.js compatibility; Slash commands/buttons/modals</x:v>
      </x:c>
      <x:c r="O654" s="75" t="str">
        <x:v>Open Client-Server, Server-Server, Application Service APIs; WebSocket-like sync transports depending spec version; Many SDKs incl JS/TS, Rust, Python, Go/community; Client extensions/bots; interaction UX client-dependent</x:v>
      </x:c>
      <x:c r="P654" s="75" t="str">
        <x:v>REST + WebSocket API; Client/server APIs; Go/JS ecosystem; Slash commands + interactive messages</x:v>
      </x:c>
      <x:c r="Q654" s="75" t="str">
        <x:v>API-first design; SDK/integration ecosystem; Bots</x:v>
      </x:c>
      <x:c r="R654" s="75" t="str">
        <x:v>Server RPC/API (Ice) + protocol libraries; Community libraries; N/A</x:v>
      </x:c>
      <x:c r="S654" s="75"/>
      <x:c r="T654" s="75"/>
      <x:c r="U654" s="75" t="str">
        <x:v>Public bot-token/third-party API is intentionally not shipped yet; incoming Discord-compatible webhooks are supported.</x:v>
      </x:c>
      <x:c r="V654" s="75"/>
      <x:c r="W654" s="75" t="str">
        <x:v>REST + realtime/WebSocket/DDP + Apps engine; SDKs/APIs + Apps framework; Slash commands/apps</x:v>
      </x:c>
      <x:c r="X654" s="75"/>
      <x:c r="Y654" s="75" t="str">
        <x:v>Root Community API + hosted app/bot runtime; Official TypeScript SDK / Node runtime; Bots/commands + full GUI Apps</x:v>
      </x:c>
      <x:c r="Z654" s="75" t="str">
        <x:v>Discord-compatible REST + Gateway; Discord ecosystem compatibility; Spacebar docs; Discord interaction compatibility target</x:v>
      </x:c>
      <x:c r="AA654" s="75"/>
      <x:c r="AB654" s="75"/>
      <x:c r="AC654" s="78" t="str">
        <x:v>Official API used by client; Official .NET SDK; Bots/OAuth apps</x:v>
      </x:c>
      <x:c r="AD654" s="75"/>
      <x:c r="AE654" s="75"/>
      <x:c r="AF654" s="75"/>
      <x:c r="AG654" s="75" t="str">
        <x:v>REST + realtime event queues; Official/community libraries incl Python; broad API; Slash-command-style integrations/bots</x:v>
      </x:c>
      <x:c r="AH654" s="122" t="n">
        <x:v>30</x:v>
      </x:c>
      <x:c r="AI654" s="123" t="str">
        <x:v>Canonical source for Developer API Detail!30</x:v>
      </x:c>
    </x:row>
    <x:row r="655">
      <x:c r="A655" s="119" t="str">
        <x:v>Developer API Detail</x:v>
      </x:c>
      <x:c r="B655" s="121" t="str">
        <x:v>App Marketplace / Directory?</x:v>
      </x:c>
      <x:c r="C655" s="75" t="str">
        <x:v>Yes — App Directory</x:v>
      </x:c>
      <x:c r="D655" s="75"/>
      <x:c r="E655" s="75"/>
      <x:c r="F655" s="75"/>
      <x:c r="G655" s="75"/>
      <x:c r="H655" s="75"/>
      <x:c r="I655" s="75"/>
      <x:c r="J655" s="75"/>
      <x:c r="K655" s="75"/>
      <x:c r="L655" s="75" t="str">
        <x:v>Yes — federated public App Directory for reviewed applications/bots</x:v>
      </x:c>
      <x:c r="M655" s="75"/>
      <x:c r="N655" s="75"/>
      <x:c r="O655" s="75"/>
      <x:c r="P655" s="75" t="str">
        <x:v>Plugin marketplace/ecosystem</x:v>
      </x:c>
      <x:c r="Q655" s="75"/>
      <x:c r="R655" s="75"/>
      <x:c r="S655" s="75"/>
      <x:c r="T655" s="75"/>
      <x:c r="U655" s="75"/>
      <x:c r="V655" s="75"/>
      <x:c r="W655" s="75" t="str">
        <x:v>Yes — Marketplace</x:v>
      </x:c>
      <x:c r="X655" s="75"/>
      <x:c r="Y655" s="75"/>
      <x:c r="Z655" s="75"/>
      <x:c r="AA655" s="75"/>
      <x:c r="AB655" s="75"/>
      <x:c r="AC655" s="78"/>
      <x:c r="AD655" s="75"/>
      <x:c r="AE655" s="75"/>
      <x:c r="AF655" s="75"/>
      <x:c r="AG655" s="75" t="str">
        <x:v>Integration directory</x:v>
      </x:c>
      <x:c r="AH655" s="122" t="n">
        <x:v>32</x:v>
      </x:c>
      <x:c r="AI655" s="123" t="str">
        <x:v>Canonical source for Developer API Detail!32</x:v>
      </x:c>
    </x:row>
    <x:row r="656">
      <x:c r="A656" s="119" t="str">
        <x:v>Developer API Detail</x:v>
      </x:c>
      <x:c r="B656" s="121" t="str">
        <x:v>Embedded Web App / Iframe Runtime?</x:v>
      </x:c>
      <x:c r="C656" s="75" t="str">
        <x:v>Yes — Activities run as iframe web apps</x:v>
      </x:c>
      <x:c r="D656" s="75"/>
      <x:c r="E656" s="75"/>
      <x:c r="F656" s="75"/>
      <x:c r="G656" s="75"/>
      <x:c r="H656" s="75"/>
      <x:c r="I656" s="75"/>
      <x:c r="J656" s="75"/>
      <x:c r="K656" s="75"/>
      <x:c r="L656" s="75" t="str">
        <x:v>No embedded web-app/iframe runtime</x:v>
      </x:c>
      <x:c r="M656" s="75"/>
      <x:c r="N656" s="75"/>
      <x:c r="O656" s="75" t="str">
        <x:v>Client-dependent widgets</x:v>
      </x:c>
      <x:c r="P656" s="75" t="str">
        <x:v>Plugins can add webapp components</x:v>
      </x:c>
      <x:c r="Q656" s="75"/>
      <x:c r="R656" s="75"/>
      <x:c r="S656" s="75"/>
      <x:c r="T656" s="75"/>
      <x:c r="U656" s="75"/>
      <x:c r="V656" s="75" t="str">
        <x:v>Yes — Portals embedded alongside chat</x:v>
      </x:c>
      <x:c r="W656" s="75" t="str">
        <x:v>Apps are workspace extensions; iframe model not primary</x:v>
      </x:c>
      <x:c r="X656" s="75"/>
      <x:c r="Y656" s="75"/>
      <x:c r="Z656" s="75"/>
      <x:c r="AA656" s="75"/>
      <x:c r="AB656" s="75"/>
      <x:c r="AC656" s="78"/>
      <x:c r="AD656" s="75"/>
      <x:c r="AE656" s="75"/>
      <x:c r="AF656" s="75"/>
      <x:c r="AG656" s="75"/>
      <x:c r="AH656" s="122" t="n">
        <x:v>33</x:v>
      </x:c>
      <x:c r="AI656" s="123" t="str">
        <x:v>Canonical source for Developer API Detail!33</x:v>
      </x:c>
    </x:row>
    <x:row r="657">
      <x:c r="A657" s="119" t="str">
        <x:v>Developer API Detail</x:v>
      </x:c>
      <x:c r="B657" s="121" t="str">
        <x:v>Shared Synchronized App Sessions?</x:v>
      </x:c>
      <x:c r="C657" s="75" t="str">
        <x:v>Yes — Activities</x:v>
      </x:c>
      <x:c r="D657" s="75"/>
      <x:c r="E657" s="75"/>
      <x:c r="F657" s="75"/>
      <x:c r="G657" s="75"/>
      <x:c r="H657" s="75"/>
      <x:c r="I657" s="75"/>
      <x:c r="J657" s="75"/>
      <x:c r="K657" s="75"/>
      <x:c r="L657" s="75" t="str">
        <x:v>No shared embedded-app session model</x:v>
      </x:c>
      <x:c r="M657" s="75"/>
      <x:c r="N657" s="75"/>
      <x:c r="O657" s="75" t="str">
        <x:v>Widget-dependent</x:v>
      </x:c>
      <x:c r="P657" s="75"/>
      <x:c r="Q657" s="75"/>
      <x:c r="R657" s="75"/>
      <x:c r="S657" s="75"/>
      <x:c r="T657" s="75"/>
      <x:c r="U657" s="75"/>
      <x:c r="V657" s="75" t="str">
        <x:v>Yes — Watch Party; Tabletop/Arcade experimental</x:v>
      </x:c>
      <x:c r="W657" s="75"/>
      <x:c r="X657" s="75"/>
      <x:c r="Y657" s="75"/>
      <x:c r="Z657" s="75"/>
      <x:c r="AA657" s="75"/>
      <x:c r="AB657" s="75"/>
      <x:c r="AC657" s="78"/>
      <x:c r="AD657" s="75"/>
      <x:c r="AE657" s="75"/>
      <x:c r="AF657" s="75"/>
      <x:c r="AG657" s="75"/>
      <x:c r="AH657" s="122" t="n">
        <x:v>34</x:v>
      </x:c>
      <x:c r="AI657" s="123" t="str">
        <x:v>Canonical source for Developer API Detail!34</x:v>
      </x:c>
    </x:row>
    <x:row r="658">
      <x:c r="A658" s="119" t="str">
        <x:v>Developer API Detail</x:v>
      </x:c>
      <x:c r="B658" s="121" t="str">
        <x:v>App Permission / Scope Model?</x:v>
      </x:c>
      <x:c r="C658" s="75" t="str">
        <x:v>Yes — OAuth2/scopes + SDK scopes</x:v>
      </x:c>
      <x:c r="D658" s="75"/>
      <x:c r="E658" s="75"/>
      <x:c r="F658" s="75"/>
      <x:c r="G658" s="75"/>
      <x:c r="H658" s="75"/>
      <x:c r="I658" s="75"/>
      <x:c r="J658" s="75"/>
      <x:c r="K658" s="75"/>
      <x:c r="L658" s="75" t="str">
        <x:v>Yes — scopes, intents, permissions, worker keys, E2EE modes and target-domain rules</x:v>
      </x:c>
      <x:c r="M658" s="75"/>
      <x:c r="N658" s="75"/>
      <x:c r="O658" s="75"/>
      <x:c r="P658" s="75" t="str">
        <x:v>Plugin permissions/admin install</x:v>
      </x:c>
      <x:c r="Q658" s="75"/>
      <x:c r="R658" s="75"/>
      <x:c r="S658" s="75"/>
      <x:c r="T658" s="75"/>
      <x:c r="U658" s="75"/>
      <x:c r="V658" s="75"/>
      <x:c r="W658" s="75" t="str">
        <x:v>Apps-Engine permissions/packaging</x:v>
      </x:c>
      <x:c r="X658" s="75"/>
      <x:c r="Y658" s="75"/>
      <x:c r="Z658" s="75"/>
      <x:c r="AA658" s="75"/>
      <x:c r="AB658" s="75"/>
      <x:c r="AC658" s="78"/>
      <x:c r="AD658" s="75"/>
      <x:c r="AE658" s="75"/>
      <x:c r="AF658" s="75"/>
      <x:c r="AG658" s="75"/>
      <x:c r="AH658" s="122" t="n">
        <x:v>35</x:v>
      </x:c>
      <x:c r="AI658" s="123" t="str">
        <x:v>Canonical source for Developer API Detail!35</x:v>
      </x:c>
    </x:row>
    <x:row r="659">
      <x:c r="A659" s="119" t="str">
        <x:v>Developer API Detail</x:v>
      </x:c>
      <x:c r="B659" s="121" t="str">
        <x:v>App Monetization / IAP?</x:v>
      </x:c>
      <x:c r="C659" s="75" t="str">
        <x:v>Yes — Activity IAP / SKUs supported</x:v>
      </x:c>
      <x:c r="D659" s="75"/>
      <x:c r="E659" s="75"/>
      <x:c r="F659" s="75"/>
      <x:c r="G659" s="75"/>
      <x:c r="H659" s="75"/>
      <x:c r="I659" s="75"/>
      <x:c r="J659" s="75"/>
      <x:c r="K659" s="75"/>
      <x:c r="L659" s="75" t="str">
        <x:v>No app IAP/monetization system documented</x:v>
      </x:c>
      <x:c r="M659" s="75"/>
      <x:c r="N659" s="75"/>
      <x:c r="O659" s="75"/>
      <x:c r="P659" s="75"/>
      <x:c r="Q659" s="75"/>
      <x:c r="R659" s="75"/>
      <x:c r="S659" s="75"/>
      <x:c r="T659" s="75"/>
      <x:c r="U659" s="75"/>
      <x:c r="V659" s="75"/>
      <x:c r="W659" s="75" t="str">
        <x:v>Paid marketplace apps exist</x:v>
      </x:c>
      <x:c r="X659" s="75"/>
      <x:c r="Y659" s="75"/>
      <x:c r="Z659" s="75"/>
      <x:c r="AA659" s="75"/>
      <x:c r="AB659" s="75"/>
      <x:c r="AC659" s="78"/>
      <x:c r="AD659" s="75"/>
      <x:c r="AE659" s="75"/>
      <x:c r="AF659" s="75"/>
      <x:c r="AG659" s="75"/>
      <x:c r="AH659" s="122" t="n">
        <x:v>36</x:v>
      </x:c>
      <x:c r="AI659" s="123" t="str">
        <x:v>Canonical source for Developer API Detail!36</x:v>
      </x:c>
    </x:row>
    <x:row r="660">
      <x:c r="A660" s="119" t="str">
        <x:v>AI Policy &amp; Transparency</x:v>
      </x:c>
      <x:c r="B660" s="121" t="str">
        <x:v>Native AI Features (Summaries / Bots / Search)</x:v>
      </x:c>
      <x:c r="C660" s="75" t="str">
        <x:v>Limited — experimental In-Channel Conversation Summaries; AI/ML also used for safety/moderation</x:v>
      </x:c>
      <x:c r="D660" s="75" t="str">
        <x:v>No native AI feature verified</x:v>
      </x:c>
      <x:c r="E660" s="75" t="str">
        <x:v>No native AI feature verified</x:v>
      </x:c>
      <x:c r="F660" s="75" t="str">
        <x:v>No native AI feature advertised</x:v>
      </x:c>
      <x:c r="G660" s="75" t="str">
        <x:v>No prominent native generative-AI feature verified</x:v>
      </x:c>
      <x:c r="H660" s="75" t="str">
        <x:v>No native AI/LLM inference over messages/files/calls</x:v>
      </x:c>
      <x:c r="I660" s="75" t="str">
        <x:v>No prominent native generative AI verified</x:v>
      </x:c>
      <x:c r="J660" s="75" t="str">
        <x:v>None</x:v>
      </x:c>
      <x:c r="K660" s="75" t="str">
        <x:v>No native AI feature</x:v>
      </x:c>
      <x:c r="L660" s="75" t="str">
        <x:v>None</x:v>
      </x:c>
      <x:c r="M660" s="75" t="str">
        <x:v>No prominent native generative AI verified</x:v>
      </x:c>
      <x:c r="N660" s="75" t="str">
        <x:v>Built-in translation and voice transcription</x:v>
      </x:c>
      <x:c r="O660" s="75" t="str">
        <x:v>No platform-wide native AI requirement; client/server vendors may add AI independently</x:v>
      </x:c>
      <x:c r="P660" s="75" t="str">
        <x:v>AI features depend on Mattermost AI/enterprise integrations; not core universal</x:v>
      </x:c>
      <x:c r="Q660" s="75" t="str">
        <x:v>Yes — moderation, translation, meeting summaries</x:v>
      </x:c>
      <x:c r="R660" s="75" t="str">
        <x:v>None</x:v>
      </x:c>
      <x:c r="S660" s="75" t="str">
        <x:v>No native AI feature verified</x:v>
      </x:c>
      <x:c r="T660" s="75" t="str">
        <x:v>No prominent native generative AI verified</x:v>
      </x:c>
      <x:c r="U660" s="75" t="str">
        <x:v>No native AI channel tools pitched</x:v>
      </x:c>
      <x:c r="V660" s="75" t="str">
        <x:v>No native AI reading messages advertised</x:v>
      </x:c>
      <x:c r="W660" s="75" t="str">
        <x:v>Optional AI apps/integrations; not required core</x:v>
      </x:c>
      <x:c r="X660" s="75" t="str">
        <x:v>No native AI feature verified</x:v>
      </x:c>
      <x:c r="Y660" s="75" t="str">
        <x:v>No user-facing native generative AI emphasized</x:v>
      </x:c>
      <x:c r="Z660" s="75" t="str">
        <x:v>No native AI feature requirement</x:v>
      </x:c>
      <x:c r="AA660" s="75" t="str">
        <x:v>No prominent native generative-AI feature verified</x:v>
      </x:c>
      <x:c r="AB660" s="75" t="str">
        <x:v>No prominent native generative AI verified</x:v>
      </x:c>
      <x:c r="AC660" s="78" t="str">
        <x:v>No native AI feature verified</x:v>
      </x:c>
      <x:c r="AD660" s="75" t="str">
        <x:v>No native AI feature verified</x:v>
      </x:c>
      <x:c r="AE660" s="75" t="str">
        <x:v>Some game modules include AI NPCs/features</x:v>
      </x:c>
      <x:c r="AF660" s="75" t="str">
        <x:v>None</x:v>
      </x:c>
      <x:c r="AG660" s="75" t="str">
        <x:v>No mandatory native AI feature</x:v>
      </x:c>
      <x:c r="AH660" s="122" t="n">
        <x:v>3</x:v>
      </x:c>
      <x:c r="AI660" s="123" t="str">
        <x:v>Canonical source for AI Policy &amp; Transparency!3</x:v>
      </x:c>
    </x:row>
    <x:row r="661">
      <x:c r="A661" s="119" t="str">
        <x:v>AI Policy &amp; Transparency</x:v>
      </x:c>
      <x:c r="B661" s="121" t="str">
        <x:v>User Chat / Voice Scraped for Model Training?</x:v>
      </x:c>
      <x:c r="C661" s="75" t="str">
        <x:v>No — Discord says it does not allow AI companies to train models using user messages; voice/video is generally not stored</x:v>
      </x:c>
      <x:c r="D661" s="75" t="str">
        <x:v>No central content owner; encrypted content</x:v>
      </x:c>
      <x:c r="E661" s="75" t="str">
        <x:v>Self-host/operator controlled</x:v>
      </x:c>
      <x:c r="F661" s="75"/>
      <x:c r="G661" s="75"/>
      <x:c r="H661" s="75" t="str">
        <x:v>No — privacy policy explicitly forbids use for training/evaluation</x:v>
      </x:c>
      <x:c r="I661" s="75"/>
      <x:c r="J661" s="75" t="str">
        <x:v>N/A/self-host</x:v>
      </x:c>
      <x:c r="K661" s="75" t="str">
        <x:v>No server-readable plaintext</x:v>
      </x:c>
      <x:c r="L661" s="75" t="str">
        <x:v>No (developer statement)</x:v>
      </x:c>
      <x:c r="M661" s="75" t="str">
        <x:v>No behavioral tracking; training policy not explicitly verified</x:v>
      </x:c>
      <x:c r="N661" s="75"/>
      <x:c r="O661" s="75" t="str">
        <x:v>No single Matrix-wide data controller; training policy depends on homeserver/client provider</x:v>
      </x:c>
      <x:c r="P661" s="75" t="str">
        <x:v>Policy/deployment/provider-dependent; self-host can keep data controlled</x:v>
      </x:c>
      <x:c r="Q661" s="75"/>
      <x:c r="R661" s="75" t="str">
        <x:v>No central service/model training; self-hosted</x:v>
      </x:c>
      <x:c r="S661" s="75"/>
      <x:c r="T661" s="75"/>
      <x:c r="U661" s="75" t="str">
        <x:v>No user-content training claim provided; robots.txt Content Signal includes ai-train=no</x:v>
      </x:c>
      <x:c r="V661" s="75" t="str">
        <x:v>No — site says messages/uploads never train AI</x:v>
      </x:c>
      <x:c r="W661" s="75"/>
      <x:c r="X661" s="75" t="str">
        <x:v>Provider/project dependent</x:v>
      </x:c>
      <x:c r="Y661" s="75" t="str">
        <x:v>No — privacy policy states content is not used to train AI models</x:v>
      </x:c>
      <x:c r="Z661" s="75" t="str">
        <x:v>Self-hosted operator-controlled; no central training policy</x:v>
      </x:c>
      <x:c r="AA661" s="75"/>
      <x:c r="AB661" s="75"/>
      <x:c r="AC661" s="78"/>
      <x:c r="AD661" s="75"/>
      <x:c r="AE661" s="75"/>
      <x:c r="AF661" s="75" t="str">
        <x:v>No model training claim; content stays on operator server</x:v>
      </x:c>
      <x:c r="AG661" s="75" t="str">
        <x:v>Cloud/provider policy; no general claim of training user content found here</x:v>
      </x:c>
      <x:c r="AH661" s="122" t="n">
        <x:v>4</x:v>
      </x:c>
      <x:c r="AI661" s="123" t="str">
        <x:v>Canonical source for AI Policy &amp; Transparency!4</x:v>
      </x:c>
    </x:row>
    <x:row r="662">
      <x:c r="A662" s="119" t="str">
        <x:v>AI Policy &amp; Transparency</x:v>
      </x:c>
      <x:c r="B662" s="121" t="str">
        <x:v>AI Training Consent Terms (Opt-In / Opt-Out / None)</x:v>
      </x:c>
      <x:c r="C662" s="75" t="str">
        <x:v>None for third-party model training (not permitted); experimental AI features may have separate visibility/privacy controls</x:v>
      </x:c>
      <x:c r="D662" s="75" t="str">
        <x:v>N/A</x:v>
      </x:c>
      <x:c r="E662" s="75" t="str">
        <x:v>N/A</x:v>
      </x:c>
      <x:c r="F662" s="75"/>
      <x:c r="G662" s="75"/>
      <x:c r="H662" s="75" t="str">
        <x:v>None — not used for training</x:v>
      </x:c>
      <x:c r="I662" s="75"/>
      <x:c r="J662" s="75" t="str">
        <x:v>None</x:v>
      </x:c>
      <x:c r="K662" s="75" t="str">
        <x:v>N/A</x:v>
      </x:c>
      <x:c r="L662" s="75" t="str">
        <x:v>None — project states it does not train on user data</x:v>
      </x:c>
      <x:c r="M662" s="75"/>
      <x:c r="N662" s="75"/>
      <x:c r="O662" s="75" t="str">
        <x:v>Provider-specific</x:v>
      </x:c>
      <x:c r="P662" s="75" t="str">
        <x:v>Deployment/provider-specific</x:v>
      </x:c>
      <x:c r="Q662" s="75"/>
      <x:c r="R662" s="75" t="str">
        <x:v>N/A</x:v>
      </x:c>
      <x:c r="S662" s="75"/>
      <x:c r="T662" s="75"/>
      <x:c r="U662" s="75" t="str">
        <x:v>Website Content Signal says ai-train=no; no separate chat/voice consent model stated</x:v>
      </x:c>
      <x:c r="V662" s="75" t="str">
        <x:v>None</x:v>
      </x:c>
      <x:c r="W662" s="75" t="str">
        <x:v>Deployment/provider-specific</x:v>
      </x:c>
      <x:c r="X662" s="75"/>
      <x:c r="Y662" s="75" t="str">
        <x:v>None for training</x:v>
      </x:c>
      <x:c r="Z662" s="75" t="str">
        <x:v>Operator-dependent</x:v>
      </x:c>
      <x:c r="AA662" s="75"/>
      <x:c r="AB662" s="75"/>
      <x:c r="AC662" s="78"/>
      <x:c r="AD662" s="75"/>
      <x:c r="AE662" s="75"/>
      <x:c r="AF662" s="75" t="str">
        <x:v>N/A</x:v>
      </x:c>
      <x:c r="AG662" s="75"/>
      <x:c r="AH662" s="122" t="n">
        <x:v>5</x:v>
      </x:c>
      <x:c r="AI662" s="123" t="str">
        <x:v>Canonical source for AI Policy &amp; Transparency!5</x:v>
      </x:c>
    </x:row>
    <x:row r="663">
      <x:c r="A663" s="119" t="str">
        <x:v>AI Policy &amp; Transparency</x:v>
      </x:c>
      <x:c r="B663" s="121" t="str">
        <x:v>AI Assistance Used in Codebase Development (%)</x:v>
      </x:c>
      <x:c r="C663" s="75"/>
      <x:c r="D663" s="75"/>
      <x:c r="E663" s="75"/>
      <x:c r="F663" s="75"/>
      <x:c r="G663" s="75"/>
      <x:c r="H663" s="75"/>
      <x:c r="I663" s="75"/>
      <x:c r="J663" s="75" t="str">
        <x:v>0% allowed by Fermi contribution policy</x:v>
      </x:c>
      <x:c r="K663" s="75"/>
      <x:c r="L663" s="75" t="str">
        <x:v>Not published</x:v>
      </x:c>
      <x:c r="M663" s="75"/>
      <x:c r="N663" s="75"/>
      <x:c r="O663" s="75"/>
      <x:c r="P663" s="75"/>
      <x:c r="Q663" s="75"/>
      <x:c r="R663" s="75" t="str">
        <x:v>N/A</x:v>
      </x:c>
      <x:c r="S663" s="75"/>
      <x:c r="T663" s="75"/>
      <x:c r="U663" s="75" t="str">
        <x:v>Not published</x:v>
      </x:c>
      <x:c r="V663" s="75" t="str">
        <x:v>AI Assistance used - Commit Notes</x:v>
      </x:c>
      <x:c r="W663" s="75"/>
      <x:c r="X663" s="75"/>
      <x:c r="Y663" s="75"/>
      <x:c r="Z663" s="75"/>
      <x:c r="AA663" s="75"/>
      <x:c r="AB663" s="75"/>
      <x:c r="AC663" s="78"/>
      <x:c r="AD663" s="75"/>
      <x:c r="AE663" s="75"/>
      <x:c r="AF663" s="75"/>
      <x:c r="AG663" s="75"/>
      <x:c r="AH663" s="122" t="n">
        <x:v>6</x:v>
      </x:c>
      <x:c r="AI663" s="123" t="str">
        <x:v>Canonical source for AI Policy &amp; Transparency!6</x:v>
      </x:c>
    </x:row>
    <x:row r="664">
      <x:c r="A664" s="119" t="str">
        <x:v>AI Policy &amp; Transparency</x:v>
      </x:c>
      <x:c r="B664" s="121" t="str">
        <x:v>AI Development Transparency &amp; Disclosure</x:v>
      </x:c>
      <x:c r="C664" s="75"/>
      <x:c r="D664" s="75"/>
      <x:c r="E664" s="75"/>
      <x:c r="F664" s="75"/>
      <x:c r="G664" s="75"/>
      <x:c r="H664" s="75" t="str">
        <x:v>No percentage published</x:v>
      </x:c>
      <x:c r="I664" s="75"/>
      <x:c r="J664" s="75" t="str">
        <x:v>Fermi explicitly bans AI-generated code</x:v>
      </x:c>
      <x:c r="K664" s="75" t="str">
        <x:v>Developer publicly discloses Claude use for development tooling</x:v>
      </x:c>
      <x:c r="L664" s="75" t="str">
        <x:v>AI is used to speed development; primary developer retains architectural decisions and reviews AI-written code (developer statement)</x:v>
      </x:c>
      <x:c r="M664" s="75"/>
      <x:c r="N664" s="75" t="str">
        <x:v>AI models used for translation/transcription disclosed</x:v>
      </x:c>
      <x:c r="O664" s="75" t="str">
        <x:v>Provider-specific</x:v>
      </x:c>
      <x:c r="P664" s="75"/>
      <x:c r="Q664" s="75" t="str">
        <x:v>Publicly discloses AI-powered features</x:v>
      </x:c>
      <x:c r="R664" s="75" t="str">
        <x:v>N/A</x:v>
      </x:c>
      <x:c r="S664" s="75"/>
      <x:c r="T664" s="75"/>
      <x:c r="U664" s="75" t="str">
        <x:v>Built in the open; developer does not claim zero AI use anywhere in the codebase</x:v>
      </x:c>
      <x:c r="V664" s="75" t="str">
        <x:v>Public FAQ discloses AI is used for parts of coding, with developer review</x:v>
      </x:c>
      <x:c r="W664" s="75"/>
      <x:c r="X664" s="75"/>
      <x:c r="Y664" s="75"/>
      <x:c r="Z664" s="75"/>
      <x:c r="AA664" s="75"/>
      <x:c r="AB664" s="75"/>
      <x:c r="AC664" s="78"/>
      <x:c r="AD664" s="75"/>
      <x:c r="AE664" s="75" t="str">
        <x:v>AI is product-feature specific, not general chat summarization</x:v>
      </x:c>
      <x:c r="AF664" s="75" t="str">
        <x:v>Privacy-first/no surveillance model</x:v>
      </x:c>
      <x:c r="AG664" s="75"/>
      <x:c r="AH664" s="122" t="n">
        <x:v>7</x:v>
      </x:c>
      <x:c r="AI664" s="123" t="str">
        <x:v>Canonical source for AI Policy &amp; Transparency!7</x:v>
      </x:c>
    </x:row>
    <x:row r="665">
      <x:c r="A665" s="119" t="str">
        <x:v>AI Policy &amp; Transparency</x:v>
      </x:c>
      <x:c r="B665" s="121" t="str">
        <x:v>AI Governance Detail</x:v>
      </x:c>
      <x:c r="C665" s="75"/>
      <x:c r="D665" s="75"/>
      <x:c r="E665" s="75"/>
      <x:c r="F665" s="75"/>
      <x:c r="G665" s="75"/>
      <x:c r="H665" s="75"/>
      <x:c r="I665" s="75"/>
      <x:c r="J665" s="75"/>
      <x:c r="K665" s="75"/>
      <x:c r="L665" s="75" t="str">
        <x:v>No native AI-product governance layer; user data is not used for model training per developer statement</x:v>
      </x:c>
      <x:c r="M665" s="75"/>
      <x:c r="N665" s="75"/>
      <x:c r="O665" s="75"/>
      <x:c r="P665" s="75"/>
      <x:c r="Q665" s="75"/>
      <x:c r="R665" s="75"/>
      <x:c r="S665" s="75"/>
      <x:c r="T665" s="75"/>
      <x:c r="U665" s="75"/>
      <x:c r="V665" s="75"/>
      <x:c r="W665" s="75"/>
      <x:c r="X665" s="75"/>
      <x:c r="Y665" s="75"/>
      <x:c r="Z665" s="75"/>
      <x:c r="AA665" s="75"/>
      <x:c r="AB665" s="75"/>
      <x:c r="AC665" s="78"/>
      <x:c r="AD665" s="75"/>
      <x:c r="AE665" s="75"/>
      <x:c r="AF665" s="75"/>
      <x:c r="AG665" s="75"/>
      <x:c r="AH665" s="122" t="n">
        <x:v>8</x:v>
      </x:c>
      <x:c r="AI665" s="123" t="str">
        <x:v>Canonical source for AI Policy &amp; Transparency!8</x:v>
      </x:c>
    </x:row>
    <x:row r="666">
      <x:c r="A666" s="119" t="str">
        <x:v>AI &amp; Data Use Detail</x:v>
      </x:c>
      <x:c r="B666" s="121" t="str">
        <x:v>Native AI Features</x:v>
      </x:c>
      <x:c r="C666" s="75" t="str">
        <x:v>Limited — experimental Conversation Summaries + AI/ML safety features</x:v>
      </x:c>
      <x:c r="D666" s="75" t="str">
        <x:v>None</x:v>
      </x:c>
      <x:c r="E666" s="75" t="str">
        <x:v>None</x:v>
      </x:c>
      <x:c r="F666" s="75" t="str">
        <x:v>No native AI advertised</x:v>
      </x:c>
      <x:c r="G666" s="75" t="str">
        <x:v>No prominent native generative AI</x:v>
      </x:c>
      <x:c r="H666" s="75" t="str">
        <x:v>No native AI/LLM inference over content</x:v>
      </x:c>
      <x:c r="I666" s="75" t="str">
        <x:v>No prominent native generative AI verified</x:v>
      </x:c>
      <x:c r="J666" s="75" t="str">
        <x:v>None advertised</x:v>
      </x:c>
      <x:c r="K666" s="75" t="str">
        <x:v>None</x:v>
      </x:c>
      <x:c r="L666" s="75" t="str">
        <x:v>No</x:v>
      </x:c>
      <x:c r="M666" s="75" t="str">
        <x:v>No prominent native AI verified</x:v>
      </x:c>
      <x:c r="N666" s="75" t="str">
        <x:v>Translation + transcription</x:v>
      </x:c>
      <x:c r="O666" s="75" t="str">
        <x:v>No Matrix-wide native AI; provider/client-specific</x:v>
      </x:c>
      <x:c r="P666" s="75" t="str">
        <x:v>Optional enterprise/integration AI</x:v>
      </x:c>
      <x:c r="Q666" s="75" t="str">
        <x:v>Yes — moderation/translation/summaries</x:v>
      </x:c>
      <x:c r="R666" s="75" t="str">
        <x:v>None</x:v>
      </x:c>
      <x:c r="S666" s="75" t="str">
        <x:v>No native AI verified</x:v>
      </x:c>
      <x:c r="T666" s="75" t="str">
        <x:v>No prominent native AI verified</x:v>
      </x:c>
      <x:c r="U666" s="75" t="str">
        <x:v>No native AI channel tools pitched</x:v>
      </x:c>
      <x:c r="V666" s="75" t="str">
        <x:v>No AI reading/training</x:v>
      </x:c>
      <x:c r="W666" s="75" t="str">
        <x:v>Optional apps/integrations</x:v>
      </x:c>
      <x:c r="X666" s="75" t="str">
        <x:v>None</x:v>
      </x:c>
      <x:c r="Y666" s="75" t="str">
        <x:v>No prominent generative AI feature</x:v>
      </x:c>
      <x:c r="Z666" s="75" t="str">
        <x:v>None</x:v>
      </x:c>
      <x:c r="AA666" s="75" t="str">
        <x:v>No prominent native generative-AI feature verified</x:v>
      </x:c>
      <x:c r="AB666" s="75" t="str">
        <x:v>No prominent native generative AI verified</x:v>
      </x:c>
      <x:c r="AC666" s="78" t="str">
        <x:v>None verified</x:v>
      </x:c>
      <x:c r="AD666" s="75" t="str">
        <x:v>No native AI verified</x:v>
      </x:c>
      <x:c r="AE666" s="75" t="str">
        <x:v>Game-specific AI features</x:v>
      </x:c>
      <x:c r="AF666" s="75" t="str">
        <x:v>None</x:v>
      </x:c>
      <x:c r="AG666" s="75" t="str">
        <x:v>None required</x:v>
      </x:c>
      <x:c r="AH666" s="122" t="n">
        <x:v>3</x:v>
      </x:c>
      <x:c r="AI666" s="123" t="str">
        <x:v>Canonical metric shared by: At a Glance: Native AI Features | AI &amp; Data Use Detail: Native AI Features</x:v>
      </x:c>
    </x:row>
    <x:row r="667">
      <x:c r="A667" s="119" t="str">
        <x:v>AI &amp; Data Use Detail</x:v>
      </x:c>
      <x:c r="B667" s="121" t="str">
        <x:v>Native Generative AI?</x:v>
      </x:c>
      <x:c r="C667" s="75" t="str">
        <x:v>Yes</x:v>
      </x:c>
      <x:c r="D667" s="75" t="str">
        <x:v>No</x:v>
      </x:c>
      <x:c r="E667" s="75" t="str">
        <x:v>No</x:v>
      </x:c>
      <x:c r="F667" s="75" t="str">
        <x:v>No</x:v>
      </x:c>
      <x:c r="G667" s="75" t="str">
        <x:v>No</x:v>
      </x:c>
      <x:c r="H667" s="75" t="str">
        <x:v>No</x:v>
      </x:c>
      <x:c r="I667" s="75" t="str">
        <x:v>No</x:v>
      </x:c>
      <x:c r="J667" s="75" t="str">
        <x:v>No</x:v>
      </x:c>
      <x:c r="K667" s="75" t="str">
        <x:v>No</x:v>
      </x:c>
      <x:c r="L667" s="75" t="str">
        <x:v>None</x:v>
      </x:c>
      <x:c r="M667" s="75" t="str">
        <x:v>No</x:v>
      </x:c>
      <x:c r="N667" s="75"/>
      <x:c r="O667" s="75" t="str">
        <x:v>No</x:v>
      </x:c>
      <x:c r="P667" s="75" t="str">
        <x:v>Yes</x:v>
      </x:c>
      <x:c r="Q667" s="75" t="str">
        <x:v>Yes</x:v>
      </x:c>
      <x:c r="R667" s="75" t="str">
        <x:v>No</x:v>
      </x:c>
      <x:c r="S667" s="75" t="str">
        <x:v>No</x:v>
      </x:c>
      <x:c r="T667" s="75" t="str">
        <x:v>No</x:v>
      </x:c>
      <x:c r="U667" s="75" t="str">
        <x:v>No</x:v>
      </x:c>
      <x:c r="V667" s="75" t="str">
        <x:v>No</x:v>
      </x:c>
      <x:c r="W667" s="75" t="str">
        <x:v>Yes</x:v>
      </x:c>
      <x:c r="X667" s="75" t="str">
        <x:v>No</x:v>
      </x:c>
      <x:c r="Y667" s="75" t="str">
        <x:v>No</x:v>
      </x:c>
      <x:c r="Z667" s="75" t="str">
        <x:v>No</x:v>
      </x:c>
      <x:c r="AA667" s="75" t="str">
        <x:v>No</x:v>
      </x:c>
      <x:c r="AB667" s="75" t="str">
        <x:v>No</x:v>
      </x:c>
      <x:c r="AC667" s="78" t="str">
        <x:v>No</x:v>
      </x:c>
      <x:c r="AD667" s="75" t="str">
        <x:v>No</x:v>
      </x:c>
      <x:c r="AE667" s="75" t="str">
        <x:v>Yes</x:v>
      </x:c>
      <x:c r="AF667" s="75" t="str">
        <x:v>No</x:v>
      </x:c>
      <x:c r="AG667" s="75" t="str">
        <x:v>No</x:v>
      </x:c>
      <x:c r="AH667" s="122" t="n">
        <x:v>4</x:v>
      </x:c>
      <x:c r="AI667" s="123" t="str">
        <x:v>Canonical metric shared by: AI Policy &amp; Transparency: Native Generative AI? | AI &amp; Data Use Detail: Native Generative AI?</x:v>
      </x:c>
    </x:row>
    <x:row r="668">
      <x:c r="A668" s="119" t="str">
        <x:v>AI &amp; Data Use Detail</x:v>
      </x:c>
      <x:c r="B668" s="121" t="str">
        <x:v>Message Summaries?</x:v>
      </x:c>
      <x:c r="C668" s="75" t="str">
        <x:v>Yes</x:v>
      </x:c>
      <x:c r="D668" s="75"/>
      <x:c r="E668" s="75"/>
      <x:c r="F668" s="75"/>
      <x:c r="G668" s="75"/>
      <x:c r="H668" s="75"/>
      <x:c r="I668" s="75"/>
      <x:c r="J668" s="75"/>
      <x:c r="K668" s="75"/>
      <x:c r="L668" s="75" t="str">
        <x:v>None</x:v>
      </x:c>
      <x:c r="M668" s="75"/>
      <x:c r="N668" s="75"/>
      <x:c r="O668" s="75"/>
      <x:c r="P668" s="75"/>
      <x:c r="Q668" s="75" t="str">
        <x:v>Yes</x:v>
      </x:c>
      <x:c r="R668" s="75"/>
      <x:c r="S668" s="75"/>
      <x:c r="T668" s="75"/>
      <x:c r="U668" s="75"/>
      <x:c r="V668" s="75" t="str">
        <x:v>No</x:v>
      </x:c>
      <x:c r="W668" s="75"/>
      <x:c r="X668" s="75"/>
      <x:c r="Y668" s="75"/>
      <x:c r="Z668" s="75"/>
      <x:c r="AA668" s="75"/>
      <x:c r="AB668" s="75"/>
      <x:c r="AC668" s="78"/>
      <x:c r="AD668" s="75"/>
      <x:c r="AE668" s="75"/>
      <x:c r="AF668" s="75"/>
      <x:c r="AG668" s="75"/>
      <x:c r="AH668" s="122" t="n">
        <x:v>5</x:v>
      </x:c>
      <x:c r="AI668" s="123" t="str">
        <x:v>Canonical source for AI &amp; Data Use Detail!5</x:v>
      </x:c>
    </x:row>
    <x:row r="669">
      <x:c r="A669" s="119" t="str">
        <x:v>AI &amp; Data Use Detail</x:v>
      </x:c>
      <x:c r="B669" s="121" t="str">
        <x:v>Voice Summaries?</x:v>
      </x:c>
      <x:c r="C669" s="75"/>
      <x:c r="D669" s="75"/>
      <x:c r="E669" s="75"/>
      <x:c r="F669" s="75"/>
      <x:c r="G669" s="75"/>
      <x:c r="H669" s="75"/>
      <x:c r="I669" s="75"/>
      <x:c r="J669" s="75"/>
      <x:c r="K669" s="75"/>
      <x:c r="L669" s="75" t="str">
        <x:v>None</x:v>
      </x:c>
      <x:c r="M669" s="75"/>
      <x:c r="N669" s="75"/>
      <x:c r="O669" s="75"/>
      <x:c r="P669" s="75"/>
      <x:c r="Q669" s="75" t="str">
        <x:v>Yes</x:v>
      </x:c>
      <x:c r="R669" s="75"/>
      <x:c r="S669" s="75"/>
      <x:c r="T669" s="75"/>
      <x:c r="U669" s="75"/>
      <x:c r="V669" s="75" t="str">
        <x:v>No</x:v>
      </x:c>
      <x:c r="W669" s="75"/>
      <x:c r="X669" s="75"/>
      <x:c r="Y669" s="75"/>
      <x:c r="Z669" s="75"/>
      <x:c r="AA669" s="75"/>
      <x:c r="AB669" s="75"/>
      <x:c r="AC669" s="78"/>
      <x:c r="AD669" s="75"/>
      <x:c r="AE669" s="75"/>
      <x:c r="AF669" s="75"/>
      <x:c r="AG669" s="75"/>
      <x:c r="AH669" s="122" t="n">
        <x:v>6</x:v>
      </x:c>
      <x:c r="AI669" s="123" t="str">
        <x:v>Canonical source for AI &amp; Data Use Detail!6</x:v>
      </x:c>
    </x:row>
    <x:row r="670">
      <x:c r="A670" s="119" t="str">
        <x:v>AI &amp; Data Use Detail</x:v>
      </x:c>
      <x:c r="B670" s="121" t="str">
        <x:v>AI Search?</x:v>
      </x:c>
      <x:c r="C670" s="75"/>
      <x:c r="D670" s="75"/>
      <x:c r="E670" s="75"/>
      <x:c r="F670" s="75"/>
      <x:c r="G670" s="75"/>
      <x:c r="H670" s="75"/>
      <x:c r="I670" s="75"/>
      <x:c r="J670" s="75"/>
      <x:c r="K670" s="75"/>
      <x:c r="L670" s="75" t="str">
        <x:v>None</x:v>
      </x:c>
      <x:c r="M670" s="75"/>
      <x:c r="N670" s="75"/>
      <x:c r="O670" s="75"/>
      <x:c r="P670" s="75" t="str">
        <x:v>Yes</x:v>
      </x:c>
      <x:c r="Q670" s="75"/>
      <x:c r="R670" s="75"/>
      <x:c r="S670" s="75"/>
      <x:c r="T670" s="75"/>
      <x:c r="U670" s="75"/>
      <x:c r="V670" s="75" t="str">
        <x:v>No</x:v>
      </x:c>
      <x:c r="W670" s="75"/>
      <x:c r="X670" s="75"/>
      <x:c r="Y670" s="75"/>
      <x:c r="Z670" s="75"/>
      <x:c r="AA670" s="75"/>
      <x:c r="AB670" s="75"/>
      <x:c r="AC670" s="78"/>
      <x:c r="AD670" s="75"/>
      <x:c r="AE670" s="75"/>
      <x:c r="AF670" s="75"/>
      <x:c r="AG670" s="75"/>
      <x:c r="AH670" s="122" t="n">
        <x:v>7</x:v>
      </x:c>
      <x:c r="AI670" s="123" t="str">
        <x:v>Canonical metric shared by: AI Policy &amp; Transparency: AI Search? | AI &amp; Data Use Detail: AI Search?</x:v>
      </x:c>
    </x:row>
    <x:row r="671">
      <x:c r="A671" s="119" t="str">
        <x:v>AI &amp; Data Use Detail</x:v>
      </x:c>
      <x:c r="B671" s="121" t="str">
        <x:v>AI Bots / Agents?</x:v>
      </x:c>
      <x:c r="C671" s="75"/>
      <x:c r="D671" s="75"/>
      <x:c r="E671" s="75"/>
      <x:c r="F671" s="75"/>
      <x:c r="G671" s="75"/>
      <x:c r="H671" s="75"/>
      <x:c r="I671" s="75"/>
      <x:c r="J671" s="75"/>
      <x:c r="K671" s="75"/>
      <x:c r="L671" s="75" t="str">
        <x:v>None</x:v>
      </x:c>
      <x:c r="M671" s="75"/>
      <x:c r="N671" s="75"/>
      <x:c r="O671" s="75"/>
      <x:c r="P671" s="75" t="str">
        <x:v>Yes</x:v>
      </x:c>
      <x:c r="Q671" s="75" t="str">
        <x:v>Yes</x:v>
      </x:c>
      <x:c r="R671" s="75"/>
      <x:c r="S671" s="75"/>
      <x:c r="T671" s="75"/>
      <x:c r="U671" s="75"/>
      <x:c r="V671" s="75" t="str">
        <x:v>No</x:v>
      </x:c>
      <x:c r="W671" s="75"/>
      <x:c r="X671" s="75"/>
      <x:c r="Y671" s="75"/>
      <x:c r="Z671" s="75"/>
      <x:c r="AA671" s="75"/>
      <x:c r="AB671" s="75"/>
      <x:c r="AC671" s="78"/>
      <x:c r="AD671" s="75"/>
      <x:c r="AE671" s="75"/>
      <x:c r="AF671" s="75"/>
      <x:c r="AG671" s="75"/>
      <x:c r="AH671" s="122" t="n">
        <x:v>8</x:v>
      </x:c>
      <x:c r="AI671" s="123" t="str">
        <x:v>Canonical source for AI &amp; Data Use Detail!8</x:v>
      </x:c>
    </x:row>
    <x:row r="672">
      <x:c r="A672" s="119" t="str">
        <x:v>AI &amp; Data Use Detail</x:v>
      </x:c>
      <x:c r="B672" s="121" t="str">
        <x:v>AI Moderation?</x:v>
      </x:c>
      <x:c r="C672" s="75" t="str">
        <x:v>Yes</x:v>
      </x:c>
      <x:c r="D672" s="75"/>
      <x:c r="E672" s="75"/>
      <x:c r="F672" s="75"/>
      <x:c r="G672" s="75"/>
      <x:c r="H672" s="75"/>
      <x:c r="I672" s="75"/>
      <x:c r="J672" s="75"/>
      <x:c r="K672" s="75"/>
      <x:c r="L672" s="75" t="str">
        <x:v>None</x:v>
      </x:c>
      <x:c r="M672" s="75"/>
      <x:c r="N672" s="75"/>
      <x:c r="O672" s="75"/>
      <x:c r="P672" s="75"/>
      <x:c r="Q672" s="75" t="str">
        <x:v>Yes</x:v>
      </x:c>
      <x:c r="R672" s="75"/>
      <x:c r="S672" s="75"/>
      <x:c r="T672" s="75"/>
      <x:c r="U672" s="75"/>
      <x:c r="V672" s="75" t="str">
        <x:v>No</x:v>
      </x:c>
      <x:c r="W672" s="75"/>
      <x:c r="X672" s="75"/>
      <x:c r="Y672" s="75"/>
      <x:c r="Z672" s="75"/>
      <x:c r="AA672" s="75"/>
      <x:c r="AB672" s="75"/>
      <x:c r="AC672" s="78"/>
      <x:c r="AD672" s="75"/>
      <x:c r="AE672" s="75"/>
      <x:c r="AF672" s="75"/>
      <x:c r="AG672" s="75"/>
      <x:c r="AH672" s="122" t="n">
        <x:v>9</x:v>
      </x:c>
      <x:c r="AI672" s="123" t="str">
        <x:v>Canonical metric shared by: AI Policy &amp; Transparency: AI Moderation? | AI &amp; Data Use Detail: AI Moderation?</x:v>
      </x:c>
    </x:row>
    <x:row r="673">
      <x:c r="A673" s="119" t="str">
        <x:v>AI &amp; Data Use Detail</x:v>
      </x:c>
      <x:c r="B673" s="121" t="str">
        <x:v>AI Translation?</x:v>
      </x:c>
      <x:c r="C673" s="75"/>
      <x:c r="D673" s="75"/>
      <x:c r="E673" s="75"/>
      <x:c r="F673" s="75"/>
      <x:c r="G673" s="75"/>
      <x:c r="H673" s="75"/>
      <x:c r="I673" s="75"/>
      <x:c r="J673" s="75"/>
      <x:c r="K673" s="75"/>
      <x:c r="L673" s="75" t="str">
        <x:v>None</x:v>
      </x:c>
      <x:c r="M673" s="75"/>
      <x:c r="N673" s="75" t="str">
        <x:v>Yes</x:v>
      </x:c>
      <x:c r="O673" s="75"/>
      <x:c r="P673" s="75"/>
      <x:c r="Q673" s="75" t="str">
        <x:v>Yes</x:v>
      </x:c>
      <x:c r="R673" s="75"/>
      <x:c r="S673" s="75"/>
      <x:c r="T673" s="75"/>
      <x:c r="U673" s="75"/>
      <x:c r="V673" s="75" t="str">
        <x:v>No</x:v>
      </x:c>
      <x:c r="W673" s="75"/>
      <x:c r="X673" s="75"/>
      <x:c r="Y673" s="75"/>
      <x:c r="Z673" s="75"/>
      <x:c r="AA673" s="75"/>
      <x:c r="AB673" s="75"/>
      <x:c r="AC673" s="78"/>
      <x:c r="AD673" s="75"/>
      <x:c r="AE673" s="75"/>
      <x:c r="AF673" s="75"/>
      <x:c r="AG673" s="75"/>
      <x:c r="AH673" s="122" t="n">
        <x:v>10</x:v>
      </x:c>
      <x:c r="AI673" s="123" t="str">
        <x:v>Canonical metric shared by: AI Policy &amp; Transparency: AI Translation? | AI &amp; Data Use Detail: AI Translation?</x:v>
      </x:c>
    </x:row>
    <x:row r="674">
      <x:c r="A674" s="119" t="str">
        <x:v>AI &amp; Data Use Detail</x:v>
      </x:c>
      <x:c r="B674" s="121" t="str">
        <x:v>AI Transcription?</x:v>
      </x:c>
      <x:c r="C674" s="75"/>
      <x:c r="D674" s="75"/>
      <x:c r="E674" s="75"/>
      <x:c r="F674" s="75"/>
      <x:c r="G674" s="75"/>
      <x:c r="H674" s="75"/>
      <x:c r="I674" s="75"/>
      <x:c r="J674" s="75"/>
      <x:c r="K674" s="75"/>
      <x:c r="L674" s="75" t="str">
        <x:v>None</x:v>
      </x:c>
      <x:c r="M674" s="75"/>
      <x:c r="N674" s="75" t="str">
        <x:v>Yes</x:v>
      </x:c>
      <x:c r="O674" s="75"/>
      <x:c r="P674" s="75"/>
      <x:c r="Q674" s="75" t="str">
        <x:v>Yes</x:v>
      </x:c>
      <x:c r="R674" s="75"/>
      <x:c r="S674" s="75"/>
      <x:c r="T674" s="75"/>
      <x:c r="U674" s="75"/>
      <x:c r="V674" s="75" t="str">
        <x:v>No</x:v>
      </x:c>
      <x:c r="W674" s="75"/>
      <x:c r="X674" s="75"/>
      <x:c r="Y674" s="75"/>
      <x:c r="Z674" s="75"/>
      <x:c r="AA674" s="75"/>
      <x:c r="AB674" s="75"/>
      <x:c r="AC674" s="78"/>
      <x:c r="AD674" s="75"/>
      <x:c r="AE674" s="75"/>
      <x:c r="AF674" s="75"/>
      <x:c r="AG674" s="75"/>
      <x:c r="AH674" s="122" t="n">
        <x:v>11</x:v>
      </x:c>
      <x:c r="AI674" s="123" t="str">
        <x:v>Canonical metric shared by: AI Policy &amp; Transparency: AI Transcription? | AI &amp; Data Use Detail: AI Transcription?</x:v>
      </x:c>
    </x:row>
    <x:row r="675">
      <x:c r="A675" s="119" t="str">
        <x:v>AI &amp; Data Use Detail</x:v>
      </x:c>
      <x:c r="B675" s="121" t="str">
        <x:v>User Messages Used for Model Training?</x:v>
      </x:c>
      <x:c r="C675" s="75" t="str">
        <x:v>No — Discord says it does not allow AI companies to train models using user messages; voice/video is generally not stored</x:v>
      </x:c>
      <x:c r="D675" s="75" t="str">
        <x:v>No central content owner; encrypted content</x:v>
      </x:c>
      <x:c r="E675" s="75" t="str">
        <x:v>Self-host/operator controlled</x:v>
      </x:c>
      <x:c r="F675" s="75"/>
      <x:c r="G675" s="75"/>
      <x:c r="H675" s="75" t="str">
        <x:v>No — privacy policy explicitly forbids use for training/evaluation</x:v>
      </x:c>
      <x:c r="I675" s="75"/>
      <x:c r="J675" s="75" t="str">
        <x:v>N/A/self-host</x:v>
      </x:c>
      <x:c r="K675" s="75" t="str">
        <x:v>No server-readable plaintext</x:v>
      </x:c>
      <x:c r="L675" s="75" t="str">
        <x:v>No (developer statement)</x:v>
      </x:c>
      <x:c r="M675" s="75" t="str">
        <x:v>No behavioral tracking; training policy not explicitly verified</x:v>
      </x:c>
      <x:c r="N675" s="75"/>
      <x:c r="O675" s="75" t="str">
        <x:v>No single Matrix-wide data controller; training policy depends on homeserver/client provider</x:v>
      </x:c>
      <x:c r="P675" s="75" t="str">
        <x:v>Policy/deployment/provider-dependent; self-host can keep data controlled</x:v>
      </x:c>
      <x:c r="Q675" s="75"/>
      <x:c r="R675" s="75" t="str">
        <x:v>No central service/model training; self-hosted</x:v>
      </x:c>
      <x:c r="S675" s="75"/>
      <x:c r="T675" s="75"/>
      <x:c r="U675" s="75" t="str">
        <x:v>Not publicly claimed; website robots.txt Content Signal says ai-train=no</x:v>
      </x:c>
      <x:c r="V675" s="75" t="str">
        <x:v>No — site says messages/uploads never train AI</x:v>
      </x:c>
      <x:c r="W675" s="75"/>
      <x:c r="X675" s="75" t="str">
        <x:v>Provider/project dependent</x:v>
      </x:c>
      <x:c r="Y675" s="75" t="str">
        <x:v>No — privacy policy states content is not used to train AI models</x:v>
      </x:c>
      <x:c r="Z675" s="75" t="str">
        <x:v>Self-hosted operator-controlled; no central training policy</x:v>
      </x:c>
      <x:c r="AA675" s="75"/>
      <x:c r="AB675" s="75"/>
      <x:c r="AC675" s="78"/>
      <x:c r="AD675" s="75"/>
      <x:c r="AE675" s="75"/>
      <x:c r="AF675" s="75" t="str">
        <x:v>No model training claim; content stays on operator server</x:v>
      </x:c>
      <x:c r="AG675" s="75" t="str">
        <x:v>Cloud/provider policy; no general claim of training user content found here</x:v>
      </x:c>
      <x:c r="AH675" s="122" t="n">
        <x:v>13</x:v>
      </x:c>
      <x:c r="AI675" s="123" t="str">
        <x:v>Canonical source for AI &amp; Data Use Detail!13</x:v>
      </x:c>
    </x:row>
    <x:row r="676">
      <x:c r="A676" s="119" t="str">
        <x:v>AI &amp; Data Use Detail</x:v>
      </x:c>
      <x:c r="B676" s="121" t="str">
        <x:v>Voice Used for Model Training?</x:v>
      </x:c>
      <x:c r="C676" s="75" t="str">
        <x:v>No — Discord says it does not allow AI companies to train models using user messages; voice/video is generally not stored</x:v>
      </x:c>
      <x:c r="D676" s="75"/>
      <x:c r="E676" s="75"/>
      <x:c r="F676" s="75"/>
      <x:c r="G676" s="75"/>
      <x:c r="H676" s="75"/>
      <x:c r="I676" s="75"/>
      <x:c r="J676" s="75"/>
      <x:c r="K676" s="75"/>
      <x:c r="L676" s="75" t="str">
        <x:v>No (developer statement)</x:v>
      </x:c>
      <x:c r="M676" s="75"/>
      <x:c r="N676" s="75"/>
      <x:c r="O676" s="75"/>
      <x:c r="P676" s="75"/>
      <x:c r="Q676" s="75"/>
      <x:c r="R676" s="75"/>
      <x:c r="S676" s="75"/>
      <x:c r="T676" s="75"/>
      <x:c r="U676" s="75" t="str">
        <x:v>Not publicly claimed</x:v>
      </x:c>
      <x:c r="V676" s="75"/>
      <x:c r="W676" s="75"/>
      <x:c r="X676" s="75"/>
      <x:c r="Y676" s="75"/>
      <x:c r="Z676" s="75"/>
      <x:c r="AA676" s="75"/>
      <x:c r="AB676" s="75"/>
      <x:c r="AC676" s="78"/>
      <x:c r="AD676" s="75"/>
      <x:c r="AE676" s="75"/>
      <x:c r="AF676" s="75"/>
      <x:c r="AG676" s="75"/>
      <x:c r="AH676" s="122" t="n">
        <x:v>14</x:v>
      </x:c>
      <x:c r="AI676" s="123" t="str">
        <x:v>Canonical source for AI &amp; Data Use Detail!14</x:v>
      </x:c>
    </x:row>
    <x:row r="677">
      <x:c r="A677" s="119" t="str">
        <x:v>AI &amp; Data Use Detail</x:v>
      </x:c>
      <x:c r="B677" s="121" t="str">
        <x:v>Files Used for Model Training?</x:v>
      </x:c>
      <x:c r="C677" s="75"/>
      <x:c r="D677" s="75" t="str">
        <x:v>No central content owner; encrypted content</x:v>
      </x:c>
      <x:c r="E677" s="75"/>
      <x:c r="F677" s="75"/>
      <x:c r="G677" s="75"/>
      <x:c r="H677" s="75"/>
      <x:c r="I677" s="75"/>
      <x:c r="J677" s="75"/>
      <x:c r="K677" s="75"/>
      <x:c r="L677" s="75" t="str">
        <x:v>No (developer statement)</x:v>
      </x:c>
      <x:c r="M677" s="75"/>
      <x:c r="N677" s="75"/>
      <x:c r="O677" s="75"/>
      <x:c r="P677" s="75"/>
      <x:c r="Q677" s="75"/>
      <x:c r="R677" s="75"/>
      <x:c r="S677" s="75"/>
      <x:c r="T677" s="75"/>
      <x:c r="U677" s="75" t="str">
        <x:v>Not publicly claimed</x:v>
      </x:c>
      <x:c r="V677" s="75"/>
      <x:c r="W677" s="75"/>
      <x:c r="X677" s="75"/>
      <x:c r="Y677" s="75" t="str">
        <x:v>No — privacy policy states content is not used to train AI models</x:v>
      </x:c>
      <x:c r="Z677" s="75"/>
      <x:c r="AA677" s="75"/>
      <x:c r="AB677" s="75"/>
      <x:c r="AC677" s="78"/>
      <x:c r="AD677" s="75"/>
      <x:c r="AE677" s="75"/>
      <x:c r="AF677" s="75" t="str">
        <x:v>No model training claim; content stays on operator server</x:v>
      </x:c>
      <x:c r="AG677" s="75" t="str">
        <x:v>Cloud/provider policy; no general claim of training user content found here</x:v>
      </x:c>
      <x:c r="AH677" s="122" t="n">
        <x:v>15</x:v>
      </x:c>
      <x:c r="AI677" s="123" t="str">
        <x:v>Canonical source for AI &amp; Data Use Detail!15</x:v>
      </x:c>
    </x:row>
    <x:row r="678">
      <x:c r="A678" s="119" t="str">
        <x:v>AI &amp; Data Use Detail</x:v>
      </x:c>
      <x:c r="B678" s="121" t="str">
        <x:v>Training Consent Model</x:v>
      </x:c>
      <x:c r="C678" s="75" t="str">
        <x:v>None for third-party model training (not permitted); experimental AI features may have separate visibility/privacy controls</x:v>
      </x:c>
      <x:c r="D678" s="75" t="str">
        <x:v>N/A</x:v>
      </x:c>
      <x:c r="E678" s="75" t="str">
        <x:v>N/A</x:v>
      </x:c>
      <x:c r="F678" s="75"/>
      <x:c r="G678" s="75"/>
      <x:c r="H678" s="75" t="str">
        <x:v>None — not used for training</x:v>
      </x:c>
      <x:c r="I678" s="75"/>
      <x:c r="J678" s="75" t="str">
        <x:v>None</x:v>
      </x:c>
      <x:c r="K678" s="75" t="str">
        <x:v>N/A</x:v>
      </x:c>
      <x:c r="L678" s="75" t="str">
        <x:v>None — project states it does not train on user data</x:v>
      </x:c>
      <x:c r="M678" s="75"/>
      <x:c r="N678" s="75"/>
      <x:c r="O678" s="75" t="str">
        <x:v>Provider-specific</x:v>
      </x:c>
      <x:c r="P678" s="75" t="str">
        <x:v>Deployment/provider-specific</x:v>
      </x:c>
      <x:c r="Q678" s="75"/>
      <x:c r="R678" s="75" t="str">
        <x:v>N/A</x:v>
      </x:c>
      <x:c r="S678" s="75"/>
      <x:c r="T678" s="75"/>
      <x:c r="U678" s="75" t="str">
        <x:v>Website Content Signal: ai-train=no; no separate user-chat training consent model stated</x:v>
      </x:c>
      <x:c r="V678" s="75" t="str">
        <x:v>None</x:v>
      </x:c>
      <x:c r="W678" s="75" t="str">
        <x:v>Deployment/provider-specific</x:v>
      </x:c>
      <x:c r="X678" s="75"/>
      <x:c r="Y678" s="75" t="str">
        <x:v>None for training</x:v>
      </x:c>
      <x:c r="Z678" s="75" t="str">
        <x:v>Operator-dependent</x:v>
      </x:c>
      <x:c r="AA678" s="75"/>
      <x:c r="AB678" s="75"/>
      <x:c r="AC678" s="78"/>
      <x:c r="AD678" s="75"/>
      <x:c r="AE678" s="75"/>
      <x:c r="AF678" s="75" t="str">
        <x:v>N/A</x:v>
      </x:c>
      <x:c r="AG678" s="75"/>
      <x:c r="AH678" s="122" t="n">
        <x:v>16</x:v>
      </x:c>
      <x:c r="AI678" s="123" t="str">
        <x:v>Canonical source for AI &amp; Data Use Detail!16</x:v>
      </x:c>
    </x:row>
    <x:row r="679">
      <x:c r="A679" s="119" t="str">
        <x:v>AI &amp; Data Use Detail</x:v>
      </x:c>
      <x:c r="B679" s="121" t="str">
        <x:v>Third-Party AI Providers?</x:v>
      </x:c>
      <x:c r="C679" s="75"/>
      <x:c r="D679" s="75"/>
      <x:c r="E679" s="75"/>
      <x:c r="F679" s="75"/>
      <x:c r="G679" s="75"/>
      <x:c r="H679" s="75"/>
      <x:c r="I679" s="75"/>
      <x:c r="J679" s="75"/>
      <x:c r="K679" s="75"/>
      <x:c r="L679" s="75" t="str">
        <x:v>Not disclosed</x:v>
      </x:c>
      <x:c r="M679" s="75"/>
      <x:c r="N679" s="75"/>
      <x:c r="O679" s="75" t="str">
        <x:v>Provider/deployment-specific</x:v>
      </x:c>
      <x:c r="P679" s="75" t="str">
        <x:v>Provider/deployment-specific</x:v>
      </x:c>
      <x:c r="Q679" s="75"/>
      <x:c r="R679" s="75"/>
      <x:c r="S679" s="75"/>
      <x:c r="T679" s="75"/>
      <x:c r="U679" s="75"/>
      <x:c r="V679" s="75" t="str">
        <x:v>None</x:v>
      </x:c>
      <x:c r="W679" s="75" t="str">
        <x:v>Provider/deployment-specific</x:v>
      </x:c>
      <x:c r="X679" s="75"/>
      <x:c r="Y679" s="75"/>
      <x:c r="Z679" s="75"/>
      <x:c r="AA679" s="75"/>
      <x:c r="AB679" s="75"/>
      <x:c r="AC679" s="78"/>
      <x:c r="AD679" s="75"/>
      <x:c r="AE679" s="75"/>
      <x:c r="AF679" s="75"/>
      <x:c r="AG679" s="75"/>
      <x:c r="AH679" s="122" t="n">
        <x:v>17</x:v>
      </x:c>
      <x:c r="AI679" s="123" t="str">
        <x:v>Canonical metric shared by: AI Policy &amp; Transparency: Third-Party AI Providers? | AI &amp; Data Use Detail: Third-Party AI Providers?</x:v>
      </x:c>
    </x:row>
    <x:row r="680">
      <x:c r="A680" s="119" t="str">
        <x:v>AI &amp; Data Use Detail</x:v>
      </x:c>
      <x:c r="B680" s="121" t="str">
        <x:v>AI Features Can Be Disabled?</x:v>
      </x:c>
      <x:c r="C680" s="75"/>
      <x:c r="D680" s="75"/>
      <x:c r="E680" s="75"/>
      <x:c r="F680" s="75"/>
      <x:c r="G680" s="75"/>
      <x:c r="H680" s="75"/>
      <x:c r="I680" s="75"/>
      <x:c r="J680" s="75"/>
      <x:c r="K680" s="75"/>
      <x:c r="L680" s="75" t="str">
        <x:v>No user-facing AI features; not applicable</x:v>
      </x:c>
      <x:c r="M680" s="75"/>
      <x:c r="N680" s="75"/>
      <x:c r="O680" s="75"/>
      <x:c r="P680" s="75"/>
      <x:c r="Q680" s="75"/>
      <x:c r="R680" s="75"/>
      <x:c r="S680" s="75"/>
      <x:c r="T680" s="75"/>
      <x:c r="U680" s="75"/>
      <x:c r="V680" s="75" t="str">
        <x:v>N/A</x:v>
      </x:c>
      <x:c r="W680" s="75"/>
      <x:c r="X680" s="75"/>
      <x:c r="Y680" s="75"/>
      <x:c r="Z680" s="75"/>
      <x:c r="AA680" s="75"/>
      <x:c r="AB680" s="75"/>
      <x:c r="AC680" s="78"/>
      <x:c r="AD680" s="75"/>
      <x:c r="AE680" s="75"/>
      <x:c r="AF680" s="75"/>
      <x:c r="AG680" s="75"/>
      <x:c r="AH680" s="122" t="n">
        <x:v>19</x:v>
      </x:c>
      <x:c r="AI680" s="123" t="str">
        <x:v>Canonical metric shared by: AI Policy &amp; Transparency: AI Features Can Be Disabled? | AI &amp; Data Use Detail: AI Features Can Be Disabled?</x:v>
      </x:c>
    </x:row>
    <x:row r="681">
      <x:c r="A681" s="119" t="str">
        <x:v>AI &amp; Data Use Detail</x:v>
      </x:c>
      <x:c r="B681" s="121" t="str">
        <x:v>AI-Assisted Development Disclosed?</x:v>
      </x:c>
      <x:c r="C681" s="75"/>
      <x:c r="D681" s="75"/>
      <x:c r="E681" s="75"/>
      <x:c r="F681" s="75"/>
      <x:c r="G681" s="75"/>
      <x:c r="H681" s="75" t="str">
        <x:v>No percentage published</x:v>
      </x:c>
      <x:c r="I681" s="75"/>
      <x:c r="J681" s="75" t="str">
        <x:v>Fermi explicitly bans AI-generated code</x:v>
      </x:c>
      <x:c r="K681" s="75" t="str">
        <x:v>Developer publicly discloses Claude use for development tooling</x:v>
      </x:c>
      <x:c r="L681" s="75" t="str">
        <x:v>AI is used to speed development; primary developer retains architectural decisions and reviews AI-written code (developer statement)</x:v>
      </x:c>
      <x:c r="M681" s="75"/>
      <x:c r="N681" s="75" t="str">
        <x:v>AI models used for translation/transcription disclosed</x:v>
      </x:c>
      <x:c r="O681" s="75" t="str">
        <x:v>Provider-specific</x:v>
      </x:c>
      <x:c r="P681" s="75"/>
      <x:c r="Q681" s="75" t="str">
        <x:v>Publicly discloses AI-powered features</x:v>
      </x:c>
      <x:c r="R681" s="75" t="str">
        <x:v>N/A</x:v>
      </x:c>
      <x:c r="S681" s="75"/>
      <x:c r="T681" s="75"/>
      <x:c r="U681" s="75" t="str">
        <x:v>Built in the open; no 'zero AI in codebase' claim</x:v>
      </x:c>
      <x:c r="V681" s="75" t="str">
        <x:v>Yes — public FAQ</x:v>
      </x:c>
      <x:c r="W681" s="75"/>
      <x:c r="X681" s="75"/>
      <x:c r="Y681" s="75"/>
      <x:c r="Z681" s="75"/>
      <x:c r="AA681" s="75"/>
      <x:c r="AB681" s="75"/>
      <x:c r="AC681" s="78"/>
      <x:c r="AD681" s="75"/>
      <x:c r="AE681" s="75" t="str">
        <x:v>AI is product-feature specific, not general chat summarization</x:v>
      </x:c>
      <x:c r="AF681" s="75" t="str">
        <x:v>Privacy-first/no surveillance model</x:v>
      </x:c>
      <x:c r="AG681" s="75"/>
      <x:c r="AH681" s="122" t="n">
        <x:v>20</x:v>
      </x:c>
      <x:c r="AI681" s="123" t="str">
        <x:v>Canonical source for AI &amp; Data Use Detail!20</x:v>
      </x:c>
    </x:row>
    <x:row r="682">
      <x:c r="A682" s="119" t="str">
        <x:v>AI &amp; Data Use Detail</x:v>
      </x:c>
      <x:c r="B682" s="121" t="str">
        <x:v>AI Code Contribution Policy</x:v>
      </x:c>
      <x:c r="C682" s="75"/>
      <x:c r="D682" s="75"/>
      <x:c r="E682" s="75"/>
      <x:c r="F682" s="75"/>
      <x:c r="G682" s="75"/>
      <x:c r="H682" s="75"/>
      <x:c r="I682" s="75"/>
      <x:c r="J682" s="75" t="str">
        <x:v>AI-generated code banned in Fermi contributions</x:v>
      </x:c>
      <x:c r="K682" s="75"/>
      <x:c r="L682" s="75" t="str">
        <x:v>AI is used to speed development; primary developer retains architectural decisions and reviews AI-written code (developer statement)</x:v>
      </x:c>
      <x:c r="M682" s="75"/>
      <x:c r="N682" s="75"/>
      <x:c r="O682" s="75"/>
      <x:c r="P682" s="75"/>
      <x:c r="Q682" s="75"/>
      <x:c r="R682" s="75"/>
      <x:c r="S682" s="75"/>
      <x:c r="T682" s="75"/>
      <x:c r="U682" s="75" t="str">
        <x:v>No zero-AI development policy claimed</x:v>
      </x:c>
      <x:c r="V682" s="75"/>
      <x:c r="W682" s="75"/>
      <x:c r="X682" s="75"/>
      <x:c r="Y682" s="75"/>
      <x:c r="Z682" s="75"/>
      <x:c r="AA682" s="75"/>
      <x:c r="AB682" s="75"/>
      <x:c r="AC682" s="78"/>
      <x:c r="AD682" s="75"/>
      <x:c r="AE682" s="75"/>
      <x:c r="AF682" s="75"/>
      <x:c r="AG682" s="75"/>
      <x:c r="AH682" s="122" t="n">
        <x:v>21</x:v>
      </x:c>
      <x:c r="AI682" s="123" t="str">
        <x:v>Canonical source for AI &amp; Data Use Detail!21</x:v>
      </x:c>
    </x:row>
    <x:row r="683">
      <x:c r="A683" s="119" t="str">
        <x:v>AI &amp; Data Use Detail</x:v>
      </x:c>
      <x:c r="B683" s="121" t="str">
        <x:v>AI Development % Published?</x:v>
      </x:c>
      <x:c r="C683" s="75"/>
      <x:c r="D683" s="75"/>
      <x:c r="E683" s="75"/>
      <x:c r="F683" s="75"/>
      <x:c r="G683" s="75"/>
      <x:c r="H683" s="75"/>
      <x:c r="I683" s="75"/>
      <x:c r="J683" s="75" t="str">
        <x:v>0% allowed by Fermi contribution policy</x:v>
      </x:c>
      <x:c r="K683" s="75"/>
      <x:c r="L683" s="75" t="str">
        <x:v>Not published</x:v>
      </x:c>
      <x:c r="M683" s="75"/>
      <x:c r="N683" s="75"/>
      <x:c r="O683" s="75"/>
      <x:c r="P683" s="75"/>
      <x:c r="Q683" s="75"/>
      <x:c r="R683" s="75" t="str">
        <x:v>N/A</x:v>
      </x:c>
      <x:c r="S683" s="75"/>
      <x:c r="T683" s="75"/>
      <x:c r="U683" s="75" t="str">
        <x:v>No</x:v>
      </x:c>
      <x:c r="V683" s="75"/>
      <x:c r="W683" s="75"/>
      <x:c r="X683" s="75"/>
      <x:c r="Y683" s="75"/>
      <x:c r="Z683" s="75"/>
      <x:c r="AA683" s="75"/>
      <x:c r="AB683" s="75"/>
      <x:c r="AC683" s="78"/>
      <x:c r="AD683" s="75"/>
      <x:c r="AE683" s="75"/>
      <x:c r="AF683" s="75"/>
      <x:c r="AG683" s="75"/>
      <x:c r="AH683" s="122" t="n">
        <x:v>22</x:v>
      </x:c>
      <x:c r="AI683" s="123" t="str">
        <x:v>Canonical source for AI &amp; Data Use Detail!22</x:v>
      </x:c>
    </x:row>
    <x:row r="684">
      <x:c r="A684" s="119" t="str">
        <x:v>AI &amp; Data Use Detail</x:v>
      </x:c>
      <x:c r="B684" s="121" t="str">
        <x:v>AI / Data Use Notes</x:v>
      </x:c>
      <x:c r="C684" s="75"/>
      <x:c r="D684" s="75"/>
      <x:c r="E684" s="75"/>
      <x:c r="F684" s="75"/>
      <x:c r="G684" s="75"/>
      <x:c r="H684" s="75" t="str">
        <x:v>No percentage published</x:v>
      </x:c>
      <x:c r="I684" s="75"/>
      <x:c r="J684" s="75" t="str">
        <x:v>Fermi explicitly bans AI-generated code</x:v>
      </x:c>
      <x:c r="K684" s="75" t="str">
        <x:v>Developer publicly discloses Claude use for development tooling</x:v>
      </x:c>
      <x:c r="L684" s="75" t="str">
        <x:v>No native AI-product governance layer; user data is not used for model training per developer statement</x:v>
      </x:c>
      <x:c r="M684" s="75"/>
      <x:c r="N684" s="75" t="str">
        <x:v>AI models used for translation/transcription disclosed</x:v>
      </x:c>
      <x:c r="O684" s="75" t="str">
        <x:v>Provider-specific</x:v>
      </x:c>
      <x:c r="P684" s="75"/>
      <x:c r="Q684" s="75" t="str">
        <x:v>Publicly discloses AI-powered features</x:v>
      </x:c>
      <x:c r="R684" s="75" t="str">
        <x:v>N/A</x:v>
      </x:c>
      <x:c r="S684" s="75"/>
      <x:c r="T684" s="75"/>
      <x:c r="U684" s="75"/>
      <x:c r="V684" s="75" t="str">
        <x:v>Rift says messages/uploads are not used to train AI; FAQ says AI is used for parts of code development and reviewed by a developer.</x:v>
      </x:c>
      <x:c r="W684" s="75"/>
      <x:c r="X684" s="75"/>
      <x:c r="Y684" s="75"/>
      <x:c r="Z684" s="75"/>
      <x:c r="AA684" s="75"/>
      <x:c r="AB684" s="75"/>
      <x:c r="AC684" s="78"/>
      <x:c r="AD684" s="75"/>
      <x:c r="AE684" s="75" t="str">
        <x:v>AI is product-feature specific, not general chat summarization</x:v>
      </x:c>
      <x:c r="AF684" s="75" t="str">
        <x:v>Privacy-first/no surveillance model</x:v>
      </x:c>
      <x:c r="AG684" s="75"/>
      <x:c r="AH684" s="122" t="n">
        <x:v>24</x:v>
      </x:c>
      <x:c r="AI684" s="123" t="str">
        <x:v>Canonical source for AI &amp; Data Use Detail!24</x:v>
      </x:c>
    </x:row>
    <x:row r="685">
      <x:c r="A685" s="119" t="str">
        <x:v>AI &amp; Data Use Detail</x:v>
      </x:c>
      <x:c r="B685" s="121" t="str">
        <x:v>AI Feature Data Retention Published?</x:v>
      </x:c>
      <x:c r="C685" s="75"/>
      <x:c r="D685" s="75"/>
      <x:c r="E685" s="75"/>
      <x:c r="F685" s="75"/>
      <x:c r="G685" s="75"/>
      <x:c r="H685" s="75"/>
      <x:c r="I685" s="75"/>
      <x:c r="J685" s="75"/>
      <x:c r="K685" s="75"/>
      <x:c r="L685" s="75" t="str">
        <x:v>No AI feature data-retention policy needed because no native AI feature is documented</x:v>
      </x:c>
      <x:c r="M685" s="75"/>
      <x:c r="N685" s="75"/>
      <x:c r="O685" s="75"/>
      <x:c r="P685" s="75"/>
      <x:c r="Q685" s="75"/>
      <x:c r="R685" s="75"/>
      <x:c r="S685" s="75"/>
      <x:c r="T685" s="75"/>
      <x:c r="U685" s="75"/>
      <x:c r="V685" s="75"/>
      <x:c r="W685" s="75"/>
      <x:c r="X685" s="75"/>
      <x:c r="Y685" s="75"/>
      <x:c r="Z685" s="75"/>
      <x:c r="AA685" s="75"/>
      <x:c r="AB685" s="75"/>
      <x:c r="AC685" s="78"/>
      <x:c r="AD685" s="75"/>
      <x:c r="AE685" s="75"/>
      <x:c r="AF685" s="75"/>
      <x:c r="AG685" s="75"/>
      <x:c r="AH685" s="122" t="n">
        <x:v>26</x:v>
      </x:c>
      <x:c r="AI685" s="123" t="str">
        <x:v>Canonical source for AI &amp; Data Use Detail!26</x:v>
      </x:c>
    </x:row>
    <x:row r="686">
      <x:c r="A686" s="119" t="str">
        <x:v>AI &amp; Data Use Detail</x:v>
      </x:c>
      <x:c r="B686" s="121" t="str">
        <x:v>Human Review of AI Outputs / Flags?</x:v>
      </x:c>
      <x:c r="C686" s="75"/>
      <x:c r="D686" s="75"/>
      <x:c r="E686" s="75"/>
      <x:c r="F686" s="75"/>
      <x:c r="G686" s="75"/>
      <x:c r="H686" s="75"/>
      <x:c r="I686" s="75"/>
      <x:c r="J686" s="75"/>
      <x:c r="K686" s="75"/>
      <x:c r="L686" s="75" t="str">
        <x:v>Developer manually reviews AI-written code</x:v>
      </x:c>
      <x:c r="M686" s="75"/>
      <x:c r="N686" s="75"/>
      <x:c r="O686" s="75"/>
      <x:c r="P686" s="75"/>
      <x:c r="Q686" s="75"/>
      <x:c r="R686" s="75"/>
      <x:c r="S686" s="75"/>
      <x:c r="T686" s="75"/>
      <x:c r="U686" s="75"/>
      <x:c r="V686" s="75"/>
      <x:c r="W686" s="75"/>
      <x:c r="X686" s="75"/>
      <x:c r="Y686" s="75"/>
      <x:c r="Z686" s="75"/>
      <x:c r="AA686" s="75"/>
      <x:c r="AB686" s="75"/>
      <x:c r="AC686" s="78"/>
      <x:c r="AD686" s="75"/>
      <x:c r="AE686" s="75"/>
      <x:c r="AF686" s="75"/>
      <x:c r="AG686" s="75"/>
      <x:c r="AH686" s="122" t="n">
        <x:v>27</x:v>
      </x:c>
      <x:c r="AI686" s="123" t="str">
        <x:v>Canonical source for AI &amp; Data Use Detail!27</x:v>
      </x:c>
    </x:row>
    <x:row r="687">
      <x:c r="A687" s="119" t="str">
        <x:v>AI &amp; Data Use Detail</x:v>
      </x:c>
      <x:c r="B687" s="121" t="str">
        <x:v>Enterprise / Admin AI Disable Controls?</x:v>
      </x:c>
      <x:c r="C687" s="75"/>
      <x:c r="D687" s="75"/>
      <x:c r="E687" s="75"/>
      <x:c r="F687" s="75"/>
      <x:c r="G687" s="75"/>
      <x:c r="H687" s="75"/>
      <x:c r="I687" s="75"/>
      <x:c r="J687" s="75"/>
      <x:c r="K687" s="75"/>
      <x:c r="L687" s="75" t="str">
        <x:v>N/A — no native AI feature set</x:v>
      </x:c>
      <x:c r="M687" s="75"/>
      <x:c r="N687" s="75"/>
      <x:c r="O687" s="75"/>
      <x:c r="P687" s="75" t="str">
        <x:v>Deployment/plugin dependent</x:v>
      </x:c>
      <x:c r="Q687" s="75"/>
      <x:c r="R687" s="75"/>
      <x:c r="S687" s="75"/>
      <x:c r="T687" s="75"/>
      <x:c r="U687" s="75"/>
      <x:c r="V687" s="75"/>
      <x:c r="W687" s="75"/>
      <x:c r="X687" s="75"/>
      <x:c r="Y687" s="75"/>
      <x:c r="Z687" s="75"/>
      <x:c r="AA687" s="75"/>
      <x:c r="AB687" s="75"/>
      <x:c r="AC687" s="78"/>
      <x:c r="AD687" s="75"/>
      <x:c r="AE687" s="75"/>
      <x:c r="AF687" s="75"/>
      <x:c r="AG687" s="75"/>
      <x:c r="AH687" s="122" t="n">
        <x:v>28</x:v>
      </x:c>
      <x:c r="AI687" s="123" t="str">
        <x:v>Canonical source for AI &amp; Data Use Detail!28</x:v>
      </x:c>
    </x:row>
    <x:row r="688">
      <x:c r="A688" s="119" t="str">
        <x:v>AI &amp; Data Use Detail</x:v>
      </x:c>
      <x:c r="B688" s="121" t="str">
        <x:v>AI-Generated Content Labeling?</x:v>
      </x:c>
      <x:c r="C688" s="75"/>
      <x:c r="D688" s="75"/>
      <x:c r="E688" s="75"/>
      <x:c r="F688" s="75"/>
      <x:c r="G688" s="75"/>
      <x:c r="H688" s="75"/>
      <x:c r="I688" s="75"/>
      <x:c r="J688" s="75"/>
      <x:c r="K688" s="75"/>
      <x:c r="L688" s="75" t="str">
        <x:v>N/A — no native AI feature set</x:v>
      </x:c>
      <x:c r="M688" s="75"/>
      <x:c r="N688" s="75"/>
      <x:c r="O688" s="75"/>
      <x:c r="P688" s="75"/>
      <x:c r="Q688" s="75"/>
      <x:c r="R688" s="75"/>
      <x:c r="S688" s="75"/>
      <x:c r="T688" s="75"/>
      <x:c r="U688" s="75"/>
      <x:c r="V688" s="75"/>
      <x:c r="W688" s="75"/>
      <x:c r="X688" s="75"/>
      <x:c r="Y688" s="75"/>
      <x:c r="Z688" s="75"/>
      <x:c r="AA688" s="75"/>
      <x:c r="AB688" s="75"/>
      <x:c r="AC688" s="78"/>
      <x:c r="AD688" s="75"/>
      <x:c r="AE688" s="75"/>
      <x:c r="AF688" s="75"/>
      <x:c r="AG688" s="75"/>
      <x:c r="AH688" s="122" t="n">
        <x:v>29</x:v>
      </x:c>
      <x:c r="AI688" s="123" t="str">
        <x:v>Canonical source for AI &amp; Data Use Detail!29</x:v>
      </x:c>
    </x:row>
    <x:row r="689">
      <x:c r="A689" s="119" t="str">
        <x:v>Business Model &amp; Sustainability</x:v>
      </x:c>
      <x:c r="B689" s="121" t="str">
        <x:v>Primary Funding Source (Self-Funded / Donations / VC / Enterprise)</x:v>
      </x:c>
      <x:c r="C689" s="75" t="str">
        <x:v>VC-backed private company + operating revenue from subscriptions, paid products, and sponsored content</x:v>
      </x:c>
      <x:c r="D689" s="75" t="str">
        <x:v>Open-source/community project</x:v>
      </x:c>
      <x:c r="E689" s="75" t="str">
        <x:v>Donation/community funded; no investors</x:v>
      </x:c>
      <x:c r="F689" s="75" t="str">
        <x:v>Small private team</x:v>
      </x:c>
      <x:c r="G689" s="75"/>
      <x:c r="H689" s="75" t="str">
        <x:v>Subscribers + donors; explicitly no VC/outside investors</x:v>
      </x:c>
      <x:c r="I689" s="75" t="str">
        <x:v>Self-funded; LightSpeed Gaming LLC</x:v>
      </x:c>
      <x:c r="J689" s="75" t="str">
        <x:v>Volunteer/open-source</x:v>
      </x:c>
      <x:c r="K689" s="75" t="str">
        <x:v>Solo/open-source project</x:v>
      </x:c>
      <x:c r="L689" s="75" t="str">
        <x:v>Self-funded from developer's other apps/services and day job (developer report)</x:v>
      </x:c>
      <x:c r="M689" s="75" t="str">
        <x:v>Community/passion project</x:v>
      </x:c>
      <x:c r="N689" s="75"/>
      <x:c r="O689" s="75" t="str">
        <x:v>Matrix.org Foundation + ecosystem companies/donations/managed hosting</x:v>
      </x:c>
      <x:c r="P689" s="75" t="str">
        <x:v>VC/enterprise-backed commercial company + product revenue</x:v>
      </x:c>
      <x:c r="Q689" s="75" t="str">
        <x:v>Company-backed</x:v>
      </x:c>
      <x:c r="R689" s="75" t="str">
        <x:v>Community open-source project</x:v>
      </x:c>
      <x:c r="S689" s="75" t="str">
        <x:v>Donations</x:v>
      </x:c>
      <x:c r="T689" s="75"/>
      <x:c r="U689" s="75" t="str">
        <x:v>Optional donations; independently run; not VC-backed</x:v>
      </x:c>
      <x:c r="V689" s="75" t="str">
        <x:v>Self Funded</x:v>
      </x:c>
      <x:c r="W689" s="75" t="str">
        <x:v>VC/enterprise company + subscriptions</x:v>
      </x:c>
      <x:c r="X689" s="75" t="str">
        <x:v>Open-source/community project</x:v>
      </x:c>
      <x:c r="Y689" s="75"/>
      <x:c r="Z689" s="75" t="str">
        <x:v>Community open-source project</x:v>
      </x:c>
      <x:c r="AA689" s="75"/>
      <x:c r="AB689" s="75" t="str">
        <x:v>Commercial company</x:v>
      </x:c>
      <x:c r="AC689" s="78" t="str">
        <x:v>Volunteer/no corporate funding + subscriptions/Patreon</x:v>
      </x:c>
      <x:c r="AD689" s="75" t="str">
        <x:v>Founder/community project</x:v>
      </x:c>
      <x:c r="AE689" s="75" t="str">
        <x:v>Solo/private project</x:v>
      </x:c>
      <x:c r="AF689" s="75" t="str">
        <x:v>Paid licensing + managed hosting</x:v>
      </x:c>
      <x:c r="AG689" s="75" t="str">
        <x:v>Independent company + subscriptions/support; no VC per project messaging</x:v>
      </x:c>
      <x:c r="AH689" s="122" t="n">
        <x:v>3</x:v>
      </x:c>
      <x:c r="AI689" s="123" t="str">
        <x:v>Canonical source for Business Model &amp; Sustainability!3</x:v>
      </x:c>
    </x:row>
    <x:row r="690">
      <x:c r="A690" s="119" t="str">
        <x:v>Business Model &amp; Sustainability</x:v>
      </x:c>
      <x:c r="B690" s="121" t="str">
        <x:v>Monetization Strategy (Free / Nitro-Style Cosmetics / Hosted / Enterprise)</x:v>
      </x:c>
      <x:c r="C690" s="75" t="str">
        <x:v>Freemium; Nitro/Nitro Basic, Server Boosts, Shop/paid products, sponsored content/Quests</x:v>
      </x:c>
      <x:c r="D690" s="75" t="str">
        <x:v>Free/open source; hosting/relay costs</x:v>
      </x:c>
      <x:c r="E690" s="75" t="str">
        <x:v>Free open-source self-hosting</x:v>
      </x:c>
      <x:c r="F690" s="75"/>
      <x:c r="G690" s="75" t="str">
        <x:v>Freemium; planned Surge $4.99, Flare $9.99, higher creator tier</x:v>
      </x:c>
      <x:c r="H690" s="75" t="str">
        <x:v>Freemium + Plutonium subscription + donations</x:v>
      </x:c>
      <x:c r="I690" s="75" t="str">
        <x:v>Free hosted use + paid server tiers/self-host licensing</x:v>
      </x:c>
      <x:c r="J690" s="75" t="str">
        <x:v>Free/open source</x:v>
      </x:c>
      <x:c r="K690" s="75" t="str">
        <x:v>Free/open-source; relay/code-signing costs borne by developer</x:v>
      </x:c>
      <x:c r="L690" s="75" t="str">
        <x:v>Free/currently unmonetized; future monetization planned but not yet defined</x:v>
      </x:c>
      <x:c r="M690" s="75"/>
      <x:c r="N690" s="75"/>
      <x:c r="O690" s="75" t="str">
        <x:v>Open protocol; hosted homeservers/enterprise services sold by providers</x:v>
      </x:c>
      <x:c r="P690" s="75" t="str">
        <x:v>Self-hosted/cloud enterprise subscriptions + free/open editions</x:v>
      </x:c>
      <x:c r="Q690" s="75" t="str">
        <x:v>Free; no paywalls claimed</x:v>
      </x:c>
      <x:c r="R690" s="75" t="str">
        <x:v>Free open-source; commercial hosting by third parties</x:v>
      </x:c>
      <x:c r="S690" s="75" t="str">
        <x:v>Free / donation-funded</x:v>
      </x:c>
      <x:c r="T690" s="75"/>
      <x:c r="U690" s="75" t="str">
        <x:v>Free hosted service + optional donations + AGPL self-host</x:v>
      </x:c>
      <x:c r="V690" s="75" t="str">
        <x:v>Rift+ &amp; Shard Forge/Ember</x:v>
      </x:c>
      <x:c r="W690" s="75" t="str">
        <x:v>Cloud + enterprise/self-managed subscriptions + open-source core</x:v>
      </x:c>
      <x:c r="X690" s="75" t="str">
        <x:v>Free/open-source</x:v>
      </x:c>
      <x:c r="Y690" s="75" t="str">
        <x:v>Freemium + Sudo subscription / paid perks + developer ecosystem</x:v>
      </x:c>
      <x:c r="Z690" s="75" t="str">
        <x:v>Free self-hosted software</x:v>
      </x:c>
      <x:c r="AA690" s="75"/>
      <x:c r="AB690" s="75" t="str">
        <x:v>Free client/use tiers + server licensing/hosted/community options</x:v>
      </x:c>
      <x:c r="AC690" s="78" t="str">
        <x:v>Free + optional Stargazer subscriptions</x:v>
      </x:c>
      <x:c r="AD690" s="75"/>
      <x:c r="AE690" s="75" t="str">
        <x:v>Core free; private lobby/crew hosting tier ~$6/month; custom builds</x:v>
      </x:c>
      <x:c r="AF690" s="75" t="str">
        <x:v>Self-host server license + optional hosted trial/service</x:v>
      </x:c>
      <x:c r="AG690" s="75" t="str">
        <x:v>Cloud subscriptions + paid self-host support; open-source free self-host</x:v>
      </x:c>
      <x:c r="AH690" s="122" t="n">
        <x:v>4</x:v>
      </x:c>
      <x:c r="AI690" s="123" t="str">
        <x:v>Canonical source for Business Model &amp; Sustainability!4</x:v>
      </x:c>
    </x:row>
    <x:row r="691">
      <x:c r="A691" s="119" t="str">
        <x:v>Business Model &amp; Sustainability</x:v>
      </x:c>
      <x:c r="B691" s="121" t="str">
        <x:v>Cosmetic Subscription Perks (Nitro-Equivalent)</x:v>
      </x:c>
      <x:c r="C691" s="75" t="str">
        <x:v>Yes — Nitro/Nitro Basic; cosmetics, emoji/stickers, themes, larger uploads, HD streaming; Nitro includes boosts</x:v>
      </x:c>
      <x:c r="D691" s="75" t="str">
        <x:v>No</x:v>
      </x:c>
      <x:c r="E691" s="75" t="str">
        <x:v>No</x:v>
      </x:c>
      <x:c r="F691" s="75"/>
      <x:c r="G691" s="75" t="str">
        <x:v>Paid tiers planned</x:v>
      </x:c>
      <x:c r="H691" s="75" t="str">
        <x:v>Plutonium perks incl. higher upload/streaming limits</x:v>
      </x:c>
      <x:c r="I691" s="75" t="str">
        <x:v>Paid server tiers/quality upgrades</x:v>
      </x:c>
      <x:c r="J691" s="75" t="str">
        <x:v>No</x:v>
      </x:c>
      <x:c r="K691" s="75" t="str">
        <x:v>No</x:v>
      </x:c>
      <x:c r="L691" s="75" t="str">
        <x:v>No current paid cosmetic subscription</x:v>
      </x:c>
      <x:c r="M691" s="75" t="str">
        <x:v>No ads</x:v>
      </x:c>
      <x:c r="N691" s="75"/>
      <x:c r="O691" s="75" t="str">
        <x:v>Client/provider-specific</x:v>
      </x:c>
      <x:c r="P691" s="75" t="str">
        <x:v>N/A</x:v>
      </x:c>
      <x:c r="Q691" s="75" t="str">
        <x:v>No Nitro-style paywall</x:v>
      </x:c>
      <x:c r="R691" s="75" t="str">
        <x:v>N/A</x:v>
      </x:c>
      <x:c r="S691" s="75" t="str">
        <x:v>No Nitro-style requirement known</x:v>
      </x:c>
      <x:c r="T691" s="75"/>
      <x:c r="U691" s="75" t="str">
        <x:v>None — donations unlock nothing</x:v>
      </x:c>
      <x:c r="V691" s="75" t="str">
        <x:v>No</x:v>
      </x:c>
      <x:c r="W691" s="75" t="str">
        <x:v>N/A</x:v>
      </x:c>
      <x:c r="X691" s="75" t="str">
        <x:v>No</x:v>
      </x:c>
      <x:c r="Y691" s="75"/>
      <x:c r="Z691" s="75" t="str">
        <x:v>N/A</x:v>
      </x:c>
      <x:c r="AA691" s="75"/>
      <x:c r="AB691" s="75"/>
      <x:c r="AC691" s="78" t="str">
        <x:v>Stargazer upload/profile perks</x:v>
      </x:c>
      <x:c r="AD691" s="75"/>
      <x:c r="AE691" s="75" t="str">
        <x:v>Paid own lobby/custom</x:v>
      </x:c>
      <x:c r="AF691" s="75" t="str">
        <x:v>No per-user Nitro focus</x:v>
      </x:c>
      <x:c r="AG691" s="75" t="str">
        <x:v>N/A</x:v>
      </x:c>
      <x:c r="AH691" s="122" t="n">
        <x:v>5</x:v>
      </x:c>
      <x:c r="AI691" s="123" t="str">
        <x:v>Canonical source for Business Model &amp; Sustainability!5</x:v>
      </x:c>
    </x:row>
    <x:row r="692">
      <x:c r="A692" s="119" t="str">
        <x:v>Business Model &amp; Sustainability</x:v>
      </x:c>
      <x:c r="B692" s="121" t="str">
        <x:v>Self-Hosting Minimum Hardware (RAM / CPU per 100 users)</x:v>
      </x:c>
      <x:c r="C692" s="75" t="str">
        <x:v>N/A — official self-hosting unsupported</x:v>
      </x:c>
      <x:c r="D692" s="75" t="str">
        <x:v>Relay resource dependent</x:v>
      </x:c>
      <x:c r="E692" s="75" t="str">
        <x:v>Operator hardware</x:v>
      </x:c>
      <x:c r="F692" s="75" t="str">
        <x:v>N/A</x:v>
      </x:c>
      <x:c r="G692" s="75" t="str">
        <x:v>N/A — no self-hosting</x:v>
      </x:c>
      <x:c r="H692" s="75"/>
      <x:c r="I692" s="75"/>
      <x:c r="J692" s="75"/>
      <x:c r="K692" s="75" t="str">
        <x:v>Relay ~modest VPS; developer reports very high connection capacity</x:v>
      </x:c>
      <x:c r="L692" s="75" t="str">
        <x:v>≈2 CPU cores / 4 GB RAM for a small instance (developer report)</x:v>
      </x:c>
      <x:c r="M692" s="75" t="str">
        <x:v>N/A</x:v>
      </x:c>
      <x:c r="N692" s="75"/>
      <x:c r="O692" s="75" t="str">
        <x:v>Varies by homeserver implementation/workload</x:v>
      </x:c>
      <x:c r="P692" s="75" t="str">
        <x:v>Varies; official sizing guides available</x:v>
      </x:c>
      <x:c r="Q692" s="75"/>
      <x:c r="R692" s="75"/>
      <x:c r="S692" s="75"/>
      <x:c r="T692" s="75" t="str">
        <x:v>N/A</x:v>
      </x:c>
      <x:c r="U692" s="75"/>
      <x:c r="V692" s="75" t="str">
        <x:v>N/A</x:v>
      </x:c>
      <x:c r="W692" s="75" t="str">
        <x:v>Varies by deployment</x:v>
      </x:c>
      <x:c r="X692" s="75"/>
      <x:c r="Y692" s="75" t="str">
        <x:v>N/A</x:v>
      </x:c>
      <x:c r="Z692" s="75"/>
      <x:c r="AA692" s="75"/>
      <x:c r="AB692" s="75"/>
      <x:c r="AC692" s="78"/>
      <x:c r="AD692" s="75"/>
      <x:c r="AE692" s="75" t="str">
        <x:v>N/A</x:v>
      </x:c>
      <x:c r="AF692" s="75" t="str">
        <x:v>Operator hardware</x:v>
      </x:c>
      <x:c r="AG692" s="75" t="str">
        <x:v>Varies; modest for small teams; official sizing depends deployment</x:v>
      </x:c>
      <x:c r="AH692" s="122" t="n">
        <x:v>6</x:v>
      </x:c>
      <x:c r="AI692" s="123" t="str">
        <x:v>Canonical source for Business Model &amp; Sustainability!6</x:v>
      </x:c>
    </x:row>
    <x:row r="693">
      <x:c r="A693" s="119" t="str">
        <x:v>Business Model &amp; Sustainability</x:v>
      </x:c>
      <x:c r="B693" s="121" t="str">
        <x:v>Self-Hosting Hardware Requirements (1,000+ users)</x:v>
      </x:c>
      <x:c r="C693" s="75" t="str">
        <x:v>N/A — official self-hosting unsupported</x:v>
      </x:c>
      <x:c r="D693" s="75" t="str">
        <x:v>Relay resource dependent</x:v>
      </x:c>
      <x:c r="E693" s="75" t="str">
        <x:v>Operator hardware</x:v>
      </x:c>
      <x:c r="F693" s="75" t="str">
        <x:v>N/A</x:v>
      </x:c>
      <x:c r="G693" s="75" t="str">
        <x:v>N/A — no self-hosting</x:v>
      </x:c>
      <x:c r="H693" s="75"/>
      <x:c r="I693" s="75"/>
      <x:c r="J693" s="75"/>
      <x:c r="K693" s="75"/>
      <x:c r="L693" s="75" t="str">
        <x:v>Not published</x:v>
      </x:c>
      <x:c r="M693" s="75" t="str">
        <x:v>N/A</x:v>
      </x:c>
      <x:c r="N693" s="75"/>
      <x:c r="O693" s="75" t="str">
        <x:v>Varies widely</x:v>
      </x:c>
      <x:c r="P693" s="75" t="str">
        <x:v>Varies; official sizing guides available</x:v>
      </x:c>
      <x:c r="Q693" s="75"/>
      <x:c r="R693" s="75"/>
      <x:c r="S693" s="75"/>
      <x:c r="T693" s="75" t="str">
        <x:v>N/A</x:v>
      </x:c>
      <x:c r="U693" s="75"/>
      <x:c r="V693" s="75" t="str">
        <x:v>N/A</x:v>
      </x:c>
      <x:c r="W693" s="75" t="str">
        <x:v>Varies by deployment</x:v>
      </x:c>
      <x:c r="X693" s="75"/>
      <x:c r="Y693" s="75" t="str">
        <x:v>N/A</x:v>
      </x:c>
      <x:c r="Z693" s="75"/>
      <x:c r="AA693" s="75"/>
      <x:c r="AB693" s="75"/>
      <x:c r="AC693" s="78"/>
      <x:c r="AD693" s="75"/>
      <x:c r="AE693" s="75" t="str">
        <x:v>N/A</x:v>
      </x:c>
      <x:c r="AF693" s="75" t="str">
        <x:v>Operator hardware</x:v>
      </x:c>
      <x:c r="AG693" s="75" t="str">
        <x:v>Varies</x:v>
      </x:c>
      <x:c r="AH693" s="122" t="n">
        <x:v>7</x:v>
      </x:c>
      <x:c r="AI693" s="123" t="str">
        <x:v>Canonical source for Business Model &amp; Sustainability!7</x:v>
      </x:c>
    </x:row>
    <x:row r="694">
      <x:c r="A694" s="119" t="str">
        <x:v>Business Model &amp; Sustainability</x:v>
      </x:c>
      <x:c r="B694" s="121" t="str">
        <x:v>Financial Longevity / Abandonment Risk</x:v>
      </x:c>
      <x:c r="C694" s="75"/>
      <x:c r="D694" s="75" t="str">
        <x:v>Early but architecture minimizes central hosting dependence</x:v>
      </x:c>
      <x:c r="E694" s="75" t="str">
        <x:v>Active solo-led open-source project</x:v>
      </x:c>
      <x:c r="F694" s="75" t="str">
        <x:v>Early product</x:v>
      </x:c>
      <x:c r="G694" s="75" t="str">
        <x:v>Very early alpha; sustainability depends on adoption/subscriptions</x:v>
      </x:c>
      <x:c r="H694" s="75"/>
      <x:c r="I694" s="75" t="str">
        <x:v>Founder states no investors; long-running voice-hosting background</x:v>
      </x:c>
      <x:c r="J694" s="75" t="str">
        <x:v>Early volunteer project</x:v>
      </x:c>
      <x:c r="K694" s="75" t="str">
        <x:v>Solo-project sustainability risk</x:v>
      </x:c>
      <x:c r="L694" s="75" t="str">
        <x:v>Active/self-funded but solo-developer bus factor is the main sustainability risk</x:v>
      </x:c>
      <x:c r="M694" s="75"/>
      <x:c r="N694" s="75" t="str">
        <x:v>Early-stage</x:v>
      </x:c>
      <x:c r="O694" s="75" t="str">
        <x:v>Protocol longevity supported by open standard + multi-vendor ecosystem; individual providers vary</x:v>
      </x:c>
      <x:c r="P694" s="75"/>
      <x:c r="Q694" s="75" t="str">
        <x:v>Active company/product</x:v>
      </x:c>
      <x:c r="R694" s="75" t="str">
        <x:v>Long-running mature open-source project</x:v>
      </x:c>
      <x:c r="S694" s="75" t="str">
        <x:v>Small hobby project; continuity depends on maintainers/donations</x:v>
      </x:c>
      <x:c r="T694" s="75"/>
      <x:c r="U694" s="75" t="str">
        <x:v>Young beta; independently run; no VC backing claimed</x:v>
      </x:c>
      <x:c r="V694" s="75" t="str">
        <x:v>Early private product</x:v>
      </x:c>
      <x:c r="W694" s="75" t="str">
        <x:v>Established enterprise/open-source vendor</x:v>
      </x:c>
      <x:c r="X694" s="75" t="str">
        <x:v>Experimental project</x:v>
      </x:c>
      <x:c r="Y694" s="75"/>
      <x:c r="Z694" s="75" t="str">
        <x:v>Volunteer-project continuity risk higher than established vendors</x:v>
      </x:c>
      <x:c r="AA694" s="75"/>
      <x:c r="AB694" s="75" t="str">
        <x:v>Mature long-lived commercial product</x:v>
      </x:c>
      <x:c r="AC694" s="78" t="str">
        <x:v>Open-source + optional subscription support</x:v>
      </x:c>
      <x:c r="AD694" s="75" t="str">
        <x:v>Experimental project risk</x:v>
      </x:c>
      <x:c r="AE694" s="75" t="str">
        <x:v>Early solo project</x:v>
      </x:c>
      <x:c r="AF694" s="75" t="str">
        <x:v>Business funded by licenses/hosting</x:v>
      </x:c>
      <x:c r="AG694" s="75" t="str">
        <x:v>Established open-source + commercial support model</x:v>
      </x:c>
      <x:c r="AH694" s="122" t="n">
        <x:v>8</x:v>
      </x:c>
      <x:c r="AI694" s="123" t="str">
        <x:v>Canonical source for Business Model &amp; Sustainability!8</x:v>
      </x:c>
    </x:row>
    <x:row r="695">
      <x:c r="A695" s="119" t="str">
        <x:v>Business Model &amp; Sustainability</x:v>
      </x:c>
      <x:c r="B695" s="121" t="str">
        <x:v>Revenue Mix &amp; Pricing Transparency</x:v>
      </x:c>
      <x:c r="C695" s="75"/>
      <x:c r="D695" s="75"/>
      <x:c r="E695" s="75"/>
      <x:c r="F695" s="75"/>
      <x:c r="G695" s="75"/>
      <x:c r="H695" s="75"/>
      <x:c r="I695" s="75"/>
      <x:c r="J695" s="75"/>
      <x:c r="K695" s="75"/>
      <x:c r="L695" s="75" t="str">
        <x:v>No current revenue; funding comes from developer's other businesses/services and employment</x:v>
      </x:c>
      <x:c r="M695" s="75"/>
      <x:c r="N695" s="75"/>
      <x:c r="O695" s="75"/>
      <x:c r="P695" s="75"/>
      <x:c r="Q695" s="75"/>
      <x:c r="R695" s="75"/>
      <x:c r="S695" s="75"/>
      <x:c r="T695" s="75"/>
      <x:c r="U695" s="75" t="str">
        <x:v>Free hosted; donations are optional and unlock nothing; not VC-backed</x:v>
      </x:c>
      <x:c r="V695" s="75"/>
      <x:c r="W695" s="75"/>
      <x:c r="X695" s="75"/>
      <x:c r="Y695" s="75"/>
      <x:c r="Z695" s="75"/>
      <x:c r="AA695" s="75"/>
      <x:c r="AB695" s="75"/>
      <x:c r="AC695" s="78"/>
      <x:c r="AD695" s="75"/>
      <x:c r="AE695" s="75"/>
      <x:c r="AF695" s="75"/>
      <x:c r="AG695" s="75"/>
      <x:c r="AH695" s="122" t="n">
        <x:v>9</x:v>
      </x:c>
      <x:c r="AI695" s="123" t="str">
        <x:v>Canonical source for Business Model &amp; Sustainability!9</x:v>
      </x:c>
    </x:row>
    <x:row r="696">
      <x:c r="A696" s="119" t="str">
        <x:v>Business Model &amp; Sustainability</x:v>
      </x:c>
      <x:c r="B696" s="121" t="str">
        <x:v>Free Hosted Tier / Free Use</x:v>
      </x:c>
      <x:c r="C696" s="75" t="str">
        <x:v>Yes</x:v>
      </x:c>
      <x:c r="D696" s="75" t="str">
        <x:v>Yes</x:v>
      </x:c>
      <x:c r="E696" s="75" t="str">
        <x:v>Yes</x:v>
      </x:c>
      <x:c r="F696" s="75"/>
      <x:c r="G696" s="75" t="str">
        <x:v>Yes</x:v>
      </x:c>
      <x:c r="H696" s="75" t="str">
        <x:v>Yes</x:v>
      </x:c>
      <x:c r="I696" s="75" t="str">
        <x:v>Yes</x:v>
      </x:c>
      <x:c r="J696" s="75" t="str">
        <x:v>Yes</x:v>
      </x:c>
      <x:c r="K696" s="75" t="str">
        <x:v>Yes</x:v>
      </x:c>
      <x:c r="L696" s="75" t="str">
        <x:v>Yes — official instance currently free; MIT self-hosting is free</x:v>
      </x:c>
      <x:c r="M696" s="75"/>
      <x:c r="N696" s="75"/>
      <x:c r="O696" s="75" t="str">
        <x:v>Yes</x:v>
      </x:c>
      <x:c r="P696" s="75" t="str">
        <x:v>Yes</x:v>
      </x:c>
      <x:c r="Q696" s="75" t="str">
        <x:v>Yes</x:v>
      </x:c>
      <x:c r="R696" s="75" t="str">
        <x:v>Yes</x:v>
      </x:c>
      <x:c r="S696" s="75" t="str">
        <x:v>Yes</x:v>
      </x:c>
      <x:c r="T696" s="75"/>
      <x:c r="U696" s="75" t="str">
        <x:v>Yes</x:v>
      </x:c>
      <x:c r="V696" s="75" t="str">
        <x:v>Yes</x:v>
      </x:c>
      <x:c r="W696" s="75" t="str">
        <x:v>Yes</x:v>
      </x:c>
      <x:c r="X696" s="75" t="str">
        <x:v>Yes</x:v>
      </x:c>
      <x:c r="Y696" s="75" t="str">
        <x:v>Yes</x:v>
      </x:c>
      <x:c r="Z696" s="75" t="str">
        <x:v>Yes</x:v>
      </x:c>
      <x:c r="AA696" s="75" t="str">
        <x:v>Yes</x:v>
      </x:c>
      <x:c r="AB696" s="75" t="str">
        <x:v>Yes</x:v>
      </x:c>
      <x:c r="AC696" s="78"/>
      <x:c r="AD696" s="75"/>
      <x:c r="AE696" s="75" t="str">
        <x:v>Yes</x:v>
      </x:c>
      <x:c r="AF696" s="75"/>
      <x:c r="AG696" s="75" t="str">
        <x:v>Yes</x:v>
      </x:c>
      <x:c r="AH696" s="122" t="n">
        <x:v>10</x:v>
      </x:c>
      <x:c r="AI696" s="123" t="str">
        <x:v>Canonical source for Business Model &amp; Sustainability!10</x:v>
      </x:c>
    </x:row>
    <x:row r="697">
      <x:c r="A697" s="119" t="str">
        <x:v>Business Model &amp; Sustainability</x:v>
      </x:c>
      <x:c r="B697" s="121" t="str">
        <x:v>User Subscription Model</x:v>
      </x:c>
      <x:c r="C697" s="75" t="str">
        <x:v>Yes</x:v>
      </x:c>
      <x:c r="D697" s="75"/>
      <x:c r="E697" s="75"/>
      <x:c r="F697" s="75"/>
      <x:c r="G697" s="75" t="str">
        <x:v>Planned</x:v>
      </x:c>
      <x:c r="H697" s="75" t="str">
        <x:v>Yes</x:v>
      </x:c>
      <x:c r="I697" s="75"/>
      <x:c r="J697" s="75"/>
      <x:c r="K697" s="75"/>
      <x:c r="L697" s="75" t="str">
        <x:v>No current user subscription</x:v>
      </x:c>
      <x:c r="M697" s="75"/>
      <x:c r="N697" s="75"/>
      <x:c r="O697" s="75"/>
      <x:c r="P697" s="75"/>
      <x:c r="Q697" s="75"/>
      <x:c r="R697" s="75"/>
      <x:c r="S697" s="75"/>
      <x:c r="T697" s="75"/>
      <x:c r="U697" s="75" t="str">
        <x:v>No public subscription</x:v>
      </x:c>
      <x:c r="V697" s="75" t="str">
        <x:v>Yes</x:v>
      </x:c>
      <x:c r="W697" s="75"/>
      <x:c r="X697" s="75"/>
      <x:c r="Y697" s="75" t="str">
        <x:v>Yes</x:v>
      </x:c>
      <x:c r="Z697" s="75"/>
      <x:c r="AA697" s="75"/>
      <x:c r="AB697" s="75"/>
      <x:c r="AC697" s="78" t="str">
        <x:v>Yes</x:v>
      </x:c>
      <x:c r="AD697" s="75"/>
      <x:c r="AE697" s="75"/>
      <x:c r="AF697" s="75"/>
      <x:c r="AG697" s="75"/>
      <x:c r="AH697" s="122" t="n">
        <x:v>11</x:v>
      </x:c>
      <x:c r="AI697" s="123" t="str">
        <x:v>Canonical source for Business Model &amp; Sustainability!11</x:v>
      </x:c>
    </x:row>
    <x:row r="698">
      <x:c r="A698" s="119" t="str">
        <x:v>Business Model &amp; Sustainability</x:v>
      </x:c>
      <x:c r="B698" s="121" t="str">
        <x:v>Community / Server Subscription</x:v>
      </x:c>
      <x:c r="C698" s="75" t="str">
        <x:v>Yes</x:v>
      </x:c>
      <x:c r="D698" s="75"/>
      <x:c r="E698" s="75"/>
      <x:c r="F698" s="75"/>
      <x:c r="G698" s="75"/>
      <x:c r="H698" s="75"/>
      <x:c r="I698" s="75" t="str">
        <x:v>Yes</x:v>
      </x:c>
      <x:c r="J698" s="75"/>
      <x:c r="K698" s="75"/>
      <x:c r="L698" s="75" t="str">
        <x:v>No current community/server subscription</x:v>
      </x:c>
      <x:c r="M698" s="75"/>
      <x:c r="N698" s="75"/>
      <x:c r="O698" s="75"/>
      <x:c r="P698" s="75"/>
      <x:c r="Q698" s="75"/>
      <x:c r="R698" s="75"/>
      <x:c r="S698" s="75"/>
      <x:c r="T698" s="75"/>
      <x:c r="U698" s="75" t="str">
        <x:v>No public paid community tier</x:v>
      </x:c>
      <x:c r="V698" s="75" t="str">
        <x:v>Yes</x:v>
      </x:c>
      <x:c r="W698" s="75"/>
      <x:c r="X698" s="75"/>
      <x:c r="Y698" s="75"/>
      <x:c r="Z698" s="75"/>
      <x:c r="AA698" s="75"/>
      <x:c r="AB698" s="75" t="str">
        <x:v>Yes</x:v>
      </x:c>
      <x:c r="AC698" s="78"/>
      <x:c r="AD698" s="75"/>
      <x:c r="AE698" s="75" t="str">
        <x:v>Yes</x:v>
      </x:c>
      <x:c r="AF698" s="75"/>
      <x:c r="AG698" s="75"/>
      <x:c r="AH698" s="122" t="n">
        <x:v>12</x:v>
      </x:c>
      <x:c r="AI698" s="123" t="str">
        <x:v>Canonical source for Business Model &amp; Sustainability!12</x:v>
      </x:c>
    </x:row>
    <x:row r="699">
      <x:c r="A699" s="119" t="str">
        <x:v>Business Model &amp; Sustainability</x:v>
      </x:c>
      <x:c r="B699" s="121" t="str">
        <x:v>Paid Self-Host License / Support</x:v>
      </x:c>
      <x:c r="C699" s="75" t="str">
        <x:v>No</x:v>
      </x:c>
      <x:c r="D699" s="75" t="str">
        <x:v>No</x:v>
      </x:c>
      <x:c r="E699" s="75" t="str">
        <x:v>No</x:v>
      </x:c>
      <x:c r="F699" s="75" t="str">
        <x:v>No</x:v>
      </x:c>
      <x:c r="G699" s="75" t="str">
        <x:v>No</x:v>
      </x:c>
      <x:c r="H699" s="75" t="str">
        <x:v>No</x:v>
      </x:c>
      <x:c r="I699" s="75" t="str">
        <x:v>Yes</x:v>
      </x:c>
      <x:c r="J699" s="75" t="str">
        <x:v>No</x:v>
      </x:c>
      <x:c r="K699" s="75" t="str">
        <x:v>No</x:v>
      </x:c>
      <x:c r="L699" s="75" t="str">
        <x:v>No — MIT self-hosting</x:v>
      </x:c>
      <x:c r="M699" s="75" t="str">
        <x:v>No</x:v>
      </x:c>
      <x:c r="N699" s="75" t="str">
        <x:v>No</x:v>
      </x:c>
      <x:c r="O699" s="75" t="str">
        <x:v>No</x:v>
      </x:c>
      <x:c r="P699" s="75" t="str">
        <x:v>No</x:v>
      </x:c>
      <x:c r="Q699" s="75" t="str">
        <x:v>No</x:v>
      </x:c>
      <x:c r="R699" s="75" t="str">
        <x:v>No</x:v>
      </x:c>
      <x:c r="S699" s="75" t="str">
        <x:v>No</x:v>
      </x:c>
      <x:c r="T699" s="75" t="str">
        <x:v>No</x:v>
      </x:c>
      <x:c r="U699" s="75" t="str">
        <x:v>No — AGPL-3.0 self-host</x:v>
      </x:c>
      <x:c r="V699" s="75" t="str">
        <x:v>No</x:v>
      </x:c>
      <x:c r="W699" s="75" t="str">
        <x:v>No</x:v>
      </x:c>
      <x:c r="X699" s="75" t="str">
        <x:v>No</x:v>
      </x:c>
      <x:c r="Y699" s="75" t="str">
        <x:v>No</x:v>
      </x:c>
      <x:c r="Z699" s="75" t="str">
        <x:v>No</x:v>
      </x:c>
      <x:c r="AA699" s="75" t="str">
        <x:v>No</x:v>
      </x:c>
      <x:c r="AB699" s="75" t="str">
        <x:v>Yes</x:v>
      </x:c>
      <x:c r="AC699" s="78" t="str">
        <x:v>No</x:v>
      </x:c>
      <x:c r="AD699" s="75" t="str">
        <x:v>No</x:v>
      </x:c>
      <x:c r="AE699" s="75" t="str">
        <x:v>No</x:v>
      </x:c>
      <x:c r="AF699" s="75" t="str">
        <x:v>No</x:v>
      </x:c>
      <x:c r="AG699" s="75" t="str">
        <x:v>Yes</x:v>
      </x:c>
      <x:c r="AH699" s="122" t="n">
        <x:v>13</x:v>
      </x:c>
      <x:c r="AI699" s="123" t="str">
        <x:v>Canonical source for Business Model &amp; Sustainability!13</x:v>
      </x:c>
    </x:row>
    <x:row r="700">
      <x:c r="A700" s="119" t="str">
        <x:v>Business Model &amp; Sustainability</x:v>
      </x:c>
      <x:c r="B700" s="121" t="str">
        <x:v>Enterprise / Custom Quote</x:v>
      </x:c>
      <x:c r="C700" s="75"/>
      <x:c r="D700" s="75"/>
      <x:c r="E700" s="75"/>
      <x:c r="F700" s="75"/>
      <x:c r="G700" s="75"/>
      <x:c r="H700" s="75"/>
      <x:c r="I700" s="75"/>
      <x:c r="J700" s="75"/>
      <x:c r="K700" s="75"/>
      <x:c r="L700" s="75" t="str">
        <x:v>No current enterprise/custom quote tier</x:v>
      </x:c>
      <x:c r="M700" s="75"/>
      <x:c r="N700" s="75"/>
      <x:c r="O700" s="75"/>
      <x:c r="P700" s="75" t="str">
        <x:v>Yes</x:v>
      </x:c>
      <x:c r="Q700" s="75"/>
      <x:c r="R700" s="75"/>
      <x:c r="S700" s="75"/>
      <x:c r="T700" s="75"/>
      <x:c r="U700" s="75" t="str">
        <x:v>No public enterprise tier claimed</x:v>
      </x:c>
      <x:c r="V700" s="75" t="str">
        <x:v>N/A</x:v>
      </x:c>
      <x:c r="W700" s="75" t="str">
        <x:v>Yes</x:v>
      </x:c>
      <x:c r="X700" s="75"/>
      <x:c r="Y700" s="75"/>
      <x:c r="Z700" s="75"/>
      <x:c r="AA700" s="75"/>
      <x:c r="AB700" s="75" t="str">
        <x:v>Yes</x:v>
      </x:c>
      <x:c r="AC700" s="78"/>
      <x:c r="AD700" s="75"/>
      <x:c r="AE700" s="75" t="str">
        <x:v>Yes</x:v>
      </x:c>
      <x:c r="AF700" s="75"/>
      <x:c r="AG700" s="75" t="str">
        <x:v>Yes</x:v>
      </x:c>
      <x:c r="AH700" s="122" t="n">
        <x:v>14</x:v>
      </x:c>
      <x:c r="AI700" s="123" t="str">
        <x:v>Canonical source for Business Model &amp; Sustainability!14</x:v>
      </x:c>
    </x:row>
    <x:row r="701">
      <x:c r="A701" s="119" t="str">
        <x:v>Business Model &amp; Sustainability</x:v>
      </x:c>
      <x:c r="B701" s="121" t="str">
        <x:v>Advertising / Sponsored Content Revenue</x:v>
      </x:c>
      <x:c r="C701" s="75" t="str">
        <x:v>Yes — sponsored Quests/formats</x:v>
      </x:c>
      <x:c r="D701" s="75"/>
      <x:c r="E701" s="75"/>
      <x:c r="F701" s="75"/>
      <x:c r="G701" s="75"/>
      <x:c r="H701" s="75"/>
      <x:c r="I701" s="75"/>
      <x:c r="J701" s="75"/>
      <x:c r="K701" s="75"/>
      <x:c r="L701" s="75" t="str">
        <x:v>No current advertising/sponsored revenue reported</x:v>
      </x:c>
      <x:c r="M701" s="75"/>
      <x:c r="N701" s="75"/>
      <x:c r="O701" s="75" t="str">
        <x:v>Protocol: N/A / provider-dependent</x:v>
      </x:c>
      <x:c r="P701" s="75"/>
      <x:c r="Q701" s="75"/>
      <x:c r="R701" s="75"/>
      <x:c r="S701" s="75"/>
      <x:c r="T701" s="75"/>
      <x:c r="U701" s="75" t="str">
        <x:v>No advertising revenue model claimed</x:v>
      </x:c>
      <x:c r="V701" s="75" t="str">
        <x:v>No ads</x:v>
      </x:c>
      <x:c r="W701" s="75"/>
      <x:c r="X701" s="75"/>
      <x:c r="Y701" s="75"/>
      <x:c r="Z701" s="75"/>
      <x:c r="AA701" s="75"/>
      <x:c r="AB701" s="75"/>
      <x:c r="AC701" s="78"/>
      <x:c r="AD701" s="75"/>
      <x:c r="AE701" s="75"/>
      <x:c r="AF701" s="75"/>
      <x:c r="AG701" s="75" t="str">
        <x:v>No ad-funded model</x:v>
      </x:c>
      <x:c r="AH701" s="122" t="n">
        <x:v>15</x:v>
      </x:c>
      <x:c r="AI701" s="123" t="str">
        <x:v>Canonical source for Business Model &amp; Sustainability!15</x:v>
      </x:c>
    </x:row>
    <x:row r="702">
      <x:c r="A702" s="119" t="str">
        <x:v>Business Model &amp; Sustainability</x:v>
      </x:c>
      <x:c r="B702" s="121" t="str">
        <x:v>Donations / Sponsorship</x:v>
      </x:c>
      <x:c r="C702" s="75"/>
      <x:c r="D702" s="75"/>
      <x:c r="E702" s="75" t="str">
        <x:v>Yes — donations</x:v>
      </x:c>
      <x:c r="F702" s="75"/>
      <x:c r="G702" s="75"/>
      <x:c r="H702" s="75" t="str">
        <x:v>Yes — donations</x:v>
      </x:c>
      <x:c r="I702" s="75"/>
      <x:c r="J702" s="75"/>
      <x:c r="K702" s="75"/>
      <x:c r="L702" s="75" t="str">
        <x:v>No donation model reported as primary funding</x:v>
      </x:c>
      <x:c r="M702" s="75" t="str">
        <x:v>Yes — donations</x:v>
      </x:c>
      <x:c r="N702" s="75"/>
      <x:c r="O702" s="75" t="str">
        <x:v>Foundation donations/sponsorship</x:v>
      </x:c>
      <x:c r="P702" s="75"/>
      <x:c r="Q702" s="75"/>
      <x:c r="R702" s="75"/>
      <x:c r="S702" s="75" t="str">
        <x:v>Yes — donations</x:v>
      </x:c>
      <x:c r="T702" s="75"/>
      <x:c r="U702" s="75" t="str">
        <x:v>Yes — https://pqp.gg/apoie; donations unlock nothing</x:v>
      </x:c>
      <x:c r="V702" s="75" t="str">
        <x:v>No donation model verified</x:v>
      </x:c>
      <x:c r="W702" s="75"/>
      <x:c r="X702" s="75"/>
      <x:c r="Y702" s="75"/>
      <x:c r="Z702" s="75"/>
      <x:c r="AA702" s="75"/>
      <x:c r="AB702" s="75"/>
      <x:c r="AC702" s="78"/>
      <x:c r="AD702" s="75"/>
      <x:c r="AE702" s="75"/>
      <x:c r="AF702" s="75"/>
      <x:c r="AG702" s="75"/>
      <x:c r="AH702" s="122" t="n">
        <x:v>16</x:v>
      </x:c>
      <x:c r="AI702" s="123" t="str">
        <x:v>Canonical source for Business Model &amp; Sustainability!16</x:v>
      </x:c>
    </x:row>
    <x:row r="703">
      <x:c r="A703" s="119" t="str">
        <x:v>Pricing Summary</x:v>
      </x:c>
      <x:c r="B703" s="121" t="str">
        <x:v>Free Plan / Free Use Available?</x:v>
      </x:c>
      <x:c r="C703" s="75" t="str">
        <x:v>Yes</x:v>
      </x:c>
      <x:c r="D703" s="75" t="str">
        <x:v>Yes</x:v>
      </x:c>
      <x:c r="E703" s="75" t="str">
        <x:v>Yes</x:v>
      </x:c>
      <x:c r="F703" s="75"/>
      <x:c r="G703" s="75" t="str">
        <x:v>Yes</x:v>
      </x:c>
      <x:c r="H703" s="75" t="str">
        <x:v>Yes</x:v>
      </x:c>
      <x:c r="I703" s="75" t="str">
        <x:v>Yes</x:v>
      </x:c>
      <x:c r="J703" s="75" t="str">
        <x:v>Yes</x:v>
      </x:c>
      <x:c r="K703" s="75" t="str">
        <x:v>Yes</x:v>
      </x:c>
      <x:c r="L703" s="75" t="str">
        <x:v>Yes — official instance currently free; MIT self-hosting is free</x:v>
      </x:c>
      <x:c r="M703" s="75"/>
      <x:c r="N703" s="75"/>
      <x:c r="O703" s="75" t="str">
        <x:v>Yes</x:v>
      </x:c>
      <x:c r="P703" s="75" t="str">
        <x:v>Yes</x:v>
      </x:c>
      <x:c r="Q703" s="75" t="str">
        <x:v>Yes</x:v>
      </x:c>
      <x:c r="R703" s="75" t="str">
        <x:v>Yes</x:v>
      </x:c>
      <x:c r="S703" s="75" t="str">
        <x:v>Yes</x:v>
      </x:c>
      <x:c r="T703" s="75"/>
      <x:c r="U703" s="75" t="str">
        <x:v>Yes</x:v>
      </x:c>
      <x:c r="V703" s="75" t="str">
        <x:v>Yes</x:v>
      </x:c>
      <x:c r="W703" s="75" t="str">
        <x:v>Yes</x:v>
      </x:c>
      <x:c r="X703" s="75" t="str">
        <x:v>Yes</x:v>
      </x:c>
      <x:c r="Y703" s="75" t="str">
        <x:v>Yes</x:v>
      </x:c>
      <x:c r="Z703" s="75" t="str">
        <x:v>Yes</x:v>
      </x:c>
      <x:c r="AA703" s="75" t="str">
        <x:v>Yes</x:v>
      </x:c>
      <x:c r="AB703" s="75" t="str">
        <x:v>Yes</x:v>
      </x:c>
      <x:c r="AC703" s="78"/>
      <x:c r="AD703" s="75"/>
      <x:c r="AE703" s="75" t="str">
        <x:v>Yes</x:v>
      </x:c>
      <x:c r="AF703" s="75"/>
      <x:c r="AG703" s="75" t="str">
        <x:v>Yes</x:v>
      </x:c>
      <x:c r="AH703" s="122" t="n">
        <x:v>3</x:v>
      </x:c>
      <x:c r="AI703" s="123" t="str">
        <x:v>Canonical source for Pricing Summary!3</x:v>
      </x:c>
    </x:row>
    <x:row r="704">
      <x:c r="A704" s="119" t="str">
        <x:v>Pricing Summary</x:v>
      </x:c>
      <x:c r="B704" s="121" t="str">
        <x:v>Public Paid Options Count</x:v>
      </x:c>
      <x:c r="C704" s="75" t="str">
        <x:v>4</x:v>
      </x:c>
      <x:c r="D704" s="75" t="str">
        <x:v>0</x:v>
      </x:c>
      <x:c r="E704" s="75" t="str">
        <x:v>0</x:v>
      </x:c>
      <x:c r="F704" s="75" t="str">
        <x:v>0</x:v>
      </x:c>
      <x:c r="G704" s="75" t="str">
        <x:v>3</x:v>
      </x:c>
      <x:c r="H704" s="75" t="str">
        <x:v>1</x:v>
      </x:c>
      <x:c r="I704" s="75" t="str">
        <x:v>4</x:v>
      </x:c>
      <x:c r="J704" s="75" t="str">
        <x:v>0</x:v>
      </x:c>
      <x:c r="K704" s="75" t="str">
        <x:v>0</x:v>
      </x:c>
      <x:c r="L704" s="75" t="str">
        <x:v>0</x:v>
      </x:c>
      <x:c r="M704" s="75" t="str">
        <x:v>0</x:v>
      </x:c>
      <x:c r="N704" s="75" t="str">
        <x:v>0</x:v>
      </x:c>
      <x:c r="O704" s="75" t="str">
        <x:v>0</x:v>
      </x:c>
      <x:c r="P704" s="75" t="str">
        <x:v>4</x:v>
      </x:c>
      <x:c r="Q704" s="75" t="str">
        <x:v>0</x:v>
      </x:c>
      <x:c r="R704" s="75" t="str">
        <x:v>0</x:v>
      </x:c>
      <x:c r="S704" s="75" t="str">
        <x:v>0</x:v>
      </x:c>
      <x:c r="T704" s="75" t="str">
        <x:v>0</x:v>
      </x:c>
      <x:c r="U704" s="75" t="str">
        <x:v>0</x:v>
      </x:c>
      <x:c r="V704" s="75" t="str">
        <x:v>3</x:v>
      </x:c>
      <x:c r="W704" s="75" t="str">
        <x:v>3</x:v>
      </x:c>
      <x:c r="X704" s="75" t="str">
        <x:v>0</x:v>
      </x:c>
      <x:c r="Y704" s="75" t="str">
        <x:v>1</x:v>
      </x:c>
      <x:c r="Z704" s="75" t="str">
        <x:v>0</x:v>
      </x:c>
      <x:c r="AA704" s="75" t="str">
        <x:v>0</x:v>
      </x:c>
      <x:c r="AB704" s="75" t="str">
        <x:v>10</x:v>
      </x:c>
      <x:c r="AC704" s="78" t="str">
        <x:v>1</x:v>
      </x:c>
      <x:c r="AD704" s="75" t="str">
        <x:v>0</x:v>
      </x:c>
      <x:c r="AE704" s="75" t="str">
        <x:v>5</x:v>
      </x:c>
      <x:c r="AF704" s="75" t="str">
        <x:v>1</x:v>
      </x:c>
      <x:c r="AG704" s="75" t="str">
        <x:v>5</x:v>
      </x:c>
      <x:c r="AH704" s="122" t="n">
        <x:v>4</x:v>
      </x:c>
      <x:c r="AI704" s="123" t="str">
        <x:v>Canonical source for Pricing Summary!4</x:v>
      </x:c>
    </x:row>
    <x:row r="705">
      <x:c r="A705" s="119" t="str">
        <x:v>Pricing Summary</x:v>
      </x:c>
      <x:c r="B705" s="121" t="str">
        <x:v>Active Fixed-Price Options Count</x:v>
      </x:c>
      <x:c r="C705" s="75" t="str">
        <x:v>3</x:v>
      </x:c>
      <x:c r="D705" s="75" t="str">
        <x:v>0</x:v>
      </x:c>
      <x:c r="E705" s="75" t="str">
        <x:v>0</x:v>
      </x:c>
      <x:c r="F705" s="75" t="str">
        <x:v>0</x:v>
      </x:c>
      <x:c r="G705" s="75" t="str">
        <x:v>0</x:v>
      </x:c>
      <x:c r="H705" s="75" t="str">
        <x:v>1</x:v>
      </x:c>
      <x:c r="I705" s="75" t="str">
        <x:v>4</x:v>
      </x:c>
      <x:c r="J705" s="75" t="str">
        <x:v>0</x:v>
      </x:c>
      <x:c r="K705" s="75" t="str">
        <x:v>0</x:v>
      </x:c>
      <x:c r="L705" s="75" t="str">
        <x:v>0</x:v>
      </x:c>
      <x:c r="M705" s="75" t="str">
        <x:v>0</x:v>
      </x:c>
      <x:c r="N705" s="75" t="str">
        <x:v>0</x:v>
      </x:c>
      <x:c r="O705" s="75" t="str">
        <x:v>0</x:v>
      </x:c>
      <x:c r="P705" s="75" t="str">
        <x:v>0</x:v>
      </x:c>
      <x:c r="Q705" s="75" t="str">
        <x:v>0</x:v>
      </x:c>
      <x:c r="R705" s="75" t="str">
        <x:v>0</x:v>
      </x:c>
      <x:c r="S705" s="75" t="str">
        <x:v>0</x:v>
      </x:c>
      <x:c r="T705" s="75" t="str">
        <x:v>0</x:v>
      </x:c>
      <x:c r="U705" s="75" t="str">
        <x:v>0</x:v>
      </x:c>
      <x:c r="V705" s="75" t="str">
        <x:v>3</x:v>
      </x:c>
      <x:c r="W705" s="75" t="str">
        <x:v>0</x:v>
      </x:c>
      <x:c r="X705" s="75" t="str">
        <x:v>0</x:v>
      </x:c>
      <x:c r="Y705" s="75" t="str">
        <x:v>0</x:v>
      </x:c>
      <x:c r="Z705" s="75" t="str">
        <x:v>0</x:v>
      </x:c>
      <x:c r="AA705" s="75" t="str">
        <x:v>0</x:v>
      </x:c>
      <x:c r="AB705" s="75" t="str">
        <x:v>3</x:v>
      </x:c>
      <x:c r="AC705" s="78" t="str">
        <x:v>0</x:v>
      </x:c>
      <x:c r="AD705" s="75" t="str">
        <x:v>0</x:v>
      </x:c>
      <x:c r="AE705" s="75" t="str">
        <x:v>1</x:v>
      </x:c>
      <x:c r="AF705" s="75" t="str">
        <x:v>0</x:v>
      </x:c>
      <x:c r="AG705" s="75" t="str">
        <x:v>4</x:v>
      </x:c>
      <x:c r="AH705" s="122" t="n">
        <x:v>5</x:v>
      </x:c>
      <x:c r="AI705" s="123" t="str">
        <x:v>Canonical source for Pricing Summary!5</x:v>
      </x:c>
    </x:row>
    <x:row r="706">
      <x:c r="A706" s="119" t="str">
        <x:v>Pricing Summary</x:v>
      </x:c>
      <x:c r="B706" s="121" t="str">
        <x:v>Contact-Sales / Quote Options Count</x:v>
      </x:c>
      <x:c r="C706" s="75" t="str">
        <x:v>0</x:v>
      </x:c>
      <x:c r="D706" s="75" t="str">
        <x:v>0</x:v>
      </x:c>
      <x:c r="E706" s="75" t="str">
        <x:v>0</x:v>
      </x:c>
      <x:c r="F706" s="75" t="str">
        <x:v>0</x:v>
      </x:c>
      <x:c r="G706" s="75" t="str">
        <x:v>0</x:v>
      </x:c>
      <x:c r="H706" s="75" t="str">
        <x:v>0</x:v>
      </x:c>
      <x:c r="I706" s="75" t="str">
        <x:v>0</x:v>
      </x:c>
      <x:c r="J706" s="75" t="str">
        <x:v>0</x:v>
      </x:c>
      <x:c r="K706" s="75" t="str">
        <x:v>0</x:v>
      </x:c>
      <x:c r="L706" s="75" t="str">
        <x:v>0</x:v>
      </x:c>
      <x:c r="M706" s="75" t="str">
        <x:v>0</x:v>
      </x:c>
      <x:c r="N706" s="75" t="str">
        <x:v>0</x:v>
      </x:c>
      <x:c r="O706" s="75" t="str">
        <x:v>0</x:v>
      </x:c>
      <x:c r="P706" s="75" t="str">
        <x:v>3</x:v>
      </x:c>
      <x:c r="Q706" s="75" t="str">
        <x:v>0</x:v>
      </x:c>
      <x:c r="R706" s="75" t="str">
        <x:v>0</x:v>
      </x:c>
      <x:c r="S706" s="75" t="str">
        <x:v>0</x:v>
      </x:c>
      <x:c r="T706" s="75" t="str">
        <x:v>0</x:v>
      </x:c>
      <x:c r="U706" s="75" t="str">
        <x:v>0</x:v>
      </x:c>
      <x:c r="V706" s="75" t="str">
        <x:v>0</x:v>
      </x:c>
      <x:c r="W706" s="75" t="str">
        <x:v>3</x:v>
      </x:c>
      <x:c r="X706" s="75" t="str">
        <x:v>0</x:v>
      </x:c>
      <x:c r="Y706" s="75" t="str">
        <x:v>0</x:v>
      </x:c>
      <x:c r="Z706" s="75" t="str">
        <x:v>0</x:v>
      </x:c>
      <x:c r="AA706" s="75" t="str">
        <x:v>0</x:v>
      </x:c>
      <x:c r="AB706" s="75" t="str">
        <x:v>2</x:v>
      </x:c>
      <x:c r="AC706" s="78" t="str">
        <x:v>0</x:v>
      </x:c>
      <x:c r="AD706" s="75" t="str">
        <x:v>0</x:v>
      </x:c>
      <x:c r="AE706" s="75" t="str">
        <x:v>4</x:v>
      </x:c>
      <x:c r="AF706" s="75" t="str">
        <x:v>0</x:v>
      </x:c>
      <x:c r="AG706" s="75" t="str">
        <x:v>1</x:v>
      </x:c>
      <x:c r="AH706" s="122" t="n">
        <x:v>6</x:v>
      </x:c>
      <x:c r="AI706" s="123" t="str">
        <x:v>Canonical source for Pricing Summary!6</x:v>
      </x:c>
    </x:row>
    <x:row r="707">
      <x:c r="A707" s="119" t="str">
        <x:v>Pricing Summary</x:v>
      </x:c>
      <x:c r="B707" s="121" t="str">
        <x:v>Lowest Public Monthly Price</x:v>
      </x:c>
      <x:c r="C707" s="75" t="str">
        <x:v>$2.99</x:v>
      </x:c>
      <x:c r="D707" s="75"/>
      <x:c r="E707" s="75"/>
      <x:c r="F707" s="75"/>
      <x:c r="G707" s="75" t="str">
        <x:v>$4.99</x:v>
      </x:c>
      <x:c r="H707" s="75" t="str">
        <x:v>$4.99</x:v>
      </x:c>
      <x:c r="I707" s="75" t="str">
        <x:v>$2.00</x:v>
      </x:c>
      <x:c r="J707" s="75"/>
      <x:c r="K707" s="75"/>
      <x:c r="L707" s="75" t="str">
        <x:v>N/A — no paid tier</x:v>
      </x:c>
      <x:c r="M707" s="75"/>
      <x:c r="N707" s="75"/>
      <x:c r="O707" s="75"/>
      <x:c r="P707" s="75"/>
      <x:c r="Q707" s="75"/>
      <x:c r="R707" s="75"/>
      <x:c r="S707" s="75"/>
      <x:c r="T707" s="75"/>
      <x:c r="U707" s="75"/>
      <x:c r="V707" s="75" t="str">
        <x:v>$7.00</x:v>
      </x:c>
      <x:c r="W707" s="75"/>
      <x:c r="X707" s="75"/>
      <x:c r="Y707" s="75"/>
      <x:c r="Z707" s="75"/>
      <x:c r="AA707" s="75"/>
      <x:c r="AB707" s="75" t="str">
        <x:v>$4.99</x:v>
      </x:c>
      <x:c r="AC707" s="78"/>
      <x:c r="AD707" s="75"/>
      <x:c r="AE707" s="75" t="str">
        <x:v>$6.00</x:v>
      </x:c>
      <x:c r="AF707" s="75"/>
      <x:c r="AG707" s="75" t="str">
        <x:v>$3.50</x:v>
      </x:c>
      <x:c r="AH707" s="122" t="n">
        <x:v>7</x:v>
      </x:c>
      <x:c r="AI707" s="123" t="str">
        <x:v>Canonical source for Pricing Summary!7</x:v>
      </x:c>
    </x:row>
    <x:row r="708">
      <x:c r="A708" s="119" t="str">
        <x:v>Pricing Summary</x:v>
      </x:c>
      <x:c r="B708" s="121" t="str">
        <x:v>Lowest Public Annual Price</x:v>
      </x:c>
      <x:c r="C708" s="75" t="str">
        <x:v>$29.99</x:v>
      </x:c>
      <x:c r="D708" s="75"/>
      <x:c r="E708" s="75"/>
      <x:c r="F708" s="75"/>
      <x:c r="G708" s="75"/>
      <x:c r="H708" s="75" t="str">
        <x:v>$49.99</x:v>
      </x:c>
      <x:c r="I708" s="75" t="str">
        <x:v>$15.00</x:v>
      </x:c>
      <x:c r="J708" s="75"/>
      <x:c r="K708" s="75"/>
      <x:c r="L708" s="75" t="str">
        <x:v>N/A — no paid tier</x:v>
      </x:c>
      <x:c r="M708" s="75"/>
      <x:c r="N708" s="75"/>
      <x:c r="O708" s="75"/>
      <x:c r="P708" s="75"/>
      <x:c r="Q708" s="75"/>
      <x:c r="R708" s="75"/>
      <x:c r="S708" s="75"/>
      <x:c r="T708" s="75"/>
      <x:c r="U708" s="75"/>
      <x:c r="V708" s="75" t="str">
        <x:v>$70.00</x:v>
      </x:c>
      <x:c r="W708" s="75"/>
      <x:c r="X708" s="75"/>
      <x:c r="Y708" s="75"/>
      <x:c r="Z708" s="75"/>
      <x:c r="AA708" s="75"/>
      <x:c r="AB708" s="75" t="str">
        <x:v>$53.99</x:v>
      </x:c>
      <x:c r="AC708" s="78"/>
      <x:c r="AD708" s="75"/>
      <x:c r="AE708" s="75"/>
      <x:c r="AF708" s="75"/>
      <x:c r="AG708" s="75" t="str">
        <x:v>$80.04</x:v>
      </x:c>
      <x:c r="AH708" s="122" t="n">
        <x:v>8</x:v>
      </x:c>
      <x:c r="AI708" s="123" t="str">
        <x:v>Canonical source for Pricing Summary!8</x:v>
      </x:c>
    </x:row>
    <x:row r="709">
      <x:c r="A709" s="119" t="str">
        <x:v>Pricing Summary</x:v>
      </x:c>
      <x:c r="B709" s="121" t="str">
        <x:v>Has User-Level Subscription?</x:v>
      </x:c>
      <x:c r="C709" s="75" t="str">
        <x:v>Yes</x:v>
      </x:c>
      <x:c r="D709" s="75"/>
      <x:c r="E709" s="75"/>
      <x:c r="F709" s="75"/>
      <x:c r="G709" s="75" t="str">
        <x:v>Planned</x:v>
      </x:c>
      <x:c r="H709" s="75" t="str">
        <x:v>Yes</x:v>
      </x:c>
      <x:c r="I709" s="75"/>
      <x:c r="J709" s="75"/>
      <x:c r="K709" s="75"/>
      <x:c r="L709" s="75" t="str">
        <x:v>No current user subscription</x:v>
      </x:c>
      <x:c r="M709" s="75"/>
      <x:c r="N709" s="75"/>
      <x:c r="O709" s="75"/>
      <x:c r="P709" s="75"/>
      <x:c r="Q709" s="75"/>
      <x:c r="R709" s="75"/>
      <x:c r="S709" s="75"/>
      <x:c r="T709" s="75"/>
      <x:c r="U709" s="75" t="str">
        <x:v>No</x:v>
      </x:c>
      <x:c r="V709" s="75" t="str">
        <x:v>Yes</x:v>
      </x:c>
      <x:c r="W709" s="75"/>
      <x:c r="X709" s="75"/>
      <x:c r="Y709" s="75" t="str">
        <x:v>Yes</x:v>
      </x:c>
      <x:c r="Z709" s="75"/>
      <x:c r="AA709" s="75"/>
      <x:c r="AB709" s="75"/>
      <x:c r="AC709" s="78" t="str">
        <x:v>Yes</x:v>
      </x:c>
      <x:c r="AD709" s="75"/>
      <x:c r="AE709" s="75"/>
      <x:c r="AF709" s="75"/>
      <x:c r="AG709" s="75"/>
      <x:c r="AH709" s="122" t="n">
        <x:v>9</x:v>
      </x:c>
      <x:c r="AI709" s="123" t="str">
        <x:v>Canonical source for Pricing Summary!9</x:v>
      </x:c>
    </x:row>
    <x:row r="710">
      <x:c r="A710" s="119" t="str">
        <x:v>Pricing Summary</x:v>
      </x:c>
      <x:c r="B710" s="121" t="str">
        <x:v>Has Community / Server Plan?</x:v>
      </x:c>
      <x:c r="C710" s="75" t="str">
        <x:v>Yes</x:v>
      </x:c>
      <x:c r="D710" s="75"/>
      <x:c r="E710" s="75"/>
      <x:c r="F710" s="75"/>
      <x:c r="G710" s="75"/>
      <x:c r="H710" s="75"/>
      <x:c r="I710" s="75" t="str">
        <x:v>Yes</x:v>
      </x:c>
      <x:c r="J710" s="75"/>
      <x:c r="K710" s="75"/>
      <x:c r="L710" s="75" t="str">
        <x:v>No current community/server subscription</x:v>
      </x:c>
      <x:c r="M710" s="75"/>
      <x:c r="N710" s="75"/>
      <x:c r="O710" s="75"/>
      <x:c r="P710" s="75"/>
      <x:c r="Q710" s="75"/>
      <x:c r="R710" s="75"/>
      <x:c r="S710" s="75"/>
      <x:c r="T710" s="75"/>
      <x:c r="U710" s="75" t="str">
        <x:v>No</x:v>
      </x:c>
      <x:c r="V710" s="75" t="str">
        <x:v>Yes</x:v>
      </x:c>
      <x:c r="W710" s="75"/>
      <x:c r="X710" s="75"/>
      <x:c r="Y710" s="75"/>
      <x:c r="Z710" s="75"/>
      <x:c r="AA710" s="75"/>
      <x:c r="AB710" s="75" t="str">
        <x:v>Yes</x:v>
      </x:c>
      <x:c r="AC710" s="78"/>
      <x:c r="AD710" s="75"/>
      <x:c r="AE710" s="75" t="str">
        <x:v>Yes</x:v>
      </x:c>
      <x:c r="AF710" s="75"/>
      <x:c r="AG710" s="75"/>
      <x:c r="AH710" s="122" t="n">
        <x:v>10</x:v>
      </x:c>
      <x:c r="AI710" s="123" t="str">
        <x:v>Canonical source for Pricing Summary!10</x:v>
      </x:c>
    </x:row>
    <x:row r="711">
      <x:c r="A711" s="119" t="str">
        <x:v>Pricing Summary</x:v>
      </x:c>
      <x:c r="B711" s="121" t="str">
        <x:v>Has Paid Self-Host License?</x:v>
      </x:c>
      <x:c r="C711" s="75" t="str">
        <x:v>No</x:v>
      </x:c>
      <x:c r="D711" s="75" t="str">
        <x:v>No</x:v>
      </x:c>
      <x:c r="E711" s="75" t="str">
        <x:v>No</x:v>
      </x:c>
      <x:c r="F711" s="75" t="str">
        <x:v>No</x:v>
      </x:c>
      <x:c r="G711" s="75" t="str">
        <x:v>No</x:v>
      </x:c>
      <x:c r="H711" s="75" t="str">
        <x:v>No</x:v>
      </x:c>
      <x:c r="I711" s="75" t="str">
        <x:v>Yes</x:v>
      </x:c>
      <x:c r="J711" s="75" t="str">
        <x:v>No</x:v>
      </x:c>
      <x:c r="K711" s="75" t="str">
        <x:v>No</x:v>
      </x:c>
      <x:c r="L711" s="75" t="str">
        <x:v>No — MIT self-hosting</x:v>
      </x:c>
      <x:c r="M711" s="75" t="str">
        <x:v>No</x:v>
      </x:c>
      <x:c r="N711" s="75" t="str">
        <x:v>No</x:v>
      </x:c>
      <x:c r="O711" s="75" t="str">
        <x:v>No</x:v>
      </x:c>
      <x:c r="P711" s="75" t="str">
        <x:v>No</x:v>
      </x:c>
      <x:c r="Q711" s="75" t="str">
        <x:v>No</x:v>
      </x:c>
      <x:c r="R711" s="75" t="str">
        <x:v>No</x:v>
      </x:c>
      <x:c r="S711" s="75" t="str">
        <x:v>No</x:v>
      </x:c>
      <x:c r="T711" s="75" t="str">
        <x:v>No</x:v>
      </x:c>
      <x:c r="U711" s="75" t="str">
        <x:v>No — AGPL-3.0</x:v>
      </x:c>
      <x:c r="V711" s="75" t="str">
        <x:v>No</x:v>
      </x:c>
      <x:c r="W711" s="75" t="str">
        <x:v>No</x:v>
      </x:c>
      <x:c r="X711" s="75" t="str">
        <x:v>No</x:v>
      </x:c>
      <x:c r="Y711" s="75" t="str">
        <x:v>No</x:v>
      </x:c>
      <x:c r="Z711" s="75" t="str">
        <x:v>No</x:v>
      </x:c>
      <x:c r="AA711" s="75" t="str">
        <x:v>No</x:v>
      </x:c>
      <x:c r="AB711" s="75" t="str">
        <x:v>Yes</x:v>
      </x:c>
      <x:c r="AC711" s="78" t="str">
        <x:v>No</x:v>
      </x:c>
      <x:c r="AD711" s="75" t="str">
        <x:v>No</x:v>
      </x:c>
      <x:c r="AE711" s="75" t="str">
        <x:v>No</x:v>
      </x:c>
      <x:c r="AF711" s="75" t="str">
        <x:v>No</x:v>
      </x:c>
      <x:c r="AG711" s="75" t="str">
        <x:v>Yes</x:v>
      </x:c>
      <x:c r="AH711" s="122" t="n">
        <x:v>11</x:v>
      </x:c>
      <x:c r="AI711" s="123" t="str">
        <x:v>Canonical source for Pricing Summary!11</x:v>
      </x:c>
    </x:row>
    <x:row r="712">
      <x:c r="A712" s="119" t="str">
        <x:v>Pricing Summary</x:v>
      </x:c>
      <x:c r="B712" s="121" t="str">
        <x:v>Has Enterprise / Custom Quote Tier?</x:v>
      </x:c>
      <x:c r="C712" s="75"/>
      <x:c r="D712" s="75"/>
      <x:c r="E712" s="75"/>
      <x:c r="F712" s="75"/>
      <x:c r="G712" s="75"/>
      <x:c r="H712" s="75"/>
      <x:c r="I712" s="75"/>
      <x:c r="J712" s="75"/>
      <x:c r="K712" s="75"/>
      <x:c r="L712" s="75" t="str">
        <x:v>No current enterprise/custom quote tier</x:v>
      </x:c>
      <x:c r="M712" s="75"/>
      <x:c r="N712" s="75"/>
      <x:c r="O712" s="75"/>
      <x:c r="P712" s="75" t="str">
        <x:v>Yes</x:v>
      </x:c>
      <x:c r="Q712" s="75"/>
      <x:c r="R712" s="75"/>
      <x:c r="S712" s="75"/>
      <x:c r="T712" s="75"/>
      <x:c r="U712" s="75" t="str">
        <x:v>No public tier claimed</x:v>
      </x:c>
      <x:c r="V712" s="75" t="str">
        <x:v>No</x:v>
      </x:c>
      <x:c r="W712" s="75" t="str">
        <x:v>Yes</x:v>
      </x:c>
      <x:c r="X712" s="75"/>
      <x:c r="Y712" s="75"/>
      <x:c r="Z712" s="75"/>
      <x:c r="AA712" s="75"/>
      <x:c r="AB712" s="75" t="str">
        <x:v>Yes</x:v>
      </x:c>
      <x:c r="AC712" s="78"/>
      <x:c r="AD712" s="75"/>
      <x:c r="AE712" s="75" t="str">
        <x:v>Yes</x:v>
      </x:c>
      <x:c r="AF712" s="75"/>
      <x:c r="AG712" s="75" t="str">
        <x:v>Yes</x:v>
      </x:c>
      <x:c r="AH712" s="122" t="n">
        <x:v>12</x:v>
      </x:c>
      <x:c r="AI712" s="123" t="str">
        <x:v>Canonical source for Pricing Summary!12</x:v>
      </x:c>
    </x:row>
    <x:row r="713">
      <x:c r="A713" s="119" t="str">
        <x:v>Pricing Summary</x:v>
      </x:c>
      <x:c r="B713" s="121" t="str">
        <x:v>Primary Billing Model</x:v>
      </x:c>
      <x:c r="C713" s="75" t="str">
        <x:v>Per user; Per boost</x:v>
      </x:c>
      <x:c r="D713" s="75"/>
      <x:c r="E713" s="75"/>
      <x:c r="F713" s="75"/>
      <x:c r="G713" s="75" t="str">
        <x:v>Subscription</x:v>
      </x:c>
      <x:c r="H713" s="75" t="str">
        <x:v>Per user</x:v>
      </x:c>
      <x:c r="I713" s="75" t="str">
        <x:v>Per server; Per self-hosted server</x:v>
      </x:c>
      <x:c r="J713" s="75"/>
      <x:c r="K713" s="75"/>
      <x:c r="L713" s="75" t="str">
        <x:v>Free / self-funded today; monetization TBD</x:v>
      </x:c>
      <x:c r="M713" s="75"/>
      <x:c r="N713" s="75"/>
      <x:c r="O713" s="75"/>
      <x:c r="P713" s="75" t="str">
        <x:v>Annual seat license; Add-on</x:v>
      </x:c>
      <x:c r="Q713" s="75"/>
      <x:c r="R713" s="75"/>
      <x:c r="S713" s="75"/>
      <x:c r="T713" s="75"/>
      <x:c r="U713" s="75" t="str">
        <x:v>Free hosted + optional donations</x:v>
      </x:c>
      <x:c r="V713" s="75" t="str">
        <x:v>Per user; Per community / Shard</x:v>
      </x:c>
      <x:c r="W713" s="75" t="str">
        <x:v>Organization / deployment</x:v>
      </x:c>
      <x:c r="X713" s="75"/>
      <x:c r="Y713" s="75" t="str">
        <x:v>Per user</x:v>
      </x:c>
      <x:c r="Z713" s="75"/>
      <x:c r="AA713" s="75"/>
      <x:c r="AB713" s="75" t="str">
        <x:v>Per hosted community; Per self-host license; Custom</x:v>
      </x:c>
      <x:c r="AC713" s="78" t="str">
        <x:v>Per supporter</x:v>
      </x:c>
      <x:c r="AD713" s="75"/>
      <x:c r="AE713" s="75" t="str">
        <x:v>Per lobby; Per community build</x:v>
      </x:c>
      <x:c r="AF713" s="75" t="str">
        <x:v>Per managed server</x:v>
      </x:c>
      <x:c r="AG713" s="75" t="str">
        <x:v>Per user; Per user; 10-user minimum; Per user; 25-user minimum; Custom</x:v>
      </x:c>
      <x:c r="AH713" s="122" t="n">
        <x:v>13</x:v>
      </x:c>
      <x:c r="AI713" s="123" t="str">
        <x:v>Canonical source for Pricing Summary!13</x:v>
      </x:c>
    </x:row>
    <x:row r="714">
      <x:c r="A714" s="119" t="str">
        <x:v>Pricing Summary</x:v>
      </x:c>
      <x:c r="B714" s="121" t="str">
        <x:v>Paid Option Names</x:v>
      </x:c>
      <x:c r="C714" s="75" t="str">
        <x:v>Nitro Basic; Nitro; Server Boost; Nitro Classic</x:v>
      </x:c>
      <x:c r="D714" s="75" t="str">
        <x:v>No public paid tier verified</x:v>
      </x:c>
      <x:c r="E714" s="75" t="str">
        <x:v>No public paid tier verified</x:v>
      </x:c>
      <x:c r="F714" s="75" t="str">
        <x:v>No public paid tier verified</x:v>
      </x:c>
      <x:c r="G714" s="75" t="str">
        <x:v>Surge; Flare; Prime</x:v>
      </x:c>
      <x:c r="H714" s="75" t="str">
        <x:v>Plutonium</x:v>
      </x:c>
      <x:c r="I714" s="75" t="str">
        <x:v>Silver; Gold; Diamond; Self-Hosted Server License</x:v>
      </x:c>
      <x:c r="J714" s="75" t="str">
        <x:v>No public paid tier verified</x:v>
      </x:c>
      <x:c r="K714" s="75" t="str">
        <x:v>No public paid tier verified</x:v>
      </x:c>
      <x:c r="L714" s="75" t="str">
        <x:v>None</x:v>
      </x:c>
      <x:c r="M714" s="75" t="str">
        <x:v>No public paid tier verified</x:v>
      </x:c>
      <x:c r="N714" s="75" t="str">
        <x:v>No public paid tier verified</x:v>
      </x:c>
      <x:c r="O714" s="75" t="str">
        <x:v>No public paid tier verified</x:v>
      </x:c>
      <x:c r="P714" s="75" t="str">
        <x:v>Professional; Enterprise; Enterprise Advanced; Premier Support</x:v>
      </x:c>
      <x:c r="Q714" s="75" t="str">
        <x:v>No public paid tier verified</x:v>
      </x:c>
      <x:c r="R714" s="75" t="str">
        <x:v>No public paid tier verified</x:v>
      </x:c>
      <x:c r="S714" s="75" t="str">
        <x:v>No public paid tier verified</x:v>
      </x:c>
      <x:c r="T714" s="75" t="str">
        <x:v>No public paid tier verified</x:v>
      </x:c>
      <x:c r="U714" s="75" t="str">
        <x:v>None — donations unlock nothing</x:v>
      </x:c>
      <x:c r="V714" s="75" t="str">
        <x:v>Rift+; Shard Ember; Shard Forge</x:v>
      </x:c>
      <x:c r="W714" s="75" t="str">
        <x:v>Commercial; Government; Defense</x:v>
      </x:c>
      <x:c r="X714" s="75" t="str">
        <x:v>No public paid tier verified</x:v>
      </x:c>
      <x:c r="Y714" s="75" t="str">
        <x:v>Sudo</x:v>
      </x:c>
      <x:c r="Z714" s="75" t="str">
        <x:v>No public paid tier verified</x:v>
      </x:c>
      <x:c r="AA714" s="75" t="str">
        <x:v>No public paid tier verified</x:v>
      </x:c>
      <x:c r="AB714" s="75" t="str">
        <x:v>Crew; Team; Faction; Gamer / Activation 64 slots; Gamer / Activation 128 slots; Gamer / Activation 256 slots; Gamer / Activation 512 slots; Gamer / Activation 1024 slots; Commercial License; TeamSpeak SDK License</x:v>
      </x:c>
      <x:c r="AC714" s="78" t="str">
        <x:v>Stargazer</x:v>
      </x:c>
      <x:c r="AD714" s="75" t="str">
        <x:v>No public paid tier verified</x:v>
      </x:c>
      <x:c r="AE714" s="75" t="str">
        <x:v>Run your own; Have it built — Crew; Have it built — League; Have it built — Network; Have it built — Larger</x:v>
      </x:c>
      <x:c r="AF714" s="75" t="str">
        <x:v>Yapper Hosting — 1 Year</x:v>
      </x:c>
      <x:c r="AG714" s="75" t="str">
        <x:v>Cloud Standard; Cloud Plus; Self-hosted Basic; Self-hosted Business; Self-hosted Enterprise</x:v>
      </x:c>
      <x:c r="AH714" s="122" t="n">
        <x:v>14</x:v>
      </x:c>
      <x:c r="AI714" s="123" t="str">
        <x:v>Canonical source for Pricing Summary!14</x:v>
      </x:c>
    </x:row>
    <x:row r="715">
      <x:c r="A715" s="119" t="str">
        <x:v>Pricing Summary</x:v>
      </x:c>
      <x:c r="B715" s="121" t="str">
        <x:v>Pricing Source / Notes</x:v>
      </x:c>
      <x:c r="C715" s="75" t="str">
        <x:v>https://support.discord.com/hc/en-us/articles/4407269525911-Localized-Pricing-on-Discord</x:v>
      </x:c>
      <x:c r="D715" s="75"/>
      <x:c r="E715" s="75"/>
      <x:c r="F715" s="75"/>
      <x:c r="G715" s="75" t="str">
        <x:v>https://fenrid.com/waitlist</x:v>
      </x:c>
      <x:c r="H715" s="75" t="str">
        <x:v>https://fluxer.app/plutonium</x:v>
      </x:c>
      <x:c r="I715" s="75" t="str">
        <x:v>https://gamevox.com/blog/gamevox-vs-discord/; https://gamevox.com/self-hosted/</x:v>
      </x:c>
      <x:c r="J715" s="75"/>
      <x:c r="K715" s="75"/>
      <x:c r="L715" s="75" t="str">
        <x:v>Self-host infrastructure is operator-controlled; official service uses OVH core, Backblaze storage and Hivelocity/other LiveKit regions per developer report</x:v>
      </x:c>
      <x:c r="M715" s="75"/>
      <x:c r="N715" s="75"/>
      <x:c r="O715" s="75"/>
      <x:c r="P715" s="75" t="str">
        <x:v>https://mattermost.com/pricing/; https://mattermost.com/support/</x:v>
      </x:c>
      <x:c r="Q715" s="75"/>
      <x:c r="R715" s="75"/>
      <x:c r="S715" s="75"/>
      <x:c r="T715" s="75"/>
      <x:c r="U715" s="75" t="str">
        <x:v>https://pqp.gg/apoie — donations unlock nothing; hosted service is free; not VC-backed</x:v>
      </x:c>
      <x:c r="V715" s="75" t="str">
        <x:v>https://therift.chat/de/plans/</x:v>
      </x:c>
      <x:c r="W715" s="75" t="str">
        <x:v>https://docs.rocket.chat/our-plans</x:v>
      </x:c>
      <x:c r="X715" s="75"/>
      <x:c r="Y715" s="75" t="str">
        <x:v>https://support.rootapp.com/docs/sudo/get-started/sudo-faqs/</x:v>
      </x:c>
      <x:c r="Z715" s="75"/>
      <x:c r="AA715" s="75"/>
      <x:c r="AB715" s="75" t="str">
        <x:v>https://support.teamspeak.com/hc/en-us/articles/26033099878045-Current-Community-Options; https://support.teamspeak.com/hc/en-us/articles/26033788383261-What-licenses-are-available</x:v>
      </x:c>
      <x:c r="AC715" s="78" t="str">
        <x:v>https://valour.gg/faq/</x:v>
      </x:c>
      <x:c r="AD715" s="75"/>
      <x:c r="AE715" s="75" t="str">
        <x:v>https://weered.ca/pricing</x:v>
      </x:c>
      <x:c r="AF715" s="75" t="str">
        <x:v>https://yapper.gg/pricing</x:v>
      </x:c>
      <x:c r="AG715" s="75" t="str">
        <x:v>https://zulip.com/plans/</x:v>
      </x:c>
      <x:c r="AH715" s="122" t="n">
        <x:v>15</x:v>
      </x:c>
      <x:c r="AI715" s="123" t="str">
        <x:v>Canonical source for Pricing Summary!15</x:v>
      </x:c>
    </x:row>
    <x:row r="716">
      <x:c r="A716" s="119" t="str">
        <x:v>Pricing Summary</x:v>
      </x:c>
      <x:c r="B716" s="121" t="str">
        <x:v>Advertising / Sponsored Content?</x:v>
      </x:c>
      <x:c r="C716" s="75" t="str">
        <x:v>Yes — sponsored Quests/formats</x:v>
      </x:c>
      <x:c r="D716" s="75"/>
      <x:c r="E716" s="75"/>
      <x:c r="F716" s="75"/>
      <x:c r="G716" s="75"/>
      <x:c r="H716" s="75"/>
      <x:c r="I716" s="75"/>
      <x:c r="J716" s="75"/>
      <x:c r="K716" s="75"/>
      <x:c r="L716" s="75" t="str">
        <x:v>No current advertising/sponsored revenue reported</x:v>
      </x:c>
      <x:c r="M716" s="75"/>
      <x:c r="N716" s="75"/>
      <x:c r="O716" s="75" t="str">
        <x:v>Protocol N/A / provider-dependent</x:v>
      </x:c>
      <x:c r="P716" s="75"/>
      <x:c r="Q716" s="75"/>
      <x:c r="R716" s="75"/>
      <x:c r="S716" s="75"/>
      <x:c r="T716" s="75"/>
      <x:c r="U716" s="75" t="str">
        <x:v>No advertising model claimed</x:v>
      </x:c>
      <x:c r="V716" s="75" t="str">
        <x:v>No ads</x:v>
      </x:c>
      <x:c r="W716" s="75"/>
      <x:c r="X716" s="75"/>
      <x:c r="Y716" s="75"/>
      <x:c r="Z716" s="75"/>
      <x:c r="AA716" s="75"/>
      <x:c r="AB716" s="75"/>
      <x:c r="AC716" s="78"/>
      <x:c r="AD716" s="75"/>
      <x:c r="AE716" s="75"/>
      <x:c r="AF716" s="75"/>
      <x:c r="AG716" s="75"/>
      <x:c r="AH716" s="122" t="n">
        <x:v>17</x:v>
      </x:c>
      <x:c r="AI716" s="123" t="str">
        <x:v>Canonical source for Pricing Summary!17</x:v>
      </x:c>
    </x:row>
    <x:row r="717">
      <x:c r="A717" s="119" t="str">
        <x:v>Pricing Summary</x:v>
      </x:c>
      <x:c r="B717" s="121" t="str">
        <x:v>Donation / Sponsorship Funding?</x:v>
      </x:c>
      <x:c r="C717" s="75"/>
      <x:c r="D717" s="75"/>
      <x:c r="E717" s="75" t="str">
        <x:v>Yes</x:v>
      </x:c>
      <x:c r="F717" s="75"/>
      <x:c r="G717" s="75"/>
      <x:c r="H717" s="75" t="str">
        <x:v>Yes</x:v>
      </x:c>
      <x:c r="I717" s="75"/>
      <x:c r="J717" s="75"/>
      <x:c r="K717" s="75"/>
      <x:c r="L717" s="75" t="str">
        <x:v>No donation model reported as primary funding</x:v>
      </x:c>
      <x:c r="M717" s="75" t="str">
        <x:v>Yes</x:v>
      </x:c>
      <x:c r="N717" s="75"/>
      <x:c r="O717" s="75" t="str">
        <x:v>Yes — foundation support</x:v>
      </x:c>
      <x:c r="P717" s="75"/>
      <x:c r="Q717" s="75"/>
      <x:c r="R717" s="75"/>
      <x:c r="S717" s="75" t="str">
        <x:v>Yes</x:v>
      </x:c>
      <x:c r="T717" s="75"/>
      <x:c r="U717" s="75" t="str">
        <x:v>Yes</x:v>
      </x:c>
      <x:c r="V717" s="75" t="str">
        <x:v>No</x:v>
      </x:c>
      <x:c r="W717" s="75"/>
      <x:c r="X717" s="75"/>
      <x:c r="Y717" s="75"/>
      <x:c r="Z717" s="75"/>
      <x:c r="AA717" s="75"/>
      <x:c r="AB717" s="75"/>
      <x:c r="AC717" s="78"/>
      <x:c r="AD717" s="75"/>
      <x:c r="AE717" s="75"/>
      <x:c r="AF717" s="75"/>
      <x:c r="AG717" s="75"/>
      <x:c r="AH717" s="122" t="n">
        <x:v>18</x:v>
      </x:c>
      <x:c r="AI717" s="123" t="str">
        <x:v>Canonical source for Pricing Summary!18</x:v>
      </x:c>
    </x:row>
    <x:row r="718">
      <x:c r="A718" s="119" t="str">
        <x:v>Pricing Summary</x:v>
      </x:c>
      <x:c r="B718" s="121" t="str">
        <x:v>Marketplace / App Revenue?</x:v>
      </x:c>
      <x:c r="C718" s="75" t="str">
        <x:v>Yes — Premium Apps / creator monetization</x:v>
      </x:c>
      <x:c r="D718" s="75"/>
      <x:c r="E718" s="75"/>
      <x:c r="F718" s="75"/>
      <x:c r="G718" s="75"/>
      <x:c r="H718" s="75"/>
      <x:c r="I718" s="75"/>
      <x:c r="J718" s="75"/>
      <x:c r="K718" s="75"/>
      <x:c r="L718" s="75" t="str">
        <x:v>No current marketplace revenue</x:v>
      </x:c>
      <x:c r="M718" s="75"/>
      <x:c r="N718" s="75"/>
      <x:c r="O718" s="75"/>
      <x:c r="P718" s="75"/>
      <x:c r="Q718" s="75"/>
      <x:c r="R718" s="75"/>
      <x:c r="S718" s="75"/>
      <x:c r="T718" s="75"/>
      <x:c r="U718" s="75" t="str">
        <x:v>No public marketplace/app revenue model</x:v>
      </x:c>
      <x:c r="V718" s="75" t="str">
        <x:v>No</x:v>
      </x:c>
      <x:c r="W718" s="75" t="str">
        <x:v>Paid marketplace apps</x:v>
      </x:c>
      <x:c r="X718" s="75"/>
      <x:c r="Y718" s="75"/>
      <x:c r="Z718" s="75"/>
      <x:c r="AA718" s="75"/>
      <x:c r="AB718" s="75"/>
      <x:c r="AC718" s="78"/>
      <x:c r="AD718" s="75"/>
      <x:c r="AE718" s="75"/>
      <x:c r="AF718" s="75"/>
      <x:c r="AG718" s="75"/>
      <x:c r="AH718" s="122" t="n">
        <x:v>19</x:v>
      </x:c>
      <x:c r="AI718" s="123" t="str">
        <x:v>Canonical source for Pricing Summary!19</x:v>
      </x:c>
    </x:row>
    <x:row r="719">
      <x:c r="A719" s="119" t="str">
        <x:v>Pricing Summary</x:v>
      </x:c>
      <x:c r="B719" s="121" t="str">
        <x:v>Free Self-Hosting Software?</x:v>
      </x:c>
      <x:c r="C719" s="75"/>
      <x:c r="D719" s="75"/>
      <x:c r="E719" s="75"/>
      <x:c r="F719" s="75"/>
      <x:c r="G719" s="75"/>
      <x:c r="H719" s="75"/>
      <x:c r="I719" s="75"/>
      <x:c r="J719" s="75"/>
      <x:c r="K719" s="75"/>
      <x:c r="L719" s="75" t="str">
        <x:v>Yes — MIT</x:v>
      </x:c>
      <x:c r="M719" s="75"/>
      <x:c r="N719" s="75"/>
      <x:c r="O719" s="75" t="str">
        <x:v>Yes</x:v>
      </x:c>
      <x:c r="P719" s="75" t="str">
        <x:v>Yes — community edition</x:v>
      </x:c>
      <x:c r="Q719" s="75"/>
      <x:c r="R719" s="75" t="str">
        <x:v>Yes</x:v>
      </x:c>
      <x:c r="S719" s="75"/>
      <x:c r="T719" s="75"/>
      <x:c r="U719" s="75" t="str">
        <x:v>Yes — AGPL-3.0</x:v>
      </x:c>
      <x:c r="V719" s="75" t="str">
        <x:v>No public self-hosting</x:v>
      </x:c>
      <x:c r="W719" s="75" t="str">
        <x:v>Community edition / current licensing conditions</x:v>
      </x:c>
      <x:c r="X719" s="75"/>
      <x:c r="Y719" s="75"/>
      <x:c r="Z719" s="75" t="str">
        <x:v>Yes</x:v>
      </x:c>
      <x:c r="AA719" s="75" t="str">
        <x:v>Yes</x:v>
      </x:c>
      <x:c r="AB719" s="75"/>
      <x:c r="AC719" s="78"/>
      <x:c r="AD719" s="75"/>
      <x:c r="AE719" s="75"/>
      <x:c r="AF719" s="75"/>
      <x:c r="AG719" s="75" t="str">
        <x:v>Yes</x:v>
      </x:c>
      <x:c r="AH719" s="122" t="n">
        <x:v>20</x:v>
      </x:c>
      <x:c r="AI719" s="123" t="str">
        <x:v>Canonical source for Pricing Summary!20</x:v>
      </x:c>
    </x:row>
    <x:row r="720">
      <x:c r="A720" s="119" t="str">
        <x:v>Feature Entitlements</x:v>
      </x:c>
      <x:c r="B720" s="121" t="str">
        <x:v>Animated Avatar Available?</x:v>
      </x:c>
      <x:c r="C720" s="75" t="str">
        <x:v>Yes</x:v>
      </x:c>
      <x:c r="D720" s="75"/>
      <x:c r="E720" s="75"/>
      <x:c r="F720" s="75"/>
      <x:c r="G720" s="75"/>
      <x:c r="H720" s="75" t="str">
        <x:v>Yes</x:v>
      </x:c>
      <x:c r="I720" s="75"/>
      <x:c r="J720" s="75"/>
      <x:c r="K720" s="75"/>
      <x:c r="L720" s="75" t="str">
        <x:v>Unknown/not separately documented</x:v>
      </x:c>
      <x:c r="M720" s="75"/>
      <x:c r="N720" s="75"/>
      <x:c r="O720" s="75" t="str">
        <x:v>Client/provider-dependent</x:v>
      </x:c>
      <x:c r="P720" s="75"/>
      <x:c r="Q720" s="75"/>
      <x:c r="R720" s="75"/>
      <x:c r="S720" s="75"/>
      <x:c r="T720" s="75"/>
      <x:c r="U720" s="75"/>
      <x:c r="V720" s="75" t="str">
        <x:v>Yes</x:v>
      </x:c>
      <x:c r="W720" s="75"/>
      <x:c r="X720" s="75"/>
      <x:c r="Y720" s="75"/>
      <x:c r="Z720" s="75"/>
      <x:c r="AA720" s="75"/>
      <x:c r="AB720" s="75"/>
      <x:c r="AC720" s="78"/>
      <x:c r="AD720" s="75"/>
      <x:c r="AE720" s="75"/>
      <x:c r="AF720" s="75"/>
      <x:c r="AG720" s="75"/>
      <x:c r="AH720" s="122" t="n">
        <x:v>4</x:v>
      </x:c>
      <x:c r="AI720" s="123" t="str">
        <x:v>Canonical source for Feature Entitlements!4</x:v>
      </x:c>
    </x:row>
    <x:row r="721">
      <x:c r="A721" s="119" t="str">
        <x:v>Feature Entitlements</x:v>
      </x:c>
      <x:c r="B721" s="121" t="str">
        <x:v>Animated Avatar Access</x:v>
      </x:c>
      <x:c r="C721" s="75" t="str">
        <x:v>Paid — Nitro</x:v>
      </x:c>
      <x:c r="D721" s="75"/>
      <x:c r="E721" s="75"/>
      <x:c r="F721" s="75"/>
      <x:c r="G721" s="75"/>
      <x:c r="H721" s="75" t="str">
        <x:v>Paid — Plutonium</x:v>
      </x:c>
      <x:c r="I721" s="75"/>
      <x:c r="J721" s="75"/>
      <x:c r="K721" s="75"/>
      <x:c r="L721" s="75" t="str">
        <x:v>Unknown/not separately documented</x:v>
      </x:c>
      <x:c r="M721" s="75"/>
      <x:c r="N721" s="75"/>
      <x:c r="O721" s="75" t="str">
        <x:v>Client/provider-dependent</x:v>
      </x:c>
      <x:c r="P721" s="75"/>
      <x:c r="Q721" s="75" t="str">
        <x:v>Free if supported</x:v>
      </x:c>
      <x:c r="R721" s="75"/>
      <x:c r="S721" s="75"/>
      <x:c r="T721" s="75"/>
      <x:c r="U721" s="75"/>
      <x:c r="V721" s="75" t="str">
        <x:v>Rift+ / entitlement details vary</x:v>
      </x:c>
      <x:c r="W721" s="75"/>
      <x:c r="X721" s="75"/>
      <x:c r="Y721" s="75"/>
      <x:c r="Z721" s="75"/>
      <x:c r="AA721" s="75"/>
      <x:c r="AB721" s="75"/>
      <x:c r="AC721" s="78"/>
      <x:c r="AD721" s="75"/>
      <x:c r="AE721" s="75"/>
      <x:c r="AF721" s="75"/>
      <x:c r="AG721" s="75"/>
      <x:c r="AH721" s="122" t="n">
        <x:v>5</x:v>
      </x:c>
      <x:c r="AI721" s="123" t="str">
        <x:v>Canonical source for Feature Entitlements!5</x:v>
      </x:c>
    </x:row>
    <x:row r="722">
      <x:c r="A722" s="119" t="str">
        <x:v>Feature Entitlements</x:v>
      </x:c>
      <x:c r="B722" s="121" t="str">
        <x:v>Profile Banner Available?</x:v>
      </x:c>
      <x:c r="C722" s="75" t="str">
        <x:v>Yes</x:v>
      </x:c>
      <x:c r="D722" s="75"/>
      <x:c r="E722" s="75"/>
      <x:c r="F722" s="75"/>
      <x:c r="G722" s="75"/>
      <x:c r="H722" s="75" t="str">
        <x:v>Yes</x:v>
      </x:c>
      <x:c r="I722" s="75"/>
      <x:c r="J722" s="75"/>
      <x:c r="K722" s="75"/>
      <x:c r="L722" s="75" t="str">
        <x:v>Unknown/not separately documented</x:v>
      </x:c>
      <x:c r="M722" s="75"/>
      <x:c r="N722" s="75"/>
      <x:c r="O722" s="75" t="str">
        <x:v>Client-dependent</x:v>
      </x:c>
      <x:c r="P722" s="75"/>
      <x:c r="Q722" s="75"/>
      <x:c r="R722" s="75"/>
      <x:c r="S722" s="75"/>
      <x:c r="T722" s="75"/>
      <x:c r="U722" s="75"/>
      <x:c r="V722" s="75" t="str">
        <x:v>Yes</x:v>
      </x:c>
      <x:c r="W722" s="75"/>
      <x:c r="X722" s="75"/>
      <x:c r="Y722" s="75"/>
      <x:c r="Z722" s="75"/>
      <x:c r="AA722" s="75"/>
      <x:c r="AB722" s="75"/>
      <x:c r="AC722" s="78"/>
      <x:c r="AD722" s="75"/>
      <x:c r="AE722" s="75"/>
      <x:c r="AF722" s="75"/>
      <x:c r="AG722" s="75"/>
      <x:c r="AH722" s="122" t="n">
        <x:v>6</x:v>
      </x:c>
      <x:c r="AI722" s="123" t="str">
        <x:v>Canonical source for Feature Entitlements!6</x:v>
      </x:c>
    </x:row>
    <x:row r="723">
      <x:c r="A723" s="119" t="str">
        <x:v>Feature Entitlements</x:v>
      </x:c>
      <x:c r="B723" s="121" t="str">
        <x:v>Profile Banner Access</x:v>
      </x:c>
      <x:c r="C723" s="75" t="str">
        <x:v>Paid — Nitro</x:v>
      </x:c>
      <x:c r="D723" s="75"/>
      <x:c r="E723" s="75"/>
      <x:c r="F723" s="75"/>
      <x:c r="G723" s="75"/>
      <x:c r="H723" s="75" t="str">
        <x:v>Paid — Plutonium</x:v>
      </x:c>
      <x:c r="I723" s="75"/>
      <x:c r="J723" s="75"/>
      <x:c r="K723" s="75"/>
      <x:c r="L723" s="75" t="str">
        <x:v>Unknown/not separately documented</x:v>
      </x:c>
      <x:c r="M723" s="75"/>
      <x:c r="N723" s="75"/>
      <x:c r="O723" s="75" t="str">
        <x:v>Client/provider-dependent</x:v>
      </x:c>
      <x:c r="P723" s="75"/>
      <x:c r="Q723" s="75" t="str">
        <x:v>Free if supported</x:v>
      </x:c>
      <x:c r="R723" s="75"/>
      <x:c r="S723" s="75"/>
      <x:c r="T723" s="75"/>
      <x:c r="U723" s="75"/>
      <x:c r="V723" s="75" t="str">
        <x:v>Rift+ adds animated/profile cosmetics</x:v>
      </x:c>
      <x:c r="W723" s="75"/>
      <x:c r="X723" s="75"/>
      <x:c r="Y723" s="75"/>
      <x:c r="Z723" s="75"/>
      <x:c r="AA723" s="75"/>
      <x:c r="AB723" s="75"/>
      <x:c r="AC723" s="78"/>
      <x:c r="AD723" s="75"/>
      <x:c r="AE723" s="75"/>
      <x:c r="AF723" s="75"/>
      <x:c r="AG723" s="75"/>
      <x:c r="AH723" s="122" t="n">
        <x:v>7</x:v>
      </x:c>
      <x:c r="AI723" s="123" t="str">
        <x:v>Canonical source for Feature Entitlements!7</x:v>
      </x:c>
    </x:row>
    <x:row r="724">
      <x:c r="A724" s="119" t="str">
        <x:v>Feature Entitlements</x:v>
      </x:c>
      <x:c r="B724" s="121" t="str">
        <x:v>Custom Themes Available?</x:v>
      </x:c>
      <x:c r="C724" s="75" t="str">
        <x:v>Yes</x:v>
      </x:c>
      <x:c r="D724" s="75"/>
      <x:c r="E724" s="75"/>
      <x:c r="F724" s="75"/>
      <x:c r="G724" s="75" t="str">
        <x:v>Planned / Yes</x:v>
      </x:c>
      <x:c r="H724" s="75" t="str">
        <x:v>Yes</x:v>
      </x:c>
      <x:c r="I724" s="75"/>
      <x:c r="J724" s="75" t="str">
        <x:v>Yes / client-controlled</x:v>
      </x:c>
      <x:c r="K724" s="75"/>
      <x:c r="L724" s="75" t="str">
        <x:v>Yes — developer reports custom CSS/theme support</x:v>
      </x:c>
      <x:c r="M724" s="75"/>
      <x:c r="N724" s="75"/>
      <x:c r="O724" s="75" t="str">
        <x:v>Client-dependent</x:v>
      </x:c>
      <x:c r="P724" s="75" t="str">
        <x:v>Yes</x:v>
      </x:c>
      <x:c r="Q724" s="75"/>
      <x:c r="R724" s="75"/>
      <x:c r="S724" s="75" t="str">
        <x:v>Yes / community themes</x:v>
      </x:c>
      <x:c r="T724" s="75"/>
      <x:c r="U724" s="75" t="str">
        <x:v>Built-in light/dark/system themes, accents and high-contrast mode; arbitrary custom-theme framework not claimed</x:v>
      </x:c>
      <x:c r="V724" s="75" t="str">
        <x:v>Yes</x:v>
      </x:c>
      <x:c r="W724" s="75" t="str">
        <x:v>Yes</x:v>
      </x:c>
      <x:c r="X724" s="75"/>
      <x:c r="Y724" s="75"/>
      <x:c r="Z724" s="75" t="str">
        <x:v>Client-dependent</x:v>
      </x:c>
      <x:c r="AA724" s="75"/>
      <x:c r="AB724" s="75" t="str">
        <x:v>Yes / add-on ecosystem</x:v>
      </x:c>
      <x:c r="AC724" s="78" t="str">
        <x:v>Yes</x:v>
      </x:c>
      <x:c r="AD724" s="75"/>
      <x:c r="AE724" s="75"/>
      <x:c r="AF724" s="75"/>
      <x:c r="AG724" s="75" t="str">
        <x:v>Yes</x:v>
      </x:c>
      <x:c r="AH724" s="122" t="n">
        <x:v>8</x:v>
      </x:c>
      <x:c r="AI724" s="123" t="str">
        <x:v>Canonical source for Feature Entitlements!8</x:v>
      </x:c>
    </x:row>
    <x:row r="725">
      <x:c r="A725" s="119" t="str">
        <x:v>Feature Entitlements</x:v>
      </x:c>
      <x:c r="B725" s="121" t="str">
        <x:v>Custom Themes Access</x:v>
      </x:c>
      <x:c r="C725" s="75" t="str">
        <x:v>Paid — Nitro</x:v>
      </x:c>
      <x:c r="D725" s="75"/>
      <x:c r="E725" s="75"/>
      <x:c r="F725" s="75"/>
      <x:c r="G725" s="75" t="str">
        <x:v>Paid tiers planned to expand themes</x:v>
      </x:c>
      <x:c r="H725" s="75" t="str">
        <x:v>Free / open-source theming; Plutonium includes additional cosmetics</x:v>
      </x:c>
      <x:c r="I725" s="75"/>
      <x:c r="J725" s="75" t="str">
        <x:v>Open-source client</x:v>
      </x:c>
      <x:c r="K725" s="75"/>
      <x:c r="L725" s="75" t="str">
        <x:v>Free/current; no paid tier</x:v>
      </x:c>
      <x:c r="M725" s="75"/>
      <x:c r="N725" s="75"/>
      <x:c r="O725" s="75" t="str">
        <x:v>Client-dependent</x:v>
      </x:c>
      <x:c r="P725" s="75" t="str">
        <x:v>Core/client capability</x:v>
      </x:c>
      <x:c r="Q725" s="75" t="str">
        <x:v>Free if supported</x:v>
      </x:c>
      <x:c r="R725" s="75"/>
      <x:c r="S725" s="75" t="str">
        <x:v>Free/open-source/community</x:v>
      </x:c>
      <x:c r="T725" s="75"/>
      <x:c r="U725" s="75" t="str">
        <x:v>Free</x:v>
      </x:c>
      <x:c r="V725" s="75" t="str">
        <x:v>Rift+ adds animated themes/accents</x:v>
      </x:c>
      <x:c r="W725" s="75" t="str">
        <x:v>Deployment/admin capability</x:v>
      </x:c>
      <x:c r="X725" s="75"/>
      <x:c r="Y725" s="75"/>
      <x:c r="Z725" s="75" t="str">
        <x:v>Self-host/client controlled</x:v>
      </x:c>
      <x:c r="AA725" s="75"/>
      <x:c r="AB725" s="75" t="str">
        <x:v>Client/add-on ecosystem</x:v>
      </x:c>
      <x:c r="AC725" s="78" t="str">
        <x:v>Themes marketplace/core</x:v>
      </x:c>
      <x:c r="AD725" s="75"/>
      <x:c r="AE725" s="75"/>
      <x:c r="AF725" s="75"/>
      <x:c r="AG725" s="75" t="str">
        <x:v>Core app themes; not a cosmetic subscription model</x:v>
      </x:c>
      <x:c r="AH725" s="122" t="n">
        <x:v>9</x:v>
      </x:c>
      <x:c r="AI725" s="123" t="str">
        <x:v>Canonical source for Feature Entitlements!9</x:v>
      </x:c>
    </x:row>
    <x:row r="726">
      <x:c r="A726" s="119" t="str">
        <x:v>Feature Entitlements</x:v>
      </x:c>
      <x:c r="B726" s="121" t="str">
        <x:v>Per-Community Profile Available?</x:v>
      </x:c>
      <x:c r="C726" s="75" t="str">
        <x:v>Yes</x:v>
      </x:c>
      <x:c r="D726" s="75"/>
      <x:c r="E726" s="75"/>
      <x:c r="F726" s="75"/>
      <x:c r="G726" s="75"/>
      <x:c r="H726" s="75" t="str">
        <x:v>Yes</x:v>
      </x:c>
      <x:c r="I726" s="75"/>
      <x:c r="J726" s="75"/>
      <x:c r="K726" s="75"/>
      <x:c r="L726" s="75" t="str">
        <x:v>Unknown/not separately documented</x:v>
      </x:c>
      <x:c r="M726" s="75"/>
      <x:c r="N726" s="75"/>
      <x:c r="O726" s="75" t="str">
        <x:v>Client/protocol-extension dependent</x:v>
      </x:c>
      <x:c r="P726" s="75"/>
      <x:c r="Q726" s="75"/>
      <x:c r="R726" s="75"/>
      <x:c r="S726" s="75"/>
      <x:c r="T726" s="75"/>
      <x:c r="U726" s="75"/>
      <x:c r="V726" s="75" t="str">
        <x:v>Yes</x:v>
      </x:c>
      <x:c r="W726" s="75"/>
      <x:c r="X726" s="75"/>
      <x:c r="Y726" s="75"/>
      <x:c r="Z726" s="75"/>
      <x:c r="AA726" s="75"/>
      <x:c r="AB726" s="75"/>
      <x:c r="AC726" s="78"/>
      <x:c r="AD726" s="75"/>
      <x:c r="AE726" s="75"/>
      <x:c r="AF726" s="75"/>
      <x:c r="AG726" s="75"/>
      <x:c r="AH726" s="122" t="n">
        <x:v>10</x:v>
      </x:c>
      <x:c r="AI726" s="123" t="str">
        <x:v>Canonical source for Feature Entitlements!10</x:v>
      </x:c>
    </x:row>
    <x:row r="727">
      <x:c r="A727" s="119" t="str">
        <x:v>Feature Entitlements</x:v>
      </x:c>
      <x:c r="B727" s="121" t="str">
        <x:v>Per-Community Profile Access</x:v>
      </x:c>
      <x:c r="C727" s="75" t="str">
        <x:v>Paid — Nitro for expanded customization</x:v>
      </x:c>
      <x:c r="D727" s="75"/>
      <x:c r="E727" s="75"/>
      <x:c r="F727" s="75"/>
      <x:c r="G727" s="75"/>
      <x:c r="H727" s="75" t="str">
        <x:v>Paid — Plutonium</x:v>
      </x:c>
      <x:c r="I727" s="75"/>
      <x:c r="J727" s="75"/>
      <x:c r="K727" s="75"/>
      <x:c r="L727" s="75" t="str">
        <x:v>Unknown/not separately documented</x:v>
      </x:c>
      <x:c r="M727" s="75"/>
      <x:c r="N727" s="75"/>
      <x:c r="O727" s="75" t="str">
        <x:v>Client/provider-dependent</x:v>
      </x:c>
      <x:c r="P727" s="75"/>
      <x:c r="Q727" s="75"/>
      <x:c r="R727" s="75"/>
      <x:c r="S727" s="75"/>
      <x:c r="T727" s="75"/>
      <x:c r="U727" s="75"/>
      <x:c r="V727" s="75" t="str">
        <x:v>Yes</x:v>
      </x:c>
      <x:c r="W727" s="75"/>
      <x:c r="X727" s="75"/>
      <x:c r="Y727" s="75"/>
      <x:c r="Z727" s="75"/>
      <x:c r="AA727" s="75"/>
      <x:c r="AB727" s="75"/>
      <x:c r="AC727" s="78"/>
      <x:c r="AD727" s="75"/>
      <x:c r="AE727" s="75"/>
      <x:c r="AF727" s="75"/>
      <x:c r="AG727" s="75"/>
      <x:c r="AH727" s="122" t="n">
        <x:v>11</x:v>
      </x:c>
      <x:c r="AI727" s="123" t="str">
        <x:v>Canonical source for Feature Entitlements!11</x:v>
      </x:c>
    </x:row>
    <x:row r="728">
      <x:c r="A728" s="119" t="str">
        <x:v>Feature Entitlements</x:v>
      </x:c>
      <x:c r="B728" s="121" t="str">
        <x:v>Custom Emoji Available?</x:v>
      </x:c>
      <x:c r="C728" s="75" t="str">
        <x:v>Yes</x:v>
      </x:c>
      <x:c r="D728" s="75"/>
      <x:c r="E728" s="75"/>
      <x:c r="F728" s="75"/>
      <x:c r="G728" s="75" t="str">
        <x:v>Yes</x:v>
      </x:c>
      <x:c r="H728" s="75" t="str">
        <x:v>Yes</x:v>
      </x:c>
      <x:c r="I728" s="75" t="str">
        <x:v>Yes</x:v>
      </x:c>
      <x:c r="J728" s="75"/>
      <x:c r="K728" s="75"/>
      <x:c r="L728" s="75" t="str">
        <x:v>Yes</x:v>
      </x:c>
      <x:c r="M728" s="75"/>
      <x:c r="N728" s="75" t="str">
        <x:v>Yes</x:v>
      </x:c>
      <x:c r="O728" s="75" t="str">
        <x:v>Client/room-state dependent</x:v>
      </x:c>
      <x:c r="P728" s="75"/>
      <x:c r="Q728" s="75" t="str">
        <x:v>Yes</x:v>
      </x:c>
      <x:c r="R728" s="75"/>
      <x:c r="S728" s="75" t="str">
        <x:v>Yes</x:v>
      </x:c>
      <x:c r="T728" s="75"/>
      <x:c r="U728" s="75"/>
      <x:c r="V728" s="75" t="str">
        <x:v>Yes</x:v>
      </x:c>
      <x:c r="W728" s="75"/>
      <x:c r="X728" s="75"/>
      <x:c r="Y728" s="75" t="str">
        <x:v>Yes</x:v>
      </x:c>
      <x:c r="Z728" s="75" t="str">
        <x:v>Yes / Discord-compatible target</x:v>
      </x:c>
      <x:c r="AA728" s="75"/>
      <x:c r="AB728" s="75"/>
      <x:c r="AC728" s="78"/>
      <x:c r="AD728" s="75"/>
      <x:c r="AE728" s="75"/>
      <x:c r="AF728" s="75"/>
      <x:c r="AG728" s="75"/>
      <x:c r="AH728" s="122" t="n">
        <x:v>13</x:v>
      </x:c>
      <x:c r="AI728" s="123" t="str">
        <x:v>Canonical source for Feature Entitlements!13</x:v>
      </x:c>
    </x:row>
    <x:row r="729">
      <x:c r="A729" s="119" t="str">
        <x:v>Feature Entitlements</x:v>
      </x:c>
      <x:c r="B729" s="121" t="str">
        <x:v>Custom Emoji Access</x:v>
      </x:c>
      <x:c r="C729" s="75" t="str">
        <x:v>Free within owning server; cross-server use is a Nitro perk</x:v>
      </x:c>
      <x:c r="D729" s="75"/>
      <x:c r="E729" s="75"/>
      <x:c r="F729" s="75"/>
      <x:c r="G729" s="75" t="str">
        <x:v>Free base; higher limits planned on paid tiers</x:v>
      </x:c>
      <x:c r="H729" s="75" t="str">
        <x:v>Free in own community; Plutonium expands global use/limits</x:v>
      </x:c>
      <x:c r="I729" s="75" t="str">
        <x:v>0 free → up to 500 Diamond</x:v>
      </x:c>
      <x:c r="J729" s="75"/>
      <x:c r="K729" s="75"/>
      <x:c r="L729" s="75" t="str">
        <x:v>Free/current; no paid tier</x:v>
      </x:c>
      <x:c r="M729" s="75"/>
      <x:c r="N729" s="75" t="str">
        <x:v>Open-beta/core</x:v>
      </x:c>
      <x:c r="O729" s="75" t="str">
        <x:v>Client/provider-dependent</x:v>
      </x:c>
      <x:c r="P729" s="75"/>
      <x:c r="Q729" s="75" t="str">
        <x:v>Free</x:v>
      </x:c>
      <x:c r="R729" s="75"/>
      <x:c r="S729" s="75" t="str">
        <x:v>Free</x:v>
      </x:c>
      <x:c r="T729" s="75"/>
      <x:c r="U729" s="75"/>
      <x:c r="V729" s="75" t="str">
        <x:v>10 free Shard → 30 Ember → 100 Forge; personal 10 free → 30 Rift+</x:v>
      </x:c>
      <x:c r="W729" s="75"/>
      <x:c r="X729" s="75"/>
      <x:c r="Y729" s="75"/>
      <x:c r="Z729" s="75" t="str">
        <x:v>Operator-configurable</x:v>
      </x:c>
      <x:c r="AA729" s="75"/>
      <x:c r="AB729" s="75"/>
      <x:c r="AC729" s="78"/>
      <x:c r="AD729" s="75"/>
      <x:c r="AE729" s="75"/>
      <x:c r="AF729" s="75"/>
      <x:c r="AG729" s="75"/>
      <x:c r="AH729" s="122" t="n">
        <x:v>14</x:v>
      </x:c>
      <x:c r="AI729" s="123" t="str">
        <x:v>Canonical source for Feature Entitlements!14</x:v>
      </x:c>
    </x:row>
    <x:row r="730">
      <x:c r="A730" s="119" t="str">
        <x:v>Feature Entitlements</x:v>
      </x:c>
      <x:c r="B730" s="121" t="str">
        <x:v>Animated Emoji Available?</x:v>
      </x:c>
      <x:c r="C730" s="75" t="str">
        <x:v>Yes</x:v>
      </x:c>
      <x:c r="D730" s="75"/>
      <x:c r="E730" s="75"/>
      <x:c r="F730" s="75"/>
      <x:c r="G730" s="75"/>
      <x:c r="H730" s="75" t="str">
        <x:v>Yes</x:v>
      </x:c>
      <x:c r="I730" s="75"/>
      <x:c r="J730" s="75"/>
      <x:c r="K730" s="75"/>
      <x:c r="L730" s="75" t="str">
        <x:v>Not separately documented</x:v>
      </x:c>
      <x:c r="M730" s="75"/>
      <x:c r="N730" s="75"/>
      <x:c r="O730" s="75"/>
      <x:c r="P730" s="75"/>
      <x:c r="Q730" s="75"/>
      <x:c r="R730" s="75"/>
      <x:c r="S730" s="75"/>
      <x:c r="T730" s="75"/>
      <x:c r="U730" s="75"/>
      <x:c r="V730" s="75" t="str">
        <x:v>Yes</x:v>
      </x:c>
      <x:c r="W730" s="75"/>
      <x:c r="X730" s="75"/>
      <x:c r="Y730" s="75"/>
      <x:c r="Z730" s="75"/>
      <x:c r="AA730" s="75"/>
      <x:c r="AB730" s="75"/>
      <x:c r="AC730" s="78"/>
      <x:c r="AD730" s="75"/>
      <x:c r="AE730" s="75"/>
      <x:c r="AF730" s="75"/>
      <x:c r="AG730" s="75"/>
      <x:c r="AH730" s="122" t="n">
        <x:v>15</x:v>
      </x:c>
      <x:c r="AI730" s="123" t="str">
        <x:v>Canonical source for Feature Entitlements!15</x:v>
      </x:c>
    </x:row>
    <x:row r="731">
      <x:c r="A731" s="119" t="str">
        <x:v>Feature Entitlements</x:v>
      </x:c>
      <x:c r="B731" s="121" t="str">
        <x:v>Animated Emoji Access</x:v>
      </x:c>
      <x:c r="C731" s="75" t="str">
        <x:v>Server-dependent creation; Nitro expands use</x:v>
      </x:c>
      <x:c r="D731" s="75"/>
      <x:c r="E731" s="75"/>
      <x:c r="F731" s="75"/>
      <x:c r="G731" s="75"/>
      <x:c r="H731" s="75" t="str">
        <x:v>Plutonium expands use</x:v>
      </x:c>
      <x:c r="I731" s="75"/>
      <x:c r="J731" s="75"/>
      <x:c r="K731" s="75"/>
      <x:c r="L731" s="75" t="str">
        <x:v>Not separately documented</x:v>
      </x:c>
      <x:c r="M731" s="75"/>
      <x:c r="N731" s="75"/>
      <x:c r="O731" s="75"/>
      <x:c r="P731" s="75"/>
      <x:c r="Q731" s="75"/>
      <x:c r="R731" s="75"/>
      <x:c r="S731" s="75"/>
      <x:c r="T731" s="75"/>
      <x:c r="U731" s="75"/>
      <x:c r="V731" s="75"/>
      <x:c r="W731" s="75"/>
      <x:c r="X731" s="75"/>
      <x:c r="Y731" s="75"/>
      <x:c r="Z731" s="75"/>
      <x:c r="AA731" s="75"/>
      <x:c r="AB731" s="75"/>
      <x:c r="AC731" s="78"/>
      <x:c r="AD731" s="75"/>
      <x:c r="AE731" s="75"/>
      <x:c r="AF731" s="75"/>
      <x:c r="AG731" s="75"/>
      <x:c r="AH731" s="122" t="n">
        <x:v>16</x:v>
      </x:c>
      <x:c r="AI731" s="123" t="str">
        <x:v>Canonical source for Feature Entitlements!16</x:v>
      </x:c>
    </x:row>
    <x:row r="732">
      <x:c r="A732" s="119" t="str">
        <x:v>Feature Entitlements</x:v>
      </x:c>
      <x:c r="B732" s="121" t="str">
        <x:v>Custom Stickers Available?</x:v>
      </x:c>
      <x:c r="C732" s="75" t="str">
        <x:v>Yes</x:v>
      </x:c>
      <x:c r="D732" s="75"/>
      <x:c r="E732" s="75"/>
      <x:c r="F732" s="75"/>
      <x:c r="G732" s="75"/>
      <x:c r="H732" s="75" t="str">
        <x:v>Yes</x:v>
      </x:c>
      <x:c r="I732" s="75"/>
      <x:c r="J732" s="75"/>
      <x:c r="K732" s="75"/>
      <x:c r="L732" s="75" t="str">
        <x:v>Yes</x:v>
      </x:c>
      <x:c r="M732" s="75"/>
      <x:c r="N732" s="75"/>
      <x:c r="O732" s="75"/>
      <x:c r="P732" s="75"/>
      <x:c r="Q732" s="75"/>
      <x:c r="R732" s="75"/>
      <x:c r="S732" s="75"/>
      <x:c r="T732" s="75"/>
      <x:c r="U732" s="75"/>
      <x:c r="V732" s="75" t="str">
        <x:v>Yes</x:v>
      </x:c>
      <x:c r="W732" s="75"/>
      <x:c r="X732" s="75"/>
      <x:c r="Y732" s="75"/>
      <x:c r="Z732" s="75"/>
      <x:c r="AA732" s="75"/>
      <x:c r="AB732" s="75"/>
      <x:c r="AC732" s="78"/>
      <x:c r="AD732" s="75"/>
      <x:c r="AE732" s="75"/>
      <x:c r="AF732" s="75"/>
      <x:c r="AG732" s="75"/>
      <x:c r="AH732" s="122" t="n">
        <x:v>17</x:v>
      </x:c>
      <x:c r="AI732" s="123" t="str">
        <x:v>Canonical source for Feature Entitlements!17</x:v>
      </x:c>
    </x:row>
    <x:row r="733">
      <x:c r="A733" s="119" t="str">
        <x:v>Feature Entitlements</x:v>
      </x:c>
      <x:c r="B733" s="121" t="str">
        <x:v>Custom Stickers Access</x:v>
      </x:c>
      <x:c r="C733" s="75" t="str">
        <x:v>Server-dependent; Nitro expands cross-server use</x:v>
      </x:c>
      <x:c r="D733" s="75"/>
      <x:c r="E733" s="75"/>
      <x:c r="F733" s="75"/>
      <x:c r="G733" s="75"/>
      <x:c r="H733" s="75" t="str">
        <x:v>Plutonium expands use</x:v>
      </x:c>
      <x:c r="I733" s="75"/>
      <x:c r="J733" s="75"/>
      <x:c r="K733" s="75"/>
      <x:c r="L733" s="75" t="str">
        <x:v>Free/current; no paid tier</x:v>
      </x:c>
      <x:c r="M733" s="75"/>
      <x:c r="N733" s="75"/>
      <x:c r="O733" s="75"/>
      <x:c r="P733" s="75"/>
      <x:c r="Q733" s="75"/>
      <x:c r="R733" s="75"/>
      <x:c r="S733" s="75"/>
      <x:c r="T733" s="75"/>
      <x:c r="U733" s="75"/>
      <x:c r="V733" s="75"/>
      <x:c r="W733" s="75"/>
      <x:c r="X733" s="75"/>
      <x:c r="Y733" s="75"/>
      <x:c r="Z733" s="75"/>
      <x:c r="AA733" s="75"/>
      <x:c r="AB733" s="75"/>
      <x:c r="AC733" s="78"/>
      <x:c r="AD733" s="75"/>
      <x:c r="AE733" s="75"/>
      <x:c r="AF733" s="75"/>
      <x:c r="AG733" s="75"/>
      <x:c r="AH733" s="122" t="n">
        <x:v>18</x:v>
      </x:c>
      <x:c r="AI733" s="123" t="str">
        <x:v>Canonical source for Feature Entitlements!18</x:v>
      </x:c>
    </x:row>
    <x:row r="734">
      <x:c r="A734" s="119" t="str">
        <x:v>Feature Entitlements</x:v>
      </x:c>
      <x:c r="B734" s="121" t="str">
        <x:v>Personal Soundboard Available?</x:v>
      </x:c>
      <x:c r="C734" s="75" t="str">
        <x:v>Partial</x:v>
      </x:c>
      <x:c r="D734" s="75"/>
      <x:c r="E734" s="75"/>
      <x:c r="F734" s="75"/>
      <x:c r="G734" s="75"/>
      <x:c r="H734" s="75"/>
      <x:c r="I734" s="75"/>
      <x:c r="J734" s="75"/>
      <x:c r="K734" s="75"/>
      <x:c r="L734" s="75" t="str">
        <x:v>Not separately documented</x:v>
      </x:c>
      <x:c r="M734" s="75"/>
      <x:c r="N734" s="75"/>
      <x:c r="O734" s="75"/>
      <x:c r="P734" s="75"/>
      <x:c r="Q734" s="75"/>
      <x:c r="R734" s="75"/>
      <x:c r="S734" s="75"/>
      <x:c r="T734" s="75"/>
      <x:c r="U734" s="75"/>
      <x:c r="V734" s="75" t="str">
        <x:v>Yes</x:v>
      </x:c>
      <x:c r="W734" s="75"/>
      <x:c r="X734" s="75"/>
      <x:c r="Y734" s="75"/>
      <x:c r="Z734" s="75"/>
      <x:c r="AA734" s="75"/>
      <x:c r="AB734" s="75"/>
      <x:c r="AC734" s="78"/>
      <x:c r="AD734" s="75"/>
      <x:c r="AE734" s="75"/>
      <x:c r="AF734" s="75"/>
      <x:c r="AG734" s="75"/>
      <x:c r="AH734" s="122" t="n">
        <x:v>19</x:v>
      </x:c>
      <x:c r="AI734" s="123" t="str">
        <x:v>Canonical source for Feature Entitlements!19</x:v>
      </x:c>
    </x:row>
    <x:row r="735">
      <x:c r="A735" s="119" t="str">
        <x:v>Feature Entitlements</x:v>
      </x:c>
      <x:c r="B735" s="121" t="str">
        <x:v>Personal Soundboard Access</x:v>
      </x:c>
      <x:c r="C735" s="75"/>
      <x:c r="D735" s="75"/>
      <x:c r="E735" s="75"/>
      <x:c r="F735" s="75"/>
      <x:c r="G735" s="75"/>
      <x:c r="H735" s="75"/>
      <x:c r="I735" s="75"/>
      <x:c r="J735" s="75"/>
      <x:c r="K735" s="75"/>
      <x:c r="L735" s="75" t="str">
        <x:v>Not separately documented</x:v>
      </x:c>
      <x:c r="M735" s="75"/>
      <x:c r="N735" s="75"/>
      <x:c r="O735" s="75"/>
      <x:c r="P735" s="75"/>
      <x:c r="Q735" s="75"/>
      <x:c r="R735" s="75"/>
      <x:c r="S735" s="75"/>
      <x:c r="T735" s="75"/>
      <x:c r="U735" s="75"/>
      <x:c r="V735" s="75"/>
      <x:c r="W735" s="75"/>
      <x:c r="X735" s="75"/>
      <x:c r="Y735" s="75"/>
      <x:c r="Z735" s="75"/>
      <x:c r="AA735" s="75"/>
      <x:c r="AB735" s="75"/>
      <x:c r="AC735" s="78"/>
      <x:c r="AD735" s="75"/>
      <x:c r="AE735" s="75"/>
      <x:c r="AF735" s="75"/>
      <x:c r="AG735" s="75"/>
      <x:c r="AH735" s="122" t="n">
        <x:v>20</x:v>
      </x:c>
      <x:c r="AI735" s="123" t="str">
        <x:v>Canonical source for Feature Entitlements!20</x:v>
      </x:c>
    </x:row>
    <x:row r="736">
      <x:c r="A736" s="119" t="str">
        <x:v>Feature Entitlements</x:v>
      </x:c>
      <x:c r="B736" s="121" t="str">
        <x:v>Server Soundboard Available?</x:v>
      </x:c>
      <x:c r="C736" s="75" t="str">
        <x:v>Yes</x:v>
      </x:c>
      <x:c r="D736" s="75"/>
      <x:c r="E736" s="75"/>
      <x:c r="F736" s="75"/>
      <x:c r="G736" s="75"/>
      <x:c r="H736" s="75"/>
      <x:c r="I736" s="75" t="str">
        <x:v>Yes</x:v>
      </x:c>
      <x:c r="J736" s="75"/>
      <x:c r="K736" s="75"/>
      <x:c r="L736" s="75" t="str">
        <x:v>Yes</x:v>
      </x:c>
      <x:c r="M736" s="75"/>
      <x:c r="N736" s="75"/>
      <x:c r="O736" s="75"/>
      <x:c r="P736" s="75"/>
      <x:c r="Q736" s="75"/>
      <x:c r="R736" s="75"/>
      <x:c r="S736" s="75"/>
      <x:c r="T736" s="75"/>
      <x:c r="U736" s="75"/>
      <x:c r="V736" s="75" t="str">
        <x:v>Yes</x:v>
      </x:c>
      <x:c r="W736" s="75"/>
      <x:c r="X736" s="75"/>
      <x:c r="Y736" s="75"/>
      <x:c r="Z736" s="75"/>
      <x:c r="AA736" s="75"/>
      <x:c r="AB736" s="75"/>
      <x:c r="AC736" s="78"/>
      <x:c r="AD736" s="75"/>
      <x:c r="AE736" s="75"/>
      <x:c r="AF736" s="75"/>
      <x:c r="AG736" s="75"/>
      <x:c r="AH736" s="122" t="n">
        <x:v>21</x:v>
      </x:c>
      <x:c r="AI736" s="123" t="str">
        <x:v>Canonical source for Feature Entitlements!21</x:v>
      </x:c>
    </x:row>
    <x:row r="737">
      <x:c r="A737" s="119" t="str">
        <x:v>Feature Entitlements</x:v>
      </x:c>
      <x:c r="B737" s="121" t="str">
        <x:v>Server Soundboard Access</x:v>
      </x:c>
      <x:c r="C737" s="75" t="str">
        <x:v>Free base slots; more slots with Server Boost level</x:v>
      </x:c>
      <x:c r="D737" s="75"/>
      <x:c r="E737" s="75"/>
      <x:c r="F737" s="75"/>
      <x:c r="G737" s="75"/>
      <x:c r="H737" s="75"/>
      <x:c r="I737" s="75" t="str">
        <x:v>8 free → 48 Diamond</x:v>
      </x:c>
      <x:c r="J737" s="75"/>
      <x:c r="K737" s="75"/>
      <x:c r="L737" s="75" t="str">
        <x:v>Free/current; no paid tier</x:v>
      </x:c>
      <x:c r="M737" s="75"/>
      <x:c r="N737" s="75"/>
      <x:c r="O737" s="75"/>
      <x:c r="P737" s="75"/>
      <x:c r="Q737" s="75"/>
      <x:c r="R737" s="75"/>
      <x:c r="S737" s="75"/>
      <x:c r="T737" s="75"/>
      <x:c r="U737" s="75"/>
      <x:c r="V737" s="75" t="str">
        <x:v>10 free Shard → 25 Ember → 75 Forge; personal 5 free → 25 Rift+</x:v>
      </x:c>
      <x:c r="W737" s="75"/>
      <x:c r="X737" s="75"/>
      <x:c r="Y737" s="75"/>
      <x:c r="Z737" s="75"/>
      <x:c r="AA737" s="75"/>
      <x:c r="AB737" s="75"/>
      <x:c r="AC737" s="78"/>
      <x:c r="AD737" s="75"/>
      <x:c r="AE737" s="75"/>
      <x:c r="AF737" s="75"/>
      <x:c r="AG737" s="75"/>
      <x:c r="AH737" s="122" t="n">
        <x:v>22</x:v>
      </x:c>
      <x:c r="AI737" s="123" t="str">
        <x:v>Canonical source for Feature Entitlements!22</x:v>
      </x:c>
    </x:row>
    <x:row r="738">
      <x:c r="A738" s="119" t="str">
        <x:v>Feature Entitlements</x:v>
      </x:c>
      <x:c r="B738" s="121" t="str">
        <x:v>Vanity Invite Available?</x:v>
      </x:c>
      <x:c r="C738" s="75" t="str">
        <x:v>Yes</x:v>
      </x:c>
      <x:c r="D738" s="75"/>
      <x:c r="E738" s="75"/>
      <x:c r="F738" s="75"/>
      <x:c r="G738" s="75"/>
      <x:c r="H738" s="75"/>
      <x:c r="I738" s="75"/>
      <x:c r="J738" s="75"/>
      <x:c r="K738" s="75"/>
      <x:c r="L738" s="75" t="str">
        <x:v>Not separately documented</x:v>
      </x:c>
      <x:c r="M738" s="75"/>
      <x:c r="N738" s="75"/>
      <x:c r="O738" s="75"/>
      <x:c r="P738" s="75"/>
      <x:c r="Q738" s="75"/>
      <x:c r="R738" s="75"/>
      <x:c r="S738" s="75"/>
      <x:c r="T738" s="75"/>
      <x:c r="U738" s="75"/>
      <x:c r="V738" s="75" t="str">
        <x:v>Yes</x:v>
      </x:c>
      <x:c r="W738" s="75"/>
      <x:c r="X738" s="75"/>
      <x:c r="Y738" s="75"/>
      <x:c r="Z738" s="75"/>
      <x:c r="AA738" s="75"/>
      <x:c r="AB738" s="75"/>
      <x:c r="AC738" s="78"/>
      <x:c r="AD738" s="75"/>
      <x:c r="AE738" s="75"/>
      <x:c r="AF738" s="75"/>
      <x:c r="AG738" s="75"/>
      <x:c r="AH738" s="122" t="n">
        <x:v>24</x:v>
      </x:c>
      <x:c r="AI738" s="123" t="str">
        <x:v>Canonical source for Feature Entitlements!24</x:v>
      </x:c>
    </x:row>
    <x:row r="739">
      <x:c r="A739" s="119" t="str">
        <x:v>Feature Entitlements</x:v>
      </x:c>
      <x:c r="B739" s="121" t="str">
        <x:v>Vanity Invite Access</x:v>
      </x:c>
      <x:c r="C739" s="75" t="str">
        <x:v>Server Boost Level 3 / eligible communities</x:v>
      </x:c>
      <x:c r="D739" s="75"/>
      <x:c r="E739" s="75"/>
      <x:c r="F739" s="75"/>
      <x:c r="G739" s="75"/>
      <x:c r="H739" s="75"/>
      <x:c r="I739" s="75"/>
      <x:c r="J739" s="75"/>
      <x:c r="K739" s="75"/>
      <x:c r="L739" s="75" t="str">
        <x:v>Not separately documented</x:v>
      </x:c>
      <x:c r="M739" s="75"/>
      <x:c r="N739" s="75"/>
      <x:c r="O739" s="75"/>
      <x:c r="P739" s="75"/>
      <x:c r="Q739" s="75"/>
      <x:c r="R739" s="75"/>
      <x:c r="S739" s="75"/>
      <x:c r="T739" s="75"/>
      <x:c r="U739" s="75"/>
      <x:c r="V739" s="75" t="str">
        <x:v>Shard Forge</x:v>
      </x:c>
      <x:c r="W739" s="75"/>
      <x:c r="X739" s="75"/>
      <x:c r="Y739" s="75"/>
      <x:c r="Z739" s="75"/>
      <x:c r="AA739" s="75"/>
      <x:c r="AB739" s="75"/>
      <x:c r="AC739" s="78"/>
      <x:c r="AD739" s="75"/>
      <x:c r="AE739" s="75"/>
      <x:c r="AF739" s="75"/>
      <x:c r="AG739" s="75"/>
      <x:c r="AH739" s="122" t="n">
        <x:v>25</x:v>
      </x:c>
      <x:c r="AI739" s="123" t="str">
        <x:v>Canonical source for Feature Entitlements!25</x:v>
      </x:c>
    </x:row>
    <x:row r="740">
      <x:c r="A740" s="119" t="str">
        <x:v>Feature Entitlements</x:v>
      </x:c>
      <x:c r="B740" s="121" t="str">
        <x:v>Higher Voice Bitrate Paid?</x:v>
      </x:c>
      <x:c r="C740" s="75" t="str">
        <x:v>Yes — Server Boost levels</x:v>
      </x:c>
      <x:c r="D740" s="75"/>
      <x:c r="E740" s="75" t="str">
        <x:v>No central premium tier; operator-configurable</x:v>
      </x:c>
      <x:c r="F740" s="75"/>
      <x:c r="G740" s="75"/>
      <x:c r="H740" s="75"/>
      <x:c r="I740" s="75" t="str">
        <x:v>Yes — higher tiers</x:v>
      </x:c>
      <x:c r="J740" s="75" t="str">
        <x:v>No central premium tier</x:v>
      </x:c>
      <x:c r="K740" s="75"/>
      <x:c r="L740" s="75" t="str">
        <x:v>No — channel/user-selectable voice quality exists without a paid tier</x:v>
      </x:c>
      <x:c r="M740" s="75"/>
      <x:c r="N740" s="75"/>
      <x:c r="O740" s="75" t="str">
        <x:v>Provider/client-dependent</x:v>
      </x:c>
      <x:c r="P740" s="75"/>
      <x:c r="Q740" s="75" t="str">
        <x:v>No — no premium plan</x:v>
      </x:c>
      <x:c r="R740" s="75" t="str">
        <x:v>No platform tier; server-configurable</x:v>
      </x:c>
      <x:c r="S740" s="75"/>
      <x:c r="T740" s="75"/>
      <x:c r="U740" s="75"/>
      <x:c r="V740" s="75" t="str">
        <x:v>Yes — 96 free → 128 Rift+/Ember → 192 Forge</x:v>
      </x:c>
      <x:c r="W740" s="75"/>
      <x:c r="X740" s="75"/>
      <x:c r="Y740" s="75"/>
      <x:c r="Z740" s="75" t="str">
        <x:v>No platform subscription; operator-configurable</x:v>
      </x:c>
      <x:c r="AA740" s="75"/>
      <x:c r="AB740" s="75" t="str">
        <x:v>Server/license/provider-dependent</x:v>
      </x:c>
      <x:c r="AC740" s="78"/>
      <x:c r="AD740" s="75"/>
      <x:c r="AE740" s="75" t="str">
        <x:v>No — core media available to users</x:v>
      </x:c>
      <x:c r="AF740" s="75" t="str">
        <x:v>License/server resources rather than per-user premium</x:v>
      </x:c>
      <x:c r="AG740" s="75"/>
      <x:c r="AH740" s="122" t="n">
        <x:v>26</x:v>
      </x:c>
      <x:c r="AI740" s="123" t="str">
        <x:v>Canonical source for Feature Entitlements!26</x:v>
      </x:c>
    </x:row>
    <x:row r="741">
      <x:c r="A741" s="119" t="str">
        <x:v>Feature Entitlements</x:v>
      </x:c>
      <x:c r="B741" s="121" t="str">
        <x:v>Higher Screen Share Quality Paid?</x:v>
      </x:c>
      <x:c r="C741" s="75" t="str">
        <x:v>Yes — Nitro</x:v>
      </x:c>
      <x:c r="D741" s="75"/>
      <x:c r="E741" s="75" t="str">
        <x:v>No central premium tier; operator-configurable</x:v>
      </x:c>
      <x:c r="F741" s="75"/>
      <x:c r="G741" s="75" t="str">
        <x:v>Planned paid differentiation</x:v>
      </x:c>
      <x:c r="H741" s="75" t="str">
        <x:v>Yes — Plutonium</x:v>
      </x:c>
      <x:c r="I741" s="75" t="str">
        <x:v>Yes — Gold/Diamond</x:v>
      </x:c>
      <x:c r="J741" s="75" t="str">
        <x:v>No central premium tier</x:v>
      </x:c>
      <x:c r="K741" s="75"/>
      <x:c r="L741" s="75" t="str">
        <x:v>No — documented screen-share quality presets are not paywalled</x:v>
      </x:c>
      <x:c r="M741" s="75"/>
      <x:c r="N741" s="75" t="str">
        <x:v>No paid tier verified</x:v>
      </x:c>
      <x:c r="O741" s="75" t="str">
        <x:v>Provider/client-dependent</x:v>
      </x:c>
      <x:c r="P741" s="75"/>
      <x:c r="Q741" s="75" t="str">
        <x:v>No — no premium plan</x:v>
      </x:c>
      <x:c r="R741" s="75" t="str">
        <x:v>N/A</x:v>
      </x:c>
      <x:c r="S741" s="75" t="str">
        <x:v>No paid tier verified</x:v>
      </x:c>
      <x:c r="T741" s="75"/>
      <x:c r="U741" s="75" t="str">
        <x:v>No — 1080p is free</x:v>
      </x:c>
      <x:c r="V741" s="75" t="str">
        <x:v>No paid tier - 1080p Free</x:v>
      </x:c>
      <x:c r="W741" s="75"/>
      <x:c r="X741" s="75"/>
      <x:c r="Y741" s="75" t="str">
        <x:v>Yes — Sudo</x:v>
      </x:c>
      <x:c r="Z741" s="75" t="str">
        <x:v>No platform subscription; operator-configurable</x:v>
      </x:c>
      <x:c r="AA741" s="75"/>
      <x:c r="AB741" s="75"/>
      <x:c r="AC741" s="78"/>
      <x:c r="AD741" s="75"/>
      <x:c r="AE741" s="75" t="str">
        <x:v>No core quality paywall verified</x:v>
      </x:c>
      <x:c r="AF741" s="75"/>
      <x:c r="AG741" s="75"/>
      <x:c r="AH741" s="122" t="n">
        <x:v>27</x:v>
      </x:c>
      <x:c r="AI741" s="123" t="str">
        <x:v>Canonical source for Feature Entitlements!27</x:v>
      </x:c>
    </x:row>
    <x:row r="742">
      <x:c r="A742" s="119" t="str">
        <x:v>Feature Entitlements</x:v>
      </x:c>
      <x:c r="B742" s="121" t="str">
        <x:v>Larger File Uploads Paid?</x:v>
      </x:c>
      <x:c r="C742" s="75" t="str">
        <x:v>Yes — Nitro Basic / Nitro</x:v>
      </x:c>
      <x:c r="D742" s="75"/>
      <x:c r="E742" s="75" t="str">
        <x:v>No central premium tier; operator-configurable</x:v>
      </x:c>
      <x:c r="F742" s="75"/>
      <x:c r="G742" s="75" t="str">
        <x:v>Planned paid higher limits</x:v>
      </x:c>
      <x:c r="H742" s="75" t="str">
        <x:v>Yes — 25 MB free → 500 MB Plutonium</x:v>
      </x:c>
      <x:c r="I742" s="75" t="str">
        <x:v>Yes — 500 MB free → 10 GB Diamond</x:v>
      </x:c>
      <x:c r="J742" s="75" t="str">
        <x:v>Self-host/operator controlled</x:v>
      </x:c>
      <x:c r="K742" s="75"/>
      <x:c r="L742" s="75" t="str">
        <x:v>No paid tier; official 15 MB limit is developer-reported and self-host quotas are configurable</x:v>
      </x:c>
      <x:c r="M742" s="75"/>
      <x:c r="N742" s="75"/>
      <x:c r="O742" s="75" t="str">
        <x:v>Homeserver/provider-dependent</x:v>
      </x:c>
      <x:c r="P742" s="75"/>
      <x:c r="Q742" s="75" t="str">
        <x:v>No — no premium plan</x:v>
      </x:c>
      <x:c r="R742" s="75" t="str">
        <x:v>N/A</x:v>
      </x:c>
      <x:c r="S742" s="75" t="str">
        <x:v>No paid tier verified</x:v>
      </x:c>
      <x:c r="T742" s="75"/>
      <x:c r="U742" s="75" t="str">
        <x:v>No paid tier; hard upload limit not publicly claimed</x:v>
      </x:c>
      <x:c r="V742" s="75" t="str">
        <x:v>Yes — 50 MB free → 300 MB Rift+ / 75–100 MB per member Shard tiers</x:v>
      </x:c>
      <x:c r="W742" s="75" t="str">
        <x:v>Deployment/admin configurable</x:v>
      </x:c>
      <x:c r="X742" s="75"/>
      <x:c r="Y742" s="75" t="str">
        <x:v>No higher paid file cap verified</x:v>
      </x:c>
      <x:c r="Z742" s="75" t="str">
        <x:v>No platform subscription; operator-configurable</x:v>
      </x:c>
      <x:c r="AA742" s="75"/>
      <x:c r="AB742" s="75"/>
      <x:c r="AC742" s="78"/>
      <x:c r="AD742" s="75"/>
      <x:c r="AE742" s="75"/>
      <x:c r="AF742" s="75"/>
      <x:c r="AG742" s="75" t="str">
        <x:v>Storage/history increase with paid cloud plans</x:v>
      </x:c>
      <x:c r="AH742" s="122" t="n">
        <x:v>28</x:v>
      </x:c>
      <x:c r="AI742" s="123" t="str">
        <x:v>Canonical source for Feature Entitlements!28</x:v>
      </x:c>
    </x:row>
    <x:row r="743">
      <x:c r="A743" s="119" t="str">
        <x:v>Feature Entitlements</x:v>
      </x:c>
      <x:c r="B743" s="121" t="str">
        <x:v>Extra App / Bot Capacity Paid?</x:v>
      </x:c>
      <x:c r="C743" s="75" t="str">
        <x:v>No general Nitro requirement</x:v>
      </x:c>
      <x:c r="D743" s="75"/>
      <x:c r="E743" s="75"/>
      <x:c r="F743" s="75"/>
      <x:c r="G743" s="75"/>
      <x:c r="H743" s="75"/>
      <x:c r="I743" s="75"/>
      <x:c r="J743" s="75"/>
      <x:c r="K743" s="75"/>
      <x:c r="L743" s="75" t="str">
        <x:v>No paid app/bot capacity tier documented</x:v>
      </x:c>
      <x:c r="M743" s="75"/>
      <x:c r="N743" s="75"/>
      <x:c r="O743" s="75" t="str">
        <x:v>Provider-dependent</x:v>
      </x:c>
      <x:c r="P743" s="75" t="str">
        <x:v>Enterprise/deployment-dependent</x:v>
      </x:c>
      <x:c r="Q743" s="75" t="str">
        <x:v>No subscription paywall verified</x:v>
      </x:c>
      <x:c r="R743" s="75"/>
      <x:c r="S743" s="75"/>
      <x:c r="T743" s="75"/>
      <x:c r="U743" s="75" t="str">
        <x:v>No public bot API or paid app-capacity tier</x:v>
      </x:c>
      <x:c r="V743" s="75" t="str">
        <x:v>Webhook/community capacity increases by Shard tier</x:v>
      </x:c>
      <x:c r="W743" s="75" t="str">
        <x:v>Plan/deployment-dependent</x:v>
      </x:c>
      <x:c r="X743" s="75"/>
      <x:c r="Y743" s="75" t="str">
        <x:v>Yes / community Core model can affect hosted app capacity</x:v>
      </x:c>
      <x:c r="Z743" s="75"/>
      <x:c r="AA743" s="75"/>
      <x:c r="AB743" s="75"/>
      <x:c r="AC743" s="78"/>
      <x:c r="AD743" s="75"/>
      <x:c r="AE743" s="75" t="str">
        <x:v>Owning/customizing a lobby is paid</x:v>
      </x:c>
      <x:c r="AF743" s="75"/>
      <x:c r="AG743" s="75"/>
      <x:c r="AH743" s="122" t="n">
        <x:v>29</x:v>
      </x:c>
      <x:c r="AI743" s="123" t="str">
        <x:v>Canonical source for Feature Entitlements!29</x:v>
      </x:c>
    </x:row>
    <x:row r="744">
      <x:c r="A744" s="119" t="str">
        <x:v>Feature Entitlements</x:v>
      </x:c>
      <x:c r="B744" s="121" t="str">
        <x:v>Analytics Paid?</x:v>
      </x:c>
      <x:c r="C744" s="75" t="str">
        <x:v>No general Nitro requirement / community tools</x:v>
      </x:c>
      <x:c r="D744" s="75"/>
      <x:c r="E744" s="75"/>
      <x:c r="F744" s="75"/>
      <x:c r="G744" s="75"/>
      <x:c r="H744" s="75"/>
      <x:c r="I744" s="75"/>
      <x:c r="J744" s="75"/>
      <x:c r="K744" s="75"/>
      <x:c r="L744" s="75" t="str">
        <x:v>No paid analytics tier documented</x:v>
      </x:c>
      <x:c r="M744" s="75"/>
      <x:c r="N744" s="75"/>
      <x:c r="O744" s="75" t="str">
        <x:v>Provider-dependent</x:v>
      </x:c>
      <x:c r="P744" s="75" t="str">
        <x:v>Yes — advanced enterprise analytics/admin features</x:v>
      </x:c>
      <x:c r="Q744" s="75" t="str">
        <x:v>No premium communication tier</x:v>
      </x:c>
      <x:c r="R744" s="75"/>
      <x:c r="S744" s="75"/>
      <x:c r="T744" s="75"/>
      <x:c r="U744" s="75" t="str">
        <x:v>No paid tier</x:v>
      </x:c>
      <x:c r="V744" s="75" t="str">
        <x:v>Yes — Shard tiers add analytics</x:v>
      </x:c>
      <x:c r="W744" s="75" t="str">
        <x:v>Enterprise/admin features vary by plan</x:v>
      </x:c>
      <x:c r="X744" s="75"/>
      <x:c r="Y744" s="75"/>
      <x:c r="Z744" s="75"/>
      <x:c r="AA744" s="75"/>
      <x:c r="AB744" s="75"/>
      <x:c r="AC744" s="78"/>
      <x:c r="AD744" s="75"/>
      <x:c r="AE744" s="75"/>
      <x:c r="AF744" s="75"/>
      <x:c r="AG744" s="75" t="str">
        <x:v>Advanced organization/admin capabilities vary by plan</x:v>
      </x:c>
      <x:c r="AH744" s="122" t="n">
        <x:v>30</x:v>
      </x:c>
      <x:c r="AI744" s="123" t="str">
        <x:v>Canonical source for Feature Entitlements!30</x:v>
      </x:c>
    </x:row>
    <x:row r="745">
      <x:c r="A745" s="119" t="str">
        <x:v>Feature Entitlements</x:v>
      </x:c>
      <x:c r="B745" s="121" t="str">
        <x:v>Advanced Moderation Paid?</x:v>
      </x:c>
      <x:c r="C745" s="75" t="str">
        <x:v>No — core moderation/AutoMod is not a Nitro entitlement</x:v>
      </x:c>
      <x:c r="D745" s="75"/>
      <x:c r="E745" s="75"/>
      <x:c r="F745" s="75"/>
      <x:c r="G745" s="75"/>
      <x:c r="H745" s="75"/>
      <x:c r="I745" s="75"/>
      <x:c r="J745" s="75"/>
      <x:c r="K745" s="75"/>
      <x:c r="L745" s="75" t="str">
        <x:v>No paid advanced-moderation tier documented</x:v>
      </x:c>
      <x:c r="M745" s="75"/>
      <x:c r="N745" s="75"/>
      <x:c r="O745" s="75" t="str">
        <x:v>Provider-dependent</x:v>
      </x:c>
      <x:c r="P745" s="75" t="str">
        <x:v>Enterprise governance/compliance features paid</x:v>
      </x:c>
      <x:c r="Q745" s="75" t="str">
        <x:v>No premium communication tier</x:v>
      </x:c>
      <x:c r="R745" s="75" t="str">
        <x:v>No — ACLs are core</x:v>
      </x:c>
      <x:c r="S745" s="75"/>
      <x:c r="T745" s="75"/>
      <x:c r="U745" s="75" t="str">
        <x:v>No paid tier</x:v>
      </x:c>
      <x:c r="V745" s="75" t="str">
        <x:v>No — safety/moderation remains free</x:v>
      </x:c>
      <x:c r="W745" s="75" t="str">
        <x:v>Enterprise governance features vary by plan</x:v>
      </x:c>
      <x:c r="X745" s="75"/>
      <x:c r="Y745" s="75" t="str">
        <x:v>No evidence core moderation is Sudo-gated</x:v>
      </x:c>
      <x:c r="Z745" s="75"/>
      <x:c r="AA745" s="75"/>
      <x:c r="AB745" s="75" t="str">
        <x:v>Core permissions available; enterprise options separate</x:v>
      </x:c>
      <x:c r="AC745" s="78"/>
      <x:c r="AD745" s="75"/>
      <x:c r="AE745" s="75"/>
      <x:c r="AF745" s="75"/>
      <x:c r="AG745" s="75" t="str">
        <x:v>Some enterprise/admin functionality is plan-dependent</x:v>
      </x:c>
      <x:c r="AH745" s="122" t="n">
        <x:v>31</x:v>
      </x:c>
      <x:c r="AI745" s="123" t="str">
        <x:v>Canonical source for Feature Entitlements!31</x:v>
      </x:c>
    </x:row>
    <x:row r="746">
      <x:c r="A746" s="119" t="str">
        <x:v>Feature Entitlements</x:v>
      </x:c>
      <x:c r="B746" s="121" t="str">
        <x:v>Entitlement Notes</x:v>
      </x:c>
      <x:c r="C746" s="75" t="str">
        <x:v>Discord splits personal Nitro entitlements from server-wide Boost entitlements.</x:v>
      </x:c>
      <x:c r="D746" s="75" t="str">
        <x:v>No central paid entitlement system; relay/provider costs are separate.</x:v>
      </x:c>
      <x:c r="E746" s="75" t="str">
        <x:v>AGPL/self-host model; limits are operator/configuration concerns.</x:v>
      </x:c>
      <x:c r="F746" s="75" t="str">
        <x:v>No public premium entitlement schedule verified.</x:v>
      </x:c>
      <x:c r="G746" s="75" t="str">
        <x:v>Fenrid is alpha; tier benefits are planned and may change before stable release.</x:v>
      </x:c>
      <x:c r="H746" s="75" t="str">
        <x:v>Plutonium is primarily a personal premium tier; self-hosting remains free/open source.</x:v>
      </x:c>
      <x:c r="I746" s="75" t="str">
        <x:v>Premium tiers are server-wide; all members benefit from the selected server tier.</x:v>
      </x:c>
      <x:c r="J746" s="75" t="str">
        <x:v>Open-source/self-host model; no central premium entitlement system.</x:v>
      </x:c>
      <x:c r="K746" s="75" t="str">
        <x:v>No central paid entitlement system; open-source/local-first.</x:v>
      </x:c>
      <x:c r="L746" s="75" t="str">
        <x:v>Core/self-host features are not split into paid tiers today</x:v>
      </x:c>
      <x:c r="M746" s="75" t="str">
        <x:v>No public premium entitlement schedule verified.</x:v>
      </x:c>
      <x:c r="N746" s="75" t="str">
        <x:v>Open beta; fixed premium entitlements not verified.</x:v>
      </x:c>
      <x:c r="O746" s="75" t="str">
        <x:v>Matrix has no universal paid tier. Entitlements belong to a homeserver provider or client vendor, not the protocol.</x:v>
      </x:c>
      <x:c r="P746" s="75" t="str">
        <x:v>Paid differentiation is enterprise governance/workflow/support, not gaming cosmetics.</x:v>
      </x:c>
      <x:c r="Q746" s="75" t="str">
        <x:v>Official FAQ says communication features are free with no premium plan/paywall.</x:v>
      </x:c>
      <x:c r="R746" s="75" t="str">
        <x:v>No Nitro-style entitlement system.</x:v>
      </x:c>
      <x:c r="S746" s="75" t="str">
        <x:v>Donation-funded; no premium entitlement tier verified.</x:v>
      </x:c>
      <x:c r="T746" s="75" t="str">
        <x:v>Public monetization/entitlement schedule is not sufficiently documented.</x:v>
      </x:c>
      <x:c r="U746" s="75" t="str">
        <x:v>Hosted service is free; donations unlock nothing. Built-in themes/accessibility settings are free; 1080p screen share is free.</x:v>
      </x:c>
      <x:c r="V746" s="75" t="str">
        <x:v>Rift separates personal Rift+ entitlements from community-wide Shard Ember/Forge entitlements.</x:v>
      </x:c>
      <x:c r="W746" s="75" t="str">
        <x:v>Paid differentiation is commercial deployment/support/security rather than Nitro-style cosmetics.</x:v>
      </x:c>
      <x:c r="X746" s="75" t="str">
        <x:v>No Roomy-specific paid entitlement system verified.</x:v>
      </x:c>
      <x:c r="Y746" s="75" t="str">
        <x:v>Sudo is user-level; Cores are community resources. They should not be conflated.</x:v>
      </x:c>
      <x:c r="Z746" s="75" t="str">
        <x:v>Self-host operator sets limits; no central premium tier.</x:v>
      </x:c>
      <x:c r="AA746" s="75"/>
      <x:c r="AB746" s="75" t="str">
        <x:v>Paid model centers on server slots/licensing rather than per-user cosmetic entitlements.</x:v>
      </x:c>
      <x:c r="AC746" s="78" t="str">
        <x:v>Stargazer supporter subscription exists; current public price/caps were not verified.</x:v>
      </x:c>
      <x:c r="AD746" s="75" t="str">
        <x:v>Early project; premium feature gating not publicly defined.</x:v>
      </x:c>
      <x:c r="AE746" s="75" t="str">
        <x:v>Using existing lobbies is free; operating your own lobby is the paid distinction.</x:v>
      </x:c>
      <x:c r="AF746" s="75" t="str">
        <x:v>Monetization is licensing/managed hosting, not Nitro-style cosmetics.</x:v>
      </x:c>
      <x:c r="AG746" s="75" t="str">
        <x:v>Paid tiers focus on history, storage, support, compliance and admin features rather than cosmetics.</x:v>
      </x:c>
      <x:c r="AH746" s="122" t="n">
        <x:v>33</x:v>
      </x:c>
      <x:c r="AI746" s="123" t="str">
        <x:v>Canonical source for Feature Entitlements!33</x:v>
      </x:c>
    </x:row>
    <x:row r="747">
      <x:c r="A747" s="119" t="str">
        <x:v>Feature Entitlements</x:v>
      </x:c>
      <x:c r="B747" s="121" t="str">
        <x:v>Saved Layouts / Workspaces Available?</x:v>
      </x:c>
      <x:c r="C747" s="75" t="str">
        <x:v>No general feature</x:v>
      </x:c>
      <x:c r="D747" s="75"/>
      <x:c r="E747" s="75"/>
      <x:c r="F747" s="75"/>
      <x:c r="G747" s="75"/>
      <x:c r="H747" s="75"/>
      <x:c r="I747" s="75"/>
      <x:c r="J747" s="75"/>
      <x:c r="K747" s="75"/>
      <x:c r="L747" s="75" t="str">
        <x:v>No saved multi-panel workspace/layout system documented</x:v>
      </x:c>
      <x:c r="M747" s="75"/>
      <x:c r="N747" s="75"/>
      <x:c r="O747" s="75"/>
      <x:c r="P747" s="75"/>
      <x:c r="Q747" s="75"/>
      <x:c r="R747" s="75"/>
      <x:c r="S747" s="75"/>
      <x:c r="T747" s="75"/>
      <x:c r="U747" s="75"/>
      <x:c r="V747" s="75" t="str">
        <x:v>Yes</x:v>
      </x:c>
      <x:c r="W747" s="75"/>
      <x:c r="X747" s="75"/>
      <x:c r="Y747" s="75"/>
      <x:c r="Z747" s="75"/>
      <x:c r="AA747" s="75"/>
      <x:c r="AB747" s="75"/>
      <x:c r="AC747" s="78"/>
      <x:c r="AD747" s="75"/>
      <x:c r="AE747" s="75"/>
      <x:c r="AF747" s="75"/>
      <x:c r="AG747" s="75"/>
      <x:c r="AH747" s="122" t="n">
        <x:v>35</x:v>
      </x:c>
      <x:c r="AI747" s="123" t="str">
        <x:v>Canonical source for Feature Entitlements!35</x:v>
      </x:c>
    </x:row>
    <x:row r="748">
      <x:c r="A748" s="119" t="str">
        <x:v>Feature Entitlements</x:v>
      </x:c>
      <x:c r="B748" s="121" t="str">
        <x:v>Saved Layouts / Workspaces Access</x:v>
      </x:c>
      <x:c r="C748" s="75" t="str">
        <x:v>N/A</x:v>
      </x:c>
      <x:c r="D748" s="75"/>
      <x:c r="E748" s="75"/>
      <x:c r="F748" s="75"/>
      <x:c r="G748" s="75"/>
      <x:c r="H748" s="75"/>
      <x:c r="I748" s="75"/>
      <x:c r="J748" s="75"/>
      <x:c r="K748" s="75"/>
      <x:c r="L748" s="75" t="str">
        <x:v>No saved multi-panel workspace/layout system documented</x:v>
      </x:c>
      <x:c r="M748" s="75"/>
      <x:c r="N748" s="75"/>
      <x:c r="O748" s="75"/>
      <x:c r="P748" s="75"/>
      <x:c r="Q748" s="75"/>
      <x:c r="R748" s="75"/>
      <x:c r="S748" s="75"/>
      <x:c r="T748" s="75"/>
      <x:c r="U748" s="75"/>
      <x:c r="V748" s="75" t="str">
        <x:v>2 layouts free/ 8 layouts Rift +</x:v>
      </x:c>
      <x:c r="W748" s="75"/>
      <x:c r="X748" s="75"/>
      <x:c r="Y748" s="75"/>
      <x:c r="Z748" s="75"/>
      <x:c r="AA748" s="75"/>
      <x:c r="AB748" s="75"/>
      <x:c r="AC748" s="78"/>
      <x:c r="AD748" s="75"/>
      <x:c r="AE748" s="75"/>
      <x:c r="AF748" s="75"/>
      <x:c r="AG748" s="75"/>
      <x:c r="AH748" s="122" t="n">
        <x:v>36</x:v>
      </x:c>
      <x:c r="AI748" s="123" t="str">
        <x:v>Canonical source for Feature Entitlements!36</x:v>
      </x:c>
    </x:row>
    <x:row r="749">
      <x:c r="A749" s="119" t="str">
        <x:v>Feature Entitlements</x:v>
      </x:c>
      <x:c r="B749" s="121" t="str">
        <x:v>Embedded Apps / Portals Available?</x:v>
      </x:c>
      <x:c r="C749" s="75" t="str">
        <x:v>Yes — Activities/apps</x:v>
      </x:c>
      <x:c r="D749" s="75"/>
      <x:c r="E749" s="75"/>
      <x:c r="F749" s="75"/>
      <x:c r="G749" s="75"/>
      <x:c r="H749" s="75"/>
      <x:c r="I749" s="75"/>
      <x:c r="J749" s="75"/>
      <x:c r="K749" s="75"/>
      <x:c r="L749" s="75" t="str">
        <x:v>No embedded-app/Portal runtime documented</x:v>
      </x:c>
      <x:c r="M749" s="75"/>
      <x:c r="N749" s="75"/>
      <x:c r="O749" s="75"/>
      <x:c r="P749" s="75"/>
      <x:c r="Q749" s="75"/>
      <x:c r="R749" s="75"/>
      <x:c r="S749" s="75"/>
      <x:c r="T749" s="75"/>
      <x:c r="U749" s="75"/>
      <x:c r="V749" s="75" t="str">
        <x:v>Yes — Portals</x:v>
      </x:c>
      <x:c r="W749" s="75"/>
      <x:c r="X749" s="75"/>
      <x:c r="Y749" s="75"/>
      <x:c r="Z749" s="75"/>
      <x:c r="AA749" s="75"/>
      <x:c r="AB749" s="75"/>
      <x:c r="AC749" s="78"/>
      <x:c r="AD749" s="75"/>
      <x:c r="AE749" s="75"/>
      <x:c r="AF749" s="75"/>
      <x:c r="AG749" s="75"/>
      <x:c r="AH749" s="122" t="n">
        <x:v>37</x:v>
      </x:c>
      <x:c r="AI749" s="123" t="str">
        <x:v>Canonical source for Feature Entitlements!37</x:v>
      </x:c>
    </x:row>
    <x:row r="750">
      <x:c r="A750" s="119" t="str">
        <x:v>Feature Entitlements</x:v>
      </x:c>
      <x:c r="B750" s="121" t="str">
        <x:v>Embedded Apps / Portals Access</x:v>
      </x:c>
      <x:c r="C750" s="75" t="str">
        <x:v>Many Activities free; app-specific monetization may apply</x:v>
      </x:c>
      <x:c r="D750" s="75"/>
      <x:c r="E750" s="75"/>
      <x:c r="F750" s="75"/>
      <x:c r="G750" s="75"/>
      <x:c r="H750" s="75"/>
      <x:c r="I750" s="75"/>
      <x:c r="J750" s="75"/>
      <x:c r="K750" s="75"/>
      <x:c r="L750" s="75" t="str">
        <x:v>No embedded-app/Portal runtime documented</x:v>
      </x:c>
      <x:c r="M750" s="75"/>
      <x:c r="N750" s="75"/>
      <x:c r="O750" s="75"/>
      <x:c r="P750" s="75"/>
      <x:c r="Q750" s="75"/>
      <x:c r="R750" s="75"/>
      <x:c r="S750" s="75"/>
      <x:c r="T750" s="75"/>
      <x:c r="U750" s="75"/>
      <x:c r="V750" s="75" t="str">
        <x:v>Embedded Apps Free / Rift+ Studio</x:v>
      </x:c>
      <x:c r="W750" s="75"/>
      <x:c r="X750" s="75"/>
      <x:c r="Y750" s="75"/>
      <x:c r="Z750" s="75"/>
      <x:c r="AA750" s="75"/>
      <x:c r="AB750" s="75"/>
      <x:c r="AC750" s="78"/>
      <x:c r="AD750" s="75"/>
      <x:c r="AE750" s="75"/>
      <x:c r="AF750" s="75"/>
      <x:c r="AG750" s="75"/>
      <x:c r="AH750" s="122" t="n">
        <x:v>38</x:v>
      </x:c>
      <x:c r="AI750" s="123" t="str">
        <x:v>Canonical source for Feature Entitlements!38</x:v>
      </x:c>
    </x:row>
    <x:row r="751">
      <x:c r="A751" s="119" t="str">
        <x:v>Feature Entitlements</x:v>
      </x:c>
      <x:c r="B751" s="121" t="str">
        <x:v>Giveaways / Leveling Paid?</x:v>
      </x:c>
      <x:c r="C751" s="75" t="str">
        <x:v>Via third-party apps/bots; app pricing varies</x:v>
      </x:c>
      <x:c r="D751" s="75"/>
      <x:c r="E751" s="75"/>
      <x:c r="F751" s="75"/>
      <x:c r="G751" s="75"/>
      <x:c r="H751" s="75"/>
      <x:c r="I751" s="75"/>
      <x:c r="J751" s="75"/>
      <x:c r="K751" s="75"/>
      <x:c r="L751" s="75" t="str">
        <x:v>No native leveling/giveaway monetization system documented</x:v>
      </x:c>
      <x:c r="M751" s="75"/>
      <x:c r="N751" s="75"/>
      <x:c r="O751" s="75"/>
      <x:c r="P751" s="75"/>
      <x:c r="Q751" s="75"/>
      <x:c r="R751" s="75"/>
      <x:c r="S751" s="75"/>
      <x:c r="T751" s="75"/>
      <x:c r="U751" s="75"/>
      <x:c r="V751" s="75" t="str">
        <x:v>No — leveling stated free for every Shard; giveaways built in</x:v>
      </x:c>
      <x:c r="W751" s="75"/>
      <x:c r="X751" s="75"/>
      <x:c r="Y751" s="75"/>
      <x:c r="Z751" s="75"/>
      <x:c r="AA751" s="75"/>
      <x:c r="AB751" s="75"/>
      <x:c r="AC751" s="78"/>
      <x:c r="AD751" s="75"/>
      <x:c r="AE751" s="75"/>
      <x:c r="AF751" s="75"/>
      <x:c r="AG751" s="75"/>
      <x:c r="AH751" s="122" t="n">
        <x:v>39</x:v>
      </x:c>
      <x:c r="AI751" s="123" t="str">
        <x:v>Canonical source for Feature Entitlements!39</x:v>
      </x:c>
    </x:row>
    <x:row r="752">
      <x:c r="A752" s="75"/>
      <x:c r="B752" s="75"/>
      <x:c r="C752" s="75"/>
      <x:c r="D752" s="75"/>
      <x:c r="E752" s="75"/>
      <x:c r="F752" s="75"/>
      <x:c r="G752" s="75"/>
      <x:c r="H752" s="75"/>
      <x:c r="I752" s="75"/>
      <x:c r="J752" s="75"/>
      <x:c r="K752" s="75"/>
      <x:c r="L752" s="75"/>
      <x:c r="M752" s="75"/>
      <x:c r="N752" s="75"/>
      <x:c r="O752" s="75"/>
      <x:c r="P752" s="75"/>
      <x:c r="Q752" s="75"/>
      <x:c r="R752" s="75"/>
      <x:c r="S752" s="75"/>
      <x:c r="T752" s="75"/>
      <x:c r="U752" s="75"/>
      <x:c r="V752" s="75"/>
      <x:c r="W752" s="75"/>
      <x:c r="X752" s="75"/>
      <x:c r="Y752" s="75"/>
      <x:c r="Z752" s="75"/>
      <x:c r="AA752" s="75"/>
      <x:c r="AB752" s="75"/>
      <x:c r="AC752" s="78"/>
      <x:c r="AD752" s="75"/>
      <x:c r="AE752" s="75"/>
      <x:c r="AF752" s="75"/>
      <x:c r="AG752" s="75"/>
      <x:c r="AH752" s="75"/>
      <x:c r="AI752" s="75"/>
    </x:row>
    <x:row r="753">
      <x:c r="A753" s="119" t="str">
        <x:v>Supplemental canonical rows — non-matrix source records</x:v>
      </x:c>
      <x:c r="B753" s="119"/>
      <x:c r="C753" s="119"/>
      <x:c r="D753" s="119"/>
      <x:c r="E753" s="119"/>
      <x:c r="F753" s="119"/>
      <x:c r="G753" s="119"/>
      <x:c r="H753" s="119"/>
      <x:c r="I753" s="119"/>
      <x:c r="J753" s="119"/>
      <x:c r="K753" s="119"/>
      <x:c r="L753" s="119"/>
      <x:c r="M753" s="119"/>
      <x:c r="N753" s="119"/>
      <x:c r="O753" s="119"/>
      <x:c r="P753" s="119"/>
      <x:c r="Q753" s="119"/>
      <x:c r="R753" s="119"/>
      <x:c r="S753" s="119"/>
      <x:c r="T753" s="119"/>
      <x:c r="U753" s="119"/>
      <x:c r="V753" s="119"/>
      <x:c r="W753" s="119"/>
      <x:c r="X753" s="119"/>
      <x:c r="Y753" s="119"/>
      <x:c r="Z753" s="119"/>
      <x:c r="AA753" s="119"/>
      <x:c r="AB753" s="119"/>
      <x:c r="AC753" s="119"/>
      <x:c r="AD753" s="119"/>
      <x:c r="AE753" s="119"/>
      <x:c r="AF753" s="119"/>
      <x:c r="AG753" s="119"/>
      <x:c r="AH753" s="119"/>
      <x:c r="AI753" s="119"/>
    </x:row>
    <x:row r="754">
      <x:c r="A754" s="126" t="str">
        <x:v>Source Sheet</x:v>
      </x:c>
      <x:c r="B754" s="126" t="str">
        <x:v>Original Row</x:v>
      </x:c>
      <x:c r="C754" s="126" t="str">
        <x:v>Col C</x:v>
      </x:c>
      <x:c r="D754" s="126" t="str">
        <x:v>Col A</x:v>
      </x:c>
      <x:c r="E754" s="126" t="str">
        <x:v>Col B</x:v>
      </x:c>
      <x:c r="F754" s="126" t="str">
        <x:v>Col D</x:v>
      </x:c>
      <x:c r="G754" s="126" t="str">
        <x:v>Col E</x:v>
      </x:c>
      <x:c r="H754" s="126" t="str">
        <x:v>Col F</x:v>
      </x:c>
      <x:c r="I754" s="126" t="str">
        <x:v>Col G</x:v>
      </x:c>
      <x:c r="J754" s="126" t="str">
        <x:v>Col H</x:v>
      </x:c>
      <x:c r="K754" s="126" t="str">
        <x:v>Col I</x:v>
      </x:c>
      <x:c r="L754" s="126" t="str">
        <x:v>Col J</x:v>
      </x:c>
      <x:c r="M754" s="126" t="str">
        <x:v>Col K</x:v>
      </x:c>
      <x:c r="N754" s="126" t="str">
        <x:v>Col L</x:v>
      </x:c>
      <x:c r="O754" s="126" t="str">
        <x:v>Col M</x:v>
      </x:c>
      <x:c r="P754" s="126" t="str">
        <x:v>Col N</x:v>
      </x:c>
      <x:c r="Q754" s="126" t="str">
        <x:v>Col O</x:v>
      </x:c>
      <x:c r="R754" s="75"/>
      <x:c r="S754" s="75"/>
      <x:c r="T754" s="75"/>
      <x:c r="U754" s="75"/>
      <x:c r="V754" s="75"/>
      <x:c r="W754" s="75"/>
      <x:c r="X754" s="75"/>
      <x:c r="Y754" s="75"/>
      <x:c r="Z754" s="75"/>
      <x:c r="AA754" s="75"/>
      <x:c r="AB754" s="75"/>
      <x:c r="AC754" s="78"/>
      <x:c r="AD754" s="75"/>
      <x:c r="AE754" s="75"/>
      <x:c r="AF754" s="75"/>
      <x:c r="AG754" s="75"/>
      <x:c r="AH754" s="75"/>
      <x:c r="AI754" s="75"/>
    </x:row>
    <x:row r="755">
      <x:c r="A755" s="75" t="str">
        <x:v>Pricing &amp; Tiers</x:v>
      </x:c>
      <x:c r="B755" s="75" t="n">
        <x:v>57</x:v>
      </x:c>
      <x:c r="C755" s="75" t="str">
        <x:v>No paid tier — donations unlock nothing</x:v>
      </x:c>
      <x:c r="D755" s="75" t="str">
        <x:v>pqp.gg</x:v>
      </x:c>
      <x:c r="E755" s="75" t="str">
        <x:v>Free hosted + donations</x:v>
      </x:c>
      <x:c r="F755" s="75" t="str">
        <x:v>Active free hosted beta</x:v>
      </x:c>
      <x:c r="G755" s="75" t="str">
        <x:v>N/A</x:v>
      </x:c>
      <x:c r="H755" s="75" t="str">
        <x:v>N/A</x:v>
      </x:c>
      <x:c r="I755" s="75" t="str">
        <x:v>N/A</x:v>
      </x:c>
      <x:c r="J755" s="75" t="str">
        <x:v>N/A</x:v>
      </x:c>
      <x:c r="K755" s="75" t="str">
        <x:v>Free hosted + optional donations</x:v>
      </x:c>
      <x:c r="L755" s="75" t="str">
        <x:v>All hosted users / self-hosters</x:v>
      </x:c>
      <x:c r="M755" s="75" t="str">
        <x:v>AGPL-3.0 self-host</x:v>
      </x:c>
      <x:c r="N755" s="75" t="str">
        <x:v>Free hosted service; donations unlock nothing; self-hostable AGPL-3.0; not VC-backed</x:v>
      </x:c>
      <x:c r="O755" s="75" t="str">
        <x:v>https://pqp.gg/apoie</x:v>
      </x:c>
      <x:c r="P755" s="75" t="str">
        <x:v>2026-09-16</x:v>
      </x:c>
      <x:c r="Q755" s="75" t="str">
        <x:v>No fixed-price subscription; donations confer no feature unlocks.</x:v>
      </x:c>
      <x:c r="R755" s="75" t="str">
        <x:v>Primary / developer-provided response</x:v>
      </x:c>
      <x:c r="S755" s="75"/>
      <x:c r="T755" s="75"/>
      <x:c r="U755" s="75"/>
      <x:c r="V755" s="75"/>
      <x:c r="W755" s="75"/>
      <x:c r="X755" s="75"/>
      <x:c r="Y755" s="75"/>
      <x:c r="Z755" s="75"/>
      <x:c r="AA755" s="75"/>
      <x:c r="AB755" s="75"/>
      <x:c r="AC755" s="78"/>
      <x:c r="AD755" s="75"/>
      <x:c r="AE755" s="75"/>
      <x:c r="AF755" s="75"/>
      <x:c r="AG755" s="75"/>
      <x:c r="AH755" s="75"/>
      <x:c r="AI755" s="75"/>
    </x:row>
    <x:row r="756">
      <x:c r="A756" s="75" t="str">
        <x:v>Monetization Detail</x:v>
      </x:c>
      <x:c r="B756" s="75" t="n">
        <x:v>57</x:v>
      </x:c>
      <x:c r="C756" s="75" t="str">
        <x:v>No paid tier</x:v>
      </x:c>
      <x:c r="D756" s="75" t="str">
        <x:v>pqp.gg</x:v>
      </x:c>
      <x:c r="E756" s="75" t="str">
        <x:v>Current</x:v>
      </x:c>
      <x:c r="F756" s="75" t="str">
        <x:v>Free hosted service</x:v>
      </x:c>
      <x:c r="G756" s="75" t="str">
        <x:v>0</x:v>
      </x:c>
      <x:c r="H756" s="75" t="str">
        <x:v>N/A</x:v>
      </x:c>
      <x:c r="I756" s="75" t="str">
        <x:v>N/A</x:v>
      </x:c>
      <x:c r="J756" s="75" t="str">
        <x:v>Hosted users</x:v>
      </x:c>
      <x:c r="K756" s="75" t="str">
        <x:v>All hosted users</x:v>
      </x:c>
      <x:c r="L756" s="75" t="str">
        <x:v>No</x:v>
      </x:c>
      <x:c r="M756" s="75" t="str">
        <x:v>Free service</x:v>
      </x:c>
      <x:c r="N756" s="75" t="str">
        <x:v>Active</x:v>
      </x:c>
      <x:c r="O756" s="75" t="str">
        <x:v>Donations are optional and unlock nothing</x:v>
      </x:c>
      <x:c r="P756" s="75" t="str">
        <x:v>https://pqp.gg/</x:v>
      </x:c>
      <x:c r="Q756" s="75" t="str">
        <x:v>2026-09-16</x:v>
      </x:c>
      <x:c r="R756" s="75" t="str">
        <x:v>Free hosted beta; AGPL self-hostable; not VC-backed.</x:v>
      </x:c>
      <x:c r="S756" s="75" t="str">
        <x:v>Primary / developer-provided response</x:v>
      </x:c>
      <x:c r="T756" s="75"/>
      <x:c r="U756" s="75"/>
      <x:c r="V756" s="75"/>
      <x:c r="W756" s="75"/>
      <x:c r="X756" s="75"/>
      <x:c r="Y756" s="75"/>
      <x:c r="Z756" s="75"/>
      <x:c r="AA756" s="75"/>
      <x:c r="AB756" s="75"/>
      <x:c r="AC756" s="78"/>
      <x:c r="AD756" s="75"/>
      <x:c r="AE756" s="75"/>
      <x:c r="AF756" s="75"/>
      <x:c r="AG756" s="75"/>
      <x:c r="AH756" s="75"/>
      <x:c r="AI756" s="75"/>
    </x:row>
    <x:row r="757">
      <x:c r="A757" s="75" t="str">
        <x:v>Monetization Detail</x:v>
      </x:c>
      <x:c r="B757" s="75" t="n">
        <x:v>78</x:v>
      </x:c>
      <x:c r="C757" s="75" t="str">
        <x:v>Donations</x:v>
      </x:c>
      <x:c r="D757" s="75" t="str">
        <x:v>pqp.gg</x:v>
      </x:c>
      <x:c r="E757" s="75" t="str">
        <x:v>Current</x:v>
      </x:c>
      <x:c r="F757" s="75" t="str">
        <x:v>Project donations</x:v>
      </x:c>
      <x:c r="G757" s="75" t="str">
        <x:v>User-selected</x:v>
      </x:c>
      <x:c r="H757" s="75" t="str">
        <x:v>N/A</x:v>
      </x:c>
      <x:c r="I757" s="75" t="str">
        <x:v>Donation</x:v>
      </x:c>
      <x:c r="J757" s="75" t="str">
        <x:v>Donor</x:v>
      </x:c>
      <x:c r="K757" s="75" t="str">
        <x:v>Project funding</x:v>
      </x:c>
      <x:c r="L757" s="75" t="str">
        <x:v>No</x:v>
      </x:c>
      <x:c r="M757" s="75" t="str">
        <x:v>Donations unlock nothing</x:v>
      </x:c>
      <x:c r="N757" s="75" t="str">
        <x:v>Active</x:v>
      </x:c>
      <x:c r="O757" s="75" t="str">
        <x:v>No feature unlocks</x:v>
      </x:c>
      <x:c r="P757" s="75" t="str">
        <x:v>https://pqp.gg/apoie</x:v>
      </x:c>
      <x:c r="Q757" s="75" t="str">
        <x:v>2026-09-16</x:v>
      </x:c>
      <x:c r="R757" s="75" t="str">
        <x:v>Optional project support only; not a paid feature tier.</x:v>
      </x:c>
      <x:c r="S757" s="75" t="str">
        <x:v>Primary / developer-provided response</x:v>
      </x:c>
      <x:c r="T757" s="75"/>
      <x:c r="U757" s="75"/>
      <x:c r="V757" s="75"/>
      <x:c r="W757" s="75"/>
      <x:c r="X757" s="75"/>
      <x:c r="Y757" s="75"/>
      <x:c r="Z757" s="75"/>
      <x:c r="AA757" s="75"/>
      <x:c r="AB757" s="75"/>
      <x:c r="AC757" s="78"/>
      <x:c r="AD757" s="75"/>
      <x:c r="AE757" s="75"/>
      <x:c r="AF757" s="75"/>
      <x:c r="AG757" s="75"/>
      <x:c r="AH757" s="75"/>
      <x:c r="AI757" s="75"/>
    </x:row>
    <x:row r="758">
      <x:c r="A758" s="75" t="str">
        <x:v>Monetization Detail</x:v>
      </x:c>
      <x:c r="B758" s="75" t="n">
        <x:v>109</x:v>
      </x:c>
      <x:c r="C758" s="75" t="str">
        <x:v>Future monetization status</x:v>
      </x:c>
      <x:c r="D758" s="75" t="str">
        <x:v>pqp.gg</x:v>
      </x:c>
      <x:c r="E758" s="75" t="str">
        <x:v>Intended / Planned</x:v>
      </x:c>
      <x:c r="F758" s="75" t="str">
        <x:v>No additional monetization plan stated</x:v>
      </x:c>
      <x:c r="G758" s="75" t="str">
        <x:v>U/K</x:v>
      </x:c>
      <x:c r="H758" s="75" t="str">
        <x:v>U/K</x:v>
      </x:c>
      <x:c r="I758" s="75" t="str">
        <x:v>U/K</x:v>
      </x:c>
      <x:c r="J758" s="75" t="str">
        <x:v>U/K</x:v>
      </x:c>
      <x:c r="K758" s="75" t="str">
        <x:v>U/K</x:v>
      </x:c>
      <x:c r="L758" s="75" t="str">
        <x:v>U/K</x:v>
      </x:c>
      <x:c r="M758" s="75" t="str">
        <x:v>U/K</x:v>
      </x:c>
      <x:c r="N758" s="75" t="str">
        <x:v>Not publicly announced</x:v>
      </x:c>
      <x:c r="O758" s="75" t="str">
        <x:v>Developer response only confirms current free hosted + donations model</x:v>
      </x:c>
      <x:c r="P758" s="75" t="str">
        <x:v>https://pqp.gg/apoie</x:v>
      </x:c>
      <x:c r="Q758" s="75" t="str">
        <x:v>2026-09-16</x:v>
      </x:c>
      <x:c r="R758" s="75" t="str">
        <x:v>Not VC-backed; no future paid roadmap stated.</x:v>
      </x:c>
      <x:c r="S758" s="75" t="str">
        <x:v>Primary / developer-provided response</x:v>
      </x:c>
      <x:c r="T758" s="75"/>
      <x:c r="U758" s="75"/>
      <x:c r="V758" s="75"/>
      <x:c r="W758" s="75"/>
      <x:c r="X758" s="75"/>
      <x:c r="Y758" s="75"/>
      <x:c r="Z758" s="75"/>
      <x:c r="AA758" s="75"/>
      <x:c r="AB758" s="75"/>
      <x:c r="AC758" s="78"/>
      <x:c r="AD758" s="75"/>
      <x:c r="AE758" s="75"/>
      <x:c r="AF758" s="75"/>
      <x:c r="AG758" s="75"/>
      <x:c r="AH758" s="75"/>
      <x:c r="AI758" s="75"/>
    </x:row>
    <x:row r="759">
      <x:c r="A759" s="75"/>
      <x:c r="B759" s="75"/>
      <x:c r="C759" s="75"/>
      <x:c r="D759" s="75"/>
      <x:c r="E759" s="75"/>
      <x:c r="F759" s="75"/>
      <x:c r="G759" s="75"/>
      <x:c r="H759" s="75"/>
      <x:c r="I759" s="75"/>
      <x:c r="J759" s="75"/>
      <x:c r="K759" s="75"/>
      <x:c r="L759" s="75"/>
      <x:c r="M759" s="75"/>
      <x:c r="N759" s="75"/>
      <x:c r="O759" s="75"/>
      <x:c r="P759" s="75"/>
      <x:c r="Q759" s="75"/>
      <x:c r="R759" s="75"/>
      <x:c r="S759" s="75"/>
      <x:c r="T759" s="75"/>
      <x:c r="U759" s="75"/>
      <x:c r="V759" s="75"/>
      <x:c r="W759" s="75"/>
      <x:c r="X759" s="75"/>
      <x:c r="Y759" s="75"/>
      <x:c r="Z759" s="75"/>
      <x:c r="AA759" s="75"/>
      <x:c r="AB759" s="75"/>
      <x:c r="AC759" s="78"/>
      <x:c r="AD759" s="75"/>
      <x:c r="AE759" s="75"/>
      <x:c r="AF759" s="75"/>
      <x:c r="AG759" s="75"/>
      <x:c r="AH759" s="75"/>
      <x:c r="AI759" s="75"/>
    </x:row>
    <x:row r="760">
      <x:c r="A760" s="75"/>
      <x:c r="B760" s="75"/>
      <x:c r="C760" s="75"/>
      <x:c r="D760" s="75"/>
      <x:c r="E760" s="75"/>
      <x:c r="F760" s="75"/>
      <x:c r="G760" s="75"/>
      <x:c r="H760" s="75"/>
      <x:c r="I760" s="75"/>
      <x:c r="J760" s="75"/>
      <x:c r="K760" s="75"/>
      <x:c r="L760" s="75"/>
      <x:c r="M760" s="75"/>
      <x:c r="N760" s="75"/>
      <x:c r="O760" s="75"/>
      <x:c r="P760" s="75"/>
      <x:c r="Q760" s="75"/>
      <x:c r="R760" s="75"/>
      <x:c r="S760" s="75"/>
      <x:c r="T760" s="75"/>
      <x:c r="U760" s="75"/>
      <x:c r="V760" s="75"/>
      <x:c r="W760" s="75"/>
      <x:c r="X760" s="75"/>
      <x:c r="Y760" s="75"/>
      <x:c r="Z760" s="75"/>
      <x:c r="AA760" s="75"/>
      <x:c r="AB760" s="75"/>
      <x:c r="AC760" s="78"/>
      <x:c r="AD760" s="75"/>
      <x:c r="AE760" s="75"/>
      <x:c r="AF760" s="75"/>
      <x:c r="AG760" s="75"/>
      <x:c r="AH760" s="75"/>
      <x:c r="AI760" s="75"/>
    </x:row>
    <x:row r="761">
      <x:c r="A761" s="75"/>
      <x:c r="B761" s="75"/>
      <x:c r="C761" s="75"/>
      <x:c r="D761" s="75"/>
      <x:c r="E761" s="75"/>
      <x:c r="F761" s="75"/>
      <x:c r="G761" s="75"/>
      <x:c r="H761" s="75"/>
      <x:c r="I761" s="75"/>
      <x:c r="J761" s="75"/>
      <x:c r="K761" s="75"/>
      <x:c r="L761" s="75"/>
      <x:c r="M761" s="75"/>
      <x:c r="N761" s="75"/>
      <x:c r="O761" s="75"/>
      <x:c r="P761" s="75"/>
      <x:c r="Q761" s="75"/>
      <x:c r="R761" s="75"/>
      <x:c r="S761" s="75"/>
      <x:c r="T761" s="75"/>
      <x:c r="U761" s="75"/>
      <x:c r="V761" s="75"/>
      <x:c r="W761" s="75"/>
      <x:c r="X761" s="75"/>
      <x:c r="Y761" s="75"/>
      <x:c r="Z761" s="75"/>
      <x:c r="AA761" s="75"/>
      <x:c r="AB761" s="75"/>
      <x:c r="AC761" s="78"/>
      <x:c r="AD761" s="75"/>
      <x:c r="AE761" s="75"/>
      <x:c r="AF761" s="75"/>
      <x:c r="AG761" s="75"/>
      <x:c r="AH761" s="75"/>
      <x:c r="AI761" s="75"/>
    </x:row>
    <x:row r="762">
      <x:c r="A762" s="75"/>
      <x:c r="B762" s="75"/>
      <x:c r="C762" s="75"/>
      <x:c r="D762" s="75"/>
      <x:c r="E762" s="75"/>
      <x:c r="F762" s="75"/>
      <x:c r="G762" s="75"/>
      <x:c r="H762" s="75"/>
      <x:c r="I762" s="75"/>
      <x:c r="J762" s="75"/>
      <x:c r="K762" s="75"/>
      <x:c r="L762" s="75"/>
      <x:c r="M762" s="75"/>
      <x:c r="N762" s="75"/>
      <x:c r="O762" s="75"/>
      <x:c r="P762" s="75"/>
      <x:c r="Q762" s="75"/>
      <x:c r="R762" s="75"/>
      <x:c r="S762" s="75"/>
      <x:c r="T762" s="75"/>
      <x:c r="U762" s="75"/>
      <x:c r="V762" s="75"/>
      <x:c r="W762" s="75"/>
      <x:c r="X762" s="75"/>
      <x:c r="Y762" s="75"/>
      <x:c r="Z762" s="75"/>
      <x:c r="AA762" s="75"/>
      <x:c r="AB762" s="75"/>
      <x:c r="AC762" s="78"/>
      <x:c r="AD762" s="75"/>
      <x:c r="AE762" s="75"/>
      <x:c r="AF762" s="75"/>
      <x:c r="AG762" s="75"/>
      <x:c r="AH762" s="75"/>
      <x:c r="AI762" s="75"/>
    </x:row>
    <x:row r="763">
      <x:c r="A763" s="75"/>
      <x:c r="B763" s="75"/>
      <x:c r="C763" s="75"/>
      <x:c r="D763" s="75"/>
      <x:c r="E763" s="75"/>
      <x:c r="F763" s="75"/>
      <x:c r="G763" s="75"/>
      <x:c r="H763" s="75"/>
      <x:c r="I763" s="75"/>
      <x:c r="J763" s="75"/>
      <x:c r="K763" s="75"/>
      <x:c r="L763" s="75"/>
      <x:c r="M763" s="75"/>
      <x:c r="N763" s="75"/>
      <x:c r="O763" s="75"/>
      <x:c r="P763" s="75"/>
      <x:c r="Q763" s="75"/>
      <x:c r="R763" s="75"/>
      <x:c r="S763" s="75"/>
      <x:c r="T763" s="75"/>
      <x:c r="U763" s="75"/>
      <x:c r="V763" s="75"/>
      <x:c r="W763" s="75"/>
      <x:c r="X763" s="75"/>
      <x:c r="Y763" s="75"/>
      <x:c r="Z763" s="75"/>
      <x:c r="AA763" s="75"/>
      <x:c r="AB763" s="75"/>
      <x:c r="AC763" s="78"/>
      <x:c r="AD763" s="75"/>
      <x:c r="AE763" s="75"/>
      <x:c r="AF763" s="75"/>
      <x:c r="AG763" s="75"/>
      <x:c r="AH763" s="75"/>
      <x:c r="AI763" s="75"/>
    </x:row>
    <x:row r="764">
      <x:c r="A764" s="75"/>
      <x:c r="B764" s="75"/>
      <x:c r="C764" s="75"/>
      <x:c r="D764" s="75"/>
      <x:c r="E764" s="75"/>
      <x:c r="F764" s="75"/>
      <x:c r="G764" s="75"/>
      <x:c r="H764" s="75"/>
      <x:c r="I764" s="75"/>
      <x:c r="J764" s="75"/>
      <x:c r="K764" s="75"/>
      <x:c r="L764" s="75"/>
      <x:c r="M764" s="75"/>
      <x:c r="N764" s="75"/>
      <x:c r="O764" s="75"/>
      <x:c r="P764" s="75"/>
      <x:c r="Q764" s="75"/>
      <x:c r="R764" s="75"/>
      <x:c r="S764" s="75"/>
      <x:c r="T764" s="75"/>
      <x:c r="U764" s="75"/>
      <x:c r="V764" s="75"/>
      <x:c r="W764" s="75"/>
      <x:c r="X764" s="75"/>
      <x:c r="Y764" s="75"/>
      <x:c r="Z764" s="75"/>
      <x:c r="AA764" s="75"/>
      <x:c r="AB764" s="75"/>
      <x:c r="AC764" s="78"/>
      <x:c r="AD764" s="75"/>
      <x:c r="AE764" s="75"/>
      <x:c r="AF764" s="75"/>
      <x:c r="AG764" s="75"/>
      <x:c r="AH764" s="75"/>
      <x:c r="AI764" s="75"/>
    </x:row>
    <x:row r="765">
      <x:c r="A765" s="75"/>
      <x:c r="B765" s="75"/>
      <x:c r="C765" s="75"/>
      <x:c r="D765" s="75"/>
      <x:c r="E765" s="75"/>
      <x:c r="F765" s="75"/>
      <x:c r="G765" s="75"/>
      <x:c r="H765" s="75"/>
      <x:c r="I765" s="75"/>
      <x:c r="J765" s="75"/>
      <x:c r="K765" s="75"/>
      <x:c r="L765" s="75"/>
      <x:c r="M765" s="75"/>
      <x:c r="N765" s="75"/>
      <x:c r="O765" s="75"/>
      <x:c r="P765" s="75"/>
      <x:c r="Q765" s="75"/>
      <x:c r="R765" s="75"/>
      <x:c r="S765" s="75"/>
      <x:c r="T765" s="75"/>
      <x:c r="U765" s="75"/>
      <x:c r="V765" s="75"/>
      <x:c r="W765" s="75"/>
      <x:c r="X765" s="75"/>
      <x:c r="Y765" s="75"/>
      <x:c r="Z765" s="75"/>
      <x:c r="AA765" s="75"/>
      <x:c r="AB765" s="75"/>
      <x:c r="AC765" s="78"/>
      <x:c r="AD765" s="75"/>
      <x:c r="AE765" s="75"/>
      <x:c r="AF765" s="75"/>
      <x:c r="AG765" s="75"/>
      <x:c r="AH765" s="75"/>
      <x:c r="AI765" s="75"/>
    </x:row>
    <x:row r="766">
      <x:c r="A766" s="75"/>
      <x:c r="B766" s="75"/>
      <x:c r="C766" s="75"/>
      <x:c r="D766" s="75"/>
      <x:c r="E766" s="75"/>
      <x:c r="F766" s="75"/>
      <x:c r="G766" s="75"/>
      <x:c r="H766" s="75"/>
      <x:c r="I766" s="75"/>
      <x:c r="J766" s="75"/>
      <x:c r="K766" s="75"/>
      <x:c r="L766" s="75"/>
      <x:c r="M766" s="75"/>
      <x:c r="N766" s="75"/>
      <x:c r="O766" s="75"/>
      <x:c r="P766" s="75"/>
      <x:c r="Q766" s="75"/>
      <x:c r="R766" s="75"/>
      <x:c r="S766" s="75"/>
      <x:c r="T766" s="75"/>
      <x:c r="U766" s="75"/>
      <x:c r="V766" s="75"/>
      <x:c r="W766" s="75"/>
      <x:c r="X766" s="75"/>
      <x:c r="Y766" s="75"/>
      <x:c r="Z766" s="75"/>
      <x:c r="AA766" s="75"/>
      <x:c r="AB766" s="75"/>
      <x:c r="AC766" s="78"/>
      <x:c r="AD766" s="75"/>
      <x:c r="AE766" s="75"/>
      <x:c r="AF766" s="75"/>
      <x:c r="AG766" s="75"/>
      <x:c r="AH766" s="75"/>
      <x:c r="AI766" s="75"/>
    </x:row>
    <x:row r="767">
      <x:c r="A767" s="75"/>
      <x:c r="B767" s="75"/>
      <x:c r="C767" s="75"/>
      <x:c r="D767" s="75"/>
      <x:c r="E767" s="75"/>
      <x:c r="F767" s="75"/>
      <x:c r="G767" s="75"/>
      <x:c r="H767" s="75"/>
      <x:c r="I767" s="75"/>
      <x:c r="J767" s="75"/>
      <x:c r="K767" s="75"/>
      <x:c r="L767" s="75"/>
      <x:c r="M767" s="75"/>
      <x:c r="N767" s="75"/>
      <x:c r="O767" s="75"/>
      <x:c r="P767" s="75"/>
      <x:c r="Q767" s="75"/>
      <x:c r="R767" s="75"/>
      <x:c r="S767" s="75"/>
      <x:c r="T767" s="75"/>
      <x:c r="U767" s="75"/>
      <x:c r="V767" s="75"/>
      <x:c r="W767" s="75"/>
      <x:c r="X767" s="75"/>
      <x:c r="Y767" s="75"/>
      <x:c r="Z767" s="75"/>
      <x:c r="AA767" s="75"/>
      <x:c r="AB767" s="75"/>
      <x:c r="AC767" s="78"/>
      <x:c r="AD767" s="75"/>
      <x:c r="AE767" s="75"/>
      <x:c r="AF767" s="75"/>
      <x:c r="AG767" s="75"/>
      <x:c r="AH767" s="75"/>
      <x:c r="AI767" s="75"/>
    </x:row>
    <x:row r="768">
      <x:c r="A768" s="75"/>
      <x:c r="B768" s="75"/>
      <x:c r="C768" s="75"/>
      <x:c r="D768" s="75"/>
      <x:c r="E768" s="75"/>
      <x:c r="F768" s="75"/>
      <x:c r="G768" s="75"/>
      <x:c r="H768" s="75"/>
      <x:c r="I768" s="75"/>
      <x:c r="J768" s="75"/>
      <x:c r="K768" s="75"/>
      <x:c r="L768" s="75"/>
      <x:c r="M768" s="75"/>
      <x:c r="N768" s="75"/>
      <x:c r="O768" s="75"/>
      <x:c r="P768" s="75"/>
      <x:c r="Q768" s="75"/>
      <x:c r="R768" s="75"/>
      <x:c r="S768" s="75"/>
      <x:c r="T768" s="75"/>
      <x:c r="U768" s="75"/>
      <x:c r="V768" s="75"/>
      <x:c r="W768" s="75"/>
      <x:c r="X768" s="75"/>
      <x:c r="Y768" s="75"/>
      <x:c r="Z768" s="75"/>
      <x:c r="AA768" s="75"/>
      <x:c r="AB768" s="75"/>
      <x:c r="AC768" s="78"/>
      <x:c r="AD768" s="75"/>
      <x:c r="AE768" s="75"/>
      <x:c r="AF768" s="75"/>
      <x:c r="AG768" s="75"/>
      <x:c r="AH768" s="75"/>
      <x:c r="AI768" s="75"/>
    </x:row>
    <x:row r="769">
      <x:c r="A769" s="75"/>
      <x:c r="B769" s="75"/>
      <x:c r="C769" s="75"/>
      <x:c r="D769" s="75"/>
      <x:c r="E769" s="75"/>
      <x:c r="F769" s="75"/>
      <x:c r="G769" s="75"/>
      <x:c r="H769" s="75"/>
      <x:c r="I769" s="75"/>
      <x:c r="J769" s="75"/>
      <x:c r="K769" s="75"/>
      <x:c r="L769" s="75"/>
      <x:c r="M769" s="75"/>
      <x:c r="N769" s="75"/>
      <x:c r="O769" s="75"/>
      <x:c r="P769" s="75"/>
      <x:c r="Q769" s="75"/>
      <x:c r="R769" s="75"/>
      <x:c r="S769" s="75"/>
      <x:c r="T769" s="75"/>
      <x:c r="U769" s="75"/>
      <x:c r="V769" s="75"/>
      <x:c r="W769" s="75"/>
      <x:c r="X769" s="75"/>
      <x:c r="Y769" s="75"/>
      <x:c r="Z769" s="75"/>
      <x:c r="AA769" s="75"/>
      <x:c r="AB769" s="75"/>
      <x:c r="AC769" s="78"/>
      <x:c r="AD769" s="75"/>
      <x:c r="AE769" s="75"/>
      <x:c r="AF769" s="75"/>
      <x:c r="AG769" s="75"/>
      <x:c r="AH769" s="75"/>
      <x:c r="AI769" s="75"/>
    </x:row>
    <x:row r="770">
      <x:c r="A770" s="75"/>
      <x:c r="B770" s="75"/>
      <x:c r="C770" s="75"/>
      <x:c r="D770" s="75"/>
      <x:c r="E770" s="75"/>
      <x:c r="F770" s="75"/>
      <x:c r="G770" s="75"/>
      <x:c r="H770" s="75"/>
      <x:c r="I770" s="75"/>
      <x:c r="J770" s="75"/>
      <x:c r="K770" s="75"/>
      <x:c r="L770" s="75"/>
      <x:c r="M770" s="75"/>
      <x:c r="N770" s="75"/>
      <x:c r="O770" s="75"/>
      <x:c r="P770" s="75"/>
      <x:c r="Q770" s="75"/>
      <x:c r="R770" s="75"/>
      <x:c r="S770" s="75"/>
      <x:c r="T770" s="75"/>
      <x:c r="U770" s="75"/>
      <x:c r="V770" s="75"/>
      <x:c r="W770" s="75"/>
      <x:c r="X770" s="75"/>
      <x:c r="Y770" s="75"/>
      <x:c r="Z770" s="75"/>
      <x:c r="AA770" s="75"/>
      <x:c r="AB770" s="75"/>
      <x:c r="AC770" s="78"/>
      <x:c r="AD770" s="75"/>
      <x:c r="AE770" s="75"/>
      <x:c r="AF770" s="75"/>
      <x:c r="AG770" s="75"/>
      <x:c r="AH770" s="75"/>
      <x:c r="AI770" s="75"/>
    </x:row>
    <x:row r="771">
      <x:c r="A771" s="75"/>
      <x:c r="B771" s="75"/>
      <x:c r="C771" s="75"/>
      <x:c r="D771" s="75"/>
      <x:c r="E771" s="75"/>
      <x:c r="F771" s="75"/>
      <x:c r="G771" s="75"/>
      <x:c r="H771" s="75"/>
      <x:c r="I771" s="75"/>
      <x:c r="J771" s="75"/>
      <x:c r="K771" s="75"/>
      <x:c r="L771" s="75"/>
      <x:c r="M771" s="75"/>
      <x:c r="N771" s="75"/>
      <x:c r="O771" s="75"/>
      <x:c r="P771" s="75"/>
      <x:c r="Q771" s="75"/>
      <x:c r="R771" s="75"/>
      <x:c r="S771" s="75"/>
      <x:c r="T771" s="75"/>
      <x:c r="U771" s="75"/>
      <x:c r="V771" s="75"/>
      <x:c r="W771" s="75"/>
      <x:c r="X771" s="75"/>
      <x:c r="Y771" s="75"/>
      <x:c r="Z771" s="75"/>
      <x:c r="AA771" s="75"/>
      <x:c r="AB771" s="75"/>
      <x:c r="AC771" s="78"/>
      <x:c r="AD771" s="75"/>
      <x:c r="AE771" s="75"/>
      <x:c r="AF771" s="75"/>
      <x:c r="AG771" s="75"/>
      <x:c r="AH771" s="75"/>
      <x:c r="AI771" s="75"/>
    </x:row>
    <x:row r="772">
      <x:c r="A772" s="75"/>
      <x:c r="B772" s="75"/>
      <x:c r="C772" s="75"/>
      <x:c r="D772" s="75"/>
      <x:c r="E772" s="75"/>
      <x:c r="F772" s="75"/>
      <x:c r="G772" s="75"/>
      <x:c r="H772" s="75"/>
      <x:c r="I772" s="75"/>
      <x:c r="J772" s="75"/>
      <x:c r="K772" s="75"/>
      <x:c r="L772" s="75"/>
      <x:c r="M772" s="75"/>
      <x:c r="N772" s="75"/>
      <x:c r="O772" s="75"/>
      <x:c r="P772" s="75"/>
      <x:c r="Q772" s="75"/>
      <x:c r="R772" s="75"/>
      <x:c r="S772" s="75"/>
      <x:c r="T772" s="75"/>
      <x:c r="U772" s="75"/>
      <x:c r="V772" s="75"/>
      <x:c r="W772" s="75"/>
      <x:c r="X772" s="75"/>
      <x:c r="Y772" s="75"/>
      <x:c r="Z772" s="75"/>
      <x:c r="AA772" s="75"/>
      <x:c r="AB772" s="75"/>
      <x:c r="AC772" s="78"/>
      <x:c r="AD772" s="75"/>
      <x:c r="AE772" s="75"/>
      <x:c r="AF772" s="75"/>
      <x:c r="AG772" s="75"/>
      <x:c r="AH772" s="75"/>
      <x:c r="AI772" s="75"/>
    </x:row>
    <x:row r="773">
      <x:c r="A773" s="75"/>
      <x:c r="B773" s="75"/>
      <x:c r="C773" s="75"/>
      <x:c r="D773" s="75"/>
      <x:c r="E773" s="75"/>
      <x:c r="F773" s="75"/>
      <x:c r="G773" s="75"/>
      <x:c r="H773" s="75"/>
      <x:c r="I773" s="75"/>
      <x:c r="J773" s="75"/>
      <x:c r="K773" s="75"/>
      <x:c r="L773" s="75"/>
      <x:c r="M773" s="75"/>
      <x:c r="N773" s="75"/>
      <x:c r="O773" s="75"/>
      <x:c r="P773" s="75"/>
      <x:c r="Q773" s="75"/>
      <x:c r="R773" s="75"/>
      <x:c r="S773" s="75"/>
      <x:c r="T773" s="75"/>
      <x:c r="U773" s="75"/>
      <x:c r="V773" s="75"/>
      <x:c r="W773" s="75"/>
      <x:c r="X773" s="75"/>
      <x:c r="Y773" s="75"/>
      <x:c r="Z773" s="75"/>
      <x:c r="AA773" s="75"/>
      <x:c r="AB773" s="75"/>
      <x:c r="AC773" s="78"/>
      <x:c r="AD773" s="75"/>
      <x:c r="AE773" s="75"/>
      <x:c r="AF773" s="75"/>
      <x:c r="AG773" s="75"/>
      <x:c r="AH773" s="75"/>
      <x:c r="AI773" s="75"/>
    </x:row>
    <x:row r="774">
      <x:c r="A774" s="75"/>
      <x:c r="B774" s="75"/>
      <x:c r="C774" s="75"/>
      <x:c r="D774" s="75"/>
      <x:c r="E774" s="75"/>
      <x:c r="F774" s="75"/>
      <x:c r="G774" s="75"/>
      <x:c r="H774" s="75"/>
      <x:c r="I774" s="75"/>
      <x:c r="J774" s="75"/>
      <x:c r="K774" s="75"/>
      <x:c r="L774" s="75"/>
      <x:c r="M774" s="75"/>
      <x:c r="N774" s="75"/>
      <x:c r="O774" s="75"/>
      <x:c r="P774" s="75"/>
      <x:c r="Q774" s="75"/>
      <x:c r="R774" s="75"/>
      <x:c r="S774" s="75"/>
      <x:c r="T774" s="75"/>
      <x:c r="U774" s="75"/>
      <x:c r="V774" s="75"/>
      <x:c r="W774" s="75"/>
      <x:c r="X774" s="75"/>
      <x:c r="Y774" s="75"/>
      <x:c r="Z774" s="75"/>
      <x:c r="AA774" s="75"/>
      <x:c r="AB774" s="75"/>
      <x:c r="AC774" s="78"/>
      <x:c r="AD774" s="75"/>
      <x:c r="AE774" s="75"/>
      <x:c r="AF774" s="75"/>
      <x:c r="AG774" s="75"/>
      <x:c r="AH774" s="75"/>
      <x:c r="AI774" s="75"/>
    </x:row>
    <x:row r="775">
      <x:c r="A775" s="75"/>
      <x:c r="B775" s="75"/>
      <x:c r="C775" s="75"/>
      <x:c r="D775" s="75"/>
      <x:c r="E775" s="75"/>
      <x:c r="F775" s="75"/>
      <x:c r="G775" s="75"/>
      <x:c r="H775" s="75"/>
      <x:c r="I775" s="75"/>
      <x:c r="J775" s="75"/>
      <x:c r="K775" s="75"/>
      <x:c r="L775" s="75"/>
      <x:c r="M775" s="75"/>
      <x:c r="N775" s="75"/>
      <x:c r="O775" s="75"/>
      <x:c r="P775" s="75"/>
      <x:c r="Q775" s="75"/>
      <x:c r="R775" s="75"/>
      <x:c r="S775" s="75"/>
      <x:c r="T775" s="75"/>
      <x:c r="U775" s="75"/>
      <x:c r="V775" s="75"/>
      <x:c r="W775" s="75"/>
      <x:c r="X775" s="75"/>
      <x:c r="Y775" s="75"/>
      <x:c r="Z775" s="75"/>
      <x:c r="AA775" s="75"/>
      <x:c r="AB775" s="75"/>
      <x:c r="AC775" s="78"/>
      <x:c r="AD775" s="75"/>
      <x:c r="AE775" s="75"/>
      <x:c r="AF775" s="75"/>
      <x:c r="AG775" s="75"/>
      <x:c r="AH775" s="75"/>
      <x:c r="AI775" s="75"/>
    </x:row>
    <x:row r="776">
      <x:c r="A776" s="75"/>
      <x:c r="B776" s="75"/>
      <x:c r="C776" s="75"/>
      <x:c r="D776" s="75"/>
      <x:c r="E776" s="75"/>
      <x:c r="F776" s="75"/>
      <x:c r="G776" s="75"/>
      <x:c r="H776" s="75"/>
      <x:c r="I776" s="75"/>
      <x:c r="J776" s="75"/>
      <x:c r="K776" s="75"/>
      <x:c r="L776" s="75"/>
      <x:c r="M776" s="75"/>
      <x:c r="N776" s="75"/>
      <x:c r="O776" s="75"/>
      <x:c r="P776" s="75"/>
      <x:c r="Q776" s="75"/>
      <x:c r="R776" s="75"/>
      <x:c r="S776" s="75"/>
      <x:c r="T776" s="75"/>
      <x:c r="U776" s="75"/>
      <x:c r="V776" s="75"/>
      <x:c r="W776" s="75"/>
      <x:c r="X776" s="75"/>
      <x:c r="Y776" s="75"/>
      <x:c r="Z776" s="75"/>
      <x:c r="AA776" s="75"/>
      <x:c r="AB776" s="75"/>
      <x:c r="AC776" s="78"/>
      <x:c r="AD776" s="75"/>
      <x:c r="AE776" s="75"/>
      <x:c r="AF776" s="75"/>
      <x:c r="AG776" s="75"/>
      <x:c r="AH776" s="75"/>
      <x:c r="AI776" s="75"/>
    </x:row>
    <x:row r="777">
      <x:c r="A777" s="75"/>
      <x:c r="B777" s="75"/>
      <x:c r="C777" s="75"/>
      <x:c r="D777" s="75"/>
      <x:c r="E777" s="75"/>
      <x:c r="F777" s="75"/>
      <x:c r="G777" s="75"/>
      <x:c r="H777" s="75"/>
      <x:c r="I777" s="75"/>
      <x:c r="J777" s="75"/>
      <x:c r="K777" s="75"/>
      <x:c r="L777" s="75"/>
      <x:c r="M777" s="75"/>
      <x:c r="N777" s="75"/>
      <x:c r="O777" s="75"/>
      <x:c r="P777" s="75"/>
      <x:c r="Q777" s="75"/>
      <x:c r="R777" s="75"/>
      <x:c r="S777" s="75"/>
      <x:c r="T777" s="75"/>
      <x:c r="U777" s="75"/>
      <x:c r="V777" s="75"/>
      <x:c r="W777" s="75"/>
      <x:c r="X777" s="75"/>
      <x:c r="Y777" s="75"/>
      <x:c r="Z777" s="75"/>
      <x:c r="AA777" s="75"/>
      <x:c r="AB777" s="75"/>
      <x:c r="AC777" s="78"/>
      <x:c r="AD777" s="75"/>
      <x:c r="AE777" s="75"/>
      <x:c r="AF777" s="75"/>
      <x:c r="AG777" s="75"/>
      <x:c r="AH777" s="75"/>
      <x:c r="AI777" s="75"/>
    </x:row>
    <x:row r="778">
      <x:c r="A778" s="75"/>
      <x:c r="B778" s="75"/>
      <x:c r="C778" s="75"/>
      <x:c r="D778" s="75"/>
      <x:c r="E778" s="75"/>
      <x:c r="F778" s="75"/>
      <x:c r="G778" s="75"/>
      <x:c r="H778" s="75"/>
      <x:c r="I778" s="75"/>
      <x:c r="J778" s="75"/>
      <x:c r="K778" s="75"/>
      <x:c r="L778" s="75"/>
      <x:c r="M778" s="75"/>
      <x:c r="N778" s="75"/>
      <x:c r="O778" s="75"/>
      <x:c r="P778" s="75"/>
      <x:c r="Q778" s="75"/>
      <x:c r="R778" s="75"/>
      <x:c r="S778" s="75"/>
      <x:c r="T778" s="75"/>
      <x:c r="U778" s="75"/>
      <x:c r="V778" s="75"/>
      <x:c r="W778" s="75"/>
      <x:c r="X778" s="75"/>
      <x:c r="Y778" s="75"/>
      <x:c r="Z778" s="75"/>
      <x:c r="AA778" s="75"/>
      <x:c r="AB778" s="75"/>
      <x:c r="AC778" s="78"/>
      <x:c r="AD778" s="75"/>
      <x:c r="AE778" s="75"/>
      <x:c r="AF778" s="75"/>
      <x:c r="AG778" s="75"/>
      <x:c r="AH778" s="75"/>
      <x:c r="AI778" s="75"/>
    </x:row>
    <x:row r="779">
      <x:c r="A779" s="75"/>
      <x:c r="B779" s="75"/>
      <x:c r="C779" s="75"/>
      <x:c r="D779" s="75"/>
      <x:c r="E779" s="75"/>
      <x:c r="F779" s="75"/>
      <x:c r="G779" s="75"/>
      <x:c r="H779" s="75"/>
      <x:c r="I779" s="75"/>
      <x:c r="J779" s="75"/>
      <x:c r="K779" s="75"/>
      <x:c r="L779" s="75"/>
      <x:c r="M779" s="75"/>
      <x:c r="N779" s="75"/>
      <x:c r="O779" s="75"/>
      <x:c r="P779" s="75"/>
      <x:c r="Q779" s="75"/>
      <x:c r="R779" s="75"/>
      <x:c r="S779" s="75"/>
      <x:c r="T779" s="75"/>
      <x:c r="U779" s="75"/>
      <x:c r="V779" s="75"/>
      <x:c r="W779" s="75"/>
      <x:c r="X779" s="75"/>
      <x:c r="Y779" s="75"/>
      <x:c r="Z779" s="75"/>
      <x:c r="AA779" s="75"/>
      <x:c r="AB779" s="75"/>
      <x:c r="AC779" s="78"/>
      <x:c r="AD779" s="75"/>
      <x:c r="AE779" s="75"/>
      <x:c r="AF779" s="75"/>
      <x:c r="AG779" s="75"/>
      <x:c r="AH779" s="75"/>
      <x:c r="AI779" s="75"/>
    </x:row>
    <x:row r="780">
      <x:c r="A780" s="75"/>
      <x:c r="B780" s="75"/>
      <x:c r="C780" s="75"/>
      <x:c r="D780" s="75"/>
      <x:c r="E780" s="75"/>
      <x:c r="F780" s="75"/>
      <x:c r="G780" s="75"/>
      <x:c r="H780" s="75"/>
      <x:c r="I780" s="75"/>
      <x:c r="J780" s="75"/>
      <x:c r="K780" s="75"/>
      <x:c r="L780" s="75"/>
      <x:c r="M780" s="75"/>
      <x:c r="N780" s="75"/>
      <x:c r="O780" s="75"/>
      <x:c r="P780" s="75"/>
      <x:c r="Q780" s="75"/>
      <x:c r="R780" s="75"/>
      <x:c r="S780" s="75"/>
      <x:c r="T780" s="75"/>
      <x:c r="U780" s="75"/>
      <x:c r="V780" s="75"/>
      <x:c r="W780" s="75"/>
      <x:c r="X780" s="75"/>
      <x:c r="Y780" s="75"/>
      <x:c r="Z780" s="75"/>
      <x:c r="AA780" s="75"/>
      <x:c r="AB780" s="75"/>
      <x:c r="AC780" s="78"/>
      <x:c r="AD780" s="75"/>
      <x:c r="AE780" s="75"/>
      <x:c r="AF780" s="75"/>
      <x:c r="AG780" s="75"/>
      <x:c r="AH780" s="75"/>
      <x:c r="AI780" s="75"/>
    </x:row>
    <x:row r="781">
      <x:c r="A781" s="75"/>
      <x:c r="B781" s="75"/>
      <x:c r="C781" s="75"/>
      <x:c r="D781" s="75"/>
      <x:c r="E781" s="75"/>
      <x:c r="F781" s="75"/>
      <x:c r="G781" s="75"/>
      <x:c r="H781" s="75"/>
      <x:c r="I781" s="75"/>
      <x:c r="J781" s="75"/>
      <x:c r="K781" s="75"/>
      <x:c r="L781" s="75"/>
      <x:c r="M781" s="75"/>
      <x:c r="N781" s="75"/>
      <x:c r="O781" s="75"/>
      <x:c r="P781" s="75"/>
      <x:c r="Q781" s="75"/>
      <x:c r="R781" s="75"/>
      <x:c r="S781" s="75"/>
      <x:c r="T781" s="75"/>
      <x:c r="U781" s="75"/>
      <x:c r="V781" s="75"/>
      <x:c r="W781" s="75"/>
      <x:c r="X781" s="75"/>
      <x:c r="Y781" s="75"/>
      <x:c r="Z781" s="75"/>
      <x:c r="AA781" s="75"/>
      <x:c r="AB781" s="75"/>
      <x:c r="AC781" s="78"/>
      <x:c r="AD781" s="75"/>
      <x:c r="AE781" s="75"/>
      <x:c r="AF781" s="75"/>
      <x:c r="AG781" s="75"/>
      <x:c r="AH781" s="75"/>
      <x:c r="AI781" s="75"/>
    </x:row>
    <x:row r="782">
      <x:c r="A782" s="75"/>
      <x:c r="B782" s="75"/>
      <x:c r="C782" s="75"/>
      <x:c r="D782" s="75"/>
      <x:c r="E782" s="75"/>
      <x:c r="F782" s="75"/>
      <x:c r="G782" s="75"/>
      <x:c r="H782" s="75"/>
      <x:c r="I782" s="75"/>
      <x:c r="J782" s="75"/>
      <x:c r="K782" s="75"/>
      <x:c r="L782" s="75"/>
      <x:c r="M782" s="75"/>
      <x:c r="N782" s="75"/>
      <x:c r="O782" s="75"/>
      <x:c r="P782" s="75"/>
      <x:c r="Q782" s="75"/>
      <x:c r="R782" s="75"/>
      <x:c r="S782" s="75"/>
      <x:c r="T782" s="75"/>
      <x:c r="U782" s="75"/>
      <x:c r="V782" s="75"/>
      <x:c r="W782" s="75"/>
      <x:c r="X782" s="75"/>
      <x:c r="Y782" s="75"/>
      <x:c r="Z782" s="75"/>
      <x:c r="AA782" s="75"/>
      <x:c r="AB782" s="75"/>
      <x:c r="AC782" s="78"/>
      <x:c r="AD782" s="75"/>
      <x:c r="AE782" s="75"/>
      <x:c r="AF782" s="75"/>
      <x:c r="AG782" s="75"/>
      <x:c r="AH782" s="75"/>
      <x:c r="AI782" s="75"/>
    </x:row>
    <x:row r="783">
      <x:c r="A783" s="75"/>
      <x:c r="B783" s="75"/>
      <x:c r="C783" s="75"/>
      <x:c r="D783" s="75"/>
      <x:c r="E783" s="75"/>
      <x:c r="F783" s="75"/>
      <x:c r="G783" s="75"/>
      <x:c r="H783" s="75"/>
      <x:c r="I783" s="75"/>
      <x:c r="J783" s="75"/>
      <x:c r="K783" s="75"/>
      <x:c r="L783" s="75"/>
      <x:c r="M783" s="75"/>
      <x:c r="N783" s="75"/>
      <x:c r="O783" s="75"/>
      <x:c r="P783" s="75"/>
      <x:c r="Q783" s="75"/>
      <x:c r="R783" s="75"/>
      <x:c r="S783" s="75"/>
      <x:c r="T783" s="75"/>
      <x:c r="U783" s="75"/>
      <x:c r="V783" s="75"/>
      <x:c r="W783" s="75"/>
      <x:c r="X783" s="75"/>
      <x:c r="Y783" s="75"/>
      <x:c r="Z783" s="75"/>
      <x:c r="AA783" s="75"/>
      <x:c r="AB783" s="75"/>
      <x:c r="AC783" s="78"/>
      <x:c r="AD783" s="75"/>
      <x:c r="AE783" s="75"/>
      <x:c r="AF783" s="75"/>
      <x:c r="AG783" s="75"/>
      <x:c r="AH783" s="75"/>
      <x:c r="AI783" s="75"/>
    </x:row>
    <x:row r="784">
      <x:c r="A784" s="75"/>
      <x:c r="B784" s="75"/>
      <x:c r="C784" s="75"/>
      <x:c r="D784" s="75"/>
      <x:c r="E784" s="75"/>
      <x:c r="F784" s="75"/>
      <x:c r="G784" s="75"/>
      <x:c r="H784" s="75"/>
      <x:c r="I784" s="75"/>
      <x:c r="J784" s="75"/>
      <x:c r="K784" s="75"/>
      <x:c r="L784" s="75"/>
      <x:c r="M784" s="75"/>
      <x:c r="N784" s="75"/>
      <x:c r="O784" s="75"/>
      <x:c r="P784" s="75"/>
      <x:c r="Q784" s="75"/>
      <x:c r="R784" s="75"/>
      <x:c r="S784" s="75"/>
      <x:c r="T784" s="75"/>
      <x:c r="U784" s="75"/>
      <x:c r="V784" s="75"/>
      <x:c r="W784" s="75"/>
      <x:c r="X784" s="75"/>
      <x:c r="Y784" s="75"/>
      <x:c r="Z784" s="75"/>
      <x:c r="AA784" s="75"/>
      <x:c r="AB784" s="75"/>
      <x:c r="AC784" s="78"/>
      <x:c r="AD784" s="75"/>
      <x:c r="AE784" s="75"/>
      <x:c r="AF784" s="75"/>
      <x:c r="AG784" s="75"/>
      <x:c r="AH784" s="75"/>
      <x:c r="AI784" s="75"/>
    </x:row>
    <x:row r="785">
      <x:c r="A785" s="75"/>
      <x:c r="B785" s="75"/>
      <x:c r="C785" s="75"/>
      <x:c r="D785" s="75"/>
      <x:c r="E785" s="75"/>
      <x:c r="F785" s="75"/>
      <x:c r="G785" s="75"/>
      <x:c r="H785" s="75"/>
      <x:c r="I785" s="75"/>
      <x:c r="J785" s="75"/>
      <x:c r="K785" s="75"/>
      <x:c r="L785" s="75"/>
      <x:c r="M785" s="75"/>
      <x:c r="N785" s="75"/>
      <x:c r="O785" s="75"/>
      <x:c r="P785" s="75"/>
      <x:c r="Q785" s="75"/>
      <x:c r="R785" s="75"/>
      <x:c r="S785" s="75"/>
      <x:c r="T785" s="75"/>
      <x:c r="U785" s="75"/>
      <x:c r="V785" s="75"/>
      <x:c r="W785" s="75"/>
      <x:c r="X785" s="75"/>
      <x:c r="Y785" s="75"/>
      <x:c r="Z785" s="75"/>
      <x:c r="AA785" s="75"/>
      <x:c r="AB785" s="75"/>
      <x:c r="AC785" s="78"/>
      <x:c r="AD785" s="75"/>
      <x:c r="AE785" s="75"/>
      <x:c r="AF785" s="75"/>
      <x:c r="AG785" s="75"/>
      <x:c r="AH785" s="75"/>
      <x:c r="AI785" s="75"/>
    </x:row>
    <x:row r="786">
      <x:c r="A786" s="75"/>
      <x:c r="B786" s="75"/>
      <x:c r="C786" s="75"/>
      <x:c r="D786" s="75"/>
      <x:c r="E786" s="75"/>
      <x:c r="F786" s="75"/>
      <x:c r="G786" s="75"/>
      <x:c r="H786" s="75"/>
      <x:c r="I786" s="75"/>
      <x:c r="J786" s="75"/>
      <x:c r="K786" s="75"/>
      <x:c r="L786" s="75"/>
      <x:c r="M786" s="75"/>
      <x:c r="N786" s="75"/>
      <x:c r="O786" s="75"/>
      <x:c r="P786" s="75"/>
      <x:c r="Q786" s="75"/>
      <x:c r="R786" s="75"/>
      <x:c r="S786" s="75"/>
      <x:c r="T786" s="75"/>
      <x:c r="U786" s="75"/>
      <x:c r="V786" s="75"/>
      <x:c r="W786" s="75"/>
      <x:c r="X786" s="75"/>
      <x:c r="Y786" s="75"/>
      <x:c r="Z786" s="75"/>
      <x:c r="AA786" s="75"/>
      <x:c r="AB786" s="75"/>
      <x:c r="AC786" s="78"/>
      <x:c r="AD786" s="75"/>
      <x:c r="AE786" s="75"/>
      <x:c r="AF786" s="75"/>
      <x:c r="AG786" s="75"/>
      <x:c r="AH786" s="75"/>
      <x:c r="AI786" s="75"/>
    </x:row>
    <x:row r="787">
      <x:c r="A787" s="75"/>
      <x:c r="B787" s="75"/>
      <x:c r="C787" s="75"/>
      <x:c r="D787" s="75"/>
      <x:c r="E787" s="75"/>
      <x:c r="F787" s="75"/>
      <x:c r="G787" s="75"/>
      <x:c r="H787" s="75"/>
      <x:c r="I787" s="75"/>
      <x:c r="J787" s="75"/>
      <x:c r="K787" s="75"/>
      <x:c r="L787" s="75"/>
      <x:c r="M787" s="75"/>
      <x:c r="N787" s="75"/>
      <x:c r="O787" s="75"/>
      <x:c r="P787" s="75"/>
      <x:c r="Q787" s="75"/>
      <x:c r="R787" s="75"/>
      <x:c r="S787" s="75"/>
      <x:c r="T787" s="75"/>
      <x:c r="U787" s="75"/>
      <x:c r="V787" s="75"/>
      <x:c r="W787" s="75"/>
      <x:c r="X787" s="75"/>
      <x:c r="Y787" s="75"/>
      <x:c r="Z787" s="75"/>
      <x:c r="AA787" s="75"/>
      <x:c r="AB787" s="75"/>
      <x:c r="AC787" s="78"/>
      <x:c r="AD787" s="75"/>
      <x:c r="AE787" s="75"/>
      <x:c r="AF787" s="75"/>
      <x:c r="AG787" s="75"/>
      <x:c r="AH787" s="75"/>
      <x:c r="AI787" s="75"/>
    </x:row>
    <x:row r="788">
      <x:c r="A788" s="75"/>
      <x:c r="B788" s="75"/>
      <x:c r="C788" s="75"/>
      <x:c r="D788" s="75"/>
      <x:c r="E788" s="75"/>
      <x:c r="F788" s="75"/>
      <x:c r="G788" s="75"/>
      <x:c r="H788" s="75"/>
      <x:c r="I788" s="75"/>
      <x:c r="J788" s="75"/>
      <x:c r="K788" s="75"/>
      <x:c r="L788" s="75"/>
      <x:c r="M788" s="75"/>
      <x:c r="N788" s="75"/>
      <x:c r="O788" s="75"/>
      <x:c r="P788" s="75"/>
      <x:c r="Q788" s="75"/>
      <x:c r="R788" s="75"/>
      <x:c r="S788" s="75"/>
      <x:c r="T788" s="75"/>
      <x:c r="U788" s="75"/>
      <x:c r="V788" s="75"/>
      <x:c r="W788" s="75"/>
      <x:c r="X788" s="75"/>
      <x:c r="Y788" s="75"/>
      <x:c r="Z788" s="75"/>
      <x:c r="AA788" s="75"/>
      <x:c r="AB788" s="75"/>
      <x:c r="AC788" s="78"/>
      <x:c r="AD788" s="75"/>
      <x:c r="AE788" s="75"/>
      <x:c r="AF788" s="75"/>
      <x:c r="AG788" s="75"/>
      <x:c r="AH788" s="75"/>
      <x:c r="AI788" s="75"/>
    </x:row>
    <x:row r="789">
      <x:c r="A789" s="75"/>
      <x:c r="B789" s="75"/>
      <x:c r="C789" s="75"/>
      <x:c r="D789" s="75"/>
      <x:c r="E789" s="75"/>
      <x:c r="F789" s="75"/>
      <x:c r="G789" s="75"/>
      <x:c r="H789" s="75"/>
      <x:c r="I789" s="75"/>
      <x:c r="J789" s="75"/>
      <x:c r="K789" s="75"/>
      <x:c r="L789" s="75"/>
      <x:c r="M789" s="75"/>
      <x:c r="N789" s="75"/>
      <x:c r="O789" s="75"/>
      <x:c r="P789" s="75"/>
      <x:c r="Q789" s="75"/>
      <x:c r="R789" s="75"/>
      <x:c r="S789" s="75"/>
      <x:c r="T789" s="75"/>
      <x:c r="U789" s="75"/>
      <x:c r="V789" s="75"/>
      <x:c r="W789" s="75"/>
      <x:c r="X789" s="75"/>
      <x:c r="Y789" s="75"/>
      <x:c r="Z789" s="75"/>
      <x:c r="AA789" s="75"/>
      <x:c r="AB789" s="75"/>
      <x:c r="AC789" s="78"/>
      <x:c r="AD789" s="75"/>
      <x:c r="AE789" s="75"/>
      <x:c r="AF789" s="75"/>
      <x:c r="AG789" s="75"/>
      <x:c r="AH789" s="75"/>
      <x:c r="AI789" s="75"/>
    </x:row>
    <x:row r="790">
      <x:c r="A790" s="75"/>
      <x:c r="B790" s="75"/>
      <x:c r="C790" s="75"/>
      <x:c r="D790" s="75"/>
      <x:c r="E790" s="75"/>
      <x:c r="F790" s="75"/>
      <x:c r="G790" s="75"/>
      <x:c r="H790" s="75"/>
      <x:c r="I790" s="75"/>
      <x:c r="J790" s="75"/>
      <x:c r="K790" s="75"/>
      <x:c r="L790" s="75"/>
      <x:c r="M790" s="75"/>
      <x:c r="N790" s="75"/>
      <x:c r="O790" s="75"/>
      <x:c r="P790" s="75"/>
      <x:c r="Q790" s="75"/>
      <x:c r="R790" s="75"/>
      <x:c r="S790" s="75"/>
      <x:c r="T790" s="75"/>
      <x:c r="U790" s="75"/>
      <x:c r="V790" s="75"/>
      <x:c r="W790" s="75"/>
      <x:c r="X790" s="75"/>
      <x:c r="Y790" s="75"/>
      <x:c r="Z790" s="75"/>
      <x:c r="AA790" s="75"/>
      <x:c r="AB790" s="75"/>
      <x:c r="AC790" s="78"/>
      <x:c r="AD790" s="75"/>
      <x:c r="AE790" s="75"/>
      <x:c r="AF790" s="75"/>
      <x:c r="AG790" s="75"/>
      <x:c r="AH790" s="75"/>
      <x:c r="AI790" s="75"/>
    </x:row>
    <x:row r="791">
      <x:c r="A791" s="75"/>
      <x:c r="B791" s="75"/>
      <x:c r="C791" s="75"/>
      <x:c r="D791" s="75"/>
      <x:c r="E791" s="75"/>
      <x:c r="F791" s="75"/>
      <x:c r="G791" s="75"/>
      <x:c r="H791" s="75"/>
      <x:c r="I791" s="75"/>
      <x:c r="J791" s="75"/>
      <x:c r="K791" s="75"/>
      <x:c r="L791" s="75"/>
      <x:c r="M791" s="75"/>
      <x:c r="N791" s="75"/>
      <x:c r="O791" s="75"/>
      <x:c r="P791" s="75"/>
      <x:c r="Q791" s="75"/>
      <x:c r="R791" s="75"/>
      <x:c r="S791" s="75"/>
      <x:c r="T791" s="75"/>
      <x:c r="U791" s="75"/>
      <x:c r="V791" s="75"/>
      <x:c r="W791" s="75"/>
      <x:c r="X791" s="75"/>
      <x:c r="Y791" s="75"/>
      <x:c r="Z791" s="75"/>
      <x:c r="AA791" s="75"/>
      <x:c r="AB791" s="75"/>
      <x:c r="AC791" s="78"/>
      <x:c r="AD791" s="75"/>
      <x:c r="AE791" s="75"/>
      <x:c r="AF791" s="75"/>
      <x:c r="AG791" s="75"/>
      <x:c r="AH791" s="75"/>
      <x:c r="AI791" s="75"/>
    </x:row>
    <x:row r="792">
      <x:c r="A792" s="75"/>
      <x:c r="B792" s="75"/>
      <x:c r="C792" s="75"/>
      <x:c r="D792" s="75"/>
      <x:c r="E792" s="75"/>
      <x:c r="F792" s="75"/>
      <x:c r="G792" s="75"/>
      <x:c r="H792" s="75"/>
      <x:c r="I792" s="75"/>
      <x:c r="J792" s="75"/>
      <x:c r="K792" s="75"/>
      <x:c r="L792" s="75"/>
      <x:c r="M792" s="75"/>
      <x:c r="N792" s="75"/>
      <x:c r="O792" s="75"/>
      <x:c r="P792" s="75"/>
      <x:c r="Q792" s="75"/>
      <x:c r="R792" s="75"/>
      <x:c r="S792" s="75"/>
      <x:c r="T792" s="75"/>
      <x:c r="U792" s="75"/>
      <x:c r="V792" s="75"/>
      <x:c r="W792" s="75"/>
      <x:c r="X792" s="75"/>
      <x:c r="Y792" s="75"/>
      <x:c r="Z792" s="75"/>
      <x:c r="AA792" s="75"/>
      <x:c r="AB792" s="75"/>
      <x:c r="AC792" s="78"/>
      <x:c r="AD792" s="75"/>
      <x:c r="AE792" s="75"/>
      <x:c r="AF792" s="75"/>
      <x:c r="AG792" s="75"/>
      <x:c r="AH792" s="75"/>
      <x:c r="AI792" s="75"/>
    </x:row>
    <x:row r="793">
      <x:c r="A793" s="75"/>
      <x:c r="B793" s="75"/>
      <x:c r="C793" s="75"/>
      <x:c r="D793" s="75"/>
      <x:c r="E793" s="75"/>
      <x:c r="F793" s="75"/>
      <x:c r="G793" s="75"/>
      <x:c r="H793" s="75"/>
      <x:c r="I793" s="75"/>
      <x:c r="J793" s="75"/>
      <x:c r="K793" s="75"/>
      <x:c r="L793" s="75"/>
      <x:c r="M793" s="75"/>
      <x:c r="N793" s="75"/>
      <x:c r="O793" s="75"/>
      <x:c r="P793" s="75"/>
      <x:c r="Q793" s="75"/>
      <x:c r="R793" s="75"/>
      <x:c r="S793" s="75"/>
      <x:c r="T793" s="75"/>
      <x:c r="U793" s="75"/>
      <x:c r="V793" s="75"/>
      <x:c r="W793" s="75"/>
      <x:c r="X793" s="75"/>
      <x:c r="Y793" s="75"/>
      <x:c r="Z793" s="75"/>
      <x:c r="AA793" s="75"/>
      <x:c r="AB793" s="75"/>
      <x:c r="AC793" s="78"/>
      <x:c r="AD793" s="75"/>
      <x:c r="AE793" s="75"/>
      <x:c r="AF793" s="75"/>
      <x:c r="AG793" s="75"/>
      <x:c r="AH793" s="75"/>
      <x:c r="AI793" s="75"/>
    </x:row>
    <x:row r="794">
      <x:c r="A794" s="75"/>
      <x:c r="B794" s="75"/>
      <x:c r="C794" s="75"/>
      <x:c r="D794" s="75"/>
      <x:c r="E794" s="75"/>
      <x:c r="F794" s="75"/>
      <x:c r="G794" s="75"/>
      <x:c r="H794" s="75"/>
      <x:c r="I794" s="75"/>
      <x:c r="J794" s="75"/>
      <x:c r="K794" s="75"/>
      <x:c r="L794" s="75"/>
      <x:c r="M794" s="75"/>
      <x:c r="N794" s="75"/>
      <x:c r="O794" s="75"/>
      <x:c r="P794" s="75"/>
      <x:c r="Q794" s="75"/>
      <x:c r="R794" s="75"/>
      <x:c r="S794" s="75"/>
      <x:c r="T794" s="75"/>
      <x:c r="U794" s="75"/>
      <x:c r="V794" s="75"/>
      <x:c r="W794" s="75"/>
      <x:c r="X794" s="75"/>
      <x:c r="Y794" s="75"/>
      <x:c r="Z794" s="75"/>
      <x:c r="AA794" s="75"/>
      <x:c r="AB794" s="75"/>
      <x:c r="AC794" s="78"/>
      <x:c r="AD794" s="75"/>
      <x:c r="AE794" s="75"/>
      <x:c r="AF794" s="75"/>
      <x:c r="AG794" s="75"/>
      <x:c r="AH794" s="75"/>
      <x:c r="AI794" s="75"/>
    </x:row>
    <x:row r="795">
      <x:c r="A795" s="75"/>
      <x:c r="B795" s="75"/>
      <x:c r="C795" s="75"/>
      <x:c r="D795" s="75"/>
      <x:c r="E795" s="75"/>
      <x:c r="F795" s="75"/>
      <x:c r="G795" s="75"/>
      <x:c r="H795" s="75"/>
      <x:c r="I795" s="75"/>
      <x:c r="J795" s="75"/>
      <x:c r="K795" s="75"/>
      <x:c r="L795" s="75"/>
      <x:c r="M795" s="75"/>
      <x:c r="N795" s="75"/>
      <x:c r="O795" s="75"/>
      <x:c r="P795" s="75"/>
      <x:c r="Q795" s="75"/>
      <x:c r="R795" s="75"/>
      <x:c r="S795" s="75"/>
      <x:c r="T795" s="75"/>
      <x:c r="U795" s="75"/>
      <x:c r="V795" s="75"/>
      <x:c r="W795" s="75"/>
      <x:c r="X795" s="75"/>
      <x:c r="Y795" s="75"/>
      <x:c r="Z795" s="75"/>
      <x:c r="AA795" s="75"/>
      <x:c r="AB795" s="75"/>
      <x:c r="AC795" s="78"/>
      <x:c r="AD795" s="75"/>
      <x:c r="AE795" s="75"/>
      <x:c r="AF795" s="75"/>
      <x:c r="AG795" s="75"/>
      <x:c r="AH795" s="75"/>
      <x:c r="AI795" s="75"/>
    </x:row>
    <x:row r="796">
      <x:c r="A796" s="75"/>
      <x:c r="B796" s="75"/>
      <x:c r="C796" s="75"/>
      <x:c r="D796" s="75"/>
      <x:c r="E796" s="75"/>
      <x:c r="F796" s="75"/>
      <x:c r="G796" s="75"/>
      <x:c r="H796" s="75"/>
      <x:c r="I796" s="75"/>
      <x:c r="J796" s="75"/>
      <x:c r="K796" s="75"/>
      <x:c r="L796" s="75"/>
      <x:c r="M796" s="75"/>
      <x:c r="N796" s="75"/>
      <x:c r="O796" s="75"/>
      <x:c r="P796" s="75"/>
      <x:c r="Q796" s="75"/>
      <x:c r="R796" s="75"/>
      <x:c r="S796" s="75"/>
      <x:c r="T796" s="75"/>
      <x:c r="U796" s="75"/>
      <x:c r="V796" s="75"/>
      <x:c r="W796" s="75"/>
      <x:c r="X796" s="75"/>
      <x:c r="Y796" s="75"/>
      <x:c r="Z796" s="75"/>
      <x:c r="AA796" s="75"/>
      <x:c r="AB796" s="75"/>
      <x:c r="AC796" s="78"/>
      <x:c r="AD796" s="75"/>
      <x:c r="AE796" s="75"/>
      <x:c r="AF796" s="75"/>
      <x:c r="AG796" s="75"/>
      <x:c r="AH796" s="75"/>
      <x:c r="AI796" s="75"/>
    </x:row>
    <x:row r="797">
      <x:c r="A797" s="75"/>
      <x:c r="B797" s="75"/>
      <x:c r="C797" s="75"/>
      <x:c r="D797" s="75"/>
      <x:c r="E797" s="75"/>
      <x:c r="F797" s="75"/>
      <x:c r="G797" s="75"/>
      <x:c r="H797" s="75"/>
      <x:c r="I797" s="75"/>
      <x:c r="J797" s="75"/>
      <x:c r="K797" s="75"/>
      <x:c r="L797" s="75"/>
      <x:c r="M797" s="75"/>
      <x:c r="N797" s="75"/>
      <x:c r="O797" s="75"/>
      <x:c r="P797" s="75"/>
      <x:c r="Q797" s="75"/>
      <x:c r="R797" s="75"/>
      <x:c r="S797" s="75"/>
      <x:c r="T797" s="75"/>
      <x:c r="U797" s="75"/>
      <x:c r="V797" s="75"/>
      <x:c r="W797" s="75"/>
      <x:c r="X797" s="75"/>
      <x:c r="Y797" s="75"/>
      <x:c r="Z797" s="75"/>
      <x:c r="AA797" s="75"/>
      <x:c r="AB797" s="75"/>
      <x:c r="AC797" s="78"/>
      <x:c r="AD797" s="75"/>
      <x:c r="AE797" s="75"/>
      <x:c r="AF797" s="75"/>
      <x:c r="AG797" s="75"/>
      <x:c r="AH797" s="75"/>
      <x:c r="AI797" s="75"/>
    </x:row>
    <x:row r="798">
      <x:c r="A798" s="75"/>
      <x:c r="B798" s="75"/>
      <x:c r="C798" s="75"/>
      <x:c r="D798" s="75"/>
      <x:c r="E798" s="75"/>
      <x:c r="F798" s="75"/>
      <x:c r="G798" s="75"/>
      <x:c r="H798" s="75"/>
      <x:c r="I798" s="75"/>
      <x:c r="J798" s="75"/>
      <x:c r="K798" s="75"/>
      <x:c r="L798" s="75"/>
      <x:c r="M798" s="75"/>
      <x:c r="N798" s="75"/>
      <x:c r="O798" s="75"/>
      <x:c r="P798" s="75"/>
      <x:c r="Q798" s="75"/>
      <x:c r="R798" s="75"/>
      <x:c r="S798" s="75"/>
      <x:c r="T798" s="75"/>
      <x:c r="U798" s="75"/>
      <x:c r="V798" s="75"/>
      <x:c r="W798" s="75"/>
      <x:c r="X798" s="75"/>
      <x:c r="Y798" s="75"/>
      <x:c r="Z798" s="75"/>
      <x:c r="AA798" s="75"/>
      <x:c r="AB798" s="75"/>
      <x:c r="AC798" s="78"/>
      <x:c r="AD798" s="75"/>
      <x:c r="AE798" s="75"/>
      <x:c r="AF798" s="75"/>
      <x:c r="AG798" s="75"/>
      <x:c r="AH798" s="75"/>
      <x:c r="AI798" s="75"/>
    </x:row>
    <x:row r="799">
      <x:c r="A799" s="75"/>
      <x:c r="B799" s="75"/>
      <x:c r="C799" s="75"/>
      <x:c r="D799" s="75"/>
      <x:c r="E799" s="75"/>
      <x:c r="F799" s="75"/>
      <x:c r="G799" s="75"/>
      <x:c r="H799" s="75"/>
      <x:c r="I799" s="75"/>
      <x:c r="J799" s="75"/>
      <x:c r="K799" s="75"/>
      <x:c r="L799" s="75"/>
      <x:c r="M799" s="75"/>
      <x:c r="N799" s="75"/>
      <x:c r="O799" s="75"/>
      <x:c r="P799" s="75"/>
      <x:c r="Q799" s="75"/>
      <x:c r="R799" s="75"/>
      <x:c r="S799" s="75"/>
      <x:c r="T799" s="75"/>
      <x:c r="U799" s="75"/>
      <x:c r="V799" s="75"/>
      <x:c r="W799" s="75"/>
      <x:c r="X799" s="75"/>
      <x:c r="Y799" s="75"/>
      <x:c r="Z799" s="75"/>
      <x:c r="AA799" s="75"/>
      <x:c r="AB799" s="75"/>
      <x:c r="AC799" s="78"/>
      <x:c r="AD799" s="75"/>
      <x:c r="AE799" s="75"/>
      <x:c r="AF799" s="75"/>
      <x:c r="AG799" s="75"/>
      <x:c r="AH799" s="75"/>
      <x:c r="AI799" s="75"/>
    </x:row>
    <x:row r="800">
      <x:c r="A800" s="75"/>
      <x:c r="B800" s="75"/>
      <x:c r="C800" s="75"/>
      <x:c r="D800" s="75"/>
      <x:c r="E800" s="75"/>
      <x:c r="F800" s="75"/>
      <x:c r="G800" s="75"/>
      <x:c r="H800" s="75"/>
      <x:c r="I800" s="75"/>
      <x:c r="J800" s="75"/>
      <x:c r="K800" s="75"/>
      <x:c r="L800" s="75"/>
      <x:c r="M800" s="75"/>
      <x:c r="N800" s="75"/>
      <x:c r="O800" s="75"/>
      <x:c r="P800" s="75"/>
      <x:c r="Q800" s="75"/>
      <x:c r="R800" s="75"/>
      <x:c r="S800" s="75"/>
      <x:c r="T800" s="75"/>
      <x:c r="U800" s="75"/>
      <x:c r="V800" s="75"/>
      <x:c r="W800" s="75"/>
      <x:c r="X800" s="75"/>
      <x:c r="Y800" s="75"/>
      <x:c r="Z800" s="75"/>
      <x:c r="AA800" s="75"/>
      <x:c r="AB800" s="75"/>
      <x:c r="AC800" s="78"/>
      <x:c r="AD800" s="75"/>
      <x:c r="AE800" s="75"/>
      <x:c r="AF800" s="75"/>
      <x:c r="AG800" s="75"/>
      <x:c r="AH800" s="75"/>
      <x:c r="AI800" s="75"/>
    </x:row>
    <x:row r="801">
      <x:c r="A801" s="75"/>
      <x:c r="B801" s="75"/>
      <x:c r="C801" s="75"/>
      <x:c r="D801" s="75"/>
      <x:c r="E801" s="75"/>
      <x:c r="F801" s="75"/>
      <x:c r="G801" s="75"/>
      <x:c r="H801" s="75"/>
      <x:c r="I801" s="75"/>
      <x:c r="J801" s="75"/>
      <x:c r="K801" s="75"/>
      <x:c r="L801" s="75"/>
      <x:c r="M801" s="75"/>
      <x:c r="N801" s="75"/>
      <x:c r="O801" s="75"/>
      <x:c r="P801" s="75"/>
      <x:c r="Q801" s="75"/>
      <x:c r="R801" s="75"/>
      <x:c r="S801" s="75"/>
      <x:c r="T801" s="75"/>
      <x:c r="U801" s="75"/>
      <x:c r="V801" s="75"/>
      <x:c r="W801" s="75"/>
      <x:c r="X801" s="75"/>
      <x:c r="Y801" s="75"/>
      <x:c r="Z801" s="75"/>
      <x:c r="AA801" s="75"/>
      <x:c r="AB801" s="75"/>
      <x:c r="AC801" s="78"/>
      <x:c r="AD801" s="75"/>
      <x:c r="AE801" s="75"/>
      <x:c r="AF801" s="75"/>
      <x:c r="AG801" s="75"/>
      <x:c r="AH801" s="75"/>
      <x:c r="AI801" s="75"/>
    </x:row>
    <x:row r="802">
      <x:c r="A802" s="75"/>
      <x:c r="B802" s="75"/>
      <x:c r="C802" s="75"/>
      <x:c r="D802" s="75"/>
      <x:c r="E802" s="75"/>
      <x:c r="F802" s="75"/>
      <x:c r="G802" s="75"/>
      <x:c r="H802" s="75"/>
      <x:c r="I802" s="75"/>
      <x:c r="J802" s="75"/>
      <x:c r="K802" s="75"/>
      <x:c r="L802" s="75"/>
      <x:c r="M802" s="75"/>
      <x:c r="N802" s="75"/>
      <x:c r="O802" s="75"/>
      <x:c r="P802" s="75"/>
      <x:c r="Q802" s="75"/>
      <x:c r="R802" s="75"/>
      <x:c r="S802" s="75"/>
      <x:c r="T802" s="75"/>
      <x:c r="U802" s="75"/>
      <x:c r="V802" s="75"/>
      <x:c r="W802" s="75"/>
      <x:c r="X802" s="75"/>
      <x:c r="Y802" s="75"/>
      <x:c r="Z802" s="75"/>
      <x:c r="AA802" s="75"/>
      <x:c r="AB802" s="75"/>
      <x:c r="AC802" s="78"/>
      <x:c r="AD802" s="75"/>
      <x:c r="AE802" s="75"/>
      <x:c r="AF802" s="75"/>
      <x:c r="AG802" s="75"/>
      <x:c r="AH802" s="75"/>
      <x:c r="AI802" s="75"/>
    </x:row>
    <x:row r="803">
      <x:c r="A803" s="75"/>
      <x:c r="B803" s="75"/>
      <x:c r="C803" s="75"/>
      <x:c r="D803" s="75"/>
      <x:c r="E803" s="75"/>
      <x:c r="F803" s="75"/>
      <x:c r="G803" s="75"/>
      <x:c r="H803" s="75"/>
      <x:c r="I803" s="75"/>
      <x:c r="J803" s="75"/>
      <x:c r="K803" s="75"/>
      <x:c r="L803" s="75"/>
      <x:c r="M803" s="75"/>
      <x:c r="N803" s="75"/>
      <x:c r="O803" s="75"/>
      <x:c r="P803" s="75"/>
      <x:c r="Q803" s="75"/>
      <x:c r="R803" s="75"/>
      <x:c r="S803" s="75"/>
      <x:c r="T803" s="75"/>
      <x:c r="U803" s="75"/>
      <x:c r="V803" s="75"/>
      <x:c r="W803" s="75"/>
      <x:c r="X803" s="75"/>
      <x:c r="Y803" s="75"/>
      <x:c r="Z803" s="75"/>
      <x:c r="AA803" s="75"/>
      <x:c r="AB803" s="75"/>
      <x:c r="AC803" s="78"/>
      <x:c r="AD803" s="75"/>
      <x:c r="AE803" s="75"/>
      <x:c r="AF803" s="75"/>
      <x:c r="AG803" s="75"/>
      <x:c r="AH803" s="75"/>
      <x:c r="AI803" s="75"/>
    </x:row>
    <x:row r="804">
      <x:c r="A804" s="75"/>
      <x:c r="B804" s="75"/>
      <x:c r="C804" s="75"/>
      <x:c r="D804" s="75"/>
      <x:c r="E804" s="75"/>
      <x:c r="F804" s="75"/>
      <x:c r="G804" s="75"/>
      <x:c r="H804" s="75"/>
      <x:c r="I804" s="75"/>
      <x:c r="J804" s="75"/>
      <x:c r="K804" s="75"/>
      <x:c r="L804" s="75"/>
      <x:c r="M804" s="75"/>
      <x:c r="N804" s="75"/>
      <x:c r="O804" s="75"/>
      <x:c r="P804" s="75"/>
      <x:c r="Q804" s="75"/>
      <x:c r="R804" s="75"/>
      <x:c r="S804" s="75"/>
      <x:c r="T804" s="75"/>
      <x:c r="U804" s="75"/>
      <x:c r="V804" s="75"/>
      <x:c r="W804" s="75"/>
      <x:c r="X804" s="75"/>
      <x:c r="Y804" s="75"/>
      <x:c r="Z804" s="75"/>
      <x:c r="AA804" s="75"/>
      <x:c r="AB804" s="75"/>
      <x:c r="AC804" s="78"/>
      <x:c r="AD804" s="75"/>
      <x:c r="AE804" s="75"/>
      <x:c r="AF804" s="75"/>
      <x:c r="AG804" s="75"/>
      <x:c r="AH804" s="75"/>
      <x:c r="AI804" s="75"/>
    </x:row>
    <x:row r="805">
      <x:c r="A805" s="75"/>
      <x:c r="B805" s="75"/>
      <x:c r="C805" s="75"/>
      <x:c r="D805" s="75"/>
      <x:c r="E805" s="75"/>
      <x:c r="F805" s="75"/>
      <x:c r="G805" s="75"/>
      <x:c r="H805" s="75"/>
      <x:c r="I805" s="75"/>
      <x:c r="J805" s="75"/>
      <x:c r="K805" s="75"/>
      <x:c r="L805" s="75"/>
      <x:c r="M805" s="75"/>
      <x:c r="N805" s="75"/>
      <x:c r="O805" s="75"/>
      <x:c r="P805" s="75"/>
      <x:c r="Q805" s="75"/>
      <x:c r="R805" s="75"/>
      <x:c r="S805" s="75"/>
      <x:c r="T805" s="75"/>
      <x:c r="U805" s="75"/>
      <x:c r="V805" s="75"/>
      <x:c r="W805" s="75"/>
      <x:c r="X805" s="75"/>
      <x:c r="Y805" s="75"/>
      <x:c r="Z805" s="75"/>
      <x:c r="AA805" s="75"/>
      <x:c r="AB805" s="75"/>
      <x:c r="AC805" s="78"/>
      <x:c r="AD805" s="75"/>
      <x:c r="AE805" s="75"/>
      <x:c r="AF805" s="75"/>
      <x:c r="AG805" s="75"/>
      <x:c r="AH805" s="75"/>
      <x:c r="AI805" s="75"/>
    </x:row>
    <x:row r="806">
      <x:c r="A806" s="75"/>
      <x:c r="B806" s="75"/>
      <x:c r="C806" s="75"/>
      <x:c r="D806" s="75"/>
      <x:c r="E806" s="75"/>
      <x:c r="F806" s="75"/>
      <x:c r="G806" s="75"/>
      <x:c r="H806" s="75"/>
      <x:c r="I806" s="75"/>
      <x:c r="J806" s="75"/>
      <x:c r="K806" s="75"/>
      <x:c r="L806" s="75"/>
      <x:c r="M806" s="75"/>
      <x:c r="N806" s="75"/>
      <x:c r="O806" s="75"/>
      <x:c r="P806" s="75"/>
      <x:c r="Q806" s="75"/>
      <x:c r="R806" s="75"/>
      <x:c r="S806" s="75"/>
      <x:c r="T806" s="75"/>
      <x:c r="U806" s="75"/>
      <x:c r="V806" s="75"/>
      <x:c r="W806" s="75"/>
      <x:c r="X806" s="75"/>
      <x:c r="Y806" s="75"/>
      <x:c r="Z806" s="75"/>
      <x:c r="AA806" s="75"/>
      <x:c r="AB806" s="75"/>
      <x:c r="AC806" s="78"/>
      <x:c r="AD806" s="75"/>
      <x:c r="AE806" s="75"/>
      <x:c r="AF806" s="75"/>
      <x:c r="AG806" s="75"/>
      <x:c r="AH806" s="75"/>
      <x:c r="AI806" s="75"/>
    </x:row>
    <x:row r="807">
      <x:c r="A807" s="75"/>
      <x:c r="B807" s="75"/>
      <x:c r="C807" s="75"/>
      <x:c r="D807" s="75"/>
      <x:c r="E807" s="75"/>
      <x:c r="F807" s="75"/>
      <x:c r="G807" s="75"/>
      <x:c r="H807" s="75"/>
      <x:c r="I807" s="75"/>
      <x:c r="J807" s="75"/>
      <x:c r="K807" s="75"/>
      <x:c r="L807" s="75"/>
      <x:c r="M807" s="75"/>
      <x:c r="N807" s="75"/>
      <x:c r="O807" s="75"/>
      <x:c r="P807" s="75"/>
      <x:c r="Q807" s="75"/>
      <x:c r="R807" s="75"/>
      <x:c r="S807" s="75"/>
      <x:c r="T807" s="75"/>
      <x:c r="U807" s="75"/>
      <x:c r="V807" s="75"/>
      <x:c r="W807" s="75"/>
      <x:c r="X807" s="75"/>
      <x:c r="Y807" s="75"/>
      <x:c r="Z807" s="75"/>
      <x:c r="AA807" s="75"/>
      <x:c r="AB807" s="75"/>
      <x:c r="AC807" s="78"/>
      <x:c r="AD807" s="75"/>
      <x:c r="AE807" s="75"/>
      <x:c r="AF807" s="75"/>
      <x:c r="AG807" s="75"/>
      <x:c r="AH807" s="75"/>
      <x:c r="AI807" s="75"/>
    </x:row>
    <x:row r="808">
      <x:c r="A808" s="75"/>
      <x:c r="B808" s="75"/>
      <x:c r="C808" s="75"/>
      <x:c r="D808" s="75"/>
      <x:c r="E808" s="75"/>
      <x:c r="F808" s="75"/>
      <x:c r="G808" s="75"/>
      <x:c r="H808" s="75"/>
      <x:c r="I808" s="75"/>
      <x:c r="J808" s="75"/>
      <x:c r="K808" s="75"/>
      <x:c r="L808" s="75"/>
      <x:c r="M808" s="75"/>
      <x:c r="N808" s="75"/>
      <x:c r="O808" s="75"/>
      <x:c r="P808" s="75"/>
      <x:c r="Q808" s="75"/>
      <x:c r="R808" s="75"/>
      <x:c r="S808" s="75"/>
      <x:c r="T808" s="75"/>
      <x:c r="U808" s="75"/>
      <x:c r="V808" s="75"/>
      <x:c r="W808" s="75"/>
      <x:c r="X808" s="75"/>
      <x:c r="Y808" s="75"/>
      <x:c r="Z808" s="75"/>
      <x:c r="AA808" s="75"/>
      <x:c r="AB808" s="75"/>
      <x:c r="AC808" s="78"/>
      <x:c r="AD808" s="75"/>
      <x:c r="AE808" s="75"/>
      <x:c r="AF808" s="75"/>
      <x:c r="AG808" s="75"/>
      <x:c r="AH808" s="75"/>
      <x:c r="AI808" s="75"/>
    </x:row>
    <x:row r="809">
      <x:c r="A809" s="75"/>
      <x:c r="B809" s="75"/>
      <x:c r="C809" s="75"/>
      <x:c r="D809" s="75"/>
      <x:c r="E809" s="75"/>
      <x:c r="F809" s="75"/>
      <x:c r="G809" s="75"/>
      <x:c r="H809" s="75"/>
      <x:c r="I809" s="75"/>
      <x:c r="J809" s="75"/>
      <x:c r="K809" s="75"/>
      <x:c r="L809" s="75"/>
      <x:c r="M809" s="75"/>
      <x:c r="N809" s="75"/>
      <x:c r="O809" s="75"/>
      <x:c r="P809" s="75"/>
      <x:c r="Q809" s="75"/>
      <x:c r="R809" s="75"/>
      <x:c r="S809" s="75"/>
      <x:c r="T809" s="75"/>
      <x:c r="U809" s="75"/>
      <x:c r="V809" s="75"/>
      <x:c r="W809" s="75"/>
      <x:c r="X809" s="75"/>
      <x:c r="Y809" s="75"/>
      <x:c r="Z809" s="75"/>
      <x:c r="AA809" s="75"/>
      <x:c r="AB809" s="75"/>
      <x:c r="AC809" s="78"/>
      <x:c r="AD809" s="75"/>
      <x:c r="AE809" s="75"/>
      <x:c r="AF809" s="75"/>
      <x:c r="AG809" s="75"/>
      <x:c r="AH809" s="75"/>
      <x:c r="AI809" s="75"/>
    </x:row>
    <x:row r="810">
      <x:c r="A810" s="75"/>
      <x:c r="B810" s="75"/>
      <x:c r="C810" s="75"/>
      <x:c r="D810" s="75"/>
      <x:c r="E810" s="75"/>
      <x:c r="F810" s="75"/>
      <x:c r="G810" s="75"/>
      <x:c r="H810" s="75"/>
      <x:c r="I810" s="75"/>
      <x:c r="J810" s="75"/>
      <x:c r="K810" s="75"/>
      <x:c r="L810" s="75"/>
      <x:c r="M810" s="75"/>
      <x:c r="N810" s="75"/>
      <x:c r="O810" s="75"/>
      <x:c r="P810" s="75"/>
      <x:c r="Q810" s="75"/>
      <x:c r="R810" s="75"/>
      <x:c r="S810" s="75"/>
      <x:c r="T810" s="75"/>
      <x:c r="U810" s="75"/>
      <x:c r="V810" s="75"/>
      <x:c r="W810" s="75"/>
      <x:c r="X810" s="75"/>
      <x:c r="Y810" s="75"/>
      <x:c r="Z810" s="75"/>
      <x:c r="AA810" s="75"/>
      <x:c r="AB810" s="75"/>
      <x:c r="AC810" s="78"/>
      <x:c r="AD810" s="75"/>
      <x:c r="AE810" s="75"/>
      <x:c r="AF810" s="75"/>
      <x:c r="AG810" s="75"/>
      <x:c r="AH810" s="75"/>
      <x:c r="AI810" s="75"/>
    </x:row>
    <x:row r="811">
      <x:c r="A811" s="75"/>
      <x:c r="B811" s="75"/>
      <x:c r="C811" s="75"/>
      <x:c r="D811" s="75"/>
      <x:c r="E811" s="75"/>
      <x:c r="F811" s="75"/>
      <x:c r="G811" s="75"/>
      <x:c r="H811" s="75"/>
      <x:c r="I811" s="75"/>
      <x:c r="J811" s="75"/>
      <x:c r="K811" s="75"/>
      <x:c r="L811" s="75"/>
      <x:c r="M811" s="75"/>
      <x:c r="N811" s="75"/>
      <x:c r="O811" s="75"/>
      <x:c r="P811" s="75"/>
      <x:c r="Q811" s="75"/>
      <x:c r="R811" s="75"/>
      <x:c r="S811" s="75"/>
      <x:c r="T811" s="75"/>
      <x:c r="U811" s="75"/>
      <x:c r="V811" s="75"/>
      <x:c r="W811" s="75"/>
      <x:c r="X811" s="75"/>
      <x:c r="Y811" s="75"/>
      <x:c r="Z811" s="75"/>
      <x:c r="AA811" s="75"/>
      <x:c r="AB811" s="75"/>
      <x:c r="AC811" s="78"/>
      <x:c r="AD811" s="75"/>
      <x:c r="AE811" s="75"/>
      <x:c r="AF811" s="75"/>
      <x:c r="AG811" s="75"/>
      <x:c r="AH811" s="75"/>
      <x:c r="AI811" s="75"/>
    </x:row>
    <x:row r="812">
      <x:c r="A812" s="75"/>
      <x:c r="B812" s="75"/>
      <x:c r="C812" s="75"/>
      <x:c r="D812" s="75"/>
      <x:c r="E812" s="75"/>
      <x:c r="F812" s="75"/>
      <x:c r="G812" s="75"/>
      <x:c r="H812" s="75"/>
      <x:c r="I812" s="75"/>
      <x:c r="J812" s="75"/>
      <x:c r="K812" s="75"/>
      <x:c r="L812" s="75"/>
      <x:c r="M812" s="75"/>
      <x:c r="N812" s="75"/>
      <x:c r="O812" s="75"/>
      <x:c r="P812" s="75"/>
      <x:c r="Q812" s="75"/>
      <x:c r="R812" s="75"/>
      <x:c r="S812" s="75"/>
      <x:c r="T812" s="75"/>
      <x:c r="U812" s="75"/>
      <x:c r="V812" s="75"/>
      <x:c r="W812" s="75"/>
      <x:c r="X812" s="75"/>
      <x:c r="Y812" s="75"/>
      <x:c r="Z812" s="75"/>
      <x:c r="AA812" s="75"/>
      <x:c r="AB812" s="75"/>
      <x:c r="AC812" s="78"/>
      <x:c r="AD812" s="75"/>
      <x:c r="AE812" s="75"/>
      <x:c r="AF812" s="75"/>
      <x:c r="AG812" s="75"/>
      <x:c r="AH812" s="75"/>
      <x:c r="AI812" s="75"/>
    </x:row>
    <x:row r="813">
      <x:c r="A813" s="75"/>
      <x:c r="B813" s="75"/>
      <x:c r="C813" s="75"/>
      <x:c r="D813" s="75"/>
      <x:c r="E813" s="75"/>
      <x:c r="F813" s="75"/>
      <x:c r="G813" s="75"/>
      <x:c r="H813" s="75"/>
      <x:c r="I813" s="75"/>
      <x:c r="J813" s="75"/>
      <x:c r="K813" s="75"/>
      <x:c r="L813" s="75"/>
      <x:c r="M813" s="75"/>
      <x:c r="N813" s="75"/>
      <x:c r="O813" s="75"/>
      <x:c r="P813" s="75"/>
      <x:c r="Q813" s="75"/>
      <x:c r="R813" s="75"/>
      <x:c r="S813" s="75"/>
      <x:c r="T813" s="75"/>
      <x:c r="U813" s="75"/>
      <x:c r="V813" s="75"/>
      <x:c r="W813" s="75"/>
      <x:c r="X813" s="75"/>
      <x:c r="Y813" s="75"/>
      <x:c r="Z813" s="75"/>
      <x:c r="AA813" s="75"/>
      <x:c r="AB813" s="75"/>
      <x:c r="AC813" s="78"/>
      <x:c r="AD813" s="75"/>
      <x:c r="AE813" s="75"/>
      <x:c r="AF813" s="75"/>
      <x:c r="AG813" s="75"/>
      <x:c r="AH813" s="75"/>
      <x:c r="AI813" s="75"/>
    </x:row>
    <x:row r="814">
      <x:c r="A814" s="75"/>
      <x:c r="B814" s="75"/>
      <x:c r="C814" s="75"/>
      <x:c r="D814" s="75"/>
      <x:c r="E814" s="75"/>
      <x:c r="F814" s="75"/>
      <x:c r="G814" s="75"/>
      <x:c r="H814" s="75"/>
      <x:c r="I814" s="75"/>
      <x:c r="J814" s="75"/>
      <x:c r="K814" s="75"/>
      <x:c r="L814" s="75"/>
      <x:c r="M814" s="75"/>
      <x:c r="N814" s="75"/>
      <x:c r="O814" s="75"/>
      <x:c r="P814" s="75"/>
      <x:c r="Q814" s="75"/>
      <x:c r="R814" s="75"/>
      <x:c r="S814" s="75"/>
      <x:c r="T814" s="75"/>
      <x:c r="U814" s="75"/>
      <x:c r="V814" s="75"/>
      <x:c r="W814" s="75"/>
      <x:c r="X814" s="75"/>
      <x:c r="Y814" s="75"/>
      <x:c r="Z814" s="75"/>
      <x:c r="AA814" s="75"/>
      <x:c r="AB814" s="75"/>
      <x:c r="AC814" s="78"/>
      <x:c r="AD814" s="75"/>
      <x:c r="AE814" s="75"/>
      <x:c r="AF814" s="75"/>
      <x:c r="AG814" s="75"/>
      <x:c r="AH814" s="75"/>
      <x:c r="AI814" s="75"/>
    </x:row>
    <x:row r="815">
      <x:c r="A815" s="75"/>
      <x:c r="B815" s="75"/>
      <x:c r="C815" s="75"/>
      <x:c r="D815" s="75"/>
      <x:c r="E815" s="75"/>
      <x:c r="F815" s="75"/>
      <x:c r="G815" s="75"/>
      <x:c r="H815" s="75"/>
      <x:c r="I815" s="75"/>
      <x:c r="J815" s="75"/>
      <x:c r="K815" s="75"/>
      <x:c r="L815" s="75"/>
      <x:c r="M815" s="75"/>
      <x:c r="N815" s="75"/>
      <x:c r="O815" s="75"/>
      <x:c r="P815" s="75"/>
      <x:c r="Q815" s="75"/>
      <x:c r="R815" s="75"/>
      <x:c r="S815" s="75"/>
      <x:c r="T815" s="75"/>
      <x:c r="U815" s="75"/>
      <x:c r="V815" s="75"/>
      <x:c r="W815" s="75"/>
      <x:c r="X815" s="75"/>
      <x:c r="Y815" s="75"/>
      <x:c r="Z815" s="75"/>
      <x:c r="AA815" s="75"/>
      <x:c r="AB815" s="75"/>
      <x:c r="AC815" s="78"/>
      <x:c r="AD815" s="75"/>
      <x:c r="AE815" s="75"/>
      <x:c r="AF815" s="75"/>
      <x:c r="AG815" s="75"/>
      <x:c r="AH815" s="75"/>
      <x:c r="AI815" s="75"/>
    </x:row>
    <x:row r="816">
      <x:c r="A816" s="75"/>
      <x:c r="B816" s="75"/>
      <x:c r="C816" s="75"/>
      <x:c r="D816" s="75"/>
      <x:c r="E816" s="75"/>
      <x:c r="F816" s="75"/>
      <x:c r="G816" s="75"/>
      <x:c r="H816" s="75"/>
      <x:c r="I816" s="75"/>
      <x:c r="J816" s="75"/>
      <x:c r="K816" s="75"/>
      <x:c r="L816" s="75"/>
      <x:c r="M816" s="75"/>
      <x:c r="N816" s="75"/>
      <x:c r="O816" s="75"/>
      <x:c r="P816" s="75"/>
      <x:c r="Q816" s="75"/>
      <x:c r="R816" s="75"/>
      <x:c r="S816" s="75"/>
      <x:c r="T816" s="75"/>
      <x:c r="U816" s="75"/>
      <x:c r="V816" s="75"/>
      <x:c r="W816" s="75"/>
      <x:c r="X816" s="75"/>
      <x:c r="Y816" s="75"/>
      <x:c r="Z816" s="75"/>
      <x:c r="AA816" s="75"/>
      <x:c r="AB816" s="75"/>
      <x:c r="AC816" s="78"/>
      <x:c r="AD816" s="75"/>
      <x:c r="AE816" s="75"/>
      <x:c r="AF816" s="75"/>
      <x:c r="AG816" s="75"/>
      <x:c r="AH816" s="75"/>
      <x:c r="AI816" s="75"/>
    </x:row>
    <x:row r="817">
      <x:c r="A817" s="75"/>
      <x:c r="B817" s="75"/>
      <x:c r="C817" s="75"/>
      <x:c r="D817" s="75"/>
      <x:c r="E817" s="75"/>
      <x:c r="F817" s="75"/>
      <x:c r="G817" s="75"/>
      <x:c r="H817" s="75"/>
      <x:c r="I817" s="75"/>
      <x:c r="J817" s="75"/>
      <x:c r="K817" s="75"/>
      <x:c r="L817" s="75"/>
      <x:c r="M817" s="75"/>
      <x:c r="N817" s="75"/>
      <x:c r="O817" s="75"/>
      <x:c r="P817" s="75"/>
      <x:c r="Q817" s="75"/>
      <x:c r="R817" s="75"/>
      <x:c r="S817" s="75"/>
      <x:c r="T817" s="75"/>
      <x:c r="U817" s="75"/>
      <x:c r="V817" s="75"/>
      <x:c r="W817" s="75"/>
      <x:c r="X817" s="75"/>
      <x:c r="Y817" s="75"/>
      <x:c r="Z817" s="75"/>
      <x:c r="AA817" s="75"/>
      <x:c r="AB817" s="75"/>
      <x:c r="AC817" s="78"/>
      <x:c r="AD817" s="75"/>
      <x:c r="AE817" s="75"/>
      <x:c r="AF817" s="75"/>
      <x:c r="AG817" s="75"/>
      <x:c r="AH817" s="75"/>
      <x:c r="AI817" s="75"/>
    </x:row>
    <x:row r="818">
      <x:c r="A818" s="75"/>
      <x:c r="B818" s="75"/>
      <x:c r="C818" s="75"/>
      <x:c r="D818" s="75"/>
      <x:c r="E818" s="75"/>
      <x:c r="F818" s="75"/>
      <x:c r="G818" s="75"/>
      <x:c r="H818" s="75"/>
      <x:c r="I818" s="75"/>
      <x:c r="J818" s="75"/>
      <x:c r="K818" s="75"/>
      <x:c r="L818" s="75"/>
      <x:c r="M818" s="75"/>
      <x:c r="N818" s="75"/>
      <x:c r="O818" s="75"/>
      <x:c r="P818" s="75"/>
      <x:c r="Q818" s="75"/>
      <x:c r="R818" s="75"/>
      <x:c r="S818" s="75"/>
      <x:c r="T818" s="75"/>
      <x:c r="U818" s="75"/>
      <x:c r="V818" s="75"/>
      <x:c r="W818" s="75"/>
      <x:c r="X818" s="75"/>
      <x:c r="Y818" s="75"/>
      <x:c r="Z818" s="75"/>
      <x:c r="AA818" s="75"/>
      <x:c r="AB818" s="75"/>
      <x:c r="AC818" s="78"/>
      <x:c r="AD818" s="75"/>
      <x:c r="AE818" s="75"/>
      <x:c r="AF818" s="75"/>
      <x:c r="AG818" s="75"/>
      <x:c r="AH818" s="75"/>
      <x:c r="AI818" s="75"/>
    </x:row>
    <x:row r="819">
      <x:c r="A819" s="75"/>
      <x:c r="B819" s="75"/>
      <x:c r="C819" s="75"/>
      <x:c r="D819" s="75"/>
      <x:c r="E819" s="75"/>
      <x:c r="F819" s="75"/>
      <x:c r="G819" s="75"/>
      <x:c r="H819" s="75"/>
      <x:c r="I819" s="75"/>
      <x:c r="J819" s="75"/>
      <x:c r="K819" s="75"/>
      <x:c r="L819" s="75"/>
      <x:c r="M819" s="75"/>
      <x:c r="N819" s="75"/>
      <x:c r="O819" s="75"/>
      <x:c r="P819" s="75"/>
      <x:c r="Q819" s="75"/>
      <x:c r="R819" s="75"/>
      <x:c r="S819" s="75"/>
      <x:c r="T819" s="75"/>
      <x:c r="U819" s="75"/>
      <x:c r="V819" s="75"/>
      <x:c r="W819" s="75"/>
      <x:c r="X819" s="75"/>
      <x:c r="Y819" s="75"/>
      <x:c r="Z819" s="75"/>
      <x:c r="AA819" s="75"/>
      <x:c r="AB819" s="75"/>
      <x:c r="AC819" s="78"/>
      <x:c r="AD819" s="75"/>
      <x:c r="AE819" s="75"/>
      <x:c r="AF819" s="75"/>
      <x:c r="AG819" s="75"/>
      <x:c r="AH819" s="75"/>
      <x:c r="AI819" s="75"/>
    </x:row>
    <x:row r="820">
      <x:c r="A820" s="75"/>
      <x:c r="B820" s="75"/>
      <x:c r="C820" s="75"/>
      <x:c r="D820" s="75"/>
      <x:c r="E820" s="75"/>
      <x:c r="F820" s="75"/>
      <x:c r="G820" s="75"/>
      <x:c r="H820" s="75"/>
      <x:c r="I820" s="75"/>
      <x:c r="J820" s="75"/>
      <x:c r="K820" s="75"/>
      <x:c r="L820" s="75"/>
      <x:c r="M820" s="75"/>
      <x:c r="N820" s="75"/>
      <x:c r="O820" s="75"/>
      <x:c r="P820" s="75"/>
      <x:c r="Q820" s="75"/>
      <x:c r="R820" s="75"/>
      <x:c r="S820" s="75"/>
      <x:c r="T820" s="75"/>
      <x:c r="U820" s="75"/>
      <x:c r="V820" s="75"/>
      <x:c r="W820" s="75"/>
      <x:c r="X820" s="75"/>
      <x:c r="Y820" s="75"/>
      <x:c r="Z820" s="75"/>
      <x:c r="AA820" s="75"/>
      <x:c r="AB820" s="75"/>
      <x:c r="AC820" s="78"/>
      <x:c r="AD820" s="75"/>
      <x:c r="AE820" s="75"/>
      <x:c r="AF820" s="75"/>
      <x:c r="AG820" s="75"/>
      <x:c r="AH820" s="75"/>
      <x:c r="AI820" s="75"/>
    </x:row>
    <x:row r="821">
      <x:c r="A821" s="75"/>
      <x:c r="B821" s="75"/>
      <x:c r="C821" s="75"/>
      <x:c r="D821" s="75"/>
      <x:c r="E821" s="75"/>
      <x:c r="F821" s="75"/>
      <x:c r="G821" s="75"/>
      <x:c r="H821" s="75"/>
      <x:c r="I821" s="75"/>
      <x:c r="J821" s="75"/>
      <x:c r="K821" s="75"/>
      <x:c r="L821" s="75"/>
      <x:c r="M821" s="75"/>
      <x:c r="N821" s="75"/>
      <x:c r="O821" s="75"/>
      <x:c r="P821" s="75"/>
      <x:c r="Q821" s="75"/>
      <x:c r="R821" s="75"/>
      <x:c r="S821" s="75"/>
      <x:c r="T821" s="75"/>
      <x:c r="U821" s="75"/>
      <x:c r="V821" s="75"/>
      <x:c r="W821" s="75"/>
      <x:c r="X821" s="75"/>
      <x:c r="Y821" s="75"/>
      <x:c r="Z821" s="75"/>
      <x:c r="AA821" s="75"/>
      <x:c r="AB821" s="75"/>
      <x:c r="AC821" s="78"/>
      <x:c r="AD821" s="75"/>
      <x:c r="AE821" s="75"/>
      <x:c r="AF821" s="75"/>
      <x:c r="AG821" s="75"/>
      <x:c r="AH821" s="75"/>
      <x:c r="AI821" s="75"/>
    </x:row>
    <x:row r="822">
      <x:c r="A822" s="75"/>
      <x:c r="B822" s="75"/>
      <x:c r="C822" s="75"/>
      <x:c r="D822" s="75"/>
      <x:c r="E822" s="75"/>
      <x:c r="F822" s="75"/>
      <x:c r="G822" s="75"/>
      <x:c r="H822" s="75"/>
      <x:c r="I822" s="75"/>
      <x:c r="J822" s="75"/>
      <x:c r="K822" s="75"/>
      <x:c r="L822" s="75"/>
      <x:c r="M822" s="75"/>
      <x:c r="N822" s="75"/>
      <x:c r="O822" s="75"/>
      <x:c r="P822" s="75"/>
      <x:c r="Q822" s="75"/>
      <x:c r="R822" s="75"/>
      <x:c r="S822" s="75"/>
      <x:c r="T822" s="75"/>
      <x:c r="U822" s="75"/>
      <x:c r="V822" s="75"/>
      <x:c r="W822" s="75"/>
      <x:c r="X822" s="75"/>
      <x:c r="Y822" s="75"/>
      <x:c r="Z822" s="75"/>
      <x:c r="AA822" s="75"/>
      <x:c r="AB822" s="75"/>
      <x:c r="AC822" s="78"/>
      <x:c r="AD822" s="75"/>
      <x:c r="AE822" s="75"/>
      <x:c r="AF822" s="75"/>
      <x:c r="AG822" s="75"/>
      <x:c r="AH822" s="75"/>
      <x:c r="AI822" s="75"/>
    </x:row>
    <x:row r="823">
      <x:c r="A823" s="75"/>
      <x:c r="B823" s="75"/>
      <x:c r="C823" s="75"/>
      <x:c r="D823" s="75"/>
      <x:c r="E823" s="75"/>
      <x:c r="F823" s="75"/>
      <x:c r="G823" s="75"/>
      <x:c r="H823" s="75"/>
      <x:c r="I823" s="75"/>
      <x:c r="J823" s="75"/>
      <x:c r="K823" s="75"/>
      <x:c r="L823" s="75"/>
      <x:c r="M823" s="75"/>
      <x:c r="N823" s="75"/>
      <x:c r="O823" s="75"/>
      <x:c r="P823" s="75"/>
      <x:c r="Q823" s="75"/>
      <x:c r="R823" s="75"/>
      <x:c r="S823" s="75"/>
      <x:c r="T823" s="75"/>
      <x:c r="U823" s="75"/>
      <x:c r="V823" s="75"/>
      <x:c r="W823" s="75"/>
      <x:c r="X823" s="75"/>
      <x:c r="Y823" s="75"/>
      <x:c r="Z823" s="75"/>
      <x:c r="AA823" s="75"/>
      <x:c r="AB823" s="75"/>
      <x:c r="AC823" s="78"/>
      <x:c r="AD823" s="75"/>
      <x:c r="AE823" s="75"/>
      <x:c r="AF823" s="75"/>
      <x:c r="AG823" s="75"/>
      <x:c r="AH823" s="75"/>
      <x:c r="AI823" s="75"/>
    </x:row>
    <x:row r="824">
      <x:c r="A824" s="75"/>
      <x:c r="B824" s="75"/>
      <x:c r="C824" s="75"/>
      <x:c r="D824" s="75"/>
      <x:c r="E824" s="75"/>
      <x:c r="F824" s="75"/>
      <x:c r="G824" s="75"/>
      <x:c r="H824" s="75"/>
      <x:c r="I824" s="75"/>
      <x:c r="J824" s="75"/>
      <x:c r="K824" s="75"/>
      <x:c r="L824" s="75"/>
      <x:c r="M824" s="75"/>
      <x:c r="N824" s="75"/>
      <x:c r="O824" s="75"/>
      <x:c r="P824" s="75"/>
      <x:c r="Q824" s="75"/>
      <x:c r="R824" s="75"/>
      <x:c r="S824" s="75"/>
      <x:c r="T824" s="75"/>
      <x:c r="U824" s="75"/>
      <x:c r="V824" s="75"/>
      <x:c r="W824" s="75"/>
      <x:c r="X824" s="75"/>
      <x:c r="Y824" s="75"/>
      <x:c r="Z824" s="75"/>
      <x:c r="AA824" s="75"/>
      <x:c r="AB824" s="75"/>
      <x:c r="AC824" s="78"/>
      <x:c r="AD824" s="75"/>
      <x:c r="AE824" s="75"/>
      <x:c r="AF824" s="75"/>
      <x:c r="AG824" s="75"/>
      <x:c r="AH824" s="75"/>
      <x:c r="AI824" s="75"/>
    </x:row>
    <x:row r="825">
      <x:c r="A825" s="75"/>
      <x:c r="B825" s="75"/>
      <x:c r="C825" s="75"/>
      <x:c r="D825" s="75"/>
      <x:c r="E825" s="75"/>
      <x:c r="F825" s="75"/>
      <x:c r="G825" s="75"/>
      <x:c r="H825" s="75"/>
      <x:c r="I825" s="75"/>
      <x:c r="J825" s="75"/>
      <x:c r="K825" s="75"/>
      <x:c r="L825" s="75"/>
      <x:c r="M825" s="75"/>
      <x:c r="N825" s="75"/>
      <x:c r="O825" s="75"/>
      <x:c r="P825" s="75"/>
      <x:c r="Q825" s="75"/>
      <x:c r="R825" s="75"/>
      <x:c r="S825" s="75"/>
      <x:c r="T825" s="75"/>
      <x:c r="U825" s="75"/>
      <x:c r="V825" s="75"/>
      <x:c r="W825" s="75"/>
      <x:c r="X825" s="75"/>
      <x:c r="Y825" s="75"/>
      <x:c r="Z825" s="75"/>
      <x:c r="AA825" s="75"/>
      <x:c r="AB825" s="75"/>
      <x:c r="AC825" s="78"/>
      <x:c r="AD825" s="75"/>
      <x:c r="AE825" s="75"/>
      <x:c r="AF825" s="75"/>
      <x:c r="AG825" s="75"/>
      <x:c r="AH825" s="75"/>
      <x:c r="AI825" s="75"/>
    </x:row>
    <x:row r="826">
      <x:c r="A826" s="75"/>
      <x:c r="B826" s="75"/>
      <x:c r="C826" s="75"/>
      <x:c r="D826" s="75"/>
      <x:c r="E826" s="75"/>
      <x:c r="F826" s="75"/>
      <x:c r="G826" s="75"/>
      <x:c r="H826" s="75"/>
      <x:c r="I826" s="75"/>
      <x:c r="J826" s="75"/>
      <x:c r="K826" s="75"/>
      <x:c r="L826" s="75"/>
      <x:c r="M826" s="75"/>
      <x:c r="N826" s="75"/>
      <x:c r="O826" s="75"/>
      <x:c r="P826" s="75"/>
      <x:c r="Q826" s="75"/>
      <x:c r="R826" s="75"/>
      <x:c r="S826" s="75"/>
      <x:c r="T826" s="75"/>
      <x:c r="U826" s="75"/>
      <x:c r="V826" s="75"/>
      <x:c r="W826" s="75"/>
      <x:c r="X826" s="75"/>
      <x:c r="Y826" s="75"/>
      <x:c r="Z826" s="75"/>
      <x:c r="AA826" s="75"/>
      <x:c r="AB826" s="75"/>
      <x:c r="AC826" s="78"/>
      <x:c r="AD826" s="75"/>
      <x:c r="AE826" s="75"/>
      <x:c r="AF826" s="75"/>
      <x:c r="AG826" s="75"/>
      <x:c r="AH826" s="75"/>
      <x:c r="AI826" s="75"/>
    </x:row>
    <x:row r="827">
      <x:c r="A827" s="75"/>
      <x:c r="B827" s="75"/>
      <x:c r="C827" s="75"/>
      <x:c r="D827" s="75"/>
      <x:c r="E827" s="75"/>
      <x:c r="F827" s="75"/>
      <x:c r="G827" s="75"/>
      <x:c r="H827" s="75"/>
      <x:c r="I827" s="75"/>
      <x:c r="J827" s="75"/>
      <x:c r="K827" s="75"/>
      <x:c r="L827" s="75"/>
      <x:c r="M827" s="75"/>
      <x:c r="N827" s="75"/>
      <x:c r="O827" s="75"/>
      <x:c r="P827" s="75"/>
      <x:c r="Q827" s="75"/>
      <x:c r="R827" s="75"/>
      <x:c r="S827" s="75"/>
      <x:c r="T827" s="75"/>
      <x:c r="U827" s="75"/>
      <x:c r="V827" s="75"/>
      <x:c r="W827" s="75"/>
      <x:c r="X827" s="75"/>
      <x:c r="Y827" s="75"/>
      <x:c r="Z827" s="75"/>
      <x:c r="AA827" s="75"/>
      <x:c r="AB827" s="75"/>
      <x:c r="AC827" s="78"/>
      <x:c r="AD827" s="75"/>
      <x:c r="AE827" s="75"/>
      <x:c r="AF827" s="75"/>
      <x:c r="AG827" s="75"/>
      <x:c r="AH827" s="75"/>
      <x:c r="AI827" s="75"/>
    </x:row>
    <x:row r="828">
      <x:c r="A828" s="75"/>
      <x:c r="B828" s="75"/>
      <x:c r="C828" s="75"/>
      <x:c r="D828" s="75"/>
      <x:c r="E828" s="75"/>
      <x:c r="F828" s="75"/>
      <x:c r="G828" s="75"/>
      <x:c r="H828" s="75"/>
      <x:c r="I828" s="75"/>
      <x:c r="J828" s="75"/>
      <x:c r="K828" s="75"/>
      <x:c r="L828" s="75"/>
      <x:c r="M828" s="75"/>
      <x:c r="N828" s="75"/>
      <x:c r="O828" s="75"/>
      <x:c r="P828" s="75"/>
      <x:c r="Q828" s="75"/>
      <x:c r="R828" s="75"/>
      <x:c r="S828" s="75"/>
      <x:c r="T828" s="75"/>
      <x:c r="U828" s="75"/>
      <x:c r="V828" s="75"/>
      <x:c r="W828" s="75"/>
      <x:c r="X828" s="75"/>
      <x:c r="Y828" s="75"/>
      <x:c r="Z828" s="75"/>
      <x:c r="AA828" s="75"/>
      <x:c r="AB828" s="75"/>
      <x:c r="AC828" s="78"/>
      <x:c r="AD828" s="75"/>
      <x:c r="AE828" s="75"/>
      <x:c r="AF828" s="75"/>
      <x:c r="AG828" s="75"/>
      <x:c r="AH828" s="75"/>
      <x:c r="AI828" s="75"/>
    </x:row>
    <x:row r="829">
      <x:c r="A829" s="75"/>
      <x:c r="B829" s="75"/>
      <x:c r="C829" s="75"/>
      <x:c r="D829" s="75"/>
      <x:c r="E829" s="75"/>
      <x:c r="F829" s="75"/>
      <x:c r="G829" s="75"/>
      <x:c r="H829" s="75"/>
      <x:c r="I829" s="75"/>
      <x:c r="J829" s="75"/>
      <x:c r="K829" s="75"/>
      <x:c r="L829" s="75"/>
      <x:c r="M829" s="75"/>
      <x:c r="N829" s="75"/>
      <x:c r="O829" s="75"/>
      <x:c r="P829" s="75"/>
      <x:c r="Q829" s="75"/>
      <x:c r="R829" s="75"/>
      <x:c r="S829" s="75"/>
      <x:c r="T829" s="75"/>
      <x:c r="U829" s="75"/>
      <x:c r="V829" s="75"/>
      <x:c r="W829" s="75"/>
      <x:c r="X829" s="75"/>
      <x:c r="Y829" s="75"/>
      <x:c r="Z829" s="75"/>
      <x:c r="AA829" s="75"/>
      <x:c r="AB829" s="75"/>
      <x:c r="AC829" s="78"/>
      <x:c r="AD829" s="75"/>
      <x:c r="AE829" s="75"/>
      <x:c r="AF829" s="75"/>
      <x:c r="AG829" s="75"/>
      <x:c r="AH829" s="75"/>
      <x:c r="AI829" s="75"/>
    </x:row>
    <x:row r="830">
      <x:c r="A830" s="75"/>
      <x:c r="B830" s="75"/>
      <x:c r="C830" s="75"/>
      <x:c r="D830" s="75"/>
      <x:c r="E830" s="75"/>
      <x:c r="F830" s="75"/>
      <x:c r="G830" s="75"/>
      <x:c r="H830" s="75"/>
      <x:c r="I830" s="75"/>
      <x:c r="J830" s="75"/>
      <x:c r="K830" s="75"/>
      <x:c r="L830" s="75"/>
      <x:c r="M830" s="75"/>
      <x:c r="N830" s="75"/>
      <x:c r="O830" s="75"/>
      <x:c r="P830" s="75"/>
      <x:c r="Q830" s="75"/>
      <x:c r="R830" s="75"/>
      <x:c r="S830" s="75"/>
      <x:c r="T830" s="75"/>
      <x:c r="U830" s="75"/>
      <x:c r="V830" s="75"/>
      <x:c r="W830" s="75"/>
      <x:c r="X830" s="75"/>
      <x:c r="Y830" s="75"/>
      <x:c r="Z830" s="75"/>
      <x:c r="AA830" s="75"/>
      <x:c r="AB830" s="75"/>
      <x:c r="AC830" s="78"/>
      <x:c r="AD830" s="75"/>
      <x:c r="AE830" s="75"/>
      <x:c r="AF830" s="75"/>
      <x:c r="AG830" s="75"/>
      <x:c r="AH830" s="75"/>
      <x:c r="AI830" s="75"/>
    </x:row>
    <x:row r="831">
      <x:c r="A831" s="75"/>
      <x:c r="B831" s="75"/>
      <x:c r="C831" s="75"/>
      <x:c r="D831" s="75"/>
      <x:c r="E831" s="75"/>
      <x:c r="F831" s="75"/>
      <x:c r="G831" s="75"/>
      <x:c r="H831" s="75"/>
      <x:c r="I831" s="75"/>
      <x:c r="J831" s="75"/>
      <x:c r="K831" s="75"/>
      <x:c r="L831" s="75"/>
      <x:c r="M831" s="75"/>
      <x:c r="N831" s="75"/>
      <x:c r="O831" s="75"/>
      <x:c r="P831" s="75"/>
      <x:c r="Q831" s="75"/>
      <x:c r="R831" s="75"/>
      <x:c r="S831" s="75"/>
      <x:c r="T831" s="75"/>
      <x:c r="U831" s="75"/>
      <x:c r="V831" s="75"/>
      <x:c r="W831" s="75"/>
      <x:c r="X831" s="75"/>
      <x:c r="Y831" s="75"/>
      <x:c r="Z831" s="75"/>
      <x:c r="AA831" s="75"/>
      <x:c r="AB831" s="75"/>
      <x:c r="AC831" s="78"/>
      <x:c r="AD831" s="75"/>
      <x:c r="AE831" s="75"/>
      <x:c r="AF831" s="75"/>
      <x:c r="AG831" s="75"/>
      <x:c r="AH831" s="75"/>
      <x:c r="AI831" s="75"/>
    </x:row>
    <x:row r="832">
      <x:c r="A832" s="75"/>
      <x:c r="B832" s="75"/>
      <x:c r="C832" s="75"/>
      <x:c r="D832" s="75"/>
      <x:c r="E832" s="75"/>
      <x:c r="F832" s="75"/>
      <x:c r="G832" s="75"/>
      <x:c r="H832" s="75"/>
      <x:c r="I832" s="75"/>
      <x:c r="J832" s="75"/>
      <x:c r="K832" s="75"/>
      <x:c r="L832" s="75"/>
      <x:c r="M832" s="75"/>
      <x:c r="N832" s="75"/>
      <x:c r="O832" s="75"/>
      <x:c r="P832" s="75"/>
      <x:c r="Q832" s="75"/>
      <x:c r="R832" s="75"/>
      <x:c r="S832" s="75"/>
      <x:c r="T832" s="75"/>
      <x:c r="U832" s="75"/>
      <x:c r="V832" s="75"/>
      <x:c r="W832" s="75"/>
      <x:c r="X832" s="75"/>
      <x:c r="Y832" s="75"/>
      <x:c r="Z832" s="75"/>
      <x:c r="AA832" s="75"/>
      <x:c r="AB832" s="75"/>
      <x:c r="AC832" s="78"/>
      <x:c r="AD832" s="75"/>
      <x:c r="AE832" s="75"/>
      <x:c r="AF832" s="75"/>
      <x:c r="AG832" s="75"/>
      <x:c r="AH832" s="75"/>
      <x:c r="AI832" s="75"/>
    </x:row>
    <x:row r="833">
      <x:c r="A833" s="75"/>
      <x:c r="B833" s="75"/>
      <x:c r="C833" s="75"/>
      <x:c r="D833" s="75"/>
      <x:c r="E833" s="75"/>
      <x:c r="F833" s="75"/>
      <x:c r="G833" s="75"/>
      <x:c r="H833" s="75"/>
      <x:c r="I833" s="75"/>
      <x:c r="J833" s="75"/>
      <x:c r="K833" s="75"/>
      <x:c r="L833" s="75"/>
      <x:c r="M833" s="75"/>
      <x:c r="N833" s="75"/>
      <x:c r="O833" s="75"/>
      <x:c r="P833" s="75"/>
      <x:c r="Q833" s="75"/>
      <x:c r="R833" s="75"/>
      <x:c r="S833" s="75"/>
      <x:c r="T833" s="75"/>
      <x:c r="U833" s="75"/>
      <x:c r="V833" s="75"/>
      <x:c r="W833" s="75"/>
      <x:c r="X833" s="75"/>
      <x:c r="Y833" s="75"/>
      <x:c r="Z833" s="75"/>
      <x:c r="AA833" s="75"/>
      <x:c r="AB833" s="75"/>
      <x:c r="AC833" s="78"/>
      <x:c r="AD833" s="75"/>
      <x:c r="AE833" s="75"/>
      <x:c r="AF833" s="75"/>
      <x:c r="AG833" s="75"/>
      <x:c r="AH833" s="75"/>
      <x:c r="AI833" s="75"/>
    </x:row>
    <x:row r="834">
      <x:c r="A834" s="75"/>
      <x:c r="B834" s="75"/>
      <x:c r="C834" s="75"/>
      <x:c r="D834" s="75"/>
      <x:c r="E834" s="75"/>
      <x:c r="F834" s="75"/>
      <x:c r="G834" s="75"/>
      <x:c r="H834" s="75"/>
      <x:c r="I834" s="75"/>
      <x:c r="J834" s="75"/>
      <x:c r="K834" s="75"/>
      <x:c r="L834" s="75"/>
      <x:c r="M834" s="75"/>
      <x:c r="N834" s="75"/>
      <x:c r="O834" s="75"/>
      <x:c r="P834" s="75"/>
      <x:c r="Q834" s="75"/>
      <x:c r="R834" s="75"/>
      <x:c r="S834" s="75"/>
      <x:c r="T834" s="75"/>
      <x:c r="U834" s="75"/>
      <x:c r="V834" s="75"/>
      <x:c r="W834" s="75"/>
      <x:c r="X834" s="75"/>
      <x:c r="Y834" s="75"/>
      <x:c r="Z834" s="75"/>
      <x:c r="AA834" s="75"/>
      <x:c r="AB834" s="75"/>
      <x:c r="AC834" s="78"/>
      <x:c r="AD834" s="75"/>
      <x:c r="AE834" s="75"/>
      <x:c r="AF834" s="75"/>
      <x:c r="AG834" s="75"/>
      <x:c r="AH834" s="75"/>
      <x:c r="AI834" s="75"/>
    </x:row>
    <x:row r="835">
      <x:c r="A835" s="75"/>
      <x:c r="B835" s="75"/>
      <x:c r="C835" s="75"/>
      <x:c r="D835" s="75"/>
      <x:c r="E835" s="75"/>
      <x:c r="F835" s="75"/>
      <x:c r="G835" s="75"/>
      <x:c r="H835" s="75"/>
      <x:c r="I835" s="75"/>
      <x:c r="J835" s="75"/>
      <x:c r="K835" s="75"/>
      <x:c r="L835" s="75"/>
      <x:c r="M835" s="75"/>
      <x:c r="N835" s="75"/>
      <x:c r="O835" s="75"/>
      <x:c r="P835" s="75"/>
      <x:c r="Q835" s="75"/>
      <x:c r="R835" s="75"/>
      <x:c r="S835" s="75"/>
      <x:c r="T835" s="75"/>
      <x:c r="U835" s="75"/>
      <x:c r="V835" s="75"/>
      <x:c r="W835" s="75"/>
      <x:c r="X835" s="75"/>
      <x:c r="Y835" s="75"/>
      <x:c r="Z835" s="75"/>
      <x:c r="AA835" s="75"/>
      <x:c r="AB835" s="75"/>
      <x:c r="AC835" s="78"/>
      <x:c r="AD835" s="75"/>
      <x:c r="AE835" s="75"/>
      <x:c r="AF835" s="75"/>
      <x:c r="AG835" s="75"/>
      <x:c r="AH835" s="75"/>
      <x:c r="AI835" s="75"/>
    </x:row>
    <x:row r="836">
      <x:c r="A836" s="75"/>
      <x:c r="B836" s="75"/>
      <x:c r="C836" s="75"/>
      <x:c r="D836" s="75"/>
      <x:c r="E836" s="75"/>
      <x:c r="F836" s="75"/>
      <x:c r="G836" s="75"/>
      <x:c r="H836" s="75"/>
      <x:c r="I836" s="75"/>
      <x:c r="J836" s="75"/>
      <x:c r="K836" s="75"/>
      <x:c r="L836" s="75"/>
      <x:c r="M836" s="75"/>
      <x:c r="N836" s="75"/>
      <x:c r="O836" s="75"/>
      <x:c r="P836" s="75"/>
      <x:c r="Q836" s="75"/>
      <x:c r="R836" s="75"/>
      <x:c r="S836" s="75"/>
      <x:c r="T836" s="75"/>
      <x:c r="U836" s="75"/>
      <x:c r="V836" s="75"/>
      <x:c r="W836" s="75"/>
      <x:c r="X836" s="75"/>
      <x:c r="Y836" s="75"/>
      <x:c r="Z836" s="75"/>
      <x:c r="AA836" s="75"/>
      <x:c r="AB836" s="75"/>
      <x:c r="AC836" s="78"/>
      <x:c r="AD836" s="75"/>
      <x:c r="AE836" s="75"/>
      <x:c r="AF836" s="75"/>
      <x:c r="AG836" s="75"/>
      <x:c r="AH836" s="75"/>
      <x:c r="AI836" s="75"/>
    </x:row>
    <x:row r="837">
      <x:c r="A837" s="75"/>
      <x:c r="B837" s="75"/>
      <x:c r="C837" s="75"/>
      <x:c r="D837" s="75"/>
      <x:c r="E837" s="75"/>
      <x:c r="F837" s="75"/>
      <x:c r="G837" s="75"/>
      <x:c r="H837" s="75"/>
      <x:c r="I837" s="75"/>
      <x:c r="J837" s="75"/>
      <x:c r="K837" s="75"/>
      <x:c r="L837" s="75"/>
      <x:c r="M837" s="75"/>
      <x:c r="N837" s="75"/>
      <x:c r="O837" s="75"/>
      <x:c r="P837" s="75"/>
      <x:c r="Q837" s="75"/>
      <x:c r="R837" s="75"/>
      <x:c r="S837" s="75"/>
      <x:c r="T837" s="75"/>
      <x:c r="U837" s="75"/>
      <x:c r="V837" s="75"/>
      <x:c r="W837" s="75"/>
      <x:c r="X837" s="75"/>
      <x:c r="Y837" s="75"/>
      <x:c r="Z837" s="75"/>
      <x:c r="AA837" s="75"/>
      <x:c r="AB837" s="75"/>
      <x:c r="AC837" s="78"/>
      <x:c r="AD837" s="75"/>
      <x:c r="AE837" s="75"/>
      <x:c r="AF837" s="75"/>
      <x:c r="AG837" s="75"/>
      <x:c r="AH837" s="75"/>
      <x:c r="AI837" s="75"/>
    </x:row>
    <x:row r="838">
      <x:c r="A838" s="75"/>
      <x:c r="B838" s="75"/>
      <x:c r="C838" s="75"/>
      <x:c r="D838" s="75"/>
      <x:c r="E838" s="75"/>
      <x:c r="F838" s="75"/>
      <x:c r="G838" s="75"/>
      <x:c r="H838" s="75"/>
      <x:c r="I838" s="75"/>
      <x:c r="J838" s="75"/>
      <x:c r="K838" s="75"/>
      <x:c r="L838" s="75"/>
      <x:c r="M838" s="75"/>
      <x:c r="N838" s="75"/>
      <x:c r="O838" s="75"/>
      <x:c r="P838" s="75"/>
      <x:c r="Q838" s="75"/>
      <x:c r="R838" s="75"/>
      <x:c r="S838" s="75"/>
      <x:c r="T838" s="75"/>
      <x:c r="U838" s="75"/>
      <x:c r="V838" s="75"/>
      <x:c r="W838" s="75"/>
      <x:c r="X838" s="75"/>
      <x:c r="Y838" s="75"/>
      <x:c r="Z838" s="75"/>
      <x:c r="AA838" s="75"/>
      <x:c r="AB838" s="75"/>
      <x:c r="AC838" s="78"/>
      <x:c r="AD838" s="75"/>
      <x:c r="AE838" s="75"/>
      <x:c r="AF838" s="75"/>
      <x:c r="AG838" s="75"/>
      <x:c r="AH838" s="75"/>
      <x:c r="AI838" s="75"/>
    </x:row>
    <x:row r="839">
      <x:c r="A839" s="75"/>
      <x:c r="B839" s="75"/>
      <x:c r="C839" s="75"/>
      <x:c r="D839" s="75"/>
      <x:c r="E839" s="75"/>
      <x:c r="F839" s="75"/>
      <x:c r="G839" s="75"/>
      <x:c r="H839" s="75"/>
      <x:c r="I839" s="75"/>
      <x:c r="J839" s="75"/>
      <x:c r="K839" s="75"/>
      <x:c r="L839" s="75"/>
      <x:c r="M839" s="75"/>
      <x:c r="N839" s="75"/>
      <x:c r="O839" s="75"/>
      <x:c r="P839" s="75"/>
      <x:c r="Q839" s="75"/>
      <x:c r="R839" s="75"/>
      <x:c r="S839" s="75"/>
      <x:c r="T839" s="75"/>
      <x:c r="U839" s="75"/>
      <x:c r="V839" s="75"/>
      <x:c r="W839" s="75"/>
      <x:c r="X839" s="75"/>
      <x:c r="Y839" s="75"/>
      <x:c r="Z839" s="75"/>
      <x:c r="AA839" s="75"/>
      <x:c r="AB839" s="75"/>
      <x:c r="AC839" s="78"/>
      <x:c r="AD839" s="75"/>
      <x:c r="AE839" s="75"/>
      <x:c r="AF839" s="75"/>
      <x:c r="AG839" s="75"/>
      <x:c r="AH839" s="75"/>
      <x:c r="AI839" s="75"/>
    </x:row>
    <x:row r="840">
      <x:c r="A840" s="75"/>
      <x:c r="B840" s="75"/>
      <x:c r="C840" s="75"/>
      <x:c r="D840" s="75"/>
      <x:c r="E840" s="75"/>
      <x:c r="F840" s="75"/>
      <x:c r="G840" s="75"/>
      <x:c r="H840" s="75"/>
      <x:c r="I840" s="75"/>
      <x:c r="J840" s="75"/>
      <x:c r="K840" s="75"/>
      <x:c r="L840" s="75"/>
      <x:c r="M840" s="75"/>
      <x:c r="N840" s="75"/>
      <x:c r="O840" s="75"/>
      <x:c r="P840" s="75"/>
      <x:c r="Q840" s="75"/>
      <x:c r="R840" s="75"/>
      <x:c r="S840" s="75"/>
      <x:c r="T840" s="75"/>
      <x:c r="U840" s="75"/>
      <x:c r="V840" s="75"/>
      <x:c r="W840" s="75"/>
      <x:c r="X840" s="75"/>
      <x:c r="Y840" s="75"/>
      <x:c r="Z840" s="75"/>
      <x:c r="AA840" s="75"/>
      <x:c r="AB840" s="75"/>
      <x:c r="AC840" s="78"/>
      <x:c r="AD840" s="75"/>
      <x:c r="AE840" s="75"/>
      <x:c r="AF840" s="75"/>
      <x:c r="AG840" s="75"/>
      <x:c r="AH840" s="75"/>
      <x:c r="AI840" s="75"/>
    </x:row>
    <x:row r="841">
      <x:c r="A841" s="75"/>
      <x:c r="B841" s="75"/>
      <x:c r="C841" s="75"/>
      <x:c r="D841" s="75"/>
      <x:c r="E841" s="75"/>
      <x:c r="F841" s="75"/>
      <x:c r="G841" s="75"/>
      <x:c r="H841" s="75"/>
      <x:c r="I841" s="75"/>
      <x:c r="J841" s="75"/>
      <x:c r="K841" s="75"/>
      <x:c r="L841" s="75"/>
      <x:c r="M841" s="75"/>
      <x:c r="N841" s="75"/>
      <x:c r="O841" s="75"/>
      <x:c r="P841" s="75"/>
      <x:c r="Q841" s="75"/>
      <x:c r="R841" s="75"/>
      <x:c r="S841" s="75"/>
      <x:c r="T841" s="75"/>
      <x:c r="U841" s="75"/>
      <x:c r="V841" s="75"/>
      <x:c r="W841" s="75"/>
      <x:c r="X841" s="75"/>
      <x:c r="Y841" s="75"/>
      <x:c r="Z841" s="75"/>
      <x:c r="AA841" s="75"/>
      <x:c r="AB841" s="75"/>
      <x:c r="AC841" s="78"/>
      <x:c r="AD841" s="75"/>
      <x:c r="AE841" s="75"/>
      <x:c r="AF841" s="75"/>
      <x:c r="AG841" s="75"/>
      <x:c r="AH841" s="75"/>
      <x:c r="AI841" s="75"/>
    </x:row>
    <x:row r="842">
      <x:c r="A842" s="75"/>
      <x:c r="B842" s="75"/>
      <x:c r="C842" s="75"/>
      <x:c r="D842" s="75"/>
      <x:c r="E842" s="75"/>
      <x:c r="F842" s="75"/>
      <x:c r="G842" s="75"/>
      <x:c r="H842" s="75"/>
      <x:c r="I842" s="75"/>
      <x:c r="J842" s="75"/>
      <x:c r="K842" s="75"/>
      <x:c r="L842" s="75"/>
      <x:c r="M842" s="75"/>
      <x:c r="N842" s="75"/>
      <x:c r="O842" s="75"/>
      <x:c r="P842" s="75"/>
      <x:c r="Q842" s="75"/>
      <x:c r="R842" s="75"/>
      <x:c r="S842" s="75"/>
      <x:c r="T842" s="75"/>
      <x:c r="U842" s="75"/>
      <x:c r="V842" s="75"/>
      <x:c r="W842" s="75"/>
      <x:c r="X842" s="75"/>
      <x:c r="Y842" s="75"/>
      <x:c r="Z842" s="75"/>
      <x:c r="AA842" s="75"/>
      <x:c r="AB842" s="75"/>
      <x:c r="AC842" s="78"/>
      <x:c r="AD842" s="75"/>
      <x:c r="AE842" s="75"/>
      <x:c r="AF842" s="75"/>
      <x:c r="AG842" s="75"/>
      <x:c r="AH842" s="75"/>
      <x:c r="AI842" s="75"/>
    </x:row>
    <x:row r="843">
      <x:c r="A843" s="75"/>
      <x:c r="B843" s="75"/>
      <x:c r="C843" s="75"/>
      <x:c r="D843" s="75"/>
      <x:c r="E843" s="75"/>
      <x:c r="F843" s="75"/>
      <x:c r="G843" s="75"/>
      <x:c r="H843" s="75"/>
      <x:c r="I843" s="75"/>
      <x:c r="J843" s="75"/>
      <x:c r="K843" s="75"/>
      <x:c r="L843" s="75"/>
      <x:c r="M843" s="75"/>
      <x:c r="N843" s="75"/>
      <x:c r="O843" s="75"/>
      <x:c r="P843" s="75"/>
      <x:c r="Q843" s="75"/>
      <x:c r="R843" s="75"/>
      <x:c r="S843" s="75"/>
      <x:c r="T843" s="75"/>
      <x:c r="U843" s="75"/>
      <x:c r="V843" s="75"/>
      <x:c r="W843" s="75"/>
      <x:c r="X843" s="75"/>
      <x:c r="Y843" s="75"/>
      <x:c r="Z843" s="75"/>
      <x:c r="AA843" s="75"/>
      <x:c r="AB843" s="75"/>
      <x:c r="AC843" s="78"/>
      <x:c r="AD843" s="75"/>
      <x:c r="AE843" s="75"/>
      <x:c r="AF843" s="75"/>
      <x:c r="AG843" s="75"/>
      <x:c r="AH843" s="75"/>
      <x:c r="AI843" s="75"/>
    </x:row>
    <x:row r="844">
      <x:c r="A844" s="75"/>
      <x:c r="B844" s="75"/>
      <x:c r="C844" s="75"/>
      <x:c r="D844" s="75"/>
      <x:c r="E844" s="75"/>
      <x:c r="F844" s="75"/>
      <x:c r="G844" s="75"/>
      <x:c r="H844" s="75"/>
      <x:c r="I844" s="75"/>
      <x:c r="J844" s="75"/>
      <x:c r="K844" s="75"/>
      <x:c r="L844" s="75"/>
      <x:c r="M844" s="75"/>
      <x:c r="N844" s="75"/>
      <x:c r="O844" s="75"/>
      <x:c r="P844" s="75"/>
      <x:c r="Q844" s="75"/>
      <x:c r="R844" s="75"/>
      <x:c r="S844" s="75"/>
      <x:c r="T844" s="75"/>
      <x:c r="U844" s="75"/>
      <x:c r="V844" s="75"/>
      <x:c r="W844" s="75"/>
      <x:c r="X844" s="75"/>
      <x:c r="Y844" s="75"/>
      <x:c r="Z844" s="75"/>
      <x:c r="AA844" s="75"/>
      <x:c r="AB844" s="75"/>
      <x:c r="AC844" s="78"/>
      <x:c r="AD844" s="75"/>
      <x:c r="AE844" s="75"/>
      <x:c r="AF844" s="75"/>
      <x:c r="AG844" s="75"/>
      <x:c r="AH844" s="75"/>
      <x:c r="AI844" s="75"/>
    </x:row>
    <x:row r="845">
      <x:c r="A845" s="75"/>
      <x:c r="B845" s="75"/>
      <x:c r="C845" s="75"/>
      <x:c r="D845" s="75"/>
      <x:c r="E845" s="75"/>
      <x:c r="F845" s="75"/>
      <x:c r="G845" s="75"/>
      <x:c r="H845" s="75"/>
      <x:c r="I845" s="75"/>
      <x:c r="J845" s="75"/>
      <x:c r="K845" s="75"/>
      <x:c r="L845" s="75"/>
      <x:c r="M845" s="75"/>
      <x:c r="N845" s="75"/>
      <x:c r="O845" s="75"/>
      <x:c r="P845" s="75"/>
      <x:c r="Q845" s="75"/>
      <x:c r="R845" s="75"/>
      <x:c r="S845" s="75"/>
      <x:c r="T845" s="75"/>
      <x:c r="U845" s="75"/>
      <x:c r="V845" s="75"/>
      <x:c r="W845" s="75"/>
      <x:c r="X845" s="75"/>
      <x:c r="Y845" s="75"/>
      <x:c r="Z845" s="75"/>
      <x:c r="AA845" s="75"/>
      <x:c r="AB845" s="75"/>
      <x:c r="AC845" s="78"/>
      <x:c r="AD845" s="75"/>
      <x:c r="AE845" s="75"/>
      <x:c r="AF845" s="75"/>
      <x:c r="AG845" s="75"/>
      <x:c r="AH845" s="75"/>
      <x:c r="AI845" s="75"/>
    </x:row>
    <x:row r="846">
      <x:c r="A846" s="75"/>
      <x:c r="B846" s="75"/>
      <x:c r="C846" s="75"/>
      <x:c r="D846" s="75"/>
      <x:c r="E846" s="75"/>
      <x:c r="F846" s="75"/>
      <x:c r="G846" s="75"/>
      <x:c r="H846" s="75"/>
      <x:c r="I846" s="75"/>
      <x:c r="J846" s="75"/>
      <x:c r="K846" s="75"/>
      <x:c r="L846" s="75"/>
      <x:c r="M846" s="75"/>
      <x:c r="N846" s="75"/>
      <x:c r="O846" s="75"/>
      <x:c r="P846" s="75"/>
      <x:c r="Q846" s="75"/>
      <x:c r="R846" s="75"/>
      <x:c r="S846" s="75"/>
      <x:c r="T846" s="75"/>
      <x:c r="U846" s="75"/>
      <x:c r="V846" s="75"/>
      <x:c r="W846" s="75"/>
      <x:c r="X846" s="75"/>
      <x:c r="Y846" s="75"/>
      <x:c r="Z846" s="75"/>
      <x:c r="AA846" s="75"/>
      <x:c r="AB846" s="75"/>
      <x:c r="AC846" s="78"/>
      <x:c r="AD846" s="75"/>
      <x:c r="AE846" s="75"/>
      <x:c r="AF846" s="75"/>
      <x:c r="AG846" s="75"/>
      <x:c r="AH846" s="75"/>
      <x:c r="AI846" s="75"/>
    </x:row>
    <x:row r="847">
      <x:c r="A847" s="75"/>
      <x:c r="B847" s="75"/>
      <x:c r="C847" s="75"/>
      <x:c r="D847" s="75"/>
      <x:c r="E847" s="75"/>
      <x:c r="F847" s="75"/>
      <x:c r="G847" s="75"/>
      <x:c r="H847" s="75"/>
      <x:c r="I847" s="75"/>
      <x:c r="J847" s="75"/>
      <x:c r="K847" s="75"/>
      <x:c r="L847" s="75"/>
      <x:c r="M847" s="75"/>
      <x:c r="N847" s="75"/>
      <x:c r="O847" s="75"/>
      <x:c r="P847" s="75"/>
      <x:c r="Q847" s="75"/>
      <x:c r="R847" s="75"/>
      <x:c r="S847" s="75"/>
      <x:c r="T847" s="75"/>
      <x:c r="U847" s="75"/>
      <x:c r="V847" s="75"/>
      <x:c r="W847" s="75"/>
      <x:c r="X847" s="75"/>
      <x:c r="Y847" s="75"/>
      <x:c r="Z847" s="75"/>
      <x:c r="AA847" s="75"/>
      <x:c r="AB847" s="75"/>
      <x:c r="AC847" s="78"/>
      <x:c r="AD847" s="75"/>
      <x:c r="AE847" s="75"/>
      <x:c r="AF847" s="75"/>
      <x:c r="AG847" s="75"/>
      <x:c r="AH847" s="75"/>
      <x:c r="AI847" s="75"/>
    </x:row>
    <x:row r="848">
      <x:c r="A848" s="75"/>
      <x:c r="B848" s="75"/>
      <x:c r="C848" s="75"/>
      <x:c r="D848" s="75"/>
      <x:c r="E848" s="75"/>
      <x:c r="F848" s="75"/>
      <x:c r="G848" s="75"/>
      <x:c r="H848" s="75"/>
      <x:c r="I848" s="75"/>
      <x:c r="J848" s="75"/>
      <x:c r="K848" s="75"/>
      <x:c r="L848" s="75"/>
      <x:c r="M848" s="75"/>
      <x:c r="N848" s="75"/>
      <x:c r="O848" s="75"/>
      <x:c r="P848" s="75"/>
      <x:c r="Q848" s="75"/>
      <x:c r="R848" s="75"/>
      <x:c r="S848" s="75"/>
      <x:c r="T848" s="75"/>
      <x:c r="U848" s="75"/>
      <x:c r="V848" s="75"/>
      <x:c r="W848" s="75"/>
      <x:c r="X848" s="75"/>
      <x:c r="Y848" s="75"/>
      <x:c r="Z848" s="75"/>
      <x:c r="AA848" s="75"/>
      <x:c r="AB848" s="75"/>
      <x:c r="AC848" s="78"/>
      <x:c r="AD848" s="75"/>
      <x:c r="AE848" s="75"/>
      <x:c r="AF848" s="75"/>
      <x:c r="AG848" s="75"/>
      <x:c r="AH848" s="75"/>
      <x:c r="AI848" s="75"/>
    </x:row>
    <x:row r="849">
      <x:c r="A849" s="75"/>
      <x:c r="B849" s="75"/>
      <x:c r="C849" s="75"/>
      <x:c r="D849" s="75"/>
      <x:c r="E849" s="75"/>
      <x:c r="F849" s="75"/>
      <x:c r="G849" s="75"/>
      <x:c r="H849" s="75"/>
      <x:c r="I849" s="75"/>
      <x:c r="J849" s="75"/>
      <x:c r="K849" s="75"/>
      <x:c r="L849" s="75"/>
      <x:c r="M849" s="75"/>
      <x:c r="N849" s="75"/>
      <x:c r="O849" s="75"/>
      <x:c r="P849" s="75"/>
      <x:c r="Q849" s="75"/>
      <x:c r="R849" s="75"/>
      <x:c r="S849" s="75"/>
      <x:c r="T849" s="75"/>
      <x:c r="U849" s="75"/>
      <x:c r="V849" s="75"/>
      <x:c r="W849" s="75"/>
      <x:c r="X849" s="75"/>
      <x:c r="Y849" s="75"/>
      <x:c r="Z849" s="75"/>
      <x:c r="AA849" s="75"/>
      <x:c r="AB849" s="75"/>
      <x:c r="AC849" s="78"/>
      <x:c r="AD849" s="75"/>
      <x:c r="AE849" s="75"/>
      <x:c r="AF849" s="75"/>
      <x:c r="AG849" s="75"/>
      <x:c r="AH849" s="75"/>
      <x:c r="AI849" s="75"/>
    </x:row>
    <x:row r="850">
      <x:c r="A850" s="75"/>
      <x:c r="B850" s="75"/>
      <x:c r="C850" s="75"/>
      <x:c r="D850" s="75"/>
      <x:c r="E850" s="75"/>
      <x:c r="F850" s="75"/>
      <x:c r="G850" s="75"/>
      <x:c r="H850" s="75"/>
      <x:c r="I850" s="75"/>
      <x:c r="J850" s="75"/>
      <x:c r="K850" s="75"/>
      <x:c r="L850" s="75"/>
      <x:c r="M850" s="75"/>
      <x:c r="N850" s="75"/>
      <x:c r="O850" s="75"/>
      <x:c r="P850" s="75"/>
      <x:c r="Q850" s="75"/>
      <x:c r="R850" s="75"/>
      <x:c r="S850" s="75"/>
      <x:c r="T850" s="75"/>
      <x:c r="U850" s="75"/>
      <x:c r="V850" s="75"/>
      <x:c r="W850" s="75"/>
      <x:c r="X850" s="75"/>
      <x:c r="Y850" s="75"/>
      <x:c r="Z850" s="75"/>
      <x:c r="AA850" s="75"/>
      <x:c r="AB850" s="75"/>
      <x:c r="AC850" s="78"/>
      <x:c r="AD850" s="75"/>
      <x:c r="AE850" s="75"/>
      <x:c r="AF850" s="75"/>
      <x:c r="AG850" s="75"/>
      <x:c r="AH850" s="75"/>
      <x:c r="AI850" s="75"/>
    </x:row>
    <x:row r="851">
      <x:c r="A851" s="75"/>
      <x:c r="B851" s="75"/>
      <x:c r="C851" s="75"/>
      <x:c r="D851" s="75"/>
      <x:c r="E851" s="75"/>
      <x:c r="F851" s="75"/>
      <x:c r="G851" s="75"/>
      <x:c r="H851" s="75"/>
      <x:c r="I851" s="75"/>
      <x:c r="J851" s="75"/>
      <x:c r="K851" s="75"/>
      <x:c r="L851" s="75"/>
      <x:c r="M851" s="75"/>
      <x:c r="N851" s="75"/>
      <x:c r="O851" s="75"/>
      <x:c r="P851" s="75"/>
      <x:c r="Q851" s="75"/>
      <x:c r="R851" s="75"/>
      <x:c r="S851" s="75"/>
      <x:c r="T851" s="75"/>
      <x:c r="U851" s="75"/>
      <x:c r="V851" s="75"/>
      <x:c r="W851" s="75"/>
      <x:c r="X851" s="75"/>
      <x:c r="Y851" s="75"/>
      <x:c r="Z851" s="75"/>
      <x:c r="AA851" s="75"/>
      <x:c r="AB851" s="75"/>
      <x:c r="AC851" s="78"/>
      <x:c r="AD851" s="75"/>
      <x:c r="AE851" s="75"/>
      <x:c r="AF851" s="75"/>
      <x:c r="AG851" s="75"/>
      <x:c r="AH851" s="75"/>
      <x:c r="AI851" s="75"/>
    </x:row>
    <x:row r="852">
      <x:c r="A852" s="75"/>
      <x:c r="B852" s="75"/>
      <x:c r="C852" s="75"/>
      <x:c r="D852" s="75"/>
      <x:c r="E852" s="75"/>
      <x:c r="F852" s="75"/>
      <x:c r="G852" s="75"/>
      <x:c r="H852" s="75"/>
      <x:c r="I852" s="75"/>
      <x:c r="J852" s="75"/>
      <x:c r="K852" s="75"/>
      <x:c r="L852" s="75"/>
      <x:c r="M852" s="75"/>
      <x:c r="N852" s="75"/>
      <x:c r="O852" s="75"/>
      <x:c r="P852" s="75"/>
      <x:c r="Q852" s="75"/>
      <x:c r="R852" s="75"/>
      <x:c r="S852" s="75"/>
      <x:c r="T852" s="75"/>
      <x:c r="U852" s="75"/>
      <x:c r="V852" s="75"/>
      <x:c r="W852" s="75"/>
      <x:c r="X852" s="75"/>
      <x:c r="Y852" s="75"/>
      <x:c r="Z852" s="75"/>
      <x:c r="AA852" s="75"/>
      <x:c r="AB852" s="75"/>
      <x:c r="AC852" s="78"/>
      <x:c r="AD852" s="75"/>
      <x:c r="AE852" s="75"/>
      <x:c r="AF852" s="75"/>
      <x:c r="AG852" s="75"/>
      <x:c r="AH852" s="75"/>
      <x:c r="AI852" s="75"/>
    </x:row>
    <x:row r="853">
      <x:c r="A853" s="75"/>
      <x:c r="B853" s="75"/>
      <x:c r="C853" s="75"/>
      <x:c r="D853" s="75"/>
      <x:c r="E853" s="75"/>
      <x:c r="F853" s="75"/>
      <x:c r="G853" s="75"/>
      <x:c r="H853" s="75"/>
      <x:c r="I853" s="75"/>
      <x:c r="J853" s="75"/>
      <x:c r="K853" s="75"/>
      <x:c r="L853" s="75"/>
      <x:c r="M853" s="75"/>
      <x:c r="N853" s="75"/>
      <x:c r="O853" s="75"/>
      <x:c r="P853" s="75"/>
      <x:c r="Q853" s="75"/>
      <x:c r="R853" s="75"/>
      <x:c r="S853" s="75"/>
      <x:c r="T853" s="75"/>
      <x:c r="U853" s="75"/>
      <x:c r="V853" s="75"/>
      <x:c r="W853" s="75"/>
      <x:c r="X853" s="75"/>
      <x:c r="Y853" s="75"/>
      <x:c r="Z853" s="75"/>
      <x:c r="AA853" s="75"/>
      <x:c r="AB853" s="75"/>
      <x:c r="AC853" s="78"/>
      <x:c r="AD853" s="75"/>
      <x:c r="AE853" s="75"/>
      <x:c r="AF853" s="75"/>
      <x:c r="AG853" s="75"/>
      <x:c r="AH853" s="75"/>
      <x:c r="AI853" s="75"/>
    </x:row>
    <x:row r="854">
      <x:c r="A854" s="75"/>
      <x:c r="B854" s="75"/>
      <x:c r="C854" s="75"/>
      <x:c r="D854" s="75"/>
      <x:c r="E854" s="75"/>
      <x:c r="F854" s="75"/>
      <x:c r="G854" s="75"/>
      <x:c r="H854" s="75"/>
      <x:c r="I854" s="75"/>
      <x:c r="J854" s="75"/>
      <x:c r="K854" s="75"/>
      <x:c r="L854" s="75"/>
      <x:c r="M854" s="75"/>
      <x:c r="N854" s="75"/>
      <x:c r="O854" s="75"/>
      <x:c r="P854" s="75"/>
      <x:c r="Q854" s="75"/>
      <x:c r="R854" s="75"/>
      <x:c r="S854" s="75"/>
      <x:c r="T854" s="75"/>
      <x:c r="U854" s="75"/>
      <x:c r="V854" s="75"/>
      <x:c r="W854" s="75"/>
      <x:c r="X854" s="75"/>
      <x:c r="Y854" s="75"/>
      <x:c r="Z854" s="75"/>
      <x:c r="AA854" s="75"/>
      <x:c r="AB854" s="75"/>
      <x:c r="AC854" s="78"/>
      <x:c r="AD854" s="75"/>
      <x:c r="AE854" s="75"/>
      <x:c r="AF854" s="75"/>
      <x:c r="AG854" s="75"/>
      <x:c r="AH854" s="75"/>
      <x:c r="AI854" s="75"/>
    </x:row>
    <x:row r="855">
      <x:c r="A855" s="75"/>
      <x:c r="B855" s="75"/>
      <x:c r="C855" s="75"/>
      <x:c r="D855" s="75"/>
      <x:c r="E855" s="75"/>
      <x:c r="F855" s="75"/>
      <x:c r="G855" s="75"/>
      <x:c r="H855" s="75"/>
      <x:c r="I855" s="75"/>
      <x:c r="J855" s="75"/>
      <x:c r="K855" s="75"/>
      <x:c r="L855" s="75"/>
      <x:c r="M855" s="75"/>
      <x:c r="N855" s="75"/>
      <x:c r="O855" s="75"/>
      <x:c r="P855" s="75"/>
      <x:c r="Q855" s="75"/>
      <x:c r="R855" s="75"/>
      <x:c r="S855" s="75"/>
      <x:c r="T855" s="75"/>
      <x:c r="U855" s="75"/>
      <x:c r="V855" s="75"/>
      <x:c r="W855" s="75"/>
      <x:c r="X855" s="75"/>
      <x:c r="Y855" s="75"/>
      <x:c r="Z855" s="75"/>
      <x:c r="AA855" s="75"/>
      <x:c r="AB855" s="75"/>
      <x:c r="AC855" s="78"/>
      <x:c r="AD855" s="75"/>
      <x:c r="AE855" s="75"/>
      <x:c r="AF855" s="75"/>
      <x:c r="AG855" s="75"/>
      <x:c r="AH855" s="75"/>
      <x:c r="AI855" s="75"/>
    </x:row>
    <x:row r="856">
      <x:c r="A856" s="75"/>
      <x:c r="B856" s="75"/>
      <x:c r="C856" s="75"/>
      <x:c r="D856" s="75"/>
      <x:c r="E856" s="75"/>
      <x:c r="F856" s="75"/>
      <x:c r="G856" s="75"/>
      <x:c r="H856" s="75"/>
      <x:c r="I856" s="75"/>
      <x:c r="J856" s="75"/>
      <x:c r="K856" s="75"/>
      <x:c r="L856" s="75"/>
      <x:c r="M856" s="75"/>
      <x:c r="N856" s="75"/>
      <x:c r="O856" s="75"/>
      <x:c r="P856" s="75"/>
      <x:c r="Q856" s="75"/>
      <x:c r="R856" s="75"/>
      <x:c r="S856" s="75"/>
      <x:c r="T856" s="75"/>
      <x:c r="U856" s="75"/>
      <x:c r="V856" s="75"/>
      <x:c r="W856" s="75"/>
      <x:c r="X856" s="75"/>
      <x:c r="Y856" s="75"/>
      <x:c r="Z856" s="75"/>
      <x:c r="AA856" s="75"/>
      <x:c r="AB856" s="75"/>
      <x:c r="AC856" s="78"/>
      <x:c r="AD856" s="75"/>
      <x:c r="AE856" s="75"/>
      <x:c r="AF856" s="75"/>
      <x:c r="AG856" s="75"/>
      <x:c r="AH856" s="75"/>
      <x:c r="AI856" s="75"/>
    </x:row>
    <x:row r="857">
      <x:c r="A857" s="75"/>
      <x:c r="B857" s="75"/>
      <x:c r="C857" s="75"/>
      <x:c r="D857" s="75"/>
      <x:c r="E857" s="75"/>
      <x:c r="F857" s="75"/>
      <x:c r="G857" s="75"/>
      <x:c r="H857" s="75"/>
      <x:c r="I857" s="75"/>
      <x:c r="J857" s="75"/>
      <x:c r="K857" s="75"/>
      <x:c r="L857" s="75"/>
      <x:c r="M857" s="75"/>
      <x:c r="N857" s="75"/>
      <x:c r="O857" s="75"/>
      <x:c r="P857" s="75"/>
      <x:c r="Q857" s="75"/>
      <x:c r="R857" s="75"/>
      <x:c r="S857" s="75"/>
      <x:c r="T857" s="75"/>
      <x:c r="U857" s="75"/>
      <x:c r="V857" s="75"/>
      <x:c r="W857" s="75"/>
      <x:c r="X857" s="75"/>
      <x:c r="Y857" s="75"/>
      <x:c r="Z857" s="75"/>
      <x:c r="AA857" s="75"/>
      <x:c r="AB857" s="75"/>
      <x:c r="AC857" s="78"/>
      <x:c r="AD857" s="75"/>
      <x:c r="AE857" s="75"/>
      <x:c r="AF857" s="75"/>
      <x:c r="AG857" s="75"/>
      <x:c r="AH857" s="75"/>
      <x:c r="AI857" s="75"/>
    </x:row>
    <x:row r="858">
      <x:c r="A858" s="75"/>
      <x:c r="B858" s="75"/>
      <x:c r="C858" s="75"/>
      <x:c r="D858" s="75"/>
      <x:c r="E858" s="75"/>
      <x:c r="F858" s="75"/>
      <x:c r="G858" s="75"/>
      <x:c r="H858" s="75"/>
      <x:c r="I858" s="75"/>
      <x:c r="J858" s="75"/>
      <x:c r="K858" s="75"/>
      <x:c r="L858" s="75"/>
      <x:c r="M858" s="75"/>
      <x:c r="N858" s="75"/>
      <x:c r="O858" s="75"/>
      <x:c r="P858" s="75"/>
      <x:c r="Q858" s="75"/>
      <x:c r="R858" s="75"/>
      <x:c r="S858" s="75"/>
      <x:c r="T858" s="75"/>
      <x:c r="U858" s="75"/>
      <x:c r="V858" s="75"/>
      <x:c r="W858" s="75"/>
      <x:c r="X858" s="75"/>
      <x:c r="Y858" s="75"/>
      <x:c r="Z858" s="75"/>
      <x:c r="AA858" s="75"/>
      <x:c r="AB858" s="75"/>
      <x:c r="AC858" s="78"/>
      <x:c r="AD858" s="75"/>
      <x:c r="AE858" s="75"/>
      <x:c r="AF858" s="75"/>
      <x:c r="AG858" s="75"/>
      <x:c r="AH858" s="75"/>
      <x:c r="AI858" s="75"/>
    </x:row>
    <x:row r="859">
      <x:c r="A859" s="75"/>
      <x:c r="B859" s="75"/>
      <x:c r="C859" s="75"/>
      <x:c r="D859" s="75"/>
      <x:c r="E859" s="75"/>
      <x:c r="F859" s="75"/>
      <x:c r="G859" s="75"/>
      <x:c r="H859" s="75"/>
      <x:c r="I859" s="75"/>
      <x:c r="J859" s="75"/>
      <x:c r="K859" s="75"/>
      <x:c r="L859" s="75"/>
      <x:c r="M859" s="75"/>
      <x:c r="N859" s="75"/>
      <x:c r="O859" s="75"/>
      <x:c r="P859" s="75"/>
      <x:c r="Q859" s="75"/>
      <x:c r="R859" s="75"/>
      <x:c r="S859" s="75"/>
      <x:c r="T859" s="75"/>
      <x:c r="U859" s="75"/>
      <x:c r="V859" s="75"/>
      <x:c r="W859" s="75"/>
      <x:c r="X859" s="75"/>
      <x:c r="Y859" s="75"/>
      <x:c r="Z859" s="75"/>
      <x:c r="AA859" s="75"/>
      <x:c r="AB859" s="75"/>
      <x:c r="AC859" s="78"/>
      <x:c r="AD859" s="75"/>
      <x:c r="AE859" s="75"/>
      <x:c r="AF859" s="75"/>
      <x:c r="AG859" s="75"/>
      <x:c r="AH859" s="75"/>
      <x:c r="AI859" s="75"/>
    </x:row>
    <x:row r="860">
      <x:c r="A860" s="75"/>
      <x:c r="B860" s="75"/>
      <x:c r="C860" s="75"/>
      <x:c r="D860" s="75"/>
      <x:c r="E860" s="75"/>
      <x:c r="F860" s="75"/>
      <x:c r="G860" s="75"/>
      <x:c r="H860" s="75"/>
      <x:c r="I860" s="75"/>
      <x:c r="J860" s="75"/>
      <x:c r="K860" s="75"/>
      <x:c r="L860" s="75"/>
      <x:c r="M860" s="75"/>
      <x:c r="N860" s="75"/>
      <x:c r="O860" s="75"/>
      <x:c r="P860" s="75"/>
      <x:c r="Q860" s="75"/>
      <x:c r="R860" s="75"/>
      <x:c r="S860" s="75"/>
      <x:c r="T860" s="75"/>
      <x:c r="U860" s="75"/>
      <x:c r="V860" s="75"/>
      <x:c r="W860" s="75"/>
      <x:c r="X860" s="75"/>
      <x:c r="Y860" s="75"/>
      <x:c r="Z860" s="75"/>
      <x:c r="AA860" s="75"/>
      <x:c r="AB860" s="75"/>
      <x:c r="AC860" s="78"/>
      <x:c r="AD860" s="75"/>
      <x:c r="AE860" s="75"/>
      <x:c r="AF860" s="75"/>
      <x:c r="AG860" s="75"/>
      <x:c r="AH860" s="75"/>
      <x:c r="AI860" s="75"/>
    </x:row>
    <x:row r="861">
      <x:c r="A861" s="75"/>
      <x:c r="B861" s="75"/>
      <x:c r="C861" s="75"/>
      <x:c r="D861" s="75"/>
      <x:c r="E861" s="75"/>
      <x:c r="F861" s="75"/>
      <x:c r="G861" s="75"/>
      <x:c r="H861" s="75"/>
      <x:c r="I861" s="75"/>
      <x:c r="J861" s="75"/>
      <x:c r="K861" s="75"/>
      <x:c r="L861" s="75"/>
      <x:c r="M861" s="75"/>
      <x:c r="N861" s="75"/>
      <x:c r="O861" s="75"/>
      <x:c r="P861" s="75"/>
      <x:c r="Q861" s="75"/>
      <x:c r="R861" s="75"/>
      <x:c r="S861" s="75"/>
      <x:c r="T861" s="75"/>
      <x:c r="U861" s="75"/>
      <x:c r="V861" s="75"/>
      <x:c r="W861" s="75"/>
      <x:c r="X861" s="75"/>
      <x:c r="Y861" s="75"/>
      <x:c r="Z861" s="75"/>
      <x:c r="AA861" s="75"/>
      <x:c r="AB861" s="75"/>
      <x:c r="AC861" s="78"/>
      <x:c r="AD861" s="75"/>
      <x:c r="AE861" s="75"/>
      <x:c r="AF861" s="75"/>
      <x:c r="AG861" s="75"/>
      <x:c r="AH861" s="75"/>
      <x:c r="AI861" s="75"/>
    </x:row>
    <x:row r="862">
      <x:c r="A862" s="75"/>
      <x:c r="B862" s="75"/>
      <x:c r="C862" s="75"/>
      <x:c r="D862" s="75"/>
      <x:c r="E862" s="75"/>
      <x:c r="F862" s="75"/>
      <x:c r="G862" s="75"/>
      <x:c r="H862" s="75"/>
      <x:c r="I862" s="75"/>
      <x:c r="J862" s="75"/>
      <x:c r="K862" s="75"/>
      <x:c r="L862" s="75"/>
      <x:c r="M862" s="75"/>
      <x:c r="N862" s="75"/>
      <x:c r="O862" s="75"/>
      <x:c r="P862" s="75"/>
      <x:c r="Q862" s="75"/>
      <x:c r="R862" s="75"/>
      <x:c r="S862" s="75"/>
      <x:c r="T862" s="75"/>
      <x:c r="U862" s="75"/>
      <x:c r="V862" s="75"/>
      <x:c r="W862" s="75"/>
      <x:c r="X862" s="75"/>
      <x:c r="Y862" s="75"/>
      <x:c r="Z862" s="75"/>
      <x:c r="AA862" s="75"/>
      <x:c r="AB862" s="75"/>
      <x:c r="AC862" s="78"/>
      <x:c r="AD862" s="75"/>
      <x:c r="AE862" s="75"/>
      <x:c r="AF862" s="75"/>
      <x:c r="AG862" s="75"/>
      <x:c r="AH862" s="75"/>
      <x:c r="AI862" s="75"/>
    </x:row>
    <x:row r="863">
      <x:c r="A863" s="75"/>
      <x:c r="B863" s="75"/>
      <x:c r="C863" s="75"/>
      <x:c r="D863" s="75"/>
      <x:c r="E863" s="75"/>
      <x:c r="F863" s="75"/>
      <x:c r="G863" s="75"/>
      <x:c r="H863" s="75"/>
      <x:c r="I863" s="75"/>
      <x:c r="J863" s="75"/>
      <x:c r="K863" s="75"/>
      <x:c r="L863" s="75"/>
      <x:c r="M863" s="75"/>
      <x:c r="N863" s="75"/>
      <x:c r="O863" s="75"/>
      <x:c r="P863" s="75"/>
      <x:c r="Q863" s="75"/>
      <x:c r="R863" s="75"/>
      <x:c r="S863" s="75"/>
      <x:c r="T863" s="75"/>
      <x:c r="U863" s="75"/>
      <x:c r="V863" s="75"/>
      <x:c r="W863" s="75"/>
      <x:c r="X863" s="75"/>
      <x:c r="Y863" s="75"/>
      <x:c r="Z863" s="75"/>
      <x:c r="AA863" s="75"/>
      <x:c r="AB863" s="75"/>
      <x:c r="AC863" s="78"/>
      <x:c r="AD863" s="75"/>
      <x:c r="AE863" s="75"/>
      <x:c r="AF863" s="75"/>
      <x:c r="AG863" s="75"/>
      <x:c r="AH863" s="75"/>
      <x:c r="AI863" s="75"/>
    </x:row>
    <x:row r="864">
      <x:c r="A864" s="75"/>
      <x:c r="B864" s="75"/>
      <x:c r="C864" s="75"/>
      <x:c r="D864" s="75"/>
      <x:c r="E864" s="75"/>
      <x:c r="F864" s="75"/>
      <x:c r="G864" s="75"/>
      <x:c r="H864" s="75"/>
      <x:c r="I864" s="75"/>
      <x:c r="J864" s="75"/>
      <x:c r="K864" s="75"/>
      <x:c r="L864" s="75"/>
      <x:c r="M864" s="75"/>
      <x:c r="N864" s="75"/>
      <x:c r="O864" s="75"/>
      <x:c r="P864" s="75"/>
      <x:c r="Q864" s="75"/>
      <x:c r="R864" s="75"/>
      <x:c r="S864" s="75"/>
      <x:c r="T864" s="75"/>
      <x:c r="U864" s="75"/>
      <x:c r="V864" s="75"/>
      <x:c r="W864" s="75"/>
      <x:c r="X864" s="75"/>
      <x:c r="Y864" s="75"/>
      <x:c r="Z864" s="75"/>
      <x:c r="AA864" s="75"/>
      <x:c r="AB864" s="75"/>
      <x:c r="AC864" s="78"/>
      <x:c r="AD864" s="75"/>
      <x:c r="AE864" s="75"/>
      <x:c r="AF864" s="75"/>
      <x:c r="AG864" s="75"/>
      <x:c r="AH864" s="75"/>
      <x:c r="AI864" s="75"/>
    </x:row>
    <x:row r="865">
      <x:c r="A865" s="75"/>
      <x:c r="B865" s="75"/>
      <x:c r="C865" s="75"/>
      <x:c r="D865" s="75"/>
      <x:c r="E865" s="75"/>
      <x:c r="F865" s="75"/>
      <x:c r="G865" s="75"/>
      <x:c r="H865" s="75"/>
      <x:c r="I865" s="75"/>
      <x:c r="J865" s="75"/>
      <x:c r="K865" s="75"/>
      <x:c r="L865" s="75"/>
      <x:c r="M865" s="75"/>
      <x:c r="N865" s="75"/>
      <x:c r="O865" s="75"/>
      <x:c r="P865" s="75"/>
      <x:c r="Q865" s="75"/>
      <x:c r="R865" s="75"/>
      <x:c r="S865" s="75"/>
      <x:c r="T865" s="75"/>
      <x:c r="U865" s="75"/>
      <x:c r="V865" s="75"/>
      <x:c r="W865" s="75"/>
      <x:c r="X865" s="75"/>
      <x:c r="Y865" s="75"/>
      <x:c r="Z865" s="75"/>
      <x:c r="AA865" s="75"/>
      <x:c r="AB865" s="75"/>
      <x:c r="AC865" s="78"/>
      <x:c r="AD865" s="75"/>
      <x:c r="AE865" s="75"/>
      <x:c r="AF865" s="75"/>
      <x:c r="AG865" s="75"/>
      <x:c r="AH865" s="75"/>
      <x:c r="AI865" s="75"/>
    </x:row>
    <x:row r="866">
      <x:c r="A866" s="75"/>
      <x:c r="B866" s="75"/>
      <x:c r="C866" s="75"/>
      <x:c r="D866" s="75"/>
      <x:c r="E866" s="75"/>
      <x:c r="F866" s="75"/>
      <x:c r="G866" s="75"/>
      <x:c r="H866" s="75"/>
      <x:c r="I866" s="75"/>
      <x:c r="J866" s="75"/>
      <x:c r="K866" s="75"/>
      <x:c r="L866" s="75"/>
      <x:c r="M866" s="75"/>
      <x:c r="N866" s="75"/>
      <x:c r="O866" s="75"/>
      <x:c r="P866" s="75"/>
      <x:c r="Q866" s="75"/>
      <x:c r="R866" s="75"/>
      <x:c r="S866" s="75"/>
      <x:c r="T866" s="75"/>
      <x:c r="U866" s="75"/>
      <x:c r="V866" s="75"/>
      <x:c r="W866" s="75"/>
      <x:c r="X866" s="75"/>
      <x:c r="Y866" s="75"/>
      <x:c r="Z866" s="75"/>
      <x:c r="AA866" s="75"/>
      <x:c r="AB866" s="75"/>
      <x:c r="AC866" s="78"/>
      <x:c r="AD866" s="75"/>
      <x:c r="AE866" s="75"/>
      <x:c r="AF866" s="75"/>
      <x:c r="AG866" s="75"/>
      <x:c r="AH866" s="75"/>
      <x:c r="AI866" s="75"/>
    </x:row>
    <x:row r="867">
      <x:c r="A867" s="75"/>
      <x:c r="B867" s="75"/>
      <x:c r="C867" s="75"/>
      <x:c r="D867" s="75"/>
      <x:c r="E867" s="75"/>
      <x:c r="F867" s="75"/>
      <x:c r="G867" s="75"/>
      <x:c r="H867" s="75"/>
      <x:c r="I867" s="75"/>
      <x:c r="J867" s="75"/>
      <x:c r="K867" s="75"/>
      <x:c r="L867" s="75"/>
      <x:c r="M867" s="75"/>
      <x:c r="N867" s="75"/>
      <x:c r="O867" s="75"/>
      <x:c r="P867" s="75"/>
      <x:c r="Q867" s="75"/>
      <x:c r="R867" s="75"/>
      <x:c r="S867" s="75"/>
      <x:c r="T867" s="75"/>
      <x:c r="U867" s="75"/>
      <x:c r="V867" s="75"/>
      <x:c r="W867" s="75"/>
      <x:c r="X867" s="75"/>
      <x:c r="Y867" s="75"/>
      <x:c r="Z867" s="75"/>
      <x:c r="AA867" s="75"/>
      <x:c r="AB867" s="75"/>
      <x:c r="AC867" s="78"/>
      <x:c r="AD867" s="75"/>
      <x:c r="AE867" s="75"/>
      <x:c r="AF867" s="75"/>
      <x:c r="AG867" s="75"/>
      <x:c r="AH867" s="75"/>
      <x:c r="AI867" s="75"/>
    </x:row>
    <x:row r="868">
      <x:c r="A868" s="75"/>
      <x:c r="B868" s="75"/>
      <x:c r="C868" s="75"/>
      <x:c r="D868" s="75"/>
      <x:c r="E868" s="75"/>
      <x:c r="F868" s="75"/>
      <x:c r="G868" s="75"/>
      <x:c r="H868" s="75"/>
      <x:c r="I868" s="75"/>
      <x:c r="J868" s="75"/>
      <x:c r="K868" s="75"/>
      <x:c r="L868" s="75"/>
      <x:c r="M868" s="75"/>
      <x:c r="N868" s="75"/>
      <x:c r="O868" s="75"/>
      <x:c r="P868" s="75"/>
      <x:c r="Q868" s="75"/>
      <x:c r="R868" s="75"/>
      <x:c r="S868" s="75"/>
      <x:c r="T868" s="75"/>
      <x:c r="U868" s="75"/>
      <x:c r="V868" s="75"/>
      <x:c r="W868" s="75"/>
      <x:c r="X868" s="75"/>
      <x:c r="Y868" s="75"/>
      <x:c r="Z868" s="75"/>
      <x:c r="AA868" s="75"/>
      <x:c r="AB868" s="75"/>
      <x:c r="AC868" s="78"/>
      <x:c r="AD868" s="75"/>
      <x:c r="AE868" s="75"/>
      <x:c r="AF868" s="75"/>
      <x:c r="AG868" s="75"/>
      <x:c r="AH868" s="75"/>
      <x:c r="AI868" s="75"/>
    </x:row>
    <x:row r="869">
      <x:c r="A869" s="75"/>
      <x:c r="B869" s="75"/>
      <x:c r="C869" s="75"/>
      <x:c r="D869" s="75"/>
      <x:c r="E869" s="75"/>
      <x:c r="F869" s="75"/>
      <x:c r="G869" s="75"/>
      <x:c r="H869" s="75"/>
      <x:c r="I869" s="75"/>
      <x:c r="J869" s="75"/>
      <x:c r="K869" s="75"/>
      <x:c r="L869" s="75"/>
      <x:c r="M869" s="75"/>
      <x:c r="N869" s="75"/>
      <x:c r="O869" s="75"/>
      <x:c r="P869" s="75"/>
      <x:c r="Q869" s="75"/>
      <x:c r="R869" s="75"/>
      <x:c r="S869" s="75"/>
      <x:c r="T869" s="75"/>
      <x:c r="U869" s="75"/>
      <x:c r="V869" s="75"/>
      <x:c r="W869" s="75"/>
      <x:c r="X869" s="75"/>
      <x:c r="Y869" s="75"/>
      <x:c r="Z869" s="75"/>
      <x:c r="AA869" s="75"/>
      <x:c r="AB869" s="75"/>
      <x:c r="AC869" s="78"/>
      <x:c r="AD869" s="75"/>
      <x:c r="AE869" s="75"/>
      <x:c r="AF869" s="75"/>
      <x:c r="AG869" s="75"/>
      <x:c r="AH869" s="75"/>
      <x:c r="AI869" s="75"/>
    </x:row>
    <x:row r="870">
      <x:c r="A870" s="75"/>
      <x:c r="B870" s="75"/>
      <x:c r="C870" s="75"/>
      <x:c r="D870" s="75"/>
      <x:c r="E870" s="75"/>
      <x:c r="F870" s="75"/>
      <x:c r="G870" s="75"/>
      <x:c r="H870" s="75"/>
      <x:c r="I870" s="75"/>
      <x:c r="J870" s="75"/>
      <x:c r="K870" s="75"/>
      <x:c r="L870" s="75"/>
      <x:c r="M870" s="75"/>
      <x:c r="N870" s="75"/>
      <x:c r="O870" s="75"/>
      <x:c r="P870" s="75"/>
      <x:c r="Q870" s="75"/>
      <x:c r="R870" s="75"/>
      <x:c r="S870" s="75"/>
      <x:c r="T870" s="75"/>
      <x:c r="U870" s="75"/>
      <x:c r="V870" s="75"/>
      <x:c r="W870" s="75"/>
      <x:c r="X870" s="75"/>
      <x:c r="Y870" s="75"/>
      <x:c r="Z870" s="75"/>
      <x:c r="AA870" s="75"/>
      <x:c r="AB870" s="75"/>
      <x:c r="AC870" s="78"/>
      <x:c r="AD870" s="75"/>
      <x:c r="AE870" s="75"/>
      <x:c r="AF870" s="75"/>
      <x:c r="AG870" s="75"/>
      <x:c r="AH870" s="75"/>
      <x:c r="AI870" s="75"/>
    </x:row>
    <x:row r="871">
      <x:c r="A871" s="75"/>
      <x:c r="B871" s="75"/>
      <x:c r="C871" s="75"/>
      <x:c r="D871" s="75"/>
      <x:c r="E871" s="75"/>
      <x:c r="F871" s="75"/>
      <x:c r="G871" s="75"/>
      <x:c r="H871" s="75"/>
      <x:c r="I871" s="75"/>
      <x:c r="J871" s="75"/>
      <x:c r="K871" s="75"/>
      <x:c r="L871" s="75"/>
      <x:c r="M871" s="75"/>
      <x:c r="N871" s="75"/>
      <x:c r="O871" s="75"/>
      <x:c r="P871" s="75"/>
      <x:c r="Q871" s="75"/>
      <x:c r="R871" s="75"/>
      <x:c r="S871" s="75"/>
      <x:c r="T871" s="75"/>
      <x:c r="U871" s="75"/>
      <x:c r="V871" s="75"/>
      <x:c r="W871" s="75"/>
      <x:c r="X871" s="75"/>
      <x:c r="Y871" s="75"/>
      <x:c r="Z871" s="75"/>
      <x:c r="AA871" s="75"/>
      <x:c r="AB871" s="75"/>
      <x:c r="AC871" s="78"/>
      <x:c r="AD871" s="75"/>
      <x:c r="AE871" s="75"/>
      <x:c r="AF871" s="75"/>
      <x:c r="AG871" s="75"/>
      <x:c r="AH871" s="75"/>
      <x:c r="AI871" s="75"/>
    </x:row>
    <x:row r="872">
      <x:c r="A872" s="75"/>
      <x:c r="B872" s="75"/>
      <x:c r="C872" s="75"/>
      <x:c r="D872" s="75"/>
      <x:c r="E872" s="75"/>
      <x:c r="F872" s="75"/>
      <x:c r="G872" s="75"/>
      <x:c r="H872" s="75"/>
      <x:c r="I872" s="75"/>
      <x:c r="J872" s="75"/>
      <x:c r="K872" s="75"/>
      <x:c r="L872" s="75"/>
      <x:c r="M872" s="75"/>
      <x:c r="N872" s="75"/>
      <x:c r="O872" s="75"/>
      <x:c r="P872" s="75"/>
      <x:c r="Q872" s="75"/>
      <x:c r="R872" s="75"/>
      <x:c r="S872" s="75"/>
      <x:c r="T872" s="75"/>
      <x:c r="U872" s="75"/>
      <x:c r="V872" s="75"/>
      <x:c r="W872" s="75"/>
      <x:c r="X872" s="75"/>
      <x:c r="Y872" s="75"/>
      <x:c r="Z872" s="75"/>
      <x:c r="AA872" s="75"/>
      <x:c r="AB872" s="75"/>
      <x:c r="AC872" s="78"/>
      <x:c r="AD872" s="75"/>
      <x:c r="AE872" s="75"/>
      <x:c r="AF872" s="75"/>
      <x:c r="AG872" s="75"/>
      <x:c r="AH872" s="75"/>
      <x:c r="AI872" s="75"/>
    </x:row>
    <x:row r="873">
      <x:c r="A873" s="75"/>
      <x:c r="B873" s="75"/>
      <x:c r="C873" s="75"/>
      <x:c r="D873" s="75"/>
      <x:c r="E873" s="75"/>
      <x:c r="F873" s="75"/>
      <x:c r="G873" s="75"/>
      <x:c r="H873" s="75"/>
      <x:c r="I873" s="75"/>
      <x:c r="J873" s="75"/>
      <x:c r="K873" s="75"/>
      <x:c r="L873" s="75"/>
      <x:c r="M873" s="75"/>
      <x:c r="N873" s="75"/>
      <x:c r="O873" s="75"/>
      <x:c r="P873" s="75"/>
      <x:c r="Q873" s="75"/>
      <x:c r="R873" s="75"/>
      <x:c r="S873" s="75"/>
      <x:c r="T873" s="75"/>
      <x:c r="U873" s="75"/>
      <x:c r="V873" s="75"/>
      <x:c r="W873" s="75"/>
      <x:c r="X873" s="75"/>
      <x:c r="Y873" s="75"/>
      <x:c r="Z873" s="75"/>
      <x:c r="AA873" s="75"/>
      <x:c r="AB873" s="75"/>
      <x:c r="AC873" s="78"/>
      <x:c r="AD873" s="75"/>
      <x:c r="AE873" s="75"/>
      <x:c r="AF873" s="75"/>
      <x:c r="AG873" s="75"/>
      <x:c r="AH873" s="75"/>
      <x:c r="AI873" s="75"/>
    </x:row>
    <x:row r="874">
      <x:c r="A874" s="75"/>
      <x:c r="B874" s="75"/>
      <x:c r="C874" s="75"/>
      <x:c r="D874" s="75"/>
      <x:c r="E874" s="75"/>
      <x:c r="F874" s="75"/>
      <x:c r="G874" s="75"/>
      <x:c r="H874" s="75"/>
      <x:c r="I874" s="75"/>
      <x:c r="J874" s="75"/>
      <x:c r="K874" s="75"/>
      <x:c r="L874" s="75"/>
      <x:c r="M874" s="75"/>
      <x:c r="N874" s="75"/>
      <x:c r="O874" s="75"/>
      <x:c r="P874" s="75"/>
      <x:c r="Q874" s="75"/>
      <x:c r="R874" s="75"/>
      <x:c r="S874" s="75"/>
      <x:c r="T874" s="75"/>
      <x:c r="U874" s="75"/>
      <x:c r="V874" s="75"/>
      <x:c r="W874" s="75"/>
      <x:c r="X874" s="75"/>
      <x:c r="Y874" s="75"/>
      <x:c r="Z874" s="75"/>
      <x:c r="AA874" s="75"/>
      <x:c r="AB874" s="75"/>
      <x:c r="AC874" s="78"/>
      <x:c r="AD874" s="75"/>
      <x:c r="AE874" s="75"/>
      <x:c r="AF874" s="75"/>
      <x:c r="AG874" s="75"/>
      <x:c r="AH874" s="75"/>
      <x:c r="AI874" s="75"/>
    </x:row>
    <x:row r="875">
      <x:c r="A875" s="75"/>
      <x:c r="B875" s="75"/>
      <x:c r="C875" s="75"/>
      <x:c r="D875" s="75"/>
      <x:c r="E875" s="75"/>
      <x:c r="F875" s="75"/>
      <x:c r="G875" s="75"/>
      <x:c r="H875" s="75"/>
      <x:c r="I875" s="75"/>
      <x:c r="J875" s="75"/>
      <x:c r="K875" s="75"/>
      <x:c r="L875" s="75"/>
      <x:c r="M875" s="75"/>
      <x:c r="N875" s="75"/>
      <x:c r="O875" s="75"/>
      <x:c r="P875" s="75"/>
      <x:c r="Q875" s="75"/>
      <x:c r="R875" s="75"/>
      <x:c r="S875" s="75"/>
      <x:c r="T875" s="75"/>
      <x:c r="U875" s="75"/>
      <x:c r="V875" s="75"/>
      <x:c r="W875" s="75"/>
      <x:c r="X875" s="75"/>
      <x:c r="Y875" s="75"/>
      <x:c r="Z875" s="75"/>
      <x:c r="AA875" s="75"/>
      <x:c r="AB875" s="75"/>
      <x:c r="AC875" s="78"/>
      <x:c r="AD875" s="75"/>
      <x:c r="AE875" s="75"/>
      <x:c r="AF875" s="75"/>
      <x:c r="AG875" s="75"/>
      <x:c r="AH875" s="75"/>
      <x:c r="AI875" s="75"/>
    </x:row>
    <x:row r="876">
      <x:c r="A876" s="75"/>
      <x:c r="B876" s="75"/>
      <x:c r="C876" s="75"/>
      <x:c r="D876" s="75"/>
      <x:c r="E876" s="75"/>
      <x:c r="F876" s="75"/>
      <x:c r="G876" s="75"/>
      <x:c r="H876" s="75"/>
      <x:c r="I876" s="75"/>
      <x:c r="J876" s="75"/>
      <x:c r="K876" s="75"/>
      <x:c r="L876" s="75"/>
      <x:c r="M876" s="75"/>
      <x:c r="N876" s="75"/>
      <x:c r="O876" s="75"/>
      <x:c r="P876" s="75"/>
      <x:c r="Q876" s="75"/>
      <x:c r="R876" s="75"/>
      <x:c r="S876" s="75"/>
      <x:c r="T876" s="75"/>
      <x:c r="U876" s="75"/>
      <x:c r="V876" s="75"/>
      <x:c r="W876" s="75"/>
      <x:c r="X876" s="75"/>
      <x:c r="Y876" s="75"/>
      <x:c r="Z876" s="75"/>
      <x:c r="AA876" s="75"/>
      <x:c r="AB876" s="75"/>
      <x:c r="AC876" s="78"/>
      <x:c r="AD876" s="75"/>
      <x:c r="AE876" s="75"/>
      <x:c r="AF876" s="75"/>
      <x:c r="AG876" s="75"/>
      <x:c r="AH876" s="75"/>
      <x:c r="AI876" s="75"/>
    </x:row>
    <x:row r="877">
      <x:c r="A877" s="75"/>
      <x:c r="B877" s="75"/>
      <x:c r="C877" s="75"/>
      <x:c r="D877" s="75"/>
      <x:c r="E877" s="75"/>
      <x:c r="F877" s="75"/>
      <x:c r="G877" s="75"/>
      <x:c r="H877" s="75"/>
      <x:c r="I877" s="75"/>
      <x:c r="J877" s="75"/>
      <x:c r="K877" s="75"/>
      <x:c r="L877" s="75"/>
      <x:c r="M877" s="75"/>
      <x:c r="N877" s="75"/>
      <x:c r="O877" s="75"/>
      <x:c r="P877" s="75"/>
      <x:c r="Q877" s="75"/>
      <x:c r="R877" s="75"/>
      <x:c r="S877" s="75"/>
      <x:c r="T877" s="75"/>
      <x:c r="U877" s="75"/>
      <x:c r="V877" s="75"/>
      <x:c r="W877" s="75"/>
      <x:c r="X877" s="75"/>
      <x:c r="Y877" s="75"/>
      <x:c r="Z877" s="75"/>
      <x:c r="AA877" s="75"/>
      <x:c r="AB877" s="75"/>
      <x:c r="AC877" s="78"/>
      <x:c r="AD877" s="75"/>
      <x:c r="AE877" s="75"/>
      <x:c r="AF877" s="75"/>
      <x:c r="AG877" s="75"/>
      <x:c r="AH877" s="75"/>
      <x:c r="AI877" s="75"/>
    </x:row>
    <x:row r="878">
      <x:c r="A878" s="75"/>
      <x:c r="B878" s="75"/>
      <x:c r="C878" s="75"/>
      <x:c r="D878" s="75"/>
      <x:c r="E878" s="75"/>
      <x:c r="F878" s="75"/>
      <x:c r="G878" s="75"/>
      <x:c r="H878" s="75"/>
      <x:c r="I878" s="75"/>
      <x:c r="J878" s="75"/>
      <x:c r="K878" s="75"/>
      <x:c r="L878" s="75"/>
      <x:c r="M878" s="75"/>
      <x:c r="N878" s="75"/>
      <x:c r="O878" s="75"/>
      <x:c r="P878" s="75"/>
      <x:c r="Q878" s="75"/>
      <x:c r="R878" s="75"/>
      <x:c r="S878" s="75"/>
      <x:c r="T878" s="75"/>
      <x:c r="U878" s="75"/>
      <x:c r="V878" s="75"/>
      <x:c r="W878" s="75"/>
      <x:c r="X878" s="75"/>
      <x:c r="Y878" s="75"/>
      <x:c r="Z878" s="75"/>
      <x:c r="AA878" s="75"/>
      <x:c r="AB878" s="75"/>
      <x:c r="AC878" s="78"/>
      <x:c r="AD878" s="75"/>
      <x:c r="AE878" s="75"/>
      <x:c r="AF878" s="75"/>
      <x:c r="AG878" s="75"/>
      <x:c r="AH878" s="75"/>
      <x:c r="AI878" s="75"/>
    </x:row>
    <x:row r="879">
      <x:c r="A879" s="75"/>
      <x:c r="B879" s="75"/>
      <x:c r="C879" s="75"/>
      <x:c r="D879" s="75"/>
      <x:c r="E879" s="75"/>
      <x:c r="F879" s="75"/>
      <x:c r="G879" s="75"/>
      <x:c r="H879" s="75"/>
      <x:c r="I879" s="75"/>
      <x:c r="J879" s="75"/>
      <x:c r="K879" s="75"/>
      <x:c r="L879" s="75"/>
      <x:c r="M879" s="75"/>
      <x:c r="N879" s="75"/>
      <x:c r="O879" s="75"/>
      <x:c r="P879" s="75"/>
      <x:c r="Q879" s="75"/>
      <x:c r="R879" s="75"/>
      <x:c r="S879" s="75"/>
      <x:c r="T879" s="75"/>
      <x:c r="U879" s="75"/>
      <x:c r="V879" s="75"/>
      <x:c r="W879" s="75"/>
      <x:c r="X879" s="75"/>
      <x:c r="Y879" s="75"/>
      <x:c r="Z879" s="75"/>
      <x:c r="AA879" s="75"/>
      <x:c r="AB879" s="75"/>
      <x:c r="AC879" s="78"/>
      <x:c r="AD879" s="75"/>
      <x:c r="AE879" s="75"/>
      <x:c r="AF879" s="75"/>
      <x:c r="AG879" s="75"/>
      <x:c r="AH879" s="75"/>
      <x:c r="AI879" s="75"/>
    </x:row>
    <x:row r="880">
      <x:c r="A880" s="75"/>
      <x:c r="B880" s="75"/>
      <x:c r="C880" s="75"/>
      <x:c r="D880" s="75"/>
      <x:c r="E880" s="75"/>
      <x:c r="F880" s="75"/>
      <x:c r="G880" s="75"/>
      <x:c r="H880" s="75"/>
      <x:c r="I880" s="75"/>
      <x:c r="J880" s="75"/>
      <x:c r="K880" s="75"/>
      <x:c r="L880" s="75"/>
      <x:c r="M880" s="75"/>
      <x:c r="N880" s="75"/>
      <x:c r="O880" s="75"/>
      <x:c r="P880" s="75"/>
      <x:c r="Q880" s="75"/>
      <x:c r="R880" s="75"/>
      <x:c r="S880" s="75"/>
      <x:c r="T880" s="75"/>
      <x:c r="U880" s="75"/>
      <x:c r="V880" s="75"/>
      <x:c r="W880" s="75"/>
      <x:c r="X880" s="75"/>
      <x:c r="Y880" s="75"/>
      <x:c r="Z880" s="75"/>
      <x:c r="AA880" s="75"/>
      <x:c r="AB880" s="75"/>
      <x:c r="AC880" s="78"/>
      <x:c r="AD880" s="75"/>
      <x:c r="AE880" s="75"/>
      <x:c r="AF880" s="75"/>
      <x:c r="AG880" s="75"/>
      <x:c r="AH880" s="75"/>
      <x:c r="AI880" s="75"/>
    </x:row>
    <x:row r="881">
      <x:c r="A881" s="75"/>
      <x:c r="B881" s="75"/>
      <x:c r="C881" s="75"/>
      <x:c r="D881" s="75"/>
      <x:c r="E881" s="75"/>
      <x:c r="F881" s="75"/>
      <x:c r="G881" s="75"/>
      <x:c r="H881" s="75"/>
      <x:c r="I881" s="75"/>
      <x:c r="J881" s="75"/>
      <x:c r="K881" s="75"/>
      <x:c r="L881" s="75"/>
      <x:c r="M881" s="75"/>
      <x:c r="N881" s="75"/>
      <x:c r="O881" s="75"/>
      <x:c r="P881" s="75"/>
      <x:c r="Q881" s="75"/>
      <x:c r="R881" s="75"/>
      <x:c r="S881" s="75"/>
      <x:c r="T881" s="75"/>
      <x:c r="U881" s="75"/>
      <x:c r="V881" s="75"/>
      <x:c r="W881" s="75"/>
      <x:c r="X881" s="75"/>
      <x:c r="Y881" s="75"/>
      <x:c r="Z881" s="75"/>
      <x:c r="AA881" s="75"/>
      <x:c r="AB881" s="75"/>
      <x:c r="AC881" s="78"/>
      <x:c r="AD881" s="75"/>
      <x:c r="AE881" s="75"/>
      <x:c r="AF881" s="75"/>
      <x:c r="AG881" s="75"/>
      <x:c r="AH881" s="75"/>
      <x:c r="AI881" s="75"/>
    </x:row>
    <x:row r="882">
      <x:c r="A882" s="75"/>
      <x:c r="B882" s="75"/>
      <x:c r="C882" s="75"/>
      <x:c r="D882" s="75"/>
      <x:c r="E882" s="75"/>
      <x:c r="F882" s="75"/>
      <x:c r="G882" s="75"/>
      <x:c r="H882" s="75"/>
      <x:c r="I882" s="75"/>
      <x:c r="J882" s="75"/>
      <x:c r="K882" s="75"/>
      <x:c r="L882" s="75"/>
      <x:c r="M882" s="75"/>
      <x:c r="N882" s="75"/>
      <x:c r="O882" s="75"/>
      <x:c r="P882" s="75"/>
      <x:c r="Q882" s="75"/>
      <x:c r="R882" s="75"/>
      <x:c r="S882" s="75"/>
      <x:c r="T882" s="75"/>
      <x:c r="U882" s="75"/>
      <x:c r="V882" s="75"/>
      <x:c r="W882" s="75"/>
      <x:c r="X882" s="75"/>
      <x:c r="Y882" s="75"/>
      <x:c r="Z882" s="75"/>
      <x:c r="AA882" s="75"/>
      <x:c r="AB882" s="75"/>
      <x:c r="AC882" s="78"/>
      <x:c r="AD882" s="75"/>
      <x:c r="AE882" s="75"/>
      <x:c r="AF882" s="75"/>
      <x:c r="AG882" s="75"/>
      <x:c r="AH882" s="75"/>
      <x:c r="AI882" s="75"/>
    </x:row>
    <x:row r="883">
      <x:c r="A883" s="75"/>
      <x:c r="B883" s="75"/>
      <x:c r="C883" s="75"/>
      <x:c r="D883" s="75"/>
      <x:c r="E883" s="75"/>
      <x:c r="F883" s="75"/>
      <x:c r="G883" s="75"/>
      <x:c r="H883" s="75"/>
      <x:c r="I883" s="75"/>
      <x:c r="J883" s="75"/>
      <x:c r="K883" s="75"/>
      <x:c r="L883" s="75"/>
      <x:c r="M883" s="75"/>
      <x:c r="N883" s="75"/>
      <x:c r="O883" s="75"/>
      <x:c r="P883" s="75"/>
      <x:c r="Q883" s="75"/>
      <x:c r="R883" s="75"/>
      <x:c r="S883" s="75"/>
      <x:c r="T883" s="75"/>
      <x:c r="U883" s="75"/>
      <x:c r="V883" s="75"/>
      <x:c r="W883" s="75"/>
      <x:c r="X883" s="75"/>
      <x:c r="Y883" s="75"/>
      <x:c r="Z883" s="75"/>
      <x:c r="AA883" s="75"/>
      <x:c r="AB883" s="75"/>
      <x:c r="AC883" s="78"/>
      <x:c r="AD883" s="75"/>
      <x:c r="AE883" s="75"/>
      <x:c r="AF883" s="75"/>
      <x:c r="AG883" s="75"/>
      <x:c r="AH883" s="75"/>
      <x:c r="AI883" s="75"/>
    </x:row>
    <x:row r="884">
      <x:c r="A884" s="75"/>
      <x:c r="B884" s="75"/>
      <x:c r="C884" s="75"/>
      <x:c r="D884" s="75"/>
      <x:c r="E884" s="75"/>
      <x:c r="F884" s="75"/>
      <x:c r="G884" s="75"/>
      <x:c r="H884" s="75"/>
      <x:c r="I884" s="75"/>
      <x:c r="J884" s="75"/>
      <x:c r="K884" s="75"/>
      <x:c r="L884" s="75"/>
      <x:c r="M884" s="75"/>
      <x:c r="N884" s="75"/>
      <x:c r="O884" s="75"/>
      <x:c r="P884" s="75"/>
      <x:c r="Q884" s="75"/>
      <x:c r="R884" s="75"/>
      <x:c r="S884" s="75"/>
      <x:c r="T884" s="75"/>
      <x:c r="U884" s="75"/>
      <x:c r="V884" s="75"/>
      <x:c r="W884" s="75"/>
      <x:c r="X884" s="75"/>
      <x:c r="Y884" s="75"/>
      <x:c r="Z884" s="75"/>
      <x:c r="AA884" s="75"/>
      <x:c r="AB884" s="75"/>
      <x:c r="AC884" s="78"/>
      <x:c r="AD884" s="75"/>
      <x:c r="AE884" s="75"/>
      <x:c r="AF884" s="75"/>
      <x:c r="AG884" s="75"/>
      <x:c r="AH884" s="75"/>
      <x:c r="AI884" s="75"/>
    </x:row>
    <x:row r="885">
      <x:c r="A885" s="75"/>
      <x:c r="B885" s="75"/>
      <x:c r="C885" s="75"/>
      <x:c r="D885" s="75"/>
      <x:c r="E885" s="75"/>
      <x:c r="F885" s="75"/>
      <x:c r="G885" s="75"/>
      <x:c r="H885" s="75"/>
      <x:c r="I885" s="75"/>
      <x:c r="J885" s="75"/>
      <x:c r="K885" s="75"/>
      <x:c r="L885" s="75"/>
      <x:c r="M885" s="75"/>
      <x:c r="N885" s="75"/>
      <x:c r="O885" s="75"/>
      <x:c r="P885" s="75"/>
      <x:c r="Q885" s="75"/>
      <x:c r="R885" s="75"/>
      <x:c r="S885" s="75"/>
      <x:c r="T885" s="75"/>
      <x:c r="U885" s="75"/>
      <x:c r="V885" s="75"/>
      <x:c r="W885" s="75"/>
      <x:c r="X885" s="75"/>
      <x:c r="Y885" s="75"/>
      <x:c r="Z885" s="75"/>
      <x:c r="AA885" s="75"/>
      <x:c r="AB885" s="75"/>
      <x:c r="AC885" s="78"/>
      <x:c r="AD885" s="75"/>
      <x:c r="AE885" s="75"/>
      <x:c r="AF885" s="75"/>
      <x:c r="AG885" s="75"/>
      <x:c r="AH885" s="75"/>
      <x:c r="AI885" s="75"/>
    </x:row>
    <x:row r="886">
      <x:c r="A886" s="75"/>
      <x:c r="B886" s="75"/>
      <x:c r="C886" s="75"/>
      <x:c r="D886" s="75"/>
      <x:c r="E886" s="75"/>
      <x:c r="F886" s="75"/>
      <x:c r="G886" s="75"/>
      <x:c r="H886" s="75"/>
      <x:c r="I886" s="75"/>
      <x:c r="J886" s="75"/>
      <x:c r="K886" s="75"/>
      <x:c r="L886" s="75"/>
      <x:c r="M886" s="75"/>
      <x:c r="N886" s="75"/>
      <x:c r="O886" s="75"/>
      <x:c r="P886" s="75"/>
      <x:c r="Q886" s="75"/>
      <x:c r="R886" s="75"/>
      <x:c r="S886" s="75"/>
      <x:c r="T886" s="75"/>
      <x:c r="U886" s="75"/>
      <x:c r="V886" s="75"/>
      <x:c r="W886" s="75"/>
      <x:c r="X886" s="75"/>
      <x:c r="Y886" s="75"/>
      <x:c r="Z886" s="75"/>
      <x:c r="AA886" s="75"/>
      <x:c r="AB886" s="75"/>
      <x:c r="AC886" s="78"/>
      <x:c r="AD886" s="75"/>
      <x:c r="AE886" s="75"/>
      <x:c r="AF886" s="75"/>
      <x:c r="AG886" s="75"/>
      <x:c r="AH886" s="75"/>
      <x:c r="AI886" s="75"/>
    </x:row>
    <x:row r="887">
      <x:c r="A887" s="75"/>
      <x:c r="B887" s="75"/>
      <x:c r="C887" s="75"/>
      <x:c r="D887" s="75"/>
      <x:c r="E887" s="75"/>
      <x:c r="F887" s="75"/>
      <x:c r="G887" s="75"/>
      <x:c r="H887" s="75"/>
      <x:c r="I887" s="75"/>
      <x:c r="J887" s="75"/>
      <x:c r="K887" s="75"/>
      <x:c r="L887" s="75"/>
      <x:c r="M887" s="75"/>
      <x:c r="N887" s="75"/>
      <x:c r="O887" s="75"/>
      <x:c r="P887" s="75"/>
      <x:c r="Q887" s="75"/>
      <x:c r="R887" s="75"/>
      <x:c r="S887" s="75"/>
      <x:c r="T887" s="75"/>
      <x:c r="U887" s="75"/>
      <x:c r="V887" s="75"/>
      <x:c r="W887" s="75"/>
      <x:c r="X887" s="75"/>
      <x:c r="Y887" s="75"/>
      <x:c r="Z887" s="75"/>
      <x:c r="AA887" s="75"/>
      <x:c r="AB887" s="75"/>
      <x:c r="AC887" s="78"/>
      <x:c r="AD887" s="75"/>
      <x:c r="AE887" s="75"/>
      <x:c r="AF887" s="75"/>
      <x:c r="AG887" s="75"/>
      <x:c r="AH887" s="75"/>
      <x:c r="AI887" s="75"/>
    </x:row>
    <x:row r="888">
      <x:c r="A888" s="75"/>
      <x:c r="B888" s="75"/>
      <x:c r="C888" s="75"/>
      <x:c r="D888" s="75"/>
      <x:c r="E888" s="75"/>
      <x:c r="F888" s="75"/>
      <x:c r="G888" s="75"/>
      <x:c r="H888" s="75"/>
      <x:c r="I888" s="75"/>
      <x:c r="J888" s="75"/>
      <x:c r="K888" s="75"/>
      <x:c r="L888" s="75"/>
      <x:c r="M888" s="75"/>
      <x:c r="N888" s="75"/>
      <x:c r="O888" s="75"/>
      <x:c r="P888" s="75"/>
      <x:c r="Q888" s="75"/>
      <x:c r="R888" s="75"/>
      <x:c r="S888" s="75"/>
      <x:c r="T888" s="75"/>
      <x:c r="U888" s="75"/>
      <x:c r="V888" s="75"/>
      <x:c r="W888" s="75"/>
      <x:c r="X888" s="75"/>
      <x:c r="Y888" s="75"/>
      <x:c r="Z888" s="75"/>
      <x:c r="AA888" s="75"/>
      <x:c r="AB888" s="75"/>
      <x:c r="AC888" s="78"/>
      <x:c r="AD888" s="75"/>
      <x:c r="AE888" s="75"/>
      <x:c r="AF888" s="75"/>
      <x:c r="AG888" s="75"/>
      <x:c r="AH888" s="75"/>
      <x:c r="AI888" s="75"/>
    </x:row>
    <x:row r="889">
      <x:c r="A889" s="75"/>
      <x:c r="B889" s="75"/>
      <x:c r="C889" s="75"/>
      <x:c r="D889" s="75"/>
      <x:c r="E889" s="75"/>
      <x:c r="F889" s="75"/>
      <x:c r="G889" s="75"/>
      <x:c r="H889" s="75"/>
      <x:c r="I889" s="75"/>
      <x:c r="J889" s="75"/>
      <x:c r="K889" s="75"/>
      <x:c r="L889" s="75"/>
      <x:c r="M889" s="75"/>
      <x:c r="N889" s="75"/>
      <x:c r="O889" s="75"/>
      <x:c r="P889" s="75"/>
      <x:c r="Q889" s="75"/>
      <x:c r="R889" s="75"/>
      <x:c r="S889" s="75"/>
      <x:c r="T889" s="75"/>
      <x:c r="U889" s="75"/>
      <x:c r="V889" s="75"/>
      <x:c r="W889" s="75"/>
      <x:c r="X889" s="75"/>
      <x:c r="Y889" s="75"/>
      <x:c r="Z889" s="75"/>
      <x:c r="AA889" s="75"/>
      <x:c r="AB889" s="75"/>
      <x:c r="AC889" s="78"/>
      <x:c r="AD889" s="75"/>
      <x:c r="AE889" s="75"/>
      <x:c r="AF889" s="75"/>
      <x:c r="AG889" s="75"/>
      <x:c r="AH889" s="75"/>
      <x:c r="AI889" s="75"/>
    </x:row>
    <x:row r="890">
      <x:c r="A890" s="75"/>
      <x:c r="B890" s="75"/>
      <x:c r="C890" s="75"/>
      <x:c r="D890" s="75"/>
      <x:c r="E890" s="75"/>
      <x:c r="F890" s="75"/>
      <x:c r="G890" s="75"/>
      <x:c r="H890" s="75"/>
      <x:c r="I890" s="75"/>
      <x:c r="J890" s="75"/>
      <x:c r="K890" s="75"/>
      <x:c r="L890" s="75"/>
      <x:c r="M890" s="75"/>
      <x:c r="N890" s="75"/>
      <x:c r="O890" s="75"/>
      <x:c r="P890" s="75"/>
      <x:c r="Q890" s="75"/>
      <x:c r="R890" s="75"/>
      <x:c r="S890" s="75"/>
      <x:c r="T890" s="75"/>
      <x:c r="U890" s="75"/>
      <x:c r="V890" s="75"/>
      <x:c r="W890" s="75"/>
      <x:c r="X890" s="75"/>
      <x:c r="Y890" s="75"/>
      <x:c r="Z890" s="75"/>
      <x:c r="AA890" s="75"/>
      <x:c r="AB890" s="75"/>
      <x:c r="AC890" s="78"/>
      <x:c r="AD890" s="75"/>
      <x:c r="AE890" s="75"/>
      <x:c r="AF890" s="75"/>
      <x:c r="AG890" s="75"/>
      <x:c r="AH890" s="75"/>
      <x:c r="AI890" s="75"/>
    </x:row>
    <x:row r="891">
      <x:c r="A891" s="75"/>
      <x:c r="B891" s="75"/>
      <x:c r="C891" s="75"/>
      <x:c r="D891" s="75"/>
      <x:c r="E891" s="75"/>
      <x:c r="F891" s="75"/>
      <x:c r="G891" s="75"/>
      <x:c r="H891" s="75"/>
      <x:c r="I891" s="75"/>
      <x:c r="J891" s="75"/>
      <x:c r="K891" s="75"/>
      <x:c r="L891" s="75"/>
      <x:c r="M891" s="75"/>
      <x:c r="N891" s="75"/>
      <x:c r="O891" s="75"/>
      <x:c r="P891" s="75"/>
      <x:c r="Q891" s="75"/>
      <x:c r="R891" s="75"/>
      <x:c r="S891" s="75"/>
      <x:c r="T891" s="75"/>
      <x:c r="U891" s="75"/>
      <x:c r="V891" s="75"/>
      <x:c r="W891" s="75"/>
      <x:c r="X891" s="75"/>
      <x:c r="Y891" s="75"/>
      <x:c r="Z891" s="75"/>
      <x:c r="AA891" s="75"/>
      <x:c r="AB891" s="75"/>
      <x:c r="AC891" s="78"/>
      <x:c r="AD891" s="75"/>
      <x:c r="AE891" s="75"/>
      <x:c r="AF891" s="75"/>
      <x:c r="AG891" s="75"/>
      <x:c r="AH891" s="75"/>
      <x:c r="AI891" s="75"/>
    </x:row>
    <x:row r="892">
      <x:c r="A892" s="75"/>
      <x:c r="B892" s="75"/>
      <x:c r="C892" s="75"/>
      <x:c r="D892" s="75"/>
      <x:c r="E892" s="75"/>
      <x:c r="F892" s="75"/>
      <x:c r="G892" s="75"/>
      <x:c r="H892" s="75"/>
      <x:c r="I892" s="75"/>
      <x:c r="J892" s="75"/>
      <x:c r="K892" s="75"/>
      <x:c r="L892" s="75"/>
      <x:c r="M892" s="75"/>
      <x:c r="N892" s="75"/>
      <x:c r="O892" s="75"/>
      <x:c r="P892" s="75"/>
      <x:c r="Q892" s="75"/>
      <x:c r="R892" s="75"/>
      <x:c r="S892" s="75"/>
      <x:c r="T892" s="75"/>
      <x:c r="U892" s="75"/>
      <x:c r="V892" s="75"/>
      <x:c r="W892" s="75"/>
      <x:c r="X892" s="75"/>
      <x:c r="Y892" s="75"/>
      <x:c r="Z892" s="75"/>
      <x:c r="AA892" s="75"/>
      <x:c r="AB892" s="75"/>
      <x:c r="AC892" s="78"/>
      <x:c r="AD892" s="75"/>
      <x:c r="AE892" s="75"/>
      <x:c r="AF892" s="75"/>
      <x:c r="AG892" s="75"/>
      <x:c r="AH892" s="75"/>
      <x:c r="AI892" s="75"/>
    </x:row>
    <x:row r="893">
      <x:c r="A893" s="75"/>
      <x:c r="B893" s="75"/>
      <x:c r="C893" s="75"/>
      <x:c r="D893" s="75"/>
      <x:c r="E893" s="75"/>
      <x:c r="F893" s="75"/>
      <x:c r="G893" s="75"/>
      <x:c r="H893" s="75"/>
      <x:c r="I893" s="75"/>
      <x:c r="J893" s="75"/>
      <x:c r="K893" s="75"/>
      <x:c r="L893" s="75"/>
      <x:c r="M893" s="75"/>
      <x:c r="N893" s="75"/>
      <x:c r="O893" s="75"/>
      <x:c r="P893" s="75"/>
      <x:c r="Q893" s="75"/>
      <x:c r="R893" s="75"/>
      <x:c r="S893" s="75"/>
      <x:c r="T893" s="75"/>
      <x:c r="U893" s="75"/>
      <x:c r="V893" s="75"/>
      <x:c r="W893" s="75"/>
      <x:c r="X893" s="75"/>
      <x:c r="Y893" s="75"/>
      <x:c r="Z893" s="75"/>
      <x:c r="AA893" s="75"/>
      <x:c r="AB893" s="75"/>
      <x:c r="AC893" s="78"/>
      <x:c r="AD893" s="75"/>
      <x:c r="AE893" s="75"/>
      <x:c r="AF893" s="75"/>
      <x:c r="AG893" s="75"/>
      <x:c r="AH893" s="75"/>
      <x:c r="AI893" s="75"/>
    </x:row>
    <x:row r="894">
      <x:c r="A894" s="75"/>
      <x:c r="B894" s="75"/>
      <x:c r="C894" s="75"/>
      <x:c r="D894" s="75"/>
      <x:c r="E894" s="75"/>
      <x:c r="F894" s="75"/>
      <x:c r="G894" s="75"/>
      <x:c r="H894" s="75"/>
      <x:c r="I894" s="75"/>
      <x:c r="J894" s="75"/>
      <x:c r="K894" s="75"/>
      <x:c r="L894" s="75"/>
      <x:c r="M894" s="75"/>
      <x:c r="N894" s="75"/>
      <x:c r="O894" s="75"/>
      <x:c r="P894" s="75"/>
      <x:c r="Q894" s="75"/>
      <x:c r="R894" s="75"/>
      <x:c r="S894" s="75"/>
      <x:c r="T894" s="75"/>
      <x:c r="U894" s="75"/>
      <x:c r="V894" s="75"/>
      <x:c r="W894" s="75"/>
      <x:c r="X894" s="75"/>
      <x:c r="Y894" s="75"/>
      <x:c r="Z894" s="75"/>
      <x:c r="AA894" s="75"/>
      <x:c r="AB894" s="75"/>
      <x:c r="AC894" s="78"/>
      <x:c r="AD894" s="75"/>
      <x:c r="AE894" s="75"/>
      <x:c r="AF894" s="75"/>
      <x:c r="AG894" s="75"/>
      <x:c r="AH894" s="75"/>
      <x:c r="AI894" s="75"/>
    </x:row>
    <x:row r="895">
      <x:c r="A895" s="75"/>
      <x:c r="B895" s="75"/>
      <x:c r="C895" s="75"/>
      <x:c r="D895" s="75"/>
      <x:c r="E895" s="75"/>
      <x:c r="F895" s="75"/>
      <x:c r="G895" s="75"/>
      <x:c r="H895" s="75"/>
      <x:c r="I895" s="75"/>
      <x:c r="J895" s="75"/>
      <x:c r="K895" s="75"/>
      <x:c r="L895" s="75"/>
      <x:c r="M895" s="75"/>
      <x:c r="N895" s="75"/>
      <x:c r="O895" s="75"/>
      <x:c r="P895" s="75"/>
      <x:c r="Q895" s="75"/>
      <x:c r="R895" s="75"/>
      <x:c r="S895" s="75"/>
      <x:c r="T895" s="75"/>
      <x:c r="U895" s="75"/>
      <x:c r="V895" s="75"/>
      <x:c r="W895" s="75"/>
      <x:c r="X895" s="75"/>
      <x:c r="Y895" s="75"/>
      <x:c r="Z895" s="75"/>
      <x:c r="AA895" s="75"/>
      <x:c r="AB895" s="75"/>
      <x:c r="AC895" s="78"/>
      <x:c r="AD895" s="75"/>
      <x:c r="AE895" s="75"/>
      <x:c r="AF895" s="75"/>
      <x:c r="AG895" s="75"/>
      <x:c r="AH895" s="75"/>
      <x:c r="AI895" s="75"/>
    </x:row>
    <x:row r="896">
      <x:c r="A896" s="75"/>
      <x:c r="B896" s="75"/>
      <x:c r="C896" s="75"/>
      <x:c r="D896" s="75"/>
      <x:c r="E896" s="75"/>
      <x:c r="F896" s="75"/>
      <x:c r="G896" s="75"/>
      <x:c r="H896" s="75"/>
      <x:c r="I896" s="75"/>
      <x:c r="J896" s="75"/>
      <x:c r="K896" s="75"/>
      <x:c r="L896" s="75"/>
      <x:c r="M896" s="75"/>
      <x:c r="N896" s="75"/>
      <x:c r="O896" s="75"/>
      <x:c r="P896" s="75"/>
      <x:c r="Q896" s="75"/>
      <x:c r="R896" s="75"/>
      <x:c r="S896" s="75"/>
      <x:c r="T896" s="75"/>
      <x:c r="U896" s="75"/>
      <x:c r="V896" s="75"/>
      <x:c r="W896" s="75"/>
      <x:c r="X896" s="75"/>
      <x:c r="Y896" s="75"/>
      <x:c r="Z896" s="75"/>
      <x:c r="AA896" s="75"/>
      <x:c r="AB896" s="75"/>
      <x:c r="AC896" s="78"/>
      <x:c r="AD896" s="75"/>
      <x:c r="AE896" s="75"/>
      <x:c r="AF896" s="75"/>
      <x:c r="AG896" s="75"/>
      <x:c r="AH896" s="75"/>
      <x:c r="AI896" s="75"/>
    </x:row>
    <x:row r="897">
      <x:c r="A897" s="75"/>
      <x:c r="B897" s="75"/>
      <x:c r="C897" s="75"/>
      <x:c r="D897" s="75"/>
      <x:c r="E897" s="75"/>
      <x:c r="F897" s="75"/>
      <x:c r="G897" s="75"/>
      <x:c r="H897" s="75"/>
      <x:c r="I897" s="75"/>
      <x:c r="J897" s="75"/>
      <x:c r="K897" s="75"/>
      <x:c r="L897" s="75"/>
      <x:c r="M897" s="75"/>
      <x:c r="N897" s="75"/>
      <x:c r="O897" s="75"/>
      <x:c r="P897" s="75"/>
      <x:c r="Q897" s="75"/>
      <x:c r="R897" s="75"/>
      <x:c r="S897" s="75"/>
      <x:c r="T897" s="75"/>
      <x:c r="U897" s="75"/>
      <x:c r="V897" s="75"/>
      <x:c r="W897" s="75"/>
      <x:c r="X897" s="75"/>
      <x:c r="Y897" s="75"/>
      <x:c r="Z897" s="75"/>
      <x:c r="AA897" s="75"/>
      <x:c r="AB897" s="75"/>
      <x:c r="AC897" s="78"/>
      <x:c r="AD897" s="75"/>
      <x:c r="AE897" s="75"/>
      <x:c r="AF897" s="75"/>
      <x:c r="AG897" s="75"/>
      <x:c r="AH897" s="75"/>
      <x:c r="AI897" s="75"/>
    </x:row>
    <x:row r="898">
      <x:c r="A898" s="75"/>
      <x:c r="B898" s="75"/>
      <x:c r="C898" s="75"/>
      <x:c r="D898" s="75"/>
      <x:c r="E898" s="75"/>
      <x:c r="F898" s="75"/>
      <x:c r="G898" s="75"/>
      <x:c r="H898" s="75"/>
      <x:c r="I898" s="75"/>
      <x:c r="J898" s="75"/>
      <x:c r="K898" s="75"/>
      <x:c r="L898" s="75"/>
      <x:c r="M898" s="75"/>
      <x:c r="N898" s="75"/>
      <x:c r="O898" s="75"/>
      <x:c r="P898" s="75"/>
      <x:c r="Q898" s="75"/>
      <x:c r="R898" s="75"/>
      <x:c r="S898" s="75"/>
      <x:c r="T898" s="75"/>
      <x:c r="U898" s="75"/>
      <x:c r="V898" s="75"/>
      <x:c r="W898" s="75"/>
      <x:c r="X898" s="75"/>
      <x:c r="Y898" s="75"/>
      <x:c r="Z898" s="75"/>
      <x:c r="AA898" s="75"/>
      <x:c r="AB898" s="75"/>
      <x:c r="AC898" s="78"/>
      <x:c r="AD898" s="75"/>
      <x:c r="AE898" s="75"/>
      <x:c r="AF898" s="75"/>
      <x:c r="AG898" s="75"/>
      <x:c r="AH898" s="75"/>
      <x:c r="AI898" s="75"/>
    </x:row>
    <x:row r="899">
      <x:c r="A899" s="75"/>
      <x:c r="B899" s="75"/>
      <x:c r="C899" s="75"/>
      <x:c r="D899" s="75"/>
      <x:c r="E899" s="75"/>
      <x:c r="F899" s="75"/>
      <x:c r="G899" s="75"/>
      <x:c r="H899" s="75"/>
      <x:c r="I899" s="75"/>
      <x:c r="J899" s="75"/>
      <x:c r="K899" s="75"/>
      <x:c r="L899" s="75"/>
      <x:c r="M899" s="75"/>
      <x:c r="N899" s="75"/>
      <x:c r="O899" s="75"/>
      <x:c r="P899" s="75"/>
      <x:c r="Q899" s="75"/>
      <x:c r="R899" s="75"/>
      <x:c r="S899" s="75"/>
      <x:c r="T899" s="75"/>
      <x:c r="U899" s="75"/>
      <x:c r="V899" s="75"/>
      <x:c r="W899" s="75"/>
      <x:c r="X899" s="75"/>
      <x:c r="Y899" s="75"/>
      <x:c r="Z899" s="75"/>
      <x:c r="AA899" s="75"/>
      <x:c r="AB899" s="75"/>
      <x:c r="AC899" s="78"/>
      <x:c r="AD899" s="75"/>
      <x:c r="AE899" s="75"/>
      <x:c r="AF899" s="75"/>
      <x:c r="AG899" s="75"/>
      <x:c r="AH899" s="75"/>
      <x:c r="AI899" s="75"/>
    </x:row>
    <x:row r="900">
      <x:c r="A900" s="75"/>
      <x:c r="B900" s="75"/>
      <x:c r="C900" s="75"/>
      <x:c r="D900" s="75"/>
      <x:c r="E900" s="75"/>
      <x:c r="F900" s="75"/>
      <x:c r="G900" s="75"/>
      <x:c r="H900" s="75"/>
      <x:c r="I900" s="75"/>
      <x:c r="J900" s="75"/>
      <x:c r="K900" s="75"/>
      <x:c r="L900" s="75"/>
      <x:c r="M900" s="75"/>
      <x:c r="N900" s="75"/>
      <x:c r="O900" s="75"/>
      <x:c r="P900" s="75"/>
      <x:c r="Q900" s="75"/>
      <x:c r="R900" s="75"/>
      <x:c r="S900" s="75"/>
      <x:c r="T900" s="75"/>
      <x:c r="U900" s="75"/>
      <x:c r="V900" s="75"/>
      <x:c r="W900" s="75"/>
      <x:c r="X900" s="75"/>
      <x:c r="Y900" s="75"/>
      <x:c r="Z900" s="75"/>
      <x:c r="AA900" s="75"/>
      <x:c r="AB900" s="75"/>
      <x:c r="AC900" s="78"/>
      <x:c r="AD900" s="75"/>
      <x:c r="AE900" s="75"/>
      <x:c r="AF900" s="75"/>
      <x:c r="AG900" s="75"/>
      <x:c r="AH900" s="75"/>
      <x:c r="AI900" s="75"/>
    </x:row>
    <x:row r="901">
      <x:c r="A901" s="75"/>
      <x:c r="B901" s="75"/>
      <x:c r="C901" s="75"/>
      <x:c r="D901" s="75"/>
      <x:c r="E901" s="75"/>
      <x:c r="F901" s="75"/>
      <x:c r="G901" s="75"/>
      <x:c r="H901" s="75"/>
      <x:c r="I901" s="75"/>
      <x:c r="J901" s="75"/>
      <x:c r="K901" s="75"/>
      <x:c r="L901" s="75"/>
      <x:c r="M901" s="75"/>
      <x:c r="N901" s="75"/>
      <x:c r="O901" s="75"/>
      <x:c r="P901" s="75"/>
      <x:c r="Q901" s="75"/>
      <x:c r="R901" s="75"/>
      <x:c r="S901" s="75"/>
      <x:c r="T901" s="75"/>
      <x:c r="U901" s="75"/>
      <x:c r="V901" s="75"/>
      <x:c r="W901" s="75"/>
      <x:c r="X901" s="75"/>
      <x:c r="Y901" s="75"/>
      <x:c r="Z901" s="75"/>
      <x:c r="AA901" s="75"/>
      <x:c r="AB901" s="75"/>
      <x:c r="AC901" s="78"/>
      <x:c r="AD901" s="75"/>
      <x:c r="AE901" s="75"/>
      <x:c r="AF901" s="75"/>
      <x:c r="AG901" s="75"/>
      <x:c r="AH901" s="75"/>
      <x:c r="AI901" s="75"/>
    </x:row>
    <x:row r="902">
      <x:c r="A902" s="75"/>
      <x:c r="B902" s="75"/>
      <x:c r="C902" s="75"/>
      <x:c r="D902" s="75"/>
      <x:c r="E902" s="75"/>
      <x:c r="F902" s="75"/>
      <x:c r="G902" s="75"/>
      <x:c r="H902" s="75"/>
      <x:c r="I902" s="75"/>
      <x:c r="J902" s="75"/>
      <x:c r="K902" s="75"/>
      <x:c r="L902" s="75"/>
      <x:c r="M902" s="75"/>
      <x:c r="N902" s="75"/>
      <x:c r="O902" s="75"/>
      <x:c r="P902" s="75"/>
      <x:c r="Q902" s="75"/>
      <x:c r="R902" s="75"/>
      <x:c r="S902" s="75"/>
      <x:c r="T902" s="75"/>
      <x:c r="U902" s="75"/>
      <x:c r="V902" s="75"/>
      <x:c r="W902" s="75"/>
      <x:c r="X902" s="75"/>
      <x:c r="Y902" s="75"/>
      <x:c r="Z902" s="75"/>
      <x:c r="AA902" s="75"/>
      <x:c r="AB902" s="75"/>
      <x:c r="AC902" s="78"/>
      <x:c r="AD902" s="75"/>
      <x:c r="AE902" s="75"/>
      <x:c r="AF902" s="75"/>
      <x:c r="AG902" s="75"/>
      <x:c r="AH902" s="75"/>
      <x:c r="AI902" s="75"/>
    </x:row>
    <x:row r="903">
      <x:c r="A903" s="75"/>
      <x:c r="B903" s="75"/>
      <x:c r="C903" s="75"/>
      <x:c r="D903" s="75"/>
      <x:c r="E903" s="75"/>
      <x:c r="F903" s="75"/>
      <x:c r="G903" s="75"/>
      <x:c r="H903" s="75"/>
      <x:c r="I903" s="75"/>
      <x:c r="J903" s="75"/>
      <x:c r="K903" s="75"/>
      <x:c r="L903" s="75"/>
      <x:c r="M903" s="75"/>
      <x:c r="N903" s="75"/>
      <x:c r="O903" s="75"/>
      <x:c r="P903" s="75"/>
      <x:c r="Q903" s="75"/>
      <x:c r="R903" s="75"/>
      <x:c r="S903" s="75"/>
      <x:c r="T903" s="75"/>
      <x:c r="U903" s="75"/>
      <x:c r="V903" s="75"/>
      <x:c r="W903" s="75"/>
      <x:c r="X903" s="75"/>
      <x:c r="Y903" s="75"/>
      <x:c r="Z903" s="75"/>
      <x:c r="AA903" s="75"/>
      <x:c r="AB903" s="75"/>
      <x:c r="AC903" s="78"/>
      <x:c r="AD903" s="75"/>
      <x:c r="AE903" s="75"/>
      <x:c r="AF903" s="75"/>
      <x:c r="AG903" s="75"/>
      <x:c r="AH903" s="75"/>
      <x:c r="AI903" s="75"/>
    </x:row>
    <x:row r="904">
      <x:c r="A904" s="75"/>
      <x:c r="B904" s="75"/>
      <x:c r="C904" s="75"/>
      <x:c r="D904" s="75"/>
      <x:c r="E904" s="75"/>
      <x:c r="F904" s="75"/>
      <x:c r="G904" s="75"/>
      <x:c r="H904" s="75"/>
      <x:c r="I904" s="75"/>
      <x:c r="J904" s="75"/>
      <x:c r="K904" s="75"/>
      <x:c r="L904" s="75"/>
      <x:c r="M904" s="75"/>
      <x:c r="N904" s="75"/>
      <x:c r="O904" s="75"/>
      <x:c r="P904" s="75"/>
      <x:c r="Q904" s="75"/>
      <x:c r="R904" s="75"/>
      <x:c r="S904" s="75"/>
      <x:c r="T904" s="75"/>
      <x:c r="U904" s="75"/>
      <x:c r="V904" s="75"/>
      <x:c r="W904" s="75"/>
      <x:c r="X904" s="75"/>
      <x:c r="Y904" s="75"/>
      <x:c r="Z904" s="75"/>
      <x:c r="AA904" s="75"/>
      <x:c r="AB904" s="75"/>
      <x:c r="AC904" s="78"/>
      <x:c r="AD904" s="75"/>
      <x:c r="AE904" s="75"/>
      <x:c r="AF904" s="75"/>
      <x:c r="AG904" s="75"/>
      <x:c r="AH904" s="75"/>
      <x:c r="AI904" s="75"/>
    </x:row>
    <x:row r="905">
      <x:c r="A905" s="75"/>
      <x:c r="B905" s="75"/>
      <x:c r="C905" s="75"/>
      <x:c r="D905" s="75"/>
      <x:c r="E905" s="75"/>
      <x:c r="F905" s="75"/>
      <x:c r="G905" s="75"/>
      <x:c r="H905" s="75"/>
      <x:c r="I905" s="75"/>
      <x:c r="J905" s="75"/>
      <x:c r="K905" s="75"/>
      <x:c r="L905" s="75"/>
      <x:c r="M905" s="75"/>
      <x:c r="N905" s="75"/>
      <x:c r="O905" s="75"/>
      <x:c r="P905" s="75"/>
      <x:c r="Q905" s="75"/>
      <x:c r="R905" s="75"/>
      <x:c r="S905" s="75"/>
      <x:c r="T905" s="75"/>
      <x:c r="U905" s="75"/>
      <x:c r="V905" s="75"/>
      <x:c r="W905" s="75"/>
      <x:c r="X905" s="75"/>
      <x:c r="Y905" s="75"/>
      <x:c r="Z905" s="75"/>
      <x:c r="AA905" s="75"/>
      <x:c r="AB905" s="75"/>
      <x:c r="AC905" s="78"/>
      <x:c r="AD905" s="75"/>
      <x:c r="AE905" s="75"/>
      <x:c r="AF905" s="75"/>
      <x:c r="AG905" s="75"/>
      <x:c r="AH905" s="75"/>
      <x:c r="AI905" s="75"/>
    </x:row>
    <x:row r="906">
      <x:c r="A906" s="75"/>
      <x:c r="B906" s="75"/>
      <x:c r="C906" s="75"/>
      <x:c r="D906" s="75"/>
      <x:c r="E906" s="75"/>
      <x:c r="F906" s="75"/>
      <x:c r="G906" s="75"/>
      <x:c r="H906" s="75"/>
      <x:c r="I906" s="75"/>
      <x:c r="J906" s="75"/>
      <x:c r="K906" s="75"/>
      <x:c r="L906" s="75"/>
      <x:c r="M906" s="75"/>
      <x:c r="N906" s="75"/>
      <x:c r="O906" s="75"/>
      <x:c r="P906" s="75"/>
      <x:c r="Q906" s="75"/>
      <x:c r="R906" s="75"/>
      <x:c r="S906" s="75"/>
      <x:c r="T906" s="75"/>
      <x:c r="U906" s="75"/>
      <x:c r="V906" s="75"/>
      <x:c r="W906" s="75"/>
      <x:c r="X906" s="75"/>
      <x:c r="Y906" s="75"/>
      <x:c r="Z906" s="75"/>
      <x:c r="AA906" s="75"/>
      <x:c r="AB906" s="75"/>
      <x:c r="AC906" s="78"/>
      <x:c r="AD906" s="75"/>
      <x:c r="AE906" s="75"/>
      <x:c r="AF906" s="75"/>
      <x:c r="AG906" s="75"/>
      <x:c r="AH906" s="75"/>
      <x:c r="AI906" s="75"/>
    </x:row>
    <x:row r="907">
      <x:c r="A907" s="75"/>
      <x:c r="B907" s="75"/>
      <x:c r="C907" s="75"/>
      <x:c r="D907" s="75"/>
      <x:c r="E907" s="75"/>
      <x:c r="F907" s="75"/>
      <x:c r="G907" s="75"/>
      <x:c r="H907" s="75"/>
      <x:c r="I907" s="75"/>
      <x:c r="J907" s="75"/>
      <x:c r="K907" s="75"/>
      <x:c r="L907" s="75"/>
      <x:c r="M907" s="75"/>
      <x:c r="N907" s="75"/>
      <x:c r="O907" s="75"/>
      <x:c r="P907" s="75"/>
      <x:c r="Q907" s="75"/>
      <x:c r="R907" s="75"/>
      <x:c r="S907" s="75"/>
      <x:c r="T907" s="75"/>
      <x:c r="U907" s="75"/>
      <x:c r="V907" s="75"/>
      <x:c r="W907" s="75"/>
      <x:c r="X907" s="75"/>
      <x:c r="Y907" s="75"/>
      <x:c r="Z907" s="75"/>
      <x:c r="AA907" s="75"/>
      <x:c r="AB907" s="75"/>
      <x:c r="AC907" s="78"/>
      <x:c r="AD907" s="75"/>
      <x:c r="AE907" s="75"/>
      <x:c r="AF907" s="75"/>
      <x:c r="AG907" s="75"/>
      <x:c r="AH907" s="75"/>
      <x:c r="AI907" s="75"/>
    </x:row>
    <x:row r="908">
      <x:c r="A908" s="75"/>
      <x:c r="B908" s="75"/>
      <x:c r="C908" s="75"/>
      <x:c r="D908" s="75"/>
      <x:c r="E908" s="75"/>
      <x:c r="F908" s="75"/>
      <x:c r="G908" s="75"/>
      <x:c r="H908" s="75"/>
      <x:c r="I908" s="75"/>
      <x:c r="J908" s="75"/>
      <x:c r="K908" s="75"/>
      <x:c r="L908" s="75"/>
      <x:c r="M908" s="75"/>
      <x:c r="N908" s="75"/>
      <x:c r="O908" s="75"/>
      <x:c r="P908" s="75"/>
      <x:c r="Q908" s="75"/>
      <x:c r="R908" s="75"/>
      <x:c r="S908" s="75"/>
      <x:c r="T908" s="75"/>
      <x:c r="U908" s="75"/>
      <x:c r="V908" s="75"/>
      <x:c r="W908" s="75"/>
      <x:c r="X908" s="75"/>
      <x:c r="Y908" s="75"/>
      <x:c r="Z908" s="75"/>
      <x:c r="AA908" s="75"/>
      <x:c r="AB908" s="75"/>
      <x:c r="AC908" s="78"/>
      <x:c r="AD908" s="75"/>
      <x:c r="AE908" s="75"/>
      <x:c r="AF908" s="75"/>
      <x:c r="AG908" s="75"/>
      <x:c r="AH908" s="75"/>
      <x:c r="AI908" s="75"/>
    </x:row>
    <x:row r="909">
      <x:c r="A909" s="75"/>
      <x:c r="B909" s="75"/>
      <x:c r="C909" s="75"/>
      <x:c r="D909" s="75"/>
      <x:c r="E909" s="75"/>
      <x:c r="F909" s="75"/>
      <x:c r="G909" s="75"/>
      <x:c r="H909" s="75"/>
      <x:c r="I909" s="75"/>
      <x:c r="J909" s="75"/>
      <x:c r="K909" s="75"/>
      <x:c r="L909" s="75"/>
      <x:c r="M909" s="75"/>
      <x:c r="N909" s="75"/>
      <x:c r="O909" s="75"/>
      <x:c r="P909" s="75"/>
      <x:c r="Q909" s="75"/>
      <x:c r="R909" s="75"/>
      <x:c r="S909" s="75"/>
      <x:c r="T909" s="75"/>
      <x:c r="U909" s="75"/>
      <x:c r="V909" s="75"/>
      <x:c r="W909" s="75"/>
      <x:c r="X909" s="75"/>
      <x:c r="Y909" s="75"/>
      <x:c r="Z909" s="75"/>
      <x:c r="AA909" s="75"/>
      <x:c r="AB909" s="75"/>
      <x:c r="AC909" s="78"/>
      <x:c r="AD909" s="75"/>
      <x:c r="AE909" s="75"/>
      <x:c r="AF909" s="75"/>
      <x:c r="AG909" s="75"/>
      <x:c r="AH909" s="75"/>
      <x:c r="AI909" s="75"/>
    </x:row>
    <x:row r="910">
      <x:c r="A910" s="75"/>
      <x:c r="B910" s="75"/>
      <x:c r="C910" s="75"/>
      <x:c r="D910" s="75"/>
      <x:c r="E910" s="75"/>
      <x:c r="F910" s="75"/>
      <x:c r="G910" s="75"/>
      <x:c r="H910" s="75"/>
      <x:c r="I910" s="75"/>
      <x:c r="J910" s="75"/>
      <x:c r="K910" s="75"/>
      <x:c r="L910" s="75"/>
      <x:c r="M910" s="75"/>
      <x:c r="N910" s="75"/>
      <x:c r="O910" s="75"/>
      <x:c r="P910" s="75"/>
      <x:c r="Q910" s="75"/>
      <x:c r="R910" s="75"/>
      <x:c r="S910" s="75"/>
      <x:c r="T910" s="75"/>
      <x:c r="U910" s="75"/>
      <x:c r="V910" s="75"/>
      <x:c r="W910" s="75"/>
      <x:c r="X910" s="75"/>
      <x:c r="Y910" s="75"/>
      <x:c r="Z910" s="75"/>
      <x:c r="AA910" s="75"/>
      <x:c r="AB910" s="75"/>
      <x:c r="AC910" s="78"/>
      <x:c r="AD910" s="75"/>
      <x:c r="AE910" s="75"/>
      <x:c r="AF910" s="75"/>
      <x:c r="AG910" s="75"/>
      <x:c r="AH910" s="75"/>
      <x:c r="AI910" s="75"/>
    </x:row>
    <x:row r="911">
      <x:c r="A911" s="75"/>
      <x:c r="B911" s="75"/>
      <x:c r="C911" s="75"/>
      <x:c r="D911" s="75"/>
      <x:c r="E911" s="75"/>
      <x:c r="F911" s="75"/>
      <x:c r="G911" s="75"/>
      <x:c r="H911" s="75"/>
      <x:c r="I911" s="75"/>
      <x:c r="J911" s="75"/>
      <x:c r="K911" s="75"/>
      <x:c r="L911" s="75"/>
      <x:c r="M911" s="75"/>
      <x:c r="N911" s="75"/>
      <x:c r="O911" s="75"/>
      <x:c r="P911" s="75"/>
      <x:c r="Q911" s="75"/>
      <x:c r="R911" s="75"/>
      <x:c r="S911" s="75"/>
      <x:c r="T911" s="75"/>
      <x:c r="U911" s="75"/>
      <x:c r="V911" s="75"/>
      <x:c r="W911" s="75"/>
      <x:c r="X911" s="75"/>
      <x:c r="Y911" s="75"/>
      <x:c r="Z911" s="75"/>
      <x:c r="AA911" s="75"/>
      <x:c r="AB911" s="75"/>
      <x:c r="AC911" s="78"/>
      <x:c r="AD911" s="75"/>
      <x:c r="AE911" s="75"/>
      <x:c r="AF911" s="75"/>
      <x:c r="AG911" s="75"/>
      <x:c r="AH911" s="75"/>
      <x:c r="AI911" s="75"/>
    </x:row>
    <x:row r="912">
      <x:c r="A912" s="75"/>
      <x:c r="B912" s="75"/>
      <x:c r="C912" s="75"/>
      <x:c r="D912" s="75"/>
      <x:c r="E912" s="75"/>
      <x:c r="F912" s="75"/>
      <x:c r="G912" s="75"/>
      <x:c r="H912" s="75"/>
      <x:c r="I912" s="75"/>
      <x:c r="J912" s="75"/>
      <x:c r="K912" s="75"/>
      <x:c r="L912" s="75"/>
      <x:c r="M912" s="75"/>
      <x:c r="N912" s="75"/>
      <x:c r="O912" s="75"/>
      <x:c r="P912" s="75"/>
      <x:c r="Q912" s="75"/>
      <x:c r="R912" s="75"/>
      <x:c r="S912" s="75"/>
      <x:c r="T912" s="75"/>
      <x:c r="U912" s="75"/>
      <x:c r="V912" s="75"/>
      <x:c r="W912" s="75"/>
      <x:c r="X912" s="75"/>
      <x:c r="Y912" s="75"/>
      <x:c r="Z912" s="75"/>
      <x:c r="AA912" s="75"/>
      <x:c r="AB912" s="75"/>
      <x:c r="AC912" s="78"/>
      <x:c r="AD912" s="75"/>
      <x:c r="AE912" s="75"/>
      <x:c r="AF912" s="75"/>
      <x:c r="AG912" s="75"/>
      <x:c r="AH912" s="75"/>
      <x:c r="AI912" s="75"/>
    </x:row>
    <x:row r="913">
      <x:c r="A913" s="75"/>
      <x:c r="B913" s="75"/>
      <x:c r="C913" s="75"/>
      <x:c r="D913" s="75"/>
      <x:c r="E913" s="75"/>
      <x:c r="F913" s="75"/>
      <x:c r="G913" s="75"/>
      <x:c r="H913" s="75"/>
      <x:c r="I913" s="75"/>
      <x:c r="J913" s="75"/>
      <x:c r="K913" s="75"/>
      <x:c r="L913" s="75"/>
      <x:c r="M913" s="75"/>
      <x:c r="N913" s="75"/>
      <x:c r="O913" s="75"/>
      <x:c r="P913" s="75"/>
      <x:c r="Q913" s="75"/>
      <x:c r="R913" s="75"/>
      <x:c r="S913" s="75"/>
      <x:c r="T913" s="75"/>
      <x:c r="U913" s="75"/>
      <x:c r="V913" s="75"/>
      <x:c r="W913" s="75"/>
      <x:c r="X913" s="75"/>
      <x:c r="Y913" s="75"/>
      <x:c r="Z913" s="75"/>
      <x:c r="AA913" s="75"/>
      <x:c r="AB913" s="75"/>
      <x:c r="AC913" s="78"/>
      <x:c r="AD913" s="75"/>
      <x:c r="AE913" s="75"/>
      <x:c r="AF913" s="75"/>
      <x:c r="AG913" s="75"/>
      <x:c r="AH913" s="75"/>
      <x:c r="AI913" s="75"/>
    </x:row>
    <x:row r="914">
      <x:c r="A914" s="75"/>
      <x:c r="B914" s="75"/>
      <x:c r="C914" s="75"/>
      <x:c r="D914" s="75"/>
      <x:c r="E914" s="75"/>
      <x:c r="F914" s="75"/>
      <x:c r="G914" s="75"/>
      <x:c r="H914" s="75"/>
      <x:c r="I914" s="75"/>
      <x:c r="J914" s="75"/>
      <x:c r="K914" s="75"/>
      <x:c r="L914" s="75"/>
      <x:c r="M914" s="75"/>
      <x:c r="N914" s="75"/>
      <x:c r="O914" s="75"/>
      <x:c r="P914" s="75"/>
      <x:c r="Q914" s="75"/>
      <x:c r="R914" s="75"/>
      <x:c r="S914" s="75"/>
      <x:c r="T914" s="75"/>
      <x:c r="U914" s="75"/>
      <x:c r="V914" s="75"/>
      <x:c r="W914" s="75"/>
      <x:c r="X914" s="75"/>
      <x:c r="Y914" s="75"/>
      <x:c r="Z914" s="75"/>
      <x:c r="AA914" s="75"/>
      <x:c r="AB914" s="75"/>
      <x:c r="AC914" s="78"/>
      <x:c r="AD914" s="75"/>
      <x:c r="AE914" s="75"/>
      <x:c r="AF914" s="75"/>
      <x:c r="AG914" s="75"/>
      <x:c r="AH914" s="75"/>
      <x:c r="AI914" s="75"/>
    </x:row>
    <x:row r="915">
      <x:c r="A915" s="75"/>
      <x:c r="B915" s="75"/>
      <x:c r="C915" s="75"/>
      <x:c r="D915" s="75"/>
      <x:c r="E915" s="75"/>
      <x:c r="F915" s="75"/>
      <x:c r="G915" s="75"/>
      <x:c r="H915" s="75"/>
      <x:c r="I915" s="75"/>
      <x:c r="J915" s="75"/>
      <x:c r="K915" s="75"/>
      <x:c r="L915" s="75"/>
      <x:c r="M915" s="75"/>
      <x:c r="N915" s="75"/>
      <x:c r="O915" s="75"/>
      <x:c r="P915" s="75"/>
      <x:c r="Q915" s="75"/>
      <x:c r="R915" s="75"/>
      <x:c r="S915" s="75"/>
      <x:c r="T915" s="75"/>
      <x:c r="U915" s="75"/>
      <x:c r="V915" s="75"/>
      <x:c r="W915" s="75"/>
      <x:c r="X915" s="75"/>
      <x:c r="Y915" s="75"/>
      <x:c r="Z915" s="75"/>
      <x:c r="AA915" s="75"/>
      <x:c r="AB915" s="75"/>
      <x:c r="AC915" s="78"/>
      <x:c r="AD915" s="75"/>
      <x:c r="AE915" s="75"/>
      <x:c r="AF915" s="75"/>
      <x:c r="AG915" s="75"/>
      <x:c r="AH915" s="75"/>
      <x:c r="AI915" s="75"/>
    </x:row>
    <x:row r="916">
      <x:c r="A916" s="75"/>
      <x:c r="B916" s="75"/>
      <x:c r="C916" s="75"/>
      <x:c r="D916" s="75"/>
      <x:c r="E916" s="75"/>
      <x:c r="F916" s="75"/>
      <x:c r="G916" s="75"/>
      <x:c r="H916" s="75"/>
      <x:c r="I916" s="75"/>
      <x:c r="J916" s="75"/>
      <x:c r="K916" s="75"/>
      <x:c r="L916" s="75"/>
      <x:c r="M916" s="75"/>
      <x:c r="N916" s="75"/>
      <x:c r="O916" s="75"/>
      <x:c r="P916" s="75"/>
      <x:c r="Q916" s="75"/>
      <x:c r="R916" s="75"/>
      <x:c r="S916" s="75"/>
      <x:c r="T916" s="75"/>
      <x:c r="U916" s="75"/>
      <x:c r="V916" s="75"/>
      <x:c r="W916" s="75"/>
      <x:c r="X916" s="75"/>
      <x:c r="Y916" s="75"/>
      <x:c r="Z916" s="75"/>
      <x:c r="AA916" s="75"/>
      <x:c r="AB916" s="75"/>
      <x:c r="AC916" s="78"/>
      <x:c r="AD916" s="75"/>
      <x:c r="AE916" s="75"/>
      <x:c r="AF916" s="75"/>
      <x:c r="AG916" s="75"/>
      <x:c r="AH916" s="75"/>
      <x:c r="AI916" s="75"/>
    </x:row>
    <x:row r="917">
      <x:c r="A917" s="75"/>
      <x:c r="B917" s="75"/>
      <x:c r="C917" s="75"/>
      <x:c r="D917" s="75"/>
      <x:c r="E917" s="75"/>
      <x:c r="F917" s="75"/>
      <x:c r="G917" s="75"/>
      <x:c r="H917" s="75"/>
      <x:c r="I917" s="75"/>
      <x:c r="J917" s="75"/>
      <x:c r="K917" s="75"/>
      <x:c r="L917" s="75"/>
      <x:c r="M917" s="75"/>
      <x:c r="N917" s="75"/>
      <x:c r="O917" s="75"/>
      <x:c r="P917" s="75"/>
      <x:c r="Q917" s="75"/>
      <x:c r="R917" s="75"/>
      <x:c r="S917" s="75"/>
      <x:c r="T917" s="75"/>
      <x:c r="U917" s="75"/>
      <x:c r="V917" s="75"/>
      <x:c r="W917" s="75"/>
      <x:c r="X917" s="75"/>
      <x:c r="Y917" s="75"/>
      <x:c r="Z917" s="75"/>
      <x:c r="AA917" s="75"/>
      <x:c r="AB917" s="75"/>
      <x:c r="AC917" s="78"/>
      <x:c r="AD917" s="75"/>
      <x:c r="AE917" s="75"/>
      <x:c r="AF917" s="75"/>
      <x:c r="AG917" s="75"/>
      <x:c r="AH917" s="75"/>
      <x:c r="AI917" s="75"/>
    </x:row>
    <x:row r="918">
      <x:c r="A918" s="75"/>
      <x:c r="B918" s="75"/>
      <x:c r="C918" s="75"/>
      <x:c r="D918" s="75"/>
      <x:c r="E918" s="75"/>
      <x:c r="F918" s="75"/>
      <x:c r="G918" s="75"/>
      <x:c r="H918" s="75"/>
      <x:c r="I918" s="75"/>
      <x:c r="J918" s="75"/>
      <x:c r="K918" s="75"/>
      <x:c r="L918" s="75"/>
      <x:c r="M918" s="75"/>
      <x:c r="N918" s="75"/>
      <x:c r="O918" s="75"/>
      <x:c r="P918" s="75"/>
      <x:c r="Q918" s="75"/>
      <x:c r="R918" s="75"/>
      <x:c r="S918" s="75"/>
      <x:c r="T918" s="75"/>
      <x:c r="U918" s="75"/>
      <x:c r="V918" s="75"/>
      <x:c r="W918" s="75"/>
      <x:c r="X918" s="75"/>
      <x:c r="Y918" s="75"/>
      <x:c r="Z918" s="75"/>
      <x:c r="AA918" s="75"/>
      <x:c r="AB918" s="75"/>
      <x:c r="AC918" s="78"/>
      <x:c r="AD918" s="75"/>
      <x:c r="AE918" s="75"/>
      <x:c r="AF918" s="75"/>
      <x:c r="AG918" s="75"/>
      <x:c r="AH918" s="75"/>
      <x:c r="AI918" s="75"/>
    </x:row>
    <x:row r="919">
      <x:c r="A919" s="75"/>
      <x:c r="B919" s="75"/>
      <x:c r="C919" s="75"/>
      <x:c r="D919" s="75"/>
      <x:c r="E919" s="75"/>
      <x:c r="F919" s="75"/>
      <x:c r="G919" s="75"/>
      <x:c r="H919" s="75"/>
      <x:c r="I919" s="75"/>
      <x:c r="J919" s="75"/>
      <x:c r="K919" s="75"/>
      <x:c r="L919" s="75"/>
      <x:c r="M919" s="75"/>
      <x:c r="N919" s="75"/>
      <x:c r="O919" s="75"/>
      <x:c r="P919" s="75"/>
      <x:c r="Q919" s="75"/>
      <x:c r="R919" s="75"/>
      <x:c r="S919" s="75"/>
      <x:c r="T919" s="75"/>
      <x:c r="U919" s="75"/>
      <x:c r="V919" s="75"/>
      <x:c r="W919" s="75"/>
      <x:c r="X919" s="75"/>
      <x:c r="Y919" s="75"/>
      <x:c r="Z919" s="75"/>
      <x:c r="AA919" s="75"/>
      <x:c r="AB919" s="75"/>
      <x:c r="AC919" s="78"/>
      <x:c r="AD919" s="75"/>
      <x:c r="AE919" s="75"/>
      <x:c r="AF919" s="75"/>
      <x:c r="AG919" s="75"/>
      <x:c r="AH919" s="75"/>
      <x:c r="AI919" s="75"/>
    </x:row>
    <x:row r="920">
      <x:c r="A920" s="75"/>
      <x:c r="B920" s="75"/>
      <x:c r="C920" s="75"/>
      <x:c r="D920" s="75"/>
      <x:c r="E920" s="75"/>
      <x:c r="F920" s="75"/>
      <x:c r="G920" s="75"/>
      <x:c r="H920" s="75"/>
      <x:c r="I920" s="75"/>
      <x:c r="J920" s="75"/>
      <x:c r="K920" s="75"/>
      <x:c r="L920" s="75"/>
      <x:c r="M920" s="75"/>
      <x:c r="N920" s="75"/>
      <x:c r="O920" s="75"/>
      <x:c r="P920" s="75"/>
      <x:c r="Q920" s="75"/>
      <x:c r="R920" s="75"/>
      <x:c r="S920" s="75"/>
      <x:c r="T920" s="75"/>
      <x:c r="U920" s="75"/>
      <x:c r="V920" s="75"/>
      <x:c r="W920" s="75"/>
      <x:c r="X920" s="75"/>
      <x:c r="Y920" s="75"/>
      <x:c r="Z920" s="75"/>
      <x:c r="AA920" s="75"/>
      <x:c r="AB920" s="75"/>
      <x:c r="AC920" s="78"/>
      <x:c r="AD920" s="75"/>
      <x:c r="AE920" s="75"/>
      <x:c r="AF920" s="75"/>
      <x:c r="AG920" s="75"/>
      <x:c r="AH920" s="75"/>
      <x:c r="AI920" s="75"/>
    </x:row>
    <x:row r="921">
      <x:c r="A921" s="75"/>
      <x:c r="B921" s="75"/>
      <x:c r="C921" s="75"/>
      <x:c r="D921" s="75"/>
      <x:c r="E921" s="75"/>
      <x:c r="F921" s="75"/>
      <x:c r="G921" s="75"/>
      <x:c r="H921" s="75"/>
      <x:c r="I921" s="75"/>
      <x:c r="J921" s="75"/>
      <x:c r="K921" s="75"/>
      <x:c r="L921" s="75"/>
      <x:c r="M921" s="75"/>
      <x:c r="N921" s="75"/>
      <x:c r="O921" s="75"/>
      <x:c r="P921" s="75"/>
      <x:c r="Q921" s="75"/>
      <x:c r="R921" s="75"/>
      <x:c r="S921" s="75"/>
      <x:c r="T921" s="75"/>
      <x:c r="U921" s="75"/>
      <x:c r="V921" s="75"/>
      <x:c r="W921" s="75"/>
      <x:c r="X921" s="75"/>
      <x:c r="Y921" s="75"/>
      <x:c r="Z921" s="75"/>
      <x:c r="AA921" s="75"/>
      <x:c r="AB921" s="75"/>
      <x:c r="AC921" s="78"/>
      <x:c r="AD921" s="75"/>
      <x:c r="AE921" s="75"/>
      <x:c r="AF921" s="75"/>
      <x:c r="AG921" s="75"/>
      <x:c r="AH921" s="75"/>
      <x:c r="AI921" s="75"/>
    </x:row>
    <x:row r="922">
      <x:c r="A922" s="75"/>
      <x:c r="B922" s="75"/>
      <x:c r="C922" s="75"/>
      <x:c r="D922" s="75"/>
      <x:c r="E922" s="75"/>
      <x:c r="F922" s="75"/>
      <x:c r="G922" s="75"/>
      <x:c r="H922" s="75"/>
      <x:c r="I922" s="75"/>
      <x:c r="J922" s="75"/>
      <x:c r="K922" s="75"/>
      <x:c r="L922" s="75"/>
      <x:c r="M922" s="75"/>
      <x:c r="N922" s="75"/>
      <x:c r="O922" s="75"/>
      <x:c r="P922" s="75"/>
      <x:c r="Q922" s="75"/>
      <x:c r="R922" s="75"/>
      <x:c r="S922" s="75"/>
      <x:c r="T922" s="75"/>
      <x:c r="U922" s="75"/>
      <x:c r="V922" s="75"/>
      <x:c r="W922" s="75"/>
      <x:c r="X922" s="75"/>
      <x:c r="Y922" s="75"/>
      <x:c r="Z922" s="75"/>
      <x:c r="AA922" s="75"/>
      <x:c r="AB922" s="75"/>
      <x:c r="AC922" s="78"/>
      <x:c r="AD922" s="75"/>
      <x:c r="AE922" s="75"/>
      <x:c r="AF922" s="75"/>
      <x:c r="AG922" s="75"/>
      <x:c r="AH922" s="75"/>
      <x:c r="AI922" s="75"/>
    </x:row>
    <x:row r="923">
      <x:c r="A923" s="75"/>
      <x:c r="B923" s="75"/>
      <x:c r="C923" s="75"/>
      <x:c r="D923" s="75"/>
      <x:c r="E923" s="75"/>
      <x:c r="F923" s="75"/>
      <x:c r="G923" s="75"/>
      <x:c r="H923" s="75"/>
      <x:c r="I923" s="75"/>
      <x:c r="J923" s="75"/>
      <x:c r="K923" s="75"/>
      <x:c r="L923" s="75"/>
      <x:c r="M923" s="75"/>
      <x:c r="N923" s="75"/>
      <x:c r="O923" s="75"/>
      <x:c r="P923" s="75"/>
      <x:c r="Q923" s="75"/>
      <x:c r="R923" s="75"/>
      <x:c r="S923" s="75"/>
      <x:c r="T923" s="75"/>
      <x:c r="U923" s="75"/>
      <x:c r="V923" s="75"/>
      <x:c r="W923" s="75"/>
      <x:c r="X923" s="75"/>
      <x:c r="Y923" s="75"/>
      <x:c r="Z923" s="75"/>
      <x:c r="AA923" s="75"/>
      <x:c r="AB923" s="75"/>
      <x:c r="AC923" s="78"/>
      <x:c r="AD923" s="75"/>
      <x:c r="AE923" s="75"/>
      <x:c r="AF923" s="75"/>
      <x:c r="AG923" s="75"/>
      <x:c r="AH923" s="75"/>
      <x:c r="AI923" s="75"/>
    </x:row>
    <x:row r="924">
      <x:c r="A924" s="75"/>
      <x:c r="B924" s="75"/>
      <x:c r="C924" s="75"/>
      <x:c r="D924" s="75"/>
      <x:c r="E924" s="75"/>
      <x:c r="F924" s="75"/>
      <x:c r="G924" s="75"/>
      <x:c r="H924" s="75"/>
      <x:c r="I924" s="75"/>
      <x:c r="J924" s="75"/>
      <x:c r="K924" s="75"/>
      <x:c r="L924" s="75"/>
      <x:c r="M924" s="75"/>
      <x:c r="N924" s="75"/>
      <x:c r="O924" s="75"/>
      <x:c r="P924" s="75"/>
      <x:c r="Q924" s="75"/>
      <x:c r="R924" s="75"/>
      <x:c r="S924" s="75"/>
      <x:c r="T924" s="75"/>
      <x:c r="U924" s="75"/>
      <x:c r="V924" s="75"/>
      <x:c r="W924" s="75"/>
      <x:c r="X924" s="75"/>
      <x:c r="Y924" s="75"/>
      <x:c r="Z924" s="75"/>
      <x:c r="AA924" s="75"/>
      <x:c r="AB924" s="75"/>
      <x:c r="AC924" s="78"/>
      <x:c r="AD924" s="75"/>
      <x:c r="AE924" s="75"/>
      <x:c r="AF924" s="75"/>
      <x:c r="AG924" s="75"/>
      <x:c r="AH924" s="75"/>
      <x:c r="AI924" s="75"/>
    </x:row>
    <x:row r="925">
      <x:c r="A925" s="75"/>
      <x:c r="B925" s="75"/>
      <x:c r="C925" s="75"/>
      <x:c r="D925" s="75"/>
      <x:c r="E925" s="75"/>
      <x:c r="F925" s="75"/>
      <x:c r="G925" s="75"/>
      <x:c r="H925" s="75"/>
      <x:c r="I925" s="75"/>
      <x:c r="J925" s="75"/>
      <x:c r="K925" s="75"/>
      <x:c r="L925" s="75"/>
      <x:c r="M925" s="75"/>
      <x:c r="N925" s="75"/>
      <x:c r="O925" s="75"/>
      <x:c r="P925" s="75"/>
      <x:c r="Q925" s="75"/>
      <x:c r="R925" s="75"/>
      <x:c r="S925" s="75"/>
      <x:c r="T925" s="75"/>
      <x:c r="U925" s="75"/>
      <x:c r="V925" s="75"/>
      <x:c r="W925" s="75"/>
      <x:c r="X925" s="75"/>
      <x:c r="Y925" s="75"/>
      <x:c r="Z925" s="75"/>
      <x:c r="AA925" s="75"/>
      <x:c r="AB925" s="75"/>
      <x:c r="AC925" s="78"/>
      <x:c r="AD925" s="75"/>
      <x:c r="AE925" s="75"/>
      <x:c r="AF925" s="75"/>
      <x:c r="AG925" s="75"/>
      <x:c r="AH925" s="75"/>
      <x:c r="AI925" s="75"/>
    </x:row>
    <x:row r="926">
      <x:c r="A926" s="75"/>
      <x:c r="B926" s="75"/>
      <x:c r="C926" s="75"/>
      <x:c r="D926" s="75"/>
      <x:c r="E926" s="75"/>
      <x:c r="F926" s="75"/>
      <x:c r="G926" s="75"/>
      <x:c r="H926" s="75"/>
      <x:c r="I926" s="75"/>
      <x:c r="J926" s="75"/>
      <x:c r="K926" s="75"/>
      <x:c r="L926" s="75"/>
      <x:c r="M926" s="75"/>
      <x:c r="N926" s="75"/>
      <x:c r="O926" s="75"/>
      <x:c r="P926" s="75"/>
      <x:c r="Q926" s="75"/>
      <x:c r="R926" s="75"/>
      <x:c r="S926" s="75"/>
      <x:c r="T926" s="75"/>
      <x:c r="U926" s="75"/>
      <x:c r="V926" s="75"/>
      <x:c r="W926" s="75"/>
      <x:c r="X926" s="75"/>
      <x:c r="Y926" s="75"/>
      <x:c r="Z926" s="75"/>
      <x:c r="AA926" s="75"/>
      <x:c r="AB926" s="75"/>
      <x:c r="AC926" s="78"/>
      <x:c r="AD926" s="75"/>
      <x:c r="AE926" s="75"/>
      <x:c r="AF926" s="75"/>
      <x:c r="AG926" s="75"/>
      <x:c r="AH926" s="75"/>
      <x:c r="AI926" s="75"/>
    </x:row>
    <x:row r="927">
      <x:c r="A927" s="75"/>
      <x:c r="B927" s="75"/>
      <x:c r="C927" s="75"/>
      <x:c r="D927" s="75"/>
      <x:c r="E927" s="75"/>
      <x:c r="F927" s="75"/>
      <x:c r="G927" s="75"/>
      <x:c r="H927" s="75"/>
      <x:c r="I927" s="75"/>
      <x:c r="J927" s="75"/>
      <x:c r="K927" s="75"/>
      <x:c r="L927" s="75"/>
      <x:c r="M927" s="75"/>
      <x:c r="N927" s="75"/>
      <x:c r="O927" s="75"/>
      <x:c r="P927" s="75"/>
      <x:c r="Q927" s="75"/>
      <x:c r="R927" s="75"/>
      <x:c r="S927" s="75"/>
      <x:c r="T927" s="75"/>
      <x:c r="U927" s="75"/>
      <x:c r="V927" s="75"/>
      <x:c r="W927" s="75"/>
      <x:c r="X927" s="75"/>
      <x:c r="Y927" s="75"/>
      <x:c r="Z927" s="75"/>
      <x:c r="AA927" s="75"/>
      <x:c r="AB927" s="75"/>
      <x:c r="AC927" s="78"/>
      <x:c r="AD927" s="75"/>
      <x:c r="AE927" s="75"/>
      <x:c r="AF927" s="75"/>
      <x:c r="AG927" s="75"/>
      <x:c r="AH927" s="75"/>
      <x:c r="AI927" s="75"/>
    </x:row>
    <x:row r="928">
      <x:c r="A928" s="75"/>
      <x:c r="B928" s="75"/>
      <x:c r="C928" s="75"/>
      <x:c r="D928" s="75"/>
      <x:c r="E928" s="75"/>
      <x:c r="F928" s="75"/>
      <x:c r="G928" s="75"/>
      <x:c r="H928" s="75"/>
      <x:c r="I928" s="75"/>
      <x:c r="J928" s="75"/>
      <x:c r="K928" s="75"/>
      <x:c r="L928" s="75"/>
      <x:c r="M928" s="75"/>
      <x:c r="N928" s="75"/>
      <x:c r="O928" s="75"/>
      <x:c r="P928" s="75"/>
      <x:c r="Q928" s="75"/>
      <x:c r="R928" s="75"/>
      <x:c r="S928" s="75"/>
      <x:c r="T928" s="75"/>
      <x:c r="U928" s="75"/>
      <x:c r="V928" s="75"/>
      <x:c r="W928" s="75"/>
      <x:c r="X928" s="75"/>
      <x:c r="Y928" s="75"/>
      <x:c r="Z928" s="75"/>
      <x:c r="AA928" s="75"/>
      <x:c r="AB928" s="75"/>
      <x:c r="AC928" s="78"/>
      <x:c r="AD928" s="75"/>
      <x:c r="AE928" s="75"/>
      <x:c r="AF928" s="75"/>
      <x:c r="AG928" s="75"/>
      <x:c r="AH928" s="75"/>
      <x:c r="AI928" s="75"/>
    </x:row>
    <x:row r="929">
      <x:c r="A929" s="75"/>
      <x:c r="B929" s="75"/>
      <x:c r="C929" s="75"/>
      <x:c r="D929" s="75"/>
      <x:c r="E929" s="75"/>
      <x:c r="F929" s="75"/>
      <x:c r="G929" s="75"/>
      <x:c r="H929" s="75"/>
      <x:c r="I929" s="75"/>
      <x:c r="J929" s="75"/>
      <x:c r="K929" s="75"/>
      <x:c r="L929" s="75"/>
      <x:c r="M929" s="75"/>
      <x:c r="N929" s="75"/>
      <x:c r="O929" s="75"/>
      <x:c r="P929" s="75"/>
      <x:c r="Q929" s="75"/>
      <x:c r="R929" s="75"/>
      <x:c r="S929" s="75"/>
      <x:c r="T929" s="75"/>
      <x:c r="U929" s="75"/>
      <x:c r="V929" s="75"/>
      <x:c r="W929" s="75"/>
      <x:c r="X929" s="75"/>
      <x:c r="Y929" s="75"/>
      <x:c r="Z929" s="75"/>
      <x:c r="AA929" s="75"/>
      <x:c r="AB929" s="75"/>
      <x:c r="AC929" s="78"/>
      <x:c r="AD929" s="75"/>
      <x:c r="AE929" s="75"/>
      <x:c r="AF929" s="75"/>
      <x:c r="AG929" s="75"/>
      <x:c r="AH929" s="75"/>
      <x:c r="AI929" s="75"/>
    </x:row>
    <x:row r="930">
      <x:c r="A930" s="75"/>
      <x:c r="B930" s="75"/>
      <x:c r="C930" s="75"/>
      <x:c r="D930" s="75"/>
      <x:c r="E930" s="75"/>
      <x:c r="F930" s="75"/>
      <x:c r="G930" s="75"/>
      <x:c r="H930" s="75"/>
      <x:c r="I930" s="75"/>
      <x:c r="J930" s="75"/>
      <x:c r="K930" s="75"/>
      <x:c r="L930" s="75"/>
      <x:c r="M930" s="75"/>
      <x:c r="N930" s="75"/>
      <x:c r="O930" s="75"/>
      <x:c r="P930" s="75"/>
      <x:c r="Q930" s="75"/>
      <x:c r="R930" s="75"/>
      <x:c r="S930" s="75"/>
      <x:c r="T930" s="75"/>
      <x:c r="U930" s="75"/>
      <x:c r="V930" s="75"/>
      <x:c r="W930" s="75"/>
      <x:c r="X930" s="75"/>
      <x:c r="Y930" s="75"/>
      <x:c r="Z930" s="75"/>
      <x:c r="AA930" s="75"/>
      <x:c r="AB930" s="75"/>
      <x:c r="AC930" s="78"/>
      <x:c r="AD930" s="75"/>
      <x:c r="AE930" s="75"/>
      <x:c r="AF930" s="75"/>
      <x:c r="AG930" s="75"/>
      <x:c r="AH930" s="75"/>
      <x:c r="AI930" s="75"/>
    </x:row>
    <x:row r="931">
      <x:c r="A931" s="75"/>
      <x:c r="B931" s="75"/>
      <x:c r="C931" s="75"/>
      <x:c r="D931" s="75"/>
      <x:c r="E931" s="75"/>
      <x:c r="F931" s="75"/>
      <x:c r="G931" s="75"/>
      <x:c r="H931" s="75"/>
      <x:c r="I931" s="75"/>
      <x:c r="J931" s="75"/>
      <x:c r="K931" s="75"/>
      <x:c r="L931" s="75"/>
      <x:c r="M931" s="75"/>
      <x:c r="N931" s="75"/>
      <x:c r="O931" s="75"/>
      <x:c r="P931" s="75"/>
      <x:c r="Q931" s="75"/>
      <x:c r="R931" s="75"/>
      <x:c r="S931" s="75"/>
      <x:c r="T931" s="75"/>
      <x:c r="U931" s="75"/>
      <x:c r="V931" s="75"/>
      <x:c r="W931" s="75"/>
      <x:c r="X931" s="75"/>
      <x:c r="Y931" s="75"/>
      <x:c r="Z931" s="75"/>
      <x:c r="AA931" s="75"/>
      <x:c r="AB931" s="75"/>
      <x:c r="AC931" s="78"/>
      <x:c r="AD931" s="75"/>
      <x:c r="AE931" s="75"/>
      <x:c r="AF931" s="75"/>
      <x:c r="AG931" s="75"/>
      <x:c r="AH931" s="75"/>
      <x:c r="AI931" s="75"/>
    </x:row>
    <x:row r="932">
      <x:c r="A932" s="75"/>
      <x:c r="B932" s="75"/>
      <x:c r="C932" s="75"/>
      <x:c r="D932" s="75"/>
      <x:c r="E932" s="75"/>
      <x:c r="F932" s="75"/>
      <x:c r="G932" s="75"/>
      <x:c r="H932" s="75"/>
      <x:c r="I932" s="75"/>
      <x:c r="J932" s="75"/>
      <x:c r="K932" s="75"/>
      <x:c r="L932" s="75"/>
      <x:c r="M932" s="75"/>
      <x:c r="N932" s="75"/>
      <x:c r="O932" s="75"/>
      <x:c r="P932" s="75"/>
      <x:c r="Q932" s="75"/>
      <x:c r="R932" s="75"/>
      <x:c r="S932" s="75"/>
      <x:c r="T932" s="75"/>
      <x:c r="U932" s="75"/>
      <x:c r="V932" s="75"/>
      <x:c r="W932" s="75"/>
      <x:c r="X932" s="75"/>
      <x:c r="Y932" s="75"/>
      <x:c r="Z932" s="75"/>
      <x:c r="AA932" s="75"/>
      <x:c r="AB932" s="75"/>
      <x:c r="AC932" s="78"/>
      <x:c r="AD932" s="75"/>
      <x:c r="AE932" s="75"/>
      <x:c r="AF932" s="75"/>
      <x:c r="AG932" s="75"/>
      <x:c r="AH932" s="75"/>
      <x:c r="AI932" s="75"/>
    </x:row>
    <x:row r="933">
      <x:c r="A933" s="75"/>
      <x:c r="B933" s="75"/>
      <x:c r="C933" s="75"/>
      <x:c r="D933" s="75"/>
      <x:c r="E933" s="75"/>
      <x:c r="F933" s="75"/>
      <x:c r="G933" s="75"/>
      <x:c r="H933" s="75"/>
      <x:c r="I933" s="75"/>
      <x:c r="J933" s="75"/>
      <x:c r="K933" s="75"/>
      <x:c r="L933" s="75"/>
      <x:c r="M933" s="75"/>
      <x:c r="N933" s="75"/>
      <x:c r="O933" s="75"/>
      <x:c r="P933" s="75"/>
      <x:c r="Q933" s="75"/>
      <x:c r="R933" s="75"/>
      <x:c r="S933" s="75"/>
      <x:c r="T933" s="75"/>
      <x:c r="U933" s="75"/>
      <x:c r="V933" s="75"/>
      <x:c r="W933" s="75"/>
      <x:c r="X933" s="75"/>
      <x:c r="Y933" s="75"/>
      <x:c r="Z933" s="75"/>
      <x:c r="AA933" s="75"/>
      <x:c r="AB933" s="75"/>
      <x:c r="AC933" s="78"/>
      <x:c r="AD933" s="75"/>
      <x:c r="AE933" s="75"/>
      <x:c r="AF933" s="75"/>
      <x:c r="AG933" s="75"/>
      <x:c r="AH933" s="75"/>
      <x:c r="AI933" s="75"/>
    </x:row>
    <x:row r="934">
      <x:c r="A934" s="75"/>
      <x:c r="B934" s="75"/>
      <x:c r="C934" s="75"/>
      <x:c r="D934" s="75"/>
      <x:c r="E934" s="75"/>
      <x:c r="F934" s="75"/>
      <x:c r="G934" s="75"/>
      <x:c r="H934" s="75"/>
      <x:c r="I934" s="75"/>
      <x:c r="J934" s="75"/>
      <x:c r="K934" s="75"/>
      <x:c r="L934" s="75"/>
      <x:c r="M934" s="75"/>
      <x:c r="N934" s="75"/>
      <x:c r="O934" s="75"/>
      <x:c r="P934" s="75"/>
      <x:c r="Q934" s="75"/>
      <x:c r="R934" s="75"/>
      <x:c r="S934" s="75"/>
      <x:c r="T934" s="75"/>
      <x:c r="U934" s="75"/>
      <x:c r="V934" s="75"/>
      <x:c r="W934" s="75"/>
      <x:c r="X934" s="75"/>
      <x:c r="Y934" s="75"/>
      <x:c r="Z934" s="75"/>
      <x:c r="AA934" s="75"/>
      <x:c r="AB934" s="75"/>
      <x:c r="AC934" s="78"/>
      <x:c r="AD934" s="75"/>
      <x:c r="AE934" s="75"/>
      <x:c r="AF934" s="75"/>
      <x:c r="AG934" s="75"/>
      <x:c r="AH934" s="75"/>
      <x:c r="AI934" s="75"/>
    </x:row>
    <x:row r="935">
      <x:c r="A935" s="75"/>
      <x:c r="B935" s="75"/>
      <x:c r="C935" s="75"/>
      <x:c r="D935" s="75"/>
      <x:c r="E935" s="75"/>
      <x:c r="F935" s="75"/>
      <x:c r="G935" s="75"/>
      <x:c r="H935" s="75"/>
      <x:c r="I935" s="75"/>
      <x:c r="J935" s="75"/>
      <x:c r="K935" s="75"/>
      <x:c r="L935" s="75"/>
      <x:c r="M935" s="75"/>
      <x:c r="N935" s="75"/>
      <x:c r="O935" s="75"/>
      <x:c r="P935" s="75"/>
      <x:c r="Q935" s="75"/>
      <x:c r="R935" s="75"/>
      <x:c r="S935" s="75"/>
      <x:c r="T935" s="75"/>
      <x:c r="U935" s="75"/>
      <x:c r="V935" s="75"/>
      <x:c r="W935" s="75"/>
      <x:c r="X935" s="75"/>
      <x:c r="Y935" s="75"/>
      <x:c r="Z935" s="75"/>
      <x:c r="AA935" s="75"/>
      <x:c r="AB935" s="75"/>
      <x:c r="AC935" s="78"/>
      <x:c r="AD935" s="75"/>
      <x:c r="AE935" s="75"/>
      <x:c r="AF935" s="75"/>
      <x:c r="AG935" s="75"/>
      <x:c r="AH935" s="75"/>
      <x:c r="AI935" s="75"/>
    </x:row>
    <x:row r="936">
      <x:c r="A936" s="75"/>
      <x:c r="B936" s="75"/>
      <x:c r="C936" s="75"/>
      <x:c r="D936" s="75"/>
      <x:c r="E936" s="75"/>
      <x:c r="F936" s="75"/>
      <x:c r="G936" s="75"/>
      <x:c r="H936" s="75"/>
      <x:c r="I936" s="75"/>
      <x:c r="J936" s="75"/>
      <x:c r="K936" s="75"/>
      <x:c r="L936" s="75"/>
      <x:c r="M936" s="75"/>
      <x:c r="N936" s="75"/>
      <x:c r="O936" s="75"/>
      <x:c r="P936" s="75"/>
      <x:c r="Q936" s="75"/>
      <x:c r="R936" s="75"/>
      <x:c r="S936" s="75"/>
      <x:c r="T936" s="75"/>
      <x:c r="U936" s="75"/>
      <x:c r="V936" s="75"/>
      <x:c r="W936" s="75"/>
      <x:c r="X936" s="75"/>
      <x:c r="Y936" s="75"/>
      <x:c r="Z936" s="75"/>
      <x:c r="AA936" s="75"/>
      <x:c r="AB936" s="75"/>
      <x:c r="AC936" s="78"/>
      <x:c r="AD936" s="75"/>
      <x:c r="AE936" s="75"/>
      <x:c r="AF936" s="75"/>
      <x:c r="AG936" s="75"/>
      <x:c r="AH936" s="75"/>
      <x:c r="AI936" s="75"/>
    </x:row>
    <x:row r="937">
      <x:c r="A937" s="75"/>
      <x:c r="B937" s="75"/>
      <x:c r="C937" s="75"/>
      <x:c r="D937" s="75"/>
      <x:c r="E937" s="75"/>
      <x:c r="F937" s="75"/>
      <x:c r="G937" s="75"/>
      <x:c r="H937" s="75"/>
      <x:c r="I937" s="75"/>
      <x:c r="J937" s="75"/>
      <x:c r="K937" s="75"/>
      <x:c r="L937" s="75"/>
      <x:c r="M937" s="75"/>
      <x:c r="N937" s="75"/>
      <x:c r="O937" s="75"/>
      <x:c r="P937" s="75"/>
      <x:c r="Q937" s="75"/>
      <x:c r="R937" s="75"/>
      <x:c r="S937" s="75"/>
      <x:c r="T937" s="75"/>
      <x:c r="U937" s="75"/>
      <x:c r="V937" s="75"/>
      <x:c r="W937" s="75"/>
      <x:c r="X937" s="75"/>
      <x:c r="Y937" s="75"/>
      <x:c r="Z937" s="75"/>
      <x:c r="AA937" s="75"/>
      <x:c r="AB937" s="75"/>
      <x:c r="AC937" s="78"/>
      <x:c r="AD937" s="75"/>
      <x:c r="AE937" s="75"/>
      <x:c r="AF937" s="75"/>
      <x:c r="AG937" s="75"/>
      <x:c r="AH937" s="75"/>
      <x:c r="AI937" s="75"/>
    </x:row>
    <x:row r="938">
      <x:c r="A938" s="75"/>
      <x:c r="B938" s="75"/>
      <x:c r="C938" s="75"/>
      <x:c r="D938" s="75"/>
      <x:c r="E938" s="75"/>
      <x:c r="F938" s="75"/>
      <x:c r="G938" s="75"/>
      <x:c r="H938" s="75"/>
      <x:c r="I938" s="75"/>
      <x:c r="J938" s="75"/>
      <x:c r="K938" s="75"/>
      <x:c r="L938" s="75"/>
      <x:c r="M938" s="75"/>
      <x:c r="N938" s="75"/>
      <x:c r="O938" s="75"/>
      <x:c r="P938" s="75"/>
      <x:c r="Q938" s="75"/>
      <x:c r="R938" s="75"/>
      <x:c r="S938" s="75"/>
      <x:c r="T938" s="75"/>
      <x:c r="U938" s="75"/>
      <x:c r="V938" s="75"/>
      <x:c r="W938" s="75"/>
      <x:c r="X938" s="75"/>
      <x:c r="Y938" s="75"/>
      <x:c r="Z938" s="75"/>
      <x:c r="AA938" s="75"/>
      <x:c r="AB938" s="75"/>
      <x:c r="AC938" s="78"/>
      <x:c r="AD938" s="75"/>
      <x:c r="AE938" s="75"/>
      <x:c r="AF938" s="75"/>
      <x:c r="AG938" s="75"/>
      <x:c r="AH938" s="75"/>
      <x:c r="AI938" s="75"/>
    </x:row>
    <x:row r="939">
      <x:c r="A939" s="75"/>
      <x:c r="B939" s="75"/>
      <x:c r="C939" s="75"/>
      <x:c r="D939" s="75"/>
      <x:c r="E939" s="75"/>
      <x:c r="F939" s="75"/>
      <x:c r="G939" s="75"/>
      <x:c r="H939" s="75"/>
      <x:c r="I939" s="75"/>
      <x:c r="J939" s="75"/>
      <x:c r="K939" s="75"/>
      <x:c r="L939" s="75"/>
      <x:c r="M939" s="75"/>
      <x:c r="N939" s="75"/>
      <x:c r="O939" s="75"/>
      <x:c r="P939" s="75"/>
      <x:c r="Q939" s="75"/>
      <x:c r="R939" s="75"/>
      <x:c r="S939" s="75"/>
      <x:c r="T939" s="75"/>
      <x:c r="U939" s="75"/>
      <x:c r="V939" s="75"/>
      <x:c r="W939" s="75"/>
      <x:c r="X939" s="75"/>
      <x:c r="Y939" s="75"/>
      <x:c r="Z939" s="75"/>
      <x:c r="AA939" s="75"/>
      <x:c r="AB939" s="75"/>
      <x:c r="AC939" s="78"/>
      <x:c r="AD939" s="75"/>
      <x:c r="AE939" s="75"/>
      <x:c r="AF939" s="75"/>
      <x:c r="AG939" s="75"/>
      <x:c r="AH939" s="75"/>
      <x:c r="AI939" s="75"/>
    </x:row>
    <x:row r="940">
      <x:c r="A940" s="75"/>
      <x:c r="B940" s="75"/>
      <x:c r="C940" s="75"/>
      <x:c r="D940" s="75"/>
      <x:c r="E940" s="75"/>
      <x:c r="F940" s="75"/>
      <x:c r="G940" s="75"/>
      <x:c r="H940" s="75"/>
      <x:c r="I940" s="75"/>
      <x:c r="J940" s="75"/>
      <x:c r="K940" s="75"/>
      <x:c r="L940" s="75"/>
      <x:c r="M940" s="75"/>
      <x:c r="N940" s="75"/>
      <x:c r="O940" s="75"/>
      <x:c r="P940" s="75"/>
      <x:c r="Q940" s="75"/>
      <x:c r="R940" s="75"/>
      <x:c r="S940" s="75"/>
      <x:c r="T940" s="75"/>
      <x:c r="U940" s="75"/>
      <x:c r="V940" s="75"/>
      <x:c r="W940" s="75"/>
      <x:c r="X940" s="75"/>
      <x:c r="Y940" s="75"/>
      <x:c r="Z940" s="75"/>
      <x:c r="AA940" s="75"/>
      <x:c r="AB940" s="75"/>
      <x:c r="AC940" s="78"/>
      <x:c r="AD940" s="75"/>
      <x:c r="AE940" s="75"/>
      <x:c r="AF940" s="75"/>
      <x:c r="AG940" s="75"/>
      <x:c r="AH940" s="75"/>
      <x:c r="AI940" s="75"/>
    </x:row>
    <x:row r="941">
      <x:c r="A941" s="75"/>
      <x:c r="B941" s="75"/>
      <x:c r="C941" s="75"/>
      <x:c r="D941" s="75"/>
      <x:c r="E941" s="75"/>
      <x:c r="F941" s="75"/>
      <x:c r="G941" s="75"/>
      <x:c r="H941" s="75"/>
      <x:c r="I941" s="75"/>
      <x:c r="J941" s="75"/>
      <x:c r="K941" s="75"/>
      <x:c r="L941" s="75"/>
      <x:c r="M941" s="75"/>
      <x:c r="N941" s="75"/>
      <x:c r="O941" s="75"/>
      <x:c r="P941" s="75"/>
      <x:c r="Q941" s="75"/>
      <x:c r="R941" s="75"/>
      <x:c r="S941" s="75"/>
      <x:c r="T941" s="75"/>
      <x:c r="U941" s="75"/>
      <x:c r="V941" s="75"/>
      <x:c r="W941" s="75"/>
      <x:c r="X941" s="75"/>
      <x:c r="Y941" s="75"/>
      <x:c r="Z941" s="75"/>
      <x:c r="AA941" s="75"/>
      <x:c r="AB941" s="75"/>
      <x:c r="AC941" s="78"/>
      <x:c r="AD941" s="75"/>
      <x:c r="AE941" s="75"/>
      <x:c r="AF941" s="75"/>
      <x:c r="AG941" s="75"/>
      <x:c r="AH941" s="75"/>
      <x:c r="AI941" s="75"/>
    </x:row>
    <x:row r="942">
      <x:c r="A942" s="75"/>
      <x:c r="B942" s="75"/>
      <x:c r="C942" s="75"/>
      <x:c r="D942" s="75"/>
      <x:c r="E942" s="75"/>
      <x:c r="F942" s="75"/>
      <x:c r="G942" s="75"/>
      <x:c r="H942" s="75"/>
      <x:c r="I942" s="75"/>
      <x:c r="J942" s="75"/>
      <x:c r="K942" s="75"/>
      <x:c r="L942" s="75"/>
      <x:c r="M942" s="75"/>
      <x:c r="N942" s="75"/>
      <x:c r="O942" s="75"/>
      <x:c r="P942" s="75"/>
      <x:c r="Q942" s="75"/>
      <x:c r="R942" s="75"/>
      <x:c r="S942" s="75"/>
      <x:c r="T942" s="75"/>
      <x:c r="U942" s="75"/>
      <x:c r="V942" s="75"/>
      <x:c r="W942" s="75"/>
      <x:c r="X942" s="75"/>
      <x:c r="Y942" s="75"/>
      <x:c r="Z942" s="75"/>
      <x:c r="AA942" s="75"/>
      <x:c r="AB942" s="75"/>
      <x:c r="AC942" s="78"/>
      <x:c r="AD942" s="75"/>
      <x:c r="AE942" s="75"/>
      <x:c r="AF942" s="75"/>
      <x:c r="AG942" s="75"/>
      <x:c r="AH942" s="75"/>
      <x:c r="AI942" s="75"/>
    </x:row>
    <x:row r="943">
      <x:c r="A943" s="75"/>
      <x:c r="B943" s="75"/>
      <x:c r="C943" s="75"/>
      <x:c r="D943" s="75"/>
      <x:c r="E943" s="75"/>
      <x:c r="F943" s="75"/>
      <x:c r="G943" s="75"/>
      <x:c r="H943" s="75"/>
      <x:c r="I943" s="75"/>
      <x:c r="J943" s="75"/>
      <x:c r="K943" s="75"/>
      <x:c r="L943" s="75"/>
      <x:c r="M943" s="75"/>
      <x:c r="N943" s="75"/>
      <x:c r="O943" s="75"/>
      <x:c r="P943" s="75"/>
      <x:c r="Q943" s="75"/>
      <x:c r="R943" s="75"/>
      <x:c r="S943" s="75"/>
      <x:c r="T943" s="75"/>
      <x:c r="U943" s="75"/>
      <x:c r="V943" s="75"/>
      <x:c r="W943" s="75"/>
      <x:c r="X943" s="75"/>
      <x:c r="Y943" s="75"/>
      <x:c r="Z943" s="75"/>
      <x:c r="AA943" s="75"/>
      <x:c r="AB943" s="75"/>
      <x:c r="AC943" s="78"/>
      <x:c r="AD943" s="75"/>
      <x:c r="AE943" s="75"/>
      <x:c r="AF943" s="75"/>
      <x:c r="AG943" s="75"/>
      <x:c r="AH943" s="75"/>
      <x:c r="AI943" s="75"/>
    </x:row>
    <x:row r="944">
      <x:c r="A944" s="75"/>
      <x:c r="B944" s="75"/>
      <x:c r="C944" s="75"/>
      <x:c r="D944" s="75"/>
      <x:c r="E944" s="75"/>
      <x:c r="F944" s="75"/>
      <x:c r="G944" s="75"/>
      <x:c r="H944" s="75"/>
      <x:c r="I944" s="75"/>
      <x:c r="J944" s="75"/>
      <x:c r="K944" s="75"/>
      <x:c r="L944" s="75"/>
      <x:c r="M944" s="75"/>
      <x:c r="N944" s="75"/>
      <x:c r="O944" s="75"/>
      <x:c r="P944" s="75"/>
      <x:c r="Q944" s="75"/>
      <x:c r="R944" s="75"/>
      <x:c r="S944" s="75"/>
      <x:c r="T944" s="75"/>
      <x:c r="U944" s="75"/>
      <x:c r="V944" s="75"/>
      <x:c r="W944" s="75"/>
      <x:c r="X944" s="75"/>
      <x:c r="Y944" s="75"/>
      <x:c r="Z944" s="75"/>
      <x:c r="AA944" s="75"/>
      <x:c r="AB944" s="75"/>
      <x:c r="AC944" s="78"/>
      <x:c r="AD944" s="75"/>
      <x:c r="AE944" s="75"/>
      <x:c r="AF944" s="75"/>
      <x:c r="AG944" s="75"/>
      <x:c r="AH944" s="75"/>
      <x:c r="AI944" s="75"/>
    </x:row>
    <x:row r="945">
      <x:c r="A945" s="75"/>
      <x:c r="B945" s="75"/>
      <x:c r="C945" s="75"/>
      <x:c r="D945" s="75"/>
      <x:c r="E945" s="75"/>
      <x:c r="F945" s="75"/>
      <x:c r="G945" s="75"/>
      <x:c r="H945" s="75"/>
      <x:c r="I945" s="75"/>
      <x:c r="J945" s="75"/>
      <x:c r="K945" s="75"/>
      <x:c r="L945" s="75"/>
      <x:c r="M945" s="75"/>
      <x:c r="N945" s="75"/>
      <x:c r="O945" s="75"/>
      <x:c r="P945" s="75"/>
      <x:c r="Q945" s="75"/>
      <x:c r="R945" s="75"/>
      <x:c r="S945" s="75"/>
      <x:c r="T945" s="75"/>
      <x:c r="U945" s="75"/>
      <x:c r="V945" s="75"/>
      <x:c r="W945" s="75"/>
      <x:c r="X945" s="75"/>
      <x:c r="Y945" s="75"/>
      <x:c r="Z945" s="75"/>
      <x:c r="AA945" s="75"/>
      <x:c r="AB945" s="75"/>
      <x:c r="AC945" s="78"/>
      <x:c r="AD945" s="75"/>
      <x:c r="AE945" s="75"/>
      <x:c r="AF945" s="75"/>
      <x:c r="AG945" s="75"/>
      <x:c r="AH945" s="75"/>
      <x:c r="AI945" s="75"/>
    </x:row>
    <x:row r="946">
      <x:c r="A946" s="75"/>
      <x:c r="B946" s="75"/>
      <x:c r="C946" s="75"/>
      <x:c r="D946" s="75"/>
      <x:c r="E946" s="75"/>
      <x:c r="F946" s="75"/>
      <x:c r="G946" s="75"/>
      <x:c r="H946" s="75"/>
      <x:c r="I946" s="75"/>
      <x:c r="J946" s="75"/>
      <x:c r="K946" s="75"/>
      <x:c r="L946" s="75"/>
      <x:c r="M946" s="75"/>
      <x:c r="N946" s="75"/>
      <x:c r="O946" s="75"/>
      <x:c r="P946" s="75"/>
      <x:c r="Q946" s="75"/>
      <x:c r="R946" s="75"/>
      <x:c r="S946" s="75"/>
      <x:c r="T946" s="75"/>
      <x:c r="U946" s="75"/>
      <x:c r="V946" s="75"/>
      <x:c r="W946" s="75"/>
      <x:c r="X946" s="75"/>
      <x:c r="Y946" s="75"/>
      <x:c r="Z946" s="75"/>
      <x:c r="AA946" s="75"/>
      <x:c r="AB946" s="75"/>
      <x:c r="AC946" s="78"/>
      <x:c r="AD946" s="75"/>
      <x:c r="AE946" s="75"/>
      <x:c r="AF946" s="75"/>
      <x:c r="AG946" s="75"/>
      <x:c r="AH946" s="75"/>
      <x:c r="AI946" s="75"/>
    </x:row>
    <x:row r="947">
      <x:c r="A947" s="75"/>
      <x:c r="B947" s="75"/>
      <x:c r="C947" s="75"/>
      <x:c r="D947" s="75"/>
      <x:c r="E947" s="75"/>
      <x:c r="F947" s="75"/>
      <x:c r="G947" s="75"/>
      <x:c r="H947" s="75"/>
      <x:c r="I947" s="75"/>
      <x:c r="J947" s="75"/>
      <x:c r="K947" s="75"/>
      <x:c r="L947" s="75"/>
      <x:c r="M947" s="75"/>
      <x:c r="N947" s="75"/>
      <x:c r="O947" s="75"/>
      <x:c r="P947" s="75"/>
      <x:c r="Q947" s="75"/>
      <x:c r="R947" s="75"/>
      <x:c r="S947" s="75"/>
      <x:c r="T947" s="75"/>
      <x:c r="U947" s="75"/>
      <x:c r="V947" s="75"/>
      <x:c r="W947" s="75"/>
      <x:c r="X947" s="75"/>
      <x:c r="Y947" s="75"/>
      <x:c r="Z947" s="75"/>
      <x:c r="AA947" s="75"/>
      <x:c r="AB947" s="75"/>
      <x:c r="AC947" s="78"/>
      <x:c r="AD947" s="75"/>
      <x:c r="AE947" s="75"/>
      <x:c r="AF947" s="75"/>
      <x:c r="AG947" s="75"/>
      <x:c r="AH947" s="75"/>
      <x:c r="AI947" s="75"/>
    </x:row>
    <x:row r="948">
      <x:c r="A948" s="75"/>
      <x:c r="B948" s="75"/>
      <x:c r="C948" s="75"/>
      <x:c r="D948" s="75"/>
      <x:c r="E948" s="75"/>
      <x:c r="F948" s="75"/>
      <x:c r="G948" s="75"/>
      <x:c r="H948" s="75"/>
      <x:c r="I948" s="75"/>
      <x:c r="J948" s="75"/>
      <x:c r="K948" s="75"/>
      <x:c r="L948" s="75"/>
      <x:c r="M948" s="75"/>
      <x:c r="N948" s="75"/>
      <x:c r="O948" s="75"/>
      <x:c r="P948" s="75"/>
      <x:c r="Q948" s="75"/>
      <x:c r="R948" s="75"/>
      <x:c r="S948" s="75"/>
      <x:c r="T948" s="75"/>
      <x:c r="U948" s="75"/>
      <x:c r="V948" s="75"/>
      <x:c r="W948" s="75"/>
      <x:c r="X948" s="75"/>
      <x:c r="Y948" s="75"/>
      <x:c r="Z948" s="75"/>
      <x:c r="AA948" s="75"/>
      <x:c r="AB948" s="75"/>
      <x:c r="AC948" s="78"/>
      <x:c r="AD948" s="75"/>
      <x:c r="AE948" s="75"/>
      <x:c r="AF948" s="75"/>
      <x:c r="AG948" s="75"/>
      <x:c r="AH948" s="75"/>
      <x:c r="AI948" s="75"/>
    </x:row>
    <x:row r="949">
      <x:c r="A949" s="75"/>
      <x:c r="B949" s="75"/>
      <x:c r="C949" s="75"/>
      <x:c r="D949" s="75"/>
      <x:c r="E949" s="75"/>
      <x:c r="F949" s="75"/>
      <x:c r="G949" s="75"/>
      <x:c r="H949" s="75"/>
      <x:c r="I949" s="75"/>
      <x:c r="J949" s="75"/>
      <x:c r="K949" s="75"/>
      <x:c r="L949" s="75"/>
      <x:c r="M949" s="75"/>
      <x:c r="N949" s="75"/>
      <x:c r="O949" s="75"/>
      <x:c r="P949" s="75"/>
      <x:c r="Q949" s="75"/>
      <x:c r="R949" s="75"/>
      <x:c r="S949" s="75"/>
      <x:c r="T949" s="75"/>
      <x:c r="U949" s="75"/>
      <x:c r="V949" s="75"/>
      <x:c r="W949" s="75"/>
      <x:c r="X949" s="75"/>
      <x:c r="Y949" s="75"/>
      <x:c r="Z949" s="75"/>
      <x:c r="AA949" s="75"/>
      <x:c r="AB949" s="75"/>
      <x:c r="AC949" s="78"/>
      <x:c r="AD949" s="75"/>
      <x:c r="AE949" s="75"/>
      <x:c r="AF949" s="75"/>
      <x:c r="AG949" s="75"/>
      <x:c r="AH949" s="75"/>
      <x:c r="AI949" s="75"/>
    </x:row>
    <x:row r="950">
      <x:c r="A950" s="75"/>
      <x:c r="B950" s="75"/>
      <x:c r="C950" s="75"/>
      <x:c r="D950" s="75"/>
      <x:c r="E950" s="75"/>
      <x:c r="F950" s="75"/>
      <x:c r="G950" s="75"/>
      <x:c r="H950" s="75"/>
      <x:c r="I950" s="75"/>
      <x:c r="J950" s="75"/>
      <x:c r="K950" s="75"/>
      <x:c r="L950" s="75"/>
      <x:c r="M950" s="75"/>
      <x:c r="N950" s="75"/>
      <x:c r="O950" s="75"/>
      <x:c r="P950" s="75"/>
      <x:c r="Q950" s="75"/>
      <x:c r="R950" s="75"/>
      <x:c r="S950" s="75"/>
      <x:c r="T950" s="75"/>
      <x:c r="U950" s="75"/>
      <x:c r="V950" s="75"/>
      <x:c r="W950" s="75"/>
      <x:c r="X950" s="75"/>
      <x:c r="Y950" s="75"/>
      <x:c r="Z950" s="75"/>
      <x:c r="AA950" s="75"/>
      <x:c r="AB950" s="75"/>
      <x:c r="AC950" s="78"/>
      <x:c r="AD950" s="75"/>
      <x:c r="AE950" s="75"/>
      <x:c r="AF950" s="75"/>
      <x:c r="AG950" s="75"/>
      <x:c r="AH950" s="75"/>
      <x:c r="AI950" s="75"/>
    </x:row>
    <x:row r="951">
      <x:c r="A951" s="75"/>
      <x:c r="B951" s="75"/>
      <x:c r="C951" s="75"/>
      <x:c r="D951" s="75"/>
      <x:c r="E951" s="75"/>
      <x:c r="F951" s="75"/>
      <x:c r="G951" s="75"/>
      <x:c r="H951" s="75"/>
      <x:c r="I951" s="75"/>
      <x:c r="J951" s="75"/>
      <x:c r="K951" s="75"/>
      <x:c r="L951" s="75"/>
      <x:c r="M951" s="75"/>
      <x:c r="N951" s="75"/>
      <x:c r="O951" s="75"/>
      <x:c r="P951" s="75"/>
      <x:c r="Q951" s="75"/>
      <x:c r="R951" s="75"/>
      <x:c r="S951" s="75"/>
      <x:c r="T951" s="75"/>
      <x:c r="U951" s="75"/>
      <x:c r="V951" s="75"/>
      <x:c r="W951" s="75"/>
      <x:c r="X951" s="75"/>
      <x:c r="Y951" s="75"/>
      <x:c r="Z951" s="75"/>
      <x:c r="AA951" s="75"/>
      <x:c r="AB951" s="75"/>
      <x:c r="AC951" s="78"/>
      <x:c r="AD951" s="75"/>
      <x:c r="AE951" s="75"/>
      <x:c r="AF951" s="75"/>
      <x:c r="AG951" s="75"/>
      <x:c r="AH951" s="75"/>
      <x:c r="AI951" s="75"/>
    </x:row>
    <x:row r="952">
      <x:c r="A952" s="75"/>
      <x:c r="B952" s="75"/>
      <x:c r="C952" s="75"/>
      <x:c r="D952" s="75"/>
      <x:c r="E952" s="75"/>
      <x:c r="F952" s="75"/>
      <x:c r="G952" s="75"/>
      <x:c r="H952" s="75"/>
      <x:c r="I952" s="75"/>
      <x:c r="J952" s="75"/>
      <x:c r="K952" s="75"/>
      <x:c r="L952" s="75"/>
      <x:c r="M952" s="75"/>
      <x:c r="N952" s="75"/>
      <x:c r="O952" s="75"/>
      <x:c r="P952" s="75"/>
      <x:c r="Q952" s="75"/>
      <x:c r="R952" s="75"/>
      <x:c r="S952" s="75"/>
      <x:c r="T952" s="75"/>
      <x:c r="U952" s="75"/>
      <x:c r="V952" s="75"/>
      <x:c r="W952" s="75"/>
      <x:c r="X952" s="75"/>
      <x:c r="Y952" s="75"/>
      <x:c r="Z952" s="75"/>
      <x:c r="AA952" s="75"/>
      <x:c r="AB952" s="75"/>
      <x:c r="AC952" s="78"/>
      <x:c r="AD952" s="75"/>
      <x:c r="AE952" s="75"/>
      <x:c r="AF952" s="75"/>
      <x:c r="AG952" s="75"/>
      <x:c r="AH952" s="75"/>
      <x:c r="AI952" s="75"/>
    </x:row>
    <x:row r="953">
      <x:c r="A953" s="75"/>
      <x:c r="B953" s="75"/>
      <x:c r="C953" s="75"/>
      <x:c r="D953" s="75"/>
      <x:c r="E953" s="75"/>
      <x:c r="F953" s="75"/>
      <x:c r="G953" s="75"/>
      <x:c r="H953" s="75"/>
      <x:c r="I953" s="75"/>
      <x:c r="J953" s="75"/>
      <x:c r="K953" s="75"/>
      <x:c r="L953" s="75"/>
      <x:c r="M953" s="75"/>
      <x:c r="N953" s="75"/>
      <x:c r="O953" s="75"/>
      <x:c r="P953" s="75"/>
      <x:c r="Q953" s="75"/>
      <x:c r="R953" s="75"/>
      <x:c r="S953" s="75"/>
      <x:c r="T953" s="75"/>
      <x:c r="U953" s="75"/>
      <x:c r="V953" s="75"/>
      <x:c r="W953" s="75"/>
      <x:c r="X953" s="75"/>
      <x:c r="Y953" s="75"/>
      <x:c r="Z953" s="75"/>
      <x:c r="AA953" s="75"/>
      <x:c r="AB953" s="75"/>
      <x:c r="AC953" s="78"/>
      <x:c r="AD953" s="75"/>
      <x:c r="AE953" s="75"/>
      <x:c r="AF953" s="75"/>
      <x:c r="AG953" s="75"/>
      <x:c r="AH953" s="75"/>
      <x:c r="AI953" s="75"/>
    </x:row>
    <x:row r="954">
      <x:c r="A954" s="75"/>
      <x:c r="B954" s="75"/>
      <x:c r="C954" s="75"/>
      <x:c r="D954" s="75"/>
      <x:c r="E954" s="75"/>
      <x:c r="F954" s="75"/>
      <x:c r="G954" s="75"/>
      <x:c r="H954" s="75"/>
      <x:c r="I954" s="75"/>
      <x:c r="J954" s="75"/>
      <x:c r="K954" s="75"/>
      <x:c r="L954" s="75"/>
      <x:c r="M954" s="75"/>
      <x:c r="N954" s="75"/>
      <x:c r="O954" s="75"/>
      <x:c r="P954" s="75"/>
      <x:c r="Q954" s="75"/>
      <x:c r="R954" s="75"/>
      <x:c r="S954" s="75"/>
      <x:c r="T954" s="75"/>
      <x:c r="U954" s="75"/>
      <x:c r="V954" s="75"/>
      <x:c r="W954" s="75"/>
      <x:c r="X954" s="75"/>
      <x:c r="Y954" s="75"/>
      <x:c r="Z954" s="75"/>
      <x:c r="AA954" s="75"/>
      <x:c r="AB954" s="75"/>
      <x:c r="AC954" s="78"/>
      <x:c r="AD954" s="75"/>
      <x:c r="AE954" s="75"/>
      <x:c r="AF954" s="75"/>
      <x:c r="AG954" s="75"/>
      <x:c r="AH954" s="75"/>
      <x:c r="AI954" s="75"/>
    </x:row>
    <x:row r="955">
      <x:c r="A955" s="75"/>
      <x:c r="B955" s="75"/>
      <x:c r="C955" s="75"/>
      <x:c r="D955" s="75"/>
      <x:c r="E955" s="75"/>
      <x:c r="F955" s="75"/>
      <x:c r="G955" s="75"/>
      <x:c r="H955" s="75"/>
      <x:c r="I955" s="75"/>
      <x:c r="J955" s="75"/>
      <x:c r="K955" s="75"/>
      <x:c r="L955" s="75"/>
      <x:c r="M955" s="75"/>
      <x:c r="N955" s="75"/>
      <x:c r="O955" s="75"/>
      <x:c r="P955" s="75"/>
      <x:c r="Q955" s="75"/>
      <x:c r="R955" s="75"/>
      <x:c r="S955" s="75"/>
      <x:c r="T955" s="75"/>
      <x:c r="U955" s="75"/>
      <x:c r="V955" s="75"/>
      <x:c r="W955" s="75"/>
      <x:c r="X955" s="75"/>
      <x:c r="Y955" s="75"/>
      <x:c r="Z955" s="75"/>
      <x:c r="AA955" s="75"/>
      <x:c r="AB955" s="75"/>
      <x:c r="AC955" s="78"/>
      <x:c r="AD955" s="75"/>
      <x:c r="AE955" s="75"/>
      <x:c r="AF955" s="75"/>
      <x:c r="AG955" s="75"/>
      <x:c r="AH955" s="75"/>
      <x:c r="AI955" s="75"/>
    </x:row>
    <x:row r="956">
      <x:c r="A956" s="75"/>
      <x:c r="B956" s="75"/>
      <x:c r="C956" s="75"/>
      <x:c r="D956" s="75"/>
      <x:c r="E956" s="75"/>
      <x:c r="F956" s="75"/>
      <x:c r="G956" s="75"/>
      <x:c r="H956" s="75"/>
      <x:c r="I956" s="75"/>
      <x:c r="J956" s="75"/>
      <x:c r="K956" s="75"/>
      <x:c r="L956" s="75"/>
      <x:c r="M956" s="75"/>
      <x:c r="N956" s="75"/>
      <x:c r="O956" s="75"/>
      <x:c r="P956" s="75"/>
      <x:c r="Q956" s="75"/>
      <x:c r="R956" s="75"/>
      <x:c r="S956" s="75"/>
      <x:c r="T956" s="75"/>
      <x:c r="U956" s="75"/>
      <x:c r="V956" s="75"/>
      <x:c r="W956" s="75"/>
      <x:c r="X956" s="75"/>
      <x:c r="Y956" s="75"/>
      <x:c r="Z956" s="75"/>
      <x:c r="AA956" s="75"/>
      <x:c r="AB956" s="75"/>
      <x:c r="AC956" s="78"/>
      <x:c r="AD956" s="75"/>
      <x:c r="AE956" s="75"/>
      <x:c r="AF956" s="75"/>
      <x:c r="AG956" s="75"/>
      <x:c r="AH956" s="75"/>
      <x:c r="AI956" s="75"/>
    </x:row>
    <x:row r="957">
      <x:c r="A957" s="75"/>
      <x:c r="B957" s="75"/>
      <x:c r="C957" s="75"/>
      <x:c r="D957" s="75"/>
      <x:c r="E957" s="75"/>
      <x:c r="F957" s="75"/>
      <x:c r="G957" s="75"/>
      <x:c r="H957" s="75"/>
      <x:c r="I957" s="75"/>
      <x:c r="J957" s="75"/>
      <x:c r="K957" s="75"/>
      <x:c r="L957" s="75"/>
      <x:c r="M957" s="75"/>
      <x:c r="N957" s="75"/>
      <x:c r="O957" s="75"/>
      <x:c r="P957" s="75"/>
      <x:c r="Q957" s="75"/>
      <x:c r="R957" s="75"/>
      <x:c r="S957" s="75"/>
      <x:c r="T957" s="75"/>
      <x:c r="U957" s="75"/>
      <x:c r="V957" s="75"/>
      <x:c r="W957" s="75"/>
      <x:c r="X957" s="75"/>
      <x:c r="Y957" s="75"/>
      <x:c r="Z957" s="75"/>
      <x:c r="AA957" s="75"/>
      <x:c r="AB957" s="75"/>
      <x:c r="AC957" s="78"/>
      <x:c r="AD957" s="75"/>
      <x:c r="AE957" s="75"/>
      <x:c r="AF957" s="75"/>
      <x:c r="AG957" s="75"/>
      <x:c r="AH957" s="75"/>
      <x:c r="AI957" s="75"/>
    </x:row>
    <x:row r="958">
      <x:c r="A958" s="75"/>
      <x:c r="B958" s="75"/>
      <x:c r="C958" s="75"/>
      <x:c r="D958" s="75"/>
      <x:c r="E958" s="75"/>
      <x:c r="F958" s="75"/>
      <x:c r="G958" s="75"/>
      <x:c r="H958" s="75"/>
      <x:c r="I958" s="75"/>
      <x:c r="J958" s="75"/>
      <x:c r="K958" s="75"/>
      <x:c r="L958" s="75"/>
      <x:c r="M958" s="75"/>
      <x:c r="N958" s="75"/>
      <x:c r="O958" s="75"/>
      <x:c r="P958" s="75"/>
      <x:c r="Q958" s="75"/>
      <x:c r="R958" s="75"/>
      <x:c r="S958" s="75"/>
      <x:c r="T958" s="75"/>
      <x:c r="U958" s="75"/>
      <x:c r="V958" s="75"/>
      <x:c r="W958" s="75"/>
      <x:c r="X958" s="75"/>
      <x:c r="Y958" s="75"/>
      <x:c r="Z958" s="75"/>
      <x:c r="AA958" s="75"/>
      <x:c r="AB958" s="75"/>
      <x:c r="AC958" s="78"/>
      <x:c r="AD958" s="75"/>
      <x:c r="AE958" s="75"/>
      <x:c r="AF958" s="75"/>
      <x:c r="AG958" s="75"/>
      <x:c r="AH958" s="75"/>
      <x:c r="AI958" s="75"/>
    </x:row>
    <x:row r="959">
      <x:c r="A959" s="75"/>
      <x:c r="B959" s="75"/>
      <x:c r="C959" s="75"/>
      <x:c r="D959" s="75"/>
      <x:c r="E959" s="75"/>
      <x:c r="F959" s="75"/>
      <x:c r="G959" s="75"/>
      <x:c r="H959" s="75"/>
      <x:c r="I959" s="75"/>
      <x:c r="J959" s="75"/>
      <x:c r="K959" s="75"/>
      <x:c r="L959" s="75"/>
      <x:c r="M959" s="75"/>
      <x:c r="N959" s="75"/>
      <x:c r="O959" s="75"/>
      <x:c r="P959" s="75"/>
      <x:c r="Q959" s="75"/>
      <x:c r="R959" s="75"/>
      <x:c r="S959" s="75"/>
      <x:c r="T959" s="75"/>
      <x:c r="U959" s="75"/>
      <x:c r="V959" s="75"/>
      <x:c r="W959" s="75"/>
      <x:c r="X959" s="75"/>
      <x:c r="Y959" s="75"/>
      <x:c r="Z959" s="75"/>
      <x:c r="AA959" s="75"/>
      <x:c r="AB959" s="75"/>
      <x:c r="AC959" s="78"/>
      <x:c r="AD959" s="75"/>
      <x:c r="AE959" s="75"/>
      <x:c r="AF959" s="75"/>
      <x:c r="AG959" s="75"/>
      <x:c r="AH959" s="75"/>
      <x:c r="AI959" s="75"/>
    </x:row>
    <x:row r="960">
      <x:c r="A960" s="75"/>
      <x:c r="B960" s="75"/>
      <x:c r="C960" s="75"/>
      <x:c r="D960" s="75"/>
      <x:c r="E960" s="75"/>
      <x:c r="F960" s="75"/>
      <x:c r="G960" s="75"/>
      <x:c r="H960" s="75"/>
      <x:c r="I960" s="75"/>
      <x:c r="J960" s="75"/>
      <x:c r="K960" s="75"/>
      <x:c r="L960" s="75"/>
      <x:c r="M960" s="75"/>
      <x:c r="N960" s="75"/>
      <x:c r="O960" s="75"/>
      <x:c r="P960" s="75"/>
      <x:c r="Q960" s="75"/>
      <x:c r="R960" s="75"/>
      <x:c r="S960" s="75"/>
      <x:c r="T960" s="75"/>
      <x:c r="U960" s="75"/>
      <x:c r="V960" s="75"/>
      <x:c r="W960" s="75"/>
      <x:c r="X960" s="75"/>
      <x:c r="Y960" s="75"/>
      <x:c r="Z960" s="75"/>
      <x:c r="AA960" s="75"/>
      <x:c r="AB960" s="75"/>
      <x:c r="AC960" s="78"/>
      <x:c r="AD960" s="75"/>
      <x:c r="AE960" s="75"/>
      <x:c r="AF960" s="75"/>
      <x:c r="AG960" s="75"/>
      <x:c r="AH960" s="75"/>
      <x:c r="AI960" s="75"/>
    </x:row>
    <x:row r="961">
      <x:c r="A961" s="75"/>
      <x:c r="B961" s="75"/>
      <x:c r="C961" s="75"/>
      <x:c r="D961" s="75"/>
      <x:c r="E961" s="75"/>
      <x:c r="F961" s="75"/>
      <x:c r="G961" s="75"/>
      <x:c r="H961" s="75"/>
      <x:c r="I961" s="75"/>
      <x:c r="J961" s="75"/>
      <x:c r="K961" s="75"/>
      <x:c r="L961" s="75"/>
      <x:c r="M961" s="75"/>
      <x:c r="N961" s="75"/>
      <x:c r="O961" s="75"/>
      <x:c r="P961" s="75"/>
      <x:c r="Q961" s="75"/>
      <x:c r="R961" s="75"/>
      <x:c r="S961" s="75"/>
      <x:c r="T961" s="75"/>
      <x:c r="U961" s="75"/>
      <x:c r="V961" s="75"/>
      <x:c r="W961" s="75"/>
      <x:c r="X961" s="75"/>
      <x:c r="Y961" s="75"/>
      <x:c r="Z961" s="75"/>
      <x:c r="AA961" s="75"/>
      <x:c r="AB961" s="75"/>
      <x:c r="AC961" s="78"/>
      <x:c r="AD961" s="75"/>
      <x:c r="AE961" s="75"/>
      <x:c r="AF961" s="75"/>
      <x:c r="AG961" s="75"/>
      <x:c r="AH961" s="75"/>
      <x:c r="AI961" s="75"/>
    </x:row>
    <x:row r="962">
      <x:c r="A962" s="75"/>
      <x:c r="B962" s="75"/>
      <x:c r="C962" s="75"/>
      <x:c r="D962" s="75"/>
      <x:c r="E962" s="75"/>
      <x:c r="F962" s="75"/>
      <x:c r="G962" s="75"/>
      <x:c r="H962" s="75"/>
      <x:c r="I962" s="75"/>
      <x:c r="J962" s="75"/>
      <x:c r="K962" s="75"/>
      <x:c r="L962" s="75"/>
      <x:c r="M962" s="75"/>
      <x:c r="N962" s="75"/>
      <x:c r="O962" s="75"/>
      <x:c r="P962" s="75"/>
      <x:c r="Q962" s="75"/>
      <x:c r="R962" s="75"/>
      <x:c r="S962" s="75"/>
      <x:c r="T962" s="75"/>
      <x:c r="U962" s="75"/>
      <x:c r="V962" s="75"/>
      <x:c r="W962" s="75"/>
      <x:c r="X962" s="75"/>
      <x:c r="Y962" s="75"/>
      <x:c r="Z962" s="75"/>
      <x:c r="AA962" s="75"/>
      <x:c r="AB962" s="75"/>
      <x:c r="AC962" s="78"/>
      <x:c r="AD962" s="75"/>
      <x:c r="AE962" s="75"/>
      <x:c r="AF962" s="75"/>
      <x:c r="AG962" s="75"/>
      <x:c r="AH962" s="75"/>
      <x:c r="AI962" s="75"/>
    </x:row>
    <x:row r="963">
      <x:c r="A963" s="75"/>
      <x:c r="B963" s="75"/>
      <x:c r="C963" s="75"/>
      <x:c r="D963" s="75"/>
      <x:c r="E963" s="75"/>
      <x:c r="F963" s="75"/>
      <x:c r="G963" s="75"/>
      <x:c r="H963" s="75"/>
      <x:c r="I963" s="75"/>
      <x:c r="J963" s="75"/>
      <x:c r="K963" s="75"/>
      <x:c r="L963" s="75"/>
      <x:c r="M963" s="75"/>
      <x:c r="N963" s="75"/>
      <x:c r="O963" s="75"/>
      <x:c r="P963" s="75"/>
      <x:c r="Q963" s="75"/>
      <x:c r="R963" s="75"/>
      <x:c r="S963" s="75"/>
      <x:c r="T963" s="75"/>
      <x:c r="U963" s="75"/>
      <x:c r="V963" s="75"/>
      <x:c r="W963" s="75"/>
      <x:c r="X963" s="75"/>
      <x:c r="Y963" s="75"/>
      <x:c r="Z963" s="75"/>
      <x:c r="AA963" s="75"/>
      <x:c r="AB963" s="75"/>
      <x:c r="AC963" s="78"/>
      <x:c r="AD963" s="75"/>
      <x:c r="AE963" s="75"/>
      <x:c r="AF963" s="75"/>
      <x:c r="AG963" s="75"/>
      <x:c r="AH963" s="75"/>
      <x:c r="AI963" s="75"/>
    </x:row>
    <x:row r="964">
      <x:c r="A964" s="75"/>
      <x:c r="B964" s="75"/>
      <x:c r="C964" s="75"/>
      <x:c r="D964" s="75"/>
      <x:c r="E964" s="75"/>
      <x:c r="F964" s="75"/>
      <x:c r="G964" s="75"/>
      <x:c r="H964" s="75"/>
      <x:c r="I964" s="75"/>
      <x:c r="J964" s="75"/>
      <x:c r="K964" s="75"/>
      <x:c r="L964" s="75"/>
      <x:c r="M964" s="75"/>
      <x:c r="N964" s="75"/>
      <x:c r="O964" s="75"/>
      <x:c r="P964" s="75"/>
      <x:c r="Q964" s="75"/>
      <x:c r="R964" s="75"/>
      <x:c r="S964" s="75"/>
      <x:c r="T964" s="75"/>
      <x:c r="U964" s="75"/>
      <x:c r="V964" s="75"/>
      <x:c r="W964" s="75"/>
      <x:c r="X964" s="75"/>
      <x:c r="Y964" s="75"/>
      <x:c r="Z964" s="75"/>
      <x:c r="AA964" s="75"/>
      <x:c r="AB964" s="75"/>
      <x:c r="AC964" s="78"/>
      <x:c r="AD964" s="75"/>
      <x:c r="AE964" s="75"/>
      <x:c r="AF964" s="75"/>
      <x:c r="AG964" s="75"/>
      <x:c r="AH964" s="75"/>
      <x:c r="AI964" s="75"/>
    </x:row>
    <x:row r="965">
      <x:c r="A965" s="75"/>
      <x:c r="B965" s="75"/>
      <x:c r="C965" s="75"/>
      <x:c r="D965" s="75"/>
      <x:c r="E965" s="75"/>
      <x:c r="F965" s="75"/>
      <x:c r="G965" s="75"/>
      <x:c r="H965" s="75"/>
      <x:c r="I965" s="75"/>
      <x:c r="J965" s="75"/>
      <x:c r="K965" s="75"/>
      <x:c r="L965" s="75"/>
      <x:c r="M965" s="75"/>
      <x:c r="N965" s="75"/>
      <x:c r="O965" s="75"/>
      <x:c r="P965" s="75"/>
      <x:c r="Q965" s="75"/>
      <x:c r="R965" s="75"/>
      <x:c r="S965" s="75"/>
      <x:c r="T965" s="75"/>
      <x:c r="U965" s="75"/>
      <x:c r="V965" s="75"/>
      <x:c r="W965" s="75"/>
      <x:c r="X965" s="75"/>
      <x:c r="Y965" s="75"/>
      <x:c r="Z965" s="75"/>
      <x:c r="AA965" s="75"/>
      <x:c r="AB965" s="75"/>
      <x:c r="AC965" s="78"/>
      <x:c r="AD965" s="75"/>
      <x:c r="AE965" s="75"/>
      <x:c r="AF965" s="75"/>
      <x:c r="AG965" s="75"/>
      <x:c r="AH965" s="75"/>
      <x:c r="AI965" s="75"/>
    </x:row>
    <x:row r="966">
      <x:c r="A966" s="75"/>
      <x:c r="B966" s="75"/>
      <x:c r="C966" s="75"/>
      <x:c r="D966" s="75"/>
      <x:c r="E966" s="75"/>
      <x:c r="F966" s="75"/>
      <x:c r="G966" s="75"/>
      <x:c r="H966" s="75"/>
      <x:c r="I966" s="75"/>
      <x:c r="J966" s="75"/>
      <x:c r="K966" s="75"/>
      <x:c r="L966" s="75"/>
      <x:c r="M966" s="75"/>
      <x:c r="N966" s="75"/>
      <x:c r="O966" s="75"/>
      <x:c r="P966" s="75"/>
      <x:c r="Q966" s="75"/>
      <x:c r="R966" s="75"/>
      <x:c r="S966" s="75"/>
      <x:c r="T966" s="75"/>
      <x:c r="U966" s="75"/>
      <x:c r="V966" s="75"/>
      <x:c r="W966" s="75"/>
      <x:c r="X966" s="75"/>
      <x:c r="Y966" s="75"/>
      <x:c r="Z966" s="75"/>
      <x:c r="AA966" s="75"/>
      <x:c r="AB966" s="75"/>
      <x:c r="AC966" s="78"/>
      <x:c r="AD966" s="75"/>
      <x:c r="AE966" s="75"/>
      <x:c r="AF966" s="75"/>
      <x:c r="AG966" s="75"/>
      <x:c r="AH966" s="75"/>
      <x:c r="AI966" s="75"/>
    </x:row>
    <x:row r="967">
      <x:c r="A967" s="75"/>
      <x:c r="B967" s="75"/>
      <x:c r="C967" s="75"/>
      <x:c r="D967" s="75"/>
      <x:c r="E967" s="75"/>
      <x:c r="F967" s="75"/>
      <x:c r="G967" s="75"/>
      <x:c r="H967" s="75"/>
      <x:c r="I967" s="75"/>
      <x:c r="J967" s="75"/>
      <x:c r="K967" s="75"/>
      <x:c r="L967" s="75"/>
      <x:c r="M967" s="75"/>
      <x:c r="N967" s="75"/>
      <x:c r="O967" s="75"/>
      <x:c r="P967" s="75"/>
      <x:c r="Q967" s="75"/>
      <x:c r="R967" s="75"/>
      <x:c r="S967" s="75"/>
      <x:c r="T967" s="75"/>
      <x:c r="U967" s="75"/>
      <x:c r="V967" s="75"/>
      <x:c r="W967" s="75"/>
      <x:c r="X967" s="75"/>
      <x:c r="Y967" s="75"/>
      <x:c r="Z967" s="75"/>
      <x:c r="AA967" s="75"/>
      <x:c r="AB967" s="75"/>
      <x:c r="AC967" s="78"/>
      <x:c r="AD967" s="75"/>
      <x:c r="AE967" s="75"/>
      <x:c r="AF967" s="75"/>
      <x:c r="AG967" s="75"/>
      <x:c r="AH967" s="75"/>
      <x:c r="AI967" s="75"/>
    </x:row>
    <x:row r="968">
      <x:c r="A968" s="75"/>
      <x:c r="B968" s="75"/>
      <x:c r="C968" s="75"/>
      <x:c r="D968" s="75"/>
      <x:c r="E968" s="75"/>
      <x:c r="F968" s="75"/>
      <x:c r="G968" s="75"/>
      <x:c r="H968" s="75"/>
      <x:c r="I968" s="75"/>
      <x:c r="J968" s="75"/>
      <x:c r="K968" s="75"/>
      <x:c r="L968" s="75"/>
      <x:c r="M968" s="75"/>
      <x:c r="N968" s="75"/>
      <x:c r="O968" s="75"/>
      <x:c r="P968" s="75"/>
      <x:c r="Q968" s="75"/>
      <x:c r="R968" s="75"/>
      <x:c r="S968" s="75"/>
      <x:c r="T968" s="75"/>
      <x:c r="U968" s="75"/>
      <x:c r="V968" s="75"/>
      <x:c r="W968" s="75"/>
      <x:c r="X968" s="75"/>
      <x:c r="Y968" s="75"/>
      <x:c r="Z968" s="75"/>
      <x:c r="AA968" s="75"/>
      <x:c r="AB968" s="75"/>
      <x:c r="AC968" s="78"/>
      <x:c r="AD968" s="75"/>
      <x:c r="AE968" s="75"/>
      <x:c r="AF968" s="75"/>
      <x:c r="AG968" s="75"/>
      <x:c r="AH968" s="75"/>
      <x:c r="AI968" s="75"/>
    </x:row>
    <x:row r="971">
      <x:c r="A971" s="82"/>
      <x:c r="B971" s="82"/>
      <x:c r="C971" s="82"/>
      <x:c r="D971" s="82"/>
      <x:c r="E971" s="82"/>
      <x:c r="F971" s="82"/>
      <x:c r="G971" s="82"/>
      <x:c r="H971" s="82"/>
      <x:c r="I971" s="82"/>
      <x:c r="J971" s="82"/>
      <x:c r="K971" s="82"/>
      <x:c r="L971" s="82"/>
      <x:c r="M971" s="82"/>
      <x:c r="N971" s="82"/>
      <x:c r="O971" s="82"/>
      <x:c r="P971" s="82"/>
      <x:c r="Q971" s="82"/>
      <x:c r="R971" s="82"/>
      <x:c r="S971" s="82"/>
      <x:c r="T971" s="82"/>
      <x:c r="U971" s="82"/>
      <x:c r="V971" s="82"/>
      <x:c r="W971" s="82"/>
      <x:c r="X971" s="82"/>
      <x:c r="Y971" s="82"/>
      <x:c r="Z971" s="82"/>
      <x:c r="AA971" s="82"/>
    </x:row>
    <x:row r="972">
      <x:c r="A972" s="85"/>
      <x:c r="B972" s="85"/>
      <x:c r="C972" s="85"/>
      <x:c r="D972" s="85"/>
      <x:c r="E972" s="85"/>
      <x:c r="F972" s="85"/>
      <x:c r="G972" s="85"/>
      <x:c r="H972" s="85"/>
      <x:c r="I972" s="85"/>
      <x:c r="J972" s="85"/>
      <x:c r="K972" s="85"/>
      <x:c r="L972" s="85"/>
      <x:c r="M972" s="85"/>
      <x:c r="N972" s="85"/>
      <x:c r="O972" s="85"/>
      <x:c r="P972" s="85"/>
      <x:c r="Q972" s="85"/>
      <x:c r="R972" s="85"/>
      <x:c r="S972" s="85"/>
      <x:c r="T972" s="85"/>
      <x:c r="U972" s="85"/>
      <x:c r="V972" s="85"/>
      <x:c r="W972" s="85"/>
      <x:c r="X972" s="85"/>
      <x:c r="Y972" s="85"/>
      <x:c r="Z972" s="85"/>
      <x:c r="AA972" s="85"/>
    </x:row>
    <x:row r="973">
      <x:c r="A973" s="74"/>
      <x:c r="B973" s="74"/>
      <x:c r="C973" s="74"/>
      <x:c r="D973" s="74"/>
      <x:c r="E973" s="74"/>
      <x:c r="F973" s="74"/>
      <x:c r="G973" s="74"/>
      <x:c r="H973" s="74"/>
      <x:c r="I973" s="74"/>
      <x:c r="J973" s="74"/>
      <x:c r="K973" s="74"/>
      <x:c r="L973" s="74"/>
      <x:c r="M973" s="74"/>
      <x:c r="N973" s="74"/>
      <x:c r="O973" s="74"/>
      <x:c r="P973" s="74"/>
      <x:c r="Q973" s="74"/>
      <x:c r="R973" s="74"/>
      <x:c r="S973" s="74"/>
      <x:c r="T973" s="74"/>
      <x:c r="U973" s="74"/>
      <x:c r="V973" s="74"/>
      <x:c r="W973" s="74"/>
      <x:c r="X973" s="74"/>
      <x:c r="Y973" s="74"/>
      <x:c r="Z973" s="74"/>
      <x:c r="AA973" s="74"/>
    </x:row>
    <x:row r="974">
      <x:c r="A974" s="74"/>
      <x:c r="B974" s="74"/>
      <x:c r="C974" s="74"/>
      <x:c r="D974" s="74"/>
      <x:c r="E974" s="74"/>
      <x:c r="F974" s="74"/>
      <x:c r="G974" s="74"/>
      <x:c r="H974" s="74"/>
      <x:c r="I974" s="74"/>
      <x:c r="J974" s="74"/>
      <x:c r="K974" s="74"/>
      <x:c r="L974" s="74"/>
      <x:c r="M974" s="74"/>
      <x:c r="N974" s="74"/>
      <x:c r="O974" s="74"/>
      <x:c r="P974" s="74"/>
      <x:c r="Q974" s="74"/>
      <x:c r="R974" s="74"/>
      <x:c r="S974" s="74"/>
      <x:c r="T974" s="74"/>
      <x:c r="U974" s="74"/>
      <x:c r="V974" s="74"/>
      <x:c r="W974" s="74"/>
      <x:c r="X974" s="74"/>
      <x:c r="Y974" s="74"/>
      <x:c r="Z974" s="74"/>
      <x:c r="AA974" s="74"/>
    </x:row>
    <x:row r="975">
      <x:c r="A975" s="74"/>
      <x:c r="B975" s="74"/>
      <x:c r="C975" s="74"/>
      <x:c r="D975" s="74"/>
      <x:c r="E975" s="74"/>
      <x:c r="F975" s="74"/>
      <x:c r="G975" s="74"/>
      <x:c r="H975" s="74"/>
      <x:c r="I975" s="74"/>
      <x:c r="J975" s="74"/>
      <x:c r="K975" s="74"/>
      <x:c r="L975" s="74"/>
      <x:c r="M975" s="74"/>
      <x:c r="N975" s="74"/>
      <x:c r="O975" s="74"/>
      <x:c r="P975" s="74"/>
      <x:c r="Q975" s="74"/>
      <x:c r="R975" s="74"/>
      <x:c r="S975" s="74"/>
      <x:c r="T975" s="74"/>
      <x:c r="U975" s="74"/>
      <x:c r="V975" s="74"/>
      <x:c r="W975" s="74"/>
      <x:c r="X975" s="74"/>
      <x:c r="Y975" s="74"/>
      <x:c r="Z975" s="74"/>
      <x:c r="AA975" s="74"/>
    </x:row>
    <x:row r="976">
      <x:c r="A976" s="74"/>
      <x:c r="B976" s="74"/>
      <x:c r="C976" s="74"/>
      <x:c r="D976" s="74"/>
      <x:c r="E976" s="74"/>
      <x:c r="F976" s="74"/>
      <x:c r="G976" s="74"/>
      <x:c r="H976" s="74"/>
      <x:c r="I976" s="74"/>
      <x:c r="J976" s="74"/>
      <x:c r="K976" s="74"/>
      <x:c r="L976" s="74"/>
      <x:c r="M976" s="74"/>
      <x:c r="N976" s="74"/>
      <x:c r="O976" s="74"/>
      <x:c r="P976" s="74"/>
      <x:c r="Q976" s="74"/>
      <x:c r="R976" s="74"/>
      <x:c r="S976" s="74"/>
      <x:c r="T976" s="74"/>
      <x:c r="U976" s="74"/>
      <x:c r="V976" s="74"/>
      <x:c r="W976" s="74"/>
      <x:c r="X976" s="74"/>
      <x:c r="Y976" s="74"/>
      <x:c r="Z976" s="74"/>
      <x:c r="AA976" s="74"/>
    </x:row>
    <x:row r="977">
      <x:c r="A977" s="74"/>
      <x:c r="B977" s="74"/>
      <x:c r="C977" s="74"/>
      <x:c r="D977" s="74"/>
      <x:c r="E977" s="74"/>
      <x:c r="F977" s="74"/>
      <x:c r="G977" s="74"/>
      <x:c r="H977" s="74"/>
      <x:c r="I977" s="74"/>
      <x:c r="J977" s="74"/>
      <x:c r="K977" s="74"/>
      <x:c r="L977" s="74"/>
      <x:c r="M977" s="74"/>
      <x:c r="N977" s="74"/>
      <x:c r="O977" s="74"/>
      <x:c r="P977" s="74"/>
      <x:c r="Q977" s="74"/>
      <x:c r="R977" s="74"/>
      <x:c r="S977" s="74"/>
      <x:c r="T977" s="74"/>
      <x:c r="U977" s="74"/>
      <x:c r="V977" s="74"/>
      <x:c r="W977" s="74"/>
      <x:c r="X977" s="74"/>
      <x:c r="Y977" s="74"/>
      <x:c r="Z977" s="74"/>
      <x:c r="AA977" s="74"/>
    </x:row>
    <x:row r="980">
      <x:c r="A980" s="82"/>
      <x:c r="B980" s="82"/>
      <x:c r="C980" s="82"/>
      <x:c r="D980" s="82"/>
    </x:row>
    <x:row r="981">
      <x:c r="A981" s="85"/>
      <x:c r="B981" s="85"/>
      <x:c r="C981" s="85"/>
      <x:c r="D981" s="85"/>
    </x:row>
    <x:row r="982">
      <x:c r="A982" s="74"/>
      <x:c r="B982" s="74"/>
      <x:c r="C982" s="74"/>
      <x:c r="D982" s="74"/>
    </x:row>
    <x:row r="983">
      <x:c r="A983" s="74"/>
      <x:c r="B983" s="74"/>
      <x:c r="C983" s="74"/>
      <x:c r="D983" s="74"/>
    </x:row>
    <x:row r="984">
      <x:c r="A984" s="74"/>
      <x:c r="B984" s="74"/>
      <x:c r="C984" s="74"/>
      <x:c r="D984" s="74"/>
    </x:row>
    <x:row r="985">
      <x:c r="A985" s="74"/>
      <x:c r="B985" s="74"/>
      <x:c r="C985" s="74"/>
      <x:c r="D985" s="74"/>
    </x:row>
    <x:row r="986">
      <x:c r="A986" s="74"/>
      <x:c r="B986" s="74"/>
      <x:c r="C986" s="74"/>
      <x:c r="D986" s="74"/>
    </x:row>
    <x:row r="987">
      <x:c r="A987" s="74"/>
      <x:c r="B987" s="74"/>
      <x:c r="C987" s="74"/>
      <x:c r="D987" s="74"/>
    </x:row>
    <x:row r="988">
      <x:c r="A988" s="74"/>
      <x:c r="B988" s="74"/>
      <x:c r="C988" s="74"/>
      <x:c r="D988" s="74"/>
    </x:row>
    <x:row r="989">
      <x:c r="A989" s="74"/>
      <x:c r="B989" s="74"/>
      <x:c r="C989" s="74"/>
      <x:c r="D989" s="74"/>
    </x:row>
    <x:row r="990">
      <x:c r="A990" s="74"/>
      <x:c r="B990" s="74"/>
      <x:c r="C990" s="74"/>
      <x:c r="D990" s="74"/>
    </x:row>
    <x:row r="991">
      <x:c r="A991" s="74"/>
      <x:c r="B991" s="74"/>
      <x:c r="C991" s="74"/>
      <x:c r="D991" s="74"/>
    </x:row>
    <x:row r="992">
      <x:c r="A992" s="74"/>
      <x:c r="B992" s="74"/>
      <x:c r="C992" s="74"/>
      <x:c r="D992" s="74"/>
    </x:row>
    <x:row r="993">
      <x:c r="A993" s="74"/>
      <x:c r="B993" s="74"/>
      <x:c r="C993" s="74"/>
      <x:c r="D993" s="74"/>
    </x:row>
    <x:row r="994">
      <x:c r="A994" s="74"/>
      <x:c r="B994" s="74"/>
      <x:c r="C994" s="74"/>
      <x:c r="D994" s="74"/>
    </x:row>
    <x:row r="995">
      <x:c r="A995" s="74"/>
      <x:c r="B995" s="74"/>
      <x:c r="C995" s="74"/>
      <x:c r="D995" s="74"/>
    </x:row>
    <x:row r="996">
      <x:c r="A996" s="74"/>
      <x:c r="B996" s="74"/>
      <x:c r="C996" s="74"/>
      <x:c r="D996" s="74"/>
    </x:row>
    <x:row r="997">
      <x:c r="A997" s="74"/>
      <x:c r="B997" s="74"/>
      <x:c r="C997" s="74"/>
      <x:c r="D997" s="74"/>
    </x:row>
    <x:row r="998">
      <x:c r="A998" s="74"/>
      <x:c r="B998" s="74"/>
      <x:c r="C998" s="74"/>
      <x:c r="D998" s="74"/>
    </x:row>
  </x:sheetData>
  <x:mergeCells>
    <x:mergeCell ref="A971:AA971"/>
    <x:mergeCell ref="A980:D980"/>
    <x:mergeCell ref="A1:AI1"/>
  </x:mergeCells>
  <x:pageMargins left="0.7" right="0.7" top="0.75" bottom="0.75" header="0.3" footer="0.3"/>
</x:worksheet>
</file>