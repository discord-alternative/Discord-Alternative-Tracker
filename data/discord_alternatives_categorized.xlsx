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ables/table1.xml" ContentType="application/vnd.openxmlformats-officedocument.spreadsheetml.table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ables/table2.xml" ContentType="application/vnd.openxmlformats-officedocument.spreadsheetml.table+xml"/>
  <Override PartName="/xl/worksheets/sheet43.xml" ContentType="application/vnd.openxmlformats-officedocument.spreadsheetml.worksheet+xml"/>
  <Override PartName="/xl/tables/table3.xml" ContentType="application/vnd.openxmlformats-officedocument.spreadsheetml.table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291526c8164e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 Directory" sheetId="47" r:id="R63cdff2b8a754a08"/>
    <x:sheet xmlns:r="http://schemas.openxmlformats.org/officeDocument/2006/relationships" name="At a Glance" sheetId="20" r:id="Rfa83d82025a24a99"/>
    <x:sheet xmlns:r="http://schemas.openxmlformats.org/officeDocument/2006/relationships" name="Comparison Guide" sheetId="42" r:id="Rc16128fbe3fe4e0d"/>
    <x:sheet xmlns:r="http://schemas.openxmlformats.org/officeDocument/2006/relationships" name="Core Features" sheetId="1" r:id="R21363aa38c044ece"/>
    <x:sheet xmlns:r="http://schemas.openxmlformats.org/officeDocument/2006/relationships" name="Basic Features" sheetId="2" r:id="R45bf4312ca054265"/>
    <x:sheet xmlns:r="http://schemas.openxmlformats.org/officeDocument/2006/relationships" name="Advanced Features" sheetId="3" r:id="Rdf453bb85a124fbc"/>
    <x:sheet xmlns:r="http://schemas.openxmlformats.org/officeDocument/2006/relationships" name="Channel Types" sheetId="6" r:id="R0e9bd01a1d604931"/>
    <x:sheet xmlns:r="http://schemas.openxmlformats.org/officeDocument/2006/relationships" name="Extra Features" sheetId="4" r:id="Re3394a3821604575"/>
    <x:sheet xmlns:r="http://schemas.openxmlformats.org/officeDocument/2006/relationships" name="Embedded Apps" sheetId="46" r:id="R06300d4e6e484e66"/>
    <x:sheet xmlns:r="http://schemas.openxmlformats.org/officeDocument/2006/relationships" name="Community Limits" sheetId="34" r:id="R82bd3419f63c4d74"/>
    <x:sheet xmlns:r="http://schemas.openxmlformats.org/officeDocument/2006/relationships" name="Voice &amp; Audio" sheetId="9" r:id="R39f1025fe88442b6"/>
    <x:sheet xmlns:r="http://schemas.openxmlformats.org/officeDocument/2006/relationships" name="Voice Quality Detail" sheetId="31" r:id="Rb93d4cd86e094df1"/>
    <x:sheet xmlns:r="http://schemas.openxmlformats.org/officeDocument/2006/relationships" name="Video &amp; Screen Sharing" sheetId="10" r:id="Rc9635fe5d8c443c7"/>
    <x:sheet xmlns:r="http://schemas.openxmlformats.org/officeDocument/2006/relationships" name="Screen Share Detail" sheetId="30" r:id="Rc90eb3b2db06499a"/>
    <x:sheet xmlns:r="http://schemas.openxmlformats.org/officeDocument/2006/relationships" name="Media &amp; Limits" sheetId="25" r:id="R13d3eb5e78e541dd"/>
    <x:sheet xmlns:r="http://schemas.openxmlformats.org/officeDocument/2006/relationships" name="Files &amp; Storage" sheetId="32" r:id="R841de8c828284138"/>
    <x:sheet xmlns:r="http://schemas.openxmlformats.org/officeDocument/2006/relationships" name="Platform Model &amp; Ecosystem" sheetId="22" r:id="R7a1773ecf49445df"/>
    <x:sheet xmlns:r="http://schemas.openxmlformats.org/officeDocument/2006/relationships" name="Architecture &amp; Licensing" sheetId="8" r:id="R2507857c4c2b42f9"/>
    <x:sheet xmlns:r="http://schemas.openxmlformats.org/officeDocument/2006/relationships" name="Deployment Detail" sheetId="35" r:id="R630fb1eb262d46ce"/>
    <x:sheet xmlns:r="http://schemas.openxmlformats.org/officeDocument/2006/relationships" name="Client &amp; Distribution" sheetId="24" r:id="Rb9bdf856560b468f"/>
    <x:sheet xmlns:r="http://schemas.openxmlformats.org/officeDocument/2006/relationships" name="Performance &amp; Client Stack" sheetId="13" r:id="R65f8409d6e3a4adf"/>
    <x:sheet xmlns:r="http://schemas.openxmlformats.org/officeDocument/2006/relationships" name="Accounts &amp; Identity" sheetId="33" r:id="R1f1229c5db654e38"/>
    <x:sheet xmlns:r="http://schemas.openxmlformats.org/officeDocument/2006/relationships" name="Portability &amp; Bridging" sheetId="14" r:id="R52ae68659a454e14"/>
    <x:sheet xmlns:r="http://schemas.openxmlformats.org/officeDocument/2006/relationships" name="Interop &amp; Portability Details" sheetId="26" r:id="Rc3dfa08dfc694dc7"/>
    <x:sheet xmlns:r="http://schemas.openxmlformats.org/officeDocument/2006/relationships" name="Security &amp; Privacy" sheetId="11" r:id="R987b77731fb54a24"/>
    <x:sheet xmlns:r="http://schemas.openxmlformats.org/officeDocument/2006/relationships" name="Encryption Details" sheetId="23" r:id="R91dca74379994296"/>
    <x:sheet xmlns:r="http://schemas.openxmlformats.org/officeDocument/2006/relationships" name="Security Matrix" sheetId="36" r:id="Rf55a8b24672d4dc0"/>
    <x:sheet xmlns:r="http://schemas.openxmlformats.org/officeDocument/2006/relationships" name="Security History &amp; Audits" sheetId="12" r:id="R51002ed394354ab2"/>
    <x:sheet xmlns:r="http://schemas.openxmlformats.org/officeDocument/2006/relationships" name="Moderation &amp; Safety" sheetId="16" r:id="Ra3881b231bfb4d93"/>
    <x:sheet xmlns:r="http://schemas.openxmlformats.org/officeDocument/2006/relationships" name="Moderation Detail" sheetId="37" r:id="R43cc72b94f944985"/>
    <x:sheet xmlns:r="http://schemas.openxmlformats.org/officeDocument/2006/relationships" name="Project Origin &amp; Longevity" sheetId="7" r:id="Rd907232637af420b"/>
    <x:sheet xmlns:r="http://schemas.openxmlformats.org/officeDocument/2006/relationships" name="Project &amp; Maintenance" sheetId="39" r:id="Rfe7905bb00364699"/>
    <x:sheet xmlns:r="http://schemas.openxmlformats.org/officeDocument/2006/relationships" name="Maintenance &amp; Updates" sheetId="15" r:id="R810cc799a7f24d13"/>
    <x:sheet xmlns:r="http://schemas.openxmlformats.org/officeDocument/2006/relationships" name="Developer Extensibility" sheetId="17" r:id="R22fe326658ba4bf6"/>
    <x:sheet xmlns:r="http://schemas.openxmlformats.org/officeDocument/2006/relationships" name="Developer API Detail" sheetId="38" r:id="Rfde7d5eb7a224f6a"/>
    <x:sheet xmlns:r="http://schemas.openxmlformats.org/officeDocument/2006/relationships" name="AI Policy &amp; Transparency" sheetId="18" r:id="R661bb816b5da4173"/>
    <x:sheet xmlns:r="http://schemas.openxmlformats.org/officeDocument/2006/relationships" name="AI &amp; Data Use Detail" sheetId="40" r:id="R3c4685bc026d4b9b"/>
    <x:sheet xmlns:r="http://schemas.openxmlformats.org/officeDocument/2006/relationships" name="Business Model &amp; Sustainability" sheetId="19" r:id="R8ac74f00a2704777"/>
    <x:sheet xmlns:r="http://schemas.openxmlformats.org/officeDocument/2006/relationships" name="Pricing Summary" sheetId="43" r:id="Rbc17e303daac4a68"/>
    <x:sheet xmlns:r="http://schemas.openxmlformats.org/officeDocument/2006/relationships" name="Pricing &amp; Tiers" sheetId="29" r:id="R88f65ec801ae40b2"/>
    <x:sheet xmlns:r="http://schemas.openxmlformats.org/officeDocument/2006/relationships" name="Feature Entitlements" sheetId="41" r:id="Rc4885d5c44bd48ad"/>
    <x:sheet xmlns:r="http://schemas.openxmlformats.org/officeDocument/2006/relationships" name="Monetization Detail" sheetId="44" r:id="R657d1d90e3d14bc9"/>
    <x:sheet xmlns:r="http://schemas.openxmlformats.org/officeDocument/2006/relationships" name="Terms &amp; Privacy" sheetId="45" r:id="R7248be570707486e"/>
    <x:sheet xmlns:r="http://schemas.openxmlformats.org/officeDocument/2006/relationships" name="Discord Sources" sheetId="21" r:id="R07ac2cecd06e4628"/>
    <x:sheet xmlns:r="http://schemas.openxmlformats.org/officeDocument/2006/relationships" name="Research Sources" sheetId="27" r:id="R163a8e960b3546aa"/>
    <x:sheet xmlns:r="http://schemas.openxmlformats.org/officeDocument/2006/relationships" name="Subreddit Discovery" sheetId="28" r:id="R5d4556b4d87a4f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23">
    <x:font>
      <x:sz val="11"/>
      <x:color theme="1"/>
      <x:name val="Aptos Narrow"/>
    </x:font>
    <x:font>
      <x:b/>
      <x:sz val="12"/>
      <x:color rgb="FFFFFFFF"/>
      <x:name val="Aptos Narrow"/>
    </x:font>
    <x:font>
      <x:b/>
      <x:sz val="10"/>
      <x:color rgb="FF1F1F1F"/>
      <x:name val="Aptos Narrow"/>
    </x:font>
    <x:font>
      <x:b/>
      <x:sz val="14"/>
      <x:color rgb="FFFFFFFF"/>
      <x:name val="Aptos Narrow"/>
    </x:font>
    <x:font>
      <x:b/>
      <x:sz val="11"/>
      <x:color rgb="FF1F4E78"/>
      <x:name val="Aptos Narrow"/>
    </x:font>
    <x:font>
      <x:b/>
      <x:sz val="11"/>
      <x:color rgb="FF222222"/>
      <x:name val="Aptos Narrow"/>
    </x:font>
    <x:font>
      <x:b/>
      <x:sz val="11"/>
      <x:color rgb="FF1F1F1F"/>
      <x:name val="Aptos Narrow"/>
    </x:font>
    <x:font>
      <x:b/>
      <x:sz val="11"/>
      <x:color theme="1"/>
      <x:name val="Aptos Narrow"/>
    </x:font>
    <x:font>
      <x:b/>
      <x:sz val="10"/>
      <x:color rgb="FF1F4E78"/>
      <x:name val="Aptos Narrow"/>
    </x:font>
    <x:font>
      <x:b/>
      <x:sz val="11"/>
      <x:color rgb="FFFFFFFF"/>
      <x:name val="Aptos Narrow"/>
    </x:font>
    <x:font>
      <x:b/>
      <x:sz val="15"/>
      <x:color rgb="FFFFFFFF"/>
      <x:name val="Aptos Narrow"/>
    </x:font>
    <x:font>
      <x:b/>
      <x:sz val="10"/>
      <x:color rgb="FFFFFFFF"/>
      <x:name val="Aptos Narrow"/>
    </x:font>
    <x:font>
      <x:b/>
      <x:sz val="10"/>
      <x:color rgb="FF1F2933"/>
      <x:name val="Aptos Narrow"/>
    </x:font>
    <x:font>
      <x:sz val="10"/>
      <x:color rgb="FF1F2933"/>
      <x:name val="Aptos Narrow"/>
    </x:font>
    <x:font>
      <x:b/>
      <x:sz val="11"/>
      <x:color rgb="FF17365D"/>
      <x:name val="Aptos Narrow"/>
    </x:font>
    <x:font>
      <x:b/>
      <x:sz val="10"/>
      <x:color rgb="FF17365D"/>
      <x:name val="Aptos Narrow"/>
    </x:font>
    <x:font>
      <x:b/>
      <x:sz val="10"/>
      <x:color rgb="FF17212B"/>
      <x:name val="Aptos"/>
    </x:font>
    <x:font>
      <x:sz val="10"/>
      <x:color rgb="FF17212B"/>
      <x:name val="Aptos"/>
    </x:font>
    <x:font>
      <x:b/>
      <x:sz val="15"/>
      <x:color rgb="FFFFFFFF"/>
      <x:name val="Aptos"/>
    </x:font>
    <x:font>
      <x:b/>
      <x:sz val="10"/>
      <x:color rgb="FFFFFFFF"/>
      <x:name val="Aptos"/>
    </x:font>
    <x:font>
      <x:b/>
      <x:sz val="11"/>
      <x:color rgb="FF173B57"/>
      <x:name val="Aptos"/>
    </x:font>
    <x:font>
      <x:b/>
      <x:sz val="14"/>
      <x:color rgb="FFFFFFFF"/>
      <x:name val="Aptos"/>
    </x:font>
    <x:font>
      <x:b/>
      <x:sz val="16"/>
      <x:color rgb="FFFFFFFF"/>
      <x:name val="Aptos Narrow"/>
    </x:font>
  </x:fonts>
  <x:fills count="3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0F5"/>
      </x:patternFill>
    </x:fill>
    <x:fill>
      <x:patternFill patternType="solid">
        <x:fgColor rgb="FFF7F9FB"/>
      </x:patternFill>
    </x:fill>
    <x:fill>
      <x:patternFill patternType="solid">
        <x:fgColor rgb="FF5865F2"/>
      </x:patternFill>
    </x:fill>
    <x:fill>
      <x:patternFill patternType="solid">
        <x:fgColor rgb="FFE8EAE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0F5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0F5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F7FAFC"/>
      </x:patternFill>
    </x:fill>
    <x:fill>
      <x:patternFill patternType="solid">
        <x:fgColor rgb="FFF4F7FA"/>
      </x:patternFill>
    </x:fill>
    <x:fill>
      <x:patternFill patternType="solid">
        <x:fgColor rgb="FFEAF2F8"/>
      </x:patternFill>
    </x:fill>
    <x:fill>
      <x:patternFill patternType="solid">
        <x:fgColor rgb="FFC9DFF0"/>
      </x:patternFill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C9DFF0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EEF7FA"/>
      </x:patternFill>
    </x:fill>
    <x:fill>
      <x:patternFill patternType="solid">
        <x:fgColor rgb="FF1D6F8A"/>
      </x:patternFill>
    </x:fill>
    <x:fill>
      <x:patternFill patternType="solid">
        <x:fgColor rgb="FFD9EAF7"/>
      </x:patternFill>
    </x:fill>
    <x:fill>
      <x:patternFill patternType="solid">
        <x:fgColor rgb="FFE7F1FF"/>
      </x:patternFill>
    </x:fill>
    <x:fill>
      <x:patternFill patternType="solid">
        <x:fgColor rgb="FFE6F4EA"/>
      </x:patternFill>
    </x:fill>
    <x:fill>
      <x:patternFill patternType="solid">
        <x:fgColor rgb="FFF2E8FF"/>
      </x:patternFill>
    </x:fill>
    <x:fill>
      <x:patternFill patternType="solid">
        <x:fgColor rgb="FFFDECEC"/>
      </x:patternFill>
    </x:fill>
    <x:fill>
      <x:patternFill patternType="solid">
        <x:fgColor rgb="FFFFF4DE"/>
      </x:patternFill>
    </x:fill>
    <x:fill>
      <x:patternFill patternType="solid">
        <x:fgColor rgb="FFE8F5F5"/>
      </x:patternFill>
    </x:fill>
    <x:fill>
      <x:patternFill patternType="solid">
        <x:fgColor rgb="FFEEF0F3"/>
      </x:patternFill>
    </x:fill>
  </x:fills>
  <x:borders count="19">
    <x:border/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top style="thin">
        <x:color rgb="FFB7C5D1"/>
      </x:top>
      <x:bottom style="thin">
        <x:color rgb="FFB7C5D1"/>
      </x:bottom>
    </x:border>
    <x:border>
      <x:right style="thin">
        <x:color rgb="FFD9DEE3"/>
      </x:right>
      <x:bottom style="thin">
        <x:color rgb="FFD9DEE3"/>
      </x:bottom>
    </x:border>
    <x:border>
      <x:bottom style="thin">
        <x:color rgb="FFE5E8EB"/>
      </x:bottom>
    </x:border>
    <x:border>
      <x:right style="thin">
        <x:color rgb="FFE5E8EB"/>
      </x:right>
      <x:bottom style="thin">
        <x:color rgb="FFE5E8EB"/>
      </x:bottom>
    </x:border>
    <x:border>
      <x:left style="thin">
        <x:color rgb="FFC7D3DD"/>
      </x:left>
      <x:top style="thin">
        <x:color rgb="FFC7D3DD"/>
      </x:top>
      <x:bottom style="thin">
        <x:color rgb="FFC7D3DD"/>
      </x:bottom>
    </x:border>
    <x:border>
      <x:top style="thin">
        <x:color rgb="FFC7D3DD"/>
      </x:top>
      <x:bottom style="thin">
        <x:color rgb="FFC7D3DD"/>
      </x:bottom>
    </x:border>
    <x:border>
      <x:right style="thin">
        <x:color rgb="FFC7D3DD"/>
      </x:right>
      <x:top style="thin">
        <x:color rgb="FFC7D3DD"/>
      </x:top>
      <x:bottom style="thin">
        <x:color rgb="FFC7D3DD"/>
      </x:bottom>
    </x:border>
    <x:border>
      <x:top style="thin">
        <x:color rgb="FFB7C5D1"/>
      </x:top>
    </x:border>
    <x:border>
      <x:bottom style="hair">
        <x:color rgb="FFD9E1E7"/>
      </x:bottom>
    </x:border>
    <x:border>
      <x:right style="thin">
        <x:color rgb="FFD9DEE3"/>
      </x:right>
      <x:bottom style="hair">
        <x:color rgb="FFD9E1E7"/>
      </x:bottom>
    </x:border>
    <x:border>
      <x:right style="thin">
        <x:color rgb="FFE5E8EB"/>
      </x:right>
      <x:bottom style="hair">
        <x:color rgb="FFD9E1E7"/>
      </x:bottom>
    </x:border>
    <x:border>
      <x:right style="thin">
        <x:color rgb="FFD9DEE3"/>
      </x:right>
    </x:border>
    <x:border>
      <x:top style="thin">
        <x:color rgb="FFB9C9D6"/>
      </x:top>
      <x:bottom style="thin">
        <x:color rgb="FFB9C9D6"/>
      </x:bottom>
    </x:border>
    <x:border>
      <x:top style="thin">
        <x:color rgb="FF8FAFC5"/>
      </x:top>
      <x:bottom style="thin">
        <x:color rgb="FF8FAFC5"/>
      </x:bottom>
    </x:border>
  </x:borders>
  <x:cellStyleXfs count="1">
    <x:xf numFmtId="0" fontId="0" fillId="0" borderId="0"/>
  </x:cellStyleXfs>
  <x:cellXfs count="526">
    <x:xf numFmtId="0" fontId="0" fillId="0" borderId="0" xfId="0"/>
    <x:xf numFmtId="0" fontId="0" fillId="0" borderId="0" xfId="0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2" fillId="5" borderId="2" xfId="0" applyNumberFormat="1" applyFont="1" applyFill="1" applyBorder="1" applyAlignment="1">
      <x:alignment horizontal="center" vertical="center" wrapText="1"/>
    </x:xf>
    <x:xf numFmtId="0" fontId="2" fillId="5" borderId="3" xfId="0" applyNumberFormat="1" applyFont="1" applyFill="1" applyBorder="1" applyAlignment="1">
      <x:alignment horizontal="center" vertical="center" wrapText="1"/>
    </x:xf>
    <x:xf numFmtId="0" fontId="2" fillId="5" borderId="4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5" xfId="0" applyNumberFormat="1" applyFont="1" applyFill="1" applyBorder="1" applyAlignment="1">
      <x:alignment vertical="top" wrapText="1"/>
    </x:xf>
    <x:xf numFmtId="0" fontId="4" fillId="6" borderId="5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7" borderId="6" xfId="0" applyNumberFormat="1" applyFont="1" applyFill="1" applyBorder="1" applyAlignment="1">
      <x:alignment vertical="top" wrapText="1"/>
    </x:xf>
    <x:xf numFmtId="0" fontId="5" fillId="7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left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5" xfId="0" applyNumberFormat="1" applyFont="1" applyFill="1" applyBorder="1"/>
    <x:xf numFmtId="0" fontId="4" fillId="6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6" xfId="0" applyNumberFormat="1" applyFont="1" applyFill="1" applyBorder="1"/>
    <x:xf numFmtId="0" fontId="5" fillId="7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left" vertical="center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left"/>
    </x:xf>
    <x:xf numFmtId="0" fontId="6" fillId="3" borderId="0" xfId="0" applyNumberFormat="1" applyFont="1" applyFill="1" applyBorder="1"/>
    <x:xf numFmtId="0" fontId="6" fillId="3" borderId="2" xfId="0" applyNumberFormat="1" applyFont="1" applyFill="1" applyBorder="1"/>
    <x:xf numFmtId="0" fontId="6" fillId="3" borderId="3" xfId="0" applyNumberFormat="1" applyFont="1" applyFill="1" applyBorder="1"/>
    <x:xf numFmtId="0" fontId="6" fillId="3" borderId="4" xfId="0" applyNumberFormat="1" applyFont="1" applyFill="1" applyBorder="1"/>
    <x:xf numFmtId="0" fontId="6" fillId="3" borderId="2" xfId="0" applyNumberFormat="1" applyFont="1" applyFill="1" applyBorder="1" applyAlignment="1">
      <x:alignment wrapText="1"/>
    </x:xf>
    <x:xf numFmtId="0" fontId="6" fillId="3" borderId="3" xfId="0" applyNumberFormat="1" applyFont="1" applyFill="1" applyBorder="1" applyAlignment="1">
      <x:alignment wrapText="1"/>
    </x:xf>
    <x:xf numFmtId="0" fontId="6" fillId="3" borderId="4" xfId="0" applyNumberFormat="1" applyFont="1" applyFill="1" applyBorder="1" applyAlignment="1">
      <x:alignment wrapText="1"/>
    </x:xf>
    <x:xf numFmtId="0" fontId="6" fillId="3" borderId="2" xfId="0" applyNumberFormat="1" applyFont="1" applyFill="1" applyBorder="1" applyAlignment="1">
      <x:alignment horizontal="center" wrapText="1"/>
    </x:xf>
    <x:xf numFmtId="0" fontId="6" fillId="3" borderId="3" xfId="0" applyNumberFormat="1" applyFont="1" applyFill="1" applyBorder="1" applyAlignment="1">
      <x:alignment horizontal="center" wrapText="1"/>
    </x:xf>
    <x:xf numFmtId="0" fontId="6" fillId="3" borderId="4" xfId="0" applyNumberFormat="1" applyFont="1" applyFill="1" applyBorder="1" applyAlignment="1">
      <x:alignment horizontal="center" wrapText="1"/>
    </x:xf>
    <x:xf numFmtId="0" fontId="6" fillId="3" borderId="2" xfId="0" applyNumberFormat="1" applyFont="1" applyFill="1" applyBorder="1" applyAlignment="1">
      <x:alignment horizontal="center" vertical="center" wrapText="1"/>
    </x:xf>
    <x:xf numFmtId="0" fontId="6" fillId="3" borderId="3" xfId="0" applyNumberFormat="1" applyFont="1" applyFill="1" applyBorder="1" applyAlignment="1">
      <x:alignment horizontal="center" vertical="center" wrapText="1"/>
    </x:xf>
    <x:xf numFmtId="0" fontId="6" fillId="3" borderId="4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0"/>
    </x:xf>
    <x:xf numFmtId="0" fontId="2" fillId="3" borderId="4" xfId="0" applyNumberFormat="1" applyFont="1" applyFill="1" applyBorder="1" applyAlignment="1">
      <x:alignment horizontal="center" vertical="center" wrapText="0"/>
    </x:xf>
    <x:xf numFmtId="0" fontId="2" fillId="3" borderId="3" xfId="0" applyNumberFormat="1" applyFont="1" applyFill="1" applyBorder="1" applyAlignment="1">
      <x:alignment horizontal="center" vertical="bottom" wrapText="0"/>
    </x:xf>
    <x:xf numFmtId="0" fontId="2" fillId="3" borderId="4" xfId="0" applyNumberFormat="1" applyFont="1" applyFill="1" applyBorder="1" applyAlignment="1">
      <x:alignment horizontal="center" vertical="bottom" wrapText="0"/>
    </x:xf>
    <x:xf numFmtId="0" fontId="2" fillId="3" borderId="0" xfId="0" applyNumberFormat="1" applyFont="1" applyFill="1" applyBorder="1" applyAlignment="1">
      <x:alignment horizontal="center" vertical="center" wrapText="0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horizontal="center" wrapText="0"/>
    </x:xf>
    <x:xf numFmtId="0" fontId="2" fillId="3" borderId="0" xfId="0" applyNumberFormat="1" applyFont="1" applyFill="1" applyBorder="1" applyAlignment="1">
      <x:alignment horizontal="center" vertical="bottom" wrapText="0"/>
    </x:xf>
    <x:xf numFmtId="0" fontId="0" fillId="0" borderId="0" xfId="0" applyNumberFormat="1" applyFont="1" applyFill="1" applyBorder="1" applyAlignment="1">
      <x:alignment horizontal="center" vertical="bottom" wrapText="0"/>
    </x:xf>
    <x:xf numFmtId="0" fontId="6" fillId="3" borderId="3" xfId="0" applyNumberFormat="1" applyFont="1" applyFill="1" applyBorder="1" applyAlignment="1">
      <x:alignment horizontal="center" vertical="center" wrapText="0"/>
    </x:xf>
    <x:xf numFmtId="0" fontId="6" fillId="3" borderId="4" xfId="0" applyNumberFormat="1" applyFont="1" applyFill="1" applyBorder="1" applyAlignment="1">
      <x:alignment horizontal="center" vertical="center" wrapText="0"/>
    </x:xf>
    <x:xf numFmtId="0" fontId="6" fillId="3" borderId="3" xfId="0" applyNumberFormat="1" applyFont="1" applyFill="1" applyBorder="1" applyAlignment="1">
      <x:alignment horizontal="center" vertical="bottom" wrapText="0"/>
    </x:xf>
    <x:xf numFmtId="0" fontId="6" fillId="3" borderId="4" xfId="0" applyNumberFormat="1" applyFont="1" applyFill="1" applyBorder="1" applyAlignment="1">
      <x:alignment horizontal="center" vertical="bottom" wrapText="0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left"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left"/>
    </x:xf>
    <x:xf numFmtId="0" fontId="3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horizontal="left" wrapText="1"/>
    </x:xf>
    <x:xf numFmtId="0" fontId="7" fillId="9" borderId="0" xfId="0" applyNumberFormat="1" applyFont="1" applyFill="1" applyBorder="1" applyAlignment="1">
      <x:alignment horizontal="left" vertical="center" wrapText="1"/>
    </x:xf>
    <x:xf numFmtId="0" fontId="3" fillId="8" borderId="0" xfId="0" applyNumberFormat="1" applyFont="1" applyFill="1" applyBorder="1" applyAlignment="1">
      <x:alignment horizontal="left" vertical="top"/>
    </x:xf>
    <x:xf numFmtId="0" fontId="7" fillId="9" borderId="0" xfId="0" applyNumberFormat="1" applyFont="1" applyFill="1" applyBorder="1" applyAlignment="1">
      <x:alignment horizontal="left"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horizontal="left"/>
    </x:xf>
    <x:xf numFmtId="0" fontId="3" fillId="10" borderId="0" xfId="0" applyNumberFormat="1" applyFont="1" applyFill="1" applyBorder="1" applyAlignment="1">
      <x:alignment horizontal="left"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2" fillId="3" borderId="3" xfId="0" applyNumberFormat="1" applyFont="1" applyFill="1" applyBorder="1" applyAlignment="1">
      <x:alignment horizontal="center" vertical="bottom" wrapText="1"/>
    </x:xf>
    <x:xf numFmtId="0" fontId="2" fillId="3" borderId="4" xfId="0" applyNumberFormat="1" applyFont="1" applyFill="1" applyBorder="1" applyAlignment="1">
      <x:alignment horizontal="center" vertical="bottom" wrapText="1"/>
    </x:xf>
    <x:xf numFmtId="0" fontId="2" fillId="3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horizontal="center" vertical="bottom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3" borderId="2" xfId="0" applyNumberFormat="1" applyFont="1" applyFill="1" applyBorder="1" applyAlignment="1">
      <x:alignment horizontal="center" vertical="top" wrapText="1"/>
    </x:xf>
    <x:xf numFmtId="0" fontId="2" fillId="3" borderId="3" xfId="0" applyNumberFormat="1" applyFont="1" applyFill="1" applyBorder="1" applyAlignment="1">
      <x:alignment horizontal="center" vertical="top" wrapText="1"/>
    </x:xf>
    <x:xf numFmtId="0" fontId="2" fillId="3" borderId="4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6" fillId="3" borderId="3" xfId="0" applyNumberFormat="1" applyFont="1" applyFill="1" applyBorder="1" applyAlignment="1">
      <x:alignment horizontal="center" vertical="bottom" wrapText="1"/>
    </x:xf>
    <x:xf numFmtId="0" fontId="6" fillId="3" borderId="4" xfId="0" applyNumberFormat="1" applyFont="1" applyFill="1" applyBorder="1" applyAlignment="1">
      <x:alignment horizontal="center" vertical="bottom" wrapText="1"/>
    </x:xf>
    <x:xf numFmtId="0" fontId="6" fillId="3" borderId="2" xfId="0" applyNumberFormat="1" applyFont="1" applyFill="1" applyBorder="1" applyAlignment="1">
      <x:alignment horizontal="center" vertical="top" wrapText="1"/>
    </x:xf>
    <x:xf numFmtId="0" fontId="6" fillId="3" borderId="3" xfId="0" applyNumberFormat="1" applyFont="1" applyFill="1" applyBorder="1" applyAlignment="1">
      <x:alignment horizontal="center" vertical="top" wrapText="1"/>
    </x:xf>
    <x:xf numFmtId="0" fontId="6" fillId="3" borderId="4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horizontal="left" vertical="top" wrapText="1"/>
    </x:xf>
    <x:xf numFmtId="0" fontId="3" fillId="10" borderId="0" xfId="0" applyNumberFormat="1" applyFont="1" applyFill="1" applyBorder="1" applyAlignment="1">
      <x:alignment horizontal="left" vertical="center" wrapText="1"/>
    </x:xf>
    <x:xf numFmtId="0" fontId="3" fillId="10" borderId="0" xfId="0" applyNumberFormat="1" applyFont="1" applyFill="1" applyBorder="1" applyAlignment="1">
      <x:alignment horizontal="left" vertical="top" wrapText="1"/>
    </x:xf>
    <x:xf numFmtId="0" fontId="2" fillId="11" borderId="0" xfId="0" applyNumberFormat="1" applyFont="1" applyFill="1" applyBorder="1" applyAlignment="1">
      <x:alignment horizontal="center" vertical="top" wrapText="1"/>
    </x:xf>
    <x:xf numFmtId="0" fontId="8" fillId="12" borderId="0" xfId="0" applyNumberFormat="1" applyFont="1" applyFill="1" applyBorder="1" applyAlignment="1">
      <x:alignment vertical="top" wrapText="1"/>
    </x:xf>
    <x:xf numFmtId="0" fontId="3" fillId="10" borderId="0" xfId="0" applyNumberFormat="1" applyFont="1" applyFill="1" applyBorder="1" applyAlignment="1">
      <x:alignment horizontal="left" wrapText="1"/>
    </x:xf>
    <x:xf numFmtId="0" fontId="7" fillId="11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left" wrapText="1"/>
    </x:xf>
    <x:xf numFmtId="0" fontId="7" fillId="3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horizontal="left"/>
    </x:xf>
    <x:xf numFmtId="0" fontId="3" fillId="1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2" xfId="0" applyNumberFormat="1" applyFont="1" applyFill="1" applyBorder="1"/>
    <x:xf numFmtId="0" fontId="2" fillId="15" borderId="3" xfId="0" applyNumberFormat="1" applyFont="1" applyFill="1" applyBorder="1"/>
    <x:xf numFmtId="0" fontId="2" fillId="15" borderId="4" xfId="0" applyNumberFormat="1" applyFont="1" applyFill="1" applyBorder="1"/>
    <x:xf numFmtId="0" fontId="2" fillId="15" borderId="2" xfId="0" applyNumberFormat="1" applyFont="1" applyFill="1" applyBorder="1" applyAlignment="1">
      <x:alignment wrapText="1"/>
    </x:xf>
    <x:xf numFmtId="0" fontId="2" fillId="15" borderId="3" xfId="0" applyNumberFormat="1" applyFont="1" applyFill="1" applyBorder="1" applyAlignment="1">
      <x:alignment wrapText="1"/>
    </x:xf>
    <x:xf numFmtId="0" fontId="2" fillId="15" borderId="4" xfId="0" applyNumberFormat="1" applyFont="1" applyFill="1" applyBorder="1" applyAlignment="1">
      <x:alignment wrapText="1"/>
    </x:xf>
    <x:xf numFmtId="0" fontId="2" fillId="15" borderId="2" xfId="0" applyNumberFormat="1" applyFont="1" applyFill="1" applyBorder="1" applyAlignment="1">
      <x:alignment horizontal="center" wrapText="1"/>
    </x:xf>
    <x:xf numFmtId="0" fontId="2" fillId="15" borderId="3" xfId="0" applyNumberFormat="1" applyFont="1" applyFill="1" applyBorder="1" applyAlignment="1">
      <x:alignment horizontal="center" wrapText="1"/>
    </x:xf>
    <x:xf numFmtId="0" fontId="2" fillId="15" borderId="4" xfId="0" applyNumberFormat="1" applyFont="1" applyFill="1" applyBorder="1" applyAlignment="1">
      <x:alignment horizontal="center" wrapText="1"/>
    </x:xf>
    <x:xf numFmtId="0" fontId="2" fillId="15" borderId="2" xfId="0" applyNumberFormat="1" applyFont="1" applyFill="1" applyBorder="1" applyAlignment="1">
      <x:alignment horizontal="center" vertical="center" wrapText="1"/>
    </x:xf>
    <x:xf numFmtId="0" fontId="2" fillId="15" borderId="3" xfId="0" applyNumberFormat="1" applyFont="1" applyFill="1" applyBorder="1" applyAlignment="1">
      <x:alignment horizontal="center" vertical="center" wrapText="1"/>
    </x:xf>
    <x:xf numFmtId="0" fontId="2" fillId="15" borderId="4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vertical="center" wrapText="1"/>
    </x:xf>
    <x:xf numFmtId="0" fontId="4" fillId="16" borderId="0" xfId="0" applyNumberFormat="1" applyFont="1" applyFill="1" applyBorder="1" applyAlignment="1">
      <x:alignment vertical="top" wrapText="1"/>
    </x:xf>
    <x:xf numFmtId="0" fontId="3" fillId="14" borderId="0" xfId="0" applyNumberFormat="1" applyFont="1" applyFill="1" applyBorder="1" applyAlignment="1">
      <x:alignment vertical="center"/>
    </x:xf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wrapText="1"/>
    </x:xf>
    <x:xf numFmtId="0" fontId="7" fillId="15" borderId="0" xfId="0" applyNumberFormat="1" applyFont="1" applyFill="1" applyBorder="1" applyAlignment="1">
      <x:alignment vertical="center" wrapText="1"/>
    </x:xf>
    <x:xf numFmtId="0" fontId="9" fillId="2" borderId="0" xfId="0" applyNumberFormat="1" applyFont="1" applyFill="1" applyBorder="1" applyAlignment="1">
      <x:alignment vertical="top" wrapText="1"/>
    </x:xf>
    <x:xf numFmtId="0" fontId="3" fillId="14" borderId="0" xfId="0" applyNumberFormat="1" applyFont="1" applyFill="1" applyBorder="1" applyAlignment="1">
      <x:alignment horizontal="left" vertical="center" wrapText="1"/>
    </x:xf>
    <x:xf numFmtId="0" fontId="3" fillId="14" borderId="0" xfId="0" applyNumberFormat="1" applyFont="1" applyFill="1" applyBorder="1" applyAlignment="1">
      <x:alignment horizontal="left" vertical="top" wrapText="1"/>
    </x:xf>
    <x:xf numFmtId="0" fontId="2" fillId="15" borderId="2" xfId="0" applyNumberFormat="1" applyFont="1" applyFill="1" applyBorder="1" applyAlignment="1">
      <x:alignment horizontal="center" vertical="top" wrapText="1"/>
    </x:xf>
    <x:xf numFmtId="0" fontId="2" fillId="15" borderId="3" xfId="0" applyNumberFormat="1" applyFont="1" applyFill="1" applyBorder="1" applyAlignment="1">
      <x:alignment horizontal="center" vertical="top" wrapText="1"/>
    </x:xf>
    <x:xf numFmtId="0" fontId="2" fillId="15" borderId="4" xfId="0" applyNumberFormat="1" applyFont="1" applyFill="1" applyBorder="1" applyAlignment="1">
      <x:alignment horizontal="center" vertical="top" wrapText="1"/>
    </x:xf>
    <x:xf numFmtId="0" fontId="3" fillId="14" borderId="0" xfId="0" applyNumberFormat="1" applyFont="1" applyFill="1" applyBorder="1" applyAlignment="1">
      <x:alignment vertical="center" wrapText="1"/>
    </x:xf>
    <x:xf numFmtId="0" fontId="3" fillId="14" borderId="0" xfId="0" applyNumberFormat="1" applyFont="1" applyFill="1" applyBorder="1" applyAlignment="1">
      <x:alignment vertical="top" wrapText="1"/>
    </x:xf>
    <x:xf numFmtId="0" fontId="7" fillId="15" borderId="0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horizontal="left" vertical="center" wrapText="1"/>
    </x:xf>
    <x:xf numFmtId="0" fontId="10" fillId="17" borderId="0" xfId="0" applyNumberFormat="1" applyFont="1" applyFill="1" applyBorder="1" applyAlignment="1">
      <x:alignment horizontal="left" vertical="center" wrapText="1"/>
    </x:xf>
    <x:xf numFmtId="0" fontId="2" fillId="18" borderId="2" xfId="0" applyNumberFormat="1" applyFont="1" applyFill="1" applyBorder="1" applyAlignment="1">
      <x:alignment horizontal="center" vertical="center" wrapText="1"/>
    </x:xf>
    <x:xf numFmtId="0" fontId="2" fillId="18" borderId="3" xfId="0" applyNumberFormat="1" applyFont="1" applyFill="1" applyBorder="1" applyAlignment="1">
      <x:alignment horizontal="center" vertical="center" wrapText="1"/>
    </x:xf>
    <x:xf numFmtId="0" fontId="11" fillId="18" borderId="2" xfId="0" applyNumberFormat="1" applyFont="1" applyFill="1" applyBorder="1" applyAlignment="1">
      <x:alignment horizontal="center" vertical="center" wrapText="1"/>
    </x:xf>
    <x:xf numFmtId="0" fontId="11" fillId="18" borderId="3" xfId="0" applyNumberFormat="1" applyFont="1" applyFill="1" applyBorder="1" applyAlignment="1">
      <x:alignment horizontal="center" vertical="center" wrapText="1"/>
    </x:xf>
    <x:xf numFmtId="0" fontId="11" fillId="18" borderId="9" xfId="0" applyNumberFormat="1" applyFont="1" applyFill="1" applyBorder="1" applyAlignment="1">
      <x:alignment horizontal="center" vertical="center" wrapText="1"/>
    </x:xf>
    <x:xf numFmtId="0" fontId="11" fillId="18" borderId="10" xfId="0" applyNumberFormat="1" applyFont="1" applyFill="1" applyBorder="1" applyAlignment="1">
      <x:alignment horizontal="center" vertical="center" wrapText="1"/>
    </x:xf>
    <x:xf numFmtId="0" fontId="11" fillId="18" borderId="11" xfId="0" applyNumberFormat="1" applyFont="1" applyFill="1" applyBorder="1" applyAlignment="1">
      <x:alignment horizontal="center" vertical="center" wrapText="1"/>
    </x:xf>
    <x:xf numFmtId="0" fontId="12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vertical="top" wrapText="1"/>
    </x:xf>
    <x:xf numFmtId="0" fontId="13" fillId="19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10" fillId="17" borderId="0" xfId="0" applyNumberFormat="1" applyFont="1" applyFill="1" applyBorder="1"/>
    <x:xf numFmtId="0" fontId="10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horizontal="center" wrapText="1"/>
    </x:xf>
    <x:xf numFmtId="0" fontId="11" fillId="18" borderId="0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14" fillId="20" borderId="0" xfId="0" applyNumberFormat="1" applyFont="1" applyFill="1" applyBorder="1"/>
    <x:xf numFmtId="0" fontId="14" fillId="2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vertical="center" wrapText="1"/>
    </x:xf>
    <x:xf numFmtId="0" fontId="3" fillId="17" borderId="0" xfId="0" applyNumberFormat="1" applyFont="1" applyFill="1" applyBorder="1" applyAlignment="1">
      <x:alignment horizontal="left" vertical="top" wrapText="1"/>
    </x:xf>
    <x:xf numFmtId="0" fontId="1" fillId="17" borderId="0" xfId="0" applyNumberFormat="1" applyFont="1" applyFill="1" applyBorder="1" applyAlignment="1">
      <x:alignment horizontal="left" vertical="top" wrapText="1"/>
    </x:xf>
    <x:xf numFmtId="0" fontId="0" fillId="17" borderId="0" xfId="0" applyNumberFormat="1" applyFont="1" applyFill="1" applyBorder="1" applyAlignment="1">
      <x:alignment vertical="top" wrapText="1"/>
    </x:xf>
    <x:xf numFmtId="0" fontId="10" fillId="17" borderId="0" xfId="0" applyNumberFormat="1" applyFont="1" applyFill="1" applyBorder="1" applyAlignment="1">
      <x:alignment horizontal="left" vertical="top" wrapText="1"/>
    </x:xf>
    <x:xf numFmtId="0" fontId="10" fillId="17" borderId="0" xfId="0" applyNumberFormat="1" applyFont="1" applyFill="1" applyBorder="1" applyAlignment="1">
      <x:alignment vertical="top" wrapText="1"/>
    </x:xf>
    <x:xf numFmtId="0" fontId="2" fillId="18" borderId="2" xfId="0" applyNumberFormat="1" applyFont="1" applyFill="1" applyBorder="1" applyAlignment="1">
      <x:alignment horizontal="center" vertical="top" wrapText="1"/>
    </x:xf>
    <x:xf numFmtId="0" fontId="2" fillId="18" borderId="3" xfId="0" applyNumberFormat="1" applyFont="1" applyFill="1" applyBorder="1" applyAlignment="1">
      <x:alignment horizontal="center" vertical="top" wrapText="1"/>
    </x:xf>
    <x:xf numFmtId="0" fontId="2" fillId="18" borderId="4" xfId="0" applyNumberFormat="1" applyFont="1" applyFill="1" applyBorder="1" applyAlignment="1">
      <x:alignment horizontal="center" vertical="top" wrapText="1"/>
    </x:xf>
    <x:xf numFmtId="0" fontId="2" fillId="18" borderId="0" xfId="0" applyNumberFormat="1" applyFont="1" applyFill="1" applyBorder="1" applyAlignment="1">
      <x:alignment horizontal="center" vertical="top" wrapText="1"/>
    </x:xf>
    <x:xf numFmtId="0" fontId="0" fillId="18" borderId="0" xfId="0" applyNumberFormat="1" applyFont="1" applyFill="1" applyBorder="1" applyAlignment="1">
      <x:alignment horizontal="center" vertical="top" wrapText="1"/>
    </x:xf>
    <x:xf numFmtId="0" fontId="11" fillId="18" borderId="2" xfId="0" applyNumberFormat="1" applyFont="1" applyFill="1" applyBorder="1" applyAlignment="1">
      <x:alignment horizontal="center" vertical="top" wrapText="1"/>
    </x:xf>
    <x:xf numFmtId="0" fontId="11" fillId="18" borderId="3" xfId="0" applyNumberFormat="1" applyFont="1" applyFill="1" applyBorder="1" applyAlignment="1">
      <x:alignment horizontal="center" vertical="top" wrapText="1"/>
    </x:xf>
    <x:xf numFmtId="0" fontId="11" fillId="18" borderId="4" xfId="0" applyNumberFormat="1" applyFont="1" applyFill="1" applyBorder="1" applyAlignment="1">
      <x:alignment horizontal="center" vertical="top" wrapText="1"/>
    </x:xf>
    <x:xf numFmtId="0" fontId="11" fillId="18" borderId="0" xfId="0" applyNumberFormat="1" applyFont="1" applyFill="1" applyBorder="1" applyAlignment="1">
      <x:alignment horizontal="center" vertical="top" wrapText="1"/>
    </x:xf>
    <x:xf numFmtId="0" fontId="11" fillId="18" borderId="4" xfId="0" applyNumberFormat="1" applyFont="1" applyFill="1" applyBorder="1" applyAlignment="1">
      <x:alignment horizontal="center" vertical="center" wrapText="1"/>
    </x:xf>
    <x:xf numFmtId="0" fontId="4" fillId="20" borderId="5" xfId="0" applyNumberFormat="1" applyFont="1" applyFill="1" applyBorder="1" applyAlignment="1">
      <x:alignment vertical="top" wrapText="1"/>
    </x:xf>
    <x:xf numFmtId="0" fontId="5" fillId="20" borderId="6" xfId="0" applyNumberFormat="1" applyFont="1" applyFill="1" applyBorder="1" applyAlignment="1">
      <x:alignment vertical="top" wrapText="1"/>
    </x:xf>
    <x:xf numFmtId="0" fontId="4" fillId="20" borderId="0" xfId="0" applyNumberFormat="1" applyFont="1" applyFill="1" applyBorder="1" applyAlignment="1">
      <x:alignment vertical="top" wrapText="1"/>
    </x:xf>
    <x:xf numFmtId="0" fontId="0" fillId="20" borderId="0" xfId="0" applyNumberFormat="1" applyFont="1" applyFill="1" applyBorder="1" applyAlignment="1">
      <x:alignment vertical="top" wrapText="1"/>
    </x:xf>
    <x:xf numFmtId="0" fontId="15" fillId="20" borderId="5" xfId="0" applyNumberFormat="1" applyFont="1" applyFill="1" applyBorder="1" applyAlignment="1">
      <x:alignment vertical="top" wrapText="1"/>
    </x:xf>
    <x:xf numFmtId="0" fontId="15" fillId="20" borderId="6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5" xfId="0" applyNumberFormat="1" applyFont="1" applyFill="1" applyBorder="1" applyAlignment="1">
      <x:alignment vertical="center" wrapText="1"/>
    </x:xf>
    <x:xf numFmtId="0" fontId="15" fillId="20" borderId="6" xfId="0" applyNumberFormat="1" applyFont="1" applyFill="1" applyBorder="1" applyAlignment="1">
      <x:alignment vertical="center" wrapText="1"/>
    </x:xf>
    <x:xf numFmtId="0" fontId="15" fillId="20" borderId="0" xfId="0" applyNumberFormat="1" applyFont="1" applyFill="1" applyBorder="1" applyAlignment="1">
      <x:alignment vertical="center" wrapText="1"/>
    </x:xf>
    <x:xf numFmtId="0" fontId="12" fillId="6" borderId="5" xfId="0" applyNumberFormat="1" applyFont="1" applyFill="1" applyBorder="1" applyAlignment="1">
      <x:alignment vertical="top" wrapText="1"/>
    </x:xf>
    <x:xf numFmtId="0" fontId="13" fillId="0" borderId="7" xfId="0" applyNumberFormat="1" applyFont="1" applyFill="1" applyBorder="1" applyAlignment="1">
      <x:alignment vertical="top" wrapText="1"/>
    </x:xf>
    <x:xf numFmtId="0" fontId="13" fillId="0" borderId="8" xfId="0" applyNumberFormat="1" applyFont="1" applyFill="1" applyBorder="1" applyAlignment="1">
      <x:alignment vertical="top" wrapText="1"/>
    </x:xf>
    <x:xf numFmtId="0" fontId="13" fillId="0" borderId="12" xfId="0" applyNumberFormat="1" applyFont="1" applyFill="1" applyBorder="1" applyAlignment="1">
      <x:alignment vertical="top" wrapText="1"/>
    </x:xf>
    <x:xf numFmtId="0" fontId="13" fillId="0" xfId="0" applyNumberFormat="1" applyFont="1" applyFill="1" applyBorder="0" applyAlignment="1">
      <x:alignment vertical="top" wrapText="1"/>
    </x:xf>
    <x:xf numFmtId="0" fontId="15" fillId="20" xfId="0" applyNumberFormat="1" applyFont="1" applyFill="1" applyBorder="0" applyAlignment="1">
      <x:alignment vertical="center" wrapText="1"/>
    </x:xf>
    <x:xf numFmtId="0" fontId="12" fillId="6" xfId="0" applyNumberFormat="1" applyFont="1" applyFill="1" applyBorder="0" applyAlignment="1">
      <x:alignment vertical="top" wrapText="1"/>
    </x:xf>
    <x:xf numFmtId="0" fontId="15" fillId="20" borderId="13" xfId="0" applyNumberFormat="1" applyFont="1" applyFill="1" applyBorder="1" applyAlignment="1">
      <x:alignment vertical="center" wrapText="1"/>
    </x:xf>
    <x:xf numFmtId="0" fontId="13" fillId="0" borderId="13" xfId="0" applyNumberFormat="1" applyFont="1" applyFill="1" applyBorder="1" applyAlignment="1">
      <x:alignment vertical="top" wrapText="1"/>
    </x:xf>
    <x:xf numFmtId="0" fontId="6" fillId="18" borderId="2" xfId="0" applyNumberFormat="1" applyFont="1" applyFill="1" applyBorder="1" applyAlignment="1">
      <x:alignment horizontal="center" vertical="top" wrapText="1"/>
    </x:xf>
    <x:xf numFmtId="0" fontId="6" fillId="18" borderId="3" xfId="0" applyNumberFormat="1" applyFont="1" applyFill="1" applyBorder="1" applyAlignment="1">
      <x:alignment horizontal="center" vertical="top" wrapText="1"/>
    </x:xf>
    <x:xf numFmtId="0" fontId="6" fillId="18" borderId="4" xfId="0" applyNumberFormat="1" applyFont="1" applyFill="1" applyBorder="1" applyAlignment="1">
      <x:alignment horizontal="center" vertical="top" wrapText="1"/>
    </x:xf>
    <x:xf numFmtId="0" fontId="15" fillId="20" borderId="14" xfId="0" applyNumberFormat="1" applyFont="1" applyFill="1" applyBorder="1" applyAlignment="1">
      <x:alignment vertical="center" wrapText="1"/>
    </x:xf>
    <x:xf numFmtId="0" fontId="13" fillId="0" borderId="15" xfId="0" applyNumberFormat="1" applyFont="1" applyFill="1" applyBorder="1" applyAlignment="1">
      <x:alignment vertical="top" wrapText="1"/>
    </x:xf>
    <x:xf numFmtId="0" fontId="13" fillId="0" borderId="16" xfId="0" applyNumberFormat="1" applyFont="1" applyFill="1" applyBorder="1" applyAlignment="1">
      <x:alignment vertical="top" wrapText="1"/>
    </x:xf>
    <x:xf numFmtId="0" fontId="13" fillId="0" borderId="14" xfId="0" applyNumberFormat="1" applyFont="1" applyFill="1" applyBorder="1" applyAlignment="1">
      <x:alignment vertical="top" wrapText="1"/>
    </x:xf>
    <x:xf numFmtId="0" fontId="11" fillId="18" xfId="0" applyNumberFormat="1" applyFont="1" applyFill="1" applyBorder="0" applyAlignment="1">
      <x:alignment horizontal="center" vertical="top" wrapText="1"/>
    </x:xf>
    <x:xf numFmtId="0" fontId="11" fillId="18" xfId="0" applyNumberFormat="1" applyFont="1" applyFill="1" applyBorder="0" applyAlignment="1">
      <x:alignment horizontal="center" vertical="center" wrapText="1"/>
    </x:xf>
    <x:xf numFmtId="0" fontId="8" fillId="20" borderId="0" xfId="0" applyNumberFormat="1" applyFont="1" applyFill="1" applyBorder="1" applyAlignment="1">
      <x:alignment vertical="top" wrapText="1"/>
    </x:xf>
    <x:xf numFmtId="0" fontId="10" fillId="17" borderId="0" xfId="0" applyNumberFormat="1" applyFont="1" applyFill="1" applyBorder="1" applyAlignment="1">
      <x:alignment vertical="center" wrapText="1"/>
    </x:xf>
    <x:xf numFmtId="0" fontId="14" fillId="20" borderId="0" xfId="0" applyNumberFormat="1" applyFont="1" applyFill="1" applyBorder="1" applyAlignment="1">
      <x:alignment vertical="top" wrapText="1"/>
    </x:xf>
    <x:xf numFmtId="0" fontId="15" fillId="21" xfId="0" applyNumberFormat="1" applyFont="1" applyFill="1" applyBorder="0" applyAlignment="1">
      <x:alignment vertical="center" wrapText="1"/>
    </x:xf>
    <x:xf numFmtId="0" fontId="12" fillId="21" xfId="0" applyNumberFormat="1" applyFont="1" applyFill="1" applyBorder="0" applyAlignment="1">
      <x:alignment vertical="top" wrapText="1"/>
    </x:xf>
    <x:xf numFmtId="0" fontId="14" fillId="21" xfId="0" applyNumberFormat="1" applyFont="1" applyFill="1" applyBorder="0" applyAlignment="1">
      <x:alignment vertical="center" wrapText="1"/>
    </x:xf>
    <x:xf numFmtId="0" fontId="14" fillId="21" xfId="0" applyNumberFormat="1" applyFont="1" applyFill="1" applyBorder="0" applyAlignment="1">
      <x:alignment vertical="top" wrapText="1"/>
    </x:xf>
    <x:xf numFmtId="0" fontId="14" fillId="21" borderId="17" xfId="0" applyNumberFormat="1" applyFont="1" applyFill="1" applyBorder="1" applyAlignment="1">
      <x:alignment vertical="center" wrapText="1"/>
    </x:xf>
    <x:xf numFmtId="0" fontId="14" fillId="21" borderId="17" xfId="0" applyNumberFormat="1" applyFont="1" applyFill="1" applyBorder="1" applyAlignment="1">
      <x:alignment vertical="top" wrapText="1"/>
    </x:xf>
    <x:xf numFmtId="0" fontId="15" fillId="22" borderId="5" xfId="0" applyNumberFormat="1" applyFont="1" applyFill="1" applyBorder="1" applyAlignment="1">
      <x:alignment vertical="center" wrapText="1"/>
    </x:xf>
    <x:xf numFmtId="0" fontId="12" fillId="22" borderId="5" xfId="0" applyNumberFormat="1" applyFont="1" applyFill="1" applyBorder="1" applyAlignment="1">
      <x:alignment vertical="top" wrapText="1"/>
    </x:xf>
    <x:xf numFmtId="0" fontId="13" fillId="22" borderId="12" xfId="0" applyNumberFormat="1" applyFont="1" applyFill="1" applyBorder="1" applyAlignment="1">
      <x:alignment vertical="top" wrapText="1"/>
    </x:xf>
    <x:xf numFmtId="0" fontId="14" fillId="22" borderId="5" xfId="0" applyNumberFormat="1" applyFont="1" applyFill="1" applyBorder="1" applyAlignment="1">
      <x:alignment vertical="center" wrapText="1"/>
    </x:xf>
    <x:xf numFmtId="0" fontId="14" fillId="22" borderId="5" xfId="0" applyNumberFormat="1" applyFont="1" applyFill="1" applyBorder="1" applyAlignment="1">
      <x:alignment vertical="top" wrapText="1"/>
    </x:xf>
    <x:xf numFmtId="0" fontId="14" fillId="22" borderId="12" xfId="0" applyNumberFormat="1" applyFont="1" applyFill="1" applyBorder="1" applyAlignment="1">
      <x:alignment vertical="top" wrapText="1"/>
    </x:xf>
    <x:xf numFmtId="0" fontId="14" fillId="22" borderId="18" xfId="0" applyNumberFormat="1" applyFont="1" applyFill="1" applyBorder="1" applyAlignment="1">
      <x:alignment vertical="center" wrapText="1"/>
    </x:xf>
    <x:xf numFmtId="0" fontId="14" fillId="22" borderId="18" xfId="0" applyNumberFormat="1" applyFont="1" applyFill="1" applyBorder="1" applyAlignment="1">
      <x:alignment vertical="top" wrapText="1"/>
    </x:xf>
    <x:xf numFmtId="0" fontId="15" fillId="22" xfId="0" applyNumberFormat="1" applyFont="1" applyFill="1" applyBorder="0" applyAlignment="1">
      <x:alignment vertical="center" wrapText="1"/>
    </x:xf>
    <x:xf numFmtId="0" fontId="12" fillId="22" xfId="0" applyNumberFormat="1" applyFont="1" applyFill="1" applyBorder="0" applyAlignment="1">
      <x:alignment vertical="top" wrapText="1"/>
    </x:xf>
    <x:xf numFmtId="0" fontId="14" fillId="22" xfId="0" applyNumberFormat="1" applyFont="1" applyFill="1" applyBorder="0" applyAlignment="1">
      <x:alignment vertical="center" wrapText="1"/>
    </x:xf>
    <x:xf numFmtId="0" fontId="14" fillId="22" xfId="0" applyNumberFormat="1" applyFont="1" applyFill="1" applyBorder="0" applyAlignment="1">
      <x:alignment vertical="top" wrapText="1"/>
    </x:xf>
    <x:xf numFmtId="0" fontId="0" fillId="23" borderId="0" xfId="0" applyNumberFormat="1" applyFont="1" applyFill="1" applyBorder="1"/>
    <x:xf numFmtId="0" fontId="10" fillId="23" borderId="0" xfId="0" applyNumberFormat="1" applyFont="1" applyFill="1" applyBorder="1"/>
    <x:xf numFmtId="0" fontId="10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11" fillId="24" borderId="0" xfId="0" applyNumberFormat="1" applyFont="1" applyFill="1" applyBorder="1"/>
    <x:xf numFmtId="0" fontId="11" fillId="24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 applyAlignment="1">
      <x:alignment horizontal="center" wrapText="1"/>
    </x:xf>
    <x:xf numFmtId="0" fontId="11" fillId="24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14" fillId="25" borderId="0" xfId="0" applyNumberFormat="1" applyFont="1" applyFill="1" applyBorder="1"/>
    <x:xf numFmtId="0" fontId="14" fillId="25" borderId="0" xfId="0" applyNumberFormat="1" applyFont="1" applyFill="1" applyBorder="1" applyAlignment="1">
      <x:alignment vertical="center"/>
    </x:xf>
    <x:xf numFmtId="0" fontId="14" fillId="25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4" fillId="22" borderId="0" xfId="0" applyNumberFormat="1" applyFont="1" applyFill="1" applyBorder="1"/>
    <x:xf numFmtId="0" fontId="14" fillId="22" borderId="0" xfId="0" applyNumberFormat="1" applyFont="1" applyFill="1" applyBorder="1" applyAlignment="1">
      <x:alignment vertical="center"/>
    </x:xf>
    <x:xf numFmtId="0" fontId="14" fillId="22" borderId="0" xfId="0" applyNumberFormat="1" applyFont="1" applyFill="1" applyBorder="1" applyAlignment="1">
      <x:alignment vertical="center" wrapText="1"/>
    </x:xf>
    <x:xf numFmtId="0" fontId="16" fillId="17" borderId="0" xfId="0" applyNumberFormat="1" applyFont="1" applyFill="1" applyBorder="1" applyAlignment="1">
      <x:alignment horizontal="left" vertical="center" wrapText="1"/>
    </x:xf>
    <x:xf numFmtId="0" fontId="16" fillId="18" borderId="2" xfId="0" applyNumberFormat="1" applyFont="1" applyFill="1" applyBorder="1" applyAlignment="1">
      <x:alignment horizontal="center" vertical="center" wrapText="1"/>
    </x:xf>
    <x:xf numFmtId="0" fontId="16" fillId="18" borderId="3" xfId="0" applyNumberFormat="1" applyFont="1" applyFill="1" applyBorder="1" applyAlignment="1">
      <x:alignment horizontal="center" vertical="center" wrapText="1"/>
    </x:xf>
    <x:xf numFmtId="0" fontId="16" fillId="18" borderId="4" xfId="0" applyNumberFormat="1" applyFont="1" applyFill="1" applyBorder="1" applyAlignment="1">
      <x:alignment horizontal="center" vertical="center" wrapText="1"/>
    </x:xf>
    <x:xf numFmtId="0" fontId="16" fillId="22" borderId="18" xfId="0" applyNumberFormat="1" applyFont="1" applyFill="1" applyBorder="1" applyAlignment="1">
      <x:alignment vertical="center" wrapText="1"/>
    </x:xf>
    <x:xf numFmtId="0" fontId="16" fillId="20" borderId="6" xfId="0" applyNumberFormat="1" applyFont="1" applyFill="1" applyBorder="1" applyAlignment="1">
      <x:alignment vertical="center" wrapText="1"/>
    </x:xf>
    <x:xf numFmtId="0" fontId="17" fillId="0" borderId="7" xfId="0" applyNumberFormat="1" applyFont="1" applyFill="1" applyBorder="1" applyAlignment="1">
      <x:alignment vertical="top" wrapText="1"/>
    </x:xf>
    <x:xf numFmtId="0" fontId="17" fillId="0" borderId="8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6" fillId="20" xfId="0" applyNumberFormat="1" applyFont="1" applyFill="1" applyBorder="0" applyAlignment="1">
      <x:alignment vertical="center" wrapText="1"/>
    </x:xf>
    <x:xf numFmtId="0" fontId="16" fillId="20" borderId="13" xfId="0" applyNumberFormat="1" applyFont="1" applyFill="1" applyBorder="1" applyAlignment="1">
      <x:alignment vertical="center" wrapText="1"/>
    </x:xf>
    <x:xf numFmtId="0" fontId="17" fillId="0" borderId="13" xfId="0" applyNumberFormat="1" applyFont="1" applyFill="1" applyBorder="1" applyAlignment="1">
      <x:alignment vertical="top" wrapText="1"/>
    </x:xf>
    <x:xf numFmtId="0" fontId="16" fillId="22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wrapText="1"/>
    </x:xf>
    <x:xf numFmtId="0" fontId="17" fillId="0" borderId="0" xfId="0" applyNumberFormat="1" applyFont="1" applyFill="1" applyBorder="1"/>
    <x:xf numFmtId="0" fontId="16" fillId="17" borderId="0" xfId="0" applyNumberFormat="1" applyFont="1" applyFill="1" applyBorder="1" applyAlignment="1">
      <x:alignment horizontal="left" vertical="top" wrapText="1"/>
    </x:xf>
    <x:xf numFmtId="0" fontId="16" fillId="18" borderId="2" xfId="0" applyNumberFormat="1" applyFont="1" applyFill="1" applyBorder="1" applyAlignment="1">
      <x:alignment horizontal="center" vertical="top" wrapText="1"/>
    </x:xf>
    <x:xf numFmtId="0" fontId="16" fillId="18" borderId="3" xfId="0" applyNumberFormat="1" applyFont="1" applyFill="1" applyBorder="1" applyAlignment="1">
      <x:alignment horizontal="center" vertical="top" wrapText="1"/>
    </x:xf>
    <x:xf numFmtId="0" fontId="16" fillId="18" borderId="4" xfId="0" applyNumberFormat="1" applyFont="1" applyFill="1" applyBorder="1" applyAlignment="1">
      <x:alignment horizontal="center" vertical="top" wrapText="1"/>
    </x:xf>
    <x:xf numFmtId="0" fontId="16" fillId="22" borderId="18" xfId="0" applyNumberFormat="1" applyFont="1" applyFill="1" applyBorder="1" applyAlignment="1">
      <x:alignment vertical="top" wrapText="1"/>
    </x:xf>
    <x:xf numFmtId="0" fontId="16" fillId="20" borderId="6" xfId="0" applyNumberFormat="1" applyFont="1" applyFill="1" applyBorder="1" applyAlignment="1">
      <x:alignment vertical="top" wrapText="1"/>
    </x:xf>
    <x:xf numFmtId="0" fontId="16" fillId="20" xfId="0" applyNumberFormat="1" applyFont="1" applyFill="1" applyBorder="0" applyAlignment="1">
      <x:alignment vertical="top" wrapText="1"/>
    </x:xf>
    <x:xf numFmtId="0" fontId="16" fillId="20" borderId="13" xfId="0" applyNumberFormat="1" applyFont="1" applyFill="1" applyBorder="1" applyAlignment="1">
      <x:alignment vertical="top" wrapText="1"/>
    </x:xf>
    <x:xf numFmtId="0" fontId="16" fillId="22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top"/>
    </x:xf>
    <x:xf numFmtId="0" fontId="16" fillId="17" xfId="0" applyNumberFormat="1" applyFont="1" applyFill="1" applyBorder="0" applyAlignment="1">
      <x:alignment horizontal="left" vertical="top" wrapText="1"/>
    </x:xf>
    <x:xf numFmtId="0" fontId="16" fillId="22" xfId="0" applyNumberFormat="1" applyFont="1" applyFill="1" applyBorder="0" applyAlignment="1">
      <x:alignment vertical="top" wrapText="1"/>
    </x:xf>
    <x:xf numFmtId="0" fontId="16" fillId="26" xfId="0" applyNumberFormat="1" applyFont="1" applyFill="1" applyBorder="0" applyAlignment="1">
      <x:alignment horizontal="left" vertical="top" wrapText="1"/>
    </x:xf>
    <x:xf numFmtId="0" fontId="18" fillId="26" xfId="0" applyNumberFormat="1" applyFont="1" applyFill="1" applyBorder="0" applyAlignment="1">
      <x:alignment horizontal="left" vertical="top" wrapText="1"/>
    </x:xf>
    <x:xf numFmtId="0" fontId="18" fillId="26" xfId="0" applyNumberFormat="1" applyFont="1" applyFill="1" applyBorder="0" applyAlignment="1">
      <x:alignment horizontal="left" vertical="center" wrapText="1"/>
    </x:xf>
    <x:xf numFmtId="0" fontId="16" fillId="27" borderId="2" xfId="0" applyNumberFormat="1" applyFont="1" applyFill="1" applyBorder="1" applyAlignment="1">
      <x:alignment horizontal="center" vertical="top" wrapText="1"/>
    </x:xf>
    <x:xf numFmtId="0" fontId="16" fillId="27" borderId="3" xfId="0" applyNumberFormat="1" applyFont="1" applyFill="1" applyBorder="1" applyAlignment="1">
      <x:alignment horizontal="center" vertical="top" wrapText="1"/>
    </x:xf>
    <x:xf numFmtId="0" fontId="16" fillId="27" borderId="4" xfId="0" applyNumberFormat="1" applyFont="1" applyFill="1" applyBorder="1" applyAlignment="1">
      <x:alignment horizontal="center" vertical="top" wrapText="1"/>
    </x:xf>
    <x:xf numFmtId="0" fontId="19" fillId="27" borderId="2" xfId="0" applyNumberFormat="1" applyFont="1" applyFill="1" applyBorder="1" applyAlignment="1">
      <x:alignment horizontal="center" vertical="top" wrapText="1"/>
    </x:xf>
    <x:xf numFmtId="0" fontId="19" fillId="27" borderId="3" xfId="0" applyNumberFormat="1" applyFont="1" applyFill="1" applyBorder="1" applyAlignment="1">
      <x:alignment horizontal="center" vertical="top" wrapText="1"/>
    </x:xf>
    <x:xf numFmtId="0" fontId="19" fillId="27" borderId="4" xfId="0" applyNumberFormat="1" applyFont="1" applyFill="1" applyBorder="1" applyAlignment="1">
      <x:alignment horizontal="center" vertical="top" wrapText="1"/>
    </x:xf>
    <x:xf numFmtId="0" fontId="19" fillId="27" borderId="2" xfId="0" applyNumberFormat="1" applyFont="1" applyFill="1" applyBorder="1" applyAlignment="1">
      <x:alignment horizontal="center" vertical="center" wrapText="1"/>
    </x:xf>
    <x:xf numFmtId="0" fontId="19" fillId="27" borderId="3" xfId="0" applyNumberFormat="1" applyFont="1" applyFill="1" applyBorder="1" applyAlignment="1">
      <x:alignment horizontal="center" vertical="center" wrapText="1"/>
    </x:xf>
    <x:xf numFmtId="0" fontId="19" fillId="27" borderId="4" xfId="0" applyNumberFormat="1" applyFont="1" applyFill="1" applyBorder="1" applyAlignment="1">
      <x:alignment horizontal="center" vertical="center" wrapText="1"/>
    </x:xf>
    <x:xf numFmtId="0" fontId="16" fillId="0" xfId="0" applyNumberFormat="1" applyFont="1" applyFill="1" applyBorder="0" applyAlignment="1">
      <x:alignment vertical="top" wrapText="1"/>
    </x:xf>
    <x:xf numFmtId="0" fontId="16" fillId="28" borderId="18" xfId="0" applyNumberFormat="1" applyFont="1" applyFill="1" applyBorder="1" applyAlignment="1">
      <x:alignment vertical="top" wrapText="1"/>
    </x:xf>
    <x:xf numFmtId="0" fontId="17" fillId="28" xfId="0" applyNumberFormat="1" applyFont="1" applyFill="1" applyBorder="0" applyAlignment="1">
      <x:alignment vertical="top" wrapText="1"/>
    </x:xf>
    <x:xf numFmtId="0" fontId="17" fillId="28" borderId="13" xfId="0" applyNumberFormat="1" applyFont="1" applyFill="1" applyBorder="1" applyAlignment="1">
      <x:alignment vertical="top" wrapText="1"/>
    </x:xf>
    <x:xf numFmtId="0" fontId="16" fillId="28" xfId="0" applyNumberFormat="1" applyFont="1" applyFill="1" applyBorder="0" applyAlignment="1">
      <x:alignment vertical="top" wrapText="1"/>
    </x:xf>
    <x:xf numFmtId="0" fontId="19" fillId="29" borderId="3" xfId="0" applyNumberFormat="1" applyFont="1" applyFill="1" applyBorder="1" applyAlignment="1">
      <x:alignment horizontal="center" vertical="center" wrapText="1"/>
    </x:xf>
    <x:xf numFmtId="0" fontId="16" fillId="30" borderId="18" xfId="0" applyNumberFormat="1" applyFont="1" applyFill="1" applyBorder="1" applyAlignment="1">
      <x:alignment vertical="top" wrapText="1"/>
    </x:xf>
    <x:xf numFmtId="0" fontId="20" fillId="30" borderId="18" xfId="0" applyNumberFormat="1" applyFont="1" applyFill="1" applyBorder="1" applyAlignment="1">
      <x:alignment vertical="top" wrapText="1"/>
    </x:xf>
    <x:xf numFmtId="0" fontId="20" fillId="30" borderId="18" xfId="0" applyNumberFormat="1" applyFont="1" applyFill="1" applyBorder="1" applyAlignment="1">
      <x:alignment vertical="center" wrapText="1"/>
    </x:xf>
    <x:xf numFmtId="0" fontId="16" fillId="30" xfId="0" applyNumberFormat="1" applyFont="1" applyFill="1" applyBorder="0" applyAlignment="1">
      <x:alignment vertical="top" wrapText="1"/>
    </x:xf>
    <x:xf numFmtId="0" fontId="20" fillId="30" xfId="0" applyNumberFormat="1" applyFont="1" applyFill="1" applyBorder="0" applyAlignment="1">
      <x:alignment vertical="top" wrapText="1"/>
    </x:xf>
    <x:xf numFmtId="0" fontId="20" fillId="30" xfId="0" applyNumberFormat="1" applyFont="1" applyFill="1" applyBorder="0" applyAlignment="1">
      <x:alignment vertical="center" wrapText="1"/>
    </x:xf>
    <x:xf numFmtId="0" fontId="17" fillId="30" xfId="0" applyNumberFormat="1" applyFont="1" applyFill="1" applyBorder="0" applyAlignment="1">
      <x:alignment vertical="top" wrapText="1"/>
    </x:xf>
    <x:xf numFmtId="0" fontId="16" fillId="20" borderId="5" xfId="0" applyNumberFormat="1" applyFont="1" applyFill="1" applyBorder="1" applyAlignment="1">
      <x:alignment vertical="center" wrapText="1"/>
    </x:xf>
    <x:xf numFmtId="0" fontId="16" fillId="6" borderId="5" xfId="0" applyNumberFormat="1" applyFont="1" applyFill="1" applyBorder="1" applyAlignment="1">
      <x:alignment vertical="top" wrapText="1"/>
    </x:xf>
    <x:xf numFmtId="0" fontId="17" fillId="0" borderId="12" xfId="0" applyNumberFormat="1" applyFont="1" applyFill="1" applyBorder="1" applyAlignment="1">
      <x:alignment vertical="top" wrapText="1"/>
    </x:xf>
    <x:xf numFmtId="0" fontId="16" fillId="20" borderId="14" xfId="0" applyNumberFormat="1" applyFont="1" applyFill="1" applyBorder="1" applyAlignment="1">
      <x:alignment vertical="center" wrapText="1"/>
    </x:xf>
    <x:xf numFmtId="0" fontId="17" fillId="0" borderId="15" xfId="0" applyNumberFormat="1" applyFont="1" applyFill="1" applyBorder="1" applyAlignment="1">
      <x:alignment vertical="top" wrapText="1"/>
    </x:xf>
    <x:xf numFmtId="0" fontId="16" fillId="20" borderId="5" xfId="0" applyNumberFormat="1" applyFont="1" applyFill="1" applyBorder="1" applyAlignment="1">
      <x:alignment vertical="top" wrapText="1"/>
    </x:xf>
    <x:xf numFmtId="0" fontId="16" fillId="20" borderId="14" xfId="0" applyNumberFormat="1" applyFont="1" applyFill="1" applyBorder="1" applyAlignment="1">
      <x:alignment vertical="top" wrapText="1"/>
    </x:xf>
    <x:xf numFmtId="0" fontId="17" fillId="28" borderId="12" xfId="0" applyNumberFormat="1" applyFont="1" applyFill="1" applyBorder="1" applyAlignment="1">
      <x:alignment vertical="top" wrapText="1"/>
    </x:xf>
    <x:xf numFmtId="0" fontId="16" fillId="30" borderId="5" xfId="0" applyNumberFormat="1" applyFont="1" applyFill="1" applyBorder="1" applyAlignment="1">
      <x:alignment vertical="top" wrapText="1"/>
    </x:xf>
    <x:xf numFmtId="0" fontId="17" fillId="30" borderId="12" xfId="0" applyNumberFormat="1" applyFont="1" applyFill="1" applyBorder="1" applyAlignment="1">
      <x:alignment vertical="top" wrapText="1"/>
    </x:xf>
    <x:xf numFmtId="0" fontId="20" fillId="30" borderId="5" xfId="0" applyNumberFormat="1" applyFont="1" applyFill="1" applyBorder="1" applyAlignment="1">
      <x:alignment vertical="top" wrapText="1"/>
    </x:xf>
    <x:xf numFmtId="0" fontId="20" fillId="30" borderId="12" xfId="0" applyNumberFormat="1" applyFont="1" applyFill="1" applyBorder="1" applyAlignment="1">
      <x:alignment vertical="top" wrapText="1"/>
    </x:xf>
    <x:xf numFmtId="0" fontId="20" fillId="30" borderId="5" xfId="0" applyNumberFormat="1" applyFont="1" applyFill="1" applyBorder="1" applyAlignment="1">
      <x:alignment vertical="center" wrapText="1"/>
    </x:xf>
    <x:xf numFmtId="0" fontId="20" fillId="30" borderId="12" xfId="0" applyNumberFormat="1" applyFont="1" applyFill="1" applyBorder="1" applyAlignment="1">
      <x:alignment vertical="center" wrapText="1"/>
    </x:xf>
    <x:xf numFmtId="0" fontId="16" fillId="30" borderId="6" xfId="0" applyNumberFormat="1" applyFont="1" applyFill="1" applyBorder="1" applyAlignment="1">
      <x:alignment vertical="top" wrapText="1"/>
    </x:xf>
    <x:xf numFmtId="0" fontId="17" fillId="30" borderId="7" xfId="0" applyNumberFormat="1" applyFont="1" applyFill="1" applyBorder="1" applyAlignment="1">
      <x:alignment vertical="top" wrapText="1"/>
    </x:xf>
    <x:xf numFmtId="0" fontId="17" fillId="30" borderId="8" xfId="0" applyNumberFormat="1" applyFont="1" applyFill="1" applyBorder="1" applyAlignment="1">
      <x:alignment vertical="top" wrapText="1"/>
    </x:xf>
    <x:xf numFmtId="0" fontId="20" fillId="30" borderId="6" xfId="0" applyNumberFormat="1" applyFont="1" applyFill="1" applyBorder="1" applyAlignment="1">
      <x:alignment vertical="top" wrapText="1"/>
    </x:xf>
    <x:xf numFmtId="0" fontId="20" fillId="30" borderId="7" xfId="0" applyNumberFormat="1" applyFont="1" applyFill="1" applyBorder="1" applyAlignment="1">
      <x:alignment vertical="top" wrapText="1"/>
    </x:xf>
    <x:xf numFmtId="0" fontId="20" fillId="30" borderId="8" xfId="0" applyNumberFormat="1" applyFont="1" applyFill="1" applyBorder="1" applyAlignment="1">
      <x:alignment vertical="top" wrapText="1"/>
    </x:xf>
    <x:xf numFmtId="0" fontId="20" fillId="30" borderId="6" xfId="0" applyNumberFormat="1" applyFont="1" applyFill="1" applyBorder="1" applyAlignment="1">
      <x:alignment vertical="center" wrapText="1"/>
    </x:xf>
    <x:xf numFmtId="0" fontId="20" fillId="30" borderId="7" xfId="0" applyNumberFormat="1" applyFont="1" applyFill="1" applyBorder="1" applyAlignment="1">
      <x:alignment vertical="center" wrapText="1"/>
    </x:xf>
    <x:xf numFmtId="0" fontId="20" fillId="30" borderId="8" xfId="0" applyNumberFormat="1" applyFont="1" applyFill="1" applyBorder="1" applyAlignment="1">
      <x:alignment vertical="center" wrapText="1"/>
    </x:xf>
    <x:xf numFmtId="0" fontId="17" fillId="0" borderId="16" xfId="0" applyNumberFormat="1" applyFont="1" applyFill="1" applyBorder="1" applyAlignment="1">
      <x:alignment vertical="top" wrapText="1"/>
    </x:xf>
    <x:xf numFmtId="0" fontId="17" fillId="0" borderId="14" xfId="0" applyNumberFormat="1" applyFont="1" applyFill="1" applyBorder="1" applyAlignment="1">
      <x:alignment vertical="top" wrapText="1"/>
    </x:xf>
    <x:xf numFmtId="0" fontId="16" fillId="18" xfId="0" applyNumberFormat="1" applyFont="1" applyFill="1" applyBorder="0" applyAlignment="1">
      <x:alignment horizontal="center" vertical="center" wrapText="1"/>
    </x:xf>
    <x:xf numFmtId="0" fontId="16" fillId="18" xfId="0" applyNumberFormat="1" applyFont="1" applyFill="1" applyBorder="0" applyAlignment="1">
      <x:alignment horizontal="center" vertical="top" wrapText="1"/>
    </x:xf>
    <x:xf numFmtId="0" fontId="16" fillId="27" xfId="0" applyNumberFormat="1" applyFont="1" applyFill="1" applyBorder="0" applyAlignment="1">
      <x:alignment horizontal="center" vertical="top" wrapText="1"/>
    </x:xf>
    <x:xf numFmtId="0" fontId="19" fillId="27" xfId="0" applyNumberFormat="1" applyFont="1" applyFill="1" applyBorder="0" applyAlignment="1">
      <x:alignment horizontal="center" vertical="top" wrapText="1"/>
    </x:xf>
    <x:xf numFmtId="0" fontId="19" fillId="27" xfId="0" applyNumberFormat="1" applyFont="1" applyFill="1" applyBorder="0" applyAlignment="1">
      <x:alignment horizontal="center" vertical="center" wrapText="1"/>
    </x:xf>
    <x:xf numFmtId="0" fontId="19" fillId="29" xfId="0" applyNumberFormat="1" applyFont="1" applyFill="1" applyBorder="0" applyAlignment="1">
      <x:alignment horizontal="center" vertical="center" wrapText="1"/>
    </x:xf>
    <x:xf numFmtId="0" fontId="16" fillId="21" borderId="17" xfId="0" applyNumberFormat="1" applyFont="1" applyFill="1" applyBorder="1" applyAlignment="1">
      <x:alignment vertical="center" wrapText="1"/>
    </x:xf>
    <x:xf numFmtId="0" fontId="16" fillId="21" borderId="17" xfId="0" applyNumberFormat="1" applyFont="1" applyFill="1" applyBorder="1" applyAlignment="1">
      <x:alignment vertical="top" wrapText="1"/>
    </x:xf>
    <x:xf numFmtId="0" fontId="16" fillId="28" borderId="17" xfId="0" applyNumberFormat="1" applyFont="1" applyFill="1" applyBorder="1" applyAlignment="1">
      <x:alignment vertical="top" wrapText="1"/>
    </x:xf>
    <x:xf numFmtId="0" fontId="16" fillId="30" borderId="17" xfId="0" applyNumberFormat="1" applyFont="1" applyFill="1" applyBorder="1" applyAlignment="1">
      <x:alignment vertical="top" wrapText="1"/>
    </x:xf>
    <x:xf numFmtId="0" fontId="20" fillId="30" borderId="17" xfId="0" applyNumberFormat="1" applyFont="1" applyFill="1" applyBorder="1" applyAlignment="1">
      <x:alignment vertical="top" wrapText="1"/>
    </x:xf>
    <x:xf numFmtId="0" fontId="20" fillId="30" borderId="17" xfId="0" applyNumberFormat="1" applyFont="1" applyFill="1" applyBorder="1" applyAlignment="1">
      <x:alignment vertical="center" wrapText="1"/>
    </x:xf>
    <x:xf numFmtId="0" fontId="17" fillId="26" xfId="0" applyNumberFormat="1" applyFont="1" applyFill="1" applyBorder="0" applyAlignment="1">
      <x:alignment vertical="top" wrapText="1"/>
    </x:xf>
    <x:xf numFmtId="0" fontId="18" fillId="26" xfId="0" applyNumberFormat="1" applyFont="1" applyFill="1" applyBorder="0" applyAlignment="1">
      <x:alignment vertical="top" wrapText="1"/>
    </x:xf>
    <x:xf numFmtId="0" fontId="18" fillId="26" xfId="0" applyNumberFormat="1" applyFont="1" applyFill="1" applyBorder="0" applyAlignment="1">
      <x:alignment vertical="center" wrapText="1"/>
    </x:xf>
    <x:xf numFmtId="0" fontId="17" fillId="27" xfId="0" applyNumberFormat="1" applyFont="1" applyFill="1" applyBorder="0" applyAlignment="1">
      <x:alignment vertical="top" wrapText="1"/>
    </x:xf>
    <x:xf numFmtId="0" fontId="19" fillId="27" xfId="0" applyNumberFormat="1" applyFont="1" applyFill="1" applyBorder="0" applyAlignment="1">
      <x:alignment vertical="top" wrapText="1"/>
    </x:xf>
    <x:xf numFmtId="0" fontId="16" fillId="8" borderId="0" xfId="0" applyNumberFormat="1" applyFont="1" applyFill="1" applyBorder="1" applyAlignment="1">
      <x:alignment horizontal="left" vertical="top" wrapText="1"/>
    </x:xf>
    <x:xf numFmtId="0" fontId="16" fillId="9" borderId="0" xfId="0" applyNumberFormat="1" applyFont="1" applyFill="1" applyBorder="1" applyAlignment="1">
      <x:alignment horizontal="left" vertical="top" wrapText="1"/>
    </x:xf>
    <x:xf numFmtId="0" fontId="16" fillId="8" xfId="0" applyNumberFormat="1" applyFont="1" applyFill="1" applyBorder="0" applyAlignment="1">
      <x:alignment horizontal="left" vertical="top" wrapText="1"/>
    </x:xf>
    <x:xf numFmtId="0" fontId="16" fillId="9" xfId="0" applyNumberFormat="1" applyFont="1" applyFill="1" applyBorder="0" applyAlignment="1">
      <x:alignment horizontal="left" vertical="top" wrapText="1"/>
    </x:xf>
    <x:xf numFmtId="0" fontId="21" fillId="26" xfId="0" applyNumberFormat="1" applyFont="1" applyFill="1" applyBorder="0" applyAlignment="1">
      <x:alignment horizontal="left" vertical="top" wrapText="1"/>
    </x:xf>
    <x:xf numFmtId="0" fontId="21" fillId="26" xfId="0" applyNumberFormat="1" applyFont="1" applyFill="1" applyBorder="0" applyAlignment="1">
      <x:alignment vertical="top" wrapText="1"/>
    </x:xf>
    <x:xf numFmtId="0" fontId="16" fillId="27" xfId="0" applyNumberFormat="1" applyFont="1" applyFill="1" applyBorder="0" applyAlignment="1">
      <x:alignment horizontal="left" vertical="top" wrapText="1"/>
    </x:xf>
    <x:xf numFmtId="0" fontId="19" fillId="27" xfId="0" applyNumberFormat="1" applyFont="1" applyFill="1" applyBorder="0" applyAlignment="1">
      <x:alignment horizontal="left" vertical="top" wrapText="1"/>
    </x:xf>
    <x:xf numFmtId="0" fontId="16" fillId="2" borderId="0" xfId="0" applyNumberFormat="1" applyFont="1" applyFill="1" applyBorder="1" applyAlignment="1">
      <x:alignment horizontal="left" vertical="top" wrapText="1"/>
    </x:xf>
    <x:xf numFmtId="0" fontId="16" fillId="3" borderId="0" xfId="0" applyNumberFormat="1" applyFont="1" applyFill="1" applyBorder="1" applyAlignment="1">
      <x:alignment vertical="top" wrapText="1"/>
    </x:xf>
    <x:xf numFmtId="0" fontId="16" fillId="2" xfId="0" applyNumberFormat="1" applyFont="1" applyFill="1" applyBorder="0" applyAlignment="1">
      <x:alignment horizontal="left" vertical="top" wrapText="1"/>
    </x:xf>
    <x:xf numFmtId="0" fontId="16" fillId="3" xfId="0" applyNumberFormat="1" applyFont="1" applyFill="1" applyBorder="0" applyAlignment="1">
      <x:alignment vertical="top" wrapText="1"/>
    </x:xf>
    <x:xf numFmtId="0" fontId="16" fillId="27" xfId="0" applyNumberFormat="1" applyFont="1" applyFill="1" applyBorder="0" applyAlignment="1">
      <x:alignment vertical="top" wrapText="1"/>
    </x:xf>
    <x:xf numFmtId="0" fontId="16" fillId="2" borderId="0" xfId="0" applyNumberFormat="1" applyFont="1" applyFill="1" applyBorder="1" applyAlignment="1">
      <x:alignment vertical="top" wrapText="1"/>
    </x:xf>
    <x:xf numFmtId="0" fontId="16" fillId="2" xfId="0" applyNumberFormat="1" applyFont="1" applyFill="1" applyBorder="0" applyAlignment="1">
      <x:alignment vertical="top" wrapText="1"/>
    </x:xf>
    <x:xf numFmtId="0" fontId="16" fillId="26" xfId="0" applyNumberFormat="1" applyFont="1" applyFill="1" applyBorder="0" applyAlignment="1">
      <x:alignment vertical="top" wrapText="1"/>
    </x:xf>
    <x:xf numFmtId="0" fontId="16" fillId="2" borderId="0" xfId="0" applyNumberFormat="1" applyFont="1" applyFill="1" applyBorder="1" applyAlignment="1">
      <x:alignment horizontal="left" vertical="center" wrapText="1"/>
    </x:xf>
    <x:xf numFmtId="0" fontId="16" fillId="18" borderId="9" xfId="0" applyNumberFormat="1" applyFont="1" applyFill="1" applyBorder="1" applyAlignment="1">
      <x:alignment horizontal="center" vertical="center" wrapText="1"/>
    </x:xf>
    <x:xf numFmtId="0" fontId="16" fillId="18" borderId="10" xfId="0" applyNumberFormat="1" applyFont="1" applyFill="1" applyBorder="1" applyAlignment="1">
      <x:alignment horizontal="center" vertical="center" wrapText="1"/>
    </x:xf>
    <x:xf numFmtId="0" fontId="16" fillId="18" borderId="11" xfId="0" applyNumberFormat="1" applyFont="1" applyFill="1" applyBorder="1" applyAlignment="1">
      <x:alignment horizontal="center" vertical="center" wrapText="1"/>
    </x:xf>
    <x:xf numFmtId="0" fontId="16" fillId="3" borderId="3" xfId="0" applyNumberFormat="1" applyFont="1" applyFill="1" applyBorder="1" applyAlignment="1">
      <x:alignment horizontal="center" vertical="center" wrapText="1"/>
    </x:xf>
    <x:xf numFmtId="0" fontId="16" fillId="19" borderId="0" xfId="0" applyNumberFormat="1" applyFont="1" applyFill="1" applyBorder="1" applyAlignment="1">
      <x:alignment vertical="top" wrapText="1"/>
    </x:xf>
    <x:xf numFmtId="0" fontId="16" fillId="6" borderId="0" xfId="0" applyNumberFormat="1" applyFont="1" applyFill="1" applyBorder="1" applyAlignment="1">
      <x:alignment vertical="top" wrapText="1"/>
    </x:xf>
    <x:xf numFmtId="0" fontId="17" fillId="19" borderId="0" xfId="0" applyNumberFormat="1" applyFont="1" applyFill="1" applyBorder="1" applyAlignment="1">
      <x:alignment vertical="top" wrapText="1"/>
    </x:xf>
    <x:xf numFmtId="0" fontId="16" fillId="18" borderId="9" xfId="0" applyNumberFormat="1" applyFont="1" applyFill="1" applyBorder="1" applyAlignment="1">
      <x:alignment horizontal="center" vertical="top" wrapText="1"/>
    </x:xf>
    <x:xf numFmtId="0" fontId="16" fillId="18" borderId="10" xfId="0" applyNumberFormat="1" applyFont="1" applyFill="1" applyBorder="1" applyAlignment="1">
      <x:alignment horizontal="center" vertical="top" wrapText="1"/>
    </x:xf>
    <x:xf numFmtId="0" fontId="16" fillId="18" borderId="11" xfId="0" applyNumberFormat="1" applyFont="1" applyFill="1" applyBorder="1" applyAlignment="1">
      <x:alignment horizontal="center" vertical="top" wrapText="1"/>
    </x:xf>
    <x:xf numFmtId="0" fontId="16" fillId="3" borderId="3" xfId="0" applyNumberFormat="1" applyFont="1" applyFill="1" applyBorder="1" applyAlignment="1">
      <x:alignment horizontal="center" vertical="top" wrapText="1"/>
    </x:xf>
    <x:xf numFmtId="0" fontId="16" fillId="19" xfId="0" applyNumberFormat="1" applyFont="1" applyFill="1" applyBorder="0" applyAlignment="1">
      <x:alignment vertical="top" wrapText="1"/>
    </x:xf>
    <x:xf numFmtId="0" fontId="16" fillId="6" xfId="0" applyNumberFormat="1" applyFont="1" applyFill="1" applyBorder="0" applyAlignment="1">
      <x:alignment vertical="top" wrapText="1"/>
    </x:xf>
    <x:xf numFmtId="0" fontId="17" fillId="19" xfId="0" applyNumberFormat="1" applyFont="1" applyFill="1" applyBorder="0" applyAlignment="1">
      <x:alignment vertical="top" wrapText="1"/>
    </x:xf>
    <x:xf numFmtId="0" fontId="16" fillId="27" borderId="9" xfId="0" applyNumberFormat="1" applyFont="1" applyFill="1" applyBorder="1" applyAlignment="1">
      <x:alignment horizontal="center" vertical="top" wrapText="1"/>
    </x:xf>
    <x:xf numFmtId="0" fontId="16" fillId="27" borderId="10" xfId="0" applyNumberFormat="1" applyFont="1" applyFill="1" applyBorder="1" applyAlignment="1">
      <x:alignment horizontal="center" vertical="top" wrapText="1"/>
    </x:xf>
    <x:xf numFmtId="0" fontId="16" fillId="27" borderId="11" xfId="0" applyNumberFormat="1" applyFont="1" applyFill="1" applyBorder="1" applyAlignment="1">
      <x:alignment horizontal="center" vertical="top" wrapText="1"/>
    </x:xf>
    <x:xf numFmtId="0" fontId="19" fillId="27" borderId="9" xfId="0" applyNumberFormat="1" applyFont="1" applyFill="1" applyBorder="1" applyAlignment="1">
      <x:alignment horizontal="center" vertical="top" wrapText="1"/>
    </x:xf>
    <x:xf numFmtId="0" fontId="19" fillId="27" borderId="10" xfId="0" applyNumberFormat="1" applyFont="1" applyFill="1" applyBorder="1" applyAlignment="1">
      <x:alignment horizontal="center" vertical="top" wrapText="1"/>
    </x:xf>
    <x:xf numFmtId="0" fontId="19" fillId="27" borderId="11" xfId="0" applyNumberFormat="1" applyFont="1" applyFill="1" applyBorder="1" applyAlignment="1">
      <x:alignment horizontal="center" vertical="top" wrapText="1"/>
    </x:xf>
    <x:xf numFmtId="0" fontId="19" fillId="27" borderId="9" xfId="0" applyNumberFormat="1" applyFont="1" applyFill="1" applyBorder="1" applyAlignment="1">
      <x:alignment horizontal="center" vertical="center" wrapText="1"/>
    </x:xf>
    <x:xf numFmtId="0" fontId="19" fillId="27" borderId="10" xfId="0" applyNumberFormat="1" applyFont="1" applyFill="1" applyBorder="1" applyAlignment="1">
      <x:alignment horizontal="center" vertical="center" wrapText="1"/>
    </x:xf>
    <x:xf numFmtId="0" fontId="19" fillId="27" borderId="11" xfId="0" applyNumberFormat="1" applyFont="1" applyFill="1" applyBorder="1" applyAlignment="1">
      <x:alignment horizontal="center" vertical="center" wrapText="1"/>
    </x:xf>
    <x:xf numFmtId="0" fontId="16" fillId="17" borderId="0" xfId="0" applyNumberFormat="1" applyFont="1" applyFill="1" applyBorder="1" applyAlignment="1">
      <x:alignment vertical="center"/>
    </x:xf>
    <x:xf numFmtId="0" fontId="16" fillId="18" borderId="0" xfId="0" applyNumberFormat="1" applyFont="1" applyFill="1" applyBorder="1" applyAlignment="1">
      <x:alignment horizontal="center" vertical="center" wrapText="1"/>
    </x:xf>
    <x:xf numFmtId="0" fontId="16" fillId="17" borderId="0" xfId="0" applyNumberFormat="1" applyFont="1" applyFill="1" applyBorder="1" applyAlignment="1">
      <x:alignment vertical="top"/>
    </x:xf>
    <x:xf numFmtId="0" fontId="16" fillId="18" borderId="0" xfId="0" applyNumberFormat="1" applyFont="1" applyFill="1" applyBorder="1" applyAlignment="1">
      <x:alignment horizontal="center" vertical="top" wrapText="1"/>
    </x:xf>
    <x:xf numFmtId="0" fontId="16" fillId="17" borderId="0" xfId="0" applyNumberFormat="1" applyFont="1" applyFill="1" applyBorder="1" applyAlignment="1">
      <x:alignment vertical="top" wrapText="1"/>
    </x:xf>
    <x:xf numFmtId="0" fontId="16" fillId="17" xfId="0" applyNumberFormat="1" applyFont="1" applyFill="1" applyBorder="0" applyAlignment="1">
      <x:alignment vertical="top" wrapText="1"/>
    </x:xf>
    <x:xf numFmtId="0" fontId="0" fillId="26" borderId="0" xfId="0" applyNumberFormat="1" applyFont="1" applyFill="1" applyBorder="1"/>
    <x:xf numFmtId="0" fontId="22" fillId="26" borderId="0" xfId="0" applyNumberFormat="1" applyFont="1" applyFill="1" applyBorder="1"/>
    <x:xf numFmtId="0" fontId="22" fillId="26" borderId="0" xfId="0" applyNumberFormat="1" applyFont="1" applyFill="1" applyBorder="1" applyAlignment="1">
      <x:alignment horizontal="left"/>
    </x:xf>
    <x:xf numFmtId="0" fontId="22" fillId="26" borderId="0" xfId="0" applyNumberFormat="1" applyFont="1" applyFill="1" applyBorder="1" applyAlignment="1">
      <x:alignment horizontal="left" vertical="center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0" xfId="0" applyNumberFormat="1" applyFont="1" applyFill="1" applyBorder="1" applyAlignment="1">
      <x:alignment horizontal="center"/>
    </x:xf>
    <x:xf numFmtId="0" fontId="11" fillId="27" borderId="0" xfId="0" applyNumberFormat="1" applyFont="1" applyFill="1" applyBorder="1" applyAlignment="1">
      <x:alignment horizontal="center" vertical="center"/>
    </x:xf>
    <x:xf numFmtId="0" fontId="17" fillId="31" xfId="0" applyNumberFormat="1" applyFont="1" applyFill="1" applyBorder="0" applyAlignment="1">
      <x:alignment vertical="top" wrapText="1"/>
    </x:xf>
    <x:xf numFmtId="0" fontId="20" fillId="31" xfId="0" applyNumberFormat="1" applyFont="1" applyFill="1" applyBorder="0" applyAlignment="1">
      <x:alignment vertical="top" wrapText="1"/>
    </x:xf>
    <x:xf numFmtId="0" fontId="20" fillId="31" xfId="0" applyNumberFormat="1" applyFont="1" applyFill="1" applyBorder="0" applyAlignment="1">
      <x:alignment vertical="center" wrapText="1"/>
    </x:xf>
    <x:xf numFmtId="0" fontId="17" fillId="32" xfId="0" applyNumberFormat="1" applyFont="1" applyFill="1" applyBorder="0" applyAlignment="1">
      <x:alignment vertical="top" wrapText="1"/>
    </x:xf>
    <x:xf numFmtId="0" fontId="20" fillId="32" xfId="0" applyNumberFormat="1" applyFont="1" applyFill="1" applyBorder="0" applyAlignment="1">
      <x:alignment vertical="top" wrapText="1"/>
    </x:xf>
    <x:xf numFmtId="0" fontId="20" fillId="32" xfId="0" applyNumberFormat="1" applyFont="1" applyFill="1" applyBorder="0" applyAlignment="1">
      <x:alignment vertical="center" wrapText="1"/>
    </x:xf>
    <x:xf numFmtId="0" fontId="17" fillId="33" xfId="0" applyNumberFormat="1" applyFont="1" applyFill="1" applyBorder="0" applyAlignment="1">
      <x:alignment vertical="top" wrapText="1"/>
    </x:xf>
    <x:xf numFmtId="0" fontId="20" fillId="33" xfId="0" applyNumberFormat="1" applyFont="1" applyFill="1" applyBorder="0" applyAlignment="1">
      <x:alignment vertical="top" wrapText="1"/>
    </x:xf>
    <x:xf numFmtId="0" fontId="20" fillId="33" xfId="0" applyNumberFormat="1" applyFont="1" applyFill="1" applyBorder="0" applyAlignment="1">
      <x:alignment vertical="center" wrapText="1"/>
    </x:xf>
    <x:xf numFmtId="0" fontId="17" fillId="34" xfId="0" applyNumberFormat="1" applyFont="1" applyFill="1" applyBorder="0" applyAlignment="1">
      <x:alignment vertical="top" wrapText="1"/>
    </x:xf>
    <x:xf numFmtId="0" fontId="20" fillId="34" xfId="0" applyNumberFormat="1" applyFont="1" applyFill="1" applyBorder="0" applyAlignment="1">
      <x:alignment vertical="top" wrapText="1"/>
    </x:xf>
    <x:xf numFmtId="0" fontId="20" fillId="34" xfId="0" applyNumberFormat="1" applyFont="1" applyFill="1" applyBorder="0" applyAlignment="1">
      <x:alignment vertical="center" wrapText="1"/>
    </x:xf>
    <x:xf numFmtId="0" fontId="17" fillId="35" xfId="0" applyNumberFormat="1" applyFont="1" applyFill="1" applyBorder="0" applyAlignment="1">
      <x:alignment vertical="top" wrapText="1"/>
    </x:xf>
    <x:xf numFmtId="0" fontId="20" fillId="35" xfId="0" applyNumberFormat="1" applyFont="1" applyFill="1" applyBorder="0" applyAlignment="1">
      <x:alignment vertical="top" wrapText="1"/>
    </x:xf>
    <x:xf numFmtId="0" fontId="20" fillId="35" xfId="0" applyNumberFormat="1" applyFont="1" applyFill="1" applyBorder="0" applyAlignment="1">
      <x:alignment vertical="center" wrapText="1"/>
    </x:xf>
    <x:xf numFmtId="0" fontId="17" fillId="36" xfId="0" applyNumberFormat="1" applyFont="1" applyFill="1" applyBorder="0" applyAlignment="1">
      <x:alignment vertical="top" wrapText="1"/>
    </x:xf>
    <x:xf numFmtId="0" fontId="20" fillId="36" xfId="0" applyNumberFormat="1" applyFont="1" applyFill="1" applyBorder="0" applyAlignment="1">
      <x:alignment vertical="top" wrapText="1"/>
    </x:xf>
    <x:xf numFmtId="0" fontId="20" fillId="36" xfId="0" applyNumberFormat="1" applyFont="1" applyFill="1" applyBorder="0" applyAlignment="1">
      <x:alignment vertical="center" wrapText="1"/>
    </x:xf>
    <x:xf numFmtId="0" fontId="17" fillId="37" xfId="0" applyNumberFormat="1" applyFont="1" applyFill="1" applyBorder="0" applyAlignment="1">
      <x:alignment vertical="top" wrapText="1"/>
    </x:xf>
    <x:xf numFmtId="0" fontId="20" fillId="37" xfId="0" applyNumberFormat="1" applyFont="1" applyFill="1" applyBorder="0" applyAlignment="1">
      <x:alignment vertical="top" wrapText="1"/>
    </x:xf>
    <x:xf numFmtId="0" fontId="20" fillId="37" xfId="0" applyNumberFormat="1" applyFont="1" applyFill="1" applyBorder="0" applyAlignment="1">
      <x:alignment vertical="center" wrapText="1"/>
    </x:xf>
    <x:xf numFmtId="0" fontId="20" fillId="30" xfId="0" applyNumberFormat="1" applyFont="1" applyFill="1" applyBorder="0" applyAlignment="1">
      <x:alignment horizontal="center" vertical="center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20" fillId="31" xfId="0" applyNumberFormat="1" applyFont="1" applyFill="1" applyBorder="0" applyAlignment="1">
      <x:alignment horizontal="center" vertical="center" wrapText="1"/>
    </x:xf>
    <x:xf numFmtId="0" fontId="20" fillId="32" xfId="0" applyNumberFormat="1" applyFont="1" applyFill="1" applyBorder="0" applyAlignment="1">
      <x:alignment horizontal="center" vertical="center" wrapText="1"/>
    </x:xf>
    <x:xf numFmtId="0" fontId="20" fillId="33" xfId="0" applyNumberFormat="1" applyFont="1" applyFill="1" applyBorder="0" applyAlignment="1">
      <x:alignment horizontal="center" vertical="center" wrapText="1"/>
    </x:xf>
    <x:xf numFmtId="0" fontId="20" fillId="34" xfId="0" applyNumberFormat="1" applyFont="1" applyFill="1" applyBorder="0" applyAlignment="1">
      <x:alignment horizontal="center" vertical="center" wrapText="1"/>
    </x:xf>
    <x:xf numFmtId="0" fontId="20" fillId="35" xfId="0" applyNumberFormat="1" applyFont="1" applyFill="1" applyBorder="0" applyAlignment="1">
      <x:alignment horizontal="center" vertical="center" wrapText="1"/>
    </x:xf>
    <x:xf numFmtId="0" fontId="20" fillId="36" xfId="0" applyNumberFormat="1" applyFont="1" applyFill="1" applyBorder="0" applyAlignment="1">
      <x:alignment horizontal="center" vertical="center" wrapText="1"/>
    </x:xf>
    <x:xf numFmtId="0" fontId="20" fillId="37" xfId="0" applyNumberFormat="1" applyFont="1" applyFill="1" applyBorder="0" applyAlignment="1">
      <x:alignment horizontal="center" vertical="center" wrapText="1"/>
    </x:xf>
    <x:xf numFmtId="200" fontId="20" fillId="30" xfId="0" applyNumberFormat="1" applyFont="1" applyFill="1" applyBorder="0" applyAlignment="1">
      <x:alignment horizontal="center" vertical="center" wrapText="1"/>
    </x:xf>
    <x:xf numFmtId="200" fontId="17" fillId="0" xfId="0" applyNumberFormat="1" applyFont="1" applyFill="1" applyBorder="0" applyAlignment="1">
      <x:alignment horizontal="center" vertical="top" wrapText="1"/>
    </x:xf>
    <x:xf numFmtId="200" fontId="20" fillId="31" xfId="0" applyNumberFormat="1" applyFont="1" applyFill="1" applyBorder="0" applyAlignment="1">
      <x:alignment horizontal="center" vertical="center" wrapText="1"/>
    </x:xf>
    <x:xf numFmtId="200" fontId="20" fillId="32" xfId="0" applyNumberFormat="1" applyFont="1" applyFill="1" applyBorder="0" applyAlignment="1">
      <x:alignment horizontal="center" vertical="center" wrapText="1"/>
    </x:xf>
    <x:xf numFmtId="200" fontId="20" fillId="33" xfId="0" applyNumberFormat="1" applyFont="1" applyFill="1" applyBorder="0" applyAlignment="1">
      <x:alignment horizontal="center" vertical="center" wrapText="1"/>
    </x:xf>
    <x:xf numFmtId="200" fontId="20" fillId="34" xfId="0" applyNumberFormat="1" applyFont="1" applyFill="1" applyBorder="0" applyAlignment="1">
      <x:alignment horizontal="center" vertical="center" wrapText="1"/>
    </x:xf>
    <x:xf numFmtId="200" fontId="20" fillId="35" xfId="0" applyNumberFormat="1" applyFont="1" applyFill="1" applyBorder="0" applyAlignment="1">
      <x:alignment horizontal="center" vertical="center" wrapText="1"/>
    </x:xf>
    <x:xf numFmtId="200" fontId="20" fillId="36" xfId="0" applyNumberFormat="1" applyFont="1" applyFill="1" applyBorder="0" applyAlignment="1">
      <x:alignment horizontal="center" vertical="center" wrapText="1"/>
    </x:xf>
    <x:xf numFmtId="200" fontId="20" fillId="37" xfId="0" applyNumberFormat="1" applyFont="1" applyFill="1" applyBorder="0" applyAlignment="1">
      <x:alignment horizontal="center" vertical="center" wrapText="1"/>
    </x:xf>
  </x:cellXfs>
  <x:cellStyles count="1">
    <x:cellStyle name="Normal" xfId="0"/>
  </x:cellStyles>
  <x:dxfs count="96"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i/>
        <x:color rgb="FF666666"/>
      </x:font>
      <x:fill>
        <x:patternFill>
          <x:bgColor rgb="FFF2F2F2"/>
        </x:patternFill>
      </x:fill>
    </x:dxf>
    <x:dxf>
      <x:font>
        <x:b/>
        <x:color rgb="FF8A4B08"/>
      </x:font>
      <x:fill>
        <x:patternFill>
          <x:bgColor rgb="FFFFF4E5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  <x:dxf>
      <x:font>
        <x:color rgb="FF7A8793"/>
      </x:font>
      <x:fill>
        <x:patternFill>
          <x:bgColor rgb="FFF8FAFC"/>
        </x:patternFill>
      </x:fill>
    </x:dxf>
    <x:dxf>
      <x:font>
        <x:color rgb="FF8A6500"/>
      </x:font>
      <x:fill>
        <x:patternFill>
          <x:bgColor rgb="FFFFF8E1"/>
        </x:patternFill>
      </x:fill>
    </x:dxf>
    <x:dxf>
      <x:font>
        <x:color rgb="FF6B21A8"/>
      </x:font>
      <x:fill>
        <x:patternFill>
          <x:bgColor rgb="FFF3E8FF"/>
        </x:patternFill>
      </x:fill>
    </x:dxf>
    <x:dxf>
      <x:font>
        <x:b/>
        <x:color rgb="FF8A6500"/>
      </x:font>
      <x:fill>
        <x:patternFill>
          <x:bgColor rgb="FFFFF8E1"/>
        </x:patternFill>
      </x:fill>
    </x:dxf>
    <x:dxf>
      <x:font>
        <x:i/>
        <x:color rgb="FF64748B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1b1931986e4784" /><Relationship Type="http://schemas.openxmlformats.org/officeDocument/2006/relationships/theme" Target="/xl/theme/theme1.xml" Id="Rc3ba4897dbc34fec" /><Relationship Type="http://schemas.openxmlformats.org/officeDocument/2006/relationships/sharedStrings" Target="/xl/sharedStrings.xml" Id="R02facaea41c440fe" /><Relationship Type="http://schemas.openxmlformats.org/officeDocument/2006/relationships/worksheet" Target="/xl/worksheets/sheet1.xml" Id="R63cdff2b8a754a08" /><Relationship Type="http://schemas.openxmlformats.org/officeDocument/2006/relationships/worksheet" Target="/xl/worksheets/sheet2.xml" Id="Rfa83d82025a24a99" /><Relationship Type="http://schemas.openxmlformats.org/officeDocument/2006/relationships/worksheet" Target="/xl/worksheets/sheet3.xml" Id="Rc16128fbe3fe4e0d" /><Relationship Type="http://schemas.openxmlformats.org/officeDocument/2006/relationships/worksheet" Target="/xl/worksheets/sheet4.xml" Id="R21363aa38c044ece" /><Relationship Type="http://schemas.openxmlformats.org/officeDocument/2006/relationships/worksheet" Target="/xl/worksheets/sheet5.xml" Id="R45bf4312ca054265" /><Relationship Type="http://schemas.openxmlformats.org/officeDocument/2006/relationships/worksheet" Target="/xl/worksheets/sheet6.xml" Id="Rdf453bb85a124fbc" /><Relationship Type="http://schemas.openxmlformats.org/officeDocument/2006/relationships/worksheet" Target="/xl/worksheets/sheet7.xml" Id="R0e9bd01a1d604931" /><Relationship Type="http://schemas.openxmlformats.org/officeDocument/2006/relationships/worksheet" Target="/xl/worksheets/sheet8.xml" Id="Re3394a3821604575" /><Relationship Type="http://schemas.openxmlformats.org/officeDocument/2006/relationships/worksheet" Target="/xl/worksheets/sheet9.xml" Id="R06300d4e6e484e66" /><Relationship Type="http://schemas.openxmlformats.org/officeDocument/2006/relationships/worksheet" Target="/xl/worksheets/sheet10.xml" Id="R82bd3419f63c4d74" /><Relationship Type="http://schemas.openxmlformats.org/officeDocument/2006/relationships/worksheet" Target="/xl/worksheets/sheet11.xml" Id="R39f1025fe88442b6" /><Relationship Type="http://schemas.openxmlformats.org/officeDocument/2006/relationships/worksheet" Target="/xl/worksheets/sheet12.xml" Id="Rb93d4cd86e094df1" /><Relationship Type="http://schemas.openxmlformats.org/officeDocument/2006/relationships/worksheet" Target="/xl/worksheets/sheet13.xml" Id="Rc9635fe5d8c443c7" /><Relationship Type="http://schemas.openxmlformats.org/officeDocument/2006/relationships/worksheet" Target="/xl/worksheets/sheet14.xml" Id="Rc90eb3b2db06499a" /><Relationship Type="http://schemas.openxmlformats.org/officeDocument/2006/relationships/worksheet" Target="/xl/worksheets/sheet15.xml" Id="R13d3eb5e78e541dd" /><Relationship Type="http://schemas.openxmlformats.org/officeDocument/2006/relationships/worksheet" Target="/xl/worksheets/sheet16.xml" Id="R841de8c828284138" /><Relationship Type="http://schemas.openxmlformats.org/officeDocument/2006/relationships/worksheet" Target="/xl/worksheets/sheet17.xml" Id="R7a1773ecf49445df" /><Relationship Type="http://schemas.openxmlformats.org/officeDocument/2006/relationships/worksheet" Target="/xl/worksheets/sheet18.xml" Id="R2507857c4c2b42f9" /><Relationship Type="http://schemas.openxmlformats.org/officeDocument/2006/relationships/worksheet" Target="/xl/worksheets/sheet19.xml" Id="R630fb1eb262d46ce" /><Relationship Type="http://schemas.openxmlformats.org/officeDocument/2006/relationships/worksheet" Target="/xl/worksheets/sheet20.xml" Id="Rb9bdf856560b468f" /><Relationship Type="http://schemas.openxmlformats.org/officeDocument/2006/relationships/worksheet" Target="/xl/worksheets/sheet21.xml" Id="R65f8409d6e3a4adf" /><Relationship Type="http://schemas.openxmlformats.org/officeDocument/2006/relationships/worksheet" Target="/xl/worksheets/sheet22.xml" Id="R1f1229c5db654e38" /><Relationship Type="http://schemas.openxmlformats.org/officeDocument/2006/relationships/worksheet" Target="/xl/worksheets/sheet23.xml" Id="R52ae68659a454e14" /><Relationship Type="http://schemas.openxmlformats.org/officeDocument/2006/relationships/worksheet" Target="/xl/worksheets/sheet24.xml" Id="Rc3dfa08dfc694dc7" /><Relationship Type="http://schemas.openxmlformats.org/officeDocument/2006/relationships/worksheet" Target="/xl/worksheets/sheet25.xml" Id="R987b77731fb54a24" /><Relationship Type="http://schemas.openxmlformats.org/officeDocument/2006/relationships/worksheet" Target="/xl/worksheets/sheet26.xml" Id="R91dca74379994296" /><Relationship Type="http://schemas.openxmlformats.org/officeDocument/2006/relationships/worksheet" Target="/xl/worksheets/sheet27.xml" Id="Rf55a8b24672d4dc0" /><Relationship Type="http://schemas.openxmlformats.org/officeDocument/2006/relationships/worksheet" Target="/xl/worksheets/sheet28.xml" Id="R51002ed394354ab2" /><Relationship Type="http://schemas.openxmlformats.org/officeDocument/2006/relationships/worksheet" Target="/xl/worksheets/sheet29.xml" Id="Ra3881b231bfb4d93" /><Relationship Type="http://schemas.openxmlformats.org/officeDocument/2006/relationships/worksheet" Target="/xl/worksheets/sheet30.xml" Id="R43cc72b94f944985" /><Relationship Type="http://schemas.openxmlformats.org/officeDocument/2006/relationships/worksheet" Target="/xl/worksheets/sheet31.xml" Id="Rd907232637af420b" /><Relationship Type="http://schemas.openxmlformats.org/officeDocument/2006/relationships/worksheet" Target="/xl/worksheets/sheet32.xml" Id="Rfe7905bb00364699" /><Relationship Type="http://schemas.openxmlformats.org/officeDocument/2006/relationships/worksheet" Target="/xl/worksheets/sheet33.xml" Id="R810cc799a7f24d13" /><Relationship Type="http://schemas.openxmlformats.org/officeDocument/2006/relationships/worksheet" Target="/xl/worksheets/sheet34.xml" Id="R22fe326658ba4bf6" /><Relationship Type="http://schemas.openxmlformats.org/officeDocument/2006/relationships/worksheet" Target="/xl/worksheets/sheet35.xml" Id="Rfde7d5eb7a224f6a" /><Relationship Type="http://schemas.openxmlformats.org/officeDocument/2006/relationships/worksheet" Target="/xl/worksheets/sheet36.xml" Id="R661bb816b5da4173" /><Relationship Type="http://schemas.openxmlformats.org/officeDocument/2006/relationships/worksheet" Target="/xl/worksheets/sheet37.xml" Id="R3c4685bc026d4b9b" /><Relationship Type="http://schemas.openxmlformats.org/officeDocument/2006/relationships/worksheet" Target="/xl/worksheets/sheet38.xml" Id="R8ac74f00a2704777" /><Relationship Type="http://schemas.openxmlformats.org/officeDocument/2006/relationships/worksheet" Target="/xl/worksheets/sheet39.xml" Id="Rbc17e303daac4a68" /><Relationship Type="http://schemas.openxmlformats.org/officeDocument/2006/relationships/worksheet" Target="/xl/worksheets/sheet40.xml" Id="R88f65ec801ae40b2" /><Relationship Type="http://schemas.openxmlformats.org/officeDocument/2006/relationships/worksheet" Target="/xl/worksheets/sheet41.xml" Id="Rc4885d5c44bd48ad" /><Relationship Type="http://schemas.openxmlformats.org/officeDocument/2006/relationships/worksheet" Target="/xl/worksheets/sheet42.xml" Id="R657d1d90e3d14bc9" /><Relationship Type="http://schemas.openxmlformats.org/officeDocument/2006/relationships/worksheet" Target="/xl/worksheets/sheet43.xml" Id="R7248be570707486e" /><Relationship Type="http://schemas.openxmlformats.org/officeDocument/2006/relationships/worksheet" Target="/xl/worksheets/sheet44.xml" Id="R07ac2cecd06e4628" /><Relationship Type="http://schemas.openxmlformats.org/officeDocument/2006/relationships/worksheet" Target="/xl/worksheets/sheet45.xml" Id="R163a8e960b3546aa" /><Relationship Type="http://schemas.openxmlformats.org/officeDocument/2006/relationships/worksheet" Target="/xl/worksheets/sheet46.xml" Id="R5d4556b4d87a4f89" /></Relationships>
</file>

<file path=xl/tables/table1.xml><?xml version="1.0" encoding="utf-8"?>
<x:table xmlns:x="http://schemas.openxmlformats.org/spreadsheetml/2006/main" id="1" name="PaidOptionsTable" displayName="PaidOptionsTable" ref="A2:O64" headerRowCount="1" totalsRowCount="0" totalsRowShown="0">
  <x:tableColumns count="15">
    <x:tableColumn id="1" name="Platform"/>
    <x:tableColumn id="2" name="Option Type"/>
    <x:tableColumn id="3" name="Paid Option / Tier"/>
    <x:tableColumn id="4" name="Status"/>
    <x:tableColumn id="5" name="Monthly Price"/>
    <x:tableColumn id="6" name="6-Month Price"/>
    <x:tableColumn id="7" name="Annual Price"/>
    <x:tableColumn id="8" name="Currency"/>
    <x:tableColumn id="9" name="Billing Basis"/>
    <x:tableColumn id="10" name="Who Gets the Benefit?"/>
    <x:tableColumn id="11" name="Included / Requires"/>
    <x:tableColumn id="12" name="Key Perks / Limits"/>
    <x:tableColumn id="13" name="Source URL"/>
    <x:tableColumn id="14" name="Last Checked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onetizationDetailTable" displayName="MonetizationDetailTable" ref="A2:P111" headerRowCount="1" totalsRowCount="0" totalsRowShown="0">
  <x:tableColumns count="16">
    <x:tableColumn id="1" name="Platform"/>
    <x:tableColumn id="2" name="Lifecycle"/>
    <x:tableColumn id="3" name="Revenue / Monetization Type"/>
    <x:tableColumn id="4" name="Option / Mechanism"/>
    <x:tableColumn id="5" name="Amount"/>
    <x:tableColumn id="6" name="Currency"/>
    <x:tableColumn id="7" name="Cadence"/>
    <x:tableColumn id="8" name="Charged To / Unit"/>
    <x:tableColumn id="9" name="Benefit Scope"/>
    <x:tableColumn id="10" name="Server / Community Upgrade?"/>
    <x:tableColumn id="11" name="User Benefit?"/>
    <x:tableColumn id="12" name="Current Availability"/>
    <x:tableColumn id="13" name="Intended / Roadmap Change"/>
    <x:tableColumn id="14" name="Source URL"/>
    <x:tableColumn id="15" name="Last Checked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rmsPrivacyTable" displayName="TermsPrivacyTable" ref="A2:X32" headerRowCount="1" totalsRowCount="0" totalsRowShown="0">
  <x:tableColumns count="24">
    <x:tableColumn id="1" name="Platform"/>
    <x:tableColumn id="2" name="Policy Scope / Service Model"/>
    <x:tableColumn id="3" name="Terms / Legal URL"/>
    <x:tableColumn id="4" name="Terms Status / Effective"/>
    <x:tableColumn id="5" name="Minimum Age"/>
    <x:tableColumn id="6" name="User Owns Content?"/>
    <x:tableColumn id="7" name="License Granted to Platform"/>
    <x:tableColumn id="8" name="Platform Can Suspend / Terminate?"/>
    <x:tableColumn id="9" name="Arbitration / Class Waiver"/>
    <x:tableColumn id="10" name="Governing Law / Jurisdiction"/>
    <x:tableColumn id="11" name="Paid Auto-Renew / Refund Terms"/>
    <x:tableColumn id="12" name="Privacy Policy URL"/>
    <x:tableColumn id="13" name="Privacy Status / Effective"/>
    <x:tableColumn id="14" name="Data Collected - General"/>
    <x:tableColumn id="15" name="Sells Personal Data?"/>
    <x:tableColumn id="16" name="Ads / Behavioral Tracking?"/>
    <x:tableColumn id="17" name="AI / Model Training Policy"/>
    <x:tableColumn id="18" name="Can Service Read Stored Message Text?"/>
    <x:tableColumn id="19" name="IP Address Handling"/>
    <x:tableColumn id="20" name="Deletion / Retention Summary"/>
    <x:tableColumn id="21" name="Third-Party Processors / Hosting"/>
    <x:tableColumn id="22" name="Self-Hosted Policy Applicability"/>
    <x:tableColumn id="23" name="General Policy Notes"/>
    <x:tableColumn id="24" name="Last Check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0.xml.rels>&#65279;<?xml version="1.0" encoding="utf-8"?><Relationships xmlns="http://schemas.openxmlformats.org/package/2006/relationships"><Relationship Type="http://schemas.openxmlformats.org/officeDocument/2006/relationships/table" Target="/xl/tables/table1.xml" Id="R66a9c6087570430d" /></Relationships>
</file>

<file path=xl/worksheets/_rels/sheet42.xml.rels>&#65279;<?xml version="1.0" encoding="utf-8"?><Relationships xmlns="http://schemas.openxmlformats.org/package/2006/relationships"><Relationship Type="http://schemas.openxmlformats.org/officeDocument/2006/relationships/table" Target="/xl/tables/table2.xml" Id="R348dc7eddbdf432e" /></Relationships>
</file>

<file path=xl/worksheets/_rels/sheet43.xml.rels>&#65279;<?xml version="1.0" encoding="utf-8"?><Relationships xmlns="http://schemas.openxmlformats.org/package/2006/relationships"><Relationship Type="http://schemas.openxmlformats.org/officeDocument/2006/relationships/table" Target="/xl/tables/table3.xml" Id="Rdbec15fe4ff34f7f" /></Relationships>
</file>

<file path=xl/worksheets/sheet1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  <x:col min="3" max="3" width="72" hidden="0" customWidth="1"/>
    <x:col min="4" max="4" width="18" hidden="0" customWidth="1"/>
  </x:cols>
  <x:sheetData>
    <x:row r="1" ht="30" customHeight="1">
      <x:c r="A1" s="482" t="str">
        <x:v>Workbook Sheet Directory</x:v>
      </x:c>
      <x:c r="B1" s="482"/>
      <x:c r="C1" s="482"/>
      <x:c r="D1" s="482"/>
    </x:row>
    <x:row r="2" ht="28" customHeight="1">
      <x:c r="A2" s="486" t="str">
        <x:v>Category</x:v>
      </x:c>
      <x:c r="B2" s="486" t="str">
        <x:v>Sheet</x:v>
      </x:c>
      <x:c r="C2" s="486" t="str">
        <x:v>Purpose</x:v>
      </x:c>
      <x:c r="D2" s="486" t="str">
        <x:v>Tab Position</x:v>
      </x:c>
    </x:row>
    <x:row r="3" ht="24" customHeight="1">
      <x:c r="A3" s="389" t="str">
        <x:v>00 - Navigation &amp; Summary</x:v>
      </x:c>
      <x:c r="B3" s="389"/>
      <x:c r="C3" s="389"/>
      <x:c r="D3" s="517"/>
    </x:row>
    <x:row r="4" ht="30" customHeight="1">
      <x:c r="A4" s="346" t="str"/>
      <x:c r="B4" s="346" t="str">
        <x:v>Sheet Directory</x:v>
      </x:c>
      <x:c r="C4" s="346" t="str">
        <x:v>Categorical navigation map for the workbook.</x:v>
      </x:c>
      <x:c r="D4" s="518" t="n">
        <x:v>1</x:v>
      </x:c>
    </x:row>
    <x:row r="5" ht="30" customHeight="1">
      <x:c r="A5" s="346" t="str"/>
      <x:c r="B5" s="346" t="str">
        <x:v>At a Glance</x:v>
      </x:c>
      <x:c r="C5" s="346" t="str">
        <x:v>Executive snapshot of the major differences across platforms.</x:v>
      </x:c>
      <x:c r="D5" s="518" t="n">
        <x:v>2</x:v>
      </x:c>
    </x:row>
    <x:row r="6" ht="30" customHeight="1">
      <x:c r="A6" s="346" t="str"/>
      <x:c r="B6" s="346" t="str">
        <x:v>Comparison Guide</x:v>
      </x:c>
      <x:c r="C6" s="346" t="str">
        <x:v>Definitions, evidence rules, and workbook conventions.</x:v>
      </x:c>
      <x:c r="D6" s="518" t="n">
        <x:v>3</x:v>
      </x:c>
    </x:row>
    <x:row r="7" ht="24" customHeight="1">
      <x:c r="A7" s="489" t="str">
        <x:v>01 - Messaging &amp; Features</x:v>
      </x:c>
      <x:c r="B7" s="489"/>
      <x:c r="C7" s="489"/>
      <x:c r="D7" s="519"/>
    </x:row>
    <x:row r="8" ht="30" customHeight="1">
      <x:c r="A8" s="346" t="str"/>
      <x:c r="B8" s="346" t="str">
        <x:v>Core Features</x:v>
      </x:c>
      <x:c r="C8" s="346" t="str">
        <x:v>Baseline communication and community capabilities.</x:v>
      </x:c>
      <x:c r="D8" s="518" t="n">
        <x:v>4</x:v>
      </x:c>
    </x:row>
    <x:row r="9" ht="30" customHeight="1">
      <x:c r="A9" s="346" t="str"/>
      <x:c r="B9" s="346" t="str">
        <x:v>Basic Features</x:v>
      </x:c>
      <x:c r="C9" s="346" t="str">
        <x:v>Everyday messaging, search, identity, emoji, and profile features.</x:v>
      </x:c>
      <x:c r="D9" s="518" t="n">
        <x:v>5</x:v>
      </x:c>
    </x:row>
    <x:row r="10" ht="30" customHeight="1">
      <x:c r="A10" s="346" t="str"/>
      <x:c r="B10" s="346" t="str">
        <x:v>Advanced Features</x:v>
      </x:c>
      <x:c r="C10" s="346" t="str">
        <x:v>Permissions, structured conversation, forums, polls, events, and automation.</x:v>
      </x:c>
      <x:c r="D10" s="518" t="n">
        <x:v>6</x:v>
      </x:c>
    </x:row>
    <x:row r="11" ht="30" customHeight="1">
      <x:c r="A11" s="346" t="str"/>
      <x:c r="B11" s="346" t="str">
        <x:v>Channel Types</x:v>
      </x:c>
      <x:c r="C11" s="346" t="str">
        <x:v>Native and specialized channel/workspace types.</x:v>
      </x:c>
      <x:c r="D11" s="518" t="n">
        <x:v>7</x:v>
      </x:c>
    </x:row>
    <x:row r="12" ht="30" customHeight="1">
      <x:c r="A12" s="346" t="str"/>
      <x:c r="B12" s="346" t="str">
        <x:v>Extra Features</x:v>
      </x:c>
      <x:c r="C12" s="346" t="str">
        <x:v>Community engagement, desktop, audio, games, and built-in utilities.</x:v>
      </x:c>
      <x:c r="D12" s="518" t="n">
        <x:v>8</x:v>
      </x:c>
    </x:row>
    <x:row r="13" ht="30" customHeight="1">
      <x:c r="A13" s="346" t="str"/>
      <x:c r="B13" s="346" t="str">
        <x:v>Embedded Apps</x:v>
      </x:c>
      <x:c r="C13" s="346" t="str">
        <x:v>Embedded app frameworks, Rift Portals, layouts, media apps, productivity apps, and app ecosystems.</x:v>
      </x:c>
      <x:c r="D13" s="518" t="n">
        <x:v>9</x:v>
      </x:c>
    </x:row>
    <x:row r="14" ht="30" customHeight="1">
      <x:c r="A14" s="346" t="str"/>
      <x:c r="B14" s="346" t="str">
        <x:v>Community Limits</x:v>
      </x:c>
      <x:c r="C14" s="346" t="str">
        <x:v>Member, channel, role, messaging, app, and usage limits.</x:v>
      </x:c>
      <x:c r="D14" s="518" t="n">
        <x:v>10</x:v>
      </x:c>
    </x:row>
    <x:row r="15" ht="24" customHeight="1">
      <x:c r="A15" s="492" t="str">
        <x:v>02 - Voice, Video, Media &amp; Files</x:v>
      </x:c>
      <x:c r="B15" s="492"/>
      <x:c r="C15" s="492"/>
      <x:c r="D15" s="520"/>
    </x:row>
    <x:row r="16" ht="30" customHeight="1">
      <x:c r="A16" s="346" t="str"/>
      <x:c r="B16" s="346" t="str">
        <x:v>Voice &amp; Audio</x:v>
      </x:c>
      <x:c r="C16" s="346" t="str">
        <x:v>Summary of voice architecture and quality capabilities.</x:v>
      </x:c>
      <x:c r="D16" s="518" t="n">
        <x:v>11</x:v>
      </x:c>
    </x:row>
    <x:row r="17" ht="30" customHeight="1">
      <x:c r="A17" s="346" t="str"/>
      <x:c r="B17" s="346" t="str">
        <x:v>Voice Quality Detail</x:v>
      </x:c>
      <x:c r="C17" s="346" t="str">
        <x:v>Granular voice modes, codecs, controls, processing, and special audio.</x:v>
      </x:c>
      <x:c r="D17" s="518" t="n">
        <x:v>12</x:v>
      </x:c>
    </x:row>
    <x:row r="18" ht="30" customHeight="1">
      <x:c r="A18" s="346" t="str"/>
      <x:c r="B18" s="346" t="str">
        <x:v>Video &amp; Screen Sharing</x:v>
      </x:c>
      <x:c r="C18" s="346" t="str">
        <x:v>Summary of webcam and screen-sharing capabilities.</x:v>
      </x:c>
      <x:c r="D18" s="518" t="n">
        <x:v>13</x:v>
      </x:c>
    </x:row>
    <x:row r="19" ht="30" customHeight="1">
      <x:c r="A19" s="346" t="str"/>
      <x:c r="B19" s="346" t="str">
        <x:v>Screen Share Detail</x:v>
      </x:c>
      <x:c r="C19" s="346" t="str">
        <x:v>Detailed free/paid resolutions, FPS, capture, mobile, and multi-stream support.</x:v>
      </x:c>
      <x:c r="D19" s="518" t="n">
        <x:v>14</x:v>
      </x:c>
    </x:row>
    <x:row r="20" ht="30" customHeight="1">
      <x:c r="A20" s="346" t="str"/>
      <x:c r="B20" s="346" t="str">
        <x:v>Media &amp; Limits</x:v>
      </x:c>
      <x:c r="C20" s="346" t="str">
        <x:v>Combined voice/video/screen-share limits and experience details.</x:v>
      </x:c>
      <x:c r="D20" s="518" t="n">
        <x:v>15</x:v>
      </x:c>
    </x:row>
    <x:row r="21" ht="30" customHeight="1">
      <x:c r="A21" s="346" t="str"/>
      <x:c r="B21" s="346" t="str">
        <x:v>Files &amp; Storage</x:v>
      </x:c>
      <x:c r="C21" s="346" t="str">
        <x:v>Upload sizes, storage, retention, CDN/media handling, and export.</x:v>
      </x:c>
      <x:c r="D21" s="518" t="n">
        <x:v>16</x:v>
      </x:c>
    </x:row>
    <x:row r="22" ht="24" customHeight="1">
      <x:c r="A22" s="495" t="str">
        <x:v>03 - Architecture, Clients &amp; Interoperability</x:v>
      </x:c>
      <x:c r="B22" s="495"/>
      <x:c r="C22" s="495"/>
      <x:c r="D22" s="521"/>
    </x:row>
    <x:row r="23" ht="30" customHeight="1">
      <x:c r="A23" s="346" t="str"/>
      <x:c r="B23" s="346" t="str">
        <x:v>Platform Model &amp; Ecosystem</x:v>
      </x:c>
      <x:c r="C23" s="346" t="str">
        <x:v>Centralization, federation, clients, protocols, governance, and ecosystem model.</x:v>
      </x:c>
      <x:c r="D23" s="518" t="n">
        <x:v>17</x:v>
      </x:c>
    </x:row>
    <x:row r="24" ht="30" customHeight="1">
      <x:c r="A24" s="346" t="str"/>
      <x:c r="B24" s="346" t="str">
        <x:v>Architecture &amp; Licensing</x:v>
      </x:c>
      <x:c r="C24" s="346" t="str">
        <x:v>Architecture, hosting model, source availability, and licensing.</x:v>
      </x:c>
      <x:c r="D24" s="518" t="n">
        <x:v>18</x:v>
      </x:c>
    </x:row>
    <x:row r="25" ht="30" customHeight="1">
      <x:c r="A25" s="346" t="str"/>
      <x:c r="B25" s="346" t="str">
        <x:v>Deployment Detail</x:v>
      </x:c>
      <x:c r="C25" s="346" t="str">
        <x:v>Self-host topology, dependencies, Docker/Kubernetes, and scale requirements.</x:v>
      </x:c>
      <x:c r="D25" s="518" t="n">
        <x:v>19</x:v>
      </x:c>
    </x:row>
    <x:row r="26" ht="30" customHeight="1">
      <x:c r="A26" s="346" t="str"/>
      <x:c r="B26" s="346" t="str">
        <x:v>Client &amp; Distribution</x:v>
      </x:c>
      <x:c r="C26" s="346" t="str">
        <x:v>Web/desktop/mobile clients, packaging, PWA, plugins, and account switching.</x:v>
      </x:c>
      <x:c r="D26" s="518" t="n">
        <x:v>20</x:v>
      </x:c>
    </x:row>
    <x:row r="27" ht="30" customHeight="1">
      <x:c r="A27" s="346" t="str"/>
      <x:c r="B27" s="346" t="str">
        <x:v>Performance &amp; Client Stack</x:v>
      </x:c>
      <x:c r="C27" s="346" t="str">
        <x:v>Client frameworks, memory footprint, OS support, mobile parity, and notifications.</x:v>
      </x:c>
      <x:c r="D27" s="518" t="n">
        <x:v>21</x:v>
      </x:c>
    </x:row>
    <x:row r="28" ht="30" customHeight="1">
      <x:c r="A28" s="346" t="str"/>
      <x:c r="B28" s="346" t="str">
        <x:v>Accounts &amp; Identity</x:v>
      </x:c>
      <x:c r="C28" s="346" t="str">
        <x:v>Signup, recovery, identity model, portability, and account lifecycle.</x:v>
      </x:c>
      <x:c r="D28" s="518" t="n">
        <x:v>22</x:v>
      </x:c>
    </x:row>
    <x:row r="29" ht="30" customHeight="1">
      <x:c r="A29" s="346" t="str"/>
      <x:c r="B29" s="346" t="str">
        <x:v>Portability &amp; Bridging</x:v>
      </x:c>
      <x:c r="C29" s="346" t="str">
        <x:v>High-level import/export and bridge support.</x:v>
      </x:c>
      <x:c r="D29" s="518" t="n">
        <x:v>23</x:v>
      </x:c>
    </x:row>
    <x:row r="30" ht="30" customHeight="1">
      <x:c r="A30" s="346" t="str"/>
      <x:c r="B30" s="346" t="str">
        <x:v>Interop &amp; Portability Details</x:v>
      </x:c>
      <x:c r="C30" s="346" t="str">
        <x:v>Granular Discord import, export formats, bridges, and cross-instance portability.</x:v>
      </x:c>
      <x:c r="D30" s="518" t="n">
        <x:v>24</x:v>
      </x:c>
    </x:row>
    <x:row r="31" ht="24" customHeight="1">
      <x:c r="A31" s="498" t="str">
        <x:v>04 - Security, Privacy &amp; Moderation</x:v>
      </x:c>
      <x:c r="B31" s="498"/>
      <x:c r="C31" s="498"/>
      <x:c r="D31" s="522"/>
    </x:row>
    <x:row r="32" ht="30" customHeight="1">
      <x:c r="A32" s="346" t="str"/>
      <x:c r="B32" s="346" t="str">
        <x:v>Security &amp; Privacy</x:v>
      </x:c>
      <x:c r="C32" s="346" t="str">
        <x:v>Summary of encryption, privacy, retention, and security posture.</x:v>
      </x:c>
      <x:c r="D32" s="518" t="n">
        <x:v>25</x:v>
      </x:c>
    </x:row>
    <x:row r="33" ht="30" customHeight="1">
      <x:c r="A33" s="346" t="str"/>
      <x:c r="B33" s="346" t="str">
        <x:v>Encryption Details</x:v>
      </x:c>
      <x:c r="C33" s="346" t="str">
        <x:v>Detailed E2EE scope, keys, metadata, audits, and cryptographic design.</x:v>
      </x:c>
      <x:c r="D33" s="518" t="n">
        <x:v>26</x:v>
      </x:c>
    </x:row>
    <x:row r="34" ht="30" customHeight="1">
      <x:c r="A34" s="346" t="str"/>
      <x:c r="B34" s="346" t="str">
        <x:v>Security Matrix</x:v>
      </x:c>
      <x:c r="C34" s="346" t="str">
        <x:v>Atomic transport, storage, text/media encryption, privacy operations, and security controls.</x:v>
      </x:c>
      <x:c r="D34" s="518" t="n">
        <x:v>27</x:v>
      </x:c>
    </x:row>
    <x:row r="35" ht="30" customHeight="1">
      <x:c r="A35" s="346" t="str"/>
      <x:c r="B35" s="346" t="str">
        <x:v>Security History &amp; Audits</x:v>
      </x:c>
      <x:c r="C35" s="346" t="str">
        <x:v>Security incidents, audits, bug bounty, disclosure, and responsiveness.</x:v>
      </x:c>
      <x:c r="D35" s="518" t="n">
        <x:v>28</x:v>
      </x:c>
    </x:row>
    <x:row r="36" ht="30" customHeight="1">
      <x:c r="A36" s="346" t="str"/>
      <x:c r="B36" s="346" t="str">
        <x:v>Moderation &amp; Safety</x:v>
      </x:c>
      <x:c r="C36" s="346" t="str">
        <x:v>High-level AutoMod, anti-spam, anti-raid, audit logs, and moderation workflow.</x:v>
      </x:c>
      <x:c r="D36" s="518" t="n">
        <x:v>29</x:v>
      </x:c>
    </x:row>
    <x:row r="37" ht="30" customHeight="1">
      <x:c r="A37" s="346" t="str"/>
      <x:c r="B37" s="346" t="str">
        <x:v>Moderation Detail</x:v>
      </x:c>
      <x:c r="C37" s="346" t="str">
        <x:v>Granular automated moderation, raid controls, queues, audit logs, and enforcement tools.</x:v>
      </x:c>
      <x:c r="D37" s="518" t="n">
        <x:v>30</x:v>
      </x:c>
    </x:row>
    <x:row r="38" ht="24" customHeight="1">
      <x:c r="A38" s="501" t="str">
        <x:v>05 - Project, Developer &amp; AI</x:v>
      </x:c>
      <x:c r="B38" s="501"/>
      <x:c r="C38" s="501"/>
      <x:c r="D38" s="523"/>
    </x:row>
    <x:row r="39" ht="30" customHeight="1">
      <x:c r="A39" s="346" t="str"/>
      <x:c r="B39" s="346" t="str">
        <x:v>Project Origin &amp; Longevity</x:v>
      </x:c>
      <x:c r="C39" s="346" t="str">
        <x:v>Origins, release dates, project state, and team size.</x:v>
      </x:c>
      <x:c r="D39" s="518" t="n">
        <x:v>31</x:v>
      </x:c>
    </x:row>
    <x:row r="40" ht="30" customHeight="1">
      <x:c r="A40" s="346" t="str"/>
      <x:c r="B40" s="346" t="str">
        <x:v>Project &amp; Maintenance</x:v>
      </x:c>
      <x:c r="C40" s="346" t="str">
        <x:v>Timeline, governance, release cadence, roadmap, issues, changelog, and project health.</x:v>
      </x:c>
      <x:c r="D40" s="518" t="n">
        <x:v>32</x:v>
      </x:c>
    </x:row>
    <x:row r="41" ht="30" customHeight="1">
      <x:c r="A41" s="346" t="str"/>
      <x:c r="B41" s="346" t="str">
        <x:v>Maintenance &amp; Updates</x:v>
      </x:c>
      <x:c r="C41" s="346" t="str">
        <x:v>Release engineering, update cadence, support lifecycle, and maintenance signals.</x:v>
      </x:c>
      <x:c r="D41" s="518" t="n">
        <x:v>33</x:v>
      </x:c>
    </x:row>
    <x:row r="42" ht="30" customHeight="1">
      <x:c r="A42" s="346" t="str"/>
      <x:c r="B42" s="346" t="str">
        <x:v>Developer Extensibility</x:v>
      </x:c>
      <x:c r="C42" s="346" t="str">
        <x:v>Bots, APIs, webhooks, SDKs, commands, plugins, and developer tooling.</x:v>
      </x:c>
      <x:c r="D42" s="518" t="n">
        <x:v>34</x:v>
      </x:c>
    </x:row>
    <x:row r="43" ht="30" customHeight="1">
      <x:c r="A43" s="346" t="str"/>
      <x:c r="B43" s="346" t="str">
        <x:v>Developer API Detail</x:v>
      </x:c>
      <x:c r="C43" s="346" t="str">
        <x:v>Granular API surfaces, SDKs, interactions, embedded app platform, and extensibility.</x:v>
      </x:c>
      <x:c r="D43" s="518" t="n">
        <x:v>35</x:v>
      </x:c>
    </x:row>
    <x:row r="44" ht="30" customHeight="1">
      <x:c r="A44" s="346" t="str"/>
      <x:c r="B44" s="346" t="str">
        <x:v>AI Policy &amp; Transparency</x:v>
      </x:c>
      <x:c r="C44" s="346" t="str">
        <x:v>Summary of native AI, training consent, development use, and disclosure.</x:v>
      </x:c>
      <x:c r="D44" s="518" t="n">
        <x:v>36</x:v>
      </x:c>
    </x:row>
    <x:row r="45" ht="30" customHeight="1">
      <x:c r="A45" s="346" t="str"/>
      <x:c r="B45" s="346" t="str">
        <x:v>AI &amp; Data Use Detail</x:v>
      </x:c>
      <x:c r="C45" s="346" t="str">
        <x:v>Detailed AI features, training data use, consent, providers, and administrative controls.</x:v>
      </x:c>
      <x:c r="D45" s="518" t="n">
        <x:v>37</x:v>
      </x:c>
    </x:row>
    <x:row r="46" ht="24" customHeight="1">
      <x:c r="A46" s="504" t="str">
        <x:v>06 - Business, Pricing &amp; Legal</x:v>
      </x:c>
      <x:c r="B46" s="504"/>
      <x:c r="C46" s="504"/>
      <x:c r="D46" s="524"/>
    </x:row>
    <x:row r="47" ht="30" customHeight="1">
      <x:c r="A47" s="346" t="str"/>
      <x:c r="B47" s="346" t="str">
        <x:v>Business Model &amp; Sustainability</x:v>
      </x:c>
      <x:c r="C47" s="346" t="str">
        <x:v>Funding sources, monetization strategy, sustainability, and hosting economics.</x:v>
      </x:c>
      <x:c r="D47" s="518" t="n">
        <x:v>38</x:v>
      </x:c>
    </x:row>
    <x:row r="48" ht="30" customHeight="1">
      <x:c r="A48" s="346" t="str"/>
      <x:c r="B48" s="346" t="str">
        <x:v>Pricing Summary</x:v>
      </x:c>
      <x:c r="C48" s="346" t="str">
        <x:v>Normalized high-level pricing and billing model comparison.</x:v>
      </x:c>
      <x:c r="D48" s="518" t="n">
        <x:v>39</x:v>
      </x:c>
    </x:row>
    <x:row r="49" ht="30" customHeight="1">
      <x:c r="A49" s="346" t="str"/>
      <x:c r="B49" s="346" t="str">
        <x:v>Pricing &amp; Tiers</x:v>
      </x:c>
      <x:c r="C49" s="346" t="str">
        <x:v>One purchasable plan/tier/license per row with price and evidence.</x:v>
      </x:c>
      <x:c r="D49" s="518" t="n">
        <x:v>40</x:v>
      </x:c>
    </x:row>
    <x:row r="50" ht="30" customHeight="1">
      <x:c r="A50" s="346" t="str"/>
      <x:c r="B50" s="346" t="str">
        <x:v>Feature Entitlements</x:v>
      </x:c>
      <x:c r="C50" s="346" t="str">
        <x:v>Free vs paid access to profile, cosmetic, media, app, and community features.</x:v>
      </x:c>
      <x:c r="D50" s="518" t="n">
        <x:v>41</x:v>
      </x:c>
    </x:row>
    <x:row r="51" ht="30" customHeight="1">
      <x:c r="A51" s="346" t="str"/>
      <x:c r="B51" s="346" t="str">
        <x:v>Monetization Detail</x:v>
      </x:c>
      <x:c r="C51" s="346" t="str">
        <x:v>Current and planned revenue mechanisms, billing scope, and availability.</x:v>
      </x:c>
      <x:c r="D51" s="518" t="n">
        <x:v>42</x:v>
      </x:c>
    </x:row>
    <x:row r="52" ht="30" customHeight="1">
      <x:c r="A52" s="346" t="str"/>
      <x:c r="B52" s="346" t="str">
        <x:v>Terms &amp; Privacy</x:v>
      </x:c>
      <x:c r="C52" s="346" t="str">
        <x:v>Terms, ownership, licenses, minimum age, privacy, retention, tracking, and legal scope.</x:v>
      </x:c>
      <x:c r="D52" s="518" t="n">
        <x:v>43</x:v>
      </x:c>
    </x:row>
    <x:row r="53" ht="24" customHeight="1">
      <x:c r="A53" s="507" t="str">
        <x:v>07 - Research &amp; Sources</x:v>
      </x:c>
      <x:c r="B53" s="507"/>
      <x:c r="C53" s="507"/>
      <x:c r="D53" s="525"/>
    </x:row>
    <x:row r="54" ht="30" customHeight="1">
      <x:c r="A54" s="346" t="str"/>
      <x:c r="B54" s="346" t="str">
        <x:v>Discord Sources</x:v>
      </x:c>
      <x:c r="C54" s="346" t="str">
        <x:v>Primary Discord sources used throughout the workbook.</x:v>
      </x:c>
      <x:c r="D54" s="518" t="n">
        <x:v>44</x:v>
      </x:c>
    </x:row>
    <x:row r="55" ht="30" customHeight="1">
      <x:c r="A55" s="346" t="str"/>
      <x:c r="B55" s="346" t="str">
        <x:v>Research Sources</x:v>
      </x:c>
      <x:c r="C55" s="346" t="str">
        <x:v>Primary sources for alternative platforms and specific comparison areas.</x:v>
      </x:c>
      <x:c r="D55" s="518" t="n">
        <x:v>45</x:v>
      </x:c>
    </x:row>
    <x:row r="56" ht="30" customHeight="1">
      <x:c r="A56" s="346" t="str"/>
      <x:c r="B56" s="346" t="str">
        <x:v>Subreddit Discovery</x:v>
      </x:c>
      <x:c r="C56" s="346" t="str">
        <x:v>Community discovery leads and their primary-source verification status.</x:v>
      </x:c>
      <x:c r="D56" s="518" t="n">
        <x:v>46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</x:cols>
  <x:sheetData>
    <x:row r="1" ht="28" customHeight="1">
      <x:c r="A1" s="368" t="str">
        <x:v>At a Glance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v>Discord</x:v>
      </x:c>
      <x:c r="C2" s="376" t="str">
        <x:v>Stoat</x:v>
      </x:c>
      <x:c r="D2" s="376" t="str">
        <x:v>Fenrid</x:v>
      </x:c>
      <x:c r="E2" s="376" t="str">
        <x:v>Fluxer</x:v>
      </x:c>
      <x:c r="F2" s="376" t="str">
        <x:v>Root</x:v>
      </x:c>
      <x:c r="G2" s="376" t="str">
        <x:v>Matrix</x:v>
      </x:c>
      <x:c r="H2" s="376" t="str">
        <x:v>Spacebar</x:v>
      </x:c>
      <x:c r="I2" s="376" t="str">
        <x:v>Mumble</x:v>
      </x:c>
      <x:c r="J2" s="376" t="str">
        <x:v>TeamSpeak</x:v>
      </x:c>
      <x:c r="K2" s="377" t="str">
        <x:v>Zulip</x:v>
      </x:c>
      <x:c r="L2" s="376" t="str">
        <x:v>Mattermost</x:v>
      </x:c>
      <x:c r="M2" s="376" t="str">
        <x:v>Rocket.Chat</x:v>
      </x:c>
      <x:c r="N2" s="376" t="str">
        <x:v>GameVox</x:v>
      </x:c>
      <x:c r="O2" s="376" t="str">
        <x:v>Nerimity</x:v>
      </x:c>
      <x:c r="P2" s="376" t="str">
        <x:v>Osmium</x:v>
      </x:c>
      <x:c r="Q2" s="376" t="str">
        <x:v>Loqa</x:v>
      </x:c>
      <x:c r="R2" s="376" t="str">
        <x:v>Venta</x:v>
      </x:c>
      <x:c r="S2" s="376" t="str">
        <x:v>Mezon</x:v>
      </x:c>
      <x:c r="T2" s="376" t="str">
        <x:v>Kloak</x:v>
      </x:c>
      <x:c r="U2" s="376" t="str">
        <x:v>Yapper</x:v>
      </x:c>
      <x:c r="V2" s="376" t="str">
        <x:v>Harmony</x:v>
      </x:c>
      <x:c r="W2" s="376" t="str">
        <x:v>Roomy</x:v>
      </x:c>
      <x:c r="X2" s="376" t="str">
        <x:v>Armada</x:v>
      </x:c>
      <x:c r="Y2" s="376" t="str">
        <x:v>Hollow</x:v>
      </x:c>
      <x:c r="Z2" s="376" t="str">
        <x:v>DCTS</x:v>
      </x:c>
      <x:c r="AA2" s="383" t="str">
        <x:v>Rift</x:v>
      </x:c>
      <x:c r="AB2" s="376" t="str">
        <x:v>pqp.gg</x:v>
      </x:c>
      <x:c r="AC2" s="376" t="str">
        <x:v>Echon</x:v>
      </x:c>
      <x:c r="AD2" s="376" t="str">
        <x:v>Valour</x:v>
      </x:c>
      <x:c r="AE2" s="376" t="str">
        <x:v>Weered</x:v>
      </x:c>
    </x:row>
    <x:row r="3" ht="23" customHeight="1">
      <x:c r="A3" s="386" t="str">
        <x:v>Executive Summary</x:v>
      </x:c>
      <x:c r="B3" s="386"/>
      <x:c r="C3" s="386"/>
      <x:c r="D3" s="386"/>
      <x:c r="E3" s="386"/>
      <x:c r="F3" s="386"/>
      <x:c r="G3" s="386"/>
      <x:c r="H3" s="386"/>
      <x:c r="I3" s="386"/>
      <x:c r="J3" s="386"/>
      <x:c r="K3" s="386"/>
      <x:c r="L3" s="386"/>
      <x:c r="M3" s="386"/>
      <x:c r="N3" s="386"/>
      <x:c r="O3" s="386"/>
      <x:c r="P3" s="386"/>
      <x:c r="Q3" s="386"/>
      <x:c r="R3" s="386"/>
      <x:c r="S3" s="386"/>
      <x:c r="T3" s="386"/>
      <x:c r="U3" s="386"/>
      <x:c r="V3" s="386"/>
      <x:c r="W3" s="386"/>
      <x:c r="X3" s="386"/>
      <x:c r="Y3" s="386"/>
      <x:c r="Z3" s="386"/>
      <x:c r="AA3" s="386"/>
      <x:c r="AB3" s="386"/>
      <x:c r="AC3" s="386"/>
      <x:c r="AD3" s="386"/>
      <x:c r="AE3" s="386"/>
    </x:row>
    <x:row r="4" ht="36" customHeight="1">
      <x:c r="A4" s="358" t="str">
        <x:v>Inception Date</x:v>
      </x:c>
      <x:c r="B4" s="344" t="str">
        <x:f>IF('Project Origin &amp; Longevity'!$B$3="","",'Project Origin &amp; Longevity'!$B$3)</x:f>
        <x:v>May 2015</x:v>
      </x:c>
      <x:c r="C4" s="344" t="str">
        <x:f>IF('Project Origin &amp; Longevity'!$C$3="","",'Project Origin &amp; Longevity'!$C$3)</x:f>
        <x:v>2021 (as Revolt; rebranded Stoat in 2025)</x:v>
      </x:c>
      <x:c r="D4" s="344" t="str">
        <x:f>IF('Project Origin &amp; Longevity'!$D$3="","",'Project Origin &amp; Longevity'!$D$3)</x:f>
        <x:v>November 2025</x:v>
      </x:c>
      <x:c r="E4" s="344" t="str">
        <x:f>IF('Project Origin &amp; Longevity'!$E$3="","",'Project Origin &amp; Longevity'!$E$3)</x:f>
        <x:v>2020</x:v>
      </x:c>
      <x:c r="F4" s="344" t="str">
        <x:f>IF('Project Origin &amp; Longevity'!$F$3="","",'Project Origin &amp; Longevity'!$F$3)</x:f>
        <x:v>U/K (public activity visible by 2025)</x:v>
      </x:c>
      <x:c r="G4" s="344" t="str">
        <x:f>IF('Project Origin &amp; Longevity'!$G$3="","",'Project Origin &amp; Longevity'!$G$3)</x:f>
        <x:v>2014</x:v>
      </x:c>
      <x:c r="H4" s="344" t="str">
        <x:f>IF('Project Origin &amp; Longevity'!$H$3="","",'Project Origin &amp; Longevity'!$H$3)</x:f>
        <x:v>2021 (as Fosscord/Spacebar project era)</x:v>
      </x:c>
      <x:c r="I4" s="344" t="str">
        <x:f>IF('Project Origin &amp; Longevity'!$I$3="","",'Project Origin &amp; Longevity'!$I$3)</x:f>
        <x:v>2005</x:v>
      </x:c>
      <x:c r="J4" s="344" t="str">
        <x:f>IF('Project Origin &amp; Longevity'!$J$3="","",'Project Origin &amp; Longevity'!$J$3)</x:f>
        <x:v>1999 project origin</x:v>
      </x:c>
      <x:c r="K4" s="345" t="str">
        <x:f>IF('Project Origin &amp; Longevity'!$K$3="","",'Project Origin &amp; Longevity'!$K$3)</x:f>
        <x:v>2012</x:v>
      </x:c>
      <x:c r="L4" s="346" t="str">
        <x:f>IF('Project Origin &amp; Longevity'!$L$3="","",'Project Origin &amp; Longevity'!$L$3)</x:f>
        <x:v>2015</x:v>
      </x:c>
      <x:c r="M4" s="346" t="str">
        <x:f>IF('Project Origin &amp; Longevity'!$M$3="","",'Project Origin &amp; Longevity'!$M$3)</x:f>
        <x:v>2015</x:v>
      </x:c>
      <x:c r="N4" s="346" t="str">
        <x:f>IF('Project Origin &amp; Longevity'!$N$3="","",'Project Origin &amp; Longevity'!$N$3)</x:f>
        <x:v>2026 ground-up rebuild</x:v>
      </x:c>
      <x:c r="O4" s="346" t="str">
        <x:f>IF('Project Origin &amp; Longevity'!$O$3="","",'Project Origin &amp; Longevity'!$O$3)</x:f>
        <x:v>U/K</x:v>
      </x:c>
      <x:c r="P4" s="346" t="str">
        <x:f>IF('Project Origin &amp; Longevity'!$P$3="","",'Project Origin &amp; Longevity'!$P$3)</x:f>
        <x:v>Summer 2024</x:v>
      </x:c>
      <x:c r="Q4" s="346" t="str">
        <x:f>IF('Project Origin &amp; Longevity'!$Q$3="","",'Project Origin &amp; Longevity'!$Q$3)</x:f>
        <x:v>2026-era project</x:v>
      </x:c>
      <x:c r="R4" s="346" t="str">
        <x:f>IF('Project Origin &amp; Longevity'!$R$3="","",'Project Origin &amp; Longevity'!$R$3)</x:f>
        <x:v>Early 2026</x:v>
      </x:c>
      <x:c r="S4" s="346" t="str">
        <x:f>IF('Project Origin &amp; Longevity'!$S$3="","",'Project Origin &amp; Longevity'!$S$3)</x:f>
        <x:v>U/K</x:v>
      </x:c>
      <x:c r="T4" s="346" t="str">
        <x:f>IF('Project Origin &amp; Longevity'!$T$3="","",'Project Origin &amp; Longevity'!$T$3)</x:f>
        <x:v>2025-era project/U/K</x:v>
      </x:c>
      <x:c r="U4" s="346" t="str">
        <x:f>IF('Project Origin &amp; Longevity'!$U$3="","",'Project Origin &amp; Longevity'!$U$3)</x:f>
        <x:v>2026-era project</x:v>
      </x:c>
      <x:c r="V4" s="346" t="str">
        <x:f>IF('Project Origin &amp; Longevity'!$V$3="","",'Project Origin &amp; Longevity'!$V$3)</x:f>
        <x:v>2026 fork era</x:v>
      </x:c>
      <x:c r="W4" s="346" t="str">
        <x:f>IF('Project Origin &amp; Longevity'!$W$3="","",'Project Origin &amp; Longevity'!$W$3)</x:f>
        <x:v>2024/2025-era project U/K</x:v>
      </x:c>
      <x:c r="X4" s="346" t="str">
        <x:f>IF('Project Origin &amp; Longevity'!$X$3="","",'Project Origin &amp; Longevity'!$X$3)</x:f>
        <x:v>2026-era project</x:v>
      </x:c>
      <x:c r="Y4" s="346" t="str">
        <x:f>IF('Project Origin &amp; Longevity'!$Y$3="","",'Project Origin &amp; Longevity'!$Y$3)</x:f>
        <x:v>2026-era public project</x:v>
      </x:c>
      <x:c r="Z4" s="346" t="str">
        <x:f>IF('Project Origin &amp; Longevity'!$Z$3="","",'Project Origin &amp; Longevity'!$Z$3)</x:f>
        <x:v>2023</x:v>
      </x:c>
      <x:c r="AA4" s="380" t="str">
        <x:f>IF('Project Origin &amp; Longevity'!$AA$3="","",'Project Origin &amp; Longevity'!$AA$3)</x:f>
        <x:v>2026</x:v>
      </x:c>
      <x:c r="AB4" s="346" t="str">
        <x:f>IF('Project Origin &amp; Longevity'!$AB$3="","",'Project Origin &amp; Longevity'!$AB$3)</x:f>
        <x:v>2026</x:v>
      </x:c>
      <x:c r="AC4" s="346" t="str">
        <x:f>IF('Project Origin &amp; Longevity'!$AC$3="","",'Project Origin &amp; Longevity'!$AC$3)</x:f>
        <x:v>2026</x:v>
      </x:c>
      <x:c r="AD4" s="346" t="str">
        <x:f>IF('Project Origin &amp; Longevity'!$AD$3="","",'Project Origin &amp; Longevity'!$AD$3)</x:f>
        <x:v>Project predates 2026; exact inception U/K</x:v>
      </x:c>
      <x:c r="AE4" s="346" t="str">
        <x:f>IF('Project Origin &amp; Longevity'!$AE$3="","",'Project Origin &amp; Longevity'!$AE$3)</x:f>
        <x:v>~2025</x:v>
      </x:c>
    </x:row>
    <x:row r="5" ht="36" customHeight="1">
      <x:c r="A5" s="358" t="str">
        <x:v>Current State (α / β / Stable)</x:v>
      </x:c>
      <x:c r="B5" s="344" t="str">
        <x:f>IF('Project Origin &amp; Longevity'!$B$6="","",'Project Origin &amp; Longevity'!$B$6)</x:f>
        <x:v>Stable</x:v>
      </x:c>
      <x:c r="C5" s="344" t="str">
        <x:f>IF('Project Origin &amp; Longevity'!$C$6="","",'Project Origin &amp; Longevity'!$C$6)</x:f>
        <x:v>Beta / pre-1.0</x:v>
      </x:c>
      <x:c r="D5" s="344" t="str">
        <x:f>IF('Project Origin &amp; Longevity'!$D$6="","",'Project Origin &amp; Longevity'!$D$6)</x:f>
        <x:v>Alpha</x:v>
      </x:c>
      <x:c r="E5" s="344" t="str">
        <x:f>IF('Project Origin &amp; Longevity'!$E$6="","",'Project Origin &amp; Longevity'!$E$6)</x:f>
        <x:v>Public Beta</x:v>
      </x:c>
      <x:c r="F5" s="344" t="str">
        <x:f>IF('Project Origin &amp; Longevity'!$F$6="","",'Project Origin &amp; Longevity'!$F$6)</x:f>
        <x:v>Beta</x:v>
      </x:c>
      <x:c r="G5" s="344" t="str">
        <x:f>IF('Project Origin &amp; Longevity'!$G$6="","",'Project Origin &amp; Longevity'!$G$6)</x:f>
        <x:v>Stable open standard (spec v1.x)</x:v>
      </x:c>
      <x:c r="H5" s="344" t="str">
        <x:f>IF('Project Origin &amp; Longevity'!$H$6="","",'Project Origin &amp; Longevity'!$H$6)</x:f>
        <x:v>Alpha / WIP</x:v>
      </x:c>
      <x:c r="I5" s="344" t="str">
        <x:f>IF('Project Origin &amp; Longevity'!$I$6="","",'Project Origin &amp; Longevity'!$I$6)</x:f>
        <x:v>Stable</x:v>
      </x:c>
      <x:c r="J5" s="344" t="str">
        <x:f>IF('Project Origin &amp; Longevity'!$J$6="","",'Project Origin &amp; Longevity'!$J$6)</x:f>
        <x:v>TS6 Beta; TS3 stable</x:v>
      </x:c>
      <x:c r="K5" s="345" t="str">
        <x:f>IF('Project Origin &amp; Longevity'!$K$6="","",'Project Origin &amp; Longevity'!$K$6)</x:f>
        <x:v>Stable</x:v>
      </x:c>
      <x:c r="L5" s="346" t="str">
        <x:f>IF('Project Origin &amp; Longevity'!$L$6="","",'Project Origin &amp; Longevity'!$L$6)</x:f>
        <x:v>Stable</x:v>
      </x:c>
      <x:c r="M5" s="346" t="str">
        <x:f>IF('Project Origin &amp; Longevity'!$M$6="","",'Project Origin &amp; Longevity'!$M$6)</x:f>
        <x:v>Stable</x:v>
      </x:c>
      <x:c r="N5" s="346" t="str">
        <x:f>IF('Project Origin &amp; Longevity'!$N$6="","",'Project Origin &amp; Longevity'!$N$6)</x:f>
        <x:v>Open Beta</x:v>
      </x:c>
      <x:c r="O5" s="346" t="str">
        <x:f>IF('Project Origin &amp; Longevity'!$O$6="","",'Project Origin &amp; Longevity'!$O$6)</x:f>
        <x:v>Stable/public</x:v>
      </x:c>
      <x:c r="P5" s="346" t="str">
        <x:f>IF('Project Origin &amp; Longevity'!$P$6="","",'Project Origin &amp; Longevity'!$P$6)</x:f>
        <x:v>Public Beta</x:v>
      </x:c>
      <x:c r="Q5" s="346" t="str">
        <x:f>IF('Project Origin &amp; Longevity'!$Q$6="","",'Project Origin &amp; Longevity'!$Q$6)</x:f>
        <x:v>Open Beta</x:v>
      </x:c>
      <x:c r="R5" s="346" t="str">
        <x:f>IF('Project Origin &amp; Longevity'!$R$6="","",'Project Origin &amp; Longevity'!$R$6)</x:f>
        <x:v>Alpha / Beta</x:v>
      </x:c>
      <x:c r="S5" s="346" t="str">
        <x:f>IF('Project Origin &amp; Longevity'!$S$6="","",'Project Origin &amp; Longevity'!$S$6)</x:f>
        <x:v>Stable/public</x:v>
      </x:c>
      <x:c r="T5" s="346" t="str">
        <x:f>IF('Project Origin &amp; Longevity'!$T$6="","",'Project Origin &amp; Longevity'!$T$6)</x:f>
        <x:v>Alpha</x:v>
      </x:c>
      <x:c r="U5" s="346" t="str">
        <x:f>IF('Project Origin &amp; Longevity'!$U$6="","",'Project Origin &amp; Longevity'!$U$6)</x:f>
        <x:v>Beta</x:v>
      </x:c>
      <x:c r="V5" s="346" t="str">
        <x:f>IF('Project Origin &amp; Longevity'!$V$6="","",'Project Origin &amp; Longevity'!$V$6)</x:f>
        <x:v>Early Alpha</x:v>
      </x:c>
      <x:c r="W5" s="346" t="str">
        <x:f>IF('Project Origin &amp; Longevity'!$W$6="","",'Project Origin &amp; Longevity'!$W$6)</x:f>
        <x:v>Alpha / experimental</x:v>
      </x:c>
      <x:c r="X5" s="346" t="str">
        <x:f>IF('Project Origin &amp; Longevity'!$X$6="","",'Project Origin &amp; Longevity'!$X$6)</x:f>
        <x:v>Beta / active development</x:v>
      </x:c>
      <x:c r="Y5" s="346" t="str">
        <x:f>IF('Project Origin &amp; Longevity'!$Y$6="","",'Project Origin &amp; Longevity'!$Y$6)</x:f>
        <x:v>Alpha / Beta</x:v>
      </x:c>
      <x:c r="Z5" s="346" t="str">
        <x:f>IF('Project Origin &amp; Longevity'!$Z$6="","",'Project Origin &amp; Longevity'!$Z$6)</x:f>
        <x:v>Beta / active development</x:v>
      </x:c>
      <x:c r="AA5" s="380" t="str">
        <x:f>IF('Project Origin &amp; Longevity'!$AA$6="","",'Project Origin &amp; Longevity'!$AA$6)</x:f>
        <x:v>Stable/public</x:v>
      </x:c>
      <x:c r="AB5" s="346" t="str">
        <x:f>IF('Project Origin &amp; Longevity'!$AB$6="","",'Project Origin &amp; Longevity'!$AB$6)</x:f>
        <x:v>Beta</x:v>
      </x:c>
      <x:c r="AC5" s="346" t="str">
        <x:f>IF('Project Origin &amp; Longevity'!$AC$6="","",'Project Origin &amp; Longevity'!$AC$6)</x:f>
        <x:v>Beta / public</x:v>
      </x:c>
      <x:c r="AD5" s="346" t="str">
        <x:f>IF('Project Origin &amp; Longevity'!$AD$6="","",'Project Origin &amp; Longevity'!$AD$6)</x:f>
        <x:v>Alpha</x:v>
      </x:c>
      <x:c r="AE5" s="346" t="str">
        <x:f>IF('Project Origin &amp; Longevity'!$AE$6="","",'Project Origin &amp; Longevity'!$AE$6)</x:f>
        <x:v>Public Beta</x:v>
      </x:c>
    </x:row>
    <x:row r="6" ht="36" customHeight="1">
      <x:c r="A6" s="358" t="str">
        <x:v>Hosting Architecture</x:v>
      </x:c>
      <x:c r="B6" s="344" t="str">
        <x:f>IF('Architecture &amp; Licensing'!$B$3="","",'Architecture &amp; Licensing'!$B$3)</x:f>
        <x:v>Centralized cloud service</x:v>
      </x:c>
      <x:c r="C6" s="344" t="str">
        <x:f>IF('Architecture &amp; Licensing'!$C$3="","",'Architecture &amp; Licensing'!$C$3)</x:f>
        <x:v>Hosted service + self-hostable independent instances</x:v>
      </x:c>
      <x:c r="D6" s="344" t="str">
        <x:f>IF('Architecture &amp; Licensing'!$D$3="","",'Architecture &amp; Licensing'!$D$3)</x:f>
        <x:v>Centralized hosted-first service</x:v>
      </x:c>
      <x:c r="E6" s="344" t="str">
        <x:f>IF('Architecture &amp; Licensing'!$E$3="","",'Architecture &amp; Licensing'!$E$3)</x:f>
        <x:v>Hosted service + self-hostable independent instances</x:v>
      </x:c>
      <x:c r="F6" s="344" t="str">
        <x:f>IF('Architecture &amp; Licensing'!$F$3="","",'Architecture &amp; Licensing'!$F$3)</x:f>
        <x:v>Centralized hosted service</x:v>
      </x:c>
      <x:c r="G6" s="344" t="str">
        <x:f>IF('Architecture &amp; Licensing'!$G$3="","",'Architecture &amp; Licensing'!$G$3)</x:f>
        <x:v>Federated protocol/ecosystem; self-hosted or hosted homeservers</x:v>
      </x:c>
      <x:c r="H6" s="344" t="str">
        <x:f>IF('Architecture &amp; Licensing'!$H$3="","",'Architecture &amp; Licensing'!$H$3)</x:f>
        <x:v>Self-hosted independent Discord-compatible service</x:v>
      </x:c>
      <x:c r="I6" s="344" t="str">
        <x:f>IF('Architecture &amp; Licensing'!$I$3="","",'Architecture &amp; Licensing'!$I$3)</x:f>
        <x:v>Self-hosted client-server; third-party hosted servers available</x:v>
      </x:c>
      <x:c r="J6" s="344" t="str">
        <x:f>IF('Architecture &amp; Licensing'!$J$3="","",'Architecture &amp; Licensing'!$J$3)</x:f>
        <x:v>Self-hosted/hosted client-server</x:v>
      </x:c>
      <x:c r="K6" s="345" t="str">
        <x:f>IF('Architecture &amp; Licensing'!$K$3="","",'Architecture &amp; Licensing'!$K$3)</x:f>
        <x:v>Hosted cloud + self-hosted standalone servers</x:v>
      </x:c>
      <x:c r="L6" s="346" t="str">
        <x:f>IF('Architecture &amp; Licensing'!$L$3="","",'Architecture &amp; Licensing'!$L$3)</x:f>
        <x:v>Cloud + self-hosted/on-prem standalone workspaces</x:v>
      </x:c>
      <x:c r="M6" s="346" t="str">
        <x:f>IF('Architecture &amp; Licensing'!$M$3="","",'Architecture &amp; Licensing'!$M$3)</x:f>
        <x:v>Cloud + self-hosted/on-prem; optional federation</x:v>
      </x:c>
      <x:c r="N6" s="346" t="str">
        <x:f>IF('Architecture &amp; Licensing'!$N$3="","",'Architecture &amp; Licensing'!$N$3)</x:f>
        <x:v>Hosted + self-hosted</x:v>
      </x:c>
      <x:c r="O6" s="346" t="str">
        <x:f>IF('Architecture &amp; Licensing'!$O$3="","",'Architecture &amp; Licensing'!$O$3)</x:f>
        <x:v>Centralized hosted service; technically self-hostable but not intended/supported</x:v>
      </x:c>
      <x:c r="P6" s="346" t="str">
        <x:f>IF('Architecture &amp; Licensing'!$P$3="","",'Architecture &amp; Licensing'!$P$3)</x:f>
        <x:v>Centralized globally distributed/regional service</x:v>
      </x:c>
      <x:c r="Q6" s="346" t="str">
        <x:f>IF('Architecture &amp; Licensing'!$Q$3="","",'Architecture &amp; Licensing'!$Q$3)</x:f>
        <x:v>Hosted + self-hosting option; federation-oriented</x:v>
      </x:c>
      <x:c r="R6" s="346" t="str">
        <x:f>IF('Architecture &amp; Licensing'!$R$3="","",'Architecture &amp; Licensing'!$R$3)</x:f>
        <x:v>Hosted now; self-hosting/federation being built</x:v>
      </x:c>
      <x:c r="S6" s="346" t="str">
        <x:f>IF('Architecture &amp; Licensing'!$S$3="","",'Architecture &amp; Licensing'!$S$3)</x:f>
        <x:v>Hosted platform; self-host status U/K</x:v>
      </x:c>
      <x:c r="T6" s="346" t="str">
        <x:f>IF('Architecture &amp; Licensing'!$T$3="","",'Architecture &amp; Licensing'!$T$3)</x:f>
        <x:v>Centralized hosted service</x:v>
      </x:c>
      <x:c r="U6" s="346" t="str">
        <x:f>IF('Architecture &amp; Licensing'!$U$3="","",'Architecture &amp; Licensing'!$U$3)</x:f>
        <x:v>Self-hosted first + optional managed hosting</x:v>
      </x:c>
      <x:c r="V6" s="346" t="str">
        <x:f>IF('Architecture &amp; Licensing'!$V$3="","",'Architecture &amp; Licensing'!$V$3)</x:f>
        <x:v>Self-hostable Discord-compatible service</x:v>
      </x:c>
      <x:c r="W6" s="346" t="str">
        <x:f>IF('Architecture &amp; Licensing'!$W$3="","",'Architecture &amp; Licensing'!$W$3)</x:f>
        <x:v>ATProto/Bluesky-connected distributed application</x:v>
      </x:c>
      <x:c r="X6" s="346" t="str">
        <x:f>IF('Architecture &amp; Licensing'!$X$3="","",'Architecture &amp; Licensing'!$X$3)</x:f>
        <x:v>Serverless-by-default Nostr/relay network; optional relay-backed communities</x:v>
      </x:c>
      <x:c r="Y6" s="346" t="str">
        <x:f>IF('Architecture &amp; Licensing'!$Y$3="","",'Architecture &amp; Licensing'!$Y$3)</x:f>
        <x:v>Distributed local-first relay-based; self-hostable relay</x:v>
      </x:c>
      <x:c r="Z6" s="346" t="str">
        <x:f>IF('Architecture &amp; Licensing'!$Z$3="","",'Architecture &amp; Licensing'!$Z$3)</x:f>
        <x:v>Self-hosted only; decentralized home-server messenger</x:v>
      </x:c>
      <x:c r="AA6" s="380" t="str">
        <x:f>IF('Architecture &amp; Licensing'!$AA$3="","",'Architecture &amp; Licensing'!$AA$3)</x:f>
        <x:v>Centralized hosted service</x:v>
      </x:c>
      <x:c r="AB6" s="346" t="str">
        <x:f>IF('Architecture &amp; Licensing'!$AB$3="","",'Architecture &amp; Licensing'!$AB$3)</x:f>
        <x:v>Hosted service + self-host</x:v>
      </x:c>
      <x:c r="AC6" s="346" t="str">
        <x:f>IF('Architecture &amp; Licensing'!$AC$3="","",'Architecture &amp; Licensing'!$AC$3)</x:f>
        <x:v>Centralized hosted service</x:v>
      </x:c>
      <x:c r="AD6" s="346" t="str">
        <x:f>IF('Architecture &amp; Licensing'!$AD$3="","",'Architecture &amp; Licensing'!$AD$3)</x:f>
        <x:v>Hosted + self-hostable node-based platform</x:v>
      </x:c>
      <x:c r="AE6" s="346" t="str">
        <x:f>IF('Architecture &amp; Licensing'!$AE$3="","",'Architecture &amp; Licensing'!$AE$3)</x:f>
        <x:v>Centralized hosted platform</x:v>
      </x:c>
    </x:row>
    <x:row r="7" ht="36" customHeight="1">
      <x:c r="A7" s="358" t="str">
        <x:v>Client / Server License</x:v>
      </x:c>
      <x:c r="B7" s="344" t="str">
        <x:f>IF('Architecture &amp; Licensing'!$B$5&amp;'Architecture &amp; Licensing'!$B$6="","",'Architecture &amp; Licensing'!$B$5&amp;" / "&amp;'Architecture &amp; Licensing'!$B$6)</x:f>
        <x:v>Proprietary / Proprietary</x:v>
      </x:c>
      <x:c r="C7" s="344" t="str">
        <x:f>IF('Architecture &amp; Licensing'!$C$5&amp;'Architecture &amp; Licensing'!$C$6="","",'Architecture &amp; Licensing'!$C$5&amp;" / "&amp;'Architecture &amp; Licensing'!$C$6)</x:f>
        <x:v>FOSS (web client AGPL-3.0; clients vary) / FOSS (backend generally AGPL-3.0)</x:v>
      </x:c>
      <x:c r="D7" s="344" t="str">
        <x:f>IF('Architecture &amp; Licensing'!$D$5&amp;'Architecture &amp; Licensing'!$D$6="","",'Architecture &amp; Licensing'!$D$5&amp;" / "&amp;'Architecture &amp; Licensing'!$D$6)</x:f>
        <x:v>Proprietary during alpha; open-source release planned / Proprietary during alpha; open-source release planned</x:v>
      </x:c>
      <x:c r="E7" s="344" t="str">
        <x:f>IF('Architecture &amp; Licensing'!$E$5&amp;'Architecture &amp; Licensing'!$E$6="","",'Architecture &amp; Licensing'!$E$5&amp;" / "&amp;'Architecture &amp; Licensing'!$E$6)</x:f>
        <x:v>FOSS (AGPL-3.0) / FOSS (AGPL-3.0)</x:v>
      </x:c>
      <x:c r="F7" s="344" t="str">
        <x:f>IF('Architecture &amp; Licensing'!$F$5&amp;'Architecture &amp; Licensing'!$F$6="","",'Architecture &amp; Licensing'!$F$5&amp;" / "&amp;'Architecture &amp; Licensing'!$F$6)</x:f>
        <x:v>Proprietary / Proprietary</x:v>
      </x:c>
      <x:c r="G7" s="344" t="str">
        <x:f>IF('Architecture &amp; Licensing'!$G$5&amp;'Architecture &amp; Licensing'!$G$6="","",'Architecture &amp; Licensing'!$G$5&amp;" / "&amp;'Architecture &amp; Licensing'!$G$6)</x:f>
        <x:v>Varies by client; many FOSS (e.g., Element, Element X, Cinny) / Varies by homeserver; Synapse is AGPLv3/commercial dual model</x:v>
      </x:c>
      <x:c r="H7" s="344" t="str">
        <x:f>IF('Architecture &amp; Licensing'!$H$5&amp;'Architecture &amp; Licensing'!$H$6="","",'Architecture &amp; Licensing'!$H$5&amp;" / "&amp;'Architecture &amp; Licensing'!$H$6)</x:f>
        <x:v>FOSS (AGPL-3.0 project components) / FOSS (AGPL-3.0)</x:v>
      </x:c>
      <x:c r="I7" s="344" t="str">
        <x:f>IF('Architecture &amp; Licensing'!$I$5&amp;'Architecture &amp; Licensing'!$I$6="","",'Architecture &amp; Licensing'!$I$5&amp;" / "&amp;'Architecture &amp; Licensing'!$I$6)</x:f>
        <x:v>FOSS (BSD-style / BSD-3-Clause) / FOSS (BSD-style / BSD-3-Clause)</x:v>
      </x:c>
      <x:c r="J7" s="344" t="str">
        <x:f>IF('Architecture &amp; Licensing'!$J$5&amp;'Architecture &amp; Licensing'!$J$6="","",'Architecture &amp; Licensing'!$J$5&amp;" / "&amp;'Architecture &amp; Licensing'!$J$6)</x:f>
        <x:v>Proprietary / Proprietary</x:v>
      </x:c>
      <x:c r="K7" s="345" t="str">
        <x:f>IF('Architecture &amp; Licensing'!$K$5&amp;'Architecture &amp; Licensing'!$K$6="","",'Architecture &amp; Licensing'!$K$5&amp;" / "&amp;'Architecture &amp; Licensing'!$K$6)</x:f>
        <x:v>FOSS (Apache-2.0) / FOSS (Apache-2.0 server/web app)</x:v>
      </x:c>
      <x:c r="L7" s="346" t="str">
        <x:f>IF('Architecture &amp; Licensing'!$L$5&amp;'Architecture &amp; Licensing'!$L$6="","",'Architecture &amp; Licensing'!$L$5&amp;" / "&amp;'Architecture &amp; Licensing'!$L$6)</x:f>
        <x:v>FOSS/open-source clients; exact repo license varies / Open source Team Edition / AGPL-source plus commercial Enterprise editions</x:v>
      </x:c>
      <x:c r="M7" s="346" t="str">
        <x:f>IF('Architecture &amp; Licensing'!$M$5&amp;'Architecture &amp; Licensing'!$M$6="","",'Architecture &amp; Licensing'!$M$5&amp;" / "&amp;'Architecture &amp; Licensing'!$M$6)</x:f>
        <x:v>FOSS core client; MIT components / enterprise extensions / FOSS core (MIT) + enterprise-licensed portions</x:v>
      </x:c>
      <x:c r="N7" s="346" t="str">
        <x:f>IF('Architecture &amp; Licensing'!$N$5&amp;'Architecture &amp; Licensing'!$N$6="","",'Architecture &amp; Licensing'!$N$5&amp;" / "&amp;'Architecture &amp; Licensing'!$N$6)</x:f>
        <x:v>Proprietary / Proprietary</x:v>
      </x:c>
      <x:c r="O7" s="346" t="str">
        <x:f>IF('Architecture &amp; Licensing'!$O$5&amp;'Architecture &amp; Licensing'!$O$6="","",'Architecture &amp; Licensing'!$O$5&amp;" / "&amp;'Architecture &amp; Licensing'!$O$6)</x:f>
        <x:v>FOSS GPL-family components / FOSS GPL-3.0 server/web components</x:v>
      </x:c>
      <x:c r="P7" s="346" t="str">
        <x:f>IF('Architecture &amp; Licensing'!$P$5&amp;'Architecture &amp; Licensing'!$P$6="","",'Architecture &amp; Licensing'!$P$5&amp;" / "&amp;'Architecture &amp; Licensing'!$P$6)</x:f>
        <x:v>Proprietary client / source status mixed / Server components partly open-source; exact scope U/K</x:v>
      </x:c>
      <x:c r="Q7" s="346" t="str">
        <x:f>IF('Architecture &amp; Licensing'!$Q$5&amp;'Architecture &amp; Licensing'!$Q$6="","",'Architecture &amp; Licensing'!$Q$5&amp;" / "&amp;'Architecture &amp; Licensing'!$Q$6)</x:f>
        <x:v>Client license U/K / AGPL/open-source claims; exact current scope U/K</x:v>
      </x:c>
      <x:c r="R7" s="346" t="str">
        <x:f>IF('Architecture &amp; Licensing'!$R$5&amp;'Architecture &amp; Licensing'!$R$6="","",'Architecture &amp; Licensing'!$R$5&amp;" / "&amp;'Architecture &amp; Licensing'!$R$6)</x:f>
        <x:v>Client source planned; not yet fully public / Backend source public</x:v>
      </x:c>
      <x:c r="S7" s="346" t="str">
        <x:f>IF('Architecture &amp; Licensing'!$S$5&amp;'Architecture &amp; Licensing'!$S$6="","",'Architecture &amp; Licensing'!$S$5&amp;" / "&amp;'Architecture &amp; Licensing'!$S$6)</x:f>
        <x:v>Open-source client code / Open-source server stack/components</x:v>
      </x:c>
      <x:c r="T7" s="346" t="str">
        <x:f>IF('Architecture &amp; Licensing'!$T$5&amp;'Architecture &amp; Licensing'!$T$6="","",'Architecture &amp; Licensing'!$T$5&amp;" / "&amp;'Architecture &amp; Licensing'!$T$6)</x:f>
        <x:v>Proprietary / Proprietary</x:v>
      </x:c>
      <x:c r="U7" s="346" t="str">
        <x:f>IF('Architecture &amp; Licensing'!$U$5&amp;'Architecture &amp; Licensing'!$U$6="","",'Architecture &amp; Licensing'!$U$5&amp;" / "&amp;'Architecture &amp; Licensing'!$U$6)</x:f>
        <x:v>Proprietary client/service license U/K / Proprietary licensed server U/K</x:v>
      </x:c>
      <x:c r="V7" s="346" t="str">
        <x:f>IF('Architecture &amp; Licensing'!$V$5&amp;'Architecture &amp; Licensing'!$V$6="","",'Architecture &amp; Licensing'!$V$5&amp;" / "&amp;'Architecture &amp; Licensing'!$V$6)</x:f>
        <x:v>Fermi client AGPL-3.0 / Harmony server FOSS (Codeberg); exact license U/K</x:v>
      </x:c>
      <x:c r="W7" s="346" t="str">
        <x:f>IF('Architecture &amp; Licensing'!$W$5&amp;'Architecture &amp; Licensing'!$W$6="","",'Architecture &amp; Licensing'!$W$5&amp;" / "&amp;'Architecture &amp; Licensing'!$W$6)</x:f>
        <x:v>MPL-2.0 project / MPL-2.0 project/server components</x:v>
      </x:c>
      <x:c r="X7" s="346" t="str">
        <x:f>IF('Architecture &amp; Licensing'!$X$5&amp;'Architecture &amp; Licensing'!$X$6="","",'Architecture &amp; Licensing'!$X$5&amp;" / "&amp;'Architecture &amp; Licensing'!$X$6)</x:f>
        <x:v>Open source / Open source/protocol components</x:v>
      </x:c>
      <x:c r="Y7" s="346" t="str">
        <x:f>IF('Architecture &amp; Licensing'!$Y$5&amp;'Architecture &amp; Licensing'!$Y$6="","",'Architecture &amp; Licensing'!$Y$5&amp;" / "&amp;'Architecture &amp; Licensing'!$Y$6)</x:f>
        <x:v>Open source / Open source relay/server</x:v>
      </x:c>
      <x:c r="Z7" s="346" t="str">
        <x:f>IF('Architecture &amp; Licensing'!$Z$5&amp;'Architecture &amp; Licensing'!$Z$6="","",'Architecture &amp; Licensing'!$Z$5&amp;" / "&amp;'Architecture &amp; Licensing'!$Z$6)</x:f>
        <x:v>FOSS AGPL-3.0 / FOSS AGPL-3.0</x:v>
      </x:c>
      <x:c r="AA7" s="380" t="str">
        <x:f>IF('Architecture &amp; Licensing'!$AA$5&amp;'Architecture &amp; Licensing'!$AA$6="","",'Architecture &amp; Licensing'!$AA$5&amp;" / "&amp;'Architecture &amp; Licensing'!$AA$6)</x:f>
        <x:v>Proprietary / Proprietary</x:v>
      </x:c>
      <x:c r="AB7" s="346" t="str">
        <x:f>IF('Architecture &amp; Licensing'!$AB$5&amp;'Architecture &amp; Licensing'!$AB$6="","",'Architecture &amp; Licensing'!$AB$5&amp;" / "&amp;'Architecture &amp; Licensing'!$AB$6)</x:f>
        <x:v>AGPL open source / AGPL open source</x:v>
      </x:c>
      <x:c r="AC7" s="346" t="str">
        <x:f>IF('Architecture &amp; Licensing'!$AC$5&amp;'Architecture &amp; Licensing'!$AC$6="","",'Architecture &amp; Licensing'!$AC$5&amp;" / "&amp;'Architecture &amp; Licensing'!$AC$6)</x:f>
        <x:v>Proprietary / Proprietary Rust backend</x:v>
      </x:c>
      <x:c r="AD7" s="346" t="str">
        <x:f>IF('Architecture &amp; Licensing'!$AD$5&amp;'Architecture &amp; Licensing'!$AD$6="","",'Architecture &amp; Licensing'!$AD$5&amp;" / "&amp;'Architecture &amp; Licensing'!$AD$6)</x:f>
        <x:v>AGPL-3.0 / AGPL-3.0</x:v>
      </x:c>
      <x:c r="AE7" s="346" t="str">
        <x:f>IF('Architecture &amp; Licensing'!$AE$5&amp;'Architecture &amp; Licensing'!$AE$6="","",'Architecture &amp; Licensing'!$AE$5&amp;" / "&amp;'Architecture &amp; Licensing'!$AE$6)</x:f>
        <x:v>Source-available client/server U/K / Source-available</x:v>
      </x:c>
    </x:row>
    <x:row r="8" ht="36" customHeight="1">
      <x:c r="A8" s="358" t="str">
        <x:v>Default E2EE (DMs)</x:v>
      </x:c>
      <x:c r="B8" s="344" t="str">
        <x:f>IF('Security &amp; Privacy'!$B$4="","",'Security &amp; Privacy'!$B$4)</x:f>
        <x:v>No for text DMs; DM voice/video calls are E2EE</x:v>
      </x:c>
      <x:c r="C8" s="344" t="str">
        <x:f>IF('Security &amp; Privacy'!$C$4="","",'Security &amp; Privacy'!$C$4)</x:f>
        <x:v>No default text E2EE verified</x:v>
      </x:c>
      <x:c r="D8" s="344" t="str">
        <x:f>IF('Security &amp; Privacy'!$D$4="","",'Security &amp; Privacy'!$D$4)</x:f>
        <x:v>Yes - DM text E2EE by default</x:v>
      </x:c>
      <x:c r="E8" s="344" t="str">
        <x:f>IF('Security &amp; Privacy'!$E$4="","",'Security &amp; Privacy'!$E$4)</x:f>
        <x:v>No - latest 2026 privacy policy says nothing is E2EE yet</x:v>
      </x:c>
      <x:c r="F8" s="344" t="str">
        <x:f>IF('Security &amp; Privacy'!$F$4="","",'Security &amp; Privacy'!$F$4)</x:f>
        <x:v>No text E2EE disclosed</x:v>
      </x:c>
      <x:c r="G8" s="344" t="str">
        <x:f>IF('Security &amp; Privacy'!$G$4="","",'Security &amp; Privacy'!$G$4)</x:f>
        <x:v>Supported by Matrix E2EE; default behavior is client-dependent</x:v>
      </x:c>
      <x:c r="H8" s="344" t="str">
        <x:f>IF('Security &amp; Privacy'!$H$4="","",'Security &amp; Privacy'!$H$4)</x:f>
        <x:v>No documented default text E2EE</x:v>
      </x:c>
      <x:c r="I8" s="344" t="str">
        <x:f>IF('Security &amp; Privacy'!$I$4="","",'Security &amp; Privacy'!$I$4)</x:f>
        <x:v>N/A - not a Discord-style persistent DM platform</x:v>
      </x:c>
      <x:c r="J8" s="344" t="str">
        <x:f>IF('Security &amp; Privacy'!$J$4="","",'Security &amp; Privacy'!$J$4)</x:f>
        <x:v>Text E2EE U/K</x:v>
      </x:c>
      <x:c r="K8" s="345" t="str">
        <x:f>IF('Security &amp; Privacy'!$K$4="","",'Security &amp; Privacy'!$K$4)</x:f>
        <x:v>No native E2EE for server-stored chat</x:v>
      </x:c>
      <x:c r="L8" s="346" t="str">
        <x:f>IF('Security &amp; Privacy'!$L$4="","",'Security &amp; Privacy'!$L$4)</x:f>
        <x:v>No native E2EE for server-stored messages</x:v>
      </x:c>
      <x:c r="M8" s="346" t="str">
        <x:f>IF('Security &amp; Privacy'!$M$4="","",'Security &amp; Privacy'!$M$4)</x:f>
        <x:v>E2EE available for certain conversations but deployment/client constraints apply</x:v>
      </x:c>
      <x:c r="N8" s="346" t="str">
        <x:f>IF('Security &amp; Privacy'!$N$4="","",'Security &amp; Privacy'!$N$4)</x:f>
        <x:v>No text E2EE claim</x:v>
      </x:c>
      <x:c r="O8" s="346" t="str">
        <x:f>IF('Security &amp; Privacy'!$O$4="","",'Security &amp; Privacy'!$O$4)</x:f>
        <x:v>No public default E2EE verified</x:v>
      </x:c>
      <x:c r="P8" s="346" t="str">
        <x:f>IF('Security &amp; Privacy'!$P$4="","",'Security &amp; Privacy'!$P$4)</x:f>
        <x:v>No E2EE text claim</x:v>
      </x:c>
      <x:c r="Q8" s="346" t="str">
        <x:f>IF('Security &amp; Privacy'!$Q$4="","",'Security &amp; Privacy'!$Q$4)</x:f>
        <x:v>E2EE for eligible content; exact default DM status U/K</x:v>
      </x:c>
      <x:c r="R8" s="346" t="str">
        <x:f>IF('Security &amp; Privacy'!$R$4="","",'Security &amp; Privacy'!$R$4)</x:f>
        <x:v>Default unencrypted; per-conversation E2EE planned/opt-in</x:v>
      </x:c>
      <x:c r="S8" s="346" t="str">
        <x:f>IF('Security &amp; Privacy'!$S$4="","",'Security &amp; Privacy'!$S$4)</x:f>
        <x:v>E2EE claimed</x:v>
      </x:c>
      <x:c r="T8" s="346" t="str">
        <x:f>IF('Security &amp; Privacy'!$T$4="","",'Security &amp; Privacy'!$T$4)</x:f>
        <x:v>E2EE not yet verified/currently WIP</x:v>
      </x:c>
      <x:c r="U8" s="346" t="str">
        <x:f>IF('Security &amp; Privacy'!$U$4="","",'Security &amp; Privacy'!$U$4)</x:f>
        <x:v>Server/operator controlled; E2EE not claimed</x:v>
      </x:c>
      <x:c r="V8" s="346" t="str">
        <x:f>IF('Security &amp; Privacy'!$V$4="","",'Security &amp; Privacy'!$V$4)</x:f>
        <x:v>No E2EE currently</x:v>
      </x:c>
      <x:c r="W8" s="346" t="str">
        <x:f>IF('Security &amp; Privacy'!$W$4="","",'Security &amp; Privacy'!$W$4)</x:f>
        <x:v>No E2EE chat claim verified</x:v>
      </x:c>
      <x:c r="X8" s="346" t="str">
        <x:f>IF('Security &amp; Privacy'!$X$4="","",'Security &amp; Privacy'!$X$4)</x:f>
        <x:v>Yes - E2EE community/DM design</x:v>
      </x:c>
      <x:c r="Y8" s="346" t="str">
        <x:f>IF('Security &amp; Privacy'!$Y$4="","",'Security &amp; Privacy'!$Y$4)</x:f>
        <x:v>Yes</x:v>
      </x:c>
      <x:c r="Z8" s="346" t="str">
        <x:f>IF('Security &amp; Privacy'!$Z$4="","",'Security &amp; Privacy'!$Z$4)</x:f>
        <x:v>Yes - desktop server DMs can be E2EE; decentralized messenger always E2EE</x:v>
      </x:c>
      <x:c r="AA8" s="380" t="str">
        <x:f>IF('Security &amp; Privacy'!$AA$4="","",'Security &amp; Privacy'!$AA$4)</x:f>
        <x:v>Yes - DM text E2EE (Signal-style X3DH/Double Ratchet)</x:v>
      </x:c>
      <x:c r="AB8" s="346" t="str">
        <x:f>IF('Security &amp; Privacy'!$AB$4="","",'Security &amp; Privacy'!$AB$4)</x:f>
        <x:v>No E2EE claim</x:v>
      </x:c>
      <x:c r="AC8" s="346" t="str">
        <x:f>IF('Security &amp; Privacy'!$AC$4="","",'Security &amp; Privacy'!$AC$4)</x:f>
        <x:v>No E2EE text claim</x:v>
      </x:c>
      <x:c r="AD8" s="346" t="str">
        <x:f>IF('Security &amp; Privacy'!$AD$4="","",'Security &amp; Privacy'!$AD$4)</x:f>
        <x:v>No default E2EE claim</x:v>
      </x:c>
      <x:c r="AE8" s="346" t="str">
        <x:f>IF('Security &amp; Privacy'!$AE$4="","",'Security &amp; Privacy'!$AE$4)</x:f>
        <x:v>No E2EE text claim</x:v>
      </x:c>
    </x:row>
    <x:row r="9" ht="36" customHeight="1">
      <x:c r="A9" s="358" t="str">
        <x:v>Default E2EE (Channels)</x:v>
      </x:c>
      <x:c r="B9" s="344" t="str">
        <x:f>IF('Security &amp; Privacy'!$B$6="","",'Security &amp; Privacy'!$B$6)</x:f>
        <x:v>No for text channels/rooms; voice/video channels are E2EE except Stage</x:v>
      </x:c>
      <x:c r="C9" s="344" t="str">
        <x:f>IF('Security &amp; Privacy'!$C$6="","",'Security &amp; Privacy'!$C$6)</x:f>
        <x:v>No default channel E2EE</x:v>
      </x:c>
      <x:c r="D9" s="344" t="str">
        <x:f>IF('Security &amp; Privacy'!$D$6="","",'Security &amp; Privacy'!$D$6)</x:f>
        <x:v>No - server/community text channels are plaintext to server</x:v>
      </x:c>
      <x:c r="E9" s="344" t="str">
        <x:f>IF('Security &amp; Privacy'!$E$6="","",'Security &amp; Privacy'!$E$6)</x:f>
        <x:v>No</x:v>
      </x:c>
      <x:c r="F9" s="344" t="str">
        <x:f>IF('Security &amp; Privacy'!$F$6="","",'Security &amp; Privacy'!$F$6)</x:f>
        <x:v>No text E2EE disclosed</x:v>
      </x:c>
      <x:c r="G9" s="344" t="str">
        <x:f>IF('Security &amp; Privacy'!$G$6="","",'Security &amp; Privacy'!$G$6)</x:f>
        <x:v>Supported for encrypted rooms; not every room is encrypted</x:v>
      </x:c>
      <x:c r="H9" s="344" t="str">
        <x:f>IF('Security &amp; Privacy'!$H$6="","",'Security &amp; Privacy'!$H$6)</x:f>
        <x:v>No documented channel E2EE</x:v>
      </x:c>
      <x:c r="I9" s="344" t="str">
        <x:f>IF('Security &amp; Privacy'!$I$6="","",'Security &amp; Privacy'!$I$6)</x:f>
        <x:v>N/A</x:v>
      </x:c>
      <x:c r="J9" s="344" t="str">
        <x:f>IF('Security &amp; Privacy'!$J$6="","",'Security &amp; Privacy'!$J$6)</x:f>
        <x:v>Text E2EE U/K</x:v>
      </x:c>
      <x:c r="K9" s="345" t="str">
        <x:f>IF('Security &amp; Privacy'!$K$6="","",'Security &amp; Privacy'!$K$6)</x:f>
        <x:v>No</x:v>
      </x:c>
      <x:c r="L9" s="346" t="str">
        <x:f>IF('Security &amp; Privacy'!$L$6="","",'Security &amp; Privacy'!$L$6)</x:f>
        <x:v>No</x:v>
      </x:c>
      <x:c r="M9" s="346" t="str">
        <x:f>IF('Security &amp; Privacy'!$M$6="","",'Security &amp; Privacy'!$M$6)</x:f>
        <x:v>Encrypted rooms supported locally; federation docs note E2EE is not supported across federated servers</x:v>
      </x:c>
      <x:c r="N9" s="346" t="str">
        <x:f>IF('Security &amp; Privacy'!$N$6="","",'Security &amp; Privacy'!$N$6)</x:f>
        <x:v>No channel text E2EE claim</x:v>
      </x:c>
      <x:c r="O9" s="346" t="str">
        <x:f>IF('Security &amp; Privacy'!$O$6="","",'Security &amp; Privacy'!$O$6)</x:f>
        <x:v>No</x:v>
      </x:c>
      <x:c r="P9" s="346" t="str">
        <x:f>IF('Security &amp; Privacy'!$P$6="","",'Security &amp; Privacy'!$P$6)</x:f>
        <x:v>No</x:v>
      </x:c>
      <x:c r="Q9" s="346" t="str">
        <x:f>IF('Security &amp; Privacy'!$Q$6="","",'Security &amp; Privacy'!$Q$6)</x:f>
        <x:v>E2EE status U/K</x:v>
      </x:c>
      <x:c r="R9" s="346" t="str">
        <x:f>IF('Security &amp; Privacy'!$R$6="","",'Security &amp; Privacy'!$R$6)</x:f>
        <x:v>Same/U/K</x:v>
      </x:c>
      <x:c r="S9" s="346" t="str">
        <x:f>IF('Security &amp; Privacy'!$S$6="","",'Security &amp; Privacy'!$S$6)</x:f>
        <x:v>E2EE/zero-knowledge claims U/K by scope</x:v>
      </x:c>
      <x:c r="T9" s="346" t="str">
        <x:f>IF('Security &amp; Privacy'!$T$6="","",'Security &amp; Privacy'!$T$6)</x:f>
        <x:v>E2EE WIP/U/K</x:v>
      </x:c>
      <x:c r="U9" s="346" t="str">
        <x:f>IF('Security &amp; Privacy'!$U$6="","",'Security &amp; Privacy'!$U$6)</x:f>
        <x:v>U/K</x:v>
      </x:c>
      <x:c r="V9" s="346" t="str">
        <x:f>IF('Security &amp; Privacy'!$V$6="","",'Security &amp; Privacy'!$V$6)</x:f>
        <x:v>No</x:v>
      </x:c>
      <x:c r="W9" s="346" t="str">
        <x:f>IF('Security &amp; Privacy'!$W$6="","",'Security &amp; Privacy'!$W$6)</x:f>
        <x:v>No</x:v>
      </x:c>
      <x:c r="X9" s="346" t="str">
        <x:f>IF('Security &amp; Privacy'!$X$6="","",'Security &amp; Privacy'!$X$6)</x:f>
        <x:v>Yes - encrypted communities</x:v>
      </x:c>
      <x:c r="Y9" s="346" t="str">
        <x:f>IF('Security &amp; Privacy'!$Y$6="","",'Security &amp; Privacy'!$Y$6)</x:f>
        <x:v>Encrypted private channels; public channels intentionally unencrypted</x:v>
      </x:c>
      <x:c r="Z9" s="346" t="str">
        <x:f>IF('Security &amp; Privacy'!$Z$6="","",'Security &amp; Privacy'!$Z$6)</x:f>
        <x:v>Server channels generally not E2EE</x:v>
      </x:c>
      <x:c r="AA9" s="380" t="str">
        <x:f>IF('Security &amp; Privacy'!$AA$6="","",'Security &amp; Privacy'!$AA$6)</x:f>
        <x:v>No - Shard/community channel text is encrypted at rest, not E2EE</x:v>
      </x:c>
      <x:c r="AB9" s="346" t="str">
        <x:f>IF('Security &amp; Privacy'!$AB$6="","",'Security &amp; Privacy'!$AB$6)</x:f>
        <x:v>No</x:v>
      </x:c>
      <x:c r="AC9" s="346" t="str">
        <x:f>IF('Security &amp; Privacy'!$AC$6="","",'Security &amp; Privacy'!$AC$6)</x:f>
        <x:v>No</x:v>
      </x:c>
      <x:c r="AD9" s="346" t="str">
        <x:f>IF('Security &amp; Privacy'!$AD$6="","",'Security &amp; Privacy'!$AD$6)</x:f>
        <x:v>No</x:v>
      </x:c>
      <x:c r="AE9" s="346" t="str">
        <x:f>IF('Security &amp; Privacy'!$AE$6="","",'Security &amp; Privacy'!$AE$6)</x:f>
        <x:v>No</x:v>
      </x:c>
    </x:row>
    <x:row r="10" ht="36" customHeight="1">
      <x:c r="A10" s="358" t="str">
        <x:v>Max Screen Share (Free Res/FPS)</x:v>
      </x:c>
      <x:c r="B10" s="344" t="str">
        <x:f>IF('Video &amp; Screen Sharing'!$B$3&amp;'Video &amp; Screen Sharing'!$B$4="","",'Video &amp; Screen Sharing'!$B$3&amp;" / "&amp;'Video &amp; Screen Sharing'!$B$4)</x:f>
        <x:v>720p / 30 fps</x:v>
      </x:c>
      <x:c r="C10" s="344" t="str">
        <x:f>IF('Video &amp; Screen Sharing'!$C$3&amp;'Video &amp; Screen Sharing'!$C$4="","",'Video &amp; Screen Sharing'!$C$3&amp;" / "&amp;'Video &amp; Screen Sharing'!$C$4)</x:f>
        <x:v>U/K (client-dependent) / U/K</x:v>
      </x:c>
      <x:c r="D10" s="344" t="str">
        <x:f>IF('Video &amp; Screen Sharing'!$D$3&amp;'Video &amp; Screen Sharing'!$D$4="","",'Video &amp; Screen Sharing'!$D$3&amp;" / "&amp;'Video &amp; Screen Sharing'!$D$4)</x:f>
        <x:v>U/K / U/K</x:v>
      </x:c>
      <x:c r="E10" s="344" t="str">
        <x:f>IF('Video &amp; Screen Sharing'!$E$3&amp;'Video &amp; Screen Sharing'!$E$4="","",'Video &amp; Screen Sharing'!$E$3&amp;" / "&amp;'Video &amp; Screen Sharing'!$E$4)</x:f>
        <x:v>720p / 30 fps</x:v>
      </x:c>
      <x:c r="F10" s="344" t="str">
        <x:f>IF('Video &amp; Screen Sharing'!$F$3&amp;'Video &amp; Screen Sharing'!$F$4="","",'Video &amp; Screen Sharing'!$F$3&amp;" / "&amp;'Video &amp; Screen Sharing'!$F$4)</x:f>
        <x:v>720p Game Mode / Source mode / 30 fps Game Mode / 5 fps Source mode</x:v>
      </x:c>
      <x:c r="G10" s="344" t="str">
        <x:f>IF('Video &amp; Screen Sharing'!$G$3&amp;'Video &amp; Screen Sharing'!$G$4="","",'Video &amp; Screen Sharing'!$G$3&amp;" / "&amp;'Video &amp; Screen Sharing'!$G$4)</x:f>
        <x:v>Varies by client / Varies by client</x:v>
      </x:c>
      <x:c r="H10" s="344" t="str">
        <x:f>IF('Video &amp; Screen Sharing'!$H$3&amp;'Video &amp; Screen Sharing'!$H$4="","",'Video &amp; Screen Sharing'!$H$3&amp;" / "&amp;'Video &amp; Screen Sharing'!$H$4)</x:f>
        <x:v>Supported by recommended Pion voice implementation / U/K</x:v>
      </x:c>
      <x:c r="I10" s="344" t="str">
        <x:f>IF('Video &amp; Screen Sharing'!$I$3&amp;'Video &amp; Screen Sharing'!$I$4="","",'Video &amp; Screen Sharing'!$I$3&amp;" / "&amp;'Video &amp; Screen Sharing'!$I$4)</x:f>
        <x:v>N/A / N/A</x:v>
      </x:c>
      <x:c r="J10" s="344" t="str">
        <x:f>IF('Video &amp; Screen Sharing'!$J$3&amp;'Video &amp; Screen Sharing'!$J$4="","",'Video &amp; Screen Sharing'!$J$3&amp;" / "&amp;'Video &amp; Screen Sharing'!$J$4)</x:f>
        <x:v>TS6 supports screen sharing; exact free resolution U/K / U/K</x:v>
      </x:c>
      <x:c r="K10" s="345" t="str">
        <x:f>IF('Video &amp; Screen Sharing'!$K$3&amp;'Video &amp; Screen Sharing'!$K$4="","",'Video &amp; Screen Sharing'!$K$3&amp;" / "&amp;'Video &amp; Screen Sharing'!$K$4)</x:f>
        <x:v>External call provider-dependent / Provider-dependent</x:v>
      </x:c>
      <x:c r="L10" s="346" t="str">
        <x:f>IF('Video &amp; Screen Sharing'!$L$3&amp;'Video &amp; Screen Sharing'!$L$4="","",'Video &amp; Screen Sharing'!$L$3&amp;" / "&amp;'Video &amp; Screen Sharing'!$L$4)</x:f>
        <x:v>Provider/deployment dependent; native Calls screen share / U/K</x:v>
      </x:c>
      <x:c r="M10" s="346" t="str">
        <x:f>IF('Video &amp; Screen Sharing'!$M$3&amp;'Video &amp; Screen Sharing'!$M$4="","",'Video &amp; Screen Sharing'!$M$3&amp;" / "&amp;'Video &amp; Screen Sharing'!$M$4)</x:f>
        <x:v>Provider/deployment-dependent / U/K</x:v>
      </x:c>
      <x:c r="N10" s="346" t="str">
        <x:f>IF('Video &amp; Screen Sharing'!$N$3&amp;'Video &amp; Screen Sharing'!$N$4="","",'Video &amp; Screen Sharing'!$N$3&amp;" / "&amp;'Video &amp; Screen Sharing'!$N$4)</x:f>
        <x:v>1080p / 30 fps</x:v>
      </x:c>
      <x:c r="O10" s="346" t="str">
        <x:f>IF('Video &amp; Screen Sharing'!$O$3&amp;'Video &amp; Screen Sharing'!$O$4="","",'Video &amp; Screen Sharing'!$O$3&amp;" / "&amp;'Video &amp; Screen Sharing'!$O$4)</x:f>
        <x:v>U/K / U/K</x:v>
      </x:c>
      <x:c r="P10" s="346" t="str">
        <x:f>IF('Video &amp; Screen Sharing'!$P$3&amp;'Video &amp; Screen Sharing'!$P$4="","",'Video &amp; Screen Sharing'!$P$3&amp;" / "&amp;'Video &amp; Screen Sharing'!$P$4)</x:f>
        <x:v>U/K / U/K</x:v>
      </x:c>
      <x:c r="Q10" s="346" t="str">
        <x:f>IF('Video &amp; Screen Sharing'!$Q$3&amp;'Video &amp; Screen Sharing'!$Q$4="","",'Video &amp; Screen Sharing'!$Q$3&amp;" / "&amp;'Video &amp; Screen Sharing'!$Q$4)</x:f>
        <x:v>HD/U/K / U/K</x:v>
      </x:c>
      <x:c r="R10" s="346" t="str">
        <x:f>IF('Video &amp; Screen Sharing'!$R$3&amp;'Video &amp; Screen Sharing'!$R$4="","",'Video &amp; Screen Sharing'!$R$3&amp;" / "&amp;'Video &amp; Screen Sharing'!$R$4)</x:f>
        <x:v>U/K / U/K</x:v>
      </x:c>
      <x:c r="S10" s="346" t="str">
        <x:f>IF('Video &amp; Screen Sharing'!$S$3&amp;'Video &amp; Screen Sharing'!$S$4="","",'Video &amp; Screen Sharing'!$S$3&amp;" / "&amp;'Video &amp; Screen Sharing'!$S$4)</x:f>
        <x:v>Unlimited resolution claim / Unlimited / U/K</x:v>
      </x:c>
      <x:c r="T10" s="346" t="str">
        <x:f>IF('Video &amp; Screen Sharing'!$T$3&amp;'Video &amp; Screen Sharing'!$T$4="","",'Video &amp; Screen Sharing'!$T$3&amp;" / "&amp;'Video &amp; Screen Sharing'!$T$4)</x:f>
        <x:v>U/K / U/K</x:v>
      </x:c>
      <x:c r="U10" s="346" t="str">
        <x:f>IF('Video &amp; Screen Sharing'!$U$3&amp;'Video &amp; Screen Sharing'!$U$4="","",'Video &amp; Screen Sharing'!$U$3&amp;" / "&amp;'Video &amp; Screen Sharing'!$U$4)</x:f>
        <x:v>Up to 1440p included / U/K</x:v>
      </x:c>
      <x:c r="V10" s="346" t="str">
        <x:f>IF('Video &amp; Screen Sharing'!$V$3&amp;'Video &amp; Screen Sharing'!$V$4="","",'Video &amp; Screen Sharing'!$V$3&amp;" / "&amp;'Video &amp; Screen Sharing'!$V$4)</x:f>
        <x:v>In development / In development</x:v>
      </x:c>
      <x:c r="W10" s="346" t="str">
        <x:f>IF('Video &amp; Screen Sharing'!$W$3&amp;'Video &amp; Screen Sharing'!$W$4="","",'Video &amp; Screen Sharing'!$W$3&amp;" / "&amp;'Video &amp; Screen Sharing'!$W$4)</x:f>
        <x:v>N/A/U/K / N/A/U/K</x:v>
      </x:c>
      <x:c r="X10" s="346" t="str">
        <x:f>IF('Video &amp; Screen Sharing'!$X$3&amp;'Video &amp; Screen Sharing'!$X$4="","",'Video &amp; Screen Sharing'!$X$3&amp;" / "&amp;'Video &amp; Screen Sharing'!$X$4)</x:f>
        <x:v>U/K / U/K</x:v>
      </x:c>
      <x:c r="Y10" s="346" t="str">
        <x:f>IF('Video &amp; Screen Sharing'!$Y$3&amp;'Video &amp; Screen Sharing'!$Y$4="","",'Video &amp; Screen Sharing'!$Y$3&amp;" / "&amp;'Video &amp; Screen Sharing'!$Y$4)</x:f>
        <x:v>P2P/client dependent / U/K</x:v>
      </x:c>
      <x:c r="Z10" s="346" t="str">
        <x:f>IF('Video &amp; Screen Sharing'!$Z$3&amp;'Video &amp; Screen Sharing'!$Z$4="","",'Video &amp; Screen Sharing'!$Z$3&amp;" / "&amp;'Video &amp; Screen Sharing'!$Z$4)</x:f>
        <x:v>Up to 4K theoretical/configurable / Up to 60/120 depending docs/version</x:v>
      </x:c>
      <x:c r="AA10" s="380" t="str">
        <x:f>IF('Video &amp; Screen Sharing'!$AA$3&amp;'Video &amp; Screen Sharing'!$AA$4="","",'Video &amp; Screen Sharing'!$AA$3&amp;" / "&amp;'Video &amp; Screen Sharing'!$AA$4)</x:f>
        <x:v>U/K / U/K</x:v>
      </x:c>
      <x:c r="AB10" s="346" t="str">
        <x:f>IF('Video &amp; Screen Sharing'!$AB$3&amp;'Video &amp; Screen Sharing'!$AB$4="","",'Video &amp; Screen Sharing'!$AB$3&amp;" / "&amp;'Video &amp; Screen Sharing'!$AB$4)</x:f>
        <x:v>Up to 1080p / U/K</x:v>
      </x:c>
      <x:c r="AC10" s="346" t="str">
        <x:f>IF('Video &amp; Screen Sharing'!$AC$3&amp;'Video &amp; Screen Sharing'!$AC$4="","",'Video &amp; Screen Sharing'!$AC$3&amp;" / "&amp;'Video &amp; Screen Sharing'!$AC$4)</x:f>
        <x:v>HD default; exact resolution U/K / U/K</x:v>
      </x:c>
      <x:c r="AD10" s="346" t="str">
        <x:f>IF('Video &amp; Screen Sharing'!$AD$3&amp;'Video &amp; Screen Sharing'!$AD$4="","",'Video &amp; Screen Sharing'!$AD$3&amp;" / "&amp;'Video &amp; Screen Sharing'!$AD$4)</x:f>
        <x:v>U/K / U/K</x:v>
      </x:c>
      <x:c r="AE10" s="346" t="str">
        <x:f>IF('Video &amp; Screen Sharing'!$AE$3&amp;'Video &amp; Screen Sharing'!$AE$4="","",'Video &amp; Screen Sharing'!$AE$3&amp;" / "&amp;'Video &amp; Screen Sharing'!$AE$4)</x:f>
        <x:v>U/K / U/K</x:v>
      </x:c>
    </x:row>
    <x:row r="11" ht="36" customHeight="1">
      <x:c r="A11" s="358" t="str">
        <x:v>Max Free File Upload Size</x:v>
      </x:c>
      <x:c r="B11" s="344" t="str">
        <x:f>IF('Core Features'!$B$10="","",'Core Features'!$B$10)</x:f>
        <x:v>Yes - Discord Markdown subset</x:v>
      </x:c>
      <x:c r="C11" s="344" t="str">
        <x:f>IF('Core Features'!$C$10="","",'Core Features'!$C$10)</x:f>
        <x:v>Yes</x:v>
      </x:c>
      <x:c r="D11" s="344" t="str">
        <x:f>IF('Core Features'!$D$10="","",'Core Features'!$D$10)</x:f>
        <x:v>Yes</x:v>
      </x:c>
      <x:c r="E11" s="344" t="str">
        <x:f>IF('Core Features'!$E$10="","",'Core Features'!$E$10)</x:f>
        <x:v>Yes</x:v>
      </x:c>
      <x:c r="F11" s="344" t="str">
        <x:f>IF('Core Features'!$F$10="","",'Core Features'!$F$10)</x:f>
        <x:v>Yes</x:v>
      </x:c>
      <x:c r="G11" s="344" t="str">
        <x:f>IF('Core Features'!$G$10="","",'Core Features'!$G$10)</x:f>
        <x:v>Client-dependent</x:v>
      </x:c>
      <x:c r="H11" s="344" t="str">
        <x:f>IF('Core Features'!$H$10="","",'Core Features'!$H$10)</x:f>
        <x:v>Yes/Discord-compatible target</x:v>
      </x:c>
      <x:c r="I11" s="344" t="str">
        <x:f>IF('Core Features'!$I$10="","",'Core Features'!$I$10)</x:f>
        <x:v>No</x:v>
      </x:c>
      <x:c r="J11" s="344" t="str">
        <x:f>IF('Core Features'!$J$10="","",'Core Features'!$J$10)</x:f>
        <x:v>U/K</x:v>
      </x:c>
      <x:c r="K11" s="345" t="str">
        <x:f>IF('Core Features'!$K$10="","",'Core Features'!$K$10)</x:f>
        <x:v>Yes</x:v>
      </x:c>
      <x:c r="L11" s="346" t="str">
        <x:f>IF('Core Features'!$L$10="","",'Core Features'!$L$10)</x:f>
        <x:v>Yes</x:v>
      </x:c>
      <x:c r="M11" s="346" t="str">
        <x:f>IF('Core Features'!$M$10="","",'Core Features'!$M$10)</x:f>
        <x:v>Yes</x:v>
      </x:c>
      <x:c r="N11" s="346" t="str">
        <x:f>IF('Core Features'!$N$10="","",'Core Features'!$N$10)</x:f>
        <x:v>Yes</x:v>
      </x:c>
      <x:c r="O11" s="346" t="str">
        <x:f>IF('Core Features'!$O$10="","",'Core Features'!$O$10)</x:f>
        <x:v>Yes</x:v>
      </x:c>
      <x:c r="P11" s="346" t="str">
        <x:f>IF('Core Features'!$P$10="","",'Core Features'!$P$10)</x:f>
        <x:v>Yes/U/K</x:v>
      </x:c>
      <x:c r="Q11" s="346" t="str">
        <x:f>IF('Core Features'!$Q$10="","",'Core Features'!$Q$10)</x:f>
        <x:v>Yes</x:v>
      </x:c>
      <x:c r="R11" s="346" t="str">
        <x:f>IF('Core Features'!$R$10="","",'Core Features'!$R$10)</x:f>
        <x:v>U/K</x:v>
      </x:c>
      <x:c r="S11" s="346" t="str">
        <x:f>IF('Core Features'!$S$10="","",'Core Features'!$S$10)</x:f>
        <x:v>Yes</x:v>
      </x:c>
      <x:c r="T11" s="346" t="str">
        <x:f>IF('Core Features'!$T$10="","",'Core Features'!$T$10)</x:f>
        <x:v>Yes/U/K</x:v>
      </x:c>
      <x:c r="U11" s="346" t="str">
        <x:f>IF('Core Features'!$U$10="","",'Core Features'!$U$10)</x:f>
        <x:v>U/K</x:v>
      </x:c>
      <x:c r="V11" s="346" t="str">
        <x:f>IF('Core Features'!$V$10="","",'Core Features'!$V$10)</x:f>
        <x:v>Yes/Discord-like</x:v>
      </x:c>
      <x:c r="W11" s="346" t="str">
        <x:f>IF('Core Features'!$W$10="","",'Core Features'!$W$10)</x:f>
        <x:v>Yes/U/K</x:v>
      </x:c>
      <x:c r="X11" s="346" t="str">
        <x:f>IF('Core Features'!$X$10="","",'Core Features'!$X$10)</x:f>
        <x:v>Yes/U/K</x:v>
      </x:c>
      <x:c r="Y11" s="346" t="str">
        <x:f>IF('Core Features'!$Y$10="","",'Core Features'!$Y$10)</x:f>
        <x:v>Yes/U/K</x:v>
      </x:c>
      <x:c r="Z11" s="346" t="str">
        <x:f>IF('Core Features'!$Z$10="","",'Core Features'!$Z$10)</x:f>
        <x:v>Yes</x:v>
      </x:c>
      <x:c r="AA11" s="380" t="str">
        <x:f>IF('Core Features'!$AA$10="","",'Core Features'!$AA$10)</x:f>
        <x:v>Yes/U/K</x:v>
      </x:c>
      <x:c r="AB11" s="346" t="str">
        <x:f>IF('Core Features'!$AB$10="","",'Core Features'!$AB$10)</x:f>
        <x:v>Yes</x:v>
      </x:c>
      <x:c r="AC11" s="346" t="str">
        <x:f>IF('Core Features'!$AC$10="","",'Core Features'!$AC$10)</x:f>
        <x:v>Yes</x:v>
      </x:c>
      <x:c r="AD11" s="346" t="str">
        <x:f>IF('Core Features'!$AD$10="","",'Core Features'!$AD$10)</x:f>
        <x:v>Yes</x:v>
      </x:c>
      <x:c r="AE11" s="346" t="str">
        <x:f>IF('Core Features'!$AE$10="","",'Core Features'!$AE$10)</x:f>
        <x:v>Yes</x:v>
      </x:c>
    </x:row>
    <x:row r="12" ht="36" customHeight="1">
      <x:c r="A12" s="358" t="str">
        <x:v>Persistent Voice Rooms</x:v>
      </x:c>
      <x:c r="B12" s="344" t="str">
        <x:v>Yes - persistent server voice channels</x:v>
      </x:c>
      <x:c r="C12" s="344" t="str">
        <x:v>Yes - persistent server voice channels</x:v>
      </x:c>
      <x:c r="D12" s="344" t="str">
        <x:v>Yes</x:v>
      </x:c>
      <x:c r="E12" s="344" t="str">
        <x:v>Yes</x:v>
      </x:c>
      <x:c r="F12" s="344" t="str">
        <x:v>Yes</x:v>
      </x:c>
      <x:c r="G12" s="344" t="str">
        <x:v>Client-dependent; many clients support calls/rooms</x:v>
      </x:c>
      <x:c r="H12" s="344" t="str">
        <x:v>Yes when optional voice package is installed</x:v>
      </x:c>
      <x:c r="I12" s="344" t="str">
        <x:v>Yes - voice channels are the core product</x:v>
      </x:c>
      <x:c r="J12" s="344" t="str">
        <x:v>Yes</x:v>
      </x:c>
      <x:c r="K12" s="345" t="str">
        <x:v>No native persistent voice rooms</x:v>
      </x:c>
      <x:c r="L12" s="346" t="str">
        <x:v>Calls available; not Discord-style always-on voice-first UX</x:v>
      </x:c>
      <x:c r="M12" s="346" t="str">
        <x:v>Voice/video deployment/provider-dependent</x:v>
      </x:c>
      <x:c r="N12" s="346" t="str">
        <x:v>Yes</x:v>
      </x:c>
      <x:c r="O12" s="346" t="str">
        <x:v>U/K</x:v>
      </x:c>
      <x:c r="P12" s="346" t="str">
        <x:v>Yes</x:v>
      </x:c>
      <x:c r="Q12" s="346" t="str">
        <x:v>Yes</x:v>
      </x:c>
      <x:c r="R12" s="346" t="str">
        <x:v>Yes/U/K</x:v>
      </x:c>
      <x:c r="S12" s="346" t="str">
        <x:v>Yes</x:v>
      </x:c>
      <x:c r="T12" s="346" t="str">
        <x:v>Yes</x:v>
      </x:c>
      <x:c r="U12" s="346" t="str">
        <x:v>Yes</x:v>
      </x:c>
      <x:c r="V12" s="346" t="str">
        <x:v>Partial</x:v>
      </x:c>
      <x:c r="W12" s="346" t="str">
        <x:v>No mature voice verified</x:v>
      </x:c>
      <x:c r="X12" s="346" t="str">
        <x:v>Yes</x:v>
      </x:c>
      <x:c r="Y12" s="346" t="str">
        <x:v>Calls, not persistent voice rooms</x:v>
      </x:c>
      <x:c r="Z12" s="346" t="str">
        <x:v>Yes</x:v>
      </x:c>
      <x:c r="AA12" s="380" t="str">
        <x:v>Yes</x:v>
      </x:c>
      <x:c r="AB12" s="346" t="str">
        <x:v>Yes</x:v>
      </x:c>
      <x:c r="AC12" s="346" t="str">
        <x:v>Yes</x:v>
      </x:c>
      <x:c r="AD12" s="346" t="str">
        <x:v>Yes</x:v>
      </x:c>
      <x:c r="AE12" s="346" t="str">
        <x:v>Yes</x:v>
      </x:c>
    </x:row>
    <x:row r="13" ht="36" customHeight="1">
      <x:c r="A13" s="358" t="str">
        <x:v>Native AI Features</x:v>
      </x:c>
      <x:c r="B13" s="344" t="str">
        <x:v>Limited - experimental Conversation Summaries + AI/ML safety features</x:v>
      </x:c>
      <x:c r="C13" s="344" t="str">
        <x:v>No prominent native generative-AI feature verified</x:v>
      </x:c>
      <x:c r="D13" s="344" t="str">
        <x:v>No prominent native generative AI</x:v>
      </x:c>
      <x:c r="E13" s="344" t="str">
        <x:v>No native AI/LLM inference over content</x:v>
      </x:c>
      <x:c r="F13" s="344" t="str">
        <x:v>No prominent generative AI feature</x:v>
      </x:c>
      <x:c r="G13" s="344" t="str">
        <x:v>No Matrix-wide native AI; provider/client-specific</x:v>
      </x:c>
      <x:c r="H13" s="344" t="str">
        <x:v>None</x:v>
      </x:c>
      <x:c r="I13" s="344" t="str">
        <x:v>None</x:v>
      </x:c>
      <x:c r="J13" s="344" t="str">
        <x:v>No prominent native generative AI verified</x:v>
      </x:c>
      <x:c r="K13" s="345" t="str">
        <x:v>None required</x:v>
      </x:c>
      <x:c r="L13" s="346" t="str">
        <x:v>Optional enterprise/integration AI</x:v>
      </x:c>
      <x:c r="M13" s="346" t="str">
        <x:v>Optional apps/integrations</x:v>
      </x:c>
      <x:c r="N13" s="346" t="str">
        <x:v>No prominent native generative AI verified</x:v>
      </x:c>
      <x:c r="O13" s="346" t="str">
        <x:v>No native AI verified</x:v>
      </x:c>
      <x:c r="P13" s="346" t="str">
        <x:v>No prominent native AI verified</x:v>
      </x:c>
      <x:c r="Q13" s="346" t="str">
        <x:v>Translation + transcription</x:v>
      </x:c>
      <x:c r="R13" s="346" t="str">
        <x:v>No native AI verified</x:v>
      </x:c>
      <x:c r="S13" s="346" t="str">
        <x:v>Yes - moderation/translation/summaries</x:v>
      </x:c>
      <x:c r="T13" s="346" t="str">
        <x:v>No prominent native AI verified</x:v>
      </x:c>
      <x:c r="U13" s="346" t="str">
        <x:v>None</x:v>
      </x:c>
      <x:c r="V13" s="346" t="str">
        <x:v>None</x:v>
      </x:c>
      <x:c r="W13" s="346" t="str">
        <x:v>None</x:v>
      </x:c>
      <x:c r="X13" s="346" t="str">
        <x:v>None</x:v>
      </x:c>
      <x:c r="Y13" s="346" t="str">
        <x:v>None</x:v>
      </x:c>
      <x:c r="Z13" s="346" t="str">
        <x:v>None</x:v>
      </x:c>
      <x:c r="AA13" s="380" t="str">
        <x:v>No AI reading/training</x:v>
      </x:c>
      <x:c r="AB13" s="346" t="str">
        <x:v>No native AI verified</x:v>
      </x:c>
      <x:c r="AC13" s="346" t="str">
        <x:v>No native AI advertised</x:v>
      </x:c>
      <x:c r="AD13" s="346" t="str">
        <x:v>None verified</x:v>
      </x:c>
      <x:c r="AE13" s="346" t="str">
        <x:v>Game-specific AI features</x:v>
      </x:c>
    </x:row>
    <x:row r="14" ht="36" customHeight="1">
      <x:c r="A14" s="358" t="str">
        <x:v>User Data Scraped for AI Training?</x:v>
      </x:c>
      <x:c r="B14" s="344" t="str">
        <x:v>No - Discord states AI companies may not train models using user messages</x:v>
      </x:c>
      <x:c r="C14" s="344" t="str">
        <x:v>U/K</x:v>
      </x:c>
      <x:c r="D14" s="344" t="str">
        <x:v>U/K</x:v>
      </x:c>
      <x:c r="E14" s="344" t="str">
        <x:v>No - explicit privacy policy</x:v>
      </x:c>
      <x:c r="F14" s="344" t="str">
        <x:v>No - privacy policy says no model training</x:v>
      </x:c>
      <x:c r="G14" s="344" t="str">
        <x:v>Provider-specific - Matrix has no single data controller</x:v>
      </x:c>
      <x:c r="H14" s="344" t="str">
        <x:v>Self-host operator-controlled</x:v>
      </x:c>
      <x:c r="I14" s="344" t="str">
        <x:v>N/A - no central hosted content service</x:v>
      </x:c>
      <x:c r="J14" s="344" t="str">
        <x:v>U/K</x:v>
      </x:c>
      <x:c r="K14" s="345" t="str">
        <x:v>U/K / provider-specific</x:v>
      </x:c>
      <x:c r="L14" s="346" t="str">
        <x:v>Deployment/provider-specific</x:v>
      </x:c>
      <x:c r="M14" s="346" t="str">
        <x:v>Deployment/provider-specific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No central training of self-host content</x:v>
      </x:c>
      <x:c r="V14" s="346" t="str">
        <x:v>N/A/self-host</x:v>
      </x:c>
      <x:c r="W14" s="346" t="str">
        <x:v>Provider-dependent</x:v>
      </x:c>
      <x:c r="X14" s="346" t="str">
        <x:v>Encrypted/no central host</x:v>
      </x:c>
      <x:c r="Y14" s="346" t="str">
        <x:v>No central plaintext service</x:v>
      </x:c>
      <x:c r="Z14" s="346" t="str">
        <x:v>Self-host controlled</x:v>
      </x:c>
      <x:c r="AA14" s="380" t="str">
        <x:v>No - explicit no-training statement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58" t="str">
        <x:v>Primary Business Model</x:v>
      </x:c>
      <x:c r="B15" s="344" t="str">
        <x:v>Freemium - Nitro/paid products + sponsored content</x:v>
      </x:c>
      <x:c r="C15" s="344" t="str">
        <x:v>Free/open-source hosted + self-hostable; funding details U/K</x:v>
      </x:c>
      <x:c r="D15" s="344" t="str">
        <x:v>Freemium/subscription plans; alpha</x:v>
      </x:c>
      <x:c r="E15" s="344" t="str">
        <x:v>Subscriber/donor-funded freemium; no VC</x:v>
      </x:c>
      <x:c r="F15" s="344" t="str">
        <x:v>Private freemium + Sudo subscription</x:v>
      </x:c>
      <x:c r="G15" s="344" t="str">
        <x:v>Open protocol/foundation ecosystem + commercial providers</x:v>
      </x:c>
      <x:c r="H15" s="344" t="str">
        <x:v>Free open-source self-hosting</x:v>
      </x:c>
      <x:c r="I15" s="344" t="str">
        <x:v>Free open source; third-party hosting</x:v>
      </x:c>
      <x:c r="J15" s="344" t="str">
        <x:v>Commercial licenses/hosting</x:v>
      </x:c>
      <x:c r="K15" s="345" t="str">
        <x:v>Cloud subscriptions + open-source self-hosting</x:v>
      </x:c>
      <x:c r="L15" s="346" t="str">
        <x:v>Enterprise subscriptions + open-source/self-hosted editions</x:v>
      </x:c>
      <x:c r="M15" s="346" t="str">
        <x:v>Cloud/enterprise subscriptions + open-source core</x:v>
      </x:c>
      <x:c r="N15" s="346" t="str">
        <x:v>Free + self-host/server licensing</x:v>
      </x:c>
      <x:c r="O15" s="346" t="str">
        <x:v>Donation-funded free service</x:v>
      </x:c>
      <x:c r="P15" s="346" t="str">
        <x:v>Free centralized service; monetization U/K</x:v>
      </x:c>
      <x:c r="Q15" s="346" t="str">
        <x:v>Free/open beta; monetization U/K</x:v>
      </x:c>
      <x:c r="R15" s="346" t="str">
        <x:v>Early open-source/community project</x:v>
      </x:c>
      <x:c r="S15" s="346" t="str">
        <x:v>Free platform / company-backed</x:v>
      </x:c>
      <x:c r="T15" s="346" t="str">
        <x:v>Free/community project</x:v>
      </x:c>
      <x:c r="U15" s="346" t="str">
        <x:v>Paid self-host license + managed hosting</x:v>
      </x:c>
      <x:c r="V15" s="346" t="str">
        <x:v>Free open-source volunteer project</x:v>
      </x:c>
      <x:c r="W15" s="346" t="str">
        <x:v>Open-source community project</x:v>
      </x:c>
      <x:c r="X15" s="346" t="str">
        <x:v>Open-source relay-based ecosystem</x:v>
      </x:c>
      <x:c r="Y15" s="346" t="str">
        <x:v>Free open source / solo project</x:v>
      </x:c>
      <x:c r="Z15" s="346" t="str">
        <x:v>Free AGPL self-hosting/donations</x:v>
      </x:c>
      <x:c r="AA15" s="380" t="str">
        <x:v>Free/no ads; future model U/K</x:v>
      </x:c>
      <x:c r="AB15" s="346" t="str">
        <x:v>Free/open-source hosted beta + self-host</x:v>
      </x:c>
      <x:c r="AC15" s="346" t="str">
        <x:v>Free/private early product</x:v>
      </x:c>
      <x:c r="AD15" s="346" t="str">
        <x:v>Free + Stargazer subscriptions/Patreon</x:v>
      </x:c>
      <x:c r="AE15" s="346" t="str">
        <x:v>Free core + paid custom/private lobby tiers</x:v>
      </x:c>
    </x:row>
    <x:row r="16" ht="36" customHeight="1">
      <x:c r="A16" s="358" t="str">
        <x:v>Discord Server Importer</x:v>
      </x:c>
      <x:c r="B16" s="344" t="str">
        <x:v>N/A - Discord is the source platform</x:v>
      </x:c>
      <x:c r="C16" s="344" t="str">
        <x:v>No verified first-party importer</x:v>
      </x:c>
      <x:c r="D16" s="344" t="str">
        <x:v>Planned/advertised template import</x:v>
      </x:c>
      <x:c r="E16" s="344" t="str">
        <x:v>No full importer verified</x:v>
      </x:c>
      <x:c r="F16" s="344" t="str">
        <x:v>Yes - Discord server template roles/channels/groups/permissions</x:v>
      </x:c>
      <x:c r="G16" s="344" t="str">
        <x:v>No protocol-level importer; third-party migration tools vary</x:v>
      </x:c>
      <x:c r="H16" s="344" t="str">
        <x:v>API compatibility rather than importer</x:v>
      </x:c>
      <x:c r="I16" s="344" t="str">
        <x:v>No</x:v>
      </x:c>
      <x:c r="J16" s="344" t="str">
        <x:v>No</x:v>
      </x:c>
      <x:c r="K16" s="345" t="str">
        <x:v>No - imports Slack/Mattermost/Rocket.Chat instead</x:v>
      </x:c>
      <x:c r="L16" s="346" t="str">
        <x:v>No</x:v>
      </x:c>
      <x:c r="M16" s="346" t="str">
        <x:v>No verified Discord importer</x:v>
      </x:c>
      <x:c r="N16" s="346" t="str">
        <x:v>Yes - structural server importer</x:v>
      </x:c>
      <x:c r="O16" s="346" t="str">
        <x:v>No</x:v>
      </x:c>
      <x:c r="P16" s="346" t="str">
        <x:v>Partial/template migration reported</x:v>
      </x:c>
      <x:c r="Q16" s="346" t="str">
        <x:v>Yes - broad structural importer</x:v>
      </x:c>
      <x:c r="R16" s="346" t="str">
        <x:v>No</x:v>
      </x:c>
      <x:c r="S16" s="346" t="str">
        <x:v>U/K</x:v>
      </x:c>
      <x:c r="T16" s="346" t="str">
        <x:v>No</x:v>
      </x:c>
      <x:c r="U16" s="346" t="str">
        <x:v>No</x:v>
      </x:c>
      <x:c r="V16" s="346" t="str">
        <x:v>No</x:v>
      </x:c>
      <x:c r="W16" s="346" t="str">
        <x:v>Bridge, not importer</x:v>
      </x:c>
      <x:c r="X16" s="346" t="str">
        <x:v>Bridge/copy support reported</x:v>
      </x:c>
      <x:c r="Y16" s="346" t="str">
        <x:v>No</x:v>
      </x:c>
      <x:c r="Z16" s="346" t="str">
        <x:v>No</x:v>
      </x:c>
      <x:c r="AA16" s="380" t="str">
        <x:v>No</x:v>
      </x:c>
      <x:c r="AB16" s="346" t="str">
        <x:v>Yes - Discord template layout</x:v>
      </x:c>
      <x:c r="AC16" s="346" t="str">
        <x:v>No</x:v>
      </x:c>
      <x:c r="AD16" s="346" t="str">
        <x:v>Yes</x:v>
      </x:c>
      <x:c r="AE16" s="346" t="str">
        <x:v>No</x:v>
      </x:c>
    </x:row>
    <x:row r="17" ht="36" customHeight="1">
      <x:c r="A17" s="358" t="str">
        <x:v>Standout Advantage vs. Discord</x:v>
      </x:c>
      <x:c r="B17" s="344" t="str">
        <x:v>Baseline/reference platform - N/A</x:v>
      </x:c>
      <x:c r="C17" s="344" t="str">
        <x:v>FOSS + self-hosting with Discord-like UX</x:v>
      </x:c>
      <x:c r="D17" s="344" t="str">
        <x:v>Default E2EE private DMs + built-in community/events focus</x:v>
      </x:c>
      <x:c r="E17" s="344" t="str">
        <x:v>Open source + self-hosting + Discord-like UX</x:v>
      </x:c>
      <x:c r="F17" s="344" t="str">
        <x:v>Very Discord-like migration path + integrated hosted Apps/Bots</x:v>
      </x:c>
      <x:c r="G17" s="344" t="str">
        <x:v>Open federated protocol, self-hosting, client choice, E2EE-capable rooms</x:v>
      </x:c>
      <x:c r="H17" s="344" t="str">
        <x:v>Discord API compatibility + complete operator control</x:v>
      </x:c>
      <x:c r="I17" s="344" t="str">
        <x:v>Mature low-latency self-hosted voice + positional audio</x:v>
      </x:c>
      <x:c r="J17" s="344" t="str">
        <x:v>Mature low-latency voice and self-hosted server control</x:v>
      </x:c>
      <x:c r="K17" s="345" t="str">
        <x:v>Exceptional topic-based organized text + open source/self-hosting</x:v>
      </x:c>
      <x:c r="L17" s="346" t="str">
        <x:v>Enterprise self-hosting/data sovereignty + mature admin tooling</x:v>
      </x:c>
      <x:c r="M17" s="346" t="str">
        <x:v>Self-hosting + enterprise collaboration + federation options</x:v>
      </x:c>
      <x:c r="N17" s="346" t="str">
        <x:v>Strong Discord migration tooling + self-hosting + voice focus</x:v>
      </x:c>
      <x:c r="O17" s="346" t="str">
        <x:v>Open source, lightweight Discord-like community chat</x:v>
      </x:c>
      <x:c r="P17" s="346" t="str">
        <x:v>Regional data placement + broad native client support</x:v>
      </x:c>
      <x:c r="Q17" s="346" t="str">
        <x:v>Discord-like API compatibility + federation/self-hosting direction</x:v>
      </x:c>
      <x:c r="R17" s="346" t="str">
        <x:v>Open-source/self-host/federation direction</x:v>
      </x:c>
      <x:c r="S17" s="346" t="str">
        <x:v>Native high-performance clients + no-paywall media + built-in AI</x:v>
      </x:c>
      <x:c r="T17" s="346" t="str">
        <x:v>No-email/phone identity + privacy focus + rich channel types</x:v>
      </x:c>
      <x:c r="U17" s="346" t="str">
        <x:v>Self-hosted voice/chat/screen + spatial audio</x:v>
      </x:c>
      <x:c r="V17" s="346" t="str">
        <x:v>Open source + Discord API compatibility + client/server separation</x:v>
      </x:c>
      <x:c r="W17" s="346" t="str">
        <x:v>ATProto identity/data model + bidirectional Discord bridge + docs/gardening features</x:v>
      </x:c>
      <x:c r="X17" s="346" t="str">
        <x:v>Portable key identity + E2EE + no central host required</x:v>
      </x:c>
      <x:c r="Y17" s="346" t="str">
        <x:v>Local-first E2EE + portable key identity + self-host relay</x:v>
      </x:c>
      <x:c r="Z17" s="346" t="str">
        <x:v>Self-host-only + cross-server E2EE messenger + high configurable screen share</x:v>
      </x:c>
      <x:c r="AA17" s="380" t="str">
        <x:v>No email/phone/ID + EXIF stripping + no AI training + portal workspace</x:v>
      </x:c>
      <x:c r="AB17" s="346" t="str">
        <x:v>1080p free multi-screen sharing + open source/self-host + export</x:v>
      </x:c>
      <x:c r="AC17" s="346" t="str">
        <x:v>Cross-platform LiveKit voice/chat/screen with Discord-like UX</x:v>
      </x:c>
      <x:c r="AD17" s="346" t="str">
        <x:v>Fully open-source + self-host + importer + rich community features</x:v>
      </x:c>
      <x:c r="AE17" s="346" t="str">
        <x:v>Game-native lobbies with deep API integrations and built-in voice/video</x:v>
      </x:c>
    </x:row>
    <x:row r="18" ht="36" customHeight="1">
      <x:c r="A18" s="358" t="str">
        <x:v>Biggest Current Limitation</x:v>
      </x:c>
      <x:c r="B18" s="344" t="str">
        <x:v>Text messages are not E2EE; no self-hosting/federation; centralized proprietary service</x:v>
      </x:c>
      <x:c r="C18" s="344" t="str">
        <x:v>No federation; text E2EE not verified/default; feature completeness still maturing</x:v>
      </x:c>
      <x:c r="D18" s="344" t="str">
        <x:v>Alpha; proprietary today; no self-hosting/federation; cryptography still maturing</x:v>
      </x:c>
      <x:c r="E18" s="344" t="str">
        <x:v>Public beta; no text E2EE yet; federation not yet available</x:v>
      </x:c>
      <x:c r="F18" s="344" t="str">
        <x:v>Closed source, centralized, no text E2EE/self-hosting</x:v>
      </x:c>
      <x:c r="G18" s="344" t="str">
        <x:v>UX/features vary substantially by client/homeserver; no single Matrix app</x:v>
      </x:c>
      <x:c r="H18" s="344" t="str">
        <x:v>Alpha/WIP; separate instances do not federate; setup is technical</x:v>
      </x:c>
      <x:c r="I18" s="344" t="str">
        <x:v>Voice-first, not a full Discord community/text replacement</x:v>
      </x:c>
      <x:c r="J18" s="344" t="str">
        <x:v>Less Discord-like community/text ecosystem; TS6 is still beta</x:v>
      </x:c>
      <x:c r="K18" s="345" t="str">
        <x:v>Voice/video depend on external providers; less gaming/community oriented</x:v>
      </x:c>
      <x:c r="L18" s="346" t="str">
        <x:v>Not gaming/community-first; no native E2EE for server-stored messages</x:v>
      </x:c>
      <x:c r="M18" s="346" t="str">
        <x:v>Media/federation/E2EE behavior is deployment/version dependent; less Discord-like voice UX</x:v>
      </x:c>
      <x:c r="N18" s="346" t="str">
        <x:v>Proprietary; federation/text E2EE not verified</x:v>
      </x:c>
      <x:c r="O18" s="346" t="str">
        <x:v>No federation; self-hosting unsupported as a normal use case; limited media documentation</x:v>
      </x:c>
      <x:c r="P18" s="346" t="str">
        <x:v>Centralized/proprietary model; text E2EE/self-hosting not verified</x:v>
      </x:c>
      <x:c r="Q18" s="346" t="str">
        <x:v>Early beta; mobile/export/federation details still evolving</x:v>
      </x:c>
      <x:c r="R18" s="346" t="str">
        <x:v>Experimental; federation/E2EE/client source are still in progress</x:v>
      </x:c>
      <x:c r="S18" s="346" t="str">
        <x:v>Federation/self-hosting and detailed crypto defaults are U/K</x:v>
      </x:c>
      <x:c r="T18" s="346" t="str">
        <x:v>Centralized/closed source; E2EE deployment/audits not mature</x:v>
      </x:c>
      <x:c r="U18" s="346" t="str">
        <x:v>Proprietary and non-federated; smaller ecosystem</x:v>
      </x:c>
      <x:c r="V18" s="346" t="str">
        <x:v>Very early; web-only; voice/screenshare/federation/E2EE incomplete</x:v>
      </x:c>
      <x:c r="W18" s="346" t="str">
        <x:v>Early and text-focused; not yet a full Discord media replacement</x:v>
      </x:c>
      <x:c r="X18" s="346" t="str">
        <x:v>Young ecosystem; setup/relay/bot UX still maturing</x:v>
      </x:c>
      <x:c r="Y18" s="346" t="str">
        <x:v>Very early/solo; no mature Discord migration or persistent voice-room ecosystem</x:v>
      </x:c>
      <x:c r="Z18" s="346" t="str">
        <x:v>Technical setup and young custom protocol; iOS/federation completeness U/K</x:v>
      </x:c>
      <x:c r="AA18" s="380" t="str">
        <x:v>Centralized/closed source; E2EE and detailed media limits not published</x:v>
      </x:c>
      <x:c r="AB18" s="346" t="str">
        <x:v>No federation/E2EE; early beta</x:v>
      </x:c>
      <x:c r="AC18" s="346" t="str">
        <x:v>Centralized/closed source; privacy/crypto/audit details sparse</x:v>
      </x:c>
      <x:c r="AD18" s="346" t="str">
        <x:v>Alpha; iOS/media/E2EE details incomplete</x:v>
      </x:c>
      <x:c r="AE18" s="346" t="str">
        <x:v>Centralized/solo beta; no E2EE, self-hosting, federation or Discord migration</x:v>
      </x:c>
    </x:row>
    <x:row r="19" ht="23" customHeight="1">
      <x:c r="A19" s="386" t="str">
        <x:v>Platform Model Snapshot</x:v>
      </x:c>
      <x:c r="B19" s="386"/>
      <x:c r="C19" s="386"/>
      <x:c r="D19" s="386"/>
      <x:c r="E19" s="386"/>
      <x:c r="F19" s="386"/>
      <x:c r="G19" s="386"/>
      <x:c r="H19" s="386"/>
      <x:c r="I19" s="386"/>
      <x:c r="J19" s="386"/>
      <x:c r="K19" s="386"/>
      <x:c r="L19" s="386"/>
      <x:c r="M19" s="386"/>
      <x:c r="N19" s="386"/>
      <x:c r="O19" s="386"/>
      <x:c r="P19" s="386"/>
      <x:c r="Q19" s="386"/>
      <x:c r="R19" s="386"/>
      <x:c r="S19" s="386"/>
      <x:c r="T19" s="386"/>
      <x:c r="U19" s="386"/>
      <x:c r="V19" s="386"/>
      <x:c r="W19" s="386"/>
      <x:c r="X19" s="386"/>
      <x:c r="Y19" s="386"/>
      <x:c r="Z19" s="386"/>
      <x:c r="AA19" s="386"/>
      <x:c r="AB19" s="386"/>
      <x:c r="AC19" s="386"/>
      <x:c r="AD19" s="386"/>
      <x:c r="AE19" s="386"/>
    </x:row>
    <x:row r="20" ht="36" customHeight="1">
      <x:c r="A20" s="359" t="str">
        <x:v>Product Type</x:v>
      </x:c>
      <x:c r="B20" s="346" t="str">
        <x:f>IF('Platform Model &amp; Ecosystem'!$B$4="","",'Platform Model &amp; Ecosystem'!$B$4)</x:f>
        <x:v>Centralized proprietary communication service</x:v>
      </x:c>
      <x:c r="C20" s="346" t="str">
        <x:f>IF('Platform Model &amp; Ecosystem'!$C$4="","",'Platform Model &amp; Ecosystem'!$C$4)</x:f>
        <x:v>Hosted + self-hostable Discord-like service</x:v>
      </x:c>
      <x:c r="D20" s="346" t="str">
        <x:f>IF('Platform Model &amp; Ecosystem'!$D$4="","",'Platform Model &amp; Ecosystem'!$D$4)</x:f>
        <x:v>Centralized hosted community platform</x:v>
      </x:c>
      <x:c r="E20" s="346" t="str">
        <x:f>IF('Platform Model &amp; Ecosystem'!$E$4="","",'Platform Model &amp; Ecosystem'!$E$4)</x:f>
        <x:v>Hosted + self-hostable Discord-like service</x:v>
      </x:c>
      <x:c r="F20" s="346" t="str">
        <x:f>IF('Platform Model &amp; Ecosystem'!$F$4="","",'Platform Model &amp; Ecosystem'!$F$4)</x:f>
        <x:v>Centralized proprietary community platform</x:v>
      </x:c>
      <x:c r="G20" s="346" t="str">
        <x:f>IF('Platform Model &amp; Ecosystem'!$G$4="","",'Platform Model &amp; Ecosystem'!$G$4)</x:f>
        <x:v>Open federated communication protocol/ecosystem</x:v>
      </x:c>
      <x:c r="H20" s="346" t="str">
        <x:f>IF('Platform Model &amp; Ecosystem'!$H$4="","",'Platform Model &amp; Ecosystem'!$H$4)</x:f>
        <x:v>Self-hosted Discord-compatible service implementation</x:v>
      </x:c>
      <x:c r="I20" s="346" t="str">
        <x:f>IF('Platform Model &amp; Ecosystem'!$I$4="","",'Platform Model &amp; Ecosystem'!$I$4)</x:f>
        <x:v>Self-hosted low-latency voice protocol/application</x:v>
      </x:c>
      <x:c r="J20" s="346" t="str">
        <x:f>IF('Platform Model &amp; Ecosystem'!$J$4="","",'Platform Model &amp; Ecosystem'!$J$4)</x:f>
        <x:v>Commercial self-hosted/hosted voice communication platform</x:v>
      </x:c>
      <x:c r="K20" s="346" t="str">
        <x:f>IF('Platform Model &amp; Ecosystem'!$K$4="","",'Platform Model &amp; Ecosystem'!$K$4)</x:f>
        <x:v>Hosted + self-hosted team chat application</x:v>
      </x:c>
      <x:c r="L20" s="346" t="str">
        <x:f>IF('Platform Model &amp; Ecosystem'!$L$4="","",'Platform Model &amp; Ecosystem'!$L$4)</x:f>
        <x:v>Enterprise collaboration application; cloud or self-host</x:v>
      </x:c>
      <x:c r="M20" s="346" t="str">
        <x:f>IF('Platform Model &amp; Ecosystem'!$M$4="","",'Platform Model &amp; Ecosystem'!$M$4)</x:f>
        <x:v>Collaboration platform; cloud/self-host with optional federation</x:v>
      </x:c>
      <x:c r="N20" s="346" t="str">
        <x:f>IF('Platform Model &amp; Ecosystem'!$N$4="","",'Platform Model &amp; Ecosystem'!$N$4)</x:f>
        <x:v>Hosted + self-hostable gaming community platform</x:v>
      </x:c>
      <x:c r="O20" s="346" t="str">
        <x:f>IF('Platform Model &amp; Ecosystem'!$O$4="","",'Platform Model &amp; Ecosystem'!$O$4)</x:f>
        <x:v>Open-source centralized community chat application</x:v>
      </x:c>
      <x:c r="P20" s="346" t="str">
        <x:f>IF('Platform Model &amp; Ecosystem'!$P$4="","",'Platform Model &amp; Ecosystem'!$P$4)</x:f>
        <x:v>Centralized distributed-region community platform</x:v>
      </x:c>
      <x:c r="Q20" s="346" t="str">
        <x:f>IF('Platform Model &amp; Ecosystem'!$Q$4="","",'Platform Model &amp; Ecosystem'!$Q$4)</x:f>
        <x:v>Discord-like hosted/self-host/federation-oriented community platform</x:v>
      </x:c>
      <x:c r="R20" s="346" t="str">
        <x:f>IF('Platform Model &amp; Ecosystem'!$R$4="","",'Platform Model &amp; Ecosystem'!$R$4)</x:f>
        <x:v>Discord-like platform moving from centralized to open-source/self-host/federated</x:v>
      </x:c>
      <x:c r="S20" s="346" t="str">
        <x:f>IF('Platform Model &amp; Ecosystem'!$S$4="","",'Platform Model &amp; Ecosystem'!$S$4)</x:f>
        <x:v>Hosted all-in-one community/work platform</x:v>
      </x:c>
      <x:c r="T20" s="346" t="str">
        <x:f>IF('Platform Model &amp; Ecosystem'!$T$4="","",'Platform Model &amp; Ecosystem'!$T$4)</x:f>
        <x:v>Centralized privacy-focused community platform</x:v>
      </x:c>
      <x:c r="U20" s="346" t="str">
        <x:f>IF('Platform Model &amp; Ecosystem'!$U$4="","",'Platform Model &amp; Ecosystem'!$U$4)</x:f>
        <x:v>Self-hosted voice/chat collaboration platform</x:v>
      </x:c>
      <x:c r="V20" s="346" t="str">
        <x:f>IF('Platform Model &amp; Ecosystem'!$V$4="","",'Platform Model &amp; Ecosystem'!$V$4)</x:f>
        <x:v>Open-source Discord-compatible server/API platform</x:v>
      </x:c>
      <x:c r="W20" s="346" t="str">
        <x:f>IF('Platform Model &amp; Ecosystem'!$W$4="","",'Platform Model &amp; Ecosystem'!$W$4)</x:f>
        <x:v>ATProto-based group chat/community app</x:v>
      </x:c>
      <x:c r="X20" s="346" t="str">
        <x:f>IF('Platform Model &amp; Ecosystem'!$X$4="","",'Platform Model &amp; Ecosystem'!$X$4)</x:f>
        <x:v>Serverless/federated-style E2EE community client built on Nostr</x:v>
      </x:c>
      <x:c r="Y20" s="346" t="str">
        <x:f>IF('Platform Model &amp; Ecosystem'!$Y$4="","",'Platform Model &amp; Ecosystem'!$Y$4)</x:f>
        <x:v>Local-first distributed encrypted messenger/community app</x:v>
      </x:c>
      <x:c r="Z20" s="346" t="str">
        <x:f>IF('Platform Model &amp; Ecosystem'!$Z$4="","",'Platform Model &amp; Ecosystem'!$Z$4)</x:f>
        <x:v>Self-hosted-only decentralized chat software + key-based messenger</x:v>
      </x:c>
      <x:c r="AA20" s="380" t="str">
        <x:f>IF('Platform Model &amp; Ecosystem'!$AA$4="","",'Platform Model &amp; Ecosystem'!$AA$4)</x:f>
        <x:v>Centralized proprietary community/chat platform</x:v>
      </x:c>
      <x:c r="AB20" s="346" t="str">
        <x:f>IF('Platform Model &amp; Ecosystem'!$AB$4="","",'Platform Model &amp; Ecosystem'!$AB$4)</x:f>
        <x:v>Hosted + self-hostable open-source community chat</x:v>
      </x:c>
      <x:c r="AC20" s="346" t="str">
        <x:f>IF('Platform Model &amp; Ecosystem'!$AC$4="","",'Platform Model &amp; Ecosystem'!$AC$4)</x:f>
        <x:v>Centralized Discord-like voice/chat service</x:v>
      </x:c>
      <x:c r="AD20" s="346" t="str">
        <x:f>IF('Platform Model &amp; Ecosystem'!$AD$4="","",'Platform Model &amp; Ecosystem'!$AD$4)</x:f>
        <x:v>Open-source community platform with hosted + self-host nodes</x:v>
      </x:c>
      <x:c r="AE20" s="346" t="str">
        <x:f>IF('Platform Model &amp; Ecosystem'!$AE$4="","",'Platform Model &amp; Ecosystem'!$AE$4)</x:f>
        <x:v>Centralized lobby-first gaming social platform</x:v>
      </x:c>
    </x:row>
    <x:row r="21" ht="36" customHeight="1">
      <x:c r="A21" s="359" t="str">
        <x:v>Reference / First-Party Client(s)</x:v>
      </x:c>
      <x:c r="B21" s="346" t="str">
        <x:f>IF('Platform Model &amp; Ecosystem'!$B$5="","",'Platform Model &amp; Ecosystem'!$B$5)</x:f>
        <x:v>Discord official web/desktop/mobile clients</x:v>
      </x:c>
      <x:c r="C21" s="346" t="str">
        <x:f>IF('Platform Model &amp; Ecosystem'!$C$5="","",'Platform Model &amp; Ecosystem'!$C$5)</x:f>
        <x:v>Stoat Web/PWA, Desktop, Android; iOS project</x:v>
      </x:c>
      <x:c r="D21" s="346" t="str">
        <x:f>IF('Platform Model &amp; Ecosystem'!$D$5="","",'Platform Model &amp; Ecosystem'!$D$5)</x:f>
        <x:v>Fenrid web/PWA alpha</x:v>
      </x:c>
      <x:c r="E21" s="346" t="str">
        <x:f>IF('Platform Model &amp; Ecosystem'!$E$5="","",'Platform Model &amp; Ecosystem'!$E$5)</x:f>
        <x:v>Fluxer Web/PWA, Electron desktop, Flutter mobile beta</x:v>
      </x:c>
      <x:c r="F21" s="346" t="str">
        <x:f>IF('Platform Model &amp; Ecosystem'!$F$5="","",'Platform Model &amp; Ecosystem'!$F$5)</x:f>
        <x:v>Root desktop/mobile/web surfaces</x:v>
      </x:c>
      <x:c r="G21" s="346" t="str">
        <x:f>IF('Platform Model &amp; Ecosystem'!$G$5="","",'Platform Model &amp; Ecosystem'!$G$5)</x:f>
        <x:v>No single official client. Element/Element X are example clients, not Matrix itself.</x:v>
      </x:c>
      <x:c r="H21" s="346" t="str">
        <x:f>IF('Platform Model &amp; Ecosystem'!$H$5="","",'Platform Model &amp; Ecosystem'!$H$5)</x:f>
        <x:v>Spacebar-aware client(s); compatibility with Discord-style clients is a project goal</x:v>
      </x:c>
      <x:c r="I21" s="346" t="str">
        <x:f>IF('Platform Model &amp; Ecosystem'!$I$5="","",'Platform Model &amp; Ecosystem'!$I$5)</x:f>
        <x:v>Mumble desktop client</x:v>
      </x:c>
      <x:c r="J21" s="346" t="str">
        <x:f>IF('Platform Model &amp; Ecosystem'!$J$5="","",'Platform Model &amp; Ecosystem'!$J$5)</x:f>
        <x:v>TeamSpeak official clients</x:v>
      </x:c>
      <x:c r="K21" s="346" t="str">
        <x:f>IF('Platform Model &amp; Ecosystem'!$K$5="","",'Platform Model &amp; Ecosystem'!$K$5)</x:f>
        <x:v>Zulip web/desktop/mobile</x:v>
      </x:c>
      <x:c r="L21" s="346" t="str">
        <x:f>IF('Platform Model &amp; Ecosystem'!$L$5="","",'Platform Model &amp; Ecosystem'!$L$5)</x:f>
        <x:v>Mattermost web/desktop/mobile</x:v>
      </x:c>
      <x:c r="M21" s="346" t="str">
        <x:f>IF('Platform Model &amp; Ecosystem'!$M$5="","",'Platform Model &amp; Ecosystem'!$M$5)</x:f>
        <x:v>Rocket.Chat web/desktop/mobile</x:v>
      </x:c>
      <x:c r="N21" s="346" t="str">
        <x:f>IF('Platform Model &amp; Ecosystem'!$N$5="","",'Platform Model &amp; Ecosystem'!$N$5)</x:f>
        <x:v>GameVox native/web clients</x:v>
      </x:c>
      <x:c r="O21" s="346" t="str">
        <x:f>IF('Platform Model &amp; Ecosystem'!$O$5="","",'Platform Model &amp; Ecosystem'!$O$5)</x:f>
        <x:v>Nerimity Web/Desktop/Android</x:v>
      </x:c>
      <x:c r="P21" s="346" t="str">
        <x:f>IF('Platform Model &amp; Ecosystem'!$P$5="","",'Platform Model &amp; Ecosystem'!$P$5)</x:f>
        <x:v>Osmium web/desktop/mobile</x:v>
      </x:c>
      <x:c r="Q21" s="346" t="str">
        <x:f>IF('Platform Model &amp; Ecosystem'!$Q$5="","",'Platform Model &amp; Ecosystem'!$Q$5)</x:f>
        <x:v>Loqa web client</x:v>
      </x:c>
      <x:c r="R21" s="346" t="str">
        <x:f>IF('Platform Model &amp; Ecosystem'!$R$5="","",'Platform Model &amp; Ecosystem'!$R$5)</x:f>
        <x:v>Venta client</x:v>
      </x:c>
      <x:c r="S21" s="346" t="str">
        <x:f>IF('Platform Model &amp; Ecosystem'!$S$5="","",'Platform Model &amp; Ecosystem'!$S$5)</x:f>
        <x:v>Mezon web/desktop/mobile</x:v>
      </x:c>
      <x:c r="T21" s="346" t="str">
        <x:f>IF('Platform Model &amp; Ecosystem'!$T$5="","",'Platform Model &amp; Ecosystem'!$T$5)</x:f>
        <x:v>Kloak web/client</x:v>
      </x:c>
      <x:c r="U21" s="346" t="str">
        <x:f>IF('Platform Model &amp; Ecosystem'!$U$5="","",'Platform Model &amp; Ecosystem'!$U$5)</x:f>
        <x:v>Yapper browser/client</x:v>
      </x:c>
      <x:c r="V21" s="346" t="str">
        <x:f>IF('Platform Model &amp; Ecosystem'!$V$5="","",'Platform Model &amp; Ecosystem'!$V$5)</x:f>
        <x:v>Fermi is the current primary client</x:v>
      </x:c>
      <x:c r="W21" s="346" t="str">
        <x:f>IF('Platform Model &amp; Ecosystem'!$W$5="","",'Platform Model &amp; Ecosystem'!$W$5)</x:f>
        <x:v>Roomy web app</x:v>
      </x:c>
      <x:c r="X21" s="346" t="str">
        <x:f>IF('Platform Model &amp; Ecosystem'!$X$5="","",'Platform Model &amp; Ecosystem'!$X$5)</x:f>
        <x:v>Armada client</x:v>
      </x:c>
      <x:c r="Y21" s="346" t="str">
        <x:f>IF('Platform Model &amp; Ecosystem'!$Y$5="","",'Platform Model &amp; Ecosystem'!$Y$5)</x:f>
        <x:v>Hollow native client</x:v>
      </x:c>
      <x:c r="Z21" s="346" t="str">
        <x:f>IF('Platform Model &amp; Ecosystem'!$Z$5="","",'Platform Model &amp; Ecosystem'!$Z$5)</x:f>
        <x:v>DCTS web/desktop/Android clients</x:v>
      </x:c>
      <x:c r="AA21" s="380" t="str">
        <x:f>IF('Platform Model &amp; Ecosystem'!$AA$5="","",'Platform Model &amp; Ecosystem'!$AA$5)</x:f>
        <x:v>Rift client/web</x:v>
      </x:c>
      <x:c r="AB21" s="346" t="str">
        <x:f>IF('Platform Model &amp; Ecosystem'!$AB$5="","",'Platform Model &amp; Ecosystem'!$AB$5)</x:f>
        <x:v>pqp web/desktop/mobile clients</x:v>
      </x:c>
      <x:c r="AC21" s="346" t="str">
        <x:f>IF('Platform Model &amp; Ecosystem'!$AC$5="","",'Platform Model &amp; Ecosystem'!$AC$5)</x:f>
        <x:v>Echon web/native clients</x:v>
      </x:c>
      <x:c r="AD21" s="346" t="str">
        <x:f>IF('Platform Model &amp; Ecosystem'!$AD$5="","",'Platform Model &amp; Ecosystem'!$AD$5)</x:f>
        <x:v>Valour web/Windows/Android</x:v>
      </x:c>
      <x:c r="AE21" s="346" t="str">
        <x:f>IF('Platform Model &amp; Ecosystem'!$AE$5="","",'Platform Model &amp; Ecosystem'!$AE$5)</x:f>
        <x:v>Weered web/Tauri client</x:v>
      </x:c>
    </x:row>
    <x:row r="22" ht="36" customHeight="1">
      <x:c r="A22" s="359" t="str">
        <x:v>Client Interchangeability</x:v>
      </x:c>
      <x:c r="B22" s="346" t="str">
        <x:f>IF('Platform Model &amp; Ecosystem'!$B$7="","",'Platform Model &amp; Ecosystem'!$B$7)</x:f>
        <x:v>No</x:v>
      </x:c>
      <x:c r="C22" s="346" t="str">
        <x:f>IF('Platform Model &amp; Ecosystem'!$C$7="","",'Platform Model &amp; Ecosystem'!$C$7)</x:f>
        <x:v>Limited - official clients do not all support arbitrary self-hosted instances</x:v>
      </x:c>
      <x:c r="D22" s="346" t="str">
        <x:f>IF('Platform Model &amp; Ecosystem'!$D$7="","",'Platform Model &amp; Ecosystem'!$D$7)</x:f>
        <x:v>No</x:v>
      </x:c>
      <x:c r="E22" s="346" t="str">
        <x:f>IF('Platform Model &amp; Ecosystem'!$E$7="","",'Platform Model &amp; Ecosystem'!$E$7)</x:f>
        <x:v>Limited</x:v>
      </x:c>
      <x:c r="F22" s="346" t="str">
        <x:f>IF('Platform Model &amp; Ecosystem'!$F$7="","",'Platform Model &amp; Ecosystem'!$F$7)</x:f>
        <x:v>No</x:v>
      </x:c>
      <x:c r="G22" s="346" t="str">
        <x:f>IF('Platform Model &amp; Ecosystem'!$G$7="","",'Platform Model &amp; Ecosystem'!$G$7)</x:f>
        <x:v>Yes - core architectural feature</x:v>
      </x:c>
      <x:c r="H22" s="346" t="str">
        <x:f>IF('Platform Model &amp; Ecosystem'!$H$7="","",'Platform Model &amp; Ecosystem'!$H$7)</x:f>
        <x:v>Potentially, within compatibility limits</x:v>
      </x:c>
      <x:c r="I22" s="346" t="str">
        <x:f>IF('Platform Model &amp; Ecosystem'!$I$7="","",'Platform Model &amp; Ecosystem'!$I$7)</x:f>
        <x:v>Yes within Mumble protocol compatibility</x:v>
      </x:c>
      <x:c r="J22" s="346" t="str">
        <x:f>IF('Platform Model &amp; Ecosystem'!$J$7="","",'Platform Model &amp; Ecosystem'!$J$7)</x:f>
        <x:v>Limited</x:v>
      </x:c>
      <x:c r="K22" s="346" t="str">
        <x:f>IF('Platform Model &amp; Ecosystem'!$K$7="","",'Platform Model &amp; Ecosystem'!$K$7)</x:f>
        <x:v>Limited</x:v>
      </x:c>
      <x:c r="L22" s="346" t="str">
        <x:f>IF('Platform Model &amp; Ecosystem'!$L$7="","",'Platform Model &amp; Ecosystem'!$L$7)</x:f>
        <x:v>Limited</x:v>
      </x:c>
      <x:c r="M22" s="346" t="str">
        <x:f>IF('Platform Model &amp; Ecosystem'!$M$7="","",'Platform Model &amp; Ecosystem'!$M$7)</x:f>
        <x:v>Limited</x:v>
      </x:c>
      <x:c r="N22" s="346" t="str">
        <x:f>IF('Platform Model &amp; Ecosystem'!$N$7="","",'Platform Model &amp; Ecosystem'!$N$7)</x:f>
        <x:v>No</x:v>
      </x:c>
      <x:c r="O22" s="346" t="str">
        <x:f>IF('Platform Model &amp; Ecosystem'!$O$7="","",'Platform Model &amp; Ecosystem'!$O$7)</x:f>
        <x:v>Limited</x:v>
      </x:c>
      <x:c r="P22" s="346" t="str">
        <x:f>IF('Platform Model &amp; Ecosystem'!$P$7="","",'Platform Model &amp; Ecosystem'!$P$7)</x:f>
        <x:v>No</x:v>
      </x:c>
      <x:c r="Q22" s="346" t="str">
        <x:f>IF('Platform Model &amp; Ecosystem'!$Q$7="","",'Platform Model &amp; Ecosystem'!$Q$7)</x:f>
        <x:v>U/K</x:v>
      </x:c>
      <x:c r="R22" s="346" t="str">
        <x:f>IF('Platform Model &amp; Ecosystem'!$R$7="","",'Platform Model &amp; Ecosystem'!$R$7)</x:f>
        <x:v>U/K</x:v>
      </x:c>
      <x:c r="S22" s="346" t="str">
        <x:f>IF('Platform Model &amp; Ecosystem'!$S$7="","",'Platform Model &amp; Ecosystem'!$S$7)</x:f>
        <x:v>Limited/U/K</x:v>
      </x:c>
      <x:c r="T22" s="346" t="str">
        <x:f>IF('Platform Model &amp; Ecosystem'!$T$7="","",'Platform Model &amp; Ecosystem'!$T$7)</x:f>
        <x:v>No</x:v>
      </x:c>
      <x:c r="U22" s="346" t="str">
        <x:f>IF('Platform Model &amp; Ecosystem'!$U$7="","",'Platform Model &amp; Ecosystem'!$U$7)</x:f>
        <x:v>No</x:v>
      </x:c>
      <x:c r="V22" s="346" t="str">
        <x:f>IF('Platform Model &amp; Ecosystem'!$V$7="","",'Platform Model &amp; Ecosystem'!$V$7)</x:f>
        <x:v>Yes in principle</x:v>
      </x:c>
      <x:c r="W22" s="346" t="str">
        <x:f>IF('Platform Model &amp; Ecosystem'!$W$7="","",'Platform Model &amp; Ecosystem'!$W$7)</x:f>
        <x:v>Partial</x:v>
      </x:c>
      <x:c r="X22" s="346" t="str">
        <x:f>IF('Platform Model &amp; Ecosystem'!$X$7="","",'Platform Model &amp; Ecosystem'!$X$7)</x:f>
        <x:v>Partial</x:v>
      </x:c>
      <x:c r="Y22" s="346" t="str">
        <x:f>IF('Platform Model &amp; Ecosystem'!$Y$7="","",'Platform Model &amp; Ecosystem'!$Y$7)</x:f>
        <x:v>Identity portable across relays</x:v>
      </x:c>
      <x:c r="Z22" s="346" t="str">
        <x:f>IF('Platform Model &amp; Ecosystem'!$Z$7="","",'Platform Model &amp; Ecosystem'!$Z$7)</x:f>
        <x:v>Yes for messenger/home server identity</x:v>
      </x:c>
      <x:c r="AA22" s="380" t="str">
        <x:f>IF('Platform Model &amp; Ecosystem'!$AA$7="","",'Platform Model &amp; Ecosystem'!$AA$7)</x:f>
        <x:v>No</x:v>
      </x:c>
      <x:c r="AB22" s="346" t="str">
        <x:f>IF('Platform Model &amp; Ecosystem'!$AB$7="","",'Platform Model &amp; Ecosystem'!$AB$7)</x:f>
        <x:v>Limited</x:v>
      </x:c>
      <x:c r="AC22" s="346" t="str">
        <x:f>IF('Platform Model &amp; Ecosystem'!$AC$7="","",'Platform Model &amp; Ecosystem'!$AC$7)</x:f>
        <x:v>No</x:v>
      </x:c>
      <x:c r="AD22" s="346" t="str">
        <x:f>IF('Platform Model &amp; Ecosystem'!$AD$7="","",'Platform Model &amp; Ecosystem'!$AD$7)</x:f>
        <x:v>Partial</x:v>
      </x:c>
      <x:c r="AE22" s="346" t="str">
        <x:f>IF('Platform Model &amp; Ecosystem'!$AE$7="","",'Platform Model &amp; Ecosystem'!$AE$7)</x:f>
        <x:v>No</x:v>
      </x:c>
    </x:row>
    <x:row r="23" ht="36" customHeight="1">
      <x:c r="A23" s="359" t="str">
        <x:v>Self-Hosting Supported</x:v>
      </x:c>
      <x:c r="B23" s="346" t="str">
        <x:f>IF('Platform Model &amp; Ecosystem'!$B$11="","",'Platform Model &amp; Ecosystem'!$B$11)</x:f>
        <x:v>No</x:v>
      </x:c>
      <x:c r="C23" s="346" t="str">
        <x:f>IF('Platform Model &amp; Ecosystem'!$C$11="","",'Platform Model &amp; Ecosystem'!$C$11)</x:f>
        <x:v>Yes</x:v>
      </x:c>
      <x:c r="D23" s="346" t="str">
        <x:f>IF('Platform Model &amp; Ecosystem'!$D$11="","",'Platform Model &amp; Ecosystem'!$D$11)</x:f>
        <x:v>No currently</x:v>
      </x:c>
      <x:c r="E23" s="346" t="str">
        <x:f>IF('Platform Model &amp; Ecosystem'!$E$11="","",'Platform Model &amp; Ecosystem'!$E$11)</x:f>
        <x:v>Yes</x:v>
      </x:c>
      <x:c r="F23" s="346" t="str">
        <x:f>IF('Platform Model &amp; Ecosystem'!$F$11="","",'Platform Model &amp; Ecosystem'!$F$11)</x:f>
        <x:v>No</x:v>
      </x:c>
      <x:c r="G23" s="346" t="str">
        <x:f>IF('Platform Model &amp; Ecosystem'!$G$11="","",'Platform Model &amp; Ecosystem'!$G$11)</x:f>
        <x:v>Yes</x:v>
      </x:c>
      <x:c r="H23" s="346" t="str">
        <x:f>IF('Platform Model &amp; Ecosystem'!$H$11="","",'Platform Model &amp; Ecosystem'!$H$11)</x:f>
        <x:v>Yes</x:v>
      </x:c>
      <x:c r="I23" s="346" t="str">
        <x:f>IF('Platform Model &amp; Ecosystem'!$I$11="","",'Platform Model &amp; Ecosystem'!$I$11)</x:f>
        <x:v>Yes</x:v>
      </x:c>
      <x:c r="J23" s="346" t="str">
        <x:f>IF('Platform Model &amp; Ecosystem'!$J$11="","",'Platform Model &amp; Ecosystem'!$J$11)</x:f>
        <x:v>Yes</x:v>
      </x:c>
      <x:c r="K23" s="346" t="str">
        <x:f>IF('Platform Model &amp; Ecosystem'!$K$11="","",'Platform Model &amp; Ecosystem'!$K$11)</x:f>
        <x:v>Yes</x:v>
      </x:c>
      <x:c r="L23" s="346" t="str">
        <x:f>IF('Platform Model &amp; Ecosystem'!$L$11="","",'Platform Model &amp; Ecosystem'!$L$11)</x:f>
        <x:v>Yes</x:v>
      </x:c>
      <x:c r="M23" s="346" t="str">
        <x:f>IF('Platform Model &amp; Ecosystem'!$M$11="","",'Platform Model &amp; Ecosystem'!$M$11)</x:f>
        <x:v>Yes</x:v>
      </x:c>
      <x:c r="N23" s="346" t="str">
        <x:f>IF('Platform Model &amp; Ecosystem'!$N$11="","",'Platform Model &amp; Ecosystem'!$N$11)</x:f>
        <x:v>Yes</x:v>
      </x:c>
      <x:c r="O23" s="346" t="str">
        <x:f>IF('Platform Model &amp; Ecosystem'!$O$11="","",'Platform Model &amp; Ecosystem'!$O$11)</x:f>
        <x:v>Technically possible but explicitly not intended/supported</x:v>
      </x:c>
      <x:c r="P23" s="346" t="str">
        <x:f>IF('Platform Model &amp; Ecosystem'!$P$11="","",'Platform Model &amp; Ecosystem'!$P$11)</x:f>
        <x:v>No</x:v>
      </x:c>
      <x:c r="Q23" s="346" t="str">
        <x:f>IF('Platform Model &amp; Ecosystem'!$Q$11="","",'Platform Model &amp; Ecosystem'!$Q$11)</x:f>
        <x:v>Yes</x:v>
      </x:c>
      <x:c r="R23" s="346" t="str">
        <x:f>IF('Platform Model &amp; Ecosystem'!$R$11="","",'Platform Model &amp; Ecosystem'!$R$11)</x:f>
        <x:v>In development</x:v>
      </x:c>
      <x:c r="S23" s="346" t="str">
        <x:f>IF('Platform Model &amp; Ecosystem'!$S$11="","",'Platform Model &amp; Ecosystem'!$S$11)</x:f>
        <x:v>U/K</x:v>
      </x:c>
      <x:c r="T23" s="346" t="str">
        <x:f>IF('Platform Model &amp; Ecosystem'!$T$11="","",'Platform Model &amp; Ecosystem'!$T$11)</x:f>
        <x:v>No</x:v>
      </x:c>
      <x:c r="U23" s="346" t="str">
        <x:f>IF('Platform Model &amp; Ecosystem'!$U$11="","",'Platform Model &amp; Ecosystem'!$U$11)</x:f>
        <x:v>Yes</x:v>
      </x:c>
      <x:c r="V23" s="346" t="str">
        <x:f>IF('Platform Model &amp; Ecosystem'!$V$11="","",'Platform Model &amp; Ecosystem'!$V$11)</x:f>
        <x:v>Yes</x:v>
      </x:c>
      <x:c r="W23" s="346" t="str">
        <x:f>IF('Platform Model &amp; Ecosystem'!$W$11="","",'Platform Model &amp; Ecosystem'!$W$11)</x:f>
        <x:v>Partially via ATProto/PDS model</x:v>
      </x:c>
      <x:c r="X23" s="346" t="str">
        <x:f>IF('Platform Model &amp; Ecosystem'!$X$11="","",'Platform Model &amp; Ecosystem'!$X$11)</x:f>
        <x:v>Yes - relays/self-host</x:v>
      </x:c>
      <x:c r="Y23" s="346" t="str">
        <x:f>IF('Platform Model &amp; Ecosystem'!$Y$11="","",'Platform Model &amp; Ecosystem'!$Y$11)</x:f>
        <x:v>Yes</x:v>
      </x:c>
      <x:c r="Z23" s="346" t="str">
        <x:f>IF('Platform Model &amp; Ecosystem'!$Z$11="","",'Platform Model &amp; Ecosystem'!$Z$11)</x:f>
        <x:v>Yes</x:v>
      </x:c>
      <x:c r="AA23" s="380" t="str">
        <x:f>IF('Platform Model &amp; Ecosystem'!$AA$11="","",'Platform Model &amp; Ecosystem'!$AA$11)</x:f>
        <x:v>No</x:v>
      </x:c>
      <x:c r="AB23" s="346" t="str">
        <x:f>IF('Platform Model &amp; Ecosystem'!$AB$11="","",'Platform Model &amp; Ecosystem'!$AB$11)</x:f>
        <x:v>Yes</x:v>
      </x:c>
      <x:c r="AC23" s="346" t="str">
        <x:f>IF('Platform Model &amp; Ecosystem'!$AC$11="","",'Platform Model &amp; Ecosystem'!$AC$11)</x:f>
        <x:v>No</x:v>
      </x:c>
      <x:c r="AD23" s="346" t="str">
        <x:f>IF('Platform Model &amp; Ecosystem'!$AD$11="","",'Platform Model &amp; Ecosystem'!$AD$11)</x:f>
        <x:v>Yes</x:v>
      </x:c>
      <x:c r="AE23" s="346" t="str">
        <x:f>IF('Platform Model &amp; Ecosystem'!$AE$11="","",'Platform Model &amp; Ecosystem'!$AE$11)</x:f>
        <x:v>No</x:v>
      </x:c>
    </x:row>
    <x:row r="24" ht="36" customHeight="1">
      <x:c r="A24" s="359" t="str">
        <x:v>Federation Between Independent Instances</x:v>
      </x:c>
      <x:c r="B24" s="346" t="str">
        <x:f>IF('Platform Model &amp; Ecosystem'!$B$13="","",'Platform Model &amp; Ecosystem'!$B$13)</x:f>
        <x:v>No</x:v>
      </x:c>
      <x:c r="C24" s="346" t="str">
        <x:f>IF('Platform Model &amp; Ecosystem'!$C$13="","",'Platform Model &amp; Ecosystem'!$C$13)</x:f>
        <x:v>No</x:v>
      </x:c>
      <x:c r="D24" s="346" t="str">
        <x:f>IF('Platform Model &amp; Ecosystem'!$D$13="","",'Platform Model &amp; Ecosystem'!$D$13)</x:f>
        <x:v>No</x:v>
      </x:c>
      <x:c r="E24" s="346" t="str">
        <x:f>IF('Platform Model &amp; Ecosystem'!$E$13="","",'Platform Model &amp; Ecosystem'!$E$13)</x:f>
        <x:v>Not yet - on roadmap</x:v>
      </x:c>
      <x:c r="F24" s="346" t="str">
        <x:f>IF('Platform Model &amp; Ecosystem'!$F$13="","",'Platform Model &amp; Ecosystem'!$F$13)</x:f>
        <x:v>No</x:v>
      </x:c>
      <x:c r="G24" s="346" t="str">
        <x:f>IF('Platform Model &amp; Ecosystem'!$G$13="","",'Platform Model &amp; Ecosystem'!$G$13)</x:f>
        <x:v>Yes - core feature</x:v>
      </x:c>
      <x:c r="H24" s="346" t="str">
        <x:f>IF('Platform Model &amp; Ecosystem'!$H$13="","",'Platform Model &amp; Ecosystem'!$H$13)</x:f>
        <x:v>No</x:v>
      </x:c>
      <x:c r="I24" s="346" t="str">
        <x:f>IF('Platform Model &amp; Ecosystem'!$I$13="","",'Platform Model &amp; Ecosystem'!$I$13)</x:f>
        <x:v>No</x:v>
      </x:c>
      <x:c r="J24" s="346" t="str">
        <x:f>IF('Platform Model &amp; Ecosystem'!$J$13="","",'Platform Model &amp; Ecosystem'!$J$13)</x:f>
        <x:v>No</x:v>
      </x:c>
      <x:c r="K24" s="346" t="str">
        <x:f>IF('Platform Model &amp; Ecosystem'!$K$13="","",'Platform Model &amp; Ecosystem'!$K$13)</x:f>
        <x:v>No</x:v>
      </x:c>
      <x:c r="L24" s="346" t="str">
        <x:f>IF('Platform Model &amp; Ecosystem'!$L$13="","",'Platform Model &amp; Ecosystem'!$L$13)</x:f>
        <x:v>No general federation</x:v>
      </x:c>
      <x:c r="M24" s="346" t="str">
        <x:f>IF('Platform Model &amp; Ecosystem'!$M$13="","",'Platform Model &amp; Ecosystem'!$M$13)</x:f>
        <x:v>Yes - Matrix-based federation feature set, with limitations</x:v>
      </x:c>
      <x:c r="N24" s="346" t="str">
        <x:f>IF('Platform Model &amp; Ecosystem'!$N$13="","",'Platform Model &amp; Ecosystem'!$N$13)</x:f>
        <x:v>No federation verified</x:v>
      </x:c>
      <x:c r="O24" s="346" t="str">
        <x:f>IF('Platform Model &amp; Ecosystem'!$O$13="","",'Platform Model &amp; Ecosystem'!$O$13)</x:f>
        <x:v>No</x:v>
      </x:c>
      <x:c r="P24" s="346" t="str">
        <x:f>IF('Platform Model &amp; Ecosystem'!$P$13="","",'Platform Model &amp; Ecosystem'!$P$13)</x:f>
        <x:v>No</x:v>
      </x:c>
      <x:c r="Q24" s="346" t="str">
        <x:f>IF('Platform Model &amp; Ecosystem'!$Q$13="","",'Platform Model &amp; Ecosystem'!$Q$13)</x:f>
        <x:v>Federation advertised</x:v>
      </x:c>
      <x:c r="R24" s="346" t="str">
        <x:f>IF('Platform Model &amp; Ecosystem'!$R$13="","",'Platform Model &amp; Ecosystem'!$R$13)</x:f>
        <x:v>Planned/in development</x:v>
      </x:c>
      <x:c r="S24" s="346" t="str">
        <x:f>IF('Platform Model &amp; Ecosystem'!$S$13="","",'Platform Model &amp; Ecosystem'!$S$13)</x:f>
        <x:v>No federation verified</x:v>
      </x:c>
      <x:c r="T24" s="346" t="str">
        <x:f>IF('Platform Model &amp; Ecosystem'!$T$13="","",'Platform Model &amp; Ecosystem'!$T$13)</x:f>
        <x:v>No</x:v>
      </x:c>
      <x:c r="U24" s="346" t="str">
        <x:f>IF('Platform Model &amp; Ecosystem'!$U$13="","",'Platform Model &amp; Ecosystem'!$U$13)</x:f>
        <x:v>No</x:v>
      </x:c>
      <x:c r="V24" s="346" t="str">
        <x:f>IF('Platform Model &amp; Ecosystem'!$V$13="","",'Platform Model &amp; Ecosystem'!$V$13)</x:f>
        <x:v>Federation planned</x:v>
      </x:c>
      <x:c r="W24" s="346" t="str">
        <x:f>IF('Platform Model &amp; Ecosystem'!$W$13="","",'Platform Model &amp; Ecosystem'!$W$13)</x:f>
        <x:v>ATProto federation ecosystem</x:v>
      </x:c>
      <x:c r="X24" s="346" t="str">
        <x:f>IF('Platform Model &amp; Ecosystem'!$X$13="","",'Platform Model &amp; Ecosystem'!$X$13)</x:f>
        <x:v>Nostr relay interoperability</x:v>
      </x:c>
      <x:c r="Y24" s="346" t="str">
        <x:f>IF('Platform Model &amp; Ecosystem'!$Y$13="","",'Platform Model &amp; Ecosystem'!$Y$13)</x:f>
        <x:v>Relay choice but not Matrix-style federated server state</x:v>
      </x:c>
      <x:c r="Z24" s="346" t="str">
        <x:f>IF('Platform Model &amp; Ecosystem'!$Z$13="","",'Platform Model &amp; Ecosystem'!$Z$13)</x:f>
        <x:v>Yes for messenger/server communication features; full federation evolving</x:v>
      </x:c>
      <x:c r="AA24" s="380" t="str">
        <x:f>IF('Platform Model &amp; Ecosystem'!$AA$13="","",'Platform Model &amp; Ecosystem'!$AA$13)</x:f>
        <x:v>No</x:v>
      </x:c>
      <x:c r="AB24" s="346" t="str">
        <x:f>IF('Platform Model &amp; Ecosystem'!$AB$13="","",'Platform Model &amp; Ecosystem'!$AB$13)</x:f>
        <x:v>No federation</x:v>
      </x:c>
      <x:c r="AC24" s="346" t="str">
        <x:f>IF('Platform Model &amp; Ecosystem'!$AC$13="","",'Platform Model &amp; Ecosystem'!$AC$13)</x:f>
        <x:v>No</x:v>
      </x:c>
      <x:c r="AD24" s="346" t="str">
        <x:f>IF('Platform Model &amp; Ecosystem'!$AD$13="","",'Platform Model &amp; Ecosystem'!$AD$13)</x:f>
        <x:v>Node/federation model for migrating communities; exact cross-instance federation scope evolving</x:v>
      </x:c>
      <x:c r="AE24" s="346" t="str">
        <x:f>IF('Platform Model &amp; Ecosystem'!$AE$13="","",'Platform Model &amp; Ecosystem'!$AE$13)</x:f>
        <x:v>No</x:v>
      </x:c>
    </x:row>
    <x:row r="25" ht="36" customHeight="1">
      <x:c r="A25" s="359" t="str">
        <x:v>Public Protocol / Standard</x:v>
      </x:c>
      <x:c r="B25" s="346" t="str">
        <x:f>IF('Platform Model &amp; Ecosystem'!$B$16="","",'Platform Model &amp; Ecosystem'!$B$16)</x:f>
        <x:v>Proprietary public developer APIs, not an open protocol</x:v>
      </x:c>
      <x:c r="C25" s="346" t="str">
        <x:f>IF('Platform Model &amp; Ecosystem'!$C$16="","",'Platform Model &amp; Ecosystem'!$C$16)</x:f>
        <x:v>Public REST/WebSocket API, but not a federation standard</x:v>
      </x:c>
      <x:c r="D25" s="346" t="str">
        <x:f>IF('Platform Model &amp; Ecosystem'!$D$16="","",'Platform Model &amp; Ecosystem'!$D$16)</x:f>
        <x:v>No open interoperability standard</x:v>
      </x:c>
      <x:c r="E25" s="346" t="str">
        <x:f>IF('Platform Model &amp; Ecosystem'!$E$16="","",'Platform Model &amp; Ecosystem'!$E$16)</x:f>
        <x:v>Public API/Gateway inspired by Discord; not a federation standard</x:v>
      </x:c>
      <x:c r="F25" s="346" t="str">
        <x:f>IF('Platform Model &amp; Ecosystem'!$F$16="","",'Platform Model &amp; Ecosystem'!$F$16)</x:f>
        <x:v>Proprietary Root APIs/SDK</x:v>
      </x:c>
      <x:c r="G25" s="346" t="str">
        <x:f>IF('Platform Model &amp; Ecosystem'!$G$16="","",'Platform Model &amp; Ecosystem'!$G$16)</x:f>
        <x:v>Open Matrix specification: Client-Server + Server-Server/Federation APIs</x:v>
      </x:c>
      <x:c r="H25" s="346" t="str">
        <x:f>IF('Platform Model &amp; Ecosystem'!$H$16="","",'Platform Model &amp; Ecosystem'!$H$16)</x:f>
        <x:v>Discord-compatible REST/Gateway reimplementation</x:v>
      </x:c>
      <x:c r="I25" s="346" t="str">
        <x:f>IF('Platform Model &amp; Ecosystem'!$I$16="","",'Platform Model &amp; Ecosystem'!$I$16)</x:f>
        <x:v>Open Mumble protocol/source</x:v>
      </x:c>
      <x:c r="J25" s="346" t="str">
        <x:f>IF('Platform Model &amp; Ecosystem'!$J$16="","",'Platform Model &amp; Ecosystem'!$J$16)</x:f>
        <x:v>Proprietary protocol/API</x:v>
      </x:c>
      <x:c r="K25" s="346" t="str">
        <x:f>IF('Platform Model &amp; Ecosystem'!$K$16="","",'Platform Model &amp; Ecosystem'!$K$16)</x:f>
        <x:v>Open REST/realtime APIs</x:v>
      </x:c>
      <x:c r="L25" s="346" t="str">
        <x:f>IF('Platform Model &amp; Ecosystem'!$L$16="","",'Platform Model &amp; Ecosystem'!$L$16)</x:f>
        <x:v>Open APIs, not a general federation standard</x:v>
      </x:c>
      <x:c r="M25" s="346" t="str">
        <x:f>IF('Platform Model &amp; Ecosystem'!$M$16="","",'Platform Model &amp; Ecosystem'!$M$16)</x:f>
        <x:v>REST/realtime APIs + federation components</x:v>
      </x:c>
      <x:c r="N25" s="346" t="str">
        <x:f>IF('Platform Model &amp; Ecosystem'!$N$16="","",'Platform Model &amp; Ecosystem'!$N$16)</x:f>
        <x:v>Proprietary API/service</x:v>
      </x:c>
      <x:c r="O25" s="346" t="str">
        <x:f>IF('Platform Model &amp; Ecosystem'!$O$16="","",'Platform Model &amp; Ecosystem'!$O$16)</x:f>
        <x:v>Public app/API code, not a federation standard</x:v>
      </x:c>
      <x:c r="P25" s="346" t="str">
        <x:f>IF('Platform Model &amp; Ecosystem'!$P$16="","",'Platform Model &amp; Ecosystem'!$P$16)</x:f>
        <x:v>Proprietary service APIs</x:v>
      </x:c>
      <x:c r="Q25" s="346" t="str">
        <x:f>IF('Platform Model &amp; Ecosystem'!$Q$16="","",'Platform Model &amp; Ecosystem'!$Q$16)</x:f>
        <x:v>Discord-compatible API + federation work</x:v>
      </x:c>
      <x:c r="R25" s="346" t="str">
        <x:f>IF('Platform Model &amp; Ecosystem'!$R$16="","",'Platform Model &amp; Ecosystem'!$R$16)</x:f>
        <x:v>Custom open-source federation protocol</x:v>
      </x:c>
      <x:c r="S25" s="346" t="str">
        <x:f>IF('Platform Model &amp; Ecosystem'!$S$16="","",'Platform Model &amp; Ecosystem'!$S$16)</x:f>
        <x:v>Custom APIs</x:v>
      </x:c>
      <x:c r="T25" s="346" t="str">
        <x:f>IF('Platform Model &amp; Ecosystem'!$T$16="","",'Platform Model &amp; Ecosystem'!$T$16)</x:f>
        <x:v>Proprietary</x:v>
      </x:c>
      <x:c r="U25" s="346" t="str">
        <x:f>IF('Platform Model &amp; Ecosystem'!$U$16="","",'Platform Model &amp; Ecosystem'!$U$16)</x:f>
        <x:v>Proprietary product protocol U/K</x:v>
      </x:c>
      <x:c r="V25" s="346" t="str">
        <x:f>IF('Platform Model &amp; Ecosystem'!$V$16="","",'Platform Model &amp; Ecosystem'!$V$16)</x:f>
        <x:v>Discord-compatible API</x:v>
      </x:c>
      <x:c r="W25" s="346" t="str">
        <x:f>IF('Platform Model &amp; Ecosystem'!$W$16="","",'Platform Model &amp; Ecosystem'!$W$16)</x:f>
        <x:v>AT Protocol</x:v>
      </x:c>
      <x:c r="X25" s="346" t="str">
        <x:f>IF('Platform Model &amp; Ecosystem'!$X$16="","",'Platform Model &amp; Ecosystem'!$X$16)</x:f>
        <x:v>Nostr + Concord/NIP-29</x:v>
      </x:c>
      <x:c r="Y25" s="346" t="str">
        <x:f>IF('Platform Model &amp; Ecosystem'!$Y$16="","",'Platform Model &amp; Ecosystem'!$Y$16)</x:f>
        <x:v>Custom open protocol/code</x:v>
      </x:c>
      <x:c r="Z25" s="346" t="str">
        <x:f>IF('Platform Model &amp; Ecosystem'!$Z$16="","",'Platform Model &amp; Ecosystem'!$Z$16)</x:f>
        <x:v>Custom protocol</x:v>
      </x:c>
      <x:c r="AA25" s="380" t="str">
        <x:f>IF('Platform Model &amp; Ecosystem'!$AA$16="","",'Platform Model &amp; Ecosystem'!$AA$16)</x:f>
        <x:v>Proprietary</x:v>
      </x:c>
      <x:c r="AB25" s="346" t="str">
        <x:f>IF('Platform Model &amp; Ecosystem'!$AB$16="","",'Platform Model &amp; Ecosystem'!$AB$16)</x:f>
        <x:v>Application API/webhooks</x:v>
      </x:c>
      <x:c r="AC25" s="346" t="str">
        <x:f>IF('Platform Model &amp; Ecosystem'!$AC$16="","",'Platform Model &amp; Ecosystem'!$AC$16)</x:f>
        <x:v>Proprietary</x:v>
      </x:c>
      <x:c r="AD25" s="346" t="str">
        <x:f>IF('Platform Model &amp; Ecosystem'!$AD$16="","",'Platform Model &amp; Ecosystem'!$AD$16)</x:f>
        <x:v>Valour API/node protocol</x:v>
      </x:c>
      <x:c r="AE25" s="346" t="str">
        <x:f>IF('Platform Model &amp; Ecosystem'!$AE$16="","",'Platform Model &amp; Ecosystem'!$AE$16)</x:f>
        <x:v>Proprietary/application API</x:v>
      </x:c>
    </x:row>
    <x:row r="26" ht="36" customHeight="1">
      <x:c r="A26" s="359" t="str">
        <x:v>Open-Source Scope</x:v>
      </x:c>
      <x:c r="B26" s="346" t="str">
        <x:f>IF('Platform Model &amp; Ecosystem'!$B$18="","",'Platform Model &amp; Ecosystem'!$B$18)</x:f>
        <x:v>Closed-source core service/client</x:v>
      </x:c>
      <x:c r="C26" s="346" t="str">
        <x:f>IF('Platform Model &amp; Ecosystem'!$C$18="","",'Platform Model &amp; Ecosystem'!$C$18)</x:f>
        <x:v>Backend/web/self-host stack largely FOSS (AGPL-3.0; components vary)</x:v>
      </x:c>
      <x:c r="D26" s="346" t="str">
        <x:f>IF('Platform Model &amp; Ecosystem'!$D$18="","",'Platform Model &amp; Ecosystem'!$D$18)</x:f>
        <x:v>Closed source during alpha; full source release planned</x:v>
      </x:c>
      <x:c r="E26" s="346" t="str">
        <x:f>IF('Platform Model &amp; Ecosystem'!$E$18="","",'Platform Model &amp; Ecosystem'!$E$18)</x:f>
        <x:v>AGPL-3.0 open-source stack</x:v>
      </x:c>
      <x:c r="F26" s="346" t="str">
        <x:f>IF('Platform Model &amp; Ecosystem'!$F$18="","",'Platform Model &amp; Ecosystem'!$F$18)</x:f>
        <x:v>Closed-source core platform; developer SDK/API public</x:v>
      </x:c>
      <x:c r="G26" s="346" t="str">
        <x:f>IF('Platform Model &amp; Ecosystem'!$G$18="","",'Platform Model &amp; Ecosystem'!$G$18)</x:f>
        <x:v>Protocol/spec open; implementations vary; many are FOSS</x:v>
      </x:c>
      <x:c r="H26" s="346" t="str">
        <x:f>IF('Platform Model &amp; Ecosystem'!$H$18="","",'Platform Model &amp; Ecosystem'!$H$18)</x:f>
        <x:v>FOSS / AGPL-3.0 project</x:v>
      </x:c>
      <x:c r="I26" s="346" t="str">
        <x:f>IF('Platform Model &amp; Ecosystem'!$I$18="","",'Platform Model &amp; Ecosystem'!$I$18)</x:f>
        <x:v>BSD-style open source</x:v>
      </x:c>
      <x:c r="J26" s="346" t="str">
        <x:f>IF('Platform Model &amp; Ecosystem'!$J$18="","",'Platform Model &amp; Ecosystem'!$J$18)</x:f>
        <x:v>Proprietary core</x:v>
      </x:c>
      <x:c r="K26" s="346" t="str">
        <x:f>IF('Platform Model &amp; Ecosystem'!$K$18="","",'Platform Model &amp; Ecosystem'!$K$18)</x:f>
        <x:v>Apache-2.0 open source</x:v>
      </x:c>
      <x:c r="L26" s="346" t="str">
        <x:f>IF('Platform Model &amp; Ecosystem'!$L$18="","",'Platform Model &amp; Ecosystem'!$L$18)</x:f>
        <x:v>Open-source/community code plus commercial editions</x:v>
      </x:c>
      <x:c r="M26" s="346" t="str">
        <x:f>IF('Platform Model &amp; Ecosystem'!$M$18="","",'Platform Model &amp; Ecosystem'!$M$18)</x:f>
        <x:v>MIT/open-source core + enterprise portions</x:v>
      </x:c>
      <x:c r="N26" s="346" t="str">
        <x:f>IF('Platform Model &amp; Ecosystem'!$N$18="","",'Platform Model &amp; Ecosystem'!$N$18)</x:f>
        <x:v>Closed source</x:v>
      </x:c>
      <x:c r="O26" s="346" t="str">
        <x:f>IF('Platform Model &amp; Ecosystem'!$O$18="","",'Platform Model &amp; Ecosystem'!$O$18)</x:f>
        <x:v>Open-source client/server</x:v>
      </x:c>
      <x:c r="P26" s="346" t="str">
        <x:f>IF('Platform Model &amp; Ecosystem'!$P$18="","",'Platform Model &amp; Ecosystem'!$P$18)</x:f>
        <x:v>Mixed/partial open source</x:v>
      </x:c>
      <x:c r="Q26" s="346" t="str">
        <x:f>IF('Platform Model &amp; Ecosystem'!$Q$18="","",'Platform Model &amp; Ecosystem'!$Q$18)</x:f>
        <x:v>Open-source scope U/K/AGPL claims</x:v>
      </x:c>
      <x:c r="R26" s="346" t="str">
        <x:f>IF('Platform Model &amp; Ecosystem'!$R$18="","",'Platform Model &amp; Ecosystem'!$R$18)</x:f>
        <x:v>Backend open; client planned</x:v>
      </x:c>
      <x:c r="S26" s="346" t="str">
        <x:f>IF('Platform Model &amp; Ecosystem'!$S$18="","",'Platform Model &amp; Ecosystem'!$S$18)</x:f>
        <x:v>Open-source repository</x:v>
      </x:c>
      <x:c r="T26" s="346" t="str">
        <x:f>IF('Platform Model &amp; Ecosystem'!$T$18="","",'Platform Model &amp; Ecosystem'!$T$18)</x:f>
        <x:v>Closed source</x:v>
      </x:c>
      <x:c r="U26" s="346" t="str">
        <x:f>IF('Platform Model &amp; Ecosystem'!$U$18="","",'Platform Model &amp; Ecosystem'!$U$18)</x:f>
        <x:v>Closed/proprietary U/K</x:v>
      </x:c>
      <x:c r="V26" s="346" t="str">
        <x:f>IF('Platform Model &amp; Ecosystem'!$V$18="","",'Platform Model &amp; Ecosystem'!$V$18)</x:f>
        <x:v>Open source</x:v>
      </x:c>
      <x:c r="W26" s="346" t="str">
        <x:f>IF('Platform Model &amp; Ecosystem'!$W$18="","",'Platform Model &amp; Ecosystem'!$W$18)</x:f>
        <x:v>MPL-2.0 open source</x:v>
      </x:c>
      <x:c r="X26" s="346" t="str">
        <x:f>IF('Platform Model &amp; Ecosystem'!$X$18="","",'Platform Model &amp; Ecosystem'!$X$18)</x:f>
        <x:v>Open source</x:v>
      </x:c>
      <x:c r="Y26" s="346" t="str">
        <x:f>IF('Platform Model &amp; Ecosystem'!$Y$18="","",'Platform Model &amp; Ecosystem'!$Y$18)</x:f>
        <x:v>Open source</x:v>
      </x:c>
      <x:c r="Z26" s="346" t="str">
        <x:f>IF('Platform Model &amp; Ecosystem'!$Z$18="","",'Platform Model &amp; Ecosystem'!$Z$18)</x:f>
        <x:v>AGPL-3.0 open source</x:v>
      </x:c>
      <x:c r="AA26" s="380" t="str">
        <x:f>IF('Platform Model &amp; Ecosystem'!$AA$18="","",'Platform Model &amp; Ecosystem'!$AA$18)</x:f>
        <x:v>Closed source</x:v>
      </x:c>
      <x:c r="AB26" s="346" t="str">
        <x:f>IF('Platform Model &amp; Ecosystem'!$AB$18="","",'Platform Model &amp; Ecosystem'!$AB$18)</x:f>
        <x:v>AGPL</x:v>
      </x:c>
      <x:c r="AC26" s="346" t="str">
        <x:f>IF('Platform Model &amp; Ecosystem'!$AC$18="","",'Platform Model &amp; Ecosystem'!$AC$18)</x:f>
        <x:v>Closed source currently</x:v>
      </x:c>
      <x:c r="AD26" s="346" t="str">
        <x:f>IF('Platform Model &amp; Ecosystem'!$AD$18="","",'Platform Model &amp; Ecosystem'!$AD$18)</x:f>
        <x:v>AGPL-3.0 client/server</x:v>
      </x:c>
      <x:c r="AE26" s="346" t="str">
        <x:f>IF('Platform Model &amp; Ecosystem'!$AE$18="","",'Platform Model &amp; Ecosystem'!$AE$18)</x:f>
        <x:v>Source-available</x:v>
      </x:c>
    </x:row>
    <x:row r="27" ht="36" customHeight="1">
      <x:c r="A27" s="359" t="str">
        <x:v>Important Model Distinction</x:v>
      </x:c>
      <x:c r="B27" s="346" t="str">
        <x:f>IF('Platform Model &amp; Ecosystem'!$B$20="","",'Platform Model &amp; Ecosystem'!$B$20)</x:f>
        <x:v>One vendor controls service, accounts, official clients, and server backend.</x:v>
      </x:c>
      <x:c r="C27" s="346" t="str">
        <x:f>IF('Platform Model &amp; Ecosystem'!$C$20="","",'Platform Model &amp; Ecosystem'!$C$20)</x:f>
        <x:v>Self-hostable does not mean federated: separate Stoat instances do not automatically interoperate.</x:v>
      </x:c>
      <x:c r="D27" s="346" t="str">
        <x:f>IF('Platform Model &amp; Ecosystem'!$D$20="","",'Platform Model &amp; Ecosystem'!$D$20)</x:f>
        <x:v>Privacy features are product-level, but it is currently a centralized service rather than a federated protocol.</x:v>
      </x:c>
      <x:c r="E27" s="346" t="str">
        <x:f>IF('Platform Model &amp; Ecosystem'!$E$20="","",'Platform Model &amp; Ecosystem'!$E$20)</x:f>
        <x:v>Self-hosting exists now; federation is a separate roadmap item and should not be assumed.</x:v>
      </x:c>
      <x:c r="F27" s="346" t="str">
        <x:f>IF('Platform Model &amp; Ecosystem'!$F$20="","",'Platform Model &amp; Ecosystem'!$F$20)</x:f>
        <x:v>Apps/Bots are hosted inside Root; they extend Root but do not make it self-hosted/federated.</x:v>
      </x:c>
      <x:c r="G27" s="346" t="str">
        <x:f>IF('Platform Model &amp; Ecosystem'!$G$20="","",'Platform Model &amp; Ecosystem'!$G$20)</x:f>
        <x:v>Element is a Matrix client/vendor product. Matrix itself is the protocol and federated ecosystem.</x:v>
      </x:c>
      <x:c r="H27" s="346" t="str">
        <x:f>IF('Platform Model &amp; Ecosystem'!$H$20="","",'Platform Model &amp; Ecosystem'!$H$20)</x:f>
        <x:v>Spacebar reproduces Discord's client-server API model; it is not a federated network.</x:v>
      </x:c>
      <x:c r="I27" s="346" t="str">
        <x:f>IF('Platform Model &amp; Ecosystem'!$I$20="","",'Platform Model &amp; Ecosystem'!$I$20)</x:f>
        <x:v>A voice-first client/server system, not a Discord-style social platform.</x:v>
      </x:c>
      <x:c r="J27" s="346" t="str">
        <x:f>IF('Platform Model &amp; Ecosystem'!$J$20="","",'Platform Model &amp; Ecosystem'!$J$20)</x:f>
        <x:v>Server ownership can be independent, but TeamSpeak servers do not federate into one network.</x:v>
      </x:c>
      <x:c r="K27" s="346" t="str">
        <x:f>IF('Platform Model &amp; Ecosystem'!$K$20="","",'Platform Model &amp; Ecosystem'!$K$20)</x:f>
        <x:v>Multiple deployments are independent; Zulip is an application, not a federated protocol.</x:v>
      </x:c>
      <x:c r="L27" s="346" t="str">
        <x:f>IF('Platform Model &amp; Ecosystem'!$L$20="","",'Platform Model &amp; Ecosystem'!$L$20)</x:f>
        <x:v>Self-hosting gives data control, but separate Mattermost deployments are not one interoperable federation.</x:v>
      </x:c>
      <x:c r="M27" s="346" t="str">
        <x:f>IF('Platform Model &amp; Ecosystem'!$M$20="","",'Platform Model &amp; Ecosystem'!$M$20)</x:f>
        <x:v>Federation exists, but its feature set is narrower than local rooms and differs from Matrix-as-a-platform.</x:v>
      </x:c>
      <x:c r="N27" s="346" t="str">
        <x:f>IF('Platform Model &amp; Ecosystem'!$N$20="","",'Platform Model &amp; Ecosystem'!$N$20)</x:f>
        <x:v>Self-hosting exists, but instances are not documented as one federated network.</x:v>
      </x:c>
      <x:c r="O27" s="346" t="str">
        <x:f>IF('Platform Model &amp; Ecosystem'!$O$20="","",'Platform Model &amp; Ecosystem'!$O$20)</x:f>
        <x:v>Open source does not imply federation; the official project discourages self-hosting as a normal deployment model.</x:v>
      </x:c>
      <x:c r="P27" s="346" t="str">
        <x:f>IF('Platform Model &amp; Ecosystem'!$P$20="","",'Platform Model &amp; Ecosystem'!$P$20)</x:f>
        <x:v>Regional distribution is not federation or self-hosting.</x:v>
      </x:c>
      <x:c r="Q27" s="346" t="str">
        <x:f>IF('Platform Model &amp; Ecosystem'!$Q$20="","",'Platform Model &amp; Ecosystem'!$Q$20)</x:f>
        <x:v>Unlike a purely centralized clone, Loqa explicitly targets federation/self-hosting, but the architecture is still evolving.</x:v>
      </x:c>
      <x:c r="R27" s="346" t="str">
        <x:f>IF('Platform Model &amp; Ecosystem'!$R$20="","",'Platform Model &amp; Ecosystem'!$R$20)</x:f>
        <x:v>Current product and intended future architecture differ; federation/self-hosting should be marked in-progress, not assumed complete.</x:v>
      </x:c>
      <x:c r="S27" s="346" t="str">
        <x:f>IF('Platform Model &amp; Ecosystem'!$S$20="","",'Platform Model &amp; Ecosystem'!$S$20)</x:f>
        <x:v>Open source code does not by itself make Mezon a federated protocol like Matrix.</x:v>
      </x:c>
      <x:c r="T27" s="346" t="str">
        <x:f>IF('Platform Model &amp; Ecosystem'!$T$20="","",'Platform Model &amp; Ecosystem'!$T$20)</x:f>
        <x:v>Privacy-minimal account design is distinct from decentralization/self-hosting.</x:v>
      </x:c>
      <x:c r="U27" s="346" t="str">
        <x:f>IF('Platform Model &amp; Ecosystem'!$U$20="","",'Platform Model &amp; Ecosystem'!$U$20)</x:f>
        <x:v>Like TeamSpeak, operator owns the server; unlike Matrix, servers are not documented as federated.</x:v>
      </x:c>
      <x:c r="V27" s="346" t="str">
        <x:f>IF('Platform Model &amp; Ecosystem'!$V$20="","",'Platform Model &amp; Ecosystem'!$V$20)</x:f>
        <x:v>Harmony is the platform/API; Fermi is a client. This mirrors the Matrix/Element distinction conceptually, though Harmony is not Matrix.</x:v>
      </x:c>
      <x:c r="W27" s="346" t="str">
        <x:f>IF('Platform Model &amp; Ecosystem'!$W$20="","",'Platform Model &amp; Ecosystem'!$W$20)</x:f>
        <x:v>Roomy is an ATProto application, not a generic centralized Discord clone.</x:v>
      </x:c>
      <x:c r="X27" s="346" t="str">
        <x:f>IF('Platform Model &amp; Ecosystem'!$X$20="","",'Platform Model &amp; Ecosystem'!$X$20)</x:f>
        <x:v>Armada separates identity/content from a single platform host: keys are the account and relays are replaceable transport.</x:v>
      </x:c>
      <x:c r="Y27" s="346" t="str">
        <x:f>IF('Platform Model &amp; Ecosystem'!$Y$20="","",'Platform Model &amp; Ecosystem'!$Y$20)</x:f>
        <x:v>There is no central account database: the user's keypair is the identity and message history lives locally.</x:v>
      </x:c>
      <x:c r="Z27" s="346" t="str">
        <x:f>IF('Platform Model &amp; Ecosystem'!$Z$20="","",'Platform Model &amp; Ecosystem'!$Z$20)</x:f>
        <x:v>DCTS combines island-like community servers with a separate cross-server encrypted messenger.</x:v>
      </x:c>
      <x:c r="AA27" s="380" t="str">
        <x:f>IF('Platform Model &amp; Ecosystem'!$AA$20="","",'Platform Model &amp; Ecosystem'!$AA$20)</x:f>
        <x:v>Privacy policy choices (no email/phone/ID, EXIF stripping, no AI training) operate within a centralized service model.</x:v>
      </x:c>
      <x:c r="AB27" s="346" t="str">
        <x:f>IF('Platform Model &amp; Ecosystem'!$AB$20="","",'Platform Model &amp; Ecosystem'!$AB$20)</x:f>
        <x:v>Self-hosting provides ownership, but instances are not one federated network.</x:v>
      </x:c>
      <x:c r="AC27" s="346" t="str">
        <x:f>IF('Platform Model &amp; Ecosystem'!$AC$20="","",'Platform Model &amp; Ecosystem'!$AC$20)</x:f>
        <x:v>Familiar Discord-style UX on a centralized service.</x:v>
      </x:c>
      <x:c r="AD27" s="346" t="str">
        <x:f>IF('Platform Model &amp; Ecosystem'!$AD$20="","",'Platform Model &amp; Ecosystem'!$AD$20)</x:f>
        <x:v>Valour is one open-source platform/client-server stack, not a general protocol ecosystem like Matrix.</x:v>
      </x:c>
      <x:c r="AE27" s="346" t="str">
        <x:f>IF('Platform Model &amp; Ecosystem'!$AE$20="","",'Platform Model &amp; Ecosystem'!$AE$20)</x:f>
        <x:v>Weered intentionally uses game lobbies/rooms rather than cloning Discord's server/channel information architecture.</x:v>
      </x:c>
    </x:row>
    <x:row r="28" ht="23" customHeight="1">
      <x:c r="A28" s="386" t="str">
        <x:v>Commercial / Granular Snapshot</x:v>
      </x:c>
      <x:c r="B28" s="386"/>
      <x:c r="C28" s="386"/>
      <x:c r="D28" s="386"/>
      <x:c r="E28" s="386"/>
      <x:c r="F28" s="386"/>
      <x:c r="G28" s="386"/>
      <x:c r="H28" s="386"/>
      <x:c r="I28" s="386"/>
      <x:c r="J28" s="386"/>
      <x:c r="K28" s="386"/>
      <x:c r="L28" s="386"/>
      <x:c r="M28" s="386"/>
      <x:c r="N28" s="386"/>
      <x:c r="O28" s="386"/>
      <x:c r="P28" s="386"/>
      <x:c r="Q28" s="386"/>
      <x:c r="R28" s="386"/>
      <x:c r="S28" s="386"/>
      <x:c r="T28" s="386"/>
      <x:c r="U28" s="386"/>
      <x:c r="V28" s="386"/>
      <x:c r="W28" s="386"/>
      <x:c r="X28" s="386"/>
      <x:c r="Y28" s="386"/>
      <x:c r="Z28" s="386"/>
      <x:c r="AA28" s="386"/>
      <x:c r="AB28" s="386"/>
      <x:c r="AC28" s="386"/>
      <x:c r="AD28" s="386"/>
      <x:c r="AE28" s="386"/>
    </x:row>
    <x:row r="29" ht="36" customHeight="1">
      <x:c r="A29" s="359" t="str">
        <x:v>Free Plan?</x:v>
      </x:c>
      <x:c r="B29" s="346" t="str">
        <x:f>IF('Pricing Summary'!$B$3="","U/K",'Pricing Summary'!$B$3)</x:f>
        <x:v>Yes</x:v>
      </x:c>
      <x:c r="C29" s="346" t="str">
        <x:f>IF('Pricing Summary'!$C$3="","U/K",'Pricing Summary'!$C$3)</x:f>
        <x:v>Yes</x:v>
      </x:c>
      <x:c r="D29" s="346" t="str">
        <x:f>IF('Pricing Summary'!$D$3="","U/K",'Pricing Summary'!$D$3)</x:f>
        <x:v>Yes</x:v>
      </x:c>
      <x:c r="E29" s="346" t="str">
        <x:f>IF('Pricing Summary'!$E$3="","U/K",'Pricing Summary'!$E$3)</x:f>
        <x:v>Yes</x:v>
      </x:c>
      <x:c r="F29" s="346" t="str">
        <x:f>IF('Pricing Summary'!$F$3="","U/K",'Pricing Summary'!$F$3)</x:f>
        <x:v>Yes</x:v>
      </x:c>
      <x:c r="G29" s="346" t="str">
        <x:f>IF('Pricing Summary'!$G$3="","U/K",'Pricing Summary'!$G$3)</x:f>
        <x:v>Yes</x:v>
      </x:c>
      <x:c r="H29" s="346" t="str">
        <x:f>IF('Pricing Summary'!$H$3="","U/K",'Pricing Summary'!$H$3)</x:f>
        <x:v>Yes</x:v>
      </x:c>
      <x:c r="I29" s="346" t="str">
        <x:f>IF('Pricing Summary'!$I$3="","U/K",'Pricing Summary'!$I$3)</x:f>
        <x:v>Yes</x:v>
      </x:c>
      <x:c r="J29" s="346" t="str">
        <x:f>IF('Pricing Summary'!$J$3="","U/K",'Pricing Summary'!$J$3)</x:f>
        <x:v>Yes</x:v>
      </x:c>
      <x:c r="K29" s="346" t="str">
        <x:f>IF('Pricing Summary'!$K$3="","U/K",'Pricing Summary'!$K$3)</x:f>
        <x:v>Yes</x:v>
      </x:c>
      <x:c r="L29" s="346" t="str">
        <x:f>IF('Pricing Summary'!$L$3="","U/K",'Pricing Summary'!$L$3)</x:f>
        <x:v>Yes</x:v>
      </x:c>
      <x:c r="M29" s="346" t="str">
        <x:f>IF('Pricing Summary'!$M$3="","U/K",'Pricing Summary'!$M$3)</x:f>
        <x:v>Yes</x:v>
      </x:c>
      <x:c r="N29" s="346" t="str">
        <x:f>IF('Pricing Summary'!$N$3="","U/K",'Pricing Summary'!$N$3)</x:f>
        <x:v>Yes</x:v>
      </x:c>
      <x:c r="O29" s="346" t="str">
        <x:f>IF('Pricing Summary'!$O$3="","U/K",'Pricing Summary'!$O$3)</x:f>
        <x:v>Yes</x:v>
      </x:c>
      <x:c r="P29" s="346" t="str">
        <x:f>IF('Pricing Summary'!$P$3="","U/K",'Pricing Summary'!$P$3)</x:f>
        <x:v>Yes / U/K exact free-plan terms</x:v>
      </x:c>
      <x:c r="Q29" s="346" t="str">
        <x:f>IF('Pricing Summary'!$Q$3="","U/K",'Pricing Summary'!$Q$3)</x:f>
        <x:v>Yes / U/K exact free-plan terms</x:v>
      </x:c>
      <x:c r="R29" s="346" t="str">
        <x:f>IF('Pricing Summary'!$R$3="","U/K",'Pricing Summary'!$R$3)</x:f>
        <x:v>Yes / U/K exact free-plan terms</x:v>
      </x:c>
      <x:c r="S29" s="346" t="str">
        <x:f>IF('Pricing Summary'!$S$3="","U/K",'Pricing Summary'!$S$3)</x:f>
        <x:v>Yes</x:v>
      </x:c>
      <x:c r="T29" s="346" t="str">
        <x:f>IF('Pricing Summary'!$T$3="","U/K",'Pricing Summary'!$T$3)</x:f>
        <x:v>Yes / U/K exact free-plan terms</x:v>
      </x:c>
      <x:c r="U29" s="346" t="str">
        <x:f>IF('Pricing Summary'!$U$3="","U/K",'Pricing Summary'!$U$3)</x:f>
        <x:v>Yes / U/K exact free-plan terms</x:v>
      </x:c>
      <x:c r="V29" s="346" t="str">
        <x:f>IF('Pricing Summary'!$V$3="","U/K",'Pricing Summary'!$V$3)</x:f>
        <x:v>Yes</x:v>
      </x:c>
      <x:c r="W29" s="346" t="str">
        <x:f>IF('Pricing Summary'!$W$3="","U/K",'Pricing Summary'!$W$3)</x:f>
        <x:v>Yes</x:v>
      </x:c>
      <x:c r="X29" s="346" t="str">
        <x:f>IF('Pricing Summary'!$X$3="","U/K",'Pricing Summary'!$X$3)</x:f>
        <x:v>Yes</x:v>
      </x:c>
      <x:c r="Y29" s="346" t="str">
        <x:f>IF('Pricing Summary'!$Y$3="","U/K",'Pricing Summary'!$Y$3)</x:f>
        <x:v>Yes</x:v>
      </x:c>
      <x:c r="Z29" s="346" t="str">
        <x:f>IF('Pricing Summary'!$Z$3="","U/K",'Pricing Summary'!$Z$3)</x:f>
        <x:v>Yes</x:v>
      </x:c>
      <x:c r="AA29" s="380" t="str">
        <x:f>IF('Pricing Summary'!$AA$3="","U/K",'Pricing Summary'!$AA$3)</x:f>
        <x:v>Yes</x:v>
      </x:c>
      <x:c r="AB29" s="346" t="str">
        <x:f>IF('Pricing Summary'!$AB$3="","U/K",'Pricing Summary'!$AB$3)</x:f>
        <x:v>Yes</x:v>
      </x:c>
      <x:c r="AC29" s="346" t="str">
        <x:f>IF('Pricing Summary'!$AC$3="","U/K",'Pricing Summary'!$AC$3)</x:f>
        <x:v>Yes / U/K exact free-plan terms</x:v>
      </x:c>
      <x:c r="AD29" s="346" t="str">
        <x:f>IF('Pricing Summary'!$AD$3="","U/K",'Pricing Summary'!$AD$3)</x:f>
        <x:v>Yes / U/K exact free-plan terms</x:v>
      </x:c>
      <x:c r="AE29" s="346" t="str">
        <x:f>IF('Pricing Summary'!$AE$3="","U/K",'Pricing Summary'!$AE$3)</x:f>
        <x:v>Yes</x:v>
      </x:c>
    </x:row>
    <x:row r="30" ht="36" customHeight="1">
      <x:c r="A30" s="359" t="str">
        <x:v># Public Paid Options</x:v>
      </x:c>
      <x:c r="B30" s="346" t="str">
        <x:f>IF(LEN('Pricing Summary'!$B$4&amp;"")=0,"U/K",'Pricing Summary'!$B$4)</x:f>
        <x:v>4</x:v>
      </x:c>
      <x:c r="C30" s="346" t="str">
        <x:f>IF(LEN('Pricing Summary'!$C$4&amp;"")=0,"U/K",'Pricing Summary'!$C$4)</x:f>
        <x:v>0</x:v>
      </x:c>
      <x:c r="D30" s="346" t="str">
        <x:f>IF(LEN('Pricing Summary'!$D$4&amp;"")=0,"U/K",'Pricing Summary'!$D$4)</x:f>
        <x:v>3</x:v>
      </x:c>
      <x:c r="E30" s="346" t="str">
        <x:f>IF(LEN('Pricing Summary'!$E$4&amp;"")=0,"U/K",'Pricing Summary'!$E$4)</x:f>
        <x:v>1</x:v>
      </x:c>
      <x:c r="F30" s="346" t="str">
        <x:f>IF(LEN('Pricing Summary'!$F$4&amp;"")=0,"U/K",'Pricing Summary'!$F$4)</x:f>
        <x:v>1</x:v>
      </x:c>
      <x:c r="G30" s="346" t="str">
        <x:f>IF(LEN('Pricing Summary'!$G$4&amp;"")=0,"U/K",'Pricing Summary'!$G$4)</x:f>
        <x:v>0</x:v>
      </x:c>
      <x:c r="H30" s="346" t="str">
        <x:f>IF(LEN('Pricing Summary'!$H$4&amp;"")=0,"U/K",'Pricing Summary'!$H$4)</x:f>
        <x:v>0</x:v>
      </x:c>
      <x:c r="I30" s="346" t="str">
        <x:f>IF(LEN('Pricing Summary'!$I$4&amp;"")=0,"U/K",'Pricing Summary'!$I$4)</x:f>
        <x:v>0</x:v>
      </x:c>
      <x:c r="J30" s="346" t="str">
        <x:f>IF(LEN('Pricing Summary'!$J$4&amp;"")=0,"U/K",'Pricing Summary'!$J$4)</x:f>
        <x:v>10</x:v>
      </x:c>
      <x:c r="K30" s="346" t="str">
        <x:f>IF(LEN('Pricing Summary'!$K$4&amp;"")=0,"U/K",'Pricing Summary'!$K$4)</x:f>
        <x:v>5</x:v>
      </x:c>
      <x:c r="L30" s="346" t="str">
        <x:f>IF(LEN('Pricing Summary'!$L$4&amp;"")=0,"U/K",'Pricing Summary'!$L$4)</x:f>
        <x:v>4</x:v>
      </x:c>
      <x:c r="M30" s="346" t="str">
        <x:f>IF(LEN('Pricing Summary'!$M$4&amp;"")=0,"U/K",'Pricing Summary'!$M$4)</x:f>
        <x:v>3</x:v>
      </x:c>
      <x:c r="N30" s="346" t="str">
        <x:f>IF(LEN('Pricing Summary'!$N$4&amp;"")=0,"U/K",'Pricing Summary'!$N$4)</x:f>
        <x:v>4</x:v>
      </x:c>
      <x:c r="O30" s="346" t="str">
        <x:f>IF(LEN('Pricing Summary'!$O$4&amp;"")=0,"U/K",'Pricing Summary'!$O$4)</x:f>
        <x:v>0</x:v>
      </x:c>
      <x:c r="P30" s="346" t="str">
        <x:f>IF(LEN('Pricing Summary'!$P$4&amp;"")=0,"U/K",'Pricing Summary'!$P$4)</x:f>
        <x:v>0</x:v>
      </x:c>
      <x:c r="Q30" s="346" t="str">
        <x:f>IF(LEN('Pricing Summary'!$Q$4&amp;"")=0,"U/K",'Pricing Summary'!$Q$4)</x:f>
        <x:v>0</x:v>
      </x:c>
      <x:c r="R30" s="346" t="str">
        <x:f>IF(LEN('Pricing Summary'!$R$4&amp;"")=0,"U/K",'Pricing Summary'!$R$4)</x:f>
        <x:v>0</x:v>
      </x:c>
      <x:c r="S30" s="346" t="str">
        <x:f>IF(LEN('Pricing Summary'!$S$4&amp;"")=0,"U/K",'Pricing Summary'!$S$4)</x:f>
        <x:v>0</x:v>
      </x:c>
      <x:c r="T30" s="346" t="str">
        <x:f>IF(LEN('Pricing Summary'!$T$4&amp;"")=0,"U/K",'Pricing Summary'!$T$4)</x:f>
        <x:v>0</x:v>
      </x:c>
      <x:c r="U30" s="346" t="str">
        <x:f>IF(LEN('Pricing Summary'!$U$4&amp;"")=0,"U/K",'Pricing Summary'!$U$4)</x:f>
        <x:v>1</x:v>
      </x:c>
      <x:c r="V30" s="346" t="str">
        <x:f>IF(LEN('Pricing Summary'!$V$4&amp;"")=0,"U/K",'Pricing Summary'!$V$4)</x:f>
        <x:v>0</x:v>
      </x:c>
      <x:c r="W30" s="346" t="str">
        <x:f>IF(LEN('Pricing Summary'!$W$4&amp;"")=0,"U/K",'Pricing Summary'!$W$4)</x:f>
        <x:v>0</x:v>
      </x:c>
      <x:c r="X30" s="346" t="str">
        <x:f>IF(LEN('Pricing Summary'!$X$4&amp;"")=0,"U/K",'Pricing Summary'!$X$4)</x:f>
        <x:v>0</x:v>
      </x:c>
      <x:c r="Y30" s="346" t="str">
        <x:f>IF(LEN('Pricing Summary'!$Y$4&amp;"")=0,"U/K",'Pricing Summary'!$Y$4)</x:f>
        <x:v>0</x:v>
      </x:c>
      <x:c r="Z30" s="346" t="str">
        <x:f>IF(LEN('Pricing Summary'!$Z$4&amp;"")=0,"U/K",'Pricing Summary'!$Z$4)</x:f>
        <x:v>0</x:v>
      </x:c>
      <x:c r="AA30" s="380" t="str">
        <x:f>IF(LEN('Pricing Summary'!$AA$4&amp;"")=0,"U/K",'Pricing Summary'!$AA$4)</x:f>
        <x:v>3</x:v>
      </x:c>
      <x:c r="AB30" s="346" t="str">
        <x:f>IF(LEN('Pricing Summary'!$AB$4&amp;"")=0,"U/K",'Pricing Summary'!$AB$4)</x:f>
        <x:v>0</x:v>
      </x:c>
      <x:c r="AC30" s="346" t="str">
        <x:f>IF(LEN('Pricing Summary'!$AC$4&amp;"")=0,"U/K",'Pricing Summary'!$AC$4)</x:f>
        <x:v>0</x:v>
      </x:c>
      <x:c r="AD30" s="346" t="str">
        <x:f>IF(LEN('Pricing Summary'!$AD$4&amp;"")=0,"U/K",'Pricing Summary'!$AD$4)</x:f>
        <x:v>1</x:v>
      </x:c>
      <x:c r="AE30" s="346" t="str">
        <x:f>IF(LEN('Pricing Summary'!$AE$4&amp;"")=0,"U/K",'Pricing Summary'!$AE$4)</x:f>
        <x:v>5</x:v>
      </x:c>
    </x:row>
    <x:row r="31" ht="36" customHeight="1">
      <x:c r="A31" s="359" t="str">
        <x:v>Paid Options / Tiers</x:v>
      </x:c>
      <x:c r="B31" s="346" t="str">
        <x:f>IF('Pricing Summary'!$B$14="","U/K",'Pricing Summary'!$B$14)</x:f>
        <x:v>Nitro Basic; Nitro; Server Boost; Nitro Classic</x:v>
      </x:c>
      <x:c r="C31" s="346" t="str">
        <x:f>IF('Pricing Summary'!$C$14="","U/K",'Pricing Summary'!$C$14)</x:f>
        <x:v>No public paid tier verified</x:v>
      </x:c>
      <x:c r="D31" s="346" t="str">
        <x:f>IF('Pricing Summary'!$D$14="","U/K",'Pricing Summary'!$D$14)</x:f>
        <x:v>Surge; Flare; Prime</x:v>
      </x:c>
      <x:c r="E31" s="346" t="str">
        <x:f>IF('Pricing Summary'!$E$14="","U/K",'Pricing Summary'!$E$14)</x:f>
        <x:v>Plutonium</x:v>
      </x:c>
      <x:c r="F31" s="346" t="str">
        <x:f>IF('Pricing Summary'!$F$14="","U/K",'Pricing Summary'!$F$14)</x:f>
        <x:v>Sudo</x:v>
      </x:c>
      <x:c r="G31" s="346" t="str">
        <x:f>IF('Pricing Summary'!$G$14="","U/K",'Pricing Summary'!$G$14)</x:f>
        <x:v>No public paid tier verified</x:v>
      </x:c>
      <x:c r="H31" s="346" t="str">
        <x:f>IF('Pricing Summary'!$H$14="","U/K",'Pricing Summary'!$H$14)</x:f>
        <x:v>No public paid tier verified</x:v>
      </x:c>
      <x:c r="I31" s="346" t="str">
        <x:f>IF('Pricing Summary'!$I$14="","U/K",'Pricing Summary'!$I$14)</x:f>
        <x:v>No public paid tier verified</x:v>
      </x:c>
      <x:c r="J31" s="346" t="str">
        <x:f>IF('Pricing Summary'!$J$14="","U/K",'Pricing Summary'!$J$14)</x:f>
        <x:v>Crew; Team; Faction; Gamer / Activation 64 slots; Gamer / Activation 128 slots; Gamer / Activation 256 slots; Gamer / Activation 512 slots; Gamer / Activation 1024 slots; Commercial License; TeamSpeak SDK License</x:v>
      </x:c>
      <x:c r="K31" s="346" t="str">
        <x:f>IF('Pricing Summary'!$K$14="","U/K",'Pricing Summary'!$K$14)</x:f>
        <x:v>Cloud Standard; Cloud Plus; Self-hosted Basic; Self-hosted Business; Self-hosted Enterprise</x:v>
      </x:c>
      <x:c r="L31" s="346" t="str">
        <x:f>IF('Pricing Summary'!$L$14="","U/K",'Pricing Summary'!$L$14)</x:f>
        <x:v>Professional; Enterprise; Enterprise Advanced; Premier Support</x:v>
      </x:c>
      <x:c r="M31" s="346" t="str">
        <x:f>IF('Pricing Summary'!$M$14="","U/K",'Pricing Summary'!$M$14)</x:f>
        <x:v>Commercial; Government; Defense</x:v>
      </x:c>
      <x:c r="N31" s="346" t="str">
        <x:f>IF('Pricing Summary'!$N$14="","U/K",'Pricing Summary'!$N$14)</x:f>
        <x:v>Silver; Gold; Diamond; Self-Hosted Server License</x:v>
      </x:c>
      <x:c r="O31" s="346" t="str">
        <x:f>IF('Pricing Summary'!$O$14="","U/K",'Pricing Summary'!$O$14)</x:f>
        <x:v>No public paid tier verified</x:v>
      </x:c>
      <x:c r="P31" s="346" t="str">
        <x:f>IF('Pricing Summary'!$P$14="","U/K",'Pricing Summary'!$P$14)</x:f>
        <x:v>No public paid tier verified</x:v>
      </x:c>
      <x:c r="Q31" s="346" t="str">
        <x:f>IF('Pricing Summary'!$Q$14="","U/K",'Pricing Summary'!$Q$14)</x:f>
        <x:v>No public paid tier verified</x:v>
      </x:c>
      <x:c r="R31" s="346" t="str">
        <x:f>IF('Pricing Summary'!$R$14="","U/K",'Pricing Summary'!$R$14)</x:f>
        <x:v>No public paid tier verified</x:v>
      </x:c>
      <x:c r="S31" s="346" t="str">
        <x:f>IF('Pricing Summary'!$S$14="","U/K",'Pricing Summary'!$S$14)</x:f>
        <x:v>No public paid tier verified</x:v>
      </x:c>
      <x:c r="T31" s="346" t="str">
        <x:f>IF('Pricing Summary'!$T$14="","U/K",'Pricing Summary'!$T$14)</x:f>
        <x:v>No public paid tier verified</x:v>
      </x:c>
      <x:c r="U31" s="346" t="str">
        <x:f>IF('Pricing Summary'!$U$14="","U/K",'Pricing Summary'!$U$14)</x:f>
        <x:v>Yapper Hosting - 1 Year</x:v>
      </x:c>
      <x:c r="V31" s="346" t="str">
        <x:f>IF('Pricing Summary'!$V$14="","U/K",'Pricing Summary'!$V$14)</x:f>
        <x:v>No public paid tier verified</x:v>
      </x:c>
      <x:c r="W31" s="346" t="str">
        <x:f>IF('Pricing Summary'!$W$14="","U/K",'Pricing Summary'!$W$14)</x:f>
        <x:v>No public paid tier verified</x:v>
      </x:c>
      <x:c r="X31" s="346" t="str">
        <x:f>IF('Pricing Summary'!$X$14="","U/K",'Pricing Summary'!$X$14)</x:f>
        <x:v>No public paid tier verified</x:v>
      </x:c>
      <x:c r="Y31" s="346" t="str">
        <x:f>IF('Pricing Summary'!$Y$14="","U/K",'Pricing Summary'!$Y$14)</x:f>
        <x:v>No public paid tier verified</x:v>
      </x:c>
      <x:c r="Z31" s="346" t="str">
        <x:f>IF('Pricing Summary'!$Z$14="","U/K",'Pricing Summary'!$Z$14)</x:f>
        <x:v>No public paid tier verified</x:v>
      </x:c>
      <x:c r="AA31" s="380" t="str">
        <x:f>IF('Pricing Summary'!$AA$14="","U/K",'Pricing Summary'!$AA$14)</x:f>
        <x:v>Rift+; Shard Ember; Shard Forge</x:v>
      </x:c>
      <x:c r="AB31" s="346" t="str">
        <x:f>IF('Pricing Summary'!$AB$14="","U/K",'Pricing Summary'!$AB$14)</x:f>
        <x:v>No public paid tier verified</x:v>
      </x:c>
      <x:c r="AC31" s="346" t="str">
        <x:f>IF('Pricing Summary'!$AC$14="","U/K",'Pricing Summary'!$AC$14)</x:f>
        <x:v>No public paid tier verified</x:v>
      </x:c>
      <x:c r="AD31" s="346" t="str">
        <x:f>IF('Pricing Summary'!$AD$14="","U/K",'Pricing Summary'!$AD$14)</x:f>
        <x:v>Stargazer</x:v>
      </x:c>
      <x:c r="AE31" s="346" t="str">
        <x:f>IF('Pricing Summary'!$AE$14="","U/K",'Pricing Summary'!$AE$14)</x:f>
        <x:v>Run your own; Have it built - Crew; Have it built - League; Have it built - Network; Have it built - Larger</x:v>
      </x:c>
    </x:row>
    <x:row r="32" ht="36" customHeight="1">
      <x:c r="A32" s="359" t="str">
        <x:v>Self-Hosting?</x:v>
      </x:c>
      <x:c r="B32" s="346" t="str">
        <x:f>IF('Deployment Detail'!$B$5="","U/K",'Deployment Detail'!$B$5)</x:f>
        <x:v>No</x:v>
      </x:c>
      <x:c r="C32" s="346" t="str">
        <x:f>IF('Deployment Detail'!$C$5="","U/K",'Deployment Detail'!$C$5)</x:f>
        <x:v>Yes</x:v>
      </x:c>
      <x:c r="D32" s="346" t="str">
        <x:f>IF('Deployment Detail'!$D$5="","U/K",'Deployment Detail'!$D$5)</x:f>
        <x:v>No currently</x:v>
      </x:c>
      <x:c r="E32" s="346" t="str">
        <x:f>IF('Deployment Detail'!$E$5="","U/K",'Deployment Detail'!$E$5)</x:f>
        <x:v>Yes</x:v>
      </x:c>
      <x:c r="F32" s="346" t="str">
        <x:f>IF('Deployment Detail'!$F$5="","U/K",'Deployment Detail'!$F$5)</x:f>
        <x:v>No</x:v>
      </x:c>
      <x:c r="G32" s="346" t="str">
        <x:f>IF('Deployment Detail'!$G$5="","U/K",'Deployment Detail'!$G$5)</x:f>
        <x:v>Yes</x:v>
      </x:c>
      <x:c r="H32" s="346" t="str">
        <x:f>IF('Deployment Detail'!$H$5="","U/K",'Deployment Detail'!$H$5)</x:f>
        <x:v>Yes</x:v>
      </x:c>
      <x:c r="I32" s="346" t="str">
        <x:f>IF('Deployment Detail'!$I$5="","U/K",'Deployment Detail'!$I$5)</x:f>
        <x:v>Yes</x:v>
      </x:c>
      <x:c r="J32" s="346" t="str">
        <x:f>IF('Deployment Detail'!$J$5="","U/K",'Deployment Detail'!$J$5)</x:f>
        <x:v>Yes</x:v>
      </x:c>
      <x:c r="K32" s="346" t="str">
        <x:f>IF('Deployment Detail'!$K$5="","U/K",'Deployment Detail'!$K$5)</x:f>
        <x:v>Yes</x:v>
      </x:c>
      <x:c r="L32" s="346" t="str">
        <x:f>IF('Deployment Detail'!$L$5="","U/K",'Deployment Detail'!$L$5)</x:f>
        <x:v>Yes</x:v>
      </x:c>
      <x:c r="M32" s="346" t="str">
        <x:f>IF('Deployment Detail'!$M$5="","U/K",'Deployment Detail'!$M$5)</x:f>
        <x:v>Yes</x:v>
      </x:c>
      <x:c r="N32" s="346" t="str">
        <x:f>IF('Deployment Detail'!$N$5="","U/K",'Deployment Detail'!$N$5)</x:f>
        <x:v>Yes</x:v>
      </x:c>
      <x:c r="O32" s="346" t="str">
        <x:f>IF('Deployment Detail'!$O$5="","U/K",'Deployment Detail'!$O$5)</x:f>
        <x:v>Technically possible but explicitly not intended/supported</x:v>
      </x:c>
      <x:c r="P32" s="346" t="str">
        <x:f>IF('Deployment Detail'!$P$5="","U/K",'Deployment Detail'!$P$5)</x:f>
        <x:v>No</x:v>
      </x:c>
      <x:c r="Q32" s="346" t="str">
        <x:f>IF('Deployment Detail'!$Q$5="","U/K",'Deployment Detail'!$Q$5)</x:f>
        <x:v>Yes</x:v>
      </x:c>
      <x:c r="R32" s="346" t="str">
        <x:f>IF('Deployment Detail'!$R$5="","U/K",'Deployment Detail'!$R$5)</x:f>
        <x:v>In development</x:v>
      </x:c>
      <x:c r="S32" s="346" t="str">
        <x:f>IF('Deployment Detail'!$S$5="","U/K",'Deployment Detail'!$S$5)</x:f>
        <x:v>U/K</x:v>
      </x:c>
      <x:c r="T32" s="346" t="str">
        <x:f>IF('Deployment Detail'!$T$5="","U/K",'Deployment Detail'!$T$5)</x:f>
        <x:v>No</x:v>
      </x:c>
      <x:c r="U32" s="346" t="str">
        <x:f>IF('Deployment Detail'!$U$5="","U/K",'Deployment Detail'!$U$5)</x:f>
        <x:v>Yes</x:v>
      </x:c>
      <x:c r="V32" s="346" t="str">
        <x:f>IF('Deployment Detail'!$V$5="","U/K",'Deployment Detail'!$V$5)</x:f>
        <x:v>Yes</x:v>
      </x:c>
      <x:c r="W32" s="346" t="str">
        <x:f>IF('Deployment Detail'!$W$5="","U/K",'Deployment Detail'!$W$5)</x:f>
        <x:v>Partially via ATProto/PDS model</x:v>
      </x:c>
      <x:c r="X32" s="346" t="str">
        <x:f>IF('Deployment Detail'!$X$5="","U/K",'Deployment Detail'!$X$5)</x:f>
        <x:v>Yes - relays/self-host</x:v>
      </x:c>
      <x:c r="Y32" s="346" t="str">
        <x:f>IF('Deployment Detail'!$Y$5="","U/K",'Deployment Detail'!$Y$5)</x:f>
        <x:v>Yes</x:v>
      </x:c>
      <x:c r="Z32" s="346" t="str">
        <x:f>IF('Deployment Detail'!$Z$5="","U/K",'Deployment Detail'!$Z$5)</x:f>
        <x:v>Yes</x:v>
      </x:c>
      <x:c r="AA32" s="380" t="str">
        <x:f>IF('Deployment Detail'!$AA$5="","U/K",'Deployment Detail'!$AA$5)</x:f>
        <x:v>No</x:v>
      </x:c>
      <x:c r="AB32" s="346" t="str">
        <x:f>IF('Deployment Detail'!$AB$5="","U/K",'Deployment Detail'!$AB$5)</x:f>
        <x:v>Yes</x:v>
      </x:c>
      <x:c r="AC32" s="346" t="str">
        <x:f>IF('Deployment Detail'!$AC$5="","U/K",'Deployment Detail'!$AC$5)</x:f>
        <x:v>No</x:v>
      </x:c>
      <x:c r="AD32" s="346" t="str">
        <x:f>IF('Deployment Detail'!$AD$5="","U/K",'Deployment Detail'!$AD$5)</x:f>
        <x:v>Yes</x:v>
      </x:c>
      <x:c r="AE32" s="346" t="str">
        <x:f>IF('Deployment Detail'!$AE$5="","U/K",'Deployment Detail'!$AE$5)</x:f>
        <x:v>No</x:v>
      </x:c>
    </x:row>
    <x:row r="33" ht="36" customHeight="1">
      <x:c r="A33" s="359" t="str">
        <x:v>Federated?</x:v>
      </x:c>
      <x:c r="B33" s="346" t="str">
        <x:f>IF('Deployment Detail'!$B$6="","U/K",'Deployment Detail'!$B$6)</x:f>
        <x:v>No</x:v>
      </x:c>
      <x:c r="C33" s="346" t="str">
        <x:f>IF('Deployment Detail'!$C$6="","U/K",'Deployment Detail'!$C$6)</x:f>
        <x:v>No</x:v>
      </x:c>
      <x:c r="D33" s="346" t="str">
        <x:f>IF('Deployment Detail'!$D$6="","U/K",'Deployment Detail'!$D$6)</x:f>
        <x:v>No</x:v>
      </x:c>
      <x:c r="E33" s="346" t="str">
        <x:f>IF('Deployment Detail'!$E$6="","U/K",'Deployment Detail'!$E$6)</x:f>
        <x:v>Not yet - on roadmap</x:v>
      </x:c>
      <x:c r="F33" s="346" t="str">
        <x:f>IF('Deployment Detail'!$F$6="","U/K",'Deployment Detail'!$F$6)</x:f>
        <x:v>No</x:v>
      </x:c>
      <x:c r="G33" s="346" t="str">
        <x:f>IF('Deployment Detail'!$G$6="","U/K",'Deployment Detail'!$G$6)</x:f>
        <x:v>Yes - core feature</x:v>
      </x:c>
      <x:c r="H33" s="346" t="str">
        <x:f>IF('Deployment Detail'!$H$6="","U/K",'Deployment Detail'!$H$6)</x:f>
        <x:v>No</x:v>
      </x:c>
      <x:c r="I33" s="346" t="str">
        <x:f>IF('Deployment Detail'!$I$6="","U/K",'Deployment Detail'!$I$6)</x:f>
        <x:v>No</x:v>
      </x:c>
      <x:c r="J33" s="346" t="str">
        <x:f>IF('Deployment Detail'!$J$6="","U/K",'Deployment Detail'!$J$6)</x:f>
        <x:v>No</x:v>
      </x:c>
      <x:c r="K33" s="346" t="str">
        <x:f>IF('Deployment Detail'!$K$6="","U/K",'Deployment Detail'!$K$6)</x:f>
        <x:v>No</x:v>
      </x:c>
      <x:c r="L33" s="346" t="str">
        <x:f>IF('Deployment Detail'!$L$6="","U/K",'Deployment Detail'!$L$6)</x:f>
        <x:v>No general federation</x:v>
      </x:c>
      <x:c r="M33" s="346" t="str">
        <x:f>IF('Deployment Detail'!$M$6="","U/K",'Deployment Detail'!$M$6)</x:f>
        <x:v>Yes - Matrix-based federation feature set, with limitations</x:v>
      </x:c>
      <x:c r="N33" s="346" t="str">
        <x:f>IF('Deployment Detail'!$N$6="","U/K",'Deployment Detail'!$N$6)</x:f>
        <x:v>No federation verified</x:v>
      </x:c>
      <x:c r="O33" s="346" t="str">
        <x:f>IF('Deployment Detail'!$O$6="","U/K",'Deployment Detail'!$O$6)</x:f>
        <x:v>No</x:v>
      </x:c>
      <x:c r="P33" s="346" t="str">
        <x:f>IF('Deployment Detail'!$P$6="","U/K",'Deployment Detail'!$P$6)</x:f>
        <x:v>No</x:v>
      </x:c>
      <x:c r="Q33" s="346" t="str">
        <x:f>IF('Deployment Detail'!$Q$6="","U/K",'Deployment Detail'!$Q$6)</x:f>
        <x:v>Federation advertised</x:v>
      </x:c>
      <x:c r="R33" s="346" t="str">
        <x:f>IF('Deployment Detail'!$R$6="","U/K",'Deployment Detail'!$R$6)</x:f>
        <x:v>Planned/in development</x:v>
      </x:c>
      <x:c r="S33" s="346" t="str">
        <x:f>IF('Deployment Detail'!$S$6="","U/K",'Deployment Detail'!$S$6)</x:f>
        <x:v>No federation verified</x:v>
      </x:c>
      <x:c r="T33" s="346" t="str">
        <x:f>IF('Deployment Detail'!$T$6="","U/K",'Deployment Detail'!$T$6)</x:f>
        <x:v>No</x:v>
      </x:c>
      <x:c r="U33" s="346" t="str">
        <x:f>IF('Deployment Detail'!$U$6="","U/K",'Deployment Detail'!$U$6)</x:f>
        <x:v>No</x:v>
      </x:c>
      <x:c r="V33" s="346" t="str">
        <x:f>IF('Deployment Detail'!$V$6="","U/K",'Deployment Detail'!$V$6)</x:f>
        <x:v>Federation planned</x:v>
      </x:c>
      <x:c r="W33" s="346" t="str">
        <x:f>IF('Deployment Detail'!$W$6="","U/K",'Deployment Detail'!$W$6)</x:f>
        <x:v>ATProto federation ecosystem</x:v>
      </x:c>
      <x:c r="X33" s="346" t="str">
        <x:f>IF('Deployment Detail'!$X$6="","U/K",'Deployment Detail'!$X$6)</x:f>
        <x:v>Nostr relay interoperability</x:v>
      </x:c>
      <x:c r="Y33" s="346" t="str">
        <x:f>IF('Deployment Detail'!$Y$6="","U/K",'Deployment Detail'!$Y$6)</x:f>
        <x:v>Relay choice but not Matrix-style federated server state</x:v>
      </x:c>
      <x:c r="Z33" s="346" t="str">
        <x:f>IF('Deployment Detail'!$Z$6="","U/K",'Deployment Detail'!$Z$6)</x:f>
        <x:v>Yes for messenger/server communication features; full federation evolving</x:v>
      </x:c>
      <x:c r="AA33" s="380" t="str">
        <x:f>IF('Deployment Detail'!$AA$6="","U/K",'Deployment Detail'!$AA$6)</x:f>
        <x:v>No</x:v>
      </x:c>
      <x:c r="AB33" s="346" t="str">
        <x:f>IF('Deployment Detail'!$AB$6="","U/K",'Deployment Detail'!$AB$6)</x:f>
        <x:v>No federation</x:v>
      </x:c>
      <x:c r="AC33" s="346" t="str">
        <x:f>IF('Deployment Detail'!$AC$6="","U/K",'Deployment Detail'!$AC$6)</x:f>
        <x:v>No</x:v>
      </x:c>
      <x:c r="AD33" s="346" t="str">
        <x:f>IF('Deployment Detail'!$AD$6="","U/K",'Deployment Detail'!$AD$6)</x:f>
        <x:v>Node/federation model for migrating communities; exact cross-instance federation scope evolving</x:v>
      </x:c>
      <x:c r="AE33" s="346" t="str">
        <x:f>IF('Deployment Detail'!$AE$6="","U/K",'Deployment Detail'!$AE$6)</x:f>
        <x:v>No</x:v>
      </x:c>
    </x:row>
    <x:row r="34" ht="36" customHeight="1">
      <x:c r="A34" s="359" t="str">
        <x:v>DM Text E2EE?</x:v>
      </x:c>
      <x:c r="B34" s="346" t="str">
        <x:f>IF('Security Matrix'!$B$8="","U/K",'Security Matrix'!$B$8)</x:f>
        <x:v>No (text)</x:v>
      </x:c>
      <x:c r="C34" s="346" t="str">
        <x:f>IF('Security Matrix'!$C$8="","U/K",'Security Matrix'!$C$8)</x:f>
        <x:v>No default E2EE verified</x:v>
      </x:c>
      <x:c r="D34" s="346" t="str">
        <x:f>IF('Security Matrix'!$D$8="","U/K",'Security Matrix'!$D$8)</x:f>
        <x:v>Yes</x:v>
      </x:c>
      <x:c r="E34" s="346" t="str">
        <x:f>IF('Security Matrix'!$E$8="","U/K",'Security Matrix'!$E$8)</x:f>
        <x:v>No</x:v>
      </x:c>
      <x:c r="F34" s="346" t="str">
        <x:f>IF('Security Matrix'!$F$8="","U/K",'Security Matrix'!$F$8)</x:f>
        <x:v>No claim / treated as server-readable</x:v>
      </x:c>
      <x:c r="G34" s="346" t="str">
        <x:f>IF('Security Matrix'!$G$8="","U/K",'Security Matrix'!$G$8)</x:f>
        <x:v>Supported; default depends on client/room</x:v>
      </x:c>
      <x:c r="H34" s="346" t="str">
        <x:f>IF('Security Matrix'!$H$8="","U/K",'Security Matrix'!$H$8)</x:f>
        <x:v>No documented default</x:v>
      </x:c>
      <x:c r="I34" s="346" t="str">
        <x:f>IF('Security Matrix'!$I$8="","U/K",'Security Matrix'!$I$8)</x:f>
        <x:v>N/A</x:v>
      </x:c>
      <x:c r="J34" s="346" t="str">
        <x:f>IF('Security Matrix'!$J$8="","U/K",'Security Matrix'!$J$8)</x:f>
        <x:v>U/K</x:v>
      </x:c>
      <x:c r="K34" s="346" t="str">
        <x:f>IF('Security Matrix'!$K$8="","U/K",'Security Matrix'!$K$8)</x:f>
        <x:v>No</x:v>
      </x:c>
      <x:c r="L34" s="346" t="str">
        <x:f>IF('Security Matrix'!$L$8="","U/K",'Security Matrix'!$L$8)</x:f>
        <x:v>No</x:v>
      </x:c>
      <x:c r="M34" s="346" t="str">
        <x:f>IF('Security Matrix'!$M$8="","U/K",'Security Matrix'!$M$8)</x:f>
        <x:v>Available in supported E2EE conversations</x:v>
      </x:c>
      <x:c r="N34" s="346" t="str">
        <x:f>IF('Security Matrix'!$N$8="","U/K",'Security Matrix'!$N$8)</x:f>
        <x:v>No</x:v>
      </x:c>
      <x:c r="O34" s="346" t="str">
        <x:f>IF('Security Matrix'!$O$8="","U/K",'Security Matrix'!$O$8)</x:f>
        <x:v>No default E2EE verified</x:v>
      </x:c>
      <x:c r="P34" s="346" t="str">
        <x:f>IF('Security Matrix'!$P$8="","U/K",'Security Matrix'!$P$8)</x:f>
        <x:v>No</x:v>
      </x:c>
      <x:c r="Q34" s="346" t="str">
        <x:f>IF('Security Matrix'!$Q$8="","U/K",'Security Matrix'!$Q$8)</x:f>
        <x:v>Eligible content E2EE; exact DM default U/K</x:v>
      </x:c>
      <x:c r="R34" s="346" t="str">
        <x:f>IF('Security Matrix'!$R$8="","U/K",'Security Matrix'!$R$8)</x:f>
        <x:v>No by default</x:v>
      </x:c>
      <x:c r="S34" s="346" t="str">
        <x:f>IF('Security Matrix'!$S$8="","U/K",'Security Matrix'!$S$8)</x:f>
        <x:v>E2EE claimed</x:v>
      </x:c>
      <x:c r="T34" s="346" t="str">
        <x:f>IF('Security Matrix'!$T$8="","U/K",'Security Matrix'!$T$8)</x:f>
        <x:v>Not yet/default U/K</x:v>
      </x:c>
      <x:c r="U34" s="346" t="str">
        <x:f>IF('Security Matrix'!$U$8="","U/K",'Security Matrix'!$U$8)</x:f>
        <x:v>U/K</x:v>
      </x:c>
      <x:c r="V34" s="346" t="str">
        <x:f>IF('Security Matrix'!$V$8="","U/K",'Security Matrix'!$V$8)</x:f>
        <x:v>No</x:v>
      </x:c>
      <x:c r="W34" s="346" t="str">
        <x:f>IF('Security Matrix'!$W$8="","U/K",'Security Matrix'!$W$8)</x:f>
        <x:v>No default E2EE verified</x:v>
      </x:c>
      <x:c r="X34" s="346" t="str">
        <x:f>IF('Security Matrix'!$X$8="","U/K",'Security Matrix'!$X$8)</x:f>
        <x:v>Yes</x:v>
      </x:c>
      <x:c r="Y34" s="346" t="str">
        <x:f>IF('Security Matrix'!$Y$8="","U/K",'Security Matrix'!$Y$8)</x:f>
        <x:v>Yes</x:v>
      </x:c>
      <x:c r="Z34" s="346" t="str">
        <x:f>IF('Security Matrix'!$Z$8="","U/K",'Security Matrix'!$Z$8)</x:f>
        <x:v>Yes for desktop server DMs when enabled; messenger always yes</x:v>
      </x:c>
      <x:c r="AA34" s="380" t="str">
        <x:f>IF('Security Matrix'!$AA$8="","U/K",'Security Matrix'!$AA$8)</x:f>
        <x:v>Yes - Signal-style X3DH/Double Ratchet</x:v>
      </x:c>
      <x:c r="AB34" s="346" t="str">
        <x:f>IF('Security Matrix'!$AB$8="","U/K",'Security Matrix'!$AB$8)</x:f>
        <x:v>No E2EE claim</x:v>
      </x:c>
      <x:c r="AC34" s="346" t="str">
        <x:f>IF('Security Matrix'!$AC$8="","U/K",'Security Matrix'!$AC$8)</x:f>
        <x:v>No default text E2EE verified</x:v>
      </x:c>
      <x:c r="AD34" s="346" t="str">
        <x:f>IF('Security Matrix'!$AD$8="","U/K",'Security Matrix'!$AD$8)</x:f>
        <x:v>No default E2EE claim</x:v>
      </x:c>
      <x:c r="AE34" s="346" t="str">
        <x:f>IF('Security Matrix'!$AE$8="","U/K",'Security Matrix'!$AE$8)</x:f>
        <x:v>No</x:v>
      </x:c>
    </x:row>
    <x:row r="35" ht="36" customHeight="1">
      <x:c r="A35" s="359" t="str">
        <x:v>Free Max Upload</x:v>
      </x:c>
      <x:c r="B35" s="346" t="str">
        <x:f>IF('Files &amp; Storage'!$B$5="","U/K",'Files &amp; Storage'!$B$5)</x:f>
        <x:v>20</x:v>
      </x:c>
      <x:c r="C35" s="346" t="str">
        <x:f>IF('Files &amp; Storage'!$C$5="","U/K",'Files &amp; Storage'!$C$5)</x:f>
        <x:v>U/K</x:v>
      </x:c>
      <x:c r="D35" s="346" t="str">
        <x:f>IF('Files &amp; Storage'!$D$5="","U/K",'Files &amp; Storage'!$D$5)</x:f>
        <x:v>U/K</x:v>
      </x:c>
      <x:c r="E35" s="346" t="str">
        <x:f>IF('Files &amp; Storage'!$E$5="","U/K",'Files &amp; Storage'!$E$5)</x:f>
        <x:v>25</x:v>
      </x:c>
      <x:c r="F35" s="346" t="str">
        <x:f>IF('Files &amp; Storage'!$F$5="","U/K",'Files &amp; Storage'!$F$5)</x:f>
        <x:v>25</x:v>
      </x:c>
      <x:c r="G35" s="346" t="str">
        <x:f>IF('Files &amp; Storage'!$G$5="","U/K",'Files &amp; Storage'!$G$5)</x:f>
        <x:v>U/K</x:v>
      </x:c>
      <x:c r="H35" s="346" t="str">
        <x:f>IF('Files &amp; Storage'!$H$5="","U/K",'Files &amp; Storage'!$H$5)</x:f>
        <x:v>U/K</x:v>
      </x:c>
      <x:c r="I35" s="346" t="str">
        <x:f>IF('Files &amp; Storage'!$I$5="","U/K",'Files &amp; Storage'!$I$5)</x:f>
        <x:v>U/K</x:v>
      </x:c>
      <x:c r="J35" s="346" t="str">
        <x:f>IF('Files &amp; Storage'!$J$5="","U/K",'Files &amp; Storage'!$J$5)</x:f>
        <x:v>5 (TS comparison; primary official limit U/K)</x:v>
      </x:c>
      <x:c r="K35" s="346" t="str">
        <x:f>IF('Files &amp; Storage'!$K$5="","U/K",'Files &amp; Storage'!$K$5)</x:f>
        <x:v>U/K</x:v>
      </x:c>
      <x:c r="L35" s="346" t="str">
        <x:f>IF('Files &amp; Storage'!$L$5="","U/K",'Files &amp; Storage'!$L$5)</x:f>
        <x:v>U/K</x:v>
      </x:c>
      <x:c r="M35" s="346" t="str">
        <x:f>IF('Files &amp; Storage'!$M$5="","U/K",'Files &amp; Storage'!$M$5)</x:f>
        <x:v>U/K</x:v>
      </x:c>
      <x:c r="N35" s="346" t="str">
        <x:f>IF('Files &amp; Storage'!$N$5="","U/K",'Files &amp; Storage'!$N$5)</x:f>
        <x:v>500</x:v>
      </x:c>
      <x:c r="O35" s="346" t="str">
        <x:f>IF('Files &amp; Storage'!$O$5="","U/K",'Files &amp; Storage'!$O$5)</x:f>
        <x:v>U/K</x:v>
      </x:c>
      <x:c r="P35" s="346" t="str">
        <x:f>IF('Files &amp; Storage'!$P$5="","U/K",'Files &amp; Storage'!$P$5)</x:f>
        <x:v>U/K</x:v>
      </x:c>
      <x:c r="Q35" s="346" t="str">
        <x:f>IF('Files &amp; Storage'!$Q$5="","U/K",'Files &amp; Storage'!$Q$5)</x:f>
        <x:v>U/K</x:v>
      </x:c>
      <x:c r="R35" s="346" t="str">
        <x:f>IF('Files &amp; Storage'!$R$5="","U/K",'Files &amp; Storage'!$R$5)</x:f>
        <x:v>U/K</x:v>
      </x:c>
      <x:c r="S35" s="346" t="str">
        <x:f>IF('Files &amp; Storage'!$S$5="","U/K",'Files &amp; Storage'!$S$5)</x:f>
        <x:v>100 for video/other; images 50</x:v>
      </x:c>
      <x:c r="T35" s="346" t="str">
        <x:f>IF('Files &amp; Storage'!$T$5="","U/K",'Files &amp; Storage'!$T$5)</x:f>
        <x:v>U/K</x:v>
      </x:c>
      <x:c r="U35" s="346" t="str">
        <x:f>IF('Files &amp; Storage'!$U$5="","U/K",'Files &amp; Storage'!$U$5)</x:f>
        <x:v>U/K</x:v>
      </x:c>
      <x:c r="V35" s="346" t="str">
        <x:f>IF('Files &amp; Storage'!$V$5="","U/K",'Files &amp; Storage'!$V$5)</x:f>
        <x:v>U/K</x:v>
      </x:c>
      <x:c r="W35" s="346" t="str">
        <x:f>IF('Files &amp; Storage'!$W$5="","U/K",'Files &amp; Storage'!$W$5)</x:f>
        <x:v>U/K</x:v>
      </x:c>
      <x:c r="X35" s="346" t="str">
        <x:f>IF('Files &amp; Storage'!$X$5="","U/K",'Files &amp; Storage'!$X$5)</x:f>
        <x:v>U/K</x:v>
      </x:c>
      <x:c r="Y35" s="346" t="str">
        <x:f>IF('Files &amp; Storage'!$Y$5="","U/K",'Files &amp; Storage'!$Y$5)</x:f>
        <x:v>U/K</x:v>
      </x:c>
      <x:c r="Z35" s="346" t="str">
        <x:f>IF('Files &amp; Storage'!$Z$5="","U/K",'Files &amp; Storage'!$Z$5)</x:f>
        <x:v>U/K</x:v>
      </x:c>
      <x:c r="AA35" s="380" t="str">
        <x:f>IF('Files &amp; Storage'!$AA$5="","U/K",'Files &amp; Storage'!$AA$5)</x:f>
        <x:v>50</x:v>
      </x:c>
      <x:c r="AB35" s="346" t="str">
        <x:f>IF('Files &amp; Storage'!$AB$5="","U/K",'Files &amp; Storage'!$AB$5)</x:f>
        <x:v>U/K</x:v>
      </x:c>
      <x:c r="AC35" s="346" t="str">
        <x:f>IF('Files &amp; Storage'!$AC$5="","U/K",'Files &amp; Storage'!$AC$5)</x:f>
        <x:v>U/K</x:v>
      </x:c>
      <x:c r="AD35" s="346" t="str">
        <x:f>IF('Files &amp; Storage'!$AD$5="","U/K",'Files &amp; Storage'!$AD$5)</x:f>
        <x:v>U/K</x:v>
      </x:c>
      <x:c r="AE35" s="346" t="str">
        <x:f>IF('Files &amp; Storage'!$AE$5="","U/K",'Files &amp; Storage'!$AE$5)</x:f>
        <x:v>U/K</x:v>
      </x:c>
    </x:row>
    <x:row r="36" ht="36" customHeight="1">
      <x:c r="A36" s="359" t="str">
        <x:v>Free Max Screen Share</x:v>
      </x:c>
      <x:c r="B36" s="346" t="str">
        <x:f>IF(OR('Screen Share Detail'!$B$30="U/K",'Screen Share Detail'!$B$30=""),"U/K",'Screen Share Detail'!$B$30&amp;IF(OR('Screen Share Detail'!$B$31="U/K",'Screen Share Detail'!$B$31=""),""," / "&amp;'Screen Share Detail'!$B$31&amp;" FPS"))</x:f>
        <x:v>720p / 30 FPS</x:v>
      </x:c>
      <x:c r="C36" s="346" t="str">
        <x:f>IF(OR('Screen Share Detail'!$C$30="U/K",'Screen Share Detail'!$C$30=""),"U/K",'Screen Share Detail'!$C$30&amp;IF(OR('Screen Share Detail'!$C$31="U/K",'Screen Share Detail'!$C$31=""),""," / "&amp;'Screen Share Detail'!$C$31&amp;" FPS"))</x:f>
        <x:v>U/K</x:v>
      </x:c>
      <x:c r="D36" s="346" t="str">
        <x:f>IF(OR('Screen Share Detail'!$D$30="U/K",'Screen Share Detail'!$D$30=""),"U/K",'Screen Share Detail'!$D$30&amp;IF(OR('Screen Share Detail'!$D$31="U/K",'Screen Share Detail'!$D$31=""),""," / "&amp;'Screen Share Detail'!$D$31&amp;" FPS"))</x:f>
        <x:v>U/K</x:v>
      </x:c>
      <x:c r="E36" s="346" t="str">
        <x:f>IF(OR('Screen Share Detail'!$E$30="U/K",'Screen Share Detail'!$E$30=""),"U/K",'Screen Share Detail'!$E$30&amp;IF(OR('Screen Share Detail'!$E$31="U/K",'Screen Share Detail'!$E$31=""),""," / "&amp;'Screen Share Detail'!$E$31&amp;" FPS"))</x:f>
        <x:v>720p / 30 FPS</x:v>
      </x:c>
      <x:c r="F36" s="346" t="str">
        <x:f>IF(OR('Screen Share Detail'!$F$30="U/K",'Screen Share Detail'!$F$30=""),"U/K",'Screen Share Detail'!$F$30&amp;IF(OR('Screen Share Detail'!$F$31="U/K",'Screen Share Detail'!$F$31=""),""," / "&amp;'Screen Share Detail'!$F$31&amp;" FPS"))</x:f>
        <x:v>720p game / Source text mode / 30 game / 5 source FPS</x:v>
      </x:c>
      <x:c r="G36" s="346" t="str">
        <x:f>IF(OR('Screen Share Detail'!$G$30="U/K",'Screen Share Detail'!$G$30=""),"U/K",'Screen Share Detail'!$G$30&amp;IF(OR('Screen Share Detail'!$G$31="U/K",'Screen Share Detail'!$G$31=""),""," / "&amp;'Screen Share Detail'!$G$31&amp;" FPS"))</x:f>
        <x:v>Client-dependent / Client-dependent FPS</x:v>
      </x:c>
      <x:c r="H36" s="346" t="str">
        <x:f>IF(OR('Screen Share Detail'!$H$30="U/K",'Screen Share Detail'!$H$30=""),"U/K",'Screen Share Detail'!$H$30&amp;IF(OR('Screen Share Detail'!$H$31="U/K",'Screen Share Detail'!$H$31=""),""," / "&amp;'Screen Share Detail'!$H$31&amp;" FPS"))</x:f>
        <x:v>Operator/config dependent</x:v>
      </x:c>
      <x:c r="I36" s="346" t="str">
        <x:f>IF(OR('Screen Share Detail'!$I$30="U/K",'Screen Share Detail'!$I$30=""),"U/K",'Screen Share Detail'!$I$30&amp;IF(OR('Screen Share Detail'!$I$31="U/K",'Screen Share Detail'!$I$31=""),""," / "&amp;'Screen Share Detail'!$I$31&amp;" FPS"))</x:f>
        <x:v>N/A / N/A FPS</x:v>
      </x:c>
      <x:c r="J36" s="346" t="str">
        <x:f>IF(OR('Screen Share Detail'!$J$30="U/K",'Screen Share Detail'!$J$30=""),"U/K",'Screen Share Detail'!$J$30&amp;IF(OR('Screen Share Detail'!$J$31="U/K",'Screen Share Detail'!$J$31=""),""," / "&amp;'Screen Share Detail'!$J$31&amp;" FPS"))</x:f>
        <x:v>U/K</x:v>
      </x:c>
      <x:c r="K36" s="346" t="str">
        <x:f>IF(OR('Screen Share Detail'!$K$30="U/K",'Screen Share Detail'!$K$30=""),"U/K",'Screen Share Detail'!$K$30&amp;IF(OR('Screen Share Detail'!$K$31="U/K",'Screen Share Detail'!$K$31=""),""," / "&amp;'Screen Share Detail'!$K$31&amp;" FPS"))</x:f>
        <x:v>Provider-dependent / Provider-dependent FPS</x:v>
      </x:c>
      <x:c r="L36" s="346" t="str">
        <x:f>IF(OR('Screen Share Detail'!$L$30="U/K",'Screen Share Detail'!$L$30=""),"U/K",'Screen Share Detail'!$L$30&amp;IF(OR('Screen Share Detail'!$L$31="U/K",'Screen Share Detail'!$L$31=""),""," / "&amp;'Screen Share Detail'!$L$31&amp;" FPS"))</x:f>
        <x:v>Deployment/plan dependent / Deployment/plan dependent FPS</x:v>
      </x:c>
      <x:c r="M36" s="346" t="str">
        <x:f>IF(OR('Screen Share Detail'!$M$30="U/K",'Screen Share Detail'!$M$30=""),"U/K",'Screen Share Detail'!$M$30&amp;IF(OR('Screen Share Detail'!$M$31="U/K",'Screen Share Detail'!$M$31=""),""," / "&amp;'Screen Share Detail'!$M$31&amp;" FPS"))</x:f>
        <x:v>Provider-dependent / Provider-dependent FPS</x:v>
      </x:c>
      <x:c r="N36" s="346" t="str">
        <x:f>IF(OR('Screen Share Detail'!$N$30="U/K",'Screen Share Detail'!$N$30=""),"U/K",'Screen Share Detail'!$N$30&amp;IF(OR('Screen Share Detail'!$N$31="U/K",'Screen Share Detail'!$N$31=""),""," / "&amp;'Screen Share Detail'!$N$31&amp;" FPS"))</x:f>
        <x:v>1080p / 30 FPS</x:v>
      </x:c>
      <x:c r="O36" s="346" t="str">
        <x:f>IF(OR('Screen Share Detail'!$O$30="U/K",'Screen Share Detail'!$O$30=""),"U/K",'Screen Share Detail'!$O$30&amp;IF(OR('Screen Share Detail'!$O$31="U/K",'Screen Share Detail'!$O$31=""),""," / "&amp;'Screen Share Detail'!$O$31&amp;" FPS"))</x:f>
        <x:v>U/K</x:v>
      </x:c>
      <x:c r="P36" s="346" t="str">
        <x:f>IF(OR('Screen Share Detail'!$P$30="U/K",'Screen Share Detail'!$P$30=""),"U/K",'Screen Share Detail'!$P$30&amp;IF(OR('Screen Share Detail'!$P$31="U/K",'Screen Share Detail'!$P$31=""),""," / "&amp;'Screen Share Detail'!$P$31&amp;" FPS"))</x:f>
        <x:v>U/K</x:v>
      </x:c>
      <x:c r="Q36" s="346" t="str">
        <x:f>IF(OR('Screen Share Detail'!$Q$30="U/K",'Screen Share Detail'!$Q$30=""),"U/K",'Screen Share Detail'!$Q$30&amp;IF(OR('Screen Share Detail'!$Q$31="U/K",'Screen Share Detail'!$Q$31=""),""," / "&amp;'Screen Share Detail'!$Q$31&amp;" FPS"))</x:f>
        <x:v>HD/U/K</x:v>
      </x:c>
      <x:c r="R36" s="346" t="str">
        <x:f>IF(OR('Screen Share Detail'!$R$30="U/K",'Screen Share Detail'!$R$30=""),"U/K",'Screen Share Detail'!$R$30&amp;IF(OR('Screen Share Detail'!$R$31="U/K",'Screen Share Detail'!$R$31=""),""," / "&amp;'Screen Share Detail'!$R$31&amp;" FPS"))</x:f>
        <x:v>U/K</x:v>
      </x:c>
      <x:c r="S36" s="346" t="str">
        <x:f>IF(OR('Screen Share Detail'!$S$30="U/K",'Screen Share Detail'!$S$30=""),"U/K",'Screen Share Detail'!$S$30&amp;IF(OR('Screen Share Detail'!$S$31="U/K",'Screen Share Detail'!$S$31=""),""," / "&amp;'Screen Share Detail'!$S$31&amp;" FPS"))</x:f>
        <x:v>Unlimited / no resolution paywall; technical max U/K</x:v>
      </x:c>
      <x:c r="T36" s="346" t="str">
        <x:f>IF(OR('Screen Share Detail'!$T$30="U/K",'Screen Share Detail'!$T$30=""),"U/K",'Screen Share Detail'!$T$30&amp;IF(OR('Screen Share Detail'!$T$31="U/K",'Screen Share Detail'!$T$31=""),""," / "&amp;'Screen Share Detail'!$T$31&amp;" FPS"))</x:f>
        <x:v>U/K</x:v>
      </x:c>
      <x:c r="U36" s="346" t="str">
        <x:f>IF(OR('Screen Share Detail'!$U$30="U/K",'Screen Share Detail'!$U$30=""),"U/K",'Screen Share Detail'!$U$30&amp;IF(OR('Screen Share Detail'!$U$31="U/K",'Screen Share Detail'!$U$31=""),""," / "&amp;'Screen Share Detail'!$U$31&amp;" FPS"))</x:f>
        <x:v>Up to 1440p</x:v>
      </x:c>
      <x:c r="V36" s="346" t="str">
        <x:f>IF(OR('Screen Share Detail'!$V$30="U/K",'Screen Share Detail'!$V$30=""),"U/K",'Screen Share Detail'!$V$30&amp;IF(OR('Screen Share Detail'!$V$31="U/K",'Screen Share Detail'!$V$31=""),""," / "&amp;'Screen Share Detail'!$V$31&amp;" FPS"))</x:f>
        <x:v>N/A / N/A FPS</x:v>
      </x:c>
      <x:c r="W36" s="346" t="str">
        <x:f>IF(OR('Screen Share Detail'!$W$30="U/K",'Screen Share Detail'!$W$30=""),"U/K",'Screen Share Detail'!$W$30&amp;IF(OR('Screen Share Detail'!$W$31="U/K",'Screen Share Detail'!$W$31=""),""," / "&amp;'Screen Share Detail'!$W$31&amp;" FPS"))</x:f>
        <x:v>N/A / N/A FPS</x:v>
      </x:c>
      <x:c r="X36" s="346" t="str">
        <x:f>IF(OR('Screen Share Detail'!$X$30="U/K",'Screen Share Detail'!$X$30=""),"U/K",'Screen Share Detail'!$X$30&amp;IF(OR('Screen Share Detail'!$X$31="U/K",'Screen Share Detail'!$X$31=""),""," / "&amp;'Screen Share Detail'!$X$31&amp;" FPS"))</x:f>
        <x:v>U/K</x:v>
      </x:c>
      <x:c r="Y36" s="346" t="str">
        <x:f>IF(OR('Screen Share Detail'!$Y$30="U/K",'Screen Share Detail'!$Y$30=""),"U/K",'Screen Share Detail'!$Y$30&amp;IF(OR('Screen Share Detail'!$Y$31="U/K",'Screen Share Detail'!$Y$31=""),""," / "&amp;'Screen Share Detail'!$Y$31&amp;" FPS"))</x:f>
        <x:v>U/K</x:v>
      </x:c>
      <x:c r="Z36" s="346" t="str">
        <x:f>IF(OR('Screen Share Detail'!$Z$30="U/K",'Screen Share Detail'!$Z$30=""),"U/K",'Screen Share Detail'!$Z$30&amp;IF(OR('Screen Share Detail'!$Z$31="U/K",'Screen Share Detail'!$Z$31=""),""," / "&amp;'Screen Share Detail'!$Z$31&amp;" FPS"))</x:f>
        <x:v>Up to 4K / Up to 60/120 by version/config FPS</x:v>
      </x:c>
      <x:c r="AA36" s="380" t="str">
        <x:f>IF(OR('Screen Share Detail'!$AA$30="U/K",'Screen Share Detail'!$AA$30=""),"U/K",'Screen Share Detail'!$AA$30&amp;IF(OR('Screen Share Detail'!$AA$31="U/K",'Screen Share Detail'!$AA$31=""),""," / "&amp;'Screen Share Detail'!$AA$31&amp;" FPS"))</x:f>
        <x:v>720p / 60 FPS</x:v>
      </x:c>
      <x:c r="AB36" s="346" t="str">
        <x:f>IF(OR('Screen Share Detail'!$AB$30="U/K",'Screen Share Detail'!$AB$30=""),"U/K",'Screen Share Detail'!$AB$30&amp;IF(OR('Screen Share Detail'!$AB$31="U/K",'Screen Share Detail'!$AB$31=""),""," / "&amp;'Screen Share Detail'!$AB$31&amp;" FPS"))</x:f>
        <x:v>1080p</x:v>
      </x:c>
      <x:c r="AC36" s="346" t="str">
        <x:f>IF(OR('Screen Share Detail'!$AC$30="U/K",'Screen Share Detail'!$AC$30=""),"U/K",'Screen Share Detail'!$AC$30&amp;IF(OR('Screen Share Detail'!$AC$31="U/K",'Screen Share Detail'!$AC$31=""),""," / "&amp;'Screen Share Detail'!$AC$31&amp;" FPS"))</x:f>
        <x:v>HD/U/K</x:v>
      </x:c>
      <x:c r="AD36" s="346" t="str">
        <x:f>IF(OR('Screen Share Detail'!$AD$30="U/K",'Screen Share Detail'!$AD$30=""),"U/K",'Screen Share Detail'!$AD$30&amp;IF(OR('Screen Share Detail'!$AD$31="U/K",'Screen Share Detail'!$AD$31=""),""," / "&amp;'Screen Share Detail'!$AD$31&amp;" FPS"))</x:f>
        <x:v>U/K</x:v>
      </x:c>
      <x:c r="AE36" s="346" t="str">
        <x:f>IF(OR('Screen Share Detail'!$AE$30="U/K",'Screen Share Detail'!$AE$30=""),"U/K",'Screen Share Detail'!$AE$30&amp;IF(OR('Screen Share Detail'!$AE$31="U/K",'Screen Share Detail'!$AE$31=""),""," / "&amp;'Screen Share Detail'!$AE$31&amp;" FPS"))</x:f>
        <x:v>U/K</x:v>
      </x:c>
    </x:row>
    <x:row r="37" ht="36" customHeight="1">
      <x:c r="A37" s="359" t="str">
        <x:v>1080p Access</x:v>
      </x:c>
      <x:c r="B37" s="346" t="str">
        <x:f>IF('Screen Share Detail'!$B$14="","U/K",'Screen Share Detail'!$B$14)</x:f>
        <x:v>Paid - Nitro</x:v>
      </x:c>
      <x:c r="C37" s="346" t="str">
        <x:f>IF('Screen Share Detail'!$C$14="","U/K",'Screen Share Detail'!$C$14)</x:f>
        <x:v>U/K</x:v>
      </x:c>
      <x:c r="D37" s="346" t="str">
        <x:f>IF('Screen Share Detail'!$D$14="","U/K",'Screen Share Detail'!$D$14)</x:f>
        <x:v>U/K</x:v>
      </x:c>
      <x:c r="E37" s="346" t="str">
        <x:f>IF('Screen Share Detail'!$E$14="","U/K",'Screen Share Detail'!$E$14)</x:f>
        <x:v>Paid - Plutonium</x:v>
      </x:c>
      <x:c r="F37" s="346" t="str">
        <x:f>IF('Screen Share Detail'!$F$14="","U/K",'Screen Share Detail'!$F$14)</x:f>
        <x:v>Paid - Sudo</x:v>
      </x:c>
      <x:c r="G37" s="346" t="str">
        <x:f>IF('Screen Share Detail'!$G$14="","U/K",'Screen Share Detail'!$G$14)</x:f>
        <x:v>U/K</x:v>
      </x:c>
      <x:c r="H37" s="346" t="str">
        <x:f>IF('Screen Share Detail'!$H$14="","U/K",'Screen Share Detail'!$H$14)</x:f>
        <x:v>U/K</x:v>
      </x:c>
      <x:c r="I37" s="346" t="str">
        <x:f>IF('Screen Share Detail'!$I$14="","U/K",'Screen Share Detail'!$I$14)</x:f>
        <x:v>U/K</x:v>
      </x:c>
      <x:c r="J37" s="346" t="str">
        <x:f>IF('Screen Share Detail'!$J$14="","U/K",'Screen Share Detail'!$J$14)</x:f>
        <x:v>Configurable/P2P</x:v>
      </x:c>
      <x:c r="K37" s="346" t="str">
        <x:f>IF('Screen Share Detail'!$K$14="","U/K",'Screen Share Detail'!$K$14)</x:f>
        <x:v>U/K</x:v>
      </x:c>
      <x:c r="L37" s="346" t="str">
        <x:f>IF('Screen Share Detail'!$L$14="","U/K",'Screen Share Detail'!$L$14)</x:f>
        <x:v>U/K</x:v>
      </x:c>
      <x:c r="M37" s="346" t="str">
        <x:f>IF('Screen Share Detail'!$M$14="","U/K",'Screen Share Detail'!$M$14)</x:f>
        <x:v>U/K</x:v>
      </x:c>
      <x:c r="N37" s="346" t="str">
        <x:f>IF('Screen Share Detail'!$N$14="","U/K",'Screen Share Detail'!$N$14)</x:f>
        <x:v>Free 30 FPS; Gold+ 60 FPS</x:v>
      </x:c>
      <x:c r="O37" s="346" t="str">
        <x:f>IF('Screen Share Detail'!$O$14="","U/K",'Screen Share Detail'!$O$14)</x:f>
        <x:v>U/K</x:v>
      </x:c>
      <x:c r="P37" s="346" t="str">
        <x:f>IF('Screen Share Detail'!$P$14="","U/K",'Screen Share Detail'!$P$14)</x:f>
        <x:v>U/K</x:v>
      </x:c>
      <x:c r="Q37" s="346" t="str">
        <x:f>IF('Screen Share Detail'!$Q$14="","U/K",'Screen Share Detail'!$Q$14)</x:f>
        <x:v>U/K</x:v>
      </x:c>
      <x:c r="R37" s="346" t="str">
        <x:f>IF('Screen Share Detail'!$R$14="","U/K",'Screen Share Detail'!$R$14)</x:f>
        <x:v>U/K</x:v>
      </x:c>
      <x:c r="S37" s="346" t="str">
        <x:f>IF('Screen Share Detail'!$S$14="","U/K",'Screen Share Detail'!$S$14)</x:f>
        <x:v>Free</x:v>
      </x:c>
      <x:c r="T37" s="346" t="str">
        <x:f>IF('Screen Share Detail'!$T$14="","U/K",'Screen Share Detail'!$T$14)</x:f>
        <x:v>U/K</x:v>
      </x:c>
      <x:c r="U37" s="346" t="str">
        <x:f>IF('Screen Share Detail'!$U$14="","U/K",'Screen Share Detail'!$U$14)</x:f>
        <x:v>U/K</x:v>
      </x:c>
      <x:c r="V37" s="346" t="str">
        <x:f>IF('Screen Share Detail'!$V$14="","U/K",'Screen Share Detail'!$V$14)</x:f>
        <x:v>U/K</x:v>
      </x:c>
      <x:c r="W37" s="346" t="str">
        <x:f>IF('Screen Share Detail'!$W$14="","U/K",'Screen Share Detail'!$W$14)</x:f>
        <x:v>U/K</x:v>
      </x:c>
      <x:c r="X37" s="346" t="str">
        <x:f>IF('Screen Share Detail'!$X$14="","U/K",'Screen Share Detail'!$X$14)</x:f>
        <x:v>U/K</x:v>
      </x:c>
      <x:c r="Y37" s="346" t="str">
        <x:f>IF('Screen Share Detail'!$Y$14="","U/K",'Screen Share Detail'!$Y$14)</x:f>
        <x:v>U/K</x:v>
      </x:c>
      <x:c r="Z37" s="346" t="str">
        <x:f>IF('Screen Share Detail'!$Z$14="","U/K",'Screen Share Detail'!$Z$14)</x:f>
        <x:v>U/K</x:v>
      </x:c>
      <x:c r="AA37" s="380" t="str">
        <x:f>IF('Screen Share Detail'!$AA$14="","U/K",'Screen Share Detail'!$AA$14)</x:f>
        <x:v>Paid - Rift+ or Shard Ember</x:v>
      </x:c>
      <x:c r="AB37" s="346" t="str">
        <x:f>IF('Screen Share Detail'!$AB$14="","U/K",'Screen Share Detail'!$AB$14)</x:f>
        <x:v>Free</x:v>
      </x:c>
      <x:c r="AC37" s="346" t="str">
        <x:f>IF('Screen Share Detail'!$AC$14="","U/K",'Screen Share Detail'!$AC$14)</x:f>
        <x:v>U/K</x:v>
      </x:c>
      <x:c r="AD37" s="346" t="str">
        <x:f>IF('Screen Share Detail'!$AD$14="","U/K",'Screen Share Detail'!$AD$14)</x:f>
        <x:v>U/K</x:v>
      </x:c>
      <x:c r="AE37" s="346" t="str">
        <x:f>IF('Screen Share Detail'!$AE$14="","U/K",'Screen Share Detail'!$AE$14)</x:f>
        <x:v>Free if supported</x:v>
      </x:c>
    </x:row>
    <x:row r="38" ht="36" customHeight="1">
      <x:c r="A38" s="359" t="str">
        <x:v>1440p Access</x:v>
      </x:c>
      <x:c r="B38" s="346" t="str">
        <x:f>IF('Screen Share Detail'!$B$17="","U/K",'Screen Share Detail'!$B$17)</x:f>
        <x:v>U/K</x:v>
      </x:c>
      <x:c r="C38" s="346" t="str">
        <x:f>IF('Screen Share Detail'!$C$17="","U/K",'Screen Share Detail'!$C$17)</x:f>
        <x:v>U/K</x:v>
      </x:c>
      <x:c r="D38" s="346" t="str">
        <x:f>IF('Screen Share Detail'!$D$17="","U/K",'Screen Share Detail'!$D$17)</x:f>
        <x:v>U/K</x:v>
      </x:c>
      <x:c r="E38" s="346" t="str">
        <x:f>IF('Screen Share Detail'!$E$17="","U/K",'Screen Share Detail'!$E$17)</x:f>
        <x:v>Paid - Plutonium</x:v>
      </x:c>
      <x:c r="F38" s="346" t="str">
        <x:f>IF('Screen Share Detail'!$F$17="","U/K",'Screen Share Detail'!$F$17)</x:f>
        <x:v>Paid - Sudo</x:v>
      </x:c>
      <x:c r="G38" s="346" t="str">
        <x:f>IF('Screen Share Detail'!$G$17="","U/K",'Screen Share Detail'!$G$17)</x:f>
        <x:v>U/K</x:v>
      </x:c>
      <x:c r="H38" s="346" t="str">
        <x:f>IF('Screen Share Detail'!$H$17="","U/K",'Screen Share Detail'!$H$17)</x:f>
        <x:v>U/K</x:v>
      </x:c>
      <x:c r="I38" s="346" t="str">
        <x:f>IF('Screen Share Detail'!$I$17="","U/K",'Screen Share Detail'!$I$17)</x:f>
        <x:v>U/K</x:v>
      </x:c>
      <x:c r="J38" s="346" t="str">
        <x:f>IF('Screen Share Detail'!$J$17="","U/K",'Screen Share Detail'!$J$17)</x:f>
        <x:v>U/K</x:v>
      </x:c>
      <x:c r="K38" s="346" t="str">
        <x:f>IF('Screen Share Detail'!$K$17="","U/K",'Screen Share Detail'!$K$17)</x:f>
        <x:v>U/K</x:v>
      </x:c>
      <x:c r="L38" s="346" t="str">
        <x:f>IF('Screen Share Detail'!$L$17="","U/K",'Screen Share Detail'!$L$17)</x:f>
        <x:v>U/K</x:v>
      </x:c>
      <x:c r="M38" s="346" t="str">
        <x:f>IF('Screen Share Detail'!$M$17="","U/K",'Screen Share Detail'!$M$17)</x:f>
        <x:v>U/K</x:v>
      </x:c>
      <x:c r="N38" s="346" t="str">
        <x:f>IF('Screen Share Detail'!$N$17="","U/K",'Screen Share Detail'!$N$17)</x:f>
        <x:v>Paid - Diamond</x:v>
      </x:c>
      <x:c r="O38" s="346" t="str">
        <x:f>IF('Screen Share Detail'!$O$17="","U/K",'Screen Share Detail'!$O$17)</x:f>
        <x:v>U/K</x:v>
      </x:c>
      <x:c r="P38" s="346" t="str">
        <x:f>IF('Screen Share Detail'!$P$17="","U/K",'Screen Share Detail'!$P$17)</x:f>
        <x:v>U/K</x:v>
      </x:c>
      <x:c r="Q38" s="346" t="str">
        <x:f>IF('Screen Share Detail'!$Q$17="","U/K",'Screen Share Detail'!$Q$17)</x:f>
        <x:v>U/K</x:v>
      </x:c>
      <x:c r="R38" s="346" t="str">
        <x:f>IF('Screen Share Detail'!$R$17="","U/K",'Screen Share Detail'!$R$17)</x:f>
        <x:v>U/K</x:v>
      </x:c>
      <x:c r="S38" s="346" t="str">
        <x:f>IF('Screen Share Detail'!$S$17="","U/K",'Screen Share Detail'!$S$17)</x:f>
        <x:v>Free if supported; no paywall</x:v>
      </x:c>
      <x:c r="T38" s="346" t="str">
        <x:f>IF('Screen Share Detail'!$T$17="","U/K",'Screen Share Detail'!$T$17)</x:f>
        <x:v>U/K</x:v>
      </x:c>
      <x:c r="U38" s="346" t="str">
        <x:f>IF('Screen Share Detail'!$U$17="","U/K",'Screen Share Detail'!$U$17)</x:f>
        <x:v>U/K</x:v>
      </x:c>
      <x:c r="V38" s="346" t="str">
        <x:f>IF('Screen Share Detail'!$V$17="","U/K",'Screen Share Detail'!$V$17)</x:f>
        <x:v>U/K</x:v>
      </x:c>
      <x:c r="W38" s="346" t="str">
        <x:f>IF('Screen Share Detail'!$W$17="","U/K",'Screen Share Detail'!$W$17)</x:f>
        <x:v>U/K</x:v>
      </x:c>
      <x:c r="X38" s="346" t="str">
        <x:f>IF('Screen Share Detail'!$X$17="","U/K",'Screen Share Detail'!$X$17)</x:f>
        <x:v>U/K</x:v>
      </x:c>
      <x:c r="Y38" s="346" t="str">
        <x:f>IF('Screen Share Detail'!$Y$17="","U/K",'Screen Share Detail'!$Y$17)</x:f>
        <x:v>U/K</x:v>
      </x:c>
      <x:c r="Z38" s="346" t="str">
        <x:f>IF('Screen Share Detail'!$Z$17="","U/K",'Screen Share Detail'!$Z$17)</x:f>
        <x:v>U/K</x:v>
      </x:c>
      <x:c r="AA38" s="380" t="str">
        <x:f>IF('Screen Share Detail'!$AA$17="","U/K",'Screen Share Detail'!$AA$17)</x:f>
        <x:v>Paid - Shard Forge</x:v>
      </x:c>
      <x:c r="AB38" s="346" t="str">
        <x:f>IF('Screen Share Detail'!$AB$17="","U/K",'Screen Share Detail'!$AB$17)</x:f>
        <x:v>U/K</x:v>
      </x:c>
      <x:c r="AC38" s="346" t="str">
        <x:f>IF('Screen Share Detail'!$AC$17="","U/K",'Screen Share Detail'!$AC$17)</x:f>
        <x:v>U/K</x:v>
      </x:c>
      <x:c r="AD38" s="346" t="str">
        <x:f>IF('Screen Share Detail'!$AD$17="","U/K",'Screen Share Detail'!$AD$17)</x:f>
        <x:v>U/K</x:v>
      </x:c>
      <x:c r="AE38" s="346" t="str">
        <x:f>IF('Screen Share Detail'!$AE$17="","U/K",'Screen Share Detail'!$AE$17)</x:f>
        <x:v>Free if supported</x:v>
      </x:c>
    </x:row>
    <x:row r="39" ht="36" customHeight="1">
      <x:c r="A39" s="359" t="str">
        <x:v>4K Access</x:v>
      </x:c>
      <x:c r="B39" s="346" t="str">
        <x:f>IF('Screen Share Detail'!$B$20="","U/K",'Screen Share Detail'!$B$20)</x:f>
        <x:v>Paid - Nitro</x:v>
      </x:c>
      <x:c r="C39" s="346" t="str">
        <x:f>IF('Screen Share Detail'!$C$20="","U/K",'Screen Share Detail'!$C$20)</x:f>
        <x:v>U/K</x:v>
      </x:c>
      <x:c r="D39" s="346" t="str">
        <x:f>IF('Screen Share Detail'!$D$20="","U/K",'Screen Share Detail'!$D$20)</x:f>
        <x:v>U/K</x:v>
      </x:c>
      <x:c r="E39" s="346" t="str">
        <x:f>IF('Screen Share Detail'!$E$20="","U/K",'Screen Share Detail'!$E$20)</x:f>
        <x:v>Paid - Plutonium</x:v>
      </x:c>
      <x:c r="F39" s="346" t="str">
        <x:f>IF('Screen Share Detail'!$F$20="","U/K",'Screen Share Detail'!$F$20)</x:f>
        <x:v>N/A</x:v>
      </x:c>
      <x:c r="G39" s="346" t="str">
        <x:f>IF('Screen Share Detail'!$G$20="","U/K",'Screen Share Detail'!$G$20)</x:f>
        <x:v>U/K</x:v>
      </x:c>
      <x:c r="H39" s="346" t="str">
        <x:f>IF('Screen Share Detail'!$H$20="","U/K",'Screen Share Detail'!$H$20)</x:f>
        <x:v>U/K</x:v>
      </x:c>
      <x:c r="I39" s="346" t="str">
        <x:f>IF('Screen Share Detail'!$I$20="","U/K",'Screen Share Detail'!$I$20)</x:f>
        <x:v>U/K</x:v>
      </x:c>
      <x:c r="J39" s="346" t="str">
        <x:f>IF('Screen Share Detail'!$J$20="","U/K",'Screen Share Detail'!$J$20)</x:f>
        <x:v>U/K</x:v>
      </x:c>
      <x:c r="K39" s="346" t="str">
        <x:f>IF('Screen Share Detail'!$K$20="","U/K",'Screen Share Detail'!$K$20)</x:f>
        <x:v>U/K</x:v>
      </x:c>
      <x:c r="L39" s="346" t="str">
        <x:f>IF('Screen Share Detail'!$L$20="","U/K",'Screen Share Detail'!$L$20)</x:f>
        <x:v>U/K</x:v>
      </x:c>
      <x:c r="M39" s="346" t="str">
        <x:f>IF('Screen Share Detail'!$M$20="","U/K",'Screen Share Detail'!$M$20)</x:f>
        <x:v>U/K</x:v>
      </x:c>
      <x:c r="N39" s="346" t="str">
        <x:f>IF('Screen Share Detail'!$N$20="","U/K",'Screen Share Detail'!$N$20)</x:f>
        <x:v>Paid - Diamond</x:v>
      </x:c>
      <x:c r="O39" s="346" t="str">
        <x:f>IF('Screen Share Detail'!$O$20="","U/K",'Screen Share Detail'!$O$20)</x:f>
        <x:v>U/K</x:v>
      </x:c>
      <x:c r="P39" s="346" t="str">
        <x:f>IF('Screen Share Detail'!$P$20="","U/K",'Screen Share Detail'!$P$20)</x:f>
        <x:v>U/K</x:v>
      </x:c>
      <x:c r="Q39" s="346" t="str">
        <x:f>IF('Screen Share Detail'!$Q$20="","U/K",'Screen Share Detail'!$Q$20)</x:f>
        <x:v>U/K</x:v>
      </x:c>
      <x:c r="R39" s="346" t="str">
        <x:f>IF('Screen Share Detail'!$R$20="","U/K",'Screen Share Detail'!$R$20)</x:f>
        <x:v>U/K</x:v>
      </x:c>
      <x:c r="S39" s="346" t="str">
        <x:f>IF('Screen Share Detail'!$S$20="","U/K",'Screen Share Detail'!$S$20)</x:f>
        <x:v>Free if supported; no paywall</x:v>
      </x:c>
      <x:c r="T39" s="346" t="str">
        <x:f>IF('Screen Share Detail'!$T$20="","U/K",'Screen Share Detail'!$T$20)</x:f>
        <x:v>U/K</x:v>
      </x:c>
      <x:c r="U39" s="346" t="str">
        <x:f>IF('Screen Share Detail'!$U$20="","U/K",'Screen Share Detail'!$U$20)</x:f>
        <x:v>U/K</x:v>
      </x:c>
      <x:c r="V39" s="346" t="str">
        <x:f>IF('Screen Share Detail'!$V$20="","U/K",'Screen Share Detail'!$V$20)</x:f>
        <x:v>U/K</x:v>
      </x:c>
      <x:c r="W39" s="346" t="str">
        <x:f>IF('Screen Share Detail'!$W$20="","U/K",'Screen Share Detail'!$W$20)</x:f>
        <x:v>U/K</x:v>
      </x:c>
      <x:c r="X39" s="346" t="str">
        <x:f>IF('Screen Share Detail'!$X$20="","U/K",'Screen Share Detail'!$X$20)</x:f>
        <x:v>U/K</x:v>
      </x:c>
      <x:c r="Y39" s="346" t="str">
        <x:f>IF('Screen Share Detail'!$Y$20="","U/K",'Screen Share Detail'!$Y$20)</x:f>
        <x:v>U/K</x:v>
      </x:c>
      <x:c r="Z39" s="346" t="str">
        <x:f>IF('Screen Share Detail'!$Z$20="","U/K",'Screen Share Detail'!$Z$20)</x:f>
        <x:v>U/K</x:v>
      </x:c>
      <x:c r="AA39" s="380" t="str">
        <x:f>IF('Screen Share Detail'!$AA$20="","U/K",'Screen Share Detail'!$AA$20)</x:f>
        <x:v>N/A</x:v>
      </x:c>
      <x:c r="AB39" s="346" t="str">
        <x:f>IF('Screen Share Detail'!$AB$20="","U/K",'Screen Share Detail'!$AB$20)</x:f>
        <x:v>U/K</x:v>
      </x:c>
      <x:c r="AC39" s="346" t="str">
        <x:f>IF('Screen Share Detail'!$AC$20="","U/K",'Screen Share Detail'!$AC$20)</x:f>
        <x:v>U/K</x:v>
      </x:c>
      <x:c r="AD39" s="346" t="str">
        <x:f>IF('Screen Share Detail'!$AD$20="","U/K",'Screen Share Detail'!$AD$20)</x:f>
        <x:v>U/K</x:v>
      </x:c>
      <x:c r="AE39" s="346" t="str">
        <x:f>IF('Screen Share Detail'!$AE$20="","U/K",'Screen Share Detail'!$AE$20)</x:f>
        <x:v>Free if supported</x:v>
      </x:c>
    </x:row>
    <x:row r="40" ht="36" customHeight="1">
      <x:c r="A40" s="359" t="str">
        <x:v>Voice Bitrate: Base → Max</x:v>
      </x:c>
      <x:c r="B40" s="346" t="str">
        <x:f>IF('Voice Quality Detail'!$B$12="U/K","U/K",'Voice Quality Detail'!$B$12&amp;IF('Voice Quality Detail'!$B$13="U/K",""," → "&amp;'Voice Quality Detail'!$B$13&amp;" kbps"))</x:f>
        <x:v>96 → 384 kbps</x:v>
      </x:c>
      <x:c r="C40" s="346" t="str">
        <x:f>IF('Voice Quality Detail'!$C$12="U/K","U/K",'Voice Quality Detail'!$C$12&amp;IF('Voice Quality Detail'!$C$13="U/K",""," → "&amp;'Voice Quality Detail'!$C$13&amp;" kbps"))</x:f>
        <x:v>U/K</x:v>
      </x:c>
      <x:c r="D40" s="346" t="str">
        <x:f>IF('Voice Quality Detail'!$D$12="U/K","U/K",'Voice Quality Detail'!$D$12&amp;IF('Voice Quality Detail'!$D$13="U/K",""," → "&amp;'Voice Quality Detail'!$D$13&amp;" kbps"))</x:f>
        <x:v>U/K</x:v>
      </x:c>
      <x:c r="E40" s="346" t="str">
        <x:f>IF('Voice Quality Detail'!$E$12="U/K","U/K",'Voice Quality Detail'!$E$12&amp;IF('Voice Quality Detail'!$E$13="U/K",""," → "&amp;'Voice Quality Detail'!$E$13&amp;" kbps"))</x:f>
        <x:v>U/K</x:v>
      </x:c>
      <x:c r="F40" s="346" t="str">
        <x:f>IF('Voice Quality Detail'!$F$12="U/K","U/K",'Voice Quality Detail'!$F$12&amp;IF('Voice Quality Detail'!$F$13="U/K",""," → "&amp;'Voice Quality Detail'!$F$13&amp;" kbps"))</x:f>
        <x:v>U/K</x:v>
      </x:c>
      <x:c r="G40" s="346" t="str">
        <x:f>IF('Voice Quality Detail'!$G$12="U/K","U/K",'Voice Quality Detail'!$G$12&amp;IF('Voice Quality Detail'!$G$13="U/K",""," → "&amp;'Voice Quality Detail'!$G$13&amp;" kbps"))</x:f>
        <x:v>U/K</x:v>
      </x:c>
      <x:c r="H40" s="346" t="str">
        <x:f>IF('Voice Quality Detail'!$H$12="U/K","U/K",'Voice Quality Detail'!$H$12&amp;IF('Voice Quality Detail'!$H$13="U/K",""," → "&amp;'Voice Quality Detail'!$H$13&amp;" kbps"))</x:f>
        <x:v>U/K</x:v>
      </x:c>
      <x:c r="I40" s="346" t="str">
        <x:f>IF('Voice Quality Detail'!$I$12="U/K","U/K",'Voice Quality Detail'!$I$12&amp;IF('Voice Quality Detail'!$I$13="U/K",""," → "&amp;'Voice Quality Detail'!$I$13&amp;" kbps"))</x:f>
        <x:v>Server-configurable → Server-configurable / U/K kbps</x:v>
      </x:c>
      <x:c r="J40" s="346" t="str">
        <x:f>IF('Voice Quality Detail'!$J$12="U/K","U/K",'Voice Quality Detail'!$J$12&amp;IF('Voice Quality Detail'!$J$13="U/K",""," → "&amp;'Voice Quality Detail'!$J$13&amp;" kbps"))</x:f>
        <x:v>U/K</x:v>
      </x:c>
      <x:c r="K40" s="346" t="str">
        <x:f>IF('Voice Quality Detail'!$K$12="U/K","U/K",'Voice Quality Detail'!$K$12&amp;IF('Voice Quality Detail'!$K$13="U/K",""," → "&amp;'Voice Quality Detail'!$K$13&amp;" kbps"))</x:f>
        <x:v>U/K</x:v>
      </x:c>
      <x:c r="L40" s="346" t="str">
        <x:f>IF('Voice Quality Detail'!$L$12="U/K","U/K",'Voice Quality Detail'!$L$12&amp;IF('Voice Quality Detail'!$L$13="U/K",""," → "&amp;'Voice Quality Detail'!$L$13&amp;" kbps"))</x:f>
        <x:v>U/K</x:v>
      </x:c>
      <x:c r="M40" s="346" t="str">
        <x:f>IF('Voice Quality Detail'!$M$12="U/K","U/K",'Voice Quality Detail'!$M$12&amp;IF('Voice Quality Detail'!$M$13="U/K",""," → "&amp;'Voice Quality Detail'!$M$13&amp;" kbps"))</x:f>
        <x:v>U/K</x:v>
      </x:c>
      <x:c r="N40" s="346" t="str">
        <x:f>IF('Voice Quality Detail'!$N$12="U/K","U/K",'Voice Quality Detail'!$N$12&amp;IF('Voice Quality Detail'!$N$13="U/K",""," → "&amp;'Voice Quality Detail'!$N$13&amp;" kbps"))</x:f>
        <x:v>64 → 256 kbps</x:v>
      </x:c>
      <x:c r="O40" s="346" t="str">
        <x:f>IF('Voice Quality Detail'!$O$12="U/K","U/K",'Voice Quality Detail'!$O$12&amp;IF('Voice Quality Detail'!$O$13="U/K",""," → "&amp;'Voice Quality Detail'!$O$13&amp;" kbps"))</x:f>
        <x:v>U/K</x:v>
      </x:c>
      <x:c r="P40" s="346" t="str">
        <x:f>IF('Voice Quality Detail'!$P$12="U/K","U/K",'Voice Quality Detail'!$P$12&amp;IF('Voice Quality Detail'!$P$13="U/K",""," → "&amp;'Voice Quality Detail'!$P$13&amp;" kbps"))</x:f>
        <x:v>U/K</x:v>
      </x:c>
      <x:c r="Q40" s="346" t="str">
        <x:f>IF('Voice Quality Detail'!$Q$12="U/K","U/K",'Voice Quality Detail'!$Q$12&amp;IF('Voice Quality Detail'!$Q$13="U/K",""," → "&amp;'Voice Quality Detail'!$Q$13&amp;" kbps"))</x:f>
        <x:v>U/K</x:v>
      </x:c>
      <x:c r="R40" s="346" t="str">
        <x:f>IF('Voice Quality Detail'!$R$12="U/K","U/K",'Voice Quality Detail'!$R$12&amp;IF('Voice Quality Detail'!$R$13="U/K",""," → "&amp;'Voice Quality Detail'!$R$13&amp;" kbps"))</x:f>
        <x:v>U/K</x:v>
      </x:c>
      <x:c r="S40" s="346" t="str">
        <x:f>IF('Voice Quality Detail'!$S$12="U/K","U/K",'Voice Quality Detail'!$S$12&amp;IF('Voice Quality Detail'!$S$13="U/K",""," → "&amp;'Voice Quality Detail'!$S$13&amp;" kbps"))</x:f>
        <x:v>U/K</x:v>
      </x:c>
      <x:c r="T40" s="346" t="str">
        <x:f>IF('Voice Quality Detail'!$T$12="U/K","U/K",'Voice Quality Detail'!$T$12&amp;IF('Voice Quality Detail'!$T$13="U/K",""," → "&amp;'Voice Quality Detail'!$T$13&amp;" kbps"))</x:f>
        <x:v>U/K</x:v>
      </x:c>
      <x:c r="U40" s="346" t="str">
        <x:f>IF('Voice Quality Detail'!$U$12="U/K","U/K",'Voice Quality Detail'!$U$12&amp;IF('Voice Quality Detail'!$U$13="U/K",""," → "&amp;'Voice Quality Detail'!$U$13&amp;" kbps"))</x:f>
        <x:v>U/K</x:v>
      </x:c>
      <x:c r="V40" s="346" t="str">
        <x:f>IF('Voice Quality Detail'!$V$12="U/K","U/K",'Voice Quality Detail'!$V$12&amp;IF('Voice Quality Detail'!$V$13="U/K",""," → "&amp;'Voice Quality Detail'!$V$13&amp;" kbps"))</x:f>
        <x:v>U/K</x:v>
      </x:c>
      <x:c r="W40" s="346" t="str">
        <x:f>IF('Voice Quality Detail'!$W$12="U/K","U/K",'Voice Quality Detail'!$W$12&amp;IF('Voice Quality Detail'!$W$13="U/K",""," → "&amp;'Voice Quality Detail'!$W$13&amp;" kbps"))</x:f>
        <x:v>U/K</x:v>
      </x:c>
      <x:c r="X40" s="346" t="str">
        <x:f>IF('Voice Quality Detail'!$X$12="U/K","U/K",'Voice Quality Detail'!$X$12&amp;IF('Voice Quality Detail'!$X$13="U/K",""," → "&amp;'Voice Quality Detail'!$X$13&amp;" kbps"))</x:f>
        <x:v>U/K</x:v>
      </x:c>
      <x:c r="Y40" s="346" t="str">
        <x:f>IF('Voice Quality Detail'!$Y$12="U/K","U/K",'Voice Quality Detail'!$Y$12&amp;IF('Voice Quality Detail'!$Y$13="U/K",""," → "&amp;'Voice Quality Detail'!$Y$13&amp;" kbps"))</x:f>
        <x:v>U/K</x:v>
      </x:c>
      <x:c r="Z40" s="346" t="str">
        <x:f>IF('Voice Quality Detail'!$Z$12="U/K","U/K",'Voice Quality Detail'!$Z$12&amp;IF('Voice Quality Detail'!$Z$13="U/K",""," → "&amp;'Voice Quality Detail'!$Z$13&amp;" kbps"))</x:f>
        <x:v>U/K</x:v>
      </x:c>
      <x:c r="AA40" s="380" t="str">
        <x:f>IF('Voice Quality Detail'!$AA$12="U/K","U/K",'Voice Quality Detail'!$AA$12&amp;IF('Voice Quality Detail'!$AA$13="U/K",""," → "&amp;'Voice Quality Detail'!$AA$13&amp;" kbps"))</x:f>
        <x:v>96 → 192 kbps</x:v>
      </x:c>
      <x:c r="AB40" s="346" t="str">
        <x:f>IF('Voice Quality Detail'!$AB$12="U/K","U/K",'Voice Quality Detail'!$AB$12&amp;IF('Voice Quality Detail'!$AB$13="U/K",""," → "&amp;'Voice Quality Detail'!$AB$13&amp;" kbps"))</x:f>
        <x:v>U/K</x:v>
      </x:c>
      <x:c r="AC40" s="346" t="str">
        <x:f>IF('Voice Quality Detail'!$AC$12="U/K","U/K",'Voice Quality Detail'!$AC$12&amp;IF('Voice Quality Detail'!$AC$13="U/K",""," → "&amp;'Voice Quality Detail'!$AC$13&amp;" kbps"))</x:f>
        <x:v>U/K</x:v>
      </x:c>
      <x:c r="AD40" s="346" t="str">
        <x:f>IF('Voice Quality Detail'!$AD$12="U/K","U/K",'Voice Quality Detail'!$AD$12&amp;IF('Voice Quality Detail'!$AD$13="U/K",""," → "&amp;'Voice Quality Detail'!$AD$13&amp;" kbps"))</x:f>
        <x:v>U/K</x:v>
      </x:c>
      <x:c r="AE40" s="346" t="str">
        <x:f>IF('Voice Quality Detail'!$AE$12="U/K","U/K",'Voice Quality Detail'!$AE$12&amp;IF('Voice Quality Detail'!$AE$13="U/K",""," → "&amp;'Voice Quality Detail'!$AE$13&amp;" kbps"))</x:f>
        <x:v>U/K</x:v>
      </x:c>
    </x:row>
    <x:row r="41" ht="36" customHeight="1">
      <x:c r="A41" s="360" t="str">
        <x:v>Primary Pricing Model</x:v>
      </x:c>
      <x:c r="B41" s="349" t="str">
        <x:f>IF('Pricing Summary'!$B$13="","U/K",'Pricing Summary'!$B$13)</x:f>
        <x:v>Per user; Per boost</x:v>
      </x:c>
      <x:c r="C41" s="349" t="str">
        <x:f>IF('Pricing Summary'!$C$13="","U/K",'Pricing Summary'!$C$13)</x:f>
        <x:v>U/K</x:v>
      </x:c>
      <x:c r="D41" s="349" t="str">
        <x:f>IF('Pricing Summary'!$D$13="","U/K",'Pricing Summary'!$D$13)</x:f>
        <x:v>Subscription</x:v>
      </x:c>
      <x:c r="E41" s="349" t="str">
        <x:f>IF('Pricing Summary'!$E$13="","U/K",'Pricing Summary'!$E$13)</x:f>
        <x:v>Per user</x:v>
      </x:c>
      <x:c r="F41" s="349" t="str">
        <x:f>IF('Pricing Summary'!$F$13="","U/K",'Pricing Summary'!$F$13)</x:f>
        <x:v>Per user</x:v>
      </x:c>
      <x:c r="G41" s="349" t="str">
        <x:f>IF('Pricing Summary'!$G$13="","U/K",'Pricing Summary'!$G$13)</x:f>
        <x:v>U/K</x:v>
      </x:c>
      <x:c r="H41" s="349" t="str">
        <x:f>IF('Pricing Summary'!$H$13="","U/K",'Pricing Summary'!$H$13)</x:f>
        <x:v>U/K</x:v>
      </x:c>
      <x:c r="I41" s="349" t="str">
        <x:f>IF('Pricing Summary'!$I$13="","U/K",'Pricing Summary'!$I$13)</x:f>
        <x:v>U/K</x:v>
      </x:c>
      <x:c r="J41" s="349" t="str">
        <x:f>IF('Pricing Summary'!$J$13="","U/K",'Pricing Summary'!$J$13)</x:f>
        <x:v>Per hosted community; Per self-host license; Custom</x:v>
      </x:c>
      <x:c r="K41" s="349" t="str">
        <x:f>IF('Pricing Summary'!$K$13="","U/K",'Pricing Summary'!$K$13)</x:f>
        <x:v>Per user; Per user; 10-user minimum; Per user; 25-user minimum; Custom</x:v>
      </x:c>
      <x:c r="L41" s="349" t="str">
        <x:f>IF('Pricing Summary'!$L$13="","U/K",'Pricing Summary'!$L$13)</x:f>
        <x:v>Annual seat license; Add-on</x:v>
      </x:c>
      <x:c r="M41" s="349" t="str">
        <x:f>IF('Pricing Summary'!$M$13="","U/K",'Pricing Summary'!$M$13)</x:f>
        <x:v>Organization / deployment</x:v>
      </x:c>
      <x:c r="N41" s="349" t="str">
        <x:f>IF('Pricing Summary'!$N$13="","U/K",'Pricing Summary'!$N$13)</x:f>
        <x:v>Per server; Per self-hosted server</x:v>
      </x:c>
      <x:c r="O41" s="349" t="str">
        <x:f>IF('Pricing Summary'!$O$13="","U/K",'Pricing Summary'!$O$13)</x:f>
        <x:v>U/K</x:v>
      </x:c>
      <x:c r="P41" s="349" t="str">
        <x:f>IF('Pricing Summary'!$P$13="","U/K",'Pricing Summary'!$P$13)</x:f>
        <x:v>U/K</x:v>
      </x:c>
      <x:c r="Q41" s="349" t="str">
        <x:f>IF('Pricing Summary'!$Q$13="","U/K",'Pricing Summary'!$Q$13)</x:f>
        <x:v>U/K</x:v>
      </x:c>
      <x:c r="R41" s="349" t="str">
        <x:f>IF('Pricing Summary'!$R$13="","U/K",'Pricing Summary'!$R$13)</x:f>
        <x:v>U/K</x:v>
      </x:c>
      <x:c r="S41" s="349" t="str">
        <x:f>IF('Pricing Summary'!$S$13="","U/K",'Pricing Summary'!$S$13)</x:f>
        <x:v>U/K</x:v>
      </x:c>
      <x:c r="T41" s="349" t="str">
        <x:f>IF('Pricing Summary'!$T$13="","U/K",'Pricing Summary'!$T$13)</x:f>
        <x:v>U/K</x:v>
      </x:c>
      <x:c r="U41" s="349" t="str">
        <x:f>IF('Pricing Summary'!$U$13="","U/K",'Pricing Summary'!$U$13)</x:f>
        <x:v>Per managed server</x:v>
      </x:c>
      <x:c r="V41" s="349" t="str">
        <x:f>IF('Pricing Summary'!$V$13="","U/K",'Pricing Summary'!$V$13)</x:f>
        <x:v>U/K</x:v>
      </x:c>
      <x:c r="W41" s="349" t="str">
        <x:f>IF('Pricing Summary'!$W$13="","U/K",'Pricing Summary'!$W$13)</x:f>
        <x:v>U/K</x:v>
      </x:c>
      <x:c r="X41" s="349" t="str">
        <x:f>IF('Pricing Summary'!$X$13="","U/K",'Pricing Summary'!$X$13)</x:f>
        <x:v>U/K</x:v>
      </x:c>
      <x:c r="Y41" s="349" t="str">
        <x:f>IF('Pricing Summary'!$Y$13="","U/K",'Pricing Summary'!$Y$13)</x:f>
        <x:v>U/K</x:v>
      </x:c>
      <x:c r="Z41" s="349" t="str">
        <x:f>IF('Pricing Summary'!$Z$13="","U/K",'Pricing Summary'!$Z$13)</x:f>
        <x:v>U/K</x:v>
      </x:c>
      <x:c r="AA41" s="381" t="str">
        <x:f>IF('Pricing Summary'!$AA$13="","U/K",'Pricing Summary'!$AA$13)</x:f>
        <x:v>Per user; Per community / Shard</x:v>
      </x:c>
      <x:c r="AB41" s="349" t="str">
        <x:f>IF('Pricing Summary'!$AB$13="","U/K",'Pricing Summary'!$AB$13)</x:f>
        <x:v>U/K</x:v>
      </x:c>
      <x:c r="AC41" s="349" t="str">
        <x:f>IF('Pricing Summary'!$AC$13="","U/K",'Pricing Summary'!$AC$13)</x:f>
        <x:v>U/K</x:v>
      </x:c>
      <x:c r="AD41" s="349" t="str">
        <x:f>IF('Pricing Summary'!$AD$13="","U/K",'Pricing Summary'!$AD$13)</x:f>
        <x:v>Per supporter</x:v>
      </x:c>
      <x:c r="AE41" s="349" t="str">
        <x:f>IF('Pricing Summary'!$AE$13="","U/K",'Pricing Summary'!$AE$13)</x:f>
        <x:v>Per lobby; Per community build</x:v>
      </x:c>
    </x:row>
    <x:row r="42" ht="23" customHeight="1">
      <x:c r="A42" s="389" t="str">
        <x:v>Monetization &amp; Legal Snapshot</x:v>
      </x:c>
      <x:c r="B42" s="389"/>
      <x:c r="C42" s="389"/>
      <x:c r="D42" s="389"/>
      <x:c r="E42" s="389"/>
      <x:c r="F42" s="389"/>
      <x:c r="G42" s="389"/>
      <x:c r="H42" s="389"/>
      <x:c r="I42" s="389"/>
      <x:c r="J42" s="389"/>
      <x:c r="K42" s="389"/>
      <x:c r="L42" s="389"/>
      <x:c r="M42" s="389"/>
      <x:c r="N42" s="389"/>
      <x:c r="O42" s="389"/>
      <x:c r="P42" s="389"/>
      <x:c r="Q42" s="389"/>
      <x:c r="R42" s="389"/>
      <x:c r="S42" s="389"/>
      <x:c r="T42" s="389"/>
      <x:c r="U42" s="389"/>
      <x:c r="V42" s="389"/>
      <x:c r="W42" s="389"/>
      <x:c r="X42" s="389"/>
      <x:c r="Y42" s="389"/>
      <x:c r="Z42" s="389"/>
      <x:c r="AA42" s="389"/>
      <x:c r="AB42" s="389"/>
      <x:c r="AC42" s="389"/>
      <x:c r="AD42" s="389"/>
      <x:c r="AE42" s="389"/>
    </x:row>
    <x:row r="43" ht="36" customHeight="1">
      <x:c r="A43" s="378" t="str">
        <x:v>Current Monetization</x:v>
      </x:c>
      <x:c r="B43" s="346" t="str">
        <x:v>Nitro Basic: 2.99/mo; 29.99/yr; Nitro: 9.99/mo; 99.99/yr; Server Boost: 4.99/mo; 49.99/yr; Server Boost Level 1: $9.98/mo at full $4.99/boost rate; Server Boost Level 2: $34.93/mo at full $4.99/boost rate; Server Boost Level 3: $69.86/mo at full $4.99/boost rate; Quests / sponsored formats: U/K; Server Subscriptions / Server Shop / Premium Apps: Creator-set / varies</x:v>
      </x:c>
      <x:c r="C43" s="346" t="str">
        <x:v>No public fixed-price paid tier verified: N/A</x:v>
      </x:c>
      <x:c r="D43" s="346" t="str">
        <x:v>No current paid monetization verified / see Monetization Detail</x:v>
      </x:c>
      <x:c r="E43" s="346" t="str">
        <x:v>Plutonium: 4.99/mo; 49.99/yr; One-time / monthly / yearly donations: Minimum 3 in selected currency</x:v>
      </x:c>
      <x:c r="F43" s="346" t="str">
        <x:v>Sudo: U/K; Core: U/K</x:v>
      </x:c>
      <x:c r="G43" s="346" t="str">
        <x:v>No Matrix-wide paid tier: N/A; Donations / organizational sponsorship: User-selected / sponsorship</x:v>
      </x:c>
      <x:c r="H43" s="346" t="str">
        <x:v>No central paid tier: N/A</x:v>
      </x:c>
      <x:c r="I43" s="346" t="str">
        <x:v>No Mumble subscription: N/A</x:v>
      </x:c>
      <x:c r="J43" s="346" t="str">
        <x:v>Crew: 4.99/mo; 53.99/yr; Team: 8.99/mo; 96.99/yr; Faction: 17.99/mo; 194.99/yr; Gamer / Activation 64 slots: 55/yr; Gamer / Activation 128 slots: 50/6mo; 100/yr; Gamer / Activation 256 slots: 87.50/6mo; 175/yr; Gamer / Activation 512 slots: 150/6mo; 300/yr; Gamer / Activation 1024 slots: 250/6mo; 500/yr; Commercial License: Contact Sales / Quote; TeamSpeak SDK License: Contact Sales / Quote</x:v>
      </x:c>
      <x:c r="K43" s="346" t="str">
        <x:v>Cloud Standard: 8.00/mo; 80.04/yr; Cloud Plus: 12.00/mo; 120.00/yr; Self-hosted Basic: 3.50/mo; Self-hosted Business: 8.00/mo; 80.04/yr; Self-hosted Enterprise: Contact Sales / Quote</x:v>
      </x:c>
      <x:c r="L43" s="346" t="str">
        <x:v>Professional: Contact Sales / Quote; Enterprise: Contact Sales / Quote; Enterprise Advanced: Contact Sales / Quote; Premier Support: Contact Sales / Quote</x:v>
      </x:c>
      <x:c r="M43" s="346" t="str">
        <x:v>Commercial: Contact Sales / Quote; Government: Contact Sales / Quote; Defense: Contact Sales / Quote</x:v>
      </x:c>
      <x:c r="N43" s="346" t="str">
        <x:v>Silver: 4.99/mo; Gold: 9.99/mo; Diamond: 19.99/mo; Self-Hosted Server License: 2.00/mo; 15.00/yr</x:v>
      </x:c>
      <x:c r="O43" s="346" t="str">
        <x:v>No paid subscription verified: N/A; Donation-funded service: User-selected</x:v>
      </x:c>
      <x:c r="P43" s="346" t="str">
        <x:v>No public fixed-price paid tier verified: N/A</x:v>
      </x:c>
      <x:c r="Q43" s="346" t="str">
        <x:v>No public fixed-price paid tier verified: N/A; Subscriptions, purchases and paid features: U/K</x:v>
      </x:c>
      <x:c r="R43" s="346" t="str">
        <x:v>No public fixed-price paid tier verified: N/A</x:v>
      </x:c>
      <x:c r="S43" s="346" t="str">
        <x:v>No premium communication subscription: N/A; Mezon Token / Mezon Dong payments: Transaction-dependent</x:v>
      </x:c>
      <x:c r="T43" s="346" t="str">
        <x:v>No public fixed-price paid tier verified: N/A; Self-funding + donations: User-selected</x:v>
      </x:c>
      <x:c r="U43" s="346" t="str">
        <x:v>Yapper Hosting - 1 Year: 45.00 promo / 90.00 regular/yr; Maximum Control Self-Hosting License: 0</x:v>
      </x:c>
      <x:c r="V43" s="346" t="str">
        <x:v>No central paid tier: N/A</x:v>
      </x:c>
      <x:c r="W43" s="346" t="str">
        <x:v>No paid Roomy subscription verified: N/A</x:v>
      </x:c>
      <x:c r="X43" s="346" t="str">
        <x:v>No Armada subscription: N/A</x:v>
      </x:c>
      <x:c r="Y43" s="346" t="str">
        <x:v>No Hollow subscription: N/A</x:v>
      </x:c>
      <x:c r="Z43" s="346" t="str">
        <x:v>No DCTS subscription: N/A; PayPal / Ko-fi donations: User-selected</x:v>
      </x:c>
      <x:c r="AA43" s="380" t="str">
        <x:v>Rift+: 7.00/mo; 70.00/yr; Shard Ember: 10.00/mo; Shard Forge: 25.00/mo</x:v>
      </x:c>
      <x:c r="AB43" s="346" t="str">
        <x:v>No public fixed-price paid tier verified: N/A; Project donations: User-selected</x:v>
      </x:c>
      <x:c r="AC43" s="346" t="str">
        <x:v>No public fixed-price paid tier verified: N/A</x:v>
      </x:c>
      <x:c r="AD43" s="346" t="str">
        <x:v>Stargazer: U/K; Stargazer: Price U/K</x:v>
      </x:c>
      <x:c r="AE43" s="346" t="str">
        <x:v>Run your own: 6.00/mo; Have it built - Crew: Contact Sales / Quote; Have it built - League: Contact Sales / Quote; Have it built - Network: Contact Sales / Quote; Have it built - Larger: Contact Sales / Quote; Crew / League / Network / Larger custom builds: Quoted</x:v>
      </x:c>
    </x:row>
    <x:row r="44" ht="36" customHeight="1">
      <x:c r="A44" s="378" t="str">
        <x:v>Intended Monetization</x:v>
      </x:c>
      <x:c r="B44" s="346" t="str">
        <x:v>No intended monetization publicly verified: U/K</x:v>
      </x:c>
      <x:c r="C44" s="346" t="str">
        <x:v>No intended monetization publicly verified: U/K</x:v>
      </x:c>
      <x:c r="D44" s="346" t="str">
        <x:v>Surge: 4.99/mo; Flare: 9.99/mo; Prime: 24.99/mo</x:v>
      </x:c>
      <x:c r="E44" s="346" t="str">
        <x:v>No intended monetization publicly verified: U/K</x:v>
      </x:c>
      <x:c r="F44" s="346" t="str">
        <x:v>No intended monetization publicly verified: U/K</x:v>
      </x:c>
      <x:c r="G44" s="346" t="str">
        <x:v>Premium plan: Price not finalized</x:v>
      </x:c>
      <x:c r="H44" s="346" t="str">
        <x:v>No intended monetization publicly verified: U/K</x:v>
      </x:c>
      <x:c r="I44" s="346" t="str">
        <x:v>No intended monetization publicly verified: U/K</x:v>
      </x:c>
      <x:c r="J44" s="346" t="str">
        <x:v>No intended monetization publicly verified: U/K</x:v>
      </x:c>
      <x:c r="K44" s="346" t="str">
        <x:v>No intended monetization publicly verified: U/K</x:v>
      </x:c>
      <x:c r="L44" s="346" t="str">
        <x:v>No intended monetization publicly verified: U/K</x:v>
      </x:c>
      <x:c r="M44" s="346" t="str">
        <x:v>No intended monetization publicly verified: U/K</x:v>
      </x:c>
      <x:c r="N44" s="346" t="str">
        <x:v>No intended monetization publicly verified: U/K</x:v>
      </x:c>
      <x:c r="O44" s="346" t="str">
        <x:v>No intended monetization publicly verified: U/K</x:v>
      </x:c>
      <x:c r="P44" s="346" t="str">
        <x:v>No intended monetization publicly verified: U/K</x:v>
      </x:c>
      <x:c r="Q44" s="346" t="str">
        <x:v>No intended monetization publicly verified: U/K</x:v>
      </x:c>
      <x:c r="R44" s="346" t="str">
        <x:v>No intended monetization publicly verified: U/K</x:v>
      </x:c>
      <x:c r="S44" s="346" t="str">
        <x:v>No intended monetization publicly verified: U/K</x:v>
      </x:c>
      <x:c r="T44" s="346" t="str">
        <x:v>No intended monetization publicly verified: U/K</x:v>
      </x:c>
      <x:c r="U44" s="346" t="str">
        <x:v>No intended monetization publicly verified: U/K</x:v>
      </x:c>
      <x:c r="V44" s="346" t="str">
        <x:v>No intended monetization publicly verified: U/K</x:v>
      </x:c>
      <x:c r="W44" s="346" t="str">
        <x:v>No intended monetization publicly verified: U/K</x:v>
      </x:c>
      <x:c r="X44" s="346" t="str">
        <x:v>No intended monetization publicly verified: U/K</x:v>
      </x:c>
      <x:c r="Y44" s="346" t="str">
        <x:v>No premium tier: 0</x:v>
      </x:c>
      <x:c r="Z44" s="346" t="str">
        <x:v>Managed hosting / VPS systems: U/K</x:v>
      </x:c>
      <x:c r="AA44" s="380" t="str">
        <x:v>No intended monetization publicly verified: U/K</x:v>
      </x:c>
      <x:c r="AB44" s="346" t="str">
        <x:v>No intended monetization publicly verified: U/K</x:v>
      </x:c>
      <x:c r="AC44" s="346" t="str">
        <x:v>Premium / boost tiers: U/K</x:v>
      </x:c>
      <x:c r="AD44" s="346" t="str">
        <x:v>No intended monetization publicly verified: U/K</x:v>
      </x:c>
      <x:c r="AE44" s="346" t="str">
        <x:v>No intended monetization publicly verified: U/K</x:v>
      </x:c>
    </x:row>
    <x:row r="45" ht="36" customHeight="1">
      <x:c r="A45" s="378" t="str">
        <x:v>Server / Community Upgrade Model</x:v>
      </x:c>
      <x:c r="B45" s="346" t="str">
        <x:v>Server Boost: 4.99/mo; 49.99/yr; Server Boost Level 1: $9.98/mo at full $4.99/boost rate; Server Boost Level 2: $34.93/mo at full $4.99/boost rate; Server Boost Level 3: $69.86/mo at full $4.99/boost rate; Server Subscriptions / Server Shop / Premium Apps: Creator-set / varies</x:v>
      </x:c>
      <x:c r="C45" s="346" t="str">
        <x:v>None / U/K</x:v>
      </x:c>
      <x:c r="D45" s="346" t="str">
        <x:v>None / U/K</x:v>
      </x:c>
      <x:c r="E45" s="346" t="str">
        <x:v>None / U/K</x:v>
      </x:c>
      <x:c r="F45" s="346" t="str">
        <x:v>Core: U/K</x:v>
      </x:c>
      <x:c r="G45" s="346" t="str">
        <x:v>None / U/K</x:v>
      </x:c>
      <x:c r="H45" s="346" t="str">
        <x:v>None / U/K</x:v>
      </x:c>
      <x:c r="I45" s="346" t="str">
        <x:v>None / U/K</x:v>
      </x:c>
      <x:c r="J45" s="346" t="str">
        <x:v>Crew: 4.99/mo; 53.99/yr; Team: 8.99/mo; 96.99/yr; Faction: 17.99/mo; 194.99/yr</x:v>
      </x:c>
      <x:c r="K45" s="346" t="str">
        <x:v>None / U/K</x:v>
      </x:c>
      <x:c r="L45" s="346" t="str">
        <x:v>None / U/K</x:v>
      </x:c>
      <x:c r="M45" s="346" t="str">
        <x:v>None / U/K</x:v>
      </x:c>
      <x:c r="N45" s="346" t="str">
        <x:v>Silver: 4.99/mo; Gold: 9.99/mo; Diamond: 19.99/mo</x:v>
      </x:c>
      <x:c r="O45" s="346" t="str">
        <x:v>None / U/K</x:v>
      </x:c>
      <x:c r="P45" s="346" t="str">
        <x:v>None / U/K</x:v>
      </x:c>
      <x:c r="Q45" s="346" t="str">
        <x:v>None / U/K</x:v>
      </x:c>
      <x:c r="R45" s="346" t="str">
        <x:v>None / U/K</x:v>
      </x:c>
      <x:c r="S45" s="346" t="str">
        <x:v>None / U/K</x:v>
      </x:c>
      <x:c r="T45" s="346" t="str">
        <x:v>None / U/K</x:v>
      </x:c>
      <x:c r="U45" s="346" t="str">
        <x:v>None / U/K</x:v>
      </x:c>
      <x:c r="V45" s="346" t="str">
        <x:v>None / U/K</x:v>
      </x:c>
      <x:c r="W45" s="346" t="str">
        <x:v>None / U/K</x:v>
      </x:c>
      <x:c r="X45" s="346" t="str">
        <x:v>None / U/K</x:v>
      </x:c>
      <x:c r="Y45" s="346" t="str">
        <x:v>None / U/K</x:v>
      </x:c>
      <x:c r="Z45" s="346" t="str">
        <x:v>Managed hosting / VPS systems: U/K</x:v>
      </x:c>
      <x:c r="AA45" s="380" t="str">
        <x:v>None / U/K</x:v>
      </x:c>
      <x:c r="AB45" s="346" t="str">
        <x:v>None / U/K</x:v>
      </x:c>
      <x:c r="AC45" s="346" t="str">
        <x:v>None / U/K</x:v>
      </x:c>
      <x:c r="AD45" s="346" t="str">
        <x:v>None / U/K</x:v>
      </x:c>
      <x:c r="AE45" s="346" t="str">
        <x:v>Run your own: 6.00/mo; Have it built - Crew: Contact Sales / Quote; Have it built - League: Contact Sales / Quote; Have it built - Network: Contact Sales / Quote; Have it built - Larger: Contact Sales / Quote; Crew / League / Network / Larger custom builds: Quoted</x:v>
      </x:c>
    </x:row>
    <x:row r="46" ht="36" customHeight="1">
      <x:c r="A46" s="378" t="str">
        <x:v>User-Level Paid Model</x:v>
      </x:c>
      <x:c r="B46" s="346" t="str">
        <x:v>Nitro Basic: 2.99/mo; 29.99/yr; Nitro: 9.99/mo; 99.99/yr; Nitro Classic: 4.99/mo; 49.99/yr</x:v>
      </x:c>
      <x:c r="C46" s="346" t="str">
        <x:v>None / U/K</x:v>
      </x:c>
      <x:c r="D46" s="346" t="str">
        <x:v>None / U/K</x:v>
      </x:c>
      <x:c r="E46" s="346" t="str">
        <x:v>Plutonium: 4.99/mo; 49.99/yr</x:v>
      </x:c>
      <x:c r="F46" s="346" t="str">
        <x:v>Sudo: U/K</x:v>
      </x:c>
      <x:c r="G46" s="346" t="str">
        <x:v>None / U/K</x:v>
      </x:c>
      <x:c r="H46" s="346" t="str">
        <x:v>None / U/K</x:v>
      </x:c>
      <x:c r="I46" s="346" t="str">
        <x:v>None / U/K</x:v>
      </x:c>
      <x:c r="J46" s="346" t="str">
        <x:v>None / U/K</x:v>
      </x:c>
      <x:c r="K46" s="346" t="str">
        <x:v>None / U/K</x:v>
      </x:c>
      <x:c r="L46" s="346" t="str">
        <x:v>None / U/K</x:v>
      </x:c>
      <x:c r="M46" s="346" t="str">
        <x:v>None / U/K</x:v>
      </x:c>
      <x:c r="N46" s="346" t="str">
        <x:v>None / U/K</x:v>
      </x:c>
      <x:c r="O46" s="346" t="str">
        <x:v>None / U/K</x:v>
      </x:c>
      <x:c r="P46" s="346" t="str">
        <x:v>None / U/K</x:v>
      </x:c>
      <x:c r="Q46" s="346" t="str">
        <x:v>None / U/K</x:v>
      </x:c>
      <x:c r="R46" s="346" t="str">
        <x:v>None / U/K</x:v>
      </x:c>
      <x:c r="S46" s="346" t="str">
        <x:v>None / U/K</x:v>
      </x:c>
      <x:c r="T46" s="346" t="str">
        <x:v>None / U/K</x:v>
      </x:c>
      <x:c r="U46" s="346" t="str">
        <x:v>None / U/K</x:v>
      </x:c>
      <x:c r="V46" s="346" t="str">
        <x:v>None / U/K</x:v>
      </x:c>
      <x:c r="W46" s="346" t="str">
        <x:v>None / U/K</x:v>
      </x:c>
      <x:c r="X46" s="346" t="str">
        <x:v>None / U/K</x:v>
      </x:c>
      <x:c r="Y46" s="346" t="str">
        <x:v>None / U/K</x:v>
      </x:c>
      <x:c r="Z46" s="346" t="str">
        <x:v>None / U/K</x:v>
      </x:c>
      <x:c r="AA46" s="380" t="str">
        <x:v>Rift+: 7.00/mo; 70.00/yr</x:v>
      </x:c>
      <x:c r="AB46" s="346" t="str">
        <x:v>None / U/K</x:v>
      </x:c>
      <x:c r="AC46" s="346" t="str">
        <x:v>None / U/K</x:v>
      </x:c>
      <x:c r="AD46" s="346" t="str">
        <x:v>Stargazer: U/K</x:v>
      </x:c>
      <x:c r="AE46" s="346" t="str">
        <x:v>None / U/K</x:v>
      </x:c>
    </x:row>
    <x:row r="47" ht="36" customHeight="1">
      <x:c r="A47" s="378" t="str">
        <x:v>Terms / Legal URL</x:v>
      </x:c>
      <x:c r="B47" s="346" t="str">
        <x:v>https://discord.com/terms</x:v>
      </x:c>
      <x:c r="C47" s="346" t="str">
        <x:v>https://stoat.chat/legal/terms</x:v>
      </x:c>
      <x:c r="D47" s="346" t="str">
        <x:v>https://fenrid.com/terms</x:v>
      </x:c>
      <x:c r="E47" s="346" t="str">
        <x:v>https://fluxer.app/terms</x:v>
      </x:c>
      <x:c r="F47" s="346" t="str">
        <x:v>https://www.rootapp.com/terms-of-use</x:v>
      </x:c>
      <x:c r="G47" s="346" t="str">
        <x:v>https://matrix.org/legal/terms-and-conditions/</x:v>
      </x:c>
      <x:c r="H47" s="346" t="str">
        <x:v>https://spacebar.chat/</x:v>
      </x:c>
      <x:c r="I47" s="346" t="str">
        <x:v>https://www.mumble.info/</x:v>
      </x:c>
      <x:c r="J47" s="346" t="str">
        <x:v>https://www.teamspeak.com/en/terms-and-conditions</x:v>
      </x:c>
      <x:c r="K47" s="346" t="str">
        <x:v>https://zulip.com/policies/terms</x:v>
      </x:c>
      <x:c r="L47" s="346" t="str">
        <x:v>https://docs.mattermost.com/product-overview/faq-license</x:v>
      </x:c>
      <x:c r="M47" s="346" t="str">
        <x:v>https://docs.rocket.chat/docs/legal-center</x:v>
      </x:c>
      <x:c r="N47" s="346" t="str">
        <x:v>https://gamevox.com/terms/</x:v>
      </x:c>
      <x:c r="O47" s="346" t="str">
        <x:v>https://nerimity.com/</x:v>
      </x:c>
      <x:c r="P47" s="346" t="str">
        <x:v>https://osmium.chat/terms/</x:v>
      </x:c>
      <x:c r="Q47" s="346" t="str">
        <x:v>https://loqa.chat/terms/</x:v>
      </x:c>
      <x:c r="R47" s="346" t="str">
        <x:v>U/K</x:v>
      </x:c>
      <x:c r="S47" s="346" t="str">
        <x:v>https://dong.mezon.ai/</x:v>
      </x:c>
      <x:c r="T47" s="346" t="str">
        <x:v>https://kloak.app/terms</x:v>
      </x:c>
      <x:c r="U47" s="346" t="str">
        <x:v>U/K</x:v>
      </x:c>
      <x:c r="V47" s="346" t="str">
        <x:v>U/K</x:v>
      </x:c>
      <x:c r="W47" s="346" t="str">
        <x:v>U/K</x:v>
      </x:c>
      <x:c r="X47" s="346" t="str">
        <x:v>https://github.com/soapbox-pub/armada</x:v>
      </x:c>
      <x:c r="Y47" s="346" t="str">
        <x:v>https://github.com/VitalikPro13/HOLLOW</x:v>
      </x:c>
      <x:c r="Z47" s="346" t="str">
        <x:v>U/K</x:v>
      </x:c>
      <x:c r="AA47" s="380" t="str">
        <x:v>https://therift.chat/terms/</x:v>
      </x:c>
      <x:c r="AB47" s="346" t="str">
        <x:v>U/K</x:v>
      </x:c>
      <x:c r="AC47" s="346" t="str">
        <x:v>U/K</x:v>
      </x:c>
      <x:c r="AD47" s="346" t="str">
        <x:v>U/K</x:v>
      </x:c>
      <x:c r="AE47" s="346" t="str">
        <x:v>U/K</x:v>
      </x:c>
    </x:row>
    <x:row r="48" ht="36" customHeight="1">
      <x:c r="A48" s="378" t="str">
        <x:v>Privacy Policy URL</x:v>
      </x:c>
      <x:c r="B48" s="346" t="str">
        <x:v>https://discord.com/privacy</x:v>
      </x:c>
      <x:c r="C48" s="346" t="str">
        <x:v>https://stoat.chat/legal/privacy</x:v>
      </x:c>
      <x:c r="D48" s="346" t="str">
        <x:v>https://fenrid.com/privacy</x:v>
      </x:c>
      <x:c r="E48" s="346" t="str">
        <x:v>https://fluxer.app/privacy</x:v>
      </x:c>
      <x:c r="F48" s="346" t="str">
        <x:v>https://www.rootapp.com/privacy-policy</x:v>
      </x:c>
      <x:c r="G48" s="346" t="str">
        <x:v>https://matrix.org/legal/privacy-notice/</x:v>
      </x:c>
      <x:c r="H48" s="346" t="str">
        <x:v>U/K</x:v>
      </x:c>
      <x:c r="I48" s="346" t="str">
        <x:v>U/K</x:v>
      </x:c>
      <x:c r="J48" s="346" t="str">
        <x:v>https://www.teamspeak.com/en/privacy-policy</x:v>
      </x:c>
      <x:c r="K48" s="346" t="str">
        <x:v>https://zulip.com/policies/privacy</x:v>
      </x:c>
      <x:c r="L48" s="346" t="str">
        <x:v>https://mattermost.com/privacy-policy/</x:v>
      </x:c>
      <x:c r="M48" s="346" t="str">
        <x:v>https://docs.rocket.chat/docs/privacy-policy</x:v>
      </x:c>
      <x:c r="N48" s="346" t="str">
        <x:v>https://gamevox.com/privacy/</x:v>
      </x:c>
      <x:c r="O48" s="346" t="str">
        <x:v>https://nerimity.com/</x:v>
      </x:c>
      <x:c r="P48" s="346" t="str">
        <x:v>https://osmium.chat/privacy/</x:v>
      </x:c>
      <x:c r="Q48" s="346" t="str">
        <x:v>https://loqa.chat/privacy/</x:v>
      </x:c>
      <x:c r="R48" s="346" t="str">
        <x:v>U/K</x:v>
      </x:c>
      <x:c r="S48" s="346" t="str">
        <x:v>https://dong.mezon.ai/</x:v>
      </x:c>
      <x:c r="T48" s="346" t="str">
        <x:v>https://kloak.app/privacy</x:v>
      </x:c>
      <x:c r="U48" s="346" t="str">
        <x:v>https://yapper.gg/privacy-policy</x:v>
      </x:c>
      <x:c r="V48" s="346" t="str">
        <x:v>U/K</x:v>
      </x:c>
      <x:c r="W48" s="346" t="str">
        <x:v>U/K</x:v>
      </x:c>
      <x:c r="X48" s="346" t="str">
        <x:v>https://github.com/soapbox-pub/armada</x:v>
      </x:c>
      <x:c r="Y48" s="346" t="str">
        <x:v>https://github.com/VitalikPro13/HOLLOW</x:v>
      </x:c>
      <x:c r="Z48" s="346" t="str">
        <x:v>U/K</x:v>
      </x:c>
      <x:c r="AA48" s="380" t="str">
        <x:v>https://therift.chat/privacy/</x:v>
      </x:c>
      <x:c r="AB48" s="346" t="str">
        <x:v>U/K</x:v>
      </x:c>
      <x:c r="AC48" s="346" t="str">
        <x:v>https://echon-voice.com/privacy</x:v>
      </x:c>
      <x:c r="AD48" s="346" t="str">
        <x:v>U/K</x:v>
      </x:c>
      <x:c r="AE48" s="346" t="str">
        <x:v>U/K</x:v>
      </x:c>
    </x:row>
    <x:row r="49" ht="36" customHeight="1">
      <x:c r="A49" s="378" t="str">
        <x:v>Policy Scope / Notes</x:v>
      </x:c>
      <x:c r="B49" s="346" t="str">
        <x:v>Discord-operated centralized service - Paid Services and Monetization Terms additionally govern purchases/sales.</x:v>
      </x:c>
      <x:c r="C49" s="346" t="str">
        <x:v>Stoat-hosted service; self-host instances are separate operators - Read shared policies together with Stoat-specific supplements.</x:v>
      </x:c>
      <x:c r="D49" s="346" t="str">
        <x:v>Pre-launch waitlist policies; full production policy not yet verified - Treat these as waitlist policies, not a complete production-service legal package.</x:v>
      </x:c>
      <x:c r="E49" s="346" t="str">
        <x:v>fluxer.app hosted service; self-host operators may have separate policies - Voice/video/screen E2EE is in development, not current.</x:v>
      </x:c>
      <x:c r="F49" s="346" t="str">
        <x:v>Root-operated centralized service - Developer Terms separately govern Apps/Bots and hosted runtime.</x:v>
      </x:c>
      <x:c r="G49" s="346" t="str">
        <x:v>No Matrix-wide ToS; these links apply only to the matrix.org homeserver - Keep Matrix protocol, matrix.org homeserver and Element client separate.</x:v>
      </x:c>
      <x:c r="H49" s="346" t="str">
        <x:v>Self-hosted open-source Discord-compatible software - No central consumer service policy; operator policies apply.</x:v>
      </x:c>
      <x:c r="I49" s="346" t="str">
        <x:v>Open-source self-hosted voice software - No central hosted-service ToS; third-party host/operator policies apply.</x:v>
      </x:c>
      <x:c r="J49" s="346" t="str">
        <x:v>Software, accounts, hosted communities, licenses and related services - Authorized third-party hosts may impose additional policies.</x:v>
      </x:c>
      <x:c r="K49" s="346" t="str">
        <x:v>Zulip Cloud plus subscriptions; self-host operator policies also matter - Treat Zulip Cloud and self-hosted Zulip separately.</x:v>
      </x:c>
      <x:c r="L49" s="346" t="str">
        <x:v>Cloud and self-hosted enterprise collaboration; local org terms may apply - Obligations differ by Team Edition, Enterprise and Cloud.</x:v>
      </x:c>
      <x:c r="M49" s="346" t="str">
        <x:v>Cloud and self-managed deployments; offering-specific terms - Use Legal Center for current agreements and archived versions.</x:v>
      </x:c>
      <x:c r="N49" s="346" t="str">
        <x:v>Cloud account/service plus cloud-hosted or self-hosted community servers - No data sale or advertising stated.</x:v>
      </x:c>
      <x:c r="O49" s="346" t="str">
        <x:v>Nerimity-hosted service; open-source code - Homepage links Terms and Privacy; exact standalone URLs were not indexed.</x:v>
      </x:c>
      <x:c r="P49" s="346" t="str">
        <x:v>Osmium-hosted centralized service - Encrypted transport does not itself mean E2EE.</x:v>
      </x:c>
      <x:c r="Q49" s="346" t="str">
        <x:v>Loqa-operated service plus evolving federation/self-host features - E2EE coverage varies by content type.</x:v>
      </x:c>
      <x:c r="R49" s="346" t="str">
        <x:v>Early hosted project moving toward self-host/federation - Formal public legal policy coverage is incomplete.</x:v>
      </x:c>
      <x:c r="S49" s="346" t="str">
        <x:v>Mezon communication service plus Mezon Dong payment ecosystem - Legal links are exposed on Mezon Dong; exact normalized URLs U/K.</x:v>
      </x:c>
      <x:c r="T49" s="346" t="str">
        <x:v>Kloak-hosted privacy-focused service - Kloak states no subscriptions, ads or data harvesting.</x:v>
      </x:c>
      <x:c r="U49" s="346" t="str">
        <x:v>yapper.gg account/license service plus self-host or managed server - Managed hosting and self-host privacy responsibilities differ.</x:v>
      </x:c>
      <x:c r="V49" s="346" t="str">
        <x:v>Open-source Harmony platform/server; Fermi is a client - No central consumer service policy verified; self-host operator policy applies.</x:v>
      </x:c>
      <x:c r="W49" s="346" t="str">
        <x:v>Open-source ATProto application/appserver - Provider/PDS/appserver policies apply; no Roomy consumer policy verified.</x:v>
      </x:c>
      <x:c r="X49" s="346" t="str">
        <x:v>Open-source Nostr/Concord client/relay ecosystem - No central consumer service terms; relay/provider policies apply.</x:v>
      </x:c>
      <x:c r="Y49" s="346" t="str">
        <x:v>Local-first distributed app with optional relays - Repository contains Terms/Privacy docs; exact file URLs not normalized here.</x:v>
      </x:c>
      <x:c r="Z49" s="346" t="str">
        <x:v>Self-host-first open-source platform - No centralized consumer ToS/privacy verified; instance operator policies apply.</x:v>
      </x:c>
      <x:c r="AA49" s="380" t="str">
        <x:v>Rift-operated centralized service - No email, phone or government ID required.</x:v>
      </x:c>
      <x:c r="AB49" s="346" t="str">
        <x:v>Hosted pqp.gg service plus AGPL self-hosting - No standalone legal pages verified; export/delete and self-host controls are documented.</x:v>
      </x:c>
      <x:c r="AC49" s="346" t="str">
        <x:v>Echon-hosted centralized service - Premium/boost amounts and exact scope are not public.</x:v>
      </x:c>
      <x:c r="AD49" s="346" t="str">
        <x:v>Valour-hosted service plus AGPL self-host/federated nodes - FAQ says no phone/ID, no ads, no data selling; AGPL client/server.</x:v>
      </x:c>
      <x:c r="AE49" s="346" t="str">
        <x:v>Weered-hosted lobby/community service - No seat limits/boosts; paid model is lobby ownership/custom builds.</x:v>
      </x:c>
    </x:row>
    <x:row r="50" ht="23" customHeight="1">
      <x:c r="A50" s="389" t="str">
        <x:v>Modern Feature Snapshot</x:v>
      </x:c>
      <x:c r="B50" s="389"/>
      <x:c r="C50" s="389"/>
      <x:c r="D50" s="389"/>
      <x:c r="E50" s="389"/>
      <x:c r="F50" s="389"/>
      <x:c r="G50" s="389"/>
      <x:c r="H50" s="389"/>
      <x:c r="I50" s="389"/>
      <x:c r="J50" s="389"/>
      <x:c r="K50" s="389"/>
      <x:c r="L50" s="389"/>
      <x:c r="M50" s="389"/>
      <x:c r="N50" s="389"/>
      <x:c r="O50" s="389"/>
      <x:c r="P50" s="389"/>
      <x:c r="Q50" s="389"/>
      <x:c r="R50" s="389"/>
      <x:c r="S50" s="389"/>
      <x:c r="T50" s="389"/>
      <x:c r="U50" s="389"/>
      <x:c r="V50" s="389"/>
      <x:c r="W50" s="389"/>
      <x:c r="X50" s="389"/>
      <x:c r="Y50" s="389"/>
      <x:c r="Z50" s="389"/>
      <x:c r="AA50" s="389"/>
      <x:c r="AB50" s="389"/>
      <x:c r="AC50" s="389"/>
      <x:c r="AD50" s="389"/>
      <x:c r="AE50" s="389"/>
    </x:row>
    <x:row r="51" ht="36" customHeight="1">
      <x:c r="A51" s="378" t="str">
        <x:v>Native Forum / Threaded Knowledge Space</x:v>
      </x:c>
      <x:c r="B51" s="346" t="str">
        <x:v>Yes - Forum Channels</x:v>
      </x:c>
      <x:c r="C51" s="346" t="str">
        <x:v>U/K</x:v>
      </x:c>
      <x:c r="D51" s="346" t="str">
        <x:v>U/K</x:v>
      </x:c>
      <x:c r="E51" s="346" t="str">
        <x:v>U/K</x:v>
      </x:c>
      <x:c r="F51" s="346" t="str">
        <x:v>U/K</x:v>
      </x:c>
      <x:c r="G51" s="346" t="str">
        <x:v>Client/room conventions</x:v>
      </x:c>
      <x:c r="H51" s="346" t="str">
        <x:v>U/K</x:v>
      </x:c>
      <x:c r="I51" s="346" t="str">
        <x:v>U/K</x:v>
      </x:c>
      <x:c r="J51" s="346" t="str">
        <x:v>U/K</x:v>
      </x:c>
      <x:c r="K51" s="346" t="str">
        <x:v>Topics rather than forum channel</x:v>
      </x:c>
      <x:c r="L51" s="346" t="str">
        <x:v>U/K</x:v>
      </x:c>
      <x:c r="M51" s="346" t="str">
        <x:v>U/K</x:v>
      </x:c>
      <x:c r="N51" s="346" t="str">
        <x:v>U/K</x:v>
      </x:c>
      <x:c r="O51" s="346" t="str">
        <x:v>U/K</x:v>
      </x:c>
      <x:c r="P51" s="346" t="str">
        <x:v>U/K</x:v>
      </x:c>
      <x:c r="Q51" s="346" t="str">
        <x:v>U/K</x:v>
      </x:c>
      <x:c r="R51" s="346" t="str">
        <x:v>U/K</x:v>
      </x:c>
      <x:c r="S51" s="346" t="str">
        <x:v>U/K</x:v>
      </x:c>
      <x:c r="T51" s="346" t="str">
        <x:v>U/K</x:v>
      </x:c>
      <x:c r="U51" s="346" t="str">
        <x:v>U/K</x:v>
      </x:c>
      <x:c r="V51" s="346" t="str">
        <x:v>U/K</x:v>
      </x:c>
      <x:c r="W51" s="346" t="str">
        <x:v>U/K</x:v>
      </x:c>
      <x:c r="X51" s="346" t="str">
        <x:v>U/K</x:v>
      </x:c>
      <x:c r="Y51" s="346" t="str">
        <x:v>U/K</x:v>
      </x:c>
      <x:c r="Z51" s="346" t="str">
        <x:v>U/K</x:v>
      </x:c>
      <x:c r="AA51" s="380" t="str">
        <x:v>Yes - Forum channels</x:v>
      </x:c>
      <x:c r="AB51" s="346" t="str">
        <x:v>U/K</x:v>
      </x:c>
      <x:c r="AC51" s="346" t="str">
        <x:v>U/K</x:v>
      </x:c>
      <x:c r="AD51" s="346" t="str">
        <x:v>U/K</x:v>
      </x:c>
      <x:c r="AE51" s="346" t="str">
        <x:v>U/K</x:v>
      </x:c>
    </x:row>
    <x:row r="52" ht="36" customHeight="1">
      <x:c r="A52" s="378" t="str">
        <x:v>Native Gallery / Media-First Space</x:v>
      </x:c>
      <x:c r="B52" s="346" t="str">
        <x:v>Partial - Forum Gallery View</x:v>
      </x:c>
      <x:c r="C52" s="346" t="str">
        <x:v>U/K</x:v>
      </x:c>
      <x:c r="D52" s="346" t="str">
        <x:v>U/K</x:v>
      </x:c>
      <x:c r="E52" s="346" t="str">
        <x:v>U/K</x:v>
      </x:c>
      <x:c r="F52" s="346" t="str">
        <x:v>U/K</x:v>
      </x:c>
      <x:c r="G52" s="346" t="str">
        <x:v>U/K</x:v>
      </x:c>
      <x:c r="H52" s="346" t="str">
        <x:v>U/K</x:v>
      </x:c>
      <x:c r="I52" s="346" t="str">
        <x:v>U/K</x:v>
      </x:c>
      <x:c r="J52" s="346" t="str">
        <x:v>U/K</x:v>
      </x:c>
      <x:c r="K52" s="346" t="str">
        <x:v>U/K</x:v>
      </x:c>
      <x:c r="L52" s="346" t="str">
        <x:v>U/K</x:v>
      </x:c>
      <x:c r="M52" s="346" t="str">
        <x:v>U/K</x:v>
      </x:c>
      <x:c r="N52" s="346" t="str">
        <x:v>U/K</x:v>
      </x:c>
      <x:c r="O52" s="346" t="str">
        <x:v>U/K</x:v>
      </x:c>
      <x:c r="P52" s="346" t="str">
        <x:v>U/K</x:v>
      </x:c>
      <x:c r="Q52" s="346" t="str">
        <x:v>U/K</x:v>
      </x:c>
      <x:c r="R52" s="346" t="str">
        <x:v>U/K</x:v>
      </x:c>
      <x:c r="S52" s="346" t="str">
        <x:v>U/K</x:v>
      </x:c>
      <x:c r="T52" s="346" t="str">
        <x:v>U/K</x:v>
      </x:c>
      <x:c r="U52" s="346" t="str">
        <x:v>U/K</x:v>
      </x:c>
      <x:c r="V52" s="346" t="str">
        <x:v>U/K</x:v>
      </x:c>
      <x:c r="W52" s="346" t="str">
        <x:v>U/K</x:v>
      </x:c>
      <x:c r="X52" s="346" t="str">
        <x:v>U/K</x:v>
      </x:c>
      <x:c r="Y52" s="346" t="str">
        <x:v>U/K</x:v>
      </x:c>
      <x:c r="Z52" s="346" t="str">
        <x:v>U/K</x:v>
      </x:c>
      <x:c r="AA52" s="380" t="str">
        <x:v>Yes - Gallery channel</x:v>
      </x:c>
      <x:c r="AB52" s="346" t="str">
        <x:v>U/K</x:v>
      </x:c>
      <x:c r="AC52" s="346" t="str">
        <x:v>U/K</x:v>
      </x:c>
      <x:c r="AD52" s="346" t="str">
        <x:v>U/K</x:v>
      </x:c>
      <x:c r="AE52" s="346" t="str">
        <x:v>U/K</x:v>
      </x:c>
    </x:row>
    <x:row r="53" ht="36" customHeight="1">
      <x:c r="A53" s="378" t="str">
        <x:v>Native Ticket / Support Workflow</x:v>
      </x:c>
      <x:c r="B53" s="346" t="str">
        <x:v>No native; apps/bots</x:v>
      </x:c>
      <x:c r="C53" s="346" t="str">
        <x:v>U/K</x:v>
      </x:c>
      <x:c r="D53" s="346" t="str">
        <x:v>U/K</x:v>
      </x:c>
      <x:c r="E53" s="346" t="str">
        <x:v>U/K</x:v>
      </x:c>
      <x:c r="F53" s="346" t="str">
        <x:v>U/K</x:v>
      </x:c>
      <x:c r="G53" s="346" t="str">
        <x:v>U/K</x:v>
      </x:c>
      <x:c r="H53" s="346" t="str">
        <x:v>U/K</x:v>
      </x:c>
      <x:c r="I53" s="346" t="str">
        <x:v>U/K</x:v>
      </x:c>
      <x:c r="J53" s="346" t="str">
        <x:v>U/K</x:v>
      </x:c>
      <x:c r="K53" s="346" t="str">
        <x:v>U/K</x:v>
      </x:c>
      <x:c r="L53" s="346" t="str">
        <x:v>Plugins/integrations</x:v>
      </x:c>
      <x:c r="M53" s="346" t="str">
        <x:v>Apps/integrations</x:v>
      </x:c>
      <x:c r="N53" s="346" t="str">
        <x:v>U/K</x:v>
      </x:c>
      <x:c r="O53" s="346" t="str">
        <x:v>U/K</x:v>
      </x:c>
      <x:c r="P53" s="346" t="str">
        <x:v>U/K</x:v>
      </x:c>
      <x:c r="Q53" s="346" t="str">
        <x:v>U/K</x:v>
      </x:c>
      <x:c r="R53" s="346" t="str">
        <x:v>U/K</x:v>
      </x:c>
      <x:c r="S53" s="346" t="str">
        <x:v>U/K</x:v>
      </x:c>
      <x:c r="T53" s="346" t="str">
        <x:v>U/K</x:v>
      </x:c>
      <x:c r="U53" s="346" t="str">
        <x:v>U/K</x:v>
      </x:c>
      <x:c r="V53" s="346" t="str">
        <x:v>U/K</x:v>
      </x:c>
      <x:c r="W53" s="346" t="str">
        <x:v>U/K</x:v>
      </x:c>
      <x:c r="X53" s="346" t="str">
        <x:v>U/K</x:v>
      </x:c>
      <x:c r="Y53" s="346" t="str">
        <x:v>U/K</x:v>
      </x:c>
      <x:c r="Z53" s="346" t="str">
        <x:v>U/K</x:v>
      </x:c>
      <x:c r="AA53" s="380" t="str">
        <x:v>Yes - built-in Ticket channel</x:v>
      </x:c>
      <x:c r="AB53" s="346" t="str">
        <x:v>U/K</x:v>
      </x:c>
      <x:c r="AC53" s="346" t="str">
        <x:v>U/K</x:v>
      </x:c>
      <x:c r="AD53" s="346" t="str">
        <x:v>U/K</x:v>
      </x:c>
      <x:c r="AE53" s="346" t="str">
        <x:v>U/K</x:v>
      </x:c>
    </x:row>
    <x:row r="54" ht="36" customHeight="1">
      <x:c r="A54" s="378" t="str">
        <x:v>Embedded App / Widget Framework</x:v>
      </x:c>
      <x:c r="B54" s="346" t="str">
        <x:v>Yes - Activities / Embedded App SDK</x:v>
      </x:c>
      <x:c r="C54" s="346" t="str">
        <x:v>U/K</x:v>
      </x:c>
      <x:c r="D54" s="346" t="str">
        <x:v>U/K</x:v>
      </x:c>
      <x:c r="E54" s="346" t="str">
        <x:v>U/K</x:v>
      </x:c>
      <x:c r="F54" s="346" t="str">
        <x:v>U/K</x:v>
      </x:c>
      <x:c r="G54" s="346" t="str">
        <x:v>Client-dependent widgets (e.g. Element)</x:v>
      </x:c>
      <x:c r="H54" s="346" t="str">
        <x:v>U/K</x:v>
      </x:c>
      <x:c r="I54" s="346" t="str">
        <x:v>U/K</x:v>
      </x:c>
      <x:c r="J54" s="346" t="str">
        <x:v>U/K</x:v>
      </x:c>
      <x:c r="K54" s="346" t="str">
        <x:v>No embedded-app framework; bots/integrations</x:v>
      </x:c>
      <x:c r="L54" s="346" t="str">
        <x:v>Yes - webapp plugins/components</x:v>
      </x:c>
      <x:c r="M54" s="346" t="str">
        <x:v>Yes - Apps-Engine/Marketplace</x:v>
      </x:c>
      <x:c r="N54" s="346" t="str">
        <x:v>U/K</x:v>
      </x:c>
      <x:c r="O54" s="346" t="str">
        <x:v>U/K</x:v>
      </x:c>
      <x:c r="P54" s="346" t="str">
        <x:v>U/K</x:v>
      </x:c>
      <x:c r="Q54" s="346" t="str">
        <x:v>U/K</x:v>
      </x:c>
      <x:c r="R54" s="346" t="str">
        <x:v>U/K</x:v>
      </x:c>
      <x:c r="S54" s="346" t="str">
        <x:v>U/K</x:v>
      </x:c>
      <x:c r="T54" s="346" t="str">
        <x:v>U/K</x:v>
      </x:c>
      <x:c r="U54" s="346" t="str">
        <x:v>U/K</x:v>
      </x:c>
      <x:c r="V54" s="346" t="str">
        <x:v>U/K</x:v>
      </x:c>
      <x:c r="W54" s="346" t="str">
        <x:v>U/K</x:v>
      </x:c>
      <x:c r="X54" s="346" t="str">
        <x:v>U/K</x:v>
      </x:c>
      <x:c r="Y54" s="346" t="str">
        <x:v>U/K</x:v>
      </x:c>
      <x:c r="Z54" s="346" t="str">
        <x:v>U/K</x:v>
      </x:c>
      <x:c r="AA54" s="380" t="str">
        <x:v>Yes - Portals + built-in workspaces</x:v>
      </x:c>
      <x:c r="AB54" s="346" t="str">
        <x:v>U/K</x:v>
      </x:c>
      <x:c r="AC54" s="346" t="str">
        <x:v>U/K</x:v>
      </x:c>
      <x:c r="AD54" s="346" t="str">
        <x:v>U/K</x:v>
      </x:c>
      <x:c r="AE54" s="346" t="str">
        <x:v>U/K</x:v>
      </x:c>
    </x:row>
    <x:row r="55" ht="36" customHeight="1">
      <x:c r="A55" s="378" t="str">
        <x:v>Saved Multi-Panel Layouts / Workspaces</x:v>
      </x:c>
      <x:c r="B55" s="346" t="str">
        <x:v>No general user-arranged workspace</x:v>
      </x:c>
      <x:c r="C55" s="346" t="str">
        <x:v>U/K</x:v>
      </x:c>
      <x:c r="D55" s="346" t="str">
        <x:v>U/K</x:v>
      </x:c>
      <x:c r="E55" s="346" t="str">
        <x:v>U/K</x:v>
      </x:c>
      <x:c r="F55" s="346" t="str">
        <x:v>U/K</x:v>
      </x:c>
      <x:c r="G55" s="346" t="str">
        <x:v>Client-dependent</x:v>
      </x:c>
      <x:c r="H55" s="346" t="str">
        <x:v>U/K</x:v>
      </x:c>
      <x:c r="I55" s="346" t="str">
        <x:v>U/K</x:v>
      </x:c>
      <x:c r="J55" s="346" t="str">
        <x:v>U/K</x:v>
      </x:c>
      <x:c r="K55" s="346" t="str">
        <x:v>U/K</x:v>
      </x:c>
      <x:c r="L55" s="346" t="str">
        <x:v>U/K</x:v>
      </x:c>
      <x:c r="M55" s="346" t="str">
        <x:v>U/K</x:v>
      </x:c>
      <x:c r="N55" s="346" t="str">
        <x:v>U/K</x:v>
      </x:c>
      <x:c r="O55" s="346" t="str">
        <x:v>U/K</x:v>
      </x:c>
      <x:c r="P55" s="346" t="str">
        <x:v>U/K</x:v>
      </x:c>
      <x:c r="Q55" s="346" t="str">
        <x:v>U/K</x:v>
      </x:c>
      <x:c r="R55" s="346" t="str">
        <x:v>U/K</x:v>
      </x:c>
      <x:c r="S55" s="346" t="str">
        <x:v>U/K</x:v>
      </x:c>
      <x:c r="T55" s="346" t="str">
        <x:v>U/K</x:v>
      </x:c>
      <x:c r="U55" s="346" t="str">
        <x:v>U/K</x:v>
      </x:c>
      <x:c r="V55" s="346" t="str">
        <x:v>U/K</x:v>
      </x:c>
      <x:c r="W55" s="346" t="str">
        <x:v>U/K</x:v>
      </x:c>
      <x:c r="X55" s="346" t="str">
        <x:v>U/K</x:v>
      </x:c>
      <x:c r="Y55" s="346" t="str">
        <x:v>U/K</x:v>
      </x:c>
      <x:c r="Z55" s="346" t="str">
        <x:v>U/K</x:v>
      </x:c>
      <x:c r="AA55" s="380" t="str">
        <x:v>Yes - drag/resize/save named layouts</x:v>
      </x:c>
      <x:c r="AB55" s="346" t="str">
        <x:v>U/K</x:v>
      </x:c>
      <x:c r="AC55" s="346" t="str">
        <x:v>U/K</x:v>
      </x:c>
      <x:c r="AD55" s="346" t="str">
        <x:v>U/K</x:v>
      </x:c>
      <x:c r="AE55" s="346" t="str">
        <x:v>U/K</x:v>
      </x:c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41">
    <x:cfRule type="expression" dxfId="18" priority="1">
      <x:formula>ISNUMBER(SEARCH("U/K",B3))</x:formula>
    </x:cfRule>
    <x:cfRule type="expression" dxfId="19" priority="2">
      <x:formula>OR(B3="N/A",LEFT(B3,4)="N/A ")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0" hidden="0" customWidth="1"/>
    <x:col min="3" max="3" width="7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40" hidden="0" customWidth="1"/>
    <x:col min="9" max="9" width="40" hidden="0" customWidth="1"/>
    <x:col min="10" max="10" width="40" hidden="0" customWidth="1"/>
    <x:col min="11" max="11" width="40" hidden="0" customWidth="1"/>
    <x:col min="12" max="12" width="40" hidden="0" customWidth="1"/>
    <x:col min="13" max="13" width="40" hidden="0" customWidth="1"/>
    <x:col min="14" max="14" width="40" hidden="0" customWidth="1"/>
    <x:col min="15" max="15" width="40" hidden="0" customWidth="1"/>
    <x:col min="16" max="16" width="40" hidden="0" customWidth="1"/>
    <x:col min="17" max="17" width="40" hidden="0" customWidth="1"/>
    <x:col min="18" max="18" width="40" hidden="0" customWidth="1"/>
    <x:col min="19" max="19" width="40" hidden="0" customWidth="1"/>
    <x:col min="20" max="20" width="40" hidden="0" customWidth="1"/>
    <x:col min="21" max="21" width="40" hidden="0" customWidth="1"/>
    <x:col min="22" max="22" width="40" hidden="0" customWidth="1"/>
    <x:col min="23" max="23" width="40" hidden="0" customWidth="1"/>
    <x:col min="24" max="24" width="40" hidden="0" customWidth="1"/>
    <x:col min="25" max="25" width="40" hidden="0" customWidth="1"/>
    <x:col min="26" max="26" width="40" hidden="0" customWidth="1"/>
    <x:col min="27" max="27" width="40" hidden="0" customWidth="1"/>
    <x:col min="28" max="28" width="40" hidden="0" customWidth="1"/>
    <x:col min="29" max="29" width="40" hidden="0" customWidth="1"/>
    <x:col min="30" max="30" width="40" hidden="0" customWidth="1"/>
    <x:col min="31" max="31" width="40" hidden="0" customWidth="1"/>
  </x:cols>
  <x:sheetData>
    <x:row r="1" ht="28" customHeight="1">
      <x:c r="A1" s="437" t="str">
        <x:v>Comparison Guide - field conventions and modeling rules</x:v>
      </x:c>
      <x:c r="B1" s="437"/>
      <x:c r="C1" s="437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</x:row>
    <x:row r="2" ht="34" customHeight="1">
      <x:c r="A2" s="420" t="str">
        <x:v>Term / Rule</x:v>
      </x:c>
      <x:c r="B2" s="420" t="str">
        <x:v>Meaning</x:v>
      </x:c>
      <x:c r="C2" s="420" t="str">
        <x:v>How it is used in this workbook</x:v>
      </x:c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 ht="34" customHeight="1">
      <x:c r="A3" s="346" t="str">
        <x:v>U/K</x:v>
      </x:c>
      <x:c r="B3" s="346" t="str">
        <x:v>Unknown / not sufficiently publicly verifiable</x:v>
      </x:c>
      <x:c r="C3" s="346" t="str">
        <x:v>Used instead of guessing. A project may support the feature, but there was not enough reliable public evidence to state it.</x:v>
      </x:c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4"/>
      <x:c r="Z3" s="24"/>
      <x:c r="AA3" s="24"/>
      <x:c r="AB3" s="24"/>
      <x:c r="AC3" s="24"/>
      <x:c r="AD3" s="24"/>
      <x:c r="AE3" s="24"/>
    </x:row>
    <x:row r="4" ht="34" customHeight="1">
      <x:c r="A4" s="346" t="str">
        <x:v>N/A</x:v>
      </x:c>
      <x:c r="B4" s="346" t="str">
        <x:v>Not applicable / feature or tier does not exist</x:v>
      </x:c>
      <x:c r="C4" s="346" t="str">
        <x:v>Used when the category genuinely does not apply, such as 4K access on a voice-only platform or paid-tier rows for a platform with no fixed paid tier.</x:v>
      </x:c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</x:row>
    <x:row r="5" ht="34" customHeight="1">
      <x:c r="A5" s="346" t="str">
        <x:v>Yes</x:v>
      </x:c>
      <x:c r="B5" s="346" t="str">
        <x:v>Verified available</x:v>
      </x:c>
      <x:c r="C5" s="346" t="str">
        <x:v>May still have plan, client, deployment, or implementation qualifiers in adjacent rows.</x:v>
      </x:c>
      <x:c r="D5" s="24"/>
      <x:c r="E5" s="24"/>
      <x:c r="F5" s="24"/>
      <x:c r="G5" s="24"/>
      <x:c r="H5" s="24"/>
      <x:c r="I5" s="24"/>
      <x:c r="J5" s="24"/>
      <x:c r="K5" s="24"/>
      <x:c r="L5" s="24"/>
      <x:c r="M5" s="24"/>
      <x:c r="N5" s="24"/>
      <x:c r="O5" s="24"/>
      <x:c r="P5" s="24"/>
      <x:c r="Q5" s="24"/>
      <x:c r="R5" s="24"/>
      <x:c r="S5" s="24"/>
      <x:c r="T5" s="24"/>
      <x:c r="U5" s="24"/>
      <x:c r="V5" s="24"/>
      <x:c r="W5" s="24"/>
      <x:c r="X5" s="24"/>
      <x:c r="Y5" s="24"/>
      <x:c r="Z5" s="24"/>
      <x:c r="AA5" s="24"/>
      <x:c r="AB5" s="24"/>
      <x:c r="AC5" s="24"/>
      <x:c r="AD5" s="24"/>
      <x:c r="AE5" s="24"/>
    </x:row>
    <x:row r="6" ht="34" customHeight="1">
      <x:c r="A6" s="346" t="str">
        <x:v>No</x:v>
      </x:c>
      <x:c r="B6" s="346" t="str">
        <x:v>Verified unavailable / not supported</x:v>
      </x:c>
      <x:c r="C6" s="346" t="str">
        <x:v>Different from U/K.</x:v>
      </x:c>
      <x:c r="D6" s="24"/>
      <x:c r="E6" s="24"/>
      <x:c r="F6" s="24"/>
      <x:c r="G6" s="24"/>
      <x:c r="H6" s="24"/>
      <x:c r="I6" s="24"/>
      <x:c r="J6" s="24"/>
      <x:c r="K6" s="24"/>
      <x:c r="L6" s="24"/>
      <x:c r="M6" s="24"/>
      <x:c r="N6" s="24"/>
      <x:c r="O6" s="24"/>
      <x:c r="P6" s="24"/>
      <x:c r="Q6" s="24"/>
      <x:c r="R6" s="24"/>
      <x:c r="S6" s="24"/>
      <x:c r="T6" s="24"/>
      <x:c r="U6" s="24"/>
      <x:c r="V6" s="24"/>
      <x:c r="W6" s="24"/>
      <x:c r="X6" s="24"/>
      <x:c r="Y6" s="24"/>
      <x:c r="Z6" s="24"/>
      <x:c r="AA6" s="24"/>
      <x:c r="AB6" s="24"/>
      <x:c r="AC6" s="24"/>
      <x:c r="AD6" s="24"/>
      <x:c r="AE6" s="24"/>
    </x:row>
    <x:row r="7" ht="34" customHeight="1">
      <x:c r="A7" s="346" t="str">
        <x:v>Free</x:v>
      </x:c>
      <x:c r="B7" s="346" t="str">
        <x:v>Available without a paid subscription</x:v>
      </x:c>
      <x:c r="C7" s="346" t="str">
        <x:v>Self-host infrastructure costs are separate from software subscription price.</x:v>
      </x:c>
      <x:c r="D7" s="24"/>
      <x:c r="E7" s="24"/>
      <x:c r="F7" s="24"/>
      <x:c r="G7" s="24"/>
      <x:c r="H7" s="24"/>
      <x:c r="I7" s="24"/>
      <x:c r="J7" s="24"/>
      <x:c r="K7" s="24"/>
      <x:c r="L7" s="24"/>
      <x:c r="M7" s="24"/>
      <x:c r="N7" s="24"/>
      <x:c r="O7" s="24"/>
      <x:c r="P7" s="24"/>
      <x:c r="Q7" s="24"/>
      <x:c r="R7" s="24"/>
      <x:c r="S7" s="24"/>
      <x:c r="T7" s="24"/>
      <x:c r="U7" s="24"/>
      <x:c r="V7" s="24"/>
      <x:c r="W7" s="24"/>
      <x:c r="X7" s="24"/>
      <x:c r="Y7" s="24"/>
      <x:c r="Z7" s="24"/>
      <x:c r="AA7" s="24"/>
      <x:c r="AB7" s="24"/>
      <x:c r="AC7" s="24"/>
      <x:c r="AD7" s="24"/>
      <x:c r="AE7" s="24"/>
    </x:row>
    <x:row r="8" ht="34" customHeight="1">
      <x:c r="A8" s="346" t="str">
        <x:v>Paid</x:v>
      </x:c>
      <x:c r="B8" s="346" t="str">
        <x:v>Requires a named paid entitlement</x:v>
      </x:c>
      <x:c r="C8" s="346" t="str">
        <x:v>The corresponding tier name and price should be listed in Pricing &amp; Tiers when public.</x:v>
      </x:c>
      <x:c r="D8" s="24"/>
      <x:c r="E8" s="24"/>
      <x:c r="F8" s="24"/>
      <x:c r="G8" s="24"/>
      <x:c r="H8" s="24"/>
      <x:c r="I8" s="24"/>
      <x:c r="J8" s="24"/>
      <x:c r="K8" s="24"/>
      <x:c r="L8" s="24"/>
      <x:c r="M8" s="24"/>
      <x:c r="N8" s="24"/>
      <x:c r="O8" s="24"/>
      <x:c r="P8" s="24"/>
      <x:c r="Q8" s="24"/>
      <x:c r="R8" s="24"/>
      <x:c r="S8" s="24"/>
      <x:c r="T8" s="24"/>
      <x:c r="U8" s="24"/>
      <x:c r="V8" s="24"/>
      <x:c r="W8" s="24"/>
      <x:c r="X8" s="24"/>
      <x:c r="Y8" s="24"/>
      <x:c r="Z8" s="24"/>
      <x:c r="AA8" s="24"/>
      <x:c r="AB8" s="24"/>
      <x:c r="AC8" s="24"/>
      <x:c r="AD8" s="24"/>
      <x:c r="AE8" s="24"/>
    </x:row>
    <x:row r="9" ht="34" customHeight="1">
      <x:c r="A9" s="346" t="str">
        <x:v>Configurable</x:v>
      </x:c>
      <x:c r="B9" s="346" t="str">
        <x:v>Operator/server/provider controls the value</x:v>
      </x:c>
      <x:c r="C9" s="346" t="str">
        <x:v>Common for self-hosted platforms.</x:v>
      </x:c>
      <x:c r="D9" s="24"/>
      <x:c r="E9" s="24"/>
      <x:c r="F9" s="24"/>
      <x:c r="G9" s="24"/>
      <x:c r="H9" s="24"/>
      <x:c r="I9" s="24"/>
      <x:c r="J9" s="24"/>
      <x:c r="K9" s="24"/>
      <x:c r="L9" s="24"/>
      <x:c r="M9" s="24"/>
      <x:c r="N9" s="24"/>
      <x:c r="O9" s="24"/>
      <x:c r="P9" s="24"/>
      <x:c r="Q9" s="24"/>
      <x:c r="R9" s="24"/>
      <x:c r="S9" s="24"/>
      <x:c r="T9" s="24"/>
      <x:c r="U9" s="24"/>
      <x:c r="V9" s="24"/>
      <x:c r="W9" s="24"/>
      <x:c r="X9" s="24"/>
      <x:c r="Y9" s="24"/>
      <x:c r="Z9" s="24"/>
      <x:c r="AA9" s="24"/>
      <x:c r="AB9" s="24"/>
      <x:c r="AC9" s="24"/>
      <x:c r="AD9" s="24"/>
      <x:c r="AE9" s="24"/>
    </x:row>
    <x:row r="10" ht="34" customHeight="1">
      <x:c r="A10" s="346" t="str">
        <x:v>Provider-dependent / Client-dependent</x:v>
      </x:c>
      <x:c r="B10" s="346" t="str">
        <x:v>No single platform-wide answer</x:v>
      </x:c>
      <x:c r="C10" s="346" t="str">
        <x:v>Especially important for Matrix and other ecosystems with multiple clients/providers.</x:v>
      </x:c>
      <x:c r="D10" s="24"/>
      <x:c r="E10" s="24"/>
      <x:c r="F10" s="24"/>
      <x:c r="G10" s="24"/>
      <x:c r="H10" s="24"/>
      <x:c r="I10" s="24"/>
      <x:c r="J10" s="24"/>
      <x:c r="K10" s="24"/>
      <x:c r="L10" s="24"/>
      <x:c r="M10" s="24"/>
      <x:c r="N10" s="24"/>
      <x:c r="O10" s="24"/>
      <x:c r="P10" s="24"/>
      <x:c r="Q10" s="24"/>
      <x:c r="R10" s="24"/>
      <x:c r="S10" s="24"/>
      <x:c r="T10" s="24"/>
      <x:c r="U10" s="24"/>
      <x:c r="V10" s="24"/>
      <x:c r="W10" s="24"/>
      <x:c r="X10" s="24"/>
      <x:c r="Y10" s="24"/>
      <x:c r="Z10" s="24"/>
      <x:c r="AA10" s="24"/>
      <x:c r="AB10" s="24"/>
      <x:c r="AC10" s="24"/>
      <x:c r="AD10" s="24"/>
      <x:c r="AE10" s="24"/>
    </x:row>
    <x:row r="11" ht="34" customHeight="1">
      <x:c r="A11" s="346" t="str">
        <x:v>Matrix</x:v>
      </x:c>
      <x:c r="B11" s="346" t="str">
        <x:v>Matrix is the protocol/ecosystem, not Element</x:v>
      </x:c>
      <x:c r="C11" s="346" t="str">
        <x:v>Element/Element X are example clients. Client limits and provider pricing are not attributed to Matrix itself.</x:v>
      </x:c>
      <x:c r="D11" s="24"/>
      <x:c r="E11" s="24"/>
      <x:c r="F11" s="24"/>
      <x:c r="G11" s="24"/>
      <x:c r="H11" s="24"/>
      <x:c r="I11" s="24"/>
      <x:c r="J11" s="24"/>
      <x:c r="K11" s="24"/>
      <x:c r="L11" s="24"/>
      <x:c r="M11" s="24"/>
      <x:c r="N11" s="24"/>
      <x:c r="O11" s="24"/>
      <x:c r="P11" s="24"/>
      <x:c r="Q11" s="24"/>
      <x:c r="R11" s="24"/>
      <x:c r="S11" s="24"/>
      <x:c r="T11" s="24"/>
      <x:c r="U11" s="24"/>
      <x:c r="V11" s="24"/>
      <x:c r="W11" s="24"/>
      <x:c r="X11" s="24"/>
      <x:c r="Y11" s="24"/>
      <x:c r="Z11" s="24"/>
      <x:c r="AA11" s="24"/>
      <x:c r="AB11" s="24"/>
      <x:c r="AC11" s="24"/>
      <x:c r="AD11" s="24"/>
      <x:c r="AE11" s="24"/>
    </x:row>
    <x:row r="12" ht="34" customHeight="1">
      <x:c r="A12" s="346" t="str">
        <x:v>Harmony / Fermi</x:v>
      </x:c>
      <x:c r="B12" s="346" t="str">
        <x:v>Harmony is the platform/server; Fermi is a client</x:v>
      </x:c>
      <x:c r="C12" s="346" t="str">
        <x:v>The workbook keeps platform and client identities separate.</x:v>
      </x:c>
      <x:c r="D12" s="24"/>
      <x:c r="E12" s="24"/>
      <x:c r="F12" s="24"/>
      <x:c r="G12" s="24"/>
      <x:c r="H12" s="24"/>
      <x:c r="I12" s="24"/>
      <x:c r="J12" s="24"/>
      <x:c r="K12" s="24"/>
      <x:c r="L12" s="24"/>
      <x:c r="M12" s="24"/>
      <x:c r="N12" s="24"/>
      <x:c r="O12" s="24"/>
      <x:c r="P12" s="24"/>
      <x:c r="Q12" s="24"/>
      <x:c r="R12" s="24"/>
      <x:c r="S12" s="24"/>
      <x:c r="T12" s="24"/>
      <x:c r="U12" s="24"/>
      <x:c r="V12" s="24"/>
      <x:c r="W12" s="24"/>
      <x:c r="X12" s="24"/>
      <x:c r="Y12" s="24"/>
      <x:c r="Z12" s="24"/>
      <x:c r="AA12" s="24"/>
      <x:c r="AB12" s="24"/>
      <x:c r="AC12" s="24"/>
      <x:c r="AD12" s="24"/>
      <x:c r="AE12" s="24"/>
    </x:row>
    <x:row r="13" ht="34" customHeight="1">
      <x:c r="A13" s="346" t="str">
        <x:v>Self-hosting vs Federation</x:v>
      </x:c>
      <x:c r="B13" s="346" t="str">
        <x:v>Independent self-hosted copies do not automatically interoperate</x:v>
      </x:c>
      <x:c r="C13" s="346" t="str">
        <x:v>A platform can be self-hostable and still be non-federated.</x:v>
      </x:c>
      <x:c r="D13" s="24"/>
      <x:c r="E13" s="24"/>
      <x:c r="F13" s="24"/>
      <x:c r="G13" s="24"/>
      <x:c r="H13" s="24"/>
      <x:c r="I13" s="24"/>
      <x:c r="J13" s="24"/>
      <x:c r="K13" s="24"/>
      <x:c r="L13" s="24"/>
      <x:c r="M13" s="24"/>
      <x:c r="N13" s="24"/>
      <x:c r="O13" s="24"/>
      <x:c r="P13" s="24"/>
      <x:c r="Q13" s="24"/>
      <x:c r="R13" s="24"/>
      <x:c r="S13" s="24"/>
      <x:c r="T13" s="24"/>
      <x:c r="U13" s="24"/>
      <x:c r="V13" s="24"/>
      <x:c r="W13" s="24"/>
      <x:c r="X13" s="24"/>
      <x:c r="Y13" s="24"/>
      <x:c r="Z13" s="24"/>
      <x:c r="AA13" s="24"/>
      <x:c r="AB13" s="24"/>
      <x:c r="AC13" s="24"/>
      <x:c r="AD13" s="24"/>
      <x:c r="AE13" s="24"/>
    </x:row>
    <x:row r="14" ht="34" customHeight="1">
      <x:c r="A14" s="346" t="str">
        <x:v>Open Source vs Federation</x:v>
      </x:c>
      <x:c r="B14" s="346" t="str">
        <x:v>Open source does not imply a shared network</x:v>
      </x:c>
      <x:c r="C14" s="346" t="str">
        <x:v>Licensing and network topology are tracked separately.</x:v>
      </x:c>
      <x:c r="D14" s="24"/>
      <x:c r="E14" s="24"/>
      <x:c r="F14" s="24"/>
      <x:c r="G14" s="24"/>
      <x:c r="H14" s="24"/>
      <x:c r="I14" s="24"/>
      <x:c r="J14" s="24"/>
      <x:c r="K14" s="24"/>
      <x:c r="L14" s="24"/>
      <x:c r="M14" s="24"/>
      <x:c r="N14" s="24"/>
      <x:c r="O14" s="24"/>
      <x:c r="P14" s="24"/>
      <x:c r="Q14" s="24"/>
      <x:c r="R14" s="24"/>
      <x:c r="S14" s="24"/>
      <x:c r="T14" s="24"/>
      <x:c r="U14" s="24"/>
      <x:c r="V14" s="24"/>
      <x:c r="W14" s="24"/>
      <x:c r="X14" s="24"/>
      <x:c r="Y14" s="24"/>
      <x:c r="Z14" s="24"/>
      <x:c r="AA14" s="24"/>
      <x:c r="AB14" s="24"/>
      <x:c r="AC14" s="24"/>
      <x:c r="AD14" s="24"/>
      <x:c r="AE14" s="24"/>
    </x:row>
    <x:row r="15" ht="34" customHeight="1">
      <x:c r="A15" s="346" t="str">
        <x:v>Paid Tier Count</x:v>
      </x:c>
      <x:c r="B15" s="346" t="str">
        <x:v>Counts public fixed-price subscription/service tiers</x:v>
      </x:c>
      <x:c r="C15" s="346" t="str">
        <x:v>Enterprise/custom-quote tiers are tracked separately and not silently counted as a fixed-price tier.</x:v>
      </x:c>
      <x:c r="D15" s="24"/>
      <x:c r="E15" s="24"/>
      <x:c r="F15" s="24"/>
      <x:c r="G15" s="24"/>
      <x:c r="H15" s="24"/>
      <x:c r="I15" s="24"/>
      <x:c r="J15" s="24"/>
      <x:c r="K15" s="24"/>
      <x:c r="L15" s="24"/>
      <x:c r="M15" s="24"/>
      <x:c r="N15" s="24"/>
      <x:c r="O15" s="24"/>
      <x:c r="P15" s="24"/>
      <x:c r="Q15" s="24"/>
      <x:c r="R15" s="24"/>
      <x:c r="S15" s="24"/>
      <x:c r="T15" s="24"/>
      <x:c r="U15" s="24"/>
      <x:c r="V15" s="24"/>
      <x:c r="W15" s="24"/>
      <x:c r="X15" s="24"/>
      <x:c r="Y15" s="24"/>
      <x:c r="Z15" s="24"/>
      <x:c r="AA15" s="24"/>
      <x:c r="AB15" s="24"/>
      <x:c r="AC15" s="24"/>
      <x:c r="AD15" s="24"/>
      <x:c r="AE15" s="24"/>
    </x:row>
    <x:row r="16" ht="34" customHeight="1">
      <x:c r="A16" s="346" t="str">
        <x:v>Contact Sales</x:v>
      </x:c>
      <x:c r="B16" s="346" t="str">
        <x:v>A paid tier exists but no public fixed price is published</x:v>
      </x:c>
      <x:c r="C16" s="346" t="str">
        <x:v>This is not U/K: the pricing model itself is known to be quote-based.</x:v>
      </x:c>
      <x:c r="D16" s="24"/>
      <x:c r="E16" s="24"/>
      <x:c r="F16" s="24"/>
      <x:c r="G16" s="24"/>
      <x:c r="H16" s="24"/>
      <x:c r="I16" s="24"/>
      <x:c r="J16" s="24"/>
      <x:c r="K16" s="24"/>
      <x:c r="L16" s="24"/>
      <x:c r="M16" s="24"/>
      <x:c r="N16" s="24"/>
      <x:c r="O16" s="24"/>
      <x:c r="P16" s="24"/>
      <x:c r="Q16" s="24"/>
      <x:c r="R16" s="24"/>
      <x:c r="S16" s="24"/>
      <x:c r="T16" s="24"/>
      <x:c r="U16" s="24"/>
      <x:c r="V16" s="24"/>
      <x:c r="W16" s="24"/>
      <x:c r="X16" s="24"/>
      <x:c r="Y16" s="24"/>
      <x:c r="Z16" s="24"/>
      <x:c r="AA16" s="24"/>
      <x:c r="AB16" s="24"/>
      <x:c r="AC16" s="24"/>
      <x:c r="AD16" s="24"/>
      <x:c r="AE16" s="24"/>
    </x:row>
    <x:row r="17" ht="34" customHeight="1">
      <x:c r="A17" s="346" t="str">
        <x:v>Monthly vs Annual</x:v>
      </x:c>
      <x:c r="B17" s="346" t="str">
        <x:v>Monthly and annual prices are separate fields</x:v>
      </x:c>
      <x:c r="C17" s="346" t="str">
        <x:v>Annual price is not guessed from monthly price unless the provider publishes it.</x:v>
      </x:c>
      <x:c r="D17" s="24"/>
      <x:c r="E17" s="24"/>
      <x:c r="F17" s="24"/>
      <x:c r="G17" s="24"/>
      <x:c r="H17" s="24"/>
      <x:c r="I17" s="24"/>
      <x:c r="J17" s="24"/>
      <x:c r="K17" s="24"/>
      <x:c r="L17" s="24"/>
      <x:c r="M17" s="24"/>
      <x:c r="N17" s="24"/>
      <x:c r="O17" s="24"/>
      <x:c r="P17" s="24"/>
      <x:c r="Q17" s="24"/>
      <x:c r="R17" s="24"/>
      <x:c r="S17" s="24"/>
      <x:c r="T17" s="24"/>
      <x:c r="U17" s="24"/>
      <x:c r="V17" s="24"/>
      <x:c r="W17" s="24"/>
      <x:c r="X17" s="24"/>
      <x:c r="Y17" s="24"/>
      <x:c r="Z17" s="24"/>
      <x:c r="AA17" s="24"/>
      <x:c r="AB17" s="24"/>
      <x:c r="AC17" s="24"/>
      <x:c r="AD17" s="24"/>
      <x:c r="AE17" s="24"/>
    </x:row>
    <x:row r="18" ht="34" customHeight="1">
      <x:c r="A18" s="346" t="str">
        <x:v>Server-Wide vs Per-User</x:v>
      </x:c>
      <x:c r="B18" s="346" t="str">
        <x:v>Who pays and who receives the entitlement</x:v>
      </x:c>
      <x:c r="C18" s="346" t="str">
        <x:v>Examples: Discord Nitro is personal; Server Boosts are server-wide. GameVox paid tiers are server-wide.</x:v>
      </x:c>
      <x:c r="D18" s="24"/>
      <x:c r="E18" s="24"/>
      <x:c r="F18" s="24"/>
      <x:c r="G18" s="24"/>
      <x:c r="H18" s="24"/>
      <x:c r="I18" s="24"/>
      <x:c r="J18" s="24"/>
      <x:c r="K18" s="24"/>
      <x:c r="L18" s="24"/>
      <x:c r="M18" s="24"/>
      <x:c r="N18" s="24"/>
      <x:c r="O18" s="24"/>
      <x:c r="P18" s="24"/>
      <x:c r="Q18" s="24"/>
      <x:c r="R18" s="24"/>
      <x:c r="S18" s="24"/>
      <x:c r="T18" s="24"/>
      <x:c r="U18" s="24"/>
      <x:c r="V18" s="24"/>
      <x:c r="W18" s="24"/>
      <x:c r="X18" s="24"/>
      <x:c r="Y18" s="24"/>
      <x:c r="Z18" s="24"/>
      <x:c r="AA18" s="24"/>
      <x:c r="AB18" s="24"/>
      <x:c r="AC18" s="24"/>
      <x:c r="AD18" s="24"/>
      <x:c r="AE18" s="24"/>
    </x:row>
    <x:row r="19" ht="34" customHeight="1">
      <x:c r="A19" s="346" t="str">
        <x:v>Primary Sources</x:v>
      </x:c>
      <x:c r="B19" s="346" t="str">
        <x:v>Official site, docs, pricing page, privacy policy, or source repository</x:v>
      </x:c>
      <x:c r="C19" s="346" t="str">
        <x:v>Primary sources are preferred for facts and current limits.</x:v>
      </x:c>
      <x:c r="D19" s="24"/>
      <x:c r="E19" s="24"/>
      <x:c r="F19" s="24"/>
      <x:c r="G19" s="24"/>
      <x:c r="H19" s="24"/>
      <x:c r="I19" s="24"/>
      <x:c r="J19" s="24"/>
      <x:c r="K19" s="24"/>
      <x:c r="L19" s="24"/>
      <x:c r="M19" s="24"/>
      <x:c r="N19" s="24"/>
      <x:c r="O19" s="24"/>
      <x:c r="P19" s="24"/>
      <x:c r="Q19" s="24"/>
      <x:c r="R19" s="24"/>
      <x:c r="S19" s="24"/>
      <x:c r="T19" s="24"/>
      <x:c r="U19" s="24"/>
      <x:c r="V19" s="24"/>
      <x:c r="W19" s="24"/>
      <x:c r="X19" s="24"/>
      <x:c r="Y19" s="24"/>
      <x:c r="Z19" s="24"/>
      <x:c r="AA19" s="24"/>
      <x:c r="AB19" s="24"/>
      <x:c r="AC19" s="24"/>
      <x:c r="AD19" s="24"/>
      <x:c r="AE19" s="24"/>
    </x:row>
    <x:row r="20" ht="34" customHeight="1">
      <x:c r="A20" s="346" t="str">
        <x:v>Subreddit Use</x:v>
      </x:c>
      <x:c r="B20" s="346" t="str">
        <x:v>r/discordalternatives is used for discovery and community context</x:v>
      </x:c>
      <x:c r="C20" s="346" t="str">
        <x:v>Subreddit claims are not treated as technical facts unless independently verified.</x:v>
      </x:c>
      <x:c r="D20" s="24"/>
      <x:c r="E20" s="24"/>
      <x:c r="F20" s="24"/>
      <x:c r="G20" s="24"/>
      <x:c r="H20" s="24"/>
      <x:c r="I20" s="24"/>
      <x:c r="J20" s="24"/>
      <x:c r="K20" s="24"/>
      <x:c r="L20" s="24"/>
      <x:c r="M20" s="24"/>
      <x:c r="N20" s="24"/>
      <x:c r="O20" s="24"/>
      <x:c r="P20" s="24"/>
      <x:c r="Q20" s="24"/>
      <x:c r="R20" s="24"/>
      <x:c r="S20" s="24"/>
      <x:c r="T20" s="24"/>
      <x:c r="U20" s="24"/>
      <x:c r="V20" s="24"/>
      <x:c r="W20" s="24"/>
      <x:c r="X20" s="24"/>
      <x:c r="Y20" s="24"/>
      <x:c r="Z20" s="24"/>
      <x:c r="AA20" s="24"/>
      <x:c r="AB20" s="24"/>
      <x:c r="AC20" s="24"/>
      <x:c r="AD20" s="24"/>
      <x:c r="AE20" s="24"/>
    </x:row>
    <x:row r="21" ht="34" customHeight="1">
      <x:c r="A21" s="346" t="str">
        <x:v>Unknown Handling</x:v>
      </x:c>
      <x:c r="B21" s="346" t="str">
        <x:v>No unsupported inference</x:v>
      </x:c>
      <x:c r="C21" s="346" t="str">
        <x:v>If a technical limit, price, audit, or policy is not verifiable, the cell remains U/K.</x:v>
      </x:c>
      <x:c r="D21" s="24"/>
      <x:c r="E21" s="24"/>
      <x:c r="F21" s="24"/>
      <x:c r="G21" s="24"/>
      <x:c r="H21" s="24"/>
      <x:c r="I21" s="24"/>
      <x:c r="J21" s="24"/>
      <x:c r="K21" s="24"/>
      <x:c r="L21" s="24"/>
      <x:c r="M21" s="24"/>
      <x:c r="N21" s="24"/>
      <x:c r="O21" s="24"/>
      <x:c r="P21" s="24"/>
      <x:c r="Q21" s="24"/>
      <x:c r="R21" s="24"/>
      <x:c r="S21" s="24"/>
      <x:c r="T21" s="24"/>
      <x:c r="U21" s="24"/>
      <x:c r="V21" s="24"/>
      <x:c r="W21" s="24"/>
      <x:c r="X21" s="24"/>
      <x:c r="Y21" s="24"/>
      <x:c r="Z21" s="24"/>
      <x:c r="AA21" s="24"/>
      <x:c r="AB21" s="24"/>
      <x:c r="AC21" s="24"/>
      <x:c r="AD21" s="24"/>
      <x:c r="AE21" s="24"/>
    </x:row>
    <x:row r="22" ht="34" customHeight="1">
      <x:c r="A22" s="346" t="str">
        <x:v>As-of Date</x:v>
      </x:c>
      <x:c r="B22" s="346" t="str">
        <x:v>2026-09-15</x:v>
      </x:c>
      <x:c r="C22" s="346" t="str">
        <x:v>Pricing, product status, and limits are time-sensitive and should be rechecked when used later.</x:v>
      </x:c>
      <x:c r="D22" s="24"/>
      <x:c r="E22" s="24"/>
      <x:c r="F22" s="24"/>
      <x:c r="G22" s="24"/>
      <x:c r="H22" s="24"/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24"/>
      <x:c r="T22" s="24"/>
      <x:c r="U22" s="24"/>
      <x:c r="V22" s="24"/>
      <x:c r="W22" s="24"/>
      <x:c r="X22" s="24"/>
      <x:c r="Y22" s="24"/>
      <x:c r="Z22" s="24"/>
      <x:c r="AA22" s="24"/>
      <x:c r="AB22" s="24"/>
      <x:c r="AC22" s="24"/>
      <x:c r="AD22" s="24"/>
      <x:c r="AE22" s="24"/>
    </x:row>
    <x:row r="23" ht="34" customHeight="1">
      <x:c r="A23" s="346" t="str">
        <x:v>Partial</x:v>
      </x:c>
      <x:c r="B23" s="346" t="str">
        <x:v>The feature exists but does not match the full comparison concept</x:v>
      </x:c>
      <x:c r="C23" s="346" t="str">
        <x:v>Used when a platform has an adjacent capability (for example Discord Forum Gallery View instead of a dedicated Gallery channel).</x:v>
      </x:c>
    </x:row>
    <x:row r="24" ht="34" customHeight="1">
      <x:c r="A24" s="346" t="str">
        <x:v>Experimental</x:v>
      </x:c>
      <x:c r="B24" s="346" t="str">
        <x:v>Feature is publicly available or documented as experimental/testing</x:v>
      </x:c>
      <x:c r="C24" s="346" t="str">
        <x:v>Kept distinct from stable Yes so maturity is not overstated.</x:v>
      </x:c>
    </x:row>
    <x:row r="25" ht="34" customHeight="1">
      <x:c r="A25" s="346" t="str">
        <x:v>Planned / Soon</x:v>
      </x:c>
      <x:c r="B25" s="346" t="str">
        <x:v>Provider publicly documents the feature but it is not generally available yet</x:v>
      </x:c>
      <x:c r="C25" s="346" t="str">
        <x:v>Not counted as currently available.</x:v>
      </x:c>
    </x:row>
    <x:row r="26" ht="34" customHeight="1">
      <x:c r="A26" s="346" t="str">
        <x:v>Native / Built-in</x:v>
      </x:c>
      <x:c r="B26" s="346" t="str">
        <x:v>Implemented by the platform itself without requiring an external bot or integration</x:v>
      </x:c>
      <x:c r="C26" s="346" t="str">
        <x:v>Used heavily in Channel Types and Extra Features.</x:v>
      </x:c>
    </x:row>
    <x:row r="27" ht="34" customHeight="1">
      <x:c r="A27" s="346" t="str">
        <x:v>App / Bot / Integration</x:v>
      </x:c>
      <x:c r="B27" s="346" t="str">
        <x:v>Capability can be added through an extension rather than being native</x:v>
      </x:c>
      <x:c r="C27" s="346" t="str">
        <x:v>Not treated as equivalent to a native channel type unless explicitly stated.</x:v>
      </x:c>
    </x:row>
    <x:row r="28" ht="34" customHeight="1">
      <x:c r="A28" s="346" t="str">
        <x:v>Embedded App</x:v>
      </x:c>
      <x:c r="B28" s="346" t="str">
        <x:v>An interactive UI/app that runs inside or alongside the chat client</x:v>
      </x:c>
      <x:c r="C28" s="346" t="str">
        <x:v>Separated into its own Embedded Apps sheet; distinct from message-only bots/webhooks.</x:v>
      </x:c>
    </x:row>
    <x:row r="29" ht="34" customHeight="1">
      <x:c r="A29" s="346" t="str">
        <x:v>Channel Type vs Feature</x:v>
      </x:c>
      <x:c r="B29" s="346" t="str">
        <x:v>A channel type is a persistent structured space represented in the channel/navigation model</x:v>
      </x:c>
      <x:c r="C29" s="346" t="str">
        <x:v>Poll messages, scheduled events, widgets, or bot workflows are not automatically counted as channel types.</x:v>
      </x:c>
    </x:row>
    <x:row r="30" ht="34" customHeight="1">
      <x:c r="A30" s="346" t="str">
        <x:v>Client-dependent</x:v>
      </x:c>
      <x:c r="B30" s="346" t="str">
        <x:v>Feature is implemented by particular clients rather than guaranteed by the protocol/platform</x:v>
      </x:c>
      <x:c r="C30" s="346" t="str">
        <x:v>Especially important for Matrix widgets, media capabilities, and UI features.</x:v>
      </x:c>
    </x:row>
    <x:row r="31" ht="34" customHeight="1">
      <x:c r="A31" s="346" t="str">
        <x:v>Provider-dependent</x:v>
      </x:c>
      <x:c r="B31" s="346" t="str">
        <x:v>Feature varies by hosted provider or self-host operator</x:v>
      </x:c>
      <x:c r="C31" s="346" t="str">
        <x:v>Used for federated/self-host ecosystems where no single platform-wide value exists.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2" max="2" width="20" hidden="0" customWidth="1"/>
    <x:col min="3" max="3" width="20" hidden="0" customWidth="1"/>
    <x:col min="4" max="4" width="20" hidden="0" customWidth="1"/>
    <x:col min="5" max="8" width="26.140625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" max="1" width="36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Core Features - expanded communication, content, and project baseline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v>Discord</x:v>
      </x:c>
      <x:c r="C2" s="376" t="str">
        <x:v>Stoat</x:v>
      </x:c>
      <x:c r="D2" s="376" t="str">
        <x:v>Fenrid</x:v>
      </x:c>
      <x:c r="E2" s="376" t="str">
        <x:v>Fluxer</x:v>
      </x:c>
      <x:c r="F2" s="376" t="str">
        <x:v>Root</x:v>
      </x:c>
      <x:c r="G2" s="376" t="str">
        <x:v>Matrix</x:v>
      </x:c>
      <x:c r="H2" s="376" t="str">
        <x:v>Spacebar</x:v>
      </x:c>
      <x:c r="I2" s="376" t="str">
        <x:v>Mumble</x:v>
      </x:c>
      <x:c r="J2" s="376" t="str">
        <x:v>TeamSpeak</x:v>
      </x:c>
      <x:c r="K2" s="377" t="str">
        <x:v>Zulip</x:v>
      </x:c>
      <x:c r="L2" s="376" t="str">
        <x:v>Mattermost</x:v>
      </x:c>
      <x:c r="M2" s="376" t="str">
        <x:v>Rocket.Chat</x:v>
      </x:c>
      <x:c r="N2" s="376" t="str">
        <x:v>GameVox</x:v>
      </x:c>
      <x:c r="O2" s="376" t="str">
        <x:v>Nerimity</x:v>
      </x:c>
      <x:c r="P2" s="376" t="str">
        <x:v>Osmium</x:v>
      </x:c>
      <x:c r="Q2" s="376" t="str">
        <x:v>Loqa</x:v>
      </x:c>
      <x:c r="R2" s="376" t="str">
        <x:v>Venta</x:v>
      </x:c>
      <x:c r="S2" s="376" t="str">
        <x:v>Mezon</x:v>
      </x:c>
      <x:c r="T2" s="376" t="str">
        <x:v>Kloak</x:v>
      </x:c>
      <x:c r="U2" s="376" t="str">
        <x:v>Yapper</x:v>
      </x:c>
      <x:c r="V2" s="376" t="str">
        <x:v>Harmony</x:v>
      </x:c>
      <x:c r="W2" s="376" t="str">
        <x:v>Roomy</x:v>
      </x:c>
      <x:c r="X2" s="376" t="str">
        <x:v>Armada</x:v>
      </x:c>
      <x:c r="Y2" s="376" t="str">
        <x:v>Hollow</x:v>
      </x:c>
      <x:c r="Z2" s="376" t="str">
        <x:v>DCTS</x:v>
      </x:c>
      <x:c r="AA2" s="383" t="str">
        <x:v>Rift</x:v>
      </x:c>
      <x:c r="AB2" s="376" t="str">
        <x:v>pqp.gg</x:v>
      </x:c>
      <x:c r="AC2" s="376" t="str">
        <x:v>Echon</x:v>
      </x:c>
      <x:c r="AD2" s="376" t="str">
        <x:v>Valour</x:v>
      </x:c>
      <x:c r="AE2" s="376" t="str">
        <x:v>Weered</x:v>
      </x:c>
    </x:row>
    <x:row r="3" ht="23" customHeight="1">
      <x:c r="A3" s="403" t="str">
        <x:v>Messaging &amp; Community Basics</x:v>
      </x:c>
      <x:c r="B3" s="403"/>
      <x:c r="C3" s="403"/>
      <x:c r="D3" s="403"/>
      <x:c r="E3" s="403"/>
      <x:c r="F3" s="403"/>
      <x:c r="G3" s="403"/>
      <x:c r="H3" s="403"/>
      <x:c r="I3" s="403"/>
      <x:c r="J3" s="403"/>
      <x:c r="K3" s="403"/>
      <x:c r="L3" s="404"/>
      <x:c r="M3" s="404"/>
      <x:c r="N3" s="404"/>
      <x:c r="O3" s="404"/>
      <x:c r="P3" s="404"/>
      <x:c r="Q3" s="404"/>
      <x:c r="R3" s="404"/>
      <x:c r="S3" s="404"/>
      <x:c r="T3" s="404"/>
      <x:c r="U3" s="404"/>
      <x:c r="V3" s="404"/>
      <x:c r="W3" s="404"/>
      <x:c r="X3" s="404"/>
      <x:c r="Y3" s="404"/>
      <x:c r="Z3" s="404"/>
      <x:c r="AA3" s="404"/>
      <x:c r="AB3" s="404"/>
      <x:c r="AC3" s="404"/>
      <x:c r="AD3" s="404"/>
      <x:c r="AE3" s="404"/>
    </x:row>
    <x:row r="4" ht="36" customHeight="1">
      <x:c r="A4" s="358" t="str">
        <x:v>1:1 DMs</x:v>
      </x:c>
      <x:c r="B4" s="344" t="str">
        <x:v>Yes</x:v>
      </x:c>
      <x:c r="C4" s="344" t="str">
        <x:v>Yes</x:v>
      </x:c>
      <x:c r="D4" s="344" t="str">
        <x:v>Yes</x:v>
      </x:c>
      <x:c r="E4" s="344" t="str">
        <x:v>Yes</x:v>
      </x:c>
      <x:c r="F4" s="344" t="str">
        <x:v>Yes</x:v>
      </x:c>
      <x:c r="G4" s="344" t="str">
        <x:v>Yes - rooms/DMs</x:v>
      </x:c>
      <x:c r="H4" s="344" t="str">
        <x:v>Yes</x:v>
      </x:c>
      <x:c r="I4" s="344" t="str">
        <x:v>Limited user text messages</x:v>
      </x:c>
      <x:c r="J4" s="344" t="str">
        <x:v>Yes/TS6 chat</x:v>
      </x:c>
      <x:c r="K4" s="345" t="str">
        <x:v>Yes</x:v>
      </x:c>
      <x:c r="L4" s="346" t="str">
        <x:v>Yes</x:v>
      </x:c>
      <x:c r="M4" s="346" t="str">
        <x:v>Yes</x:v>
      </x:c>
      <x:c r="N4" s="346" t="str">
        <x:v>Yes</x:v>
      </x:c>
      <x:c r="O4" s="346" t="str">
        <x:v>Yes</x:v>
      </x:c>
      <x:c r="P4" s="346" t="str">
        <x:v>Yes</x:v>
      </x:c>
      <x:c r="Q4" s="346" t="str">
        <x:v>Yes</x:v>
      </x:c>
      <x:c r="R4" s="346" t="str">
        <x:v>Yes</x:v>
      </x:c>
      <x:c r="S4" s="346" t="str">
        <x:v>Yes</x:v>
      </x:c>
      <x:c r="T4" s="346" t="str">
        <x:v>Yes</x:v>
      </x:c>
      <x:c r="U4" s="346" t="str">
        <x:v>Yes</x:v>
      </x:c>
      <x:c r="V4" s="346" t="str">
        <x:v>Yes</x:v>
      </x:c>
      <x:c r="W4" s="346" t="str">
        <x:v>DM model U/K</x:v>
      </x:c>
      <x:c r="X4" s="346" t="str">
        <x:v>Yes</x:v>
      </x:c>
      <x:c r="Y4" s="346" t="str">
        <x:v>Yes</x:v>
      </x:c>
      <x:c r="Z4" s="346" t="str">
        <x:v>Yes</x:v>
      </x:c>
      <x:c r="AA4" s="380" t="str">
        <x:v>Yes</x:v>
      </x:c>
      <x:c r="AB4" s="346" t="str">
        <x:v>Yes</x:v>
      </x:c>
      <x:c r="AC4" s="346" t="str">
        <x:v>Yes</x:v>
      </x:c>
      <x:c r="AD4" s="346" t="str">
        <x:v>Yes</x:v>
      </x:c>
      <x:c r="AE4" s="346" t="str">
        <x:v>Yes</x:v>
      </x:c>
    </x:row>
    <x:row r="5" ht="36" customHeight="1">
      <x:c r="A5" s="358" t="str">
        <x:v>Group DMs</x:v>
      </x:c>
      <x:c r="B5" s="344" t="str">
        <x:v>Yes</x:v>
      </x:c>
      <x:c r="C5" s="344" t="str">
        <x:v>Yes</x:v>
      </x:c>
      <x:c r="D5" s="344" t="str">
        <x:v>Yes</x:v>
      </x:c>
      <x:c r="E5" s="344" t="str">
        <x:v>Yes</x:v>
      </x:c>
      <x:c r="F5" s="344" t="str">
        <x:v>Yes</x:v>
      </x:c>
      <x:c r="G5" s="344" t="str">
        <x:v>Yes - rooms can be private multi-user</x:v>
      </x:c>
      <x:c r="H5" s="344" t="str">
        <x:v>Yes</x:v>
      </x:c>
      <x:c r="I5" s="344" t="str">
        <x:v>No persistent group-DM model</x:v>
      </x:c>
      <x:c r="J5" s="344" t="str">
        <x:v>U/K</x:v>
      </x:c>
      <x:c r="K5" s="345" t="str">
        <x:v>Yes</x:v>
      </x:c>
      <x:c r="L5" s="346" t="str">
        <x:v>Yes</x:v>
      </x:c>
      <x:c r="M5" s="346" t="str">
        <x:v>Yes</x:v>
      </x:c>
      <x:c r="N5" s="346" t="str">
        <x:v>Yes</x:v>
      </x:c>
      <x:c r="O5" s="346" t="str">
        <x:v>Yes</x:v>
      </x:c>
      <x:c r="P5" s="346" t="str">
        <x:v>Yes</x:v>
      </x:c>
      <x:c r="Q5" s="346" t="str">
        <x:v>Yes</x:v>
      </x:c>
      <x:c r="R5" s="346" t="str">
        <x:v>Yes/U/K</x:v>
      </x:c>
      <x:c r="S5" s="346" t="str">
        <x:v>Yes</x:v>
      </x:c>
      <x:c r="T5" s="346" t="str">
        <x:v>Yes</x:v>
      </x:c>
      <x:c r="U5" s="346" t="str">
        <x:v>U/K</x:v>
      </x:c>
      <x:c r="V5" s="346" t="str">
        <x:v>Yes/U/K</x:v>
      </x:c>
      <x:c r="W5" s="346" t="str">
        <x:v>Group spaces</x:v>
      </x:c>
      <x:c r="X5" s="346" t="str">
        <x:v>Yes</x:v>
      </x:c>
      <x:c r="Y5" s="346" t="str">
        <x:v>Yes/U/K</x:v>
      </x:c>
      <x:c r="Z5" s="346" t="str">
        <x:v>Yes/U/K</x:v>
      </x:c>
      <x:c r="AA5" s="380" t="str">
        <x:v>Yes</x:v>
      </x:c>
      <x:c r="AB5" s="346" t="str">
        <x:v>Yes</x:v>
      </x:c>
      <x:c r="AC5" s="346" t="str">
        <x:v>Yes</x:v>
      </x:c>
      <x:c r="AD5" s="346" t="str">
        <x:v>Yes</x:v>
      </x:c>
      <x:c r="AE5" s="346" t="str">
        <x:v>Yes</x:v>
      </x:c>
    </x:row>
    <x:row r="6" ht="36" customHeight="1">
      <x:c r="A6" s="358" t="str">
        <x:v>Communities / Servers / Workspaces</x:v>
      </x:c>
      <x:c r="B6" s="344" t="str">
        <x:v>Yes - servers/guilds</x:v>
      </x:c>
      <x:c r="C6" s="344" t="str">
        <x:v>U/K</x:v>
      </x:c>
      <x:c r="D6" s="344" t="str">
        <x:v>U/K</x:v>
      </x:c>
      <x:c r="E6" s="344" t="str">
        <x:v>U/K</x:v>
      </x:c>
      <x:c r="F6" s="344" t="str">
        <x:v>U/K</x:v>
      </x:c>
      <x:c r="G6" s="344" t="str">
        <x:v>Yes - rooms/spaces</x:v>
      </x:c>
      <x:c r="H6" s="344" t="str">
        <x:v>U/K</x:v>
      </x:c>
      <x:c r="I6" s="344" t="str">
        <x:v>U/K</x:v>
      </x:c>
      <x:c r="J6" s="344" t="str">
        <x:v>U/K</x:v>
      </x:c>
      <x:c r="K6" s="345" t="str">
        <x:v>Yes - organizations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Yes - Shards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8" t="str">
        <x:v>Text Channels / Rooms</x:v>
      </x:c>
      <x:c r="B7" s="344" t="str">
        <x:v>Yes</x:v>
      </x:c>
      <x:c r="C7" s="344" t="str">
        <x:v>Yes</x:v>
      </x:c>
      <x:c r="D7" s="344" t="str">
        <x:v>U/K</x:v>
      </x:c>
      <x:c r="E7" s="344" t="str">
        <x:v>U/K</x:v>
      </x:c>
      <x:c r="F7" s="344" t="str">
        <x:v>U/K</x:v>
      </x:c>
      <x:c r="G7" s="344" t="str">
        <x:v>Yes</x:v>
      </x:c>
      <x:c r="H7" s="344" t="str">
        <x:v>U/K</x:v>
      </x:c>
      <x:c r="I7" s="344" t="str">
        <x:v>U/K</x:v>
      </x:c>
      <x:c r="J7" s="344" t="str">
        <x:v>U/K</x:v>
      </x:c>
      <x:c r="K7" s="345" t="str">
        <x:v>Yes</x:v>
      </x:c>
      <x:c r="L7" s="346" t="str">
        <x:v>U/K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Yes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8" t="str">
        <x:v>Voice Channels / Rooms</x:v>
      </x:c>
      <x:c r="B8" s="344" t="str">
        <x:v>Yes</x:v>
      </x:c>
      <x:c r="C8" s="344" t="str">
        <x:v>Yes</x:v>
      </x:c>
      <x:c r="D8" s="344" t="str">
        <x:v>U/K</x:v>
      </x:c>
      <x:c r="E8" s="344" t="str">
        <x:v>U/K</x:v>
      </x:c>
      <x:c r="F8" s="344" t="str">
        <x:v>U/K</x:v>
      </x:c>
      <x:c r="G8" s="344" t="str">
        <x:v>U/K</x:v>
      </x:c>
      <x:c r="H8" s="344" t="str">
        <x:v>U/K</x:v>
      </x:c>
      <x:c r="I8" s="344" t="str">
        <x:v>Yes</x:v>
      </x:c>
      <x:c r="J8" s="344" t="str">
        <x:v>Yes</x:v>
      </x:c>
      <x:c r="K8" s="345" t="str">
        <x:v>U/K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8" t="str">
        <x:v>Categories / Channel Organization</x:v>
      </x:c>
      <x:c r="B9" s="344" t="str">
        <x:v>Yes - servers, categories, text/voice/forum/stage channels</x:v>
      </x:c>
      <x:c r="C9" s="344" t="str">
        <x:v>Yes - servers/categories/text/voice</x:v>
      </x:c>
      <x:c r="D9" s="344" t="str">
        <x:v>Yes - communities/categories/text/voice</x:v>
      </x:c>
      <x:c r="E9" s="344" t="str">
        <x:v>Yes</x:v>
      </x:c>
      <x:c r="F9" s="344" t="str">
        <x:v>Yes - communities/channel groups/text/voice</x:v>
      </x:c>
      <x:c r="G9" s="344" t="str">
        <x:v>Yes - rooms + Spaces; exact UX client-dependent</x:v>
      </x:c>
      <x:c r="H9" s="344" t="str">
        <x:v>Yes - Discord-compatible model</x:v>
      </x:c>
      <x:c r="I9" s="344" t="str">
        <x:v>Yes - hierarchical voice channels</x:v>
      </x:c>
      <x:c r="J9" s="344" t="str">
        <x:v>Yes - servers/channels</x:v>
      </x:c>
      <x:c r="K9" s="345" t="str">
        <x:v>Yes - organizations/streams/topics</x:v>
      </x:c>
      <x:c r="L9" s="346" t="str">
        <x:v>Yes - teams/channels</x:v>
      </x:c>
      <x:c r="M9" s="346" t="str">
        <x:v>Yes - workspaces/teams/channels</x:v>
      </x:c>
      <x:c r="N9" s="346" t="str">
        <x:v>Yes - servers/categories/text/voice</x:v>
      </x:c>
      <x:c r="O9" s="346" t="str">
        <x:v>Yes - communities/channels</x:v>
      </x:c>
      <x:c r="P9" s="346" t="str">
        <x:v>Yes - communities/channels</x:v>
      </x:c>
      <x:c r="Q9" s="346" t="str">
        <x:v>Yes - servers/categories/text/voice/forum/stage</x:v>
      </x:c>
      <x:c r="R9" s="346" t="str">
        <x:v>Yes - Discord-like guild/channel model</x:v>
      </x:c>
      <x:c r="S9" s="346" t="str">
        <x:v>Yes - clans/channels</x:v>
      </x:c>
      <x:c r="T9" s="346" t="str">
        <x:v>Yes - servers/channels/roles</x:v>
      </x:c>
      <x:c r="U9" s="346" t="str">
        <x:v>Yes - rooms/channels</x:v>
      </x:c>
      <x:c r="V9" s="346" t="str">
        <x:v>Yes - guild/channel model</x:v>
      </x:c>
      <x:c r="W9" s="346" t="str">
        <x:v>Yes - spaces/group chat</x:v>
      </x:c>
      <x:c r="X9" s="346" t="str">
        <x:v>Yes - communities/channels/threads</x:v>
      </x:c>
      <x:c r="Y9" s="346" t="str">
        <x:v>Yes - encrypted communities/public channels</x:v>
      </x:c>
      <x:c r="Z9" s="346" t="str">
        <x:v>Yes - servers/channels</x:v>
      </x:c>
      <x:c r="AA9" s="380" t="str">
        <x:v>Yes - communities/channels</x:v>
      </x:c>
      <x:c r="AB9" s="346" t="str">
        <x:v>Yes - communities/channels</x:v>
      </x:c>
      <x:c r="AC9" s="346" t="str">
        <x:v>Yes - servers/channels/roles</x:v>
      </x:c>
      <x:c r="AD9" s="346" t="str">
        <x:v>Yes - planets/channels</x:v>
      </x:c>
      <x:c r="AE9" s="346" t="str">
        <x:v>Lobby/room model rather than servers/channels</x:v>
      </x:c>
    </x:row>
    <x:row r="10" ht="36" customHeight="1">
      <x:c r="A10" s="358" t="str">
        <x:v>Markdown Text</x:v>
      </x:c>
      <x:c r="B10" s="344" t="str">
        <x:v>Yes - Discord Markdown subset</x:v>
      </x:c>
      <x:c r="C10" s="344" t="str">
        <x:v>Yes</x:v>
      </x:c>
      <x:c r="D10" s="344" t="str">
        <x:v>Yes</x:v>
      </x:c>
      <x:c r="E10" s="344" t="str">
        <x:v>Yes</x:v>
      </x:c>
      <x:c r="F10" s="344" t="str">
        <x:v>Yes</x:v>
      </x:c>
      <x:c r="G10" s="344" t="str">
        <x:v>Client-dependent</x:v>
      </x:c>
      <x:c r="H10" s="344" t="str">
        <x:v>Yes/Discord-compatible target</x:v>
      </x:c>
      <x:c r="I10" s="344" t="str">
        <x:v>No</x:v>
      </x:c>
      <x:c r="J10" s="344" t="str">
        <x:v>U/K</x:v>
      </x:c>
      <x:c r="K10" s="345" t="str">
        <x:v>Yes</x:v>
      </x:c>
      <x:c r="L10" s="346" t="str">
        <x:v>Yes</x:v>
      </x:c>
      <x:c r="M10" s="346" t="str">
        <x:v>Yes</x:v>
      </x:c>
      <x:c r="N10" s="346" t="str">
        <x:v>Yes</x:v>
      </x:c>
      <x:c r="O10" s="346" t="str">
        <x:v>Yes</x:v>
      </x:c>
      <x:c r="P10" s="346" t="str">
        <x:v>Yes/U/K</x:v>
      </x:c>
      <x:c r="Q10" s="346" t="str">
        <x:v>Yes</x:v>
      </x:c>
      <x:c r="R10" s="346" t="str">
        <x:v>U/K</x:v>
      </x:c>
      <x:c r="S10" s="346" t="str">
        <x:v>Yes</x:v>
      </x:c>
      <x:c r="T10" s="346" t="str">
        <x:v>Yes/U/K</x:v>
      </x:c>
      <x:c r="U10" s="346" t="str">
        <x:v>U/K</x:v>
      </x:c>
      <x:c r="V10" s="346" t="str">
        <x:v>Yes/Discord-like</x:v>
      </x:c>
      <x:c r="W10" s="346" t="str">
        <x:v>Yes/U/K</x:v>
      </x:c>
      <x:c r="X10" s="346" t="str">
        <x:v>Yes/U/K</x:v>
      </x:c>
      <x:c r="Y10" s="346" t="str">
        <x:v>Yes/U/K</x:v>
      </x:c>
      <x:c r="Z10" s="346" t="str">
        <x:v>Yes</x:v>
      </x:c>
      <x:c r="AA10" s="380" t="str">
        <x:v>Yes/U/K</x:v>
      </x:c>
      <x:c r="AB10" s="346" t="str">
        <x:v>Yes</x:v>
      </x:c>
      <x:c r="AC10" s="346" t="str">
        <x:v>Yes</x:v>
      </x:c>
      <x:c r="AD10" s="346" t="str">
        <x:v>Yes</x:v>
      </x:c>
      <x:c r="AE10" s="346" t="str">
        <x:v>Yes</x:v>
      </x:c>
    </x:row>
    <x:row r="11" ht="36" customHeight="1">
      <x:c r="A11" s="396" t="str">
        <x:v>Core Notifications</x:v>
      </x:c>
      <x:c r="B11" s="392" t="str">
        <x:v>Yes</x:v>
      </x:c>
      <x:c r="C11" s="392" t="str">
        <x:v>Yes</x:v>
      </x:c>
      <x:c r="D11" s="392" t="str">
        <x:v>Yes</x:v>
      </x:c>
      <x:c r="E11" s="392" t="str">
        <x:v>Yes</x:v>
      </x:c>
      <x:c r="F11" s="392" t="str">
        <x:v>Yes</x:v>
      </x:c>
      <x:c r="G11" s="392" t="str">
        <x:v>Client-dependent</x:v>
      </x:c>
      <x:c r="H11" s="392" t="str">
        <x:v>Yes</x:v>
      </x:c>
      <x:c r="I11" s="392" t="str">
        <x:v>Client notifications</x:v>
      </x:c>
      <x:c r="J11" s="392" t="str">
        <x:v>Yes</x:v>
      </x:c>
      <x:c r="K11" s="392" t="str">
        <x:v>Yes</x:v>
      </x:c>
      <x:c r="L11" s="346" t="str">
        <x:v>Yes</x:v>
      </x:c>
      <x:c r="M11" s="346" t="str">
        <x:v>Yes</x:v>
      </x:c>
      <x:c r="N11" s="346" t="str">
        <x:v>Yes</x:v>
      </x:c>
      <x:c r="O11" s="346" t="str">
        <x:v>Yes</x:v>
      </x:c>
      <x:c r="P11" s="346" t="str">
        <x:v>Yes</x:v>
      </x:c>
      <x:c r="Q11" s="346" t="str">
        <x:v>Yes</x:v>
      </x:c>
      <x:c r="R11" s="346" t="str">
        <x:v>U/K</x:v>
      </x:c>
      <x:c r="S11" s="346" t="str">
        <x:v>Yes</x:v>
      </x:c>
      <x:c r="T11" s="346" t="str">
        <x:v>Yes</x:v>
      </x:c>
      <x:c r="U11" s="346" t="str">
        <x:v>Yes</x:v>
      </x:c>
      <x:c r="V11" s="346" t="str">
        <x:v>Yes/U/K</x:v>
      </x:c>
      <x:c r="W11" s="346" t="str">
        <x:v>Yes/U/K</x:v>
      </x:c>
      <x:c r="X11" s="346" t="str">
        <x:v>Yes</x:v>
      </x:c>
      <x:c r="Y11" s="346" t="str">
        <x:v>Local notifications</x:v>
      </x:c>
      <x:c r="Z11" s="346" t="str">
        <x:v>Yes</x:v>
      </x:c>
      <x:c r="AA11" s="380" t="str">
        <x:v>Yes</x:v>
      </x:c>
      <x:c r="AB11" s="346" t="str">
        <x:v>Yes</x:v>
      </x:c>
      <x:c r="AC11" s="346" t="str">
        <x:v>Yes</x:v>
      </x:c>
      <x:c r="AD11" s="346" t="str">
        <x:v>Yes</x:v>
      </x:c>
      <x:c r="AE11" s="346" t="str">
        <x:v>Yes</x:v>
      </x:c>
    </x:row>
    <x:row r="12" ht="23" customHeight="1">
      <x:c r="A12" s="411" t="str">
        <x:v>Messages &amp; Content</x:v>
      </x:c>
      <x:c r="B12" s="412"/>
      <x:c r="C12" s="412"/>
      <x:c r="D12" s="412"/>
      <x:c r="E12" s="412"/>
      <x:c r="F12" s="412"/>
      <x:c r="G12" s="412"/>
      <x:c r="H12" s="412"/>
      <x:c r="I12" s="412"/>
      <x:c r="J12" s="412"/>
      <x:c r="K12" s="413"/>
      <x:c r="L12" s="389"/>
      <x:c r="M12" s="389"/>
      <x:c r="N12" s="389"/>
      <x:c r="O12" s="389"/>
      <x:c r="P12" s="389"/>
      <x:c r="Q12" s="389"/>
      <x:c r="R12" s="389"/>
      <x:c r="S12" s="389"/>
      <x:c r="T12" s="389"/>
      <x:c r="U12" s="389"/>
      <x:c r="V12" s="389"/>
      <x:c r="W12" s="389"/>
      <x:c r="X12" s="389"/>
      <x:c r="Y12" s="389"/>
      <x:c r="Z12" s="389"/>
      <x:c r="AA12" s="389"/>
      <x:c r="AB12" s="389"/>
      <x:c r="AC12" s="389"/>
      <x:c r="AD12" s="389"/>
      <x:c r="AE12" s="389"/>
    </x:row>
    <x:row r="13" ht="36" customHeight="1">
      <x:c r="A13" s="358" t="str">
        <x:v>File Uploads</x:v>
      </x:c>
      <x:c r="B13" s="344" t="str">
        <x:v>Yes</x:v>
      </x:c>
      <x:c r="C13" s="344" t="str">
        <x:v>Yes</x:v>
      </x:c>
      <x:c r="D13" s="344" t="str">
        <x:v>Yes</x:v>
      </x:c>
      <x:c r="E13" s="344" t="str">
        <x:v>Yes</x:v>
      </x:c>
      <x:c r="F13" s="344" t="str">
        <x:v>Yes</x:v>
      </x:c>
      <x:c r="G13" s="344" t="str">
        <x:v>Yes</x:v>
      </x:c>
      <x:c r="H13" s="344" t="str">
        <x:v>Yes</x:v>
      </x:c>
      <x:c r="I13" s="344" t="str">
        <x:v>No</x:v>
      </x:c>
      <x:c r="J13" s="344" t="str">
        <x:v>U/K</x:v>
      </x:c>
      <x:c r="K13" s="345" t="str">
        <x:v>Yes</x:v>
      </x:c>
      <x:c r="L13" s="346" t="str">
        <x:v>Yes</x:v>
      </x:c>
      <x:c r="M13" s="346" t="str">
        <x:v>Yes</x:v>
      </x:c>
      <x:c r="N13" s="346" t="str">
        <x:v>Yes</x:v>
      </x:c>
      <x:c r="O13" s="346" t="str">
        <x:v>Yes</x:v>
      </x:c>
      <x:c r="P13" s="346" t="str">
        <x:v>Yes</x:v>
      </x:c>
      <x:c r="Q13" s="346" t="str">
        <x:v>Yes</x:v>
      </x:c>
      <x:c r="R13" s="346" t="str">
        <x:v>Yes</x:v>
      </x:c>
      <x:c r="S13" s="346" t="str">
        <x:v>Yes</x:v>
      </x:c>
      <x:c r="T13" s="346" t="str">
        <x:v>Yes</x:v>
      </x:c>
      <x:c r="U13" s="346" t="str">
        <x:v>Yes</x:v>
      </x:c>
      <x:c r="V13" s="346" t="str">
        <x:v>Yes</x:v>
      </x:c>
      <x:c r="W13" s="346" t="str">
        <x:v>Yes</x:v>
      </x:c>
      <x:c r="X13" s="346" t="str">
        <x:v>Yes</x:v>
      </x:c>
      <x:c r="Y13" s="346" t="str">
        <x:v>Yes/local files</x:v>
      </x:c>
      <x:c r="Z13" s="346" t="str">
        <x:v>Yes</x:v>
      </x:c>
      <x:c r="AA13" s="380" t="str">
        <x:v>Yes</x:v>
      </x:c>
      <x:c r="AB13" s="346" t="str">
        <x:v>Yes</x:v>
      </x:c>
      <x:c r="AC13" s="346" t="str">
        <x:v>Yes</x:v>
      </x:c>
      <x:c r="AD13" s="346" t="str">
        <x:v>Yes</x:v>
      </x:c>
      <x:c r="AE13" s="346" t="str">
        <x:v>Yes</x:v>
      </x:c>
    </x:row>
    <x:row r="14" ht="36" customHeight="1">
      <x:c r="A14" s="358" t="str">
        <x:v>Free / Base File Upload Limit</x:v>
      </x:c>
      <x:c r="B14" s="344" t="str">
        <x:v>20 MB free; 50 MB Nitro Basic; 500 MB Nitro</x:v>
      </x:c>
      <x:c r="C14" s="344" t="str">
        <x:v>U/K</x:v>
      </x:c>
      <x:c r="D14" s="344" t="str">
        <x:v>U/K</x:v>
      </x:c>
      <x:c r="E14" s="344" t="str">
        <x:v>25 MB free</x:v>
      </x:c>
      <x:c r="F14" s="344" t="str">
        <x:v>25 MB</x:v>
      </x:c>
      <x:c r="G14" s="344" t="str">
        <x:v>Homeserver-dependent</x:v>
      </x:c>
      <x:c r="H14" s="344" t="str">
        <x:v>Operator-configurable</x:v>
      </x:c>
      <x:c r="I14" s="344" t="str">
        <x:v>N/A</x:v>
      </x:c>
      <x:c r="J14" s="344" t="str">
        <x:v>U/K</x:v>
      </x:c>
      <x:c r="K14" s="345" t="str">
        <x:v>Plan/server configurable</x:v>
      </x:c>
      <x:c r="L14" s="346" t="str">
        <x:v>Admin-configurable</x:v>
      </x:c>
      <x:c r="M14" s="346" t="str">
        <x:v>Admin-configurable</x:v>
      </x:c>
      <x:c r="N14" s="346" t="str">
        <x:v>500 MB free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Large uploads; exact limit U/K</x:v>
      </x:c>
      <x:c r="T14" s="346" t="str">
        <x:v>U/K</x:v>
      </x:c>
      <x:c r="U14" s="346" t="str">
        <x:v>Server-configurable</x:v>
      </x:c>
      <x:c r="V14" s="346" t="str">
        <x:v>U/K</x:v>
      </x:c>
      <x:c r="W14" s="346" t="str">
        <x:v>U/K</x:v>
      </x:c>
      <x:c r="X14" s="346" t="str">
        <x:v>Relay-dependent</x:v>
      </x:c>
      <x:c r="Y14" s="346" t="str">
        <x:v>Local/device storage</x:v>
      </x:c>
      <x:c r="Z14" s="346" t="str">
        <x:v>Operator configured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58" t="str">
        <x:v>Message Reactions</x:v>
      </x:c>
      <x:c r="B15" s="344" t="str">
        <x:v>Yes</x:v>
      </x:c>
      <x:c r="C15" s="344" t="str">
        <x:v>Yes</x:v>
      </x:c>
      <x:c r="D15" s="344" t="str">
        <x:v>U/K</x:v>
      </x:c>
      <x:c r="E15" s="344" t="str">
        <x:v>U/K</x:v>
      </x:c>
      <x:c r="F15" s="344" t="str">
        <x:v>U/K</x:v>
      </x:c>
      <x:c r="G15" s="344" t="str">
        <x:v>Yes</x:v>
      </x:c>
      <x:c r="H15" s="344" t="str">
        <x:v>U/K</x:v>
      </x:c>
      <x:c r="I15" s="344" t="str">
        <x:v>U/K</x:v>
      </x:c>
      <x:c r="J15" s="344" t="str">
        <x:v>U/K</x:v>
      </x:c>
      <x:c r="K15" s="345" t="str">
        <x:v>Yes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Yes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97" t="str">
        <x:v>Message Editing</x:v>
      </x:c>
      <x:c r="B16" s="349" t="str">
        <x:v>Yes</x:v>
      </x:c>
      <x:c r="C16" s="349" t="str">
        <x:v>Yes</x:v>
      </x:c>
      <x:c r="D16" s="349" t="str">
        <x:v>U/K</x:v>
      </x:c>
      <x:c r="E16" s="349" t="str">
        <x:v>U/K</x:v>
      </x:c>
      <x:c r="F16" s="349" t="str">
        <x:v>U/K</x:v>
      </x:c>
      <x:c r="G16" s="349" t="str">
        <x:v>Yes</x:v>
      </x:c>
      <x:c r="H16" s="349" t="str">
        <x:v>U/K</x:v>
      </x:c>
      <x:c r="I16" s="349" t="str">
        <x:v>U/K</x:v>
      </x:c>
      <x:c r="J16" s="349" t="str">
        <x:v>U/K</x:v>
      </x:c>
      <x:c r="K16" s="395" t="str">
        <x:v>Yes</x:v>
      </x:c>
      <x:c r="L16" s="349" t="str">
        <x:v>U/K</x:v>
      </x:c>
      <x:c r="M16" s="349" t="str">
        <x:v>U/K</x:v>
      </x:c>
      <x:c r="N16" s="349" t="str">
        <x:v>U/K</x:v>
      </x:c>
      <x:c r="O16" s="349" t="str">
        <x:v>U/K</x:v>
      </x:c>
      <x:c r="P16" s="349" t="str">
        <x:v>U/K</x:v>
      </x:c>
      <x:c r="Q16" s="349" t="str">
        <x:v>U/K</x:v>
      </x:c>
      <x:c r="R16" s="349" t="str">
        <x:v>U/K</x:v>
      </x:c>
      <x:c r="S16" s="349" t="str">
        <x:v>U/K</x:v>
      </x:c>
      <x:c r="T16" s="349" t="str">
        <x:v>U/K</x:v>
      </x:c>
      <x:c r="U16" s="349" t="str">
        <x:v>U/K</x:v>
      </x:c>
      <x:c r="V16" s="349" t="str">
        <x:v>U/K</x:v>
      </x:c>
      <x:c r="W16" s="349" t="str">
        <x:v>U/K</x:v>
      </x:c>
      <x:c r="X16" s="349" t="str">
        <x:v>U/K</x:v>
      </x:c>
      <x:c r="Y16" s="349" t="str">
        <x:v>U/K</x:v>
      </x:c>
      <x:c r="Z16" s="349" t="str">
        <x:v>U/K</x:v>
      </x:c>
      <x:c r="AA16" s="381" t="str">
        <x:v>Yes</x:v>
      </x:c>
      <x:c r="AB16" s="349" t="str">
        <x:v>U/K</x:v>
      </x:c>
      <x:c r="AC16" s="349" t="str">
        <x:v>U/K</x:v>
      </x:c>
      <x:c r="AD16" s="349" t="str">
        <x:v>U/K</x:v>
      </x:c>
      <x:c r="AE16" s="349" t="str">
        <x:v>U/K</x:v>
      </x:c>
    </x:row>
    <x:row r="17" ht="36" customHeight="1">
      <x:c r="A17" s="378" t="str">
        <x:v>Message Deletion</x:v>
      </x:c>
      <x:c r="B17" s="346" t="str">
        <x:v>Yes</x:v>
      </x:c>
      <x:c r="C17" s="346" t="str">
        <x:v>Yes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Yes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Yes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Yes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78" t="str">
        <x:v>Inline Replies</x:v>
      </x:c>
      <x:c r="B18" s="346" t="str">
        <x:v>Yes</x:v>
      </x:c>
      <x:c r="C18" s="346" t="str">
        <x:v>Yes</x:v>
      </x:c>
      <x:c r="D18" s="346" t="str">
        <x:v>Yes</x:v>
      </x:c>
      <x:c r="E18" s="346" t="str">
        <x:v>Yes</x:v>
      </x:c>
      <x:c r="F18" s="346" t="str">
        <x:v>Yes</x:v>
      </x:c>
      <x:c r="G18" s="346" t="str">
        <x:v>Yes via reply relation</x:v>
      </x:c>
      <x:c r="H18" s="346" t="str">
        <x:v>Yes</x:v>
      </x:c>
      <x:c r="I18" s="346" t="str">
        <x:v>Limited text replies N/A</x:v>
      </x:c>
      <x:c r="J18" s="346" t="str">
        <x:v>U/K</x:v>
      </x:c>
      <x:c r="K18" s="346" t="str">
        <x:v>Yes</x:v>
      </x:c>
      <x:c r="L18" s="346" t="str">
        <x:v>Yes</x:v>
      </x:c>
      <x:c r="M18" s="346" t="str">
        <x:v>Yes</x:v>
      </x:c>
      <x:c r="N18" s="346" t="str">
        <x:v>Yes</x:v>
      </x:c>
      <x:c r="O18" s="346" t="str">
        <x:v>Yes</x:v>
      </x:c>
      <x:c r="P18" s="346" t="str">
        <x:v>Yes</x:v>
      </x:c>
      <x:c r="Q18" s="346" t="str">
        <x:v>Yes</x:v>
      </x:c>
      <x:c r="R18" s="346" t="str">
        <x:v>Yes/U/K</x:v>
      </x:c>
      <x:c r="S18" s="346" t="str">
        <x:v>Yes</x:v>
      </x:c>
      <x:c r="T18" s="346" t="str">
        <x:v>Yes/U/K</x:v>
      </x:c>
      <x:c r="U18" s="346" t="str">
        <x:v>U/K</x:v>
      </x:c>
      <x:c r="V18" s="346" t="str">
        <x:v>U/K</x:v>
      </x:c>
      <x:c r="W18" s="346" t="str">
        <x:v>Yes/U/K</x:v>
      </x:c>
      <x:c r="X18" s="346" t="str">
        <x:v>Yes</x:v>
      </x:c>
      <x:c r="Y18" s="346" t="str">
        <x:v>Yes</x:v>
      </x:c>
      <x:c r="Z18" s="346" t="str">
        <x:v>Yes</x:v>
      </x:c>
      <x:c r="AA18" s="380" t="str">
        <x:v>Yes</x:v>
      </x:c>
      <x:c r="AB18" s="346" t="str">
        <x:v>Yes</x:v>
      </x:c>
      <x:c r="AC18" s="346" t="str">
        <x:v>Yes</x:v>
      </x:c>
      <x:c r="AD18" s="346" t="str">
        <x:v>Yes</x:v>
      </x:c>
      <x:c r="AE18" s="346" t="str">
        <x:v>Yes</x:v>
      </x:c>
    </x:row>
    <x:row r="19" ht="36" customHeight="1">
      <x:c r="A19" s="378" t="str">
        <x:v>Pinned Messages</x:v>
      </x:c>
      <x:c r="B19" s="346" t="str">
        <x:v>Yes</x:v>
      </x:c>
      <x:c r="C19" s="346" t="str">
        <x:v>Yes</x:v>
      </x:c>
      <x:c r="D19" s="346" t="str">
        <x:v>U/K</x:v>
      </x:c>
      <x:c r="E19" s="346" t="str">
        <x:v>Yes</x:v>
      </x:c>
      <x:c r="F19" s="346" t="str">
        <x:v>Yes</x:v>
      </x:c>
      <x:c r="G19" s="346" t="str">
        <x:v>Client-dependent</x:v>
      </x:c>
      <x:c r="H19" s="346" t="str">
        <x:v>Yes</x:v>
      </x:c>
      <x:c r="I19" s="346" t="str">
        <x:v>N/A</x:v>
      </x:c>
      <x:c r="J19" s="346" t="str">
        <x:v>U/K</x:v>
      </x:c>
      <x:c r="K19" s="346" t="str">
        <x:v>Yes</x:v>
      </x:c>
      <x:c r="L19" s="346" t="str">
        <x:v>Yes</x:v>
      </x:c>
      <x:c r="M19" s="346" t="str">
        <x:v>Yes</x:v>
      </x:c>
      <x:c r="N19" s="346" t="str">
        <x:v>Yes</x:v>
      </x:c>
      <x:c r="O19" s="346" t="str">
        <x:v>Yes</x:v>
      </x:c>
      <x:c r="P19" s="346" t="str">
        <x:v>Yes</x:v>
      </x:c>
      <x:c r="Q19" s="346" t="str">
        <x:v>Yes</x:v>
      </x:c>
      <x:c r="R19" s="346" t="str">
        <x:v>U/K</x:v>
      </x:c>
      <x:c r="S19" s="346" t="str">
        <x:v>Yes</x:v>
      </x:c>
      <x:c r="T19" s="346" t="str">
        <x:v>Yes/U/K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Yes/U/K</x:v>
      </x:c>
      <x:c r="AA19" s="380" t="str">
        <x:v>Yes - channel pins + Shard pin feed</x:v>
      </x:c>
      <x:c r="AB19" s="346" t="str">
        <x:v>Yes</x:v>
      </x:c>
      <x:c r="AC19" s="346" t="str">
        <x:v>Yes</x:v>
      </x:c>
      <x:c r="AD19" s="346" t="str">
        <x:v>Yes</x:v>
      </x:c>
      <x:c r="AE19" s="346" t="str">
        <x:v>U/K</x:v>
      </x:c>
    </x:row>
    <x:row r="20" ht="36" customHeight="1">
      <x:c r="A20" s="378" t="str">
        <x:v>Search</x:v>
      </x:c>
      <x:c r="B20" s="346" t="str">
        <x:v>Yes - server message search; Server Discovery exists for eligible public communities</x:v>
      </x:c>
      <x:c r="C20" s="346" t="str">
        <x:v>Yes</x:v>
      </x:c>
      <x:c r="D20" s="346" t="str">
        <x:v>Yes</x:v>
      </x:c>
      <x:c r="E20" s="346" t="str">
        <x:v>Yes</x:v>
      </x:c>
      <x:c r="F20" s="346" t="str">
        <x:v>Yes</x:v>
      </x:c>
      <x:c r="G20" s="346" t="str">
        <x:v>Client-dependent</x:v>
      </x:c>
      <x:c r="H20" s="346" t="str">
        <x:v>Yes/target</x:v>
      </x:c>
      <x:c r="I20" s="346" t="str">
        <x:v>N/A</x:v>
      </x:c>
      <x:c r="J20" s="346" t="str">
        <x:v>U/K</x:v>
      </x:c>
      <x:c r="K20" s="346" t="str">
        <x:v>Yes</x:v>
      </x:c>
      <x:c r="L20" s="346" t="str">
        <x:v>Yes</x:v>
      </x:c>
      <x:c r="M20" s="346" t="str">
        <x:v>Yes</x:v>
      </x:c>
      <x:c r="N20" s="346" t="str">
        <x:v>Yes</x:v>
      </x:c>
      <x:c r="O20" s="346" t="str">
        <x:v>Yes</x:v>
      </x:c>
      <x:c r="P20" s="346" t="str">
        <x:v>Yes</x:v>
      </x:c>
      <x:c r="Q20" s="346" t="str">
        <x:v>Yes</x:v>
      </x:c>
      <x:c r="R20" s="346" t="str">
        <x:v>U/K</x:v>
      </x:c>
      <x:c r="S20" s="346" t="str">
        <x:v>Yes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Yes/U/K</x:v>
      </x:c>
      <x:c r="X20" s="346" t="str">
        <x:v>U/K</x:v>
      </x:c>
      <x:c r="Y20" s="346" t="str">
        <x:v>U/K</x:v>
      </x:c>
      <x:c r="Z20" s="346" t="str">
        <x:v>Yes</x:v>
      </x:c>
      <x:c r="AA20" s="380" t="str">
        <x:v>Yes</x:v>
      </x:c>
      <x:c r="AB20" s="346" t="str">
        <x:v>Yes</x:v>
      </x:c>
      <x:c r="AC20" s="346" t="str">
        <x:v>Yes</x:v>
      </x:c>
      <x:c r="AD20" s="346" t="str">
        <x:v>Yes</x:v>
      </x:c>
      <x:c r="AE20" s="346" t="str">
        <x:v>Yes</x:v>
      </x:c>
    </x:row>
    <x:row r="21" ht="36" customHeight="1">
      <x:c r="A21" s="378" t="str">
        <x:v>Invites</x:v>
      </x:c>
      <x:c r="B21" s="346" t="str">
        <x:v>Yes</x:v>
      </x:c>
      <x:c r="C21" s="346" t="str">
        <x:v>Yes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Yes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Yes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Yes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23" customHeight="1">
      <x:c r="A22" s="389" t="str">
        <x:v>Project Snapshot</x:v>
      </x:c>
      <x:c r="B22" s="389"/>
      <x:c r="C22" s="389"/>
      <x:c r="D22" s="389"/>
      <x:c r="E22" s="389"/>
      <x:c r="F22" s="389"/>
      <x:c r="G22" s="389"/>
      <x:c r="H22" s="389"/>
      <x:c r="I22" s="389"/>
      <x:c r="J22" s="389"/>
      <x:c r="K22" s="389"/>
      <x:c r="L22" s="389"/>
      <x:c r="M22" s="389"/>
      <x:c r="N22" s="389"/>
      <x:c r="O22" s="389"/>
      <x:c r="P22" s="389"/>
      <x:c r="Q22" s="389"/>
      <x:c r="R22" s="389"/>
      <x:c r="S22" s="389"/>
      <x:c r="T22" s="389"/>
      <x:c r="U22" s="389"/>
      <x:c r="V22" s="389"/>
      <x:c r="W22" s="389"/>
      <x:c r="X22" s="389"/>
      <x:c r="Y22" s="389"/>
      <x:c r="Z22" s="389"/>
      <x:c r="AA22" s="389"/>
      <x:c r="AB22" s="389"/>
      <x:c r="AC22" s="389"/>
      <x:c r="AD22" s="389"/>
      <x:c r="AE22" s="389"/>
    </x:row>
    <x:row r="23" ht="36" customHeight="1">
      <x:c r="A23" s="378" t="str">
        <x:v>Inception Date</x:v>
      </x:c>
      <x:c r="B23" s="346" t="str">
        <x:v>May 2015</x:v>
      </x:c>
      <x:c r="C23" s="346" t="str">
        <x:v>2021 (as Revolt; rebranded Stoat in 2025)</x:v>
      </x:c>
      <x:c r="D23" s="346" t="str">
        <x:v>November 2025</x:v>
      </x:c>
      <x:c r="E23" s="346" t="str">
        <x:v>2020</x:v>
      </x:c>
      <x:c r="F23" s="346" t="str">
        <x:v>U/K (public activity visible by 2025)</x:v>
      </x:c>
      <x:c r="G23" s="346" t="str">
        <x:v>2014</x:v>
      </x:c>
      <x:c r="H23" s="346" t="str">
        <x:v>2021 (as Fosscord/Spacebar project era)</x:v>
      </x:c>
      <x:c r="I23" s="346" t="str">
        <x:v>2005</x:v>
      </x:c>
      <x:c r="J23" s="346" t="str">
        <x:v>1999 project origin</x:v>
      </x:c>
      <x:c r="K23" s="346" t="str">
        <x:v>2012</x:v>
      </x:c>
      <x:c r="L23" s="346" t="str">
        <x:v>2015</x:v>
      </x:c>
      <x:c r="M23" s="346" t="str">
        <x:v>2015</x:v>
      </x:c>
      <x:c r="N23" s="346" t="str">
        <x:v>2026 ground-up rebuild</x:v>
      </x:c>
      <x:c r="O23" s="346" t="str">
        <x:v>U/K</x:v>
      </x:c>
      <x:c r="P23" s="346" t="str">
        <x:v>Summer 2024</x:v>
      </x:c>
      <x:c r="Q23" s="346" t="str">
        <x:v>2026-era project</x:v>
      </x:c>
      <x:c r="R23" s="346" t="str">
        <x:v>Early 2026</x:v>
      </x:c>
      <x:c r="S23" s="346" t="str">
        <x:v>U/K</x:v>
      </x:c>
      <x:c r="T23" s="346" t="str">
        <x:v>2025-era project/U/K</x:v>
      </x:c>
      <x:c r="U23" s="346" t="str">
        <x:v>2026-era project</x:v>
      </x:c>
      <x:c r="V23" s="346" t="str">
        <x:v>2026 fork era</x:v>
      </x:c>
      <x:c r="W23" s="346" t="str">
        <x:v>2024/2025-era project U/K</x:v>
      </x:c>
      <x:c r="X23" s="346" t="str">
        <x:v>2026-era project</x:v>
      </x:c>
      <x:c r="Y23" s="346" t="str">
        <x:v>2026-era public project</x:v>
      </x:c>
      <x:c r="Z23" s="346" t="str">
        <x:v>2023</x:v>
      </x:c>
      <x:c r="AA23" s="380" t="str">
        <x:v>2026</x:v>
      </x:c>
      <x:c r="AB23" s="346" t="str">
        <x:v>2026</x:v>
      </x:c>
      <x:c r="AC23" s="346" t="str">
        <x:v>2026</x:v>
      </x:c>
      <x:c r="AD23" s="346" t="str">
        <x:v>Project predates 2026; exact inception U/K</x:v>
      </x:c>
      <x:c r="AE23" s="346" t="str">
        <x:v>~2025</x:v>
      </x:c>
    </x:row>
    <x:row r="24" ht="36" customHeight="1">
      <x:c r="A24" s="378" t="str">
        <x:v>Public Release Date</x:v>
      </x:c>
      <x:c r="B24" s="346" t="str">
        <x:v>2015-05-13</x:v>
      </x:c>
      <x:c r="C24" s="346" t="str">
        <x:v>2021 (exact date U/K)</x:v>
      </x:c>
      <x:c r="D24" s="346" t="str">
        <x:v>Alpha access in 2026; public v1 release not yet</x:v>
      </x:c>
      <x:c r="E24" s="346" t="str">
        <x:v>2026-01-02 public release</x:v>
      </x:c>
      <x:c r="F24" s="346" t="str">
        <x:v>Public beta / broad access by 2026; exact launch date U/K</x:v>
      </x:c>
      <x:c r="G24" s="346" t="str">
        <x:v>2014-09-03 (first public alpha)</x:v>
      </x:c>
      <x:c r="H24" s="346" t="str">
        <x:v>U/K</x:v>
      </x:c>
      <x:c r="I24" s="346" t="str">
        <x:v>2005 (exact public date U/K)</x:v>
      </x:c>
      <x:c r="J24" s="346" t="str">
        <x:v>2001 first public release</x:v>
      </x:c>
      <x:c r="K24" s="346" t="str">
        <x:v>2012 hosted; open-sourced 2015</x:v>
      </x:c>
      <x:c r="L24" s="346" t="str">
        <x:v>2015</x:v>
      </x:c>
      <x:c r="M24" s="346" t="str">
        <x:v>2015</x:v>
      </x:c>
      <x:c r="N24" s="346" t="str">
        <x:v>2026 open beta</x:v>
      </x:c>
      <x:c r="O24" s="346" t="str">
        <x:v>Public before 2025; exact date U/K</x:v>
      </x:c>
      <x:c r="P24" s="346" t="str">
        <x:v>Public beta in 2026</x:v>
      </x:c>
      <x:c r="Q24" s="346" t="str">
        <x:v>Open beta 2026</x:v>
      </x:c>
      <x:c r="R24" s="346" t="str">
        <x:v>Alpha/beta 2026</x:v>
      </x:c>
      <x:c r="S24" s="346" t="str">
        <x:v>Public by 2025/2026; exact date U/K</x:v>
      </x:c>
      <x:c r="T24" s="346" t="str">
        <x:v>Alpha/public 2026</x:v>
      </x:c>
      <x:c r="U24" s="346" t="str">
        <x:v>Public beta/service 2026</x:v>
      </x:c>
      <x:c r="V24" s="346" t="str">
        <x:v>Early public 2026</x:v>
      </x:c>
      <x:c r="W24" s="346" t="str">
        <x:v>Early public project</x:v>
      </x:c>
      <x:c r="X24" s="346" t="str">
        <x:v>Public beta/dev 2026</x:v>
      </x:c>
      <x:c r="Y24" s="346" t="str">
        <x:v>Public alpha/beta 2026</x:v>
      </x:c>
      <x:c r="Z24" s="346" t="str">
        <x:v>Public project by 2024</x:v>
      </x:c>
      <x:c r="AA24" s="380" t="str">
        <x:v>Public 2026</x:v>
      </x:c>
      <x:c r="AB24" s="346" t="str">
        <x:v>Public beta 2026</x:v>
      </x:c>
      <x:c r="AC24" s="346" t="str">
        <x:v>Public 2026</x:v>
      </x:c>
      <x:c r="AD24" s="346" t="str">
        <x:v>Alpha/public before 2026</x:v>
      </x:c>
      <x:c r="AE24" s="346" t="str">
        <x:v>Public beta 2026</x:v>
      </x:c>
    </x:row>
    <x:row r="25" ht="36" customHeight="1">
      <x:c r="A25" s="378" t="str">
        <x:v>Current State (α / β / final)</x:v>
      </x:c>
      <x:c r="B25" s="346" t="str">
        <x:v>Stable</x:v>
      </x:c>
      <x:c r="C25" s="346" t="str">
        <x:v>Beta / pre-1.0</x:v>
      </x:c>
      <x:c r="D25" s="346" t="str">
        <x:v>Alpha</x:v>
      </x:c>
      <x:c r="E25" s="346" t="str">
        <x:v>Public Beta</x:v>
      </x:c>
      <x:c r="F25" s="346" t="str">
        <x:v>Beta</x:v>
      </x:c>
      <x:c r="G25" s="346" t="str">
        <x:v>Stable open standard (spec v1.x)</x:v>
      </x:c>
      <x:c r="H25" s="346" t="str">
        <x:v>Alpha / WIP</x:v>
      </x:c>
      <x:c r="I25" s="346" t="str">
        <x:v>Stable</x:v>
      </x:c>
      <x:c r="J25" s="346" t="str">
        <x:v>TS6 Beta; TS3 stable</x:v>
      </x:c>
      <x:c r="K25" s="346" t="str">
        <x:v>Stable</x:v>
      </x:c>
      <x:c r="L25" s="346" t="str">
        <x:v>Stable</x:v>
      </x:c>
      <x:c r="M25" s="346" t="str">
        <x:v>Stable</x:v>
      </x:c>
      <x:c r="N25" s="346" t="str">
        <x:v>Open Beta</x:v>
      </x:c>
      <x:c r="O25" s="346" t="str">
        <x:v>Stable/public</x:v>
      </x:c>
      <x:c r="P25" s="346" t="str">
        <x:v>Public Beta</x:v>
      </x:c>
      <x:c r="Q25" s="346" t="str">
        <x:v>Open Beta</x:v>
      </x:c>
      <x:c r="R25" s="346" t="str">
        <x:v>Alpha / Beta</x:v>
      </x:c>
      <x:c r="S25" s="346" t="str">
        <x:v>Stable/public</x:v>
      </x:c>
      <x:c r="T25" s="346" t="str">
        <x:v>Alpha</x:v>
      </x:c>
      <x:c r="U25" s="346" t="str">
        <x:v>Beta</x:v>
      </x:c>
      <x:c r="V25" s="346" t="str">
        <x:v>Early Alpha</x:v>
      </x:c>
      <x:c r="W25" s="346" t="str">
        <x:v>Alpha / experimental</x:v>
      </x:c>
      <x:c r="X25" s="346" t="str">
        <x:v>Beta / active development</x:v>
      </x:c>
      <x:c r="Y25" s="346" t="str">
        <x:v>Alpha / Beta</x:v>
      </x:c>
      <x:c r="Z25" s="346" t="str">
        <x:v>Beta / active development</x:v>
      </x:c>
      <x:c r="AA25" s="380" t="str">
        <x:v>Stable/public</x:v>
      </x:c>
      <x:c r="AB25" s="346" t="str">
        <x:v>Beta</x:v>
      </x:c>
      <x:c r="AC25" s="346" t="str">
        <x:v>Beta / public</x:v>
      </x:c>
      <x:c r="AD25" s="346" t="str">
        <x:v>Alpha</x:v>
      </x:c>
      <x:c r="AE25" s="346" t="str">
        <x:v>Public Beta</x:v>
      </x:c>
    </x:row>
    <x:row r="26" ht="36" customHeight="1">
      <x:c r="A26" s="378" t="str">
        <x:v>Development State</x:v>
      </x:c>
      <x:c r="B26" s="346" t="str">
        <x:v>Active development</x:v>
      </x:c>
      <x:c r="C26" s="346" t="str">
        <x:v>Active</x:v>
      </x:c>
      <x:c r="D26" s="346" t="str">
        <x:v>Active alpha</x:v>
      </x:c>
      <x:c r="E26" s="346" t="str">
        <x:v>Active</x:v>
      </x:c>
      <x:c r="F26" s="346" t="str">
        <x:v>Active</x:v>
      </x:c>
      <x:c r="G26" s="346" t="str">
        <x:v>Active standard + ecosystem</x:v>
      </x:c>
      <x:c r="H26" s="346" t="str">
        <x:v>Active</x:v>
      </x:c>
      <x:c r="I26" s="346" t="str">
        <x:v>Active</x:v>
      </x:c>
      <x:c r="J26" s="346" t="str">
        <x:v>Active</x:v>
      </x:c>
      <x:c r="K26" s="346" t="str">
        <x:v>Active</x:v>
      </x:c>
      <x:c r="L26" s="346" t="str">
        <x:v>Active</x:v>
      </x:c>
      <x:c r="M26" s="346" t="str">
        <x:v>Active</x:v>
      </x:c>
      <x:c r="N26" s="346" t="str">
        <x:v>Active</x:v>
      </x:c>
      <x:c r="O26" s="346" t="str">
        <x:v>Active</x:v>
      </x:c>
      <x:c r="P26" s="346" t="str">
        <x:v>Active</x:v>
      </x:c>
      <x:c r="Q26" s="346" t="str">
        <x:v>Active</x:v>
      </x:c>
      <x:c r="R26" s="346" t="str">
        <x:v>Active experimental</x:v>
      </x:c>
      <x:c r="S26" s="346" t="str">
        <x:v>Active</x:v>
      </x:c>
      <x:c r="T26" s="346" t="str">
        <x:v>Active</x:v>
      </x:c>
      <x:c r="U26" s="346" t="str">
        <x:v>Active</x:v>
      </x:c>
      <x:c r="V26" s="346" t="str">
        <x:v>Active</x:v>
      </x:c>
      <x:c r="W26" s="346" t="str">
        <x:v>Active</x:v>
      </x:c>
      <x:c r="X26" s="346" t="str">
        <x:v>Active</x:v>
      </x:c>
      <x:c r="Y26" s="346" t="str">
        <x:v>Active</x:v>
      </x:c>
      <x:c r="Z26" s="346" t="str">
        <x:v>Active</x:v>
      </x:c>
      <x:c r="AA26" s="380" t="str">
        <x:v>Active</x:v>
      </x:c>
      <x:c r="AB26" s="346" t="str">
        <x:v>Active</x:v>
      </x:c>
      <x:c r="AC26" s="346" t="str">
        <x:v>Active</x:v>
      </x:c>
      <x:c r="AD26" s="346" t="str">
        <x:v>Active</x:v>
      </x:c>
      <x:c r="AE26" s="346" t="str">
        <x:v>Active</x:v>
      </x:c>
    </x:row>
    <x:row r="27" ht="36" customHeight="1">
      <x:c r="A27" s="378" t="str">
        <x:v>Developer Team Size</x:v>
      </x:c>
      <x:c r="B27" s="346" t="str">
        <x:v>U/K (Discord company size is 501–1,000 employees; developer-team subset is not public)</x:v>
      </x:c>
      <x:c r="C27" s="346" t="str">
        <x:v>Small open-source team; exact size U/K</x:v>
      </x:c>
      <x:c r="D27" s="346" t="str">
        <x:v>Solo founder-led / very small team</x:v>
      </x:c>
      <x:c r="E27" s="346" t="str">
        <x:v>Small team; founder-led; exact size U/K</x:v>
      </x:c>
      <x:c r="F27" s="346" t="str">
        <x:v>Company team; exact developer count U/K</x:v>
      </x:c>
      <x:c r="G27" s="346" t="str">
        <x:v>Matrix.org Foundation + many independent implementers</x:v>
      </x:c>
      <x:c r="H27" s="346" t="str">
        <x:v>Volunteer open-source project; exact size U/K</x:v>
      </x:c>
      <x:c r="I27" s="346" t="str">
        <x:v>Community open-source project</x:v>
      </x:c>
      <x:c r="J27" s="346" t="str">
        <x:v>Commercial company</x:v>
      </x:c>
      <x:c r="K27" s="346" t="str">
        <x:v>Independent company + open-source community</x:v>
      </x:c>
      <x:c r="L27" s="346" t="str">
        <x:v>Mattermost, Inc. + open-source community</x:v>
      </x:c>
      <x:c r="M27" s="346" t="str">
        <x:v>Rocket.Chat company + open-source community</x:v>
      </x:c>
      <x:c r="N27" s="346" t="str">
        <x:v>Founder-led / small team</x:v>
      </x:c>
      <x:c r="O27" s="346" t="str">
        <x:v>Small hobby/community project</x:v>
      </x:c>
      <x:c r="P27" s="346" t="str">
        <x:v>Small startup team</x:v>
      </x:c>
      <x:c r="Q27" s="346" t="str">
        <x:v>Small team</x:v>
      </x:c>
      <x:c r="R27" s="346" t="str">
        <x:v>Small team / founder-led</x:v>
      </x:c>
      <x:c r="S27" s="346" t="str">
        <x:v>Company/open-source team</x:v>
      </x:c>
      <x:c r="T27" s="346" t="str">
        <x:v>Small team</x:v>
      </x:c>
      <x:c r="U27" s="346" t="str">
        <x:v>Small team/founder-led</x:v>
      </x:c>
      <x:c r="V27" s="346" t="str">
        <x:v>Small volunteer team</x:v>
      </x:c>
      <x:c r="W27" s="346" t="str">
        <x:v>Small open-source team</x:v>
      </x:c>
      <x:c r="X27" s="346" t="str">
        <x:v>Small open-source team</x:v>
      </x:c>
      <x:c r="Y27" s="346" t="str">
        <x:v>Solo developer</x:v>
      </x:c>
      <x:c r="Z27" s="346" t="str">
        <x:v>Solo/very small contributor group</x:v>
      </x:c>
      <x:c r="AA27" s="380" t="str">
        <x:v>Small company/team</x:v>
      </x:c>
      <x:c r="AB27" s="346" t="str">
        <x:v>Solo/small open-source team</x:v>
      </x:c>
      <x:c r="AC27" s="346" t="str">
        <x:v>Tiny Canadian team</x:v>
      </x:c>
      <x:c r="AD27" s="346" t="str">
        <x:v>Volunteer/open-source team</x:v>
      </x:c>
      <x:c r="AE27" s="346" t="str">
        <x:v>Solo developer</x:v>
      </x:c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6">
    <x:cfRule type="expression" dxfId="20" priority="1">
      <x:formula>ISNUMBER(SEARCH("U/K",B3))</x:formula>
    </x:cfRule>
    <x:cfRule type="expression" dxfId="21" priority="2">
      <x:formula>OR(B3="N/A",LEFT(B3,4)="N/A ")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" max="1" width="36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Basic Features - expanded day-to-day messaging and identity features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v>Discord</x:v>
      </x:c>
      <x:c r="C2" s="376" t="str">
        <x:v>Stoat</x:v>
      </x:c>
      <x:c r="D2" s="376" t="str">
        <x:v>Fenrid</x:v>
      </x:c>
      <x:c r="E2" s="376" t="str">
        <x:v>Fluxer</x:v>
      </x:c>
      <x:c r="F2" s="376" t="str">
        <x:v>Root</x:v>
      </x:c>
      <x:c r="G2" s="376" t="str">
        <x:v>Matrix</x:v>
      </x:c>
      <x:c r="H2" s="376" t="str">
        <x:v>Spacebar</x:v>
      </x:c>
      <x:c r="I2" s="376" t="str">
        <x:v>Mumble</x:v>
      </x:c>
      <x:c r="J2" s="376" t="str">
        <x:v>TeamSpeak</x:v>
      </x:c>
      <x:c r="K2" s="377" t="str">
        <x:v>Zulip</x:v>
      </x:c>
      <x:c r="L2" s="376" t="str">
        <x:v>Mattermost</x:v>
      </x:c>
      <x:c r="M2" s="376" t="str">
        <x:v>Rocket.Chat</x:v>
      </x:c>
      <x:c r="N2" s="376" t="str">
        <x:v>GameVox</x:v>
      </x:c>
      <x:c r="O2" s="376" t="str">
        <x:v>Nerimity</x:v>
      </x:c>
      <x:c r="P2" s="376" t="str">
        <x:v>Osmium</x:v>
      </x:c>
      <x:c r="Q2" s="376" t="str">
        <x:v>Loqa</x:v>
      </x:c>
      <x:c r="R2" s="376" t="str">
        <x:v>Venta</x:v>
      </x:c>
      <x:c r="S2" s="376" t="str">
        <x:v>Mezon</x:v>
      </x:c>
      <x:c r="T2" s="376" t="str">
        <x:v>Kloak</x:v>
      </x:c>
      <x:c r="U2" s="376" t="str">
        <x:v>Yapper</x:v>
      </x:c>
      <x:c r="V2" s="376" t="str">
        <x:v>Harmony</x:v>
      </x:c>
      <x:c r="W2" s="376" t="str">
        <x:v>Roomy</x:v>
      </x:c>
      <x:c r="X2" s="376" t="str">
        <x:v>Armada</x:v>
      </x:c>
      <x:c r="Y2" s="376" t="str">
        <x:v>Hollow</x:v>
      </x:c>
      <x:c r="Z2" s="376" t="str">
        <x:v>DCTS</x:v>
      </x:c>
      <x:c r="AA2" s="383" t="str">
        <x:v>Rift</x:v>
      </x:c>
      <x:c r="AB2" s="376" t="str">
        <x:v>pqp.gg</x:v>
      </x:c>
      <x:c r="AC2" s="376" t="str">
        <x:v>Echon</x:v>
      </x:c>
      <x:c r="AD2" s="376" t="str">
        <x:v>Valour</x:v>
      </x:c>
      <x:c r="AE2" s="376" t="str">
        <x:v>Weered</x:v>
      </x:c>
    </x:row>
    <x:row r="3" ht="23" customHeight="1">
      <x:c r="A3" s="403" t="str">
        <x:v>Discovery &amp; Search</x:v>
      </x:c>
      <x:c r="B3" s="403"/>
      <x:c r="C3" s="403"/>
      <x:c r="D3" s="403"/>
      <x:c r="E3" s="403"/>
      <x:c r="F3" s="403"/>
      <x:c r="G3" s="403"/>
      <x:c r="H3" s="403"/>
      <x:c r="I3" s="403"/>
      <x:c r="J3" s="403"/>
      <x:c r="K3" s="403"/>
      <x:c r="L3" s="404"/>
      <x:c r="M3" s="404"/>
      <x:c r="N3" s="404"/>
      <x:c r="O3" s="404"/>
      <x:c r="P3" s="404"/>
      <x:c r="Q3" s="404"/>
      <x:c r="R3" s="404"/>
      <x:c r="S3" s="404"/>
      <x:c r="T3" s="404"/>
      <x:c r="U3" s="404"/>
      <x:c r="V3" s="404"/>
      <x:c r="W3" s="404"/>
      <x:c r="X3" s="404"/>
      <x:c r="Y3" s="404"/>
      <x:c r="Z3" s="404"/>
      <x:c r="AA3" s="404"/>
      <x:c r="AB3" s="404"/>
      <x:c r="AC3" s="404"/>
      <x:c r="AD3" s="404"/>
      <x:c r="AE3" s="404"/>
    </x:row>
    <x:row r="4" ht="36" customHeight="1">
      <x:c r="A4" s="358" t="str">
        <x:v>Server Search</x:v>
      </x:c>
      <x:c r="B4" s="344" t="str">
        <x:v>Yes - server message search; Server Discovery exists for eligible public communities</x:v>
      </x:c>
      <x:c r="C4" s="344" t="str">
        <x:v>Yes</x:v>
      </x:c>
      <x:c r="D4" s="344" t="str">
        <x:v>Yes</x:v>
      </x:c>
      <x:c r="E4" s="344" t="str">
        <x:v>Yes</x:v>
      </x:c>
      <x:c r="F4" s="344" t="str">
        <x:v>Yes</x:v>
      </x:c>
      <x:c r="G4" s="344" t="str">
        <x:v>Client-dependent</x:v>
      </x:c>
      <x:c r="H4" s="344" t="str">
        <x:v>Yes/target</x:v>
      </x:c>
      <x:c r="I4" s="344" t="str">
        <x:v>N/A</x:v>
      </x:c>
      <x:c r="J4" s="344" t="str">
        <x:v>U/K</x:v>
      </x:c>
      <x:c r="K4" s="345" t="str">
        <x:v>Yes</x:v>
      </x:c>
      <x:c r="L4" s="346" t="str">
        <x:v>Yes</x:v>
      </x:c>
      <x:c r="M4" s="346" t="str">
        <x:v>Yes</x:v>
      </x:c>
      <x:c r="N4" s="346" t="str">
        <x:v>Yes</x:v>
      </x:c>
      <x:c r="O4" s="346" t="str">
        <x:v>Yes</x:v>
      </x:c>
      <x:c r="P4" s="346" t="str">
        <x:v>Yes</x:v>
      </x:c>
      <x:c r="Q4" s="346" t="str">
        <x:v>Yes</x:v>
      </x:c>
      <x:c r="R4" s="346" t="str">
        <x:v>U/K</x:v>
      </x:c>
      <x:c r="S4" s="346" t="str">
        <x:v>Yes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Yes/U/K</x:v>
      </x:c>
      <x:c r="X4" s="346" t="str">
        <x:v>U/K</x:v>
      </x:c>
      <x:c r="Y4" s="346" t="str">
        <x:v>U/K</x:v>
      </x:c>
      <x:c r="Z4" s="346" t="str">
        <x:v>Yes</x:v>
      </x:c>
      <x:c r="AA4" s="380" t="str">
        <x:v>Yes</x:v>
      </x:c>
      <x:c r="AB4" s="346" t="str">
        <x:v>Yes</x:v>
      </x:c>
      <x:c r="AC4" s="346" t="str">
        <x:v>Yes</x:v>
      </x:c>
      <x:c r="AD4" s="346" t="str">
        <x:v>Yes</x:v>
      </x:c>
      <x:c r="AE4" s="346" t="str">
        <x:v>Yes</x:v>
      </x:c>
    </x:row>
    <x:row r="5" ht="36" customHeight="1">
      <x:c r="A5" s="358" t="str">
        <x:v>DM Search</x:v>
      </x:c>
      <x:c r="B5" s="344" t="str">
        <x:v>Yes</x:v>
      </x:c>
      <x:c r="C5" s="344" t="str">
        <x:v>Yes</x:v>
      </x:c>
      <x:c r="D5" s="344" t="str">
        <x:v>Yes</x:v>
      </x:c>
      <x:c r="E5" s="344" t="str">
        <x:v>Yes</x:v>
      </x:c>
      <x:c r="F5" s="344" t="str">
        <x:v>Yes</x:v>
      </x:c>
      <x:c r="G5" s="344" t="str">
        <x:v>Client-dependent</x:v>
      </x:c>
      <x:c r="H5" s="344" t="str">
        <x:v>Yes/target</x:v>
      </x:c>
      <x:c r="I5" s="344" t="str">
        <x:v>N/A</x:v>
      </x:c>
      <x:c r="J5" s="344" t="str">
        <x:v>U/K</x:v>
      </x:c>
      <x:c r="K5" s="345" t="str">
        <x:v>Yes</x:v>
      </x:c>
      <x:c r="L5" s="346" t="str">
        <x:v>Yes</x:v>
      </x:c>
      <x:c r="M5" s="346" t="str">
        <x:v>Yes</x:v>
      </x:c>
      <x:c r="N5" s="346" t="str">
        <x:v>Yes/U/K</x:v>
      </x:c>
      <x:c r="O5" s="346" t="str">
        <x:v>Yes</x:v>
      </x:c>
      <x:c r="P5" s="346" t="str">
        <x:v>Yes</x:v>
      </x:c>
      <x:c r="Q5" s="346" t="str">
        <x:v>Yes</x:v>
      </x:c>
      <x:c r="R5" s="346" t="str">
        <x:v>U/K</x:v>
      </x:c>
      <x:c r="S5" s="346" t="str">
        <x:v>Yes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Yes/U/K</x:v>
      </x:c>
      <x:c r="AA5" s="380" t="str">
        <x:v>Yes</x:v>
      </x:c>
      <x:c r="AB5" s="346" t="str">
        <x:v>Yes</x:v>
      </x:c>
      <x:c r="AC5" s="346" t="str">
        <x:v>Yes</x:v>
      </x:c>
      <x:c r="AD5" s="346" t="str">
        <x:v>Yes/U/K</x:v>
      </x:c>
      <x:c r="AE5" s="346" t="str">
        <x:v>Yes</x:v>
      </x:c>
    </x:row>
    <x:row r="6" ht="36" customHeight="1">
      <x:c r="A6" s="358" t="str">
        <x:v>Channel / Room Search</x:v>
      </x:c>
      <x:c r="B6" s="344" t="str">
        <x:v>Yes</x:v>
      </x:c>
      <x:c r="C6" s="344" t="str">
        <x:v>U/K</x:v>
      </x:c>
      <x:c r="D6" s="344" t="str">
        <x:v>U/K</x:v>
      </x:c>
      <x:c r="E6" s="344" t="str">
        <x:v>U/K</x:v>
      </x:c>
      <x:c r="F6" s="344" t="str">
        <x:v>U/K</x:v>
      </x:c>
      <x:c r="G6" s="344" t="str">
        <x:v>Client-dependent</x:v>
      </x:c>
      <x:c r="H6" s="344" t="str">
        <x:v>U/K</x:v>
      </x:c>
      <x:c r="I6" s="344" t="str">
        <x:v>U/K</x:v>
      </x:c>
      <x:c r="J6" s="344" t="str">
        <x:v>U/K</x:v>
      </x:c>
      <x:c r="K6" s="345" t="str">
        <x:v>Yes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Yes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23" customHeight="1">
      <x:c r="A7" s="411" t="str">
        <x:v>Messages &amp; Rich Content</x:v>
      </x:c>
      <x:c r="B7" s="412"/>
      <x:c r="C7" s="412"/>
      <x:c r="D7" s="412"/>
      <x:c r="E7" s="412"/>
      <x:c r="F7" s="412"/>
      <x:c r="G7" s="412"/>
      <x:c r="H7" s="412"/>
      <x:c r="I7" s="412"/>
      <x:c r="J7" s="412"/>
      <x:c r="K7" s="413"/>
      <x:c r="L7" s="389"/>
      <x:c r="M7" s="389"/>
      <x:c r="N7" s="389"/>
      <x:c r="O7" s="389"/>
      <x:c r="P7" s="389"/>
      <x:c r="Q7" s="389"/>
      <x:c r="R7" s="389"/>
      <x:c r="S7" s="389"/>
      <x:c r="T7" s="389"/>
      <x:c r="U7" s="389"/>
      <x:c r="V7" s="389"/>
      <x:c r="W7" s="389"/>
      <x:c r="X7" s="389"/>
      <x:c r="Y7" s="389"/>
      <x:c r="Z7" s="389"/>
      <x:c r="AA7" s="389"/>
      <x:c r="AB7" s="389"/>
      <x:c r="AC7" s="389"/>
      <x:c r="AD7" s="389"/>
      <x:c r="AE7" s="389"/>
    </x:row>
    <x:row r="8" ht="36" customHeight="1">
      <x:c r="A8" s="358" t="str">
        <x:v>Message Reactions</x:v>
      </x:c>
      <x:c r="B8" s="344" t="str">
        <x:v>Yes</x:v>
      </x:c>
      <x:c r="C8" s="344" t="str">
        <x:v>Yes</x:v>
      </x:c>
      <x:c r="D8" s="344" t="str">
        <x:v>U/K</x:v>
      </x:c>
      <x:c r="E8" s="344" t="str">
        <x:v>U/K</x:v>
      </x:c>
      <x:c r="F8" s="344" t="str">
        <x:v>U/K</x:v>
      </x:c>
      <x:c r="G8" s="344" t="str">
        <x:v>Yes</x:v>
      </x:c>
      <x:c r="H8" s="344" t="str">
        <x:v>U/K</x:v>
      </x:c>
      <x:c r="I8" s="344" t="str">
        <x:v>U/K</x:v>
      </x:c>
      <x:c r="J8" s="344" t="str">
        <x:v>U/K</x:v>
      </x:c>
      <x:c r="K8" s="345" t="str">
        <x:v>Yes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8" t="str">
        <x:v>Inline Replies</x:v>
      </x:c>
      <x:c r="B9" s="344" t="str">
        <x:v>Yes</x:v>
      </x:c>
      <x:c r="C9" s="344" t="str">
        <x:v>Yes</x:v>
      </x:c>
      <x:c r="D9" s="344" t="str">
        <x:v>Yes</x:v>
      </x:c>
      <x:c r="E9" s="344" t="str">
        <x:v>Yes</x:v>
      </x:c>
      <x:c r="F9" s="344" t="str">
        <x:v>Yes</x:v>
      </x:c>
      <x:c r="G9" s="344" t="str">
        <x:v>Yes via reply relation</x:v>
      </x:c>
      <x:c r="H9" s="344" t="str">
        <x:v>Yes</x:v>
      </x:c>
      <x:c r="I9" s="344" t="str">
        <x:v>Limited text replies N/A</x:v>
      </x:c>
      <x:c r="J9" s="344" t="str">
        <x:v>U/K</x:v>
      </x:c>
      <x:c r="K9" s="345" t="str">
        <x:v>Yes</x:v>
      </x:c>
      <x:c r="L9" s="346" t="str">
        <x:v>Yes</x:v>
      </x:c>
      <x:c r="M9" s="346" t="str">
        <x:v>Yes</x:v>
      </x:c>
      <x:c r="N9" s="346" t="str">
        <x:v>Yes</x:v>
      </x:c>
      <x:c r="O9" s="346" t="str">
        <x:v>Yes</x:v>
      </x:c>
      <x:c r="P9" s="346" t="str">
        <x:v>Yes</x:v>
      </x:c>
      <x:c r="Q9" s="346" t="str">
        <x:v>Yes</x:v>
      </x:c>
      <x:c r="R9" s="346" t="str">
        <x:v>Yes/U/K</x:v>
      </x:c>
      <x:c r="S9" s="346" t="str">
        <x:v>Yes</x:v>
      </x:c>
      <x:c r="T9" s="346" t="str">
        <x:v>Yes/U/K</x:v>
      </x:c>
      <x:c r="U9" s="346" t="str">
        <x:v>U/K</x:v>
      </x:c>
      <x:c r="V9" s="346" t="str">
        <x:v>U/K</x:v>
      </x:c>
      <x:c r="W9" s="346" t="str">
        <x:v>Yes/U/K</x:v>
      </x:c>
      <x:c r="X9" s="346" t="str">
        <x:v>Yes</x:v>
      </x:c>
      <x:c r="Y9" s="346" t="str">
        <x:v>Yes</x:v>
      </x:c>
      <x:c r="Z9" s="346" t="str">
        <x:v>Yes</x:v>
      </x:c>
      <x:c r="AA9" s="380" t="str">
        <x:v>Yes</x:v>
      </x:c>
      <x:c r="AB9" s="346" t="str">
        <x:v>Yes</x:v>
      </x:c>
      <x:c r="AC9" s="346" t="str">
        <x:v>Yes</x:v>
      </x:c>
      <x:c r="AD9" s="346" t="str">
        <x:v>Yes</x:v>
      </x:c>
      <x:c r="AE9" s="346" t="str">
        <x:v>Yes</x:v>
      </x:c>
    </x:row>
    <x:row r="10" ht="36" customHeight="1">
      <x:c r="A10" s="358" t="str">
        <x:v>Message Editing</x:v>
      </x:c>
      <x:c r="B10" s="344" t="str">
        <x:v>Yes</x:v>
      </x:c>
      <x:c r="C10" s="344" t="str">
        <x:v>Yes</x:v>
      </x:c>
      <x:c r="D10" s="344" t="str">
        <x:v>U/K</x:v>
      </x:c>
      <x:c r="E10" s="344" t="str">
        <x:v>U/K</x:v>
      </x:c>
      <x:c r="F10" s="344" t="str">
        <x:v>U/K</x:v>
      </x:c>
      <x:c r="G10" s="344" t="str">
        <x:v>Yes</x:v>
      </x:c>
      <x:c r="H10" s="344" t="str">
        <x:v>U/K</x:v>
      </x:c>
      <x:c r="I10" s="344" t="str">
        <x:v>U/K</x:v>
      </x:c>
      <x:c r="J10" s="344" t="str">
        <x:v>U/K</x:v>
      </x:c>
      <x:c r="K10" s="345" t="str">
        <x:v>Yes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Yes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8" t="str">
        <x:v>Message Deletion</x:v>
      </x:c>
      <x:c r="B11" s="344" t="str">
        <x:v>Yes</x:v>
      </x:c>
      <x:c r="C11" s="344" t="str">
        <x:v>Yes</x:v>
      </x:c>
      <x:c r="D11" s="344" t="str">
        <x:v>U/K</x:v>
      </x:c>
      <x:c r="E11" s="344" t="str">
        <x:v>U/K</x:v>
      </x:c>
      <x:c r="F11" s="344" t="str">
        <x:v>U/K</x:v>
      </x:c>
      <x:c r="G11" s="344" t="str">
        <x:v>Yes</x:v>
      </x:c>
      <x:c r="H11" s="344" t="str">
        <x:v>U/K</x:v>
      </x:c>
      <x:c r="I11" s="344" t="str">
        <x:v>U/K</x:v>
      </x:c>
      <x:c r="J11" s="344" t="str">
        <x:v>U/K</x:v>
      </x:c>
      <x:c r="K11" s="345" t="str">
        <x:v>Yes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Yes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8" t="str">
        <x:v>Spoiler Formatting</x:v>
      </x:c>
      <x:c r="B12" s="344" t="str">
        <x:v>Yes</x:v>
      </x:c>
      <x:c r="C12" s="344" t="str">
        <x:v>U/K</x:v>
      </x:c>
      <x:c r="D12" s="344" t="str">
        <x:v>U/K</x:v>
      </x:c>
      <x:c r="E12" s="344" t="str">
        <x:v>U/K</x:v>
      </x:c>
      <x:c r="F12" s="344" t="str">
        <x:v>U/K</x:v>
      </x:c>
      <x:c r="G12" s="344" t="str">
        <x:v>Client-dependent</x:v>
      </x:c>
      <x:c r="H12" s="344" t="str">
        <x:v>U/K</x:v>
      </x:c>
      <x:c r="I12" s="344" t="str">
        <x:v>U/K</x:v>
      </x:c>
      <x:c r="J12" s="344" t="str">
        <x:v>U/K</x:v>
      </x:c>
      <x:c r="K12" s="345" t="str">
        <x:v>Yes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97" t="str">
        <x:v>Code Blocks</x:v>
      </x:c>
      <x:c r="B13" s="349" t="str">
        <x:v>Yes</x:v>
      </x:c>
      <x:c r="C13" s="349" t="str">
        <x:v>U/K</x:v>
      </x:c>
      <x:c r="D13" s="349" t="str">
        <x:v>U/K</x:v>
      </x:c>
      <x:c r="E13" s="349" t="str">
        <x:v>U/K</x:v>
      </x:c>
      <x:c r="F13" s="349" t="str">
        <x:v>U/K</x:v>
      </x:c>
      <x:c r="G13" s="349" t="str">
        <x:v>Client-dependent</x:v>
      </x:c>
      <x:c r="H13" s="349" t="str">
        <x:v>U/K</x:v>
      </x:c>
      <x:c r="I13" s="349" t="str">
        <x:v>U/K</x:v>
      </x:c>
      <x:c r="J13" s="349" t="str">
        <x:v>U/K</x:v>
      </x:c>
      <x:c r="K13" s="395" t="str">
        <x:v>Yes</x:v>
      </x:c>
      <x:c r="L13" s="349" t="str">
        <x:v>U/K</x:v>
      </x:c>
      <x:c r="M13" s="349" t="str">
        <x:v>U/K</x:v>
      </x:c>
      <x:c r="N13" s="349" t="str">
        <x:v>U/K</x:v>
      </x:c>
      <x:c r="O13" s="349" t="str">
        <x:v>U/K</x:v>
      </x:c>
      <x:c r="P13" s="349" t="str">
        <x:v>U/K</x:v>
      </x:c>
      <x:c r="Q13" s="349" t="str">
        <x:v>U/K</x:v>
      </x:c>
      <x:c r="R13" s="349" t="str">
        <x:v>U/K</x:v>
      </x:c>
      <x:c r="S13" s="349" t="str">
        <x:v>U/K</x:v>
      </x:c>
      <x:c r="T13" s="349" t="str">
        <x:v>U/K</x:v>
      </x:c>
      <x:c r="U13" s="349" t="str">
        <x:v>U/K</x:v>
      </x:c>
      <x:c r="V13" s="349" t="str">
        <x:v>U/K</x:v>
      </x:c>
      <x:c r="W13" s="349" t="str">
        <x:v>U/K</x:v>
      </x:c>
      <x:c r="X13" s="349" t="str">
        <x:v>U/K</x:v>
      </x:c>
      <x:c r="Y13" s="349" t="str">
        <x:v>U/K</x:v>
      </x:c>
      <x:c r="Z13" s="349" t="str">
        <x:v>U/K</x:v>
      </x:c>
      <x:c r="AA13" s="381" t="str">
        <x:v>Yes/U/K</x:v>
      </x:c>
      <x:c r="AB13" s="349" t="str">
        <x:v>U/K</x:v>
      </x:c>
      <x:c r="AC13" s="349" t="str">
        <x:v>U/K</x:v>
      </x:c>
      <x:c r="AD13" s="349" t="str">
        <x:v>U/K</x:v>
      </x:c>
      <x:c r="AE13" s="349" t="str">
        <x:v>U/K</x:v>
      </x:c>
    </x:row>
    <x:row r="14" ht="36" customHeight="1">
      <x:c r="A14" s="378" t="str">
        <x:v>Voice Messages</x:v>
      </x:c>
      <x:c r="B14" s="346" t="str">
        <x:v>Yes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Client-dependent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Yes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23" customHeight="1">
      <x:c r="A15" s="389" t="str">
        <x:v>Emoji, Stickers &amp; Pins</x:v>
      </x:c>
      <x:c r="B15" s="389"/>
      <x:c r="C15" s="389"/>
      <x:c r="D15" s="389"/>
      <x:c r="E15" s="389"/>
      <x:c r="F15" s="389"/>
      <x:c r="G15" s="389"/>
      <x:c r="H15" s="389"/>
      <x:c r="I15" s="389"/>
      <x:c r="J15" s="389"/>
      <x:c r="K15" s="389"/>
      <x:c r="L15" s="389"/>
      <x:c r="M15" s="389"/>
      <x:c r="N15" s="389"/>
      <x:c r="O15" s="389"/>
      <x:c r="P15" s="389"/>
      <x:c r="Q15" s="389"/>
      <x:c r="R15" s="389"/>
      <x:c r="S15" s="389"/>
      <x:c r="T15" s="389"/>
      <x:c r="U15" s="389"/>
      <x:c r="V15" s="389"/>
      <x:c r="W15" s="389"/>
      <x:c r="X15" s="389"/>
      <x:c r="Y15" s="389"/>
      <x:c r="Z15" s="389"/>
      <x:c r="AA15" s="389"/>
      <x:c r="AB15" s="389"/>
      <x:c r="AC15" s="389"/>
      <x:c r="AD15" s="389"/>
      <x:c r="AE15" s="389"/>
    </x:row>
    <x:row r="16" ht="36" customHeight="1">
      <x:c r="A16" s="378" t="str">
        <x:v>Integrated Emoji</x:v>
      </x:c>
      <x:c r="B16" s="346" t="str">
        <x:v>Yes</x:v>
      </x:c>
      <x:c r="C16" s="346" t="str">
        <x:v>Yes</x:v>
      </x:c>
      <x:c r="D16" s="346" t="str">
        <x:v>Yes</x:v>
      </x:c>
      <x:c r="E16" s="346" t="str">
        <x:v>Yes</x:v>
      </x:c>
      <x:c r="F16" s="346" t="str">
        <x:v>Yes</x:v>
      </x:c>
      <x:c r="G16" s="346" t="str">
        <x:v>Client-dependent</x:v>
      </x:c>
      <x:c r="H16" s="346" t="str">
        <x:v>Yes</x:v>
      </x:c>
      <x:c r="I16" s="346" t="str">
        <x:v>N/A</x:v>
      </x:c>
      <x:c r="J16" s="346" t="str">
        <x:v>Yes</x:v>
      </x:c>
      <x:c r="K16" s="346" t="str">
        <x:v>Yes</x:v>
      </x:c>
      <x:c r="L16" s="346" t="str">
        <x:v>Yes</x:v>
      </x:c>
      <x:c r="M16" s="346" t="str">
        <x:v>Yes</x:v>
      </x:c>
      <x:c r="N16" s="346" t="str">
        <x:v>Yes</x:v>
      </x:c>
      <x:c r="O16" s="346" t="str">
        <x:v>Yes</x:v>
      </x:c>
      <x:c r="P16" s="346" t="str">
        <x:v>Yes</x:v>
      </x:c>
      <x:c r="Q16" s="346" t="str">
        <x:v>Yes</x:v>
      </x:c>
      <x:c r="R16" s="346" t="str">
        <x:v>Yes/U/K</x:v>
      </x:c>
      <x:c r="S16" s="346" t="str">
        <x:v>Yes</x:v>
      </x:c>
      <x:c r="T16" s="346" t="str">
        <x:v>Yes</x:v>
      </x:c>
      <x:c r="U16" s="346" t="str">
        <x:v>U/K</x:v>
      </x:c>
      <x:c r="V16" s="346" t="str">
        <x:v>Yes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Yes</x:v>
      </x:c>
      <x:c r="AA16" s="380" t="str">
        <x:v>Yes</x:v>
      </x:c>
      <x:c r="AB16" s="346" t="str">
        <x:v>Yes</x:v>
      </x:c>
      <x:c r="AC16" s="346" t="str">
        <x:v>Yes</x:v>
      </x:c>
      <x:c r="AD16" s="346" t="str">
        <x:v>Yes</x:v>
      </x:c>
      <x:c r="AE16" s="346" t="str">
        <x:v>Yes</x:v>
      </x:c>
    </x:row>
    <x:row r="17" ht="36" customHeight="1">
      <x:c r="A17" s="378" t="str">
        <x:v>Custom Emoji</x:v>
      </x:c>
      <x:c r="B17" s="346" t="str">
        <x:v>Yes</x:v>
      </x:c>
      <x:c r="C17" s="346" t="str">
        <x:v>Yes</x:v>
      </x:c>
      <x:c r="D17" s="346" t="str">
        <x:v>Yes</x:v>
      </x:c>
      <x:c r="E17" s="346" t="str">
        <x:v>Yes</x:v>
      </x:c>
      <x:c r="F17" s="346" t="str">
        <x:v>Yes</x:v>
      </x:c>
      <x:c r="G17" s="346" t="str">
        <x:v>Client-dependent</x:v>
      </x:c>
      <x:c r="H17" s="346" t="str">
        <x:v>Yes</x:v>
      </x:c>
      <x:c r="I17" s="346" t="str">
        <x:v>N/A</x:v>
      </x:c>
      <x:c r="J17" s="346" t="str">
        <x:v>Yes/U/K</x:v>
      </x:c>
      <x:c r="K17" s="346" t="str">
        <x:v>Yes</x:v>
      </x:c>
      <x:c r="L17" s="346" t="str">
        <x:v>Custom emoji yes</x:v>
      </x:c>
      <x:c r="M17" s="346" t="str">
        <x:v>Yes</x:v>
      </x:c>
      <x:c r="N17" s="346" t="str">
        <x:v>Yes</x:v>
      </x:c>
      <x:c r="O17" s="346" t="str">
        <x:v>Yes</x:v>
      </x:c>
      <x:c r="P17" s="346" t="str">
        <x:v>Yes</x:v>
      </x:c>
      <x:c r="Q17" s="346" t="str">
        <x:v>Yes</x:v>
      </x:c>
      <x:c r="R17" s="346" t="str">
        <x:v>Yes/U/K</x:v>
      </x:c>
      <x:c r="S17" s="346" t="str">
        <x:v>Yes</x:v>
      </x:c>
      <x:c r="T17" s="346" t="str">
        <x:v>U/K</x:v>
      </x:c>
      <x:c r="U17" s="346" t="str">
        <x:v>U/K</x:v>
      </x:c>
      <x:c r="V17" s="346" t="str">
        <x:v>Yes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Yes/U/K</x:v>
      </x:c>
      <x:c r="AA17" s="380" t="str">
        <x:v>Yes/U/K</x:v>
      </x:c>
      <x:c r="AB17" s="346" t="str">
        <x:v>Yes</x:v>
      </x:c>
      <x:c r="AC17" s="346" t="str">
        <x:v>Yes</x:v>
      </x:c>
      <x:c r="AD17" s="346" t="str">
        <x:v>Yes</x:v>
      </x:c>
      <x:c r="AE17" s="346" t="str">
        <x:v>U/K</x:v>
      </x:c>
    </x:row>
    <x:row r="18" ht="36" customHeight="1">
      <x:c r="A18" s="378" t="str">
        <x:v>Custom Stickers</x:v>
      </x:c>
      <x:c r="B18" s="346" t="str">
        <x:v>Yes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Client-dependent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78" t="str">
        <x:v>Pinned Server Messages</x:v>
      </x:c>
      <x:c r="B19" s="346" t="str">
        <x:v>Yes</x:v>
      </x:c>
      <x:c r="C19" s="346" t="str">
        <x:v>Yes</x:v>
      </x:c>
      <x:c r="D19" s="346" t="str">
        <x:v>U/K</x:v>
      </x:c>
      <x:c r="E19" s="346" t="str">
        <x:v>Yes</x:v>
      </x:c>
      <x:c r="F19" s="346" t="str">
        <x:v>Yes</x:v>
      </x:c>
      <x:c r="G19" s="346" t="str">
        <x:v>Client-dependent</x:v>
      </x:c>
      <x:c r="H19" s="346" t="str">
        <x:v>Yes</x:v>
      </x:c>
      <x:c r="I19" s="346" t="str">
        <x:v>N/A</x:v>
      </x:c>
      <x:c r="J19" s="346" t="str">
        <x:v>U/K</x:v>
      </x:c>
      <x:c r="K19" s="346" t="str">
        <x:v>Yes</x:v>
      </x:c>
      <x:c r="L19" s="346" t="str">
        <x:v>Yes</x:v>
      </x:c>
      <x:c r="M19" s="346" t="str">
        <x:v>Yes</x:v>
      </x:c>
      <x:c r="N19" s="346" t="str">
        <x:v>Yes</x:v>
      </x:c>
      <x:c r="O19" s="346" t="str">
        <x:v>Yes</x:v>
      </x:c>
      <x:c r="P19" s="346" t="str">
        <x:v>Yes</x:v>
      </x:c>
      <x:c r="Q19" s="346" t="str">
        <x:v>Yes</x:v>
      </x:c>
      <x:c r="R19" s="346" t="str">
        <x:v>U/K</x:v>
      </x:c>
      <x:c r="S19" s="346" t="str">
        <x:v>Yes</x:v>
      </x:c>
      <x:c r="T19" s="346" t="str">
        <x:v>Yes/U/K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Yes/U/K</x:v>
      </x:c>
      <x:c r="AA19" s="380" t="str">
        <x:v>Yes</x:v>
      </x:c>
      <x:c r="AB19" s="346" t="str">
        <x:v>Yes</x:v>
      </x:c>
      <x:c r="AC19" s="346" t="str">
        <x:v>Yes</x:v>
      </x:c>
      <x:c r="AD19" s="346" t="str">
        <x:v>Yes</x:v>
      </x:c>
      <x:c r="AE19" s="346" t="str">
        <x:v>U/K</x:v>
      </x:c>
    </x:row>
    <x:row r="20" ht="36" customHeight="1">
      <x:c r="A20" s="378" t="str">
        <x:v>Pinned DM Messages</x:v>
      </x:c>
      <x:c r="B20" s="346" t="str">
        <x:v>Yes</x:v>
      </x:c>
      <x:c r="C20" s="346" t="str">
        <x:v>Yes</x:v>
      </x:c>
      <x:c r="D20" s="346" t="str">
        <x:v>U/K</x:v>
      </x:c>
      <x:c r="E20" s="346" t="str">
        <x:v>Yes</x:v>
      </x:c>
      <x:c r="F20" s="346" t="str">
        <x:v>Yes</x:v>
      </x:c>
      <x:c r="G20" s="346" t="str">
        <x:v>Client-dependent</x:v>
      </x:c>
      <x:c r="H20" s="346" t="str">
        <x:v>Yes</x:v>
      </x:c>
      <x:c r="I20" s="346" t="str">
        <x:v>N/A</x:v>
      </x:c>
      <x:c r="J20" s="346" t="str">
        <x:v>U/K</x:v>
      </x:c>
      <x:c r="K20" s="346" t="str">
        <x:v>Yes</x:v>
      </x:c>
      <x:c r="L20" s="346" t="str">
        <x:v>Yes</x:v>
      </x:c>
      <x:c r="M20" s="346" t="str">
        <x:v>Yes</x:v>
      </x:c>
      <x:c r="N20" s="346" t="str">
        <x:v>Yes</x:v>
      </x:c>
      <x:c r="O20" s="346" t="str">
        <x:v>Yes</x:v>
      </x:c>
      <x:c r="P20" s="346" t="str">
        <x:v>Yes</x:v>
      </x:c>
      <x:c r="Q20" s="346" t="str">
        <x:v>Yes</x:v>
      </x:c>
      <x:c r="R20" s="346" t="str">
        <x:v>U/K</x:v>
      </x:c>
      <x:c r="S20" s="346" t="str">
        <x:v>Yes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Yes/U/K</x:v>
      </x:c>
      <x:c r="AA20" s="380" t="str">
        <x:v>Yes</x:v>
      </x:c>
      <x:c r="AB20" s="346" t="str">
        <x:v>Yes</x:v>
      </x:c>
      <x:c r="AC20" s="346" t="str">
        <x:v>Yes</x:v>
      </x:c>
      <x:c r="AD20" s="346" t="str">
        <x:v>U/K</x:v>
      </x:c>
      <x:c r="AE20" s="346" t="str">
        <x:v>U/K</x:v>
      </x:c>
    </x:row>
    <x:row r="21" ht="23" customHeight="1">
      <x:c r="A21" s="389" t="str">
        <x:v>Identity &amp; Membership</x:v>
      </x:c>
      <x:c r="B21" s="389"/>
      <x:c r="C21" s="389"/>
      <x:c r="D21" s="389"/>
      <x:c r="E21" s="389"/>
      <x:c r="F21" s="389"/>
      <x:c r="G21" s="389"/>
      <x:c r="H21" s="389"/>
      <x:c r="I21" s="389"/>
      <x:c r="J21" s="389"/>
      <x:c r="K21" s="389"/>
      <x:c r="L21" s="389"/>
      <x:c r="M21" s="389"/>
      <x:c r="N21" s="389"/>
      <x:c r="O21" s="389"/>
      <x:c r="P21" s="389"/>
      <x:c r="Q21" s="389"/>
      <x:c r="R21" s="389"/>
      <x:c r="S21" s="389"/>
      <x:c r="T21" s="389"/>
      <x:c r="U21" s="389"/>
      <x:c r="V21" s="389"/>
      <x:c r="W21" s="389"/>
      <x:c r="X21" s="389"/>
      <x:c r="Y21" s="389"/>
      <x:c r="Z21" s="389"/>
      <x:c r="AA21" s="389"/>
      <x:c r="AB21" s="389"/>
      <x:c r="AC21" s="389"/>
      <x:c r="AD21" s="389"/>
      <x:c r="AE21" s="389"/>
    </x:row>
    <x:row r="22" ht="36" customHeight="1">
      <x:c r="A22" s="378" t="str">
        <x:v>User Profiles</x:v>
      </x:c>
      <x:c r="B22" s="346" t="str">
        <x:v>Yes</x:v>
      </x:c>
      <x:c r="C22" s="346" t="str">
        <x:v>Yes</x:v>
      </x:c>
      <x:c r="D22" s="346" t="str">
        <x:v>Yes</x:v>
      </x:c>
      <x:c r="E22" s="346" t="str">
        <x:v>Yes</x:v>
      </x:c>
      <x:c r="F22" s="346" t="str">
        <x:v>Yes</x:v>
      </x:c>
      <x:c r="G22" s="346" t="str">
        <x:v>Client-dependent</x:v>
      </x:c>
      <x:c r="H22" s="346" t="str">
        <x:v>Yes</x:v>
      </x:c>
      <x:c r="I22" s="346" t="str">
        <x:v>User identities</x:v>
      </x:c>
      <x:c r="J22" s="346" t="str">
        <x:v>Yes</x:v>
      </x:c>
      <x:c r="K22" s="346" t="str">
        <x:v>Yes</x:v>
      </x:c>
      <x:c r="L22" s="346" t="str">
        <x:v>Yes</x:v>
      </x:c>
      <x:c r="M22" s="346" t="str">
        <x:v>Yes</x:v>
      </x:c>
      <x:c r="N22" s="346" t="str">
        <x:v>Yes</x:v>
      </x:c>
      <x:c r="O22" s="346" t="str">
        <x:v>Yes</x:v>
      </x:c>
      <x:c r="P22" s="346" t="str">
        <x:v>Yes</x:v>
      </x:c>
      <x:c r="Q22" s="346" t="str">
        <x:v>Yes</x:v>
      </x:c>
      <x:c r="R22" s="346" t="str">
        <x:v>Yes</x:v>
      </x:c>
      <x:c r="S22" s="346" t="str">
        <x:v>Yes</x:v>
      </x:c>
      <x:c r="T22" s="346" t="str">
        <x:v>Yes</x:v>
      </x:c>
      <x:c r="U22" s="346" t="str">
        <x:v>Yes</x:v>
      </x:c>
      <x:c r="V22" s="346" t="str">
        <x:v>Yes/U/K</x:v>
      </x:c>
      <x:c r="W22" s="346" t="str">
        <x:v>ATProto profile</x:v>
      </x:c>
      <x:c r="X22" s="346" t="str">
        <x:v>Key-based profile</x:v>
      </x:c>
      <x:c r="Y22" s="346" t="str">
        <x:v>Key-based profile</x:v>
      </x:c>
      <x:c r="Z22" s="346" t="str">
        <x:v>Yes</x:v>
      </x:c>
      <x:c r="AA22" s="380" t="str">
        <x:v>Yes</x:v>
      </x:c>
      <x:c r="AB22" s="346" t="str">
        <x:v>Yes</x:v>
      </x:c>
      <x:c r="AC22" s="346" t="str">
        <x:v>Yes</x:v>
      </x:c>
      <x:c r="AD22" s="346" t="str">
        <x:v>Yes</x:v>
      </x:c>
      <x:c r="AE22" s="346" t="str">
        <x:v>Yes</x:v>
      </x:c>
    </x:row>
    <x:row r="23" ht="36" customHeight="1">
      <x:c r="A23" s="378" t="str">
        <x:v>Per-Community Profiles</x:v>
      </x:c>
      <x:c r="B23" s="346" t="str">
        <x:v>Yes - per-server profiles; some customization requires Nitro</x:v>
      </x:c>
      <x:c r="C23" s="346" t="str">
        <x:v>U/K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Client-dependent</x:v>
      </x:c>
      <x:c r="H23" s="346" t="str">
        <x:v>Yes/target</x:v>
      </x:c>
      <x:c r="I23" s="346" t="str">
        <x:v>Server-specific</x:v>
      </x:c>
      <x:c r="J23" s="346" t="str">
        <x:v>U/K</x:v>
      </x:c>
      <x:c r="K23" s="346" t="str">
        <x:v>Per-organization profile</x:v>
      </x:c>
      <x:c r="L23" s="346" t="str">
        <x:v>Yes</x:v>
      </x:c>
      <x:c r="M23" s="346" t="str">
        <x:v>Yes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ATProto identity</x:v>
      </x:c>
      <x:c r="X23" s="346" t="str">
        <x:v>Nostr identity</x:v>
      </x:c>
      <x:c r="Y23" s="346" t="str">
        <x:v>N/A</x:v>
      </x:c>
      <x:c r="Z23" s="346" t="str">
        <x:v>Server profile</x:v>
      </x:c>
      <x:c r="AA23" s="380" t="str">
        <x:v>U/K</x:v>
      </x:c>
      <x:c r="AB23" s="346" t="str">
        <x:v>U/K</x:v>
      </x:c>
      <x:c r="AC23" s="346" t="str">
        <x:v>U/K</x:v>
      </x:c>
      <x:c r="AD23" s="346" t="str">
        <x:v>Planet profile</x:v>
      </x:c>
      <x:c r="AE23" s="346" t="str">
        <x:v>Crew/lobby identity</x:v>
      </x:c>
    </x:row>
    <x:row r="24" ht="36" customHeight="1">
      <x:c r="A24" s="378" t="str">
        <x:v>Member Lists</x:v>
      </x:c>
      <x:c r="B24" s="346" t="str">
        <x:v>Yes</x:v>
      </x:c>
      <x:c r="C24" s="346" t="str">
        <x:v>Yes</x:v>
      </x:c>
      <x:c r="D24" s="346" t="str">
        <x:v>Yes</x:v>
      </x:c>
      <x:c r="E24" s="346" t="str">
        <x:v>Yes</x:v>
      </x:c>
      <x:c r="F24" s="346" t="str">
        <x:v>Yes</x:v>
      </x:c>
      <x:c r="G24" s="346" t="str">
        <x:v>Client-dependent</x:v>
      </x:c>
      <x:c r="H24" s="346" t="str">
        <x:v>Yes</x:v>
      </x:c>
      <x:c r="I24" s="346" t="str">
        <x:v>Yes</x:v>
      </x:c>
      <x:c r="J24" s="346" t="str">
        <x:v>Yes</x:v>
      </x:c>
      <x:c r="K24" s="346" t="str">
        <x:v>Yes</x:v>
      </x:c>
      <x:c r="L24" s="346" t="str">
        <x:v>Yes</x:v>
      </x:c>
      <x:c r="M24" s="346" t="str">
        <x:v>Yes</x:v>
      </x:c>
      <x:c r="N24" s="346" t="str">
        <x:v>Yes</x:v>
      </x:c>
      <x:c r="O24" s="346" t="str">
        <x:v>Yes</x:v>
      </x:c>
      <x:c r="P24" s="346" t="str">
        <x:v>Yes</x:v>
      </x:c>
      <x:c r="Q24" s="346" t="str">
        <x:v>Yes</x:v>
      </x:c>
      <x:c r="R24" s="346" t="str">
        <x:v>Yes/U/K</x:v>
      </x:c>
      <x:c r="S24" s="346" t="str">
        <x:v>Yes</x:v>
      </x:c>
      <x:c r="T24" s="346" t="str">
        <x:v>Yes</x:v>
      </x:c>
      <x:c r="U24" s="346" t="str">
        <x:v>Yes/U/K</x:v>
      </x:c>
      <x:c r="V24" s="346" t="str">
        <x:v>Yes/U/K</x:v>
      </x:c>
      <x:c r="W24" s="346" t="str">
        <x:v>Yes/U/K</x:v>
      </x:c>
      <x:c r="X24" s="346" t="str">
        <x:v>Yes/U/K</x:v>
      </x:c>
      <x:c r="Y24" s="346" t="str">
        <x:v>Yes/U/K</x:v>
      </x:c>
      <x:c r="Z24" s="346" t="str">
        <x:v>Yes</x:v>
      </x:c>
      <x:c r="AA24" s="380" t="str">
        <x:v>Yes</x:v>
      </x:c>
      <x:c r="AB24" s="346" t="str">
        <x:v>Yes</x:v>
      </x:c>
      <x:c r="AC24" s="346" t="str">
        <x:v>Yes</x:v>
      </x:c>
      <x:c r="AD24" s="346" t="str">
        <x:v>Yes</x:v>
      </x:c>
      <x:c r="AE24" s="346" t="str">
        <x:v>Yes</x:v>
      </x:c>
    </x:row>
    <x:row r="25" ht="36" customHeight="1">
      <x:c r="A25" s="378" t="str">
        <x:v>Presence / Status</x:v>
      </x:c>
      <x:c r="B25" s="346" t="str">
        <x:v>Yes</x:v>
      </x:c>
      <x:c r="C25" s="346" t="str">
        <x:v>Yes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Client-dependent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Yes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Yes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78" t="str">
        <x:v>Block / Mute Users</x:v>
      </x:c>
      <x:c r="B26" s="346" t="str">
        <x:v>Yes</x:v>
      </x:c>
      <x:c r="C26" s="346" t="str">
        <x:v>Yes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Client-dependent</x:v>
      </x:c>
      <x:c r="H26" s="346" t="str">
        <x:v>U/K</x:v>
      </x:c>
      <x:c r="I26" s="346" t="str">
        <x:v>U/K</x:v>
      </x:c>
      <x:c r="J26" s="346" t="str">
        <x:v>U/K</x:v>
      </x:c>
      <x:c r="K26" s="346" t="str">
        <x:v>Yes</x:v>
      </x:c>
      <x:c r="L26" s="346" t="str">
        <x:v>U/K</x:v>
      </x:c>
      <x:c r="M26" s="346" t="str">
        <x:v>U/K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Yes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U/K</x:v>
      </x:c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3">
    <x:cfRule type="expression" dxfId="22" priority="1">
      <x:formula>ISNUMBER(SEARCH("U/K",B3))</x:formula>
    </x:cfRule>
    <x:cfRule type="expression" dxfId="23" priority="2">
      <x:formula>OR(B3="N/A",LEFT(B3,4)="N/A ")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8" max="8" width="20" hidden="0" customWidth="1"/>
    <x:col min="1" max="1" width="36" hidden="0" customWidth="1"/>
    <x:col min="6" max="6" width="20" hidden="0" customWidth="1"/>
    <x:col min="7" max="7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Advanced Features - permissions, structured conversation, and message automation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v>Discord</x:v>
      </x:c>
      <x:c r="C2" s="376" t="str">
        <x:v>Stoat</x:v>
      </x:c>
      <x:c r="D2" s="376" t="str">
        <x:v>Fenrid</x:v>
      </x:c>
      <x:c r="E2" s="376" t="str">
        <x:v>Fluxer</x:v>
      </x:c>
      <x:c r="F2" s="376" t="str">
        <x:v>Root</x:v>
      </x:c>
      <x:c r="G2" s="376" t="str">
        <x:v>Matrix</x:v>
      </x:c>
      <x:c r="H2" s="376" t="str">
        <x:v>Spacebar</x:v>
      </x:c>
      <x:c r="I2" s="376" t="str">
        <x:v>Mumble</x:v>
      </x:c>
      <x:c r="J2" s="376" t="str">
        <x:v>TeamSpeak</x:v>
      </x:c>
      <x:c r="K2" s="377" t="str">
        <x:v>Zulip</x:v>
      </x:c>
      <x:c r="L2" s="376" t="str">
        <x:v>Mattermost</x:v>
      </x:c>
      <x:c r="M2" s="376" t="str">
        <x:v>Rocket.Chat</x:v>
      </x:c>
      <x:c r="N2" s="376" t="str">
        <x:v>GameVox</x:v>
      </x:c>
      <x:c r="O2" s="376" t="str">
        <x:v>Nerimity</x:v>
      </x:c>
      <x:c r="P2" s="376" t="str">
        <x:v>Osmium</x:v>
      </x:c>
      <x:c r="Q2" s="376" t="str">
        <x:v>Loqa</x:v>
      </x:c>
      <x:c r="R2" s="376" t="str">
        <x:v>Venta</x:v>
      </x:c>
      <x:c r="S2" s="376" t="str">
        <x:v>Mezon</x:v>
      </x:c>
      <x:c r="T2" s="376" t="str">
        <x:v>Kloak</x:v>
      </x:c>
      <x:c r="U2" s="376" t="str">
        <x:v>Yapper</x:v>
      </x:c>
      <x:c r="V2" s="376" t="str">
        <x:v>Harmony</x:v>
      </x:c>
      <x:c r="W2" s="376" t="str">
        <x:v>Roomy</x:v>
      </x:c>
      <x:c r="X2" s="376" t="str">
        <x:v>Armada</x:v>
      </x:c>
      <x:c r="Y2" s="376" t="str">
        <x:v>Hollow</x:v>
      </x:c>
      <x:c r="Z2" s="376" t="str">
        <x:v>DCTS</x:v>
      </x:c>
      <x:c r="AA2" s="383" t="str">
        <x:v>Rift</x:v>
      </x:c>
      <x:c r="AB2" s="376" t="str">
        <x:v>pqp.gg</x:v>
      </x:c>
      <x:c r="AC2" s="376" t="str">
        <x:v>Echon</x:v>
      </x:c>
      <x:c r="AD2" s="376" t="str">
        <x:v>Valour</x:v>
      </x:c>
      <x:c r="AE2" s="376" t="str">
        <x:v>Weered</x:v>
      </x:c>
    </x:row>
    <x:row r="3" ht="23" customHeight="1">
      <x:c r="A3" s="403" t="str">
        <x:v>Permissions &amp; Structure</x:v>
      </x:c>
      <x:c r="B3" s="403"/>
      <x:c r="C3" s="403"/>
      <x:c r="D3" s="403"/>
      <x:c r="E3" s="403"/>
      <x:c r="F3" s="403"/>
      <x:c r="G3" s="403"/>
      <x:c r="H3" s="403"/>
      <x:c r="I3" s="403"/>
      <x:c r="J3" s="403"/>
      <x:c r="K3" s="403"/>
      <x:c r="L3" s="404"/>
      <x:c r="M3" s="404"/>
      <x:c r="N3" s="404"/>
      <x:c r="O3" s="404"/>
      <x:c r="P3" s="404"/>
      <x:c r="Q3" s="404"/>
      <x:c r="R3" s="404"/>
      <x:c r="S3" s="404"/>
      <x:c r="T3" s="404"/>
      <x:c r="U3" s="404"/>
      <x:c r="V3" s="404"/>
      <x:c r="W3" s="404"/>
      <x:c r="X3" s="404"/>
      <x:c r="Y3" s="404"/>
      <x:c r="Z3" s="404"/>
      <x:c r="AA3" s="404"/>
      <x:c r="AB3" s="404"/>
      <x:c r="AC3" s="404"/>
      <x:c r="AD3" s="404"/>
      <x:c r="AE3" s="404"/>
    </x:row>
    <x:row r="4" ht="36" customHeight="1">
      <x:c r="A4" s="358" t="str">
        <x:v>Granular Role Permissions</x:v>
      </x:c>
      <x:c r="B4" s="344" t="str">
        <x:v>Yes</x:v>
      </x:c>
      <x:c r="C4" s="344" t="str">
        <x:v>Yes</x:v>
      </x:c>
      <x:c r="D4" s="344" t="str">
        <x:v>Yes</x:v>
      </x:c>
      <x:c r="E4" s="344" t="str">
        <x:v>Yes</x:v>
      </x:c>
      <x:c r="F4" s="344" t="str">
        <x:v>Yes</x:v>
      </x:c>
      <x:c r="G4" s="344" t="str">
        <x:v>Yes via room power levels</x:v>
      </x:c>
      <x:c r="H4" s="344" t="str">
        <x:v>Yes</x:v>
      </x:c>
      <x:c r="I4" s="344" t="str">
        <x:v>Yes - detailed ACLs</x:v>
      </x:c>
      <x:c r="J4" s="344" t="str">
        <x:v>Yes</x:v>
      </x:c>
      <x:c r="K4" s="345" t="str">
        <x:v>Yes</x:v>
      </x:c>
      <x:c r="L4" s="346" t="str">
        <x:v>Yes</x:v>
      </x:c>
      <x:c r="M4" s="346" t="str">
        <x:v>Yes</x:v>
      </x:c>
      <x:c r="N4" s="346" t="str">
        <x:v>Yes</x:v>
      </x:c>
      <x:c r="O4" s="346" t="str">
        <x:v>Yes</x:v>
      </x:c>
      <x:c r="P4" s="346" t="str">
        <x:v>Yes</x:v>
      </x:c>
      <x:c r="Q4" s="346" t="str">
        <x:v>Yes</x:v>
      </x:c>
      <x:c r="R4" s="346" t="str">
        <x:v>Yes/U/K</x:v>
      </x:c>
      <x:c r="S4" s="346" t="str">
        <x:v>Yes</x:v>
      </x:c>
      <x:c r="T4" s="346" t="str">
        <x:v>Yes</x:v>
      </x:c>
      <x:c r="U4" s="346" t="str">
        <x:v>Server permissions</x:v>
      </x:c>
      <x:c r="V4" s="346" t="str">
        <x:v>Discord-compatible</x:v>
      </x:c>
      <x:c r="W4" s="346" t="str">
        <x:v>U/K</x:v>
      </x:c>
      <x:c r="X4" s="346" t="str">
        <x:v>Yes</x:v>
      </x:c>
      <x:c r="Y4" s="346" t="str">
        <x:v>Server/community permissions U/K</x:v>
      </x:c>
      <x:c r="Z4" s="346" t="str">
        <x:v>Yes</x:v>
      </x:c>
      <x:c r="AA4" s="380" t="str">
        <x:v>Yes</x:v>
      </x:c>
      <x:c r="AB4" s="346" t="str">
        <x:v>Yes</x:v>
      </x:c>
      <x:c r="AC4" s="346" t="str">
        <x:v>Yes</x:v>
      </x:c>
      <x:c r="AD4" s="346" t="str">
        <x:v>Yes</x:v>
      </x:c>
      <x:c r="AE4" s="346" t="str">
        <x:v>Yes</x:v>
      </x:c>
    </x:row>
    <x:row r="5" ht="36" customHeight="1">
      <x:c r="A5" s="358" t="str">
        <x:v>Hierarchies</x:v>
      </x:c>
      <x:c r="B5" s="344" t="str">
        <x:v>Yes - role hierarchy</x:v>
      </x:c>
      <x:c r="C5" s="344" t="str">
        <x:v>Yes</x:v>
      </x:c>
      <x:c r="D5" s="344" t="str">
        <x:v>Yes</x:v>
      </x:c>
      <x:c r="E5" s="344" t="str">
        <x:v>Yes</x:v>
      </x:c>
      <x:c r="F5" s="344" t="str">
        <x:v>Yes</x:v>
      </x:c>
      <x:c r="G5" s="344" t="str">
        <x:v>Spaces/rooms hierarchy supported</x:v>
      </x:c>
      <x:c r="H5" s="344" t="str">
        <x:v>Yes</x:v>
      </x:c>
      <x:c r="I5" s="344" t="str">
        <x:v>Yes - channel hierarchy</x:v>
      </x:c>
      <x:c r="J5" s="344" t="str">
        <x:v>Yes</x:v>
      </x:c>
      <x:c r="K5" s="345" t="str">
        <x:v>Stream/topic hierarchy</x:v>
      </x:c>
      <x:c r="L5" s="346" t="str">
        <x:v>Teams/channels</x:v>
      </x:c>
      <x:c r="M5" s="346" t="str">
        <x:v>Teams/channels</x:v>
      </x:c>
      <x:c r="N5" s="346" t="str">
        <x:v>Yes</x:v>
      </x:c>
      <x:c r="O5" s="346" t="str">
        <x:v>Yes</x:v>
      </x:c>
      <x:c r="P5" s="346" t="str">
        <x:v>Yes</x:v>
      </x:c>
      <x:c r="Q5" s="346" t="str">
        <x:v>Yes</x:v>
      </x:c>
      <x:c r="R5" s="346" t="str">
        <x:v>Yes/U/K</x:v>
      </x:c>
      <x:c r="S5" s="346" t="str">
        <x:v>Yes</x:v>
      </x:c>
      <x:c r="T5" s="346" t="str">
        <x:v>Yes</x:v>
      </x:c>
      <x:c r="U5" s="346" t="str">
        <x:v>Yes/U/K</x:v>
      </x:c>
      <x:c r="V5" s="346" t="str">
        <x:v>Discord-compatible</x:v>
      </x:c>
      <x:c r="W5" s="346" t="str">
        <x:v>Spaces</x:v>
      </x:c>
      <x:c r="X5" s="346" t="str">
        <x:v>Yes/U/K</x:v>
      </x:c>
      <x:c r="Y5" s="346" t="str">
        <x:v>U/K</x:v>
      </x:c>
      <x:c r="Z5" s="346" t="str">
        <x:v>Yes</x:v>
      </x:c>
      <x:c r="AA5" s="380" t="str">
        <x:v>Yes</x:v>
      </x:c>
      <x:c r="AB5" s="346" t="str">
        <x:v>Yes</x:v>
      </x:c>
      <x:c r="AC5" s="346" t="str">
        <x:v>Yes</x:v>
      </x:c>
      <x:c r="AD5" s="346" t="str">
        <x:v>Yes</x:v>
      </x:c>
      <x:c r="AE5" s="346" t="str">
        <x:v>Lobby/room hierarchy</x:v>
      </x:c>
    </x:row>
    <x:row r="6" ht="36" customHeight="1">
      <x:c r="A6" s="358" t="str">
        <x:v>Channel Overrides</x:v>
      </x:c>
      <x:c r="B6" s="344" t="str">
        <x:v>Yes</x:v>
      </x:c>
      <x:c r="C6" s="344" t="str">
        <x:v>Yes</x:v>
      </x:c>
      <x:c r="D6" s="344" t="str">
        <x:v>Yes - channel-level permissions</x:v>
      </x:c>
      <x:c r="E6" s="344" t="str">
        <x:v>Yes</x:v>
      </x:c>
      <x:c r="F6" s="344" t="str">
        <x:v>Yes</x:v>
      </x:c>
      <x:c r="G6" s="344" t="str">
        <x:v>Room-level permissions</x:v>
      </x:c>
      <x:c r="H6" s="344" t="str">
        <x:v>Yes</x:v>
      </x:c>
      <x:c r="I6" s="344" t="str">
        <x:v>Yes - ACL inheritance/overrides</x:v>
      </x:c>
      <x:c r="J6" s="344" t="str">
        <x:v>Yes</x:v>
      </x:c>
      <x:c r="K6" s="345" t="str">
        <x:v>Stream permissions</x:v>
      </x:c>
      <x:c r="L6" s="346" t="str">
        <x:v>Yes</x:v>
      </x:c>
      <x:c r="M6" s="346" t="str">
        <x:v>Yes</x:v>
      </x:c>
      <x:c r="N6" s="346" t="str">
        <x:v>Yes</x:v>
      </x:c>
      <x:c r="O6" s="346" t="str">
        <x:v>Yes</x:v>
      </x:c>
      <x:c r="P6" s="346" t="str">
        <x:v>Yes</x:v>
      </x:c>
      <x:c r="Q6" s="346" t="str">
        <x:v>Yes</x:v>
      </x:c>
      <x:c r="R6" s="346" t="str">
        <x:v>Yes/U/K</x:v>
      </x:c>
      <x:c r="S6" s="346" t="str">
        <x:v>Yes</x:v>
      </x:c>
      <x:c r="T6" s="346" t="str">
        <x:v>Yes</x:v>
      </x:c>
      <x:c r="U6" s="346" t="str">
        <x:v>Yes/U/K</x:v>
      </x:c>
      <x:c r="V6" s="346" t="str">
        <x:v>Discord-compatible</x:v>
      </x:c>
      <x:c r="W6" s="346" t="str">
        <x:v>U/K</x:v>
      </x:c>
      <x:c r="X6" s="346" t="str">
        <x:v>Yes/U/K</x:v>
      </x:c>
      <x:c r="Y6" s="346" t="str">
        <x:v>U/K</x:v>
      </x:c>
      <x:c r="Z6" s="346" t="str">
        <x:v>Yes</x:v>
      </x:c>
      <x:c r="AA6" s="380" t="str">
        <x:v>Yes</x:v>
      </x:c>
      <x:c r="AB6" s="346" t="str">
        <x:v>Yes</x:v>
      </x:c>
      <x:c r="AC6" s="346" t="str">
        <x:v>Yes</x:v>
      </x:c>
      <x:c r="AD6" s="346" t="str">
        <x:v>Yes</x:v>
      </x:c>
      <x:c r="AE6" s="346" t="str">
        <x:v>Yes</x:v>
      </x:c>
    </x:row>
    <x:row r="7" ht="36" customHeight="1">
      <x:c r="A7" s="358" t="str">
        <x:v>Three-State Allow / Deny / Inherit</x:v>
      </x:c>
      <x:c r="B7" s="344" t="str">
        <x:v>Partial / permission overwrites</x:v>
      </x:c>
      <x:c r="C7" s="344" t="str">
        <x:v>U/K</x:v>
      </x:c>
      <x:c r="D7" s="344" t="str">
        <x:v>U/K</x:v>
      </x:c>
      <x:c r="E7" s="344" t="str">
        <x:v>U/K</x:v>
      </x:c>
      <x:c r="F7" s="344" t="str">
        <x:v>U/K</x:v>
      </x:c>
      <x:c r="G7" s="344" t="str">
        <x:v>U/K</x:v>
      </x:c>
      <x:c r="H7" s="344" t="str">
        <x:v>U/K</x:v>
      </x:c>
      <x:c r="I7" s="344" t="str">
        <x:v>U/K</x:v>
      </x:c>
      <x:c r="J7" s="344" t="str">
        <x:v>U/K</x:v>
      </x:c>
      <x:c r="K7" s="345" t="str">
        <x:v>U/K</x:v>
      </x:c>
      <x:c r="L7" s="346" t="str">
        <x:v>U/K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Yes - explicit allow/deny/inherit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23" customHeight="1">
      <x:c r="A8" s="411" t="str">
        <x:v>Structured Conversation</x:v>
      </x:c>
      <x:c r="B8" s="412"/>
      <x:c r="C8" s="412"/>
      <x:c r="D8" s="412"/>
      <x:c r="E8" s="412"/>
      <x:c r="F8" s="412"/>
      <x:c r="G8" s="412"/>
      <x:c r="H8" s="412"/>
      <x:c r="I8" s="412"/>
      <x:c r="J8" s="412"/>
      <x:c r="K8" s="413"/>
      <x:c r="L8" s="389"/>
      <x:c r="M8" s="389"/>
      <x:c r="N8" s="389"/>
      <x:c r="O8" s="389"/>
      <x:c r="P8" s="389"/>
      <x:c r="Q8" s="389"/>
      <x:c r="R8" s="389"/>
      <x:c r="S8" s="389"/>
      <x:c r="T8" s="389"/>
      <x:c r="U8" s="389"/>
      <x:c r="V8" s="389"/>
      <x:c r="W8" s="389"/>
      <x:c r="X8" s="389"/>
      <x:c r="Y8" s="389"/>
      <x:c r="Z8" s="389"/>
      <x:c r="AA8" s="389"/>
      <x:c r="AB8" s="389"/>
      <x:c r="AC8" s="389"/>
      <x:c r="AD8" s="389"/>
      <x:c r="AE8" s="389"/>
    </x:row>
    <x:row r="9" ht="36" customHeight="1">
      <x:c r="A9" s="358" t="str">
        <x:v>Forum Channels / Boards</x:v>
      </x:c>
      <x:c r="B9" s="344" t="str">
        <x:v>Yes - Forum Channels</x:v>
      </x:c>
      <x:c r="C9" s="344" t="str">
        <x:v>No native forums verified</x:v>
      </x:c>
      <x:c r="D9" s="344" t="str">
        <x:v>Planned; not current</x:v>
      </x:c>
      <x:c r="E9" s="344" t="str">
        <x:v>U/K</x:v>
      </x:c>
      <x:c r="F9" s="344" t="str">
        <x:v>No dedicated forum channel verified</x:v>
      </x:c>
      <x:c r="G9" s="344" t="str">
        <x:v>Client-dependent</x:v>
      </x:c>
      <x:c r="H9" s="344" t="str">
        <x:v>Discord-compatible target; current completeness U/K</x:v>
      </x:c>
      <x:c r="I9" s="344" t="str">
        <x:v>N/A</x:v>
      </x:c>
      <x:c r="J9" s="344" t="str">
        <x:v>No native forum verified</x:v>
      </x:c>
      <x:c r="K9" s="345" t="str">
        <x:v>Topic model functions like structured threads rather than forums</x:v>
      </x:c>
      <x:c r="L9" s="346" t="str">
        <x:v>No native forum channel</x:v>
      </x:c>
      <x:c r="M9" s="346" t="str">
        <x:v>Discussions/threads rather than forum channel</x:v>
      </x:c>
      <x:c r="N9" s="346" t="str">
        <x:v>No native forums verified</x:v>
      </x:c>
      <x:c r="O9" s="346" t="str">
        <x:v>U/K</x:v>
      </x:c>
      <x:c r="P9" s="346" t="str">
        <x:v>U/K</x:v>
      </x:c>
      <x:c r="Q9" s="346" t="str">
        <x:v>Yes</x:v>
      </x:c>
      <x:c r="R9" s="346" t="str">
        <x:v>U/K</x:v>
      </x:c>
      <x:c r="S9" s="346" t="str">
        <x:v>U/K</x:v>
      </x:c>
      <x:c r="T9" s="346" t="str">
        <x:v>Yes</x:v>
      </x:c>
      <x:c r="U9" s="346" t="str">
        <x:v>No</x:v>
      </x:c>
      <x:c r="V9" s="346" t="str">
        <x:v>U/K</x:v>
      </x:c>
      <x:c r="W9" s="346" t="str">
        <x:v>Forum-like docs/posts</x:v>
      </x:c>
      <x:c r="X9" s="346" t="str">
        <x:v>Threads</x:v>
      </x:c>
      <x:c r="Y9" s="346" t="str">
        <x:v>No</x:v>
      </x:c>
      <x:c r="Z9" s="346" t="str">
        <x:v>U/K</x:v>
      </x:c>
      <x:c r="AA9" s="380" t="str">
        <x:v>U/K</x:v>
      </x:c>
      <x:c r="AB9" s="346" t="str">
        <x:v>U/K</x:v>
      </x:c>
      <x:c r="AC9" s="346" t="str">
        <x:v>U/K</x:v>
      </x:c>
      <x:c r="AD9" s="346" t="str">
        <x:v>Thread feed</x:v>
      </x:c>
      <x:c r="AE9" s="346" t="str">
        <x:v>Persistent channels/threads</x:v>
      </x:c>
    </x:row>
    <x:row r="10" ht="36" customHeight="1">
      <x:c r="A10" s="397" t="str">
        <x:v>Threads</x:v>
      </x:c>
      <x:c r="B10" s="349" t="str">
        <x:v>Yes</x:v>
      </x:c>
      <x:c r="C10" s="349" t="str">
        <x:v>U/K</x:v>
      </x:c>
      <x:c r="D10" s="349" t="str">
        <x:v>Planned; not current</x:v>
      </x:c>
      <x:c r="E10" s="349" t="str">
        <x:v>U/K</x:v>
      </x:c>
      <x:c r="F10" s="349" t="str">
        <x:v>U/K</x:v>
      </x:c>
      <x:c r="G10" s="349" t="str">
        <x:v>Threads supported by capable clients</x:v>
      </x:c>
      <x:c r="H10" s="349" t="str">
        <x:v>Discord-compatible target; current completeness U/K</x:v>
      </x:c>
      <x:c r="I10" s="349" t="str">
        <x:v>N/A</x:v>
      </x:c>
      <x:c r="J10" s="349" t="str">
        <x:v>U/K</x:v>
      </x:c>
      <x:c r="K10" s="395" t="str">
        <x:v>Yes - topics are first-class threading</x:v>
      </x:c>
      <x:c r="L10" s="349" t="str">
        <x:v>Yes</x:v>
      </x:c>
      <x:c r="M10" s="349" t="str">
        <x:v>Yes</x:v>
      </x:c>
      <x:c r="N10" s="349" t="str">
        <x:v>U/K</x:v>
      </x:c>
      <x:c r="O10" s="349" t="str">
        <x:v>U/K</x:v>
      </x:c>
      <x:c r="P10" s="349" t="str">
        <x:v>U/K</x:v>
      </x:c>
      <x:c r="Q10" s="349" t="str">
        <x:v>Yes</x:v>
      </x:c>
      <x:c r="R10" s="349" t="str">
        <x:v>U/K</x:v>
      </x:c>
      <x:c r="S10" s="349" t="str">
        <x:v>U/K</x:v>
      </x:c>
      <x:c r="T10" s="349" t="str">
        <x:v>Yes</x:v>
      </x:c>
      <x:c r="U10" s="349" t="str">
        <x:v>No</x:v>
      </x:c>
      <x:c r="V10" s="349" t="str">
        <x:v>Threads supported</x:v>
      </x:c>
      <x:c r="W10" s="349" t="str">
        <x:v>Yes/U/K</x:v>
      </x:c>
      <x:c r="X10" s="349" t="str">
        <x:v>Yes</x:v>
      </x:c>
      <x:c r="Y10" s="349" t="str">
        <x:v>U/K</x:v>
      </x:c>
      <x:c r="Z10" s="349" t="str">
        <x:v>U/K</x:v>
      </x:c>
      <x:c r="AA10" s="381" t="str">
        <x:v>U/K</x:v>
      </x:c>
      <x:c r="AB10" s="349" t="str">
        <x:v>Yes</x:v>
      </x:c>
      <x:c r="AC10" s="349" t="str">
        <x:v>Yes</x:v>
      </x:c>
      <x:c r="AD10" s="349" t="str">
        <x:v>Yes</x:v>
      </x:c>
      <x:c r="AE10" s="349" t="str">
        <x:v>Yes</x:v>
      </x:c>
    </x:row>
    <x:row r="11" ht="36" customHeight="1">
      <x:c r="A11" s="378" t="str">
        <x:v>Private Threads</x:v>
      </x:c>
      <x:c r="B11" s="346" t="str">
        <x:v>Yes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Yes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78" t="str">
        <x:v>Forum Tags / Flair</x:v>
      </x:c>
      <x:c r="B12" s="346" t="str">
        <x:v>Yes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Yes - tags, flair, tag groups &amp; filters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Polls</x:v>
      </x:c>
      <x:c r="B13" s="346" t="str">
        <x:v>Yes</x:v>
      </x:c>
      <x:c r="C13" s="346" t="str">
        <x:v>No native polls verified</x:v>
      </x:c>
      <x:c r="D13" s="346" t="str">
        <x:v>U/K</x:v>
      </x:c>
      <x:c r="E13" s="346" t="str">
        <x:v>U/K</x:v>
      </x:c>
      <x:c r="F13" s="346" t="str">
        <x:v>Polling via app</x:v>
      </x:c>
      <x:c r="G13" s="346" t="str">
        <x:v>Matrix poll events supported by capable clients</x:v>
      </x:c>
      <x:c r="H13" s="346" t="str">
        <x:v>U/K</x:v>
      </x:c>
      <x:c r="I13" s="346" t="str">
        <x:v>N/A</x:v>
      </x:c>
      <x:c r="J13" s="346" t="str">
        <x:v>U/K</x:v>
      </x:c>
      <x:c r="K13" s="346" t="str">
        <x:v>Via integrations/U/K</x:v>
      </x:c>
      <x:c r="L13" s="346" t="str">
        <x:v>Polls via integrations/plugins</x:v>
      </x:c>
      <x:c r="M13" s="346" t="str">
        <x:v>Polls/apps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Yes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No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No</x:v>
      </x:c>
      <x:c r="Z13" s="346" t="str">
        <x:v>U/K</x:v>
      </x:c>
      <x:c r="AA13" s="380" t="str">
        <x:v>U/K</x:v>
      </x:c>
      <x:c r="AB13" s="346" t="str">
        <x:v>Yes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78" t="str">
        <x:v>Scheduled Community Events</x:v>
      </x:c>
      <x:c r="B14" s="346" t="str">
        <x:v>Yes - Scheduled Events</x:v>
      </x:c>
      <x:c r="C14" s="346" t="str">
        <x:v>No native scheduled events verified</x:v>
      </x:c>
      <x:c r="D14" s="346" t="str">
        <x:v>Yes - events</x:v>
      </x:c>
      <x:c r="E14" s="346" t="str">
        <x:v>U/K</x:v>
      </x:c>
      <x:c r="F14" s="346" t="str">
        <x:v>Events/raid planning via apps</x:v>
      </x:c>
      <x:c r="G14" s="346" t="str">
        <x:v>Client-dependent</x:v>
      </x:c>
      <x:c r="H14" s="346" t="str">
        <x:v>U/K</x:v>
      </x:c>
      <x:c r="I14" s="346" t="str">
        <x:v>N/A</x:v>
      </x:c>
      <x:c r="J14" s="346" t="str">
        <x:v>U/K</x:v>
      </x:c>
      <x:c r="K14" s="346" t="str">
        <x:v>No Discord-style server events; integrations possible</x:v>
      </x:c>
      <x:c r="L14" s="346" t="str">
        <x:v>Playbooks/events/integrations; no Discord Scheduled Events equivalent</x:v>
      </x:c>
      <x:c r="M14" s="346" t="str">
        <x:v>Calendar/apps/integrations; no Discord event equivalent core</x:v>
      </x:c>
      <x:c r="N14" s="346" t="str">
        <x:v>Yes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Yes - calendars/events</x:v>
      </x:c>
      <x:c r="U14" s="346" t="str">
        <x:v>No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No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Events/economy tooling</x:v>
      </x:c>
      <x:c r="AE14" s="346" t="str">
        <x:v>Built-in events/tournaments</x:v>
      </x:c>
    </x:row>
    <x:row r="15" ht="36" customHeight="1">
      <x:c r="A15" s="378" t="str">
        <x:v>Forms / Structured Responses</x:v>
      </x:c>
      <x:c r="B15" s="346" t="str">
        <x:v>Via apps/bots; no native channel form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Plugins/integrations</x:v>
      </x:c>
      <x:c r="M15" s="346" t="str">
        <x:v>Apps/integrations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Yes - native forms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23" customHeight="1">
      <x:c r="A16" s="389" t="str">
        <x:v>Message Automation</x:v>
      </x:c>
      <x:c r="B16" s="389"/>
      <x:c r="C16" s="389"/>
      <x:c r="D16" s="389"/>
      <x:c r="E16" s="389"/>
      <x:c r="F16" s="389"/>
      <x:c r="G16" s="389"/>
      <x:c r="H16" s="389"/>
      <x:c r="I16" s="389"/>
      <x:c r="J16" s="389"/>
      <x:c r="K16" s="389"/>
      <x:c r="L16" s="389"/>
      <x:c r="M16" s="389"/>
      <x:c r="N16" s="389"/>
      <x:c r="O16" s="389"/>
      <x:c r="P16" s="389"/>
      <x:c r="Q16" s="389"/>
      <x:c r="R16" s="389"/>
      <x:c r="S16" s="389"/>
      <x:c r="T16" s="389"/>
      <x:c r="U16" s="389"/>
      <x:c r="V16" s="389"/>
      <x:c r="W16" s="389"/>
      <x:c r="X16" s="389"/>
      <x:c r="Y16" s="389"/>
      <x:c r="Z16" s="389"/>
      <x:c r="AA16" s="389"/>
      <x:c r="AB16" s="389"/>
      <x:c r="AC16" s="389"/>
      <x:c r="AD16" s="389"/>
      <x:c r="AE16" s="389"/>
    </x:row>
    <x:row r="17" ht="36" customHeight="1">
      <x:c r="A17" s="378" t="str">
        <x:v>Scheduled Messages</x:v>
      </x:c>
      <x:c r="B17" s="346" t="str">
        <x:v>No native scheduled send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Yes - scheduled messages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Yes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78" t="str">
        <x:v>Disappearing / Auto-Delete Messages</x:v>
      </x:c>
      <x:c r="B18" s="346" t="str">
        <x:v>No general native per-channel timer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Client/server dependent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Yes - per-channel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78" t="str">
        <x:v>Message Forwarding Controls</x:v>
      </x:c>
      <x:c r="B19" s="346" t="str">
        <x:v>Limited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Client-dependent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Yes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78" t="str">
        <x:v>Reply to Multiple Messages</x:v>
      </x:c>
      <x:c r="B20" s="346" t="str">
        <x:v>No native multi-reply composer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Yes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0">
    <x:cfRule type="expression" dxfId="24" priority="1">
      <x:formula>ISNUMBER(SEARCH("U/K",B3))</x:formula>
    </x:cfRule>
    <x:cfRule type="expression" dxfId="25" priority="2">
      <x:formula>OR(B3="N/A",LEFT(B3,4)="N/A ")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Channel Types - native, structured, and specialized channel/workspace types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v>Discord</x:v>
      </x:c>
      <x:c r="C2" s="376" t="str">
        <x:v>Stoat</x:v>
      </x:c>
      <x:c r="D2" s="376" t="str">
        <x:v>Fenrid</x:v>
      </x:c>
      <x:c r="E2" s="376" t="str">
        <x:v>Fluxer</x:v>
      </x:c>
      <x:c r="F2" s="376" t="str">
        <x:v>Root</x:v>
      </x:c>
      <x:c r="G2" s="376" t="str">
        <x:v>Matrix</x:v>
      </x:c>
      <x:c r="H2" s="376" t="str">
        <x:v>Spacebar</x:v>
      </x:c>
      <x:c r="I2" s="376" t="str">
        <x:v>Mumble</x:v>
      </x:c>
      <x:c r="J2" s="376" t="str">
        <x:v>TeamSpeak</x:v>
      </x:c>
      <x:c r="K2" s="377" t="str">
        <x:v>Zulip</x:v>
      </x:c>
      <x:c r="L2" s="376" t="str">
        <x:v>Mattermost</x:v>
      </x:c>
      <x:c r="M2" s="376" t="str">
        <x:v>Rocket.Chat</x:v>
      </x:c>
      <x:c r="N2" s="376" t="str">
        <x:v>GameVox</x:v>
      </x:c>
      <x:c r="O2" s="376" t="str">
        <x:v>Nerimity</x:v>
      </x:c>
      <x:c r="P2" s="376" t="str">
        <x:v>Osmium</x:v>
      </x:c>
      <x:c r="Q2" s="376" t="str">
        <x:v>Loqa</x:v>
      </x:c>
      <x:c r="R2" s="376" t="str">
        <x:v>Venta</x:v>
      </x:c>
      <x:c r="S2" s="376" t="str">
        <x:v>Mezon</x:v>
      </x:c>
      <x:c r="T2" s="376" t="str">
        <x:v>Kloak</x:v>
      </x:c>
      <x:c r="U2" s="376" t="str">
        <x:v>Yapper</x:v>
      </x:c>
      <x:c r="V2" s="376" t="str">
        <x:v>Harmony</x:v>
      </x:c>
      <x:c r="W2" s="376" t="str">
        <x:v>Roomy</x:v>
      </x:c>
      <x:c r="X2" s="376" t="str">
        <x:v>Armada</x:v>
      </x:c>
      <x:c r="Y2" s="376" t="str">
        <x:v>Hollow</x:v>
      </x:c>
      <x:c r="Z2" s="376" t="str">
        <x:v>DCTS</x:v>
      </x:c>
      <x:c r="AA2" s="383" t="str">
        <x:v>Rift</x:v>
      </x:c>
      <x:c r="AB2" s="376" t="str">
        <x:v>pqp.gg</x:v>
      </x:c>
      <x:c r="AC2" s="376" t="str">
        <x:v>Echon</x:v>
      </x:c>
      <x:c r="AD2" s="376" t="str">
        <x:v>Valour</x:v>
      </x:c>
      <x:c r="AE2" s="376" t="str">
        <x:v>Weered</x:v>
      </x:c>
    </x:row>
    <x:row r="3" ht="23" customHeight="1">
      <x:c r="A3" s="403" t="str">
        <x:v>Conversation Channels</x:v>
      </x:c>
      <x:c r="B3" s="403"/>
      <x:c r="C3" s="403"/>
      <x:c r="D3" s="403"/>
      <x:c r="E3" s="403"/>
      <x:c r="F3" s="403"/>
      <x:c r="G3" s="403"/>
      <x:c r="H3" s="403"/>
      <x:c r="I3" s="403"/>
      <x:c r="J3" s="403"/>
      <x:c r="K3" s="403"/>
      <x:c r="L3" s="404"/>
      <x:c r="M3" s="404"/>
      <x:c r="N3" s="404"/>
      <x:c r="O3" s="404"/>
      <x:c r="P3" s="404"/>
      <x:c r="Q3" s="404"/>
      <x:c r="R3" s="404"/>
      <x:c r="S3" s="404"/>
      <x:c r="T3" s="404"/>
      <x:c r="U3" s="404"/>
      <x:c r="V3" s="404"/>
      <x:c r="W3" s="404"/>
      <x:c r="X3" s="404"/>
      <x:c r="Y3" s="404"/>
      <x:c r="Z3" s="404"/>
      <x:c r="AA3" s="404"/>
      <x:c r="AB3" s="404"/>
      <x:c r="AC3" s="404"/>
      <x:c r="AD3" s="404"/>
      <x:c r="AE3" s="404"/>
    </x:row>
    <x:row r="4" ht="36" customHeight="1">
      <x:c r="A4" s="358" t="str">
        <x:v>Text</x:v>
      </x:c>
      <x:c r="B4" s="344" t="str">
        <x:v>Yes - Text channel</x:v>
      </x:c>
      <x:c r="C4" s="344" t="str">
        <x:v>Yes</x:v>
      </x:c>
      <x:c r="D4" s="344" t="str">
        <x:v>U/K</x:v>
      </x:c>
      <x:c r="E4" s="344" t="str">
        <x:v>U/K</x:v>
      </x:c>
      <x:c r="F4" s="344" t="str">
        <x:v>U/K</x:v>
      </x:c>
      <x:c r="G4" s="344" t="str">
        <x:v>Room (client convention)</x:v>
      </x:c>
      <x:c r="H4" s="344" t="str">
        <x:v>U/K</x:v>
      </x:c>
      <x:c r="I4" s="344" t="str">
        <x:v>U/K</x:v>
      </x:c>
      <x:c r="J4" s="344" t="str">
        <x:v>U/K</x:v>
      </x:c>
      <x:c r="K4" s="345" t="str">
        <x:v>Channel/stream</x:v>
      </x:c>
      <x:c r="L4" s="346" t="str">
        <x:v>U/K</x:v>
      </x:c>
      <x:c r="M4" s="346" t="str">
        <x:v>U/K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Yes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8" t="str">
        <x:v>Voice</x:v>
      </x:c>
      <x:c r="B5" s="344" t="str">
        <x:v>Yes - Voice channel</x:v>
      </x:c>
      <x:c r="C5" s="344" t="str">
        <x:v>Yes</x:v>
      </x:c>
      <x:c r="D5" s="344" t="str">
        <x:v>U/K</x:v>
      </x:c>
      <x:c r="E5" s="344" t="str">
        <x:v>U/K</x:v>
      </x:c>
      <x:c r="F5" s="344" t="str">
        <x:v>U/K</x:v>
      </x:c>
      <x:c r="G5" s="344" t="str">
        <x:v>U/K</x:v>
      </x:c>
      <x:c r="H5" s="344" t="str">
        <x:v>U/K</x:v>
      </x:c>
      <x:c r="I5" s="344" t="str">
        <x:v>Yes</x:v>
      </x:c>
      <x:c r="J5" s="344" t="str">
        <x:v>Yes</x:v>
      </x:c>
      <x:c r="K5" s="345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Yes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8" t="str">
        <x:v>Voice Room Launcher / Temporary Voice</x:v>
      </x:c>
      <x:c r="B6" s="344" t="str">
        <x:v>No native launcher; bots can create temp rooms</x:v>
      </x:c>
      <x:c r="C6" s="344" t="str">
        <x:v>U/K</x:v>
      </x:c>
      <x:c r="D6" s="344" t="str">
        <x:v>U/K</x:v>
      </x:c>
      <x:c r="E6" s="344" t="str">
        <x:v>U/K</x:v>
      </x:c>
      <x:c r="F6" s="344" t="str">
        <x:v>U/K</x:v>
      </x:c>
      <x:c r="G6" s="344" t="str">
        <x:v>U/K</x:v>
      </x:c>
      <x:c r="H6" s="344" t="str">
        <x:v>U/K</x:v>
      </x:c>
      <x:c r="I6" s="344" t="str">
        <x:v>U/K</x:v>
      </x:c>
      <x:c r="J6" s="344" t="str">
        <x:v>U/K</x:v>
      </x:c>
      <x:c r="K6" s="345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Yes - auto-spawn/delete voice rooms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8" t="str">
        <x:v>Forum</x:v>
      </x:c>
      <x:c r="B7" s="344" t="str">
        <x:v>Yes - Forum channel</x:v>
      </x:c>
      <x:c r="C7" s="344" t="str">
        <x:v>U/K</x:v>
      </x:c>
      <x:c r="D7" s="344" t="str">
        <x:v>U/K</x:v>
      </x:c>
      <x:c r="E7" s="344" t="str">
        <x:v>U/K</x:v>
      </x:c>
      <x:c r="F7" s="344" t="str">
        <x:v>U/K</x:v>
      </x:c>
      <x:c r="G7" s="344" t="str">
        <x:v>Client-dependent / room conventions</x:v>
      </x:c>
      <x:c r="H7" s="344" t="str">
        <x:v>U/K</x:v>
      </x:c>
      <x:c r="I7" s="344" t="str">
        <x:v>U/K</x:v>
      </x:c>
      <x:c r="J7" s="344" t="str">
        <x:v>U/K</x:v>
      </x:c>
      <x:c r="K7" s="345" t="str">
        <x:v>U/K</x:v>
      </x:c>
      <x:c r="L7" s="346" t="str">
        <x:v>No native forum channel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Yes - tags, flair, voting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8" t="str">
        <x:v>Gallery / Media Grid</x:v>
      </x:c>
      <x:c r="B8" s="344" t="str">
        <x:v>Partial - Forum Gallery View</x:v>
      </x:c>
      <x:c r="C8" s="344" t="str">
        <x:v>No native</x:v>
      </x:c>
      <x:c r="D8" s="344" t="str">
        <x:v>No native</x:v>
      </x:c>
      <x:c r="E8" s="344" t="str">
        <x:v>No native</x:v>
      </x:c>
      <x:c r="F8" s="344" t="str">
        <x:v>Via app</x:v>
      </x:c>
      <x:c r="G8" s="344" t="str">
        <x:v>Extensible/client-dependent</x:v>
      </x:c>
      <x:c r="H8" s="344" t="str">
        <x:v>No native</x:v>
      </x:c>
      <x:c r="I8" s="344" t="str">
        <x:v>N/A</x:v>
      </x:c>
      <x:c r="J8" s="344" t="str">
        <x:v>N/A</x:v>
      </x:c>
      <x:c r="K8" s="345" t="str">
        <x:v>No</x:v>
      </x:c>
      <x:c r="L8" s="346" t="str">
        <x:v>No</x:v>
      </x:c>
      <x:c r="M8" s="346" t="str">
        <x:v>No</x:v>
      </x:c>
      <x:c r="N8" s="346" t="str">
        <x:v>No</x:v>
      </x:c>
      <x:c r="O8" s="346" t="str">
        <x:v>No</x:v>
      </x:c>
      <x:c r="P8" s="346" t="str">
        <x:v>No</x:v>
      </x:c>
      <x:c r="Q8" s="346" t="str">
        <x:v>Media/forum view</x:v>
      </x:c>
      <x:c r="R8" s="346" t="str">
        <x:v>No</x:v>
      </x:c>
      <x:c r="S8" s="346" t="str">
        <x:v>No native</x:v>
      </x:c>
      <x:c r="T8" s="346" t="str">
        <x:v>Media Channels</x:v>
      </x:c>
      <x:c r="U8" s="346" t="str">
        <x:v>No</x:v>
      </x:c>
      <x:c r="V8" s="346" t="str">
        <x:v>No</x:v>
      </x:c>
      <x:c r="W8" s="346" t="str">
        <x:v>Media via posts/U/K</x:v>
      </x:c>
      <x:c r="X8" s="346" t="str">
        <x:v>No</x:v>
      </x:c>
      <x:c r="Y8" s="346" t="str">
        <x:v>No</x:v>
      </x:c>
      <x:c r="Z8" s="346" t="str">
        <x:v>No</x:v>
      </x:c>
      <x:c r="AA8" s="380" t="str">
        <x:v>Yes - native Gallery channel</x:v>
      </x:c>
      <x:c r="AB8" s="346" t="str">
        <x:v>No</x:v>
      </x:c>
      <x:c r="AC8" s="346" t="str">
        <x:v>No</x:v>
      </x:c>
      <x:c r="AD8" s="346" t="str">
        <x:v>No</x:v>
      </x:c>
      <x:c r="AE8" s="346" t="str">
        <x:v>No</x:v>
      </x:c>
    </x:row>
    <x:row r="9" ht="36" customHeight="1">
      <x:c r="A9" s="358" t="str">
        <x:v>Announcement / Read-Only Broadcast</x:v>
      </x:c>
      <x:c r="B9" s="344" t="str">
        <x:v>Yes - Announcement channel</x:v>
      </x:c>
      <x:c r="C9" s="344" t="str">
        <x:v>U/K</x:v>
      </x:c>
      <x:c r="D9" s="344" t="str">
        <x:v>U/K</x:v>
      </x:c>
      <x:c r="E9" s="344" t="str">
        <x:v>U/K</x:v>
      </x:c>
      <x:c r="F9" s="344" t="str">
        <x:v>U/K</x:v>
      </x:c>
      <x:c r="G9" s="344" t="str">
        <x:v>Permissions-based room</x:v>
      </x:c>
      <x:c r="H9" s="344" t="str">
        <x:v>U/K</x:v>
      </x:c>
      <x:c r="I9" s="344" t="str">
        <x:v>U/K</x:v>
      </x:c>
      <x:c r="J9" s="344" t="str">
        <x:v>U/K</x:v>
      </x:c>
      <x:c r="K9" s="345" t="str">
        <x:v>U/K</x:v>
      </x:c>
      <x:c r="L9" s="346" t="str">
        <x:v>U/K</x:v>
      </x:c>
      <x:c r="M9" s="346" t="str">
        <x:v>U/K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Yes - Announcements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58" t="str">
        <x:v>Stage / Broadcast Voice</x:v>
      </x:c>
      <x:c r="B10" s="344" t="str">
        <x:v>Yes - Stage channel</x:v>
      </x:c>
      <x:c r="C10" s="344" t="str">
        <x:v>U/K</x:v>
      </x:c>
      <x:c r="D10" s="344" t="str">
        <x:v>U/K</x:v>
      </x:c>
      <x:c r="E10" s="344" t="str">
        <x:v>U/K</x:v>
      </x:c>
      <x:c r="F10" s="344" t="str">
        <x:v>U/K</x:v>
      </x:c>
      <x:c r="G10" s="344" t="str">
        <x:v>U/K</x:v>
      </x:c>
      <x:c r="H10" s="344" t="str">
        <x:v>U/K</x:v>
      </x:c>
      <x:c r="I10" s="344" t="str">
        <x:v>U/K</x:v>
      </x:c>
      <x:c r="J10" s="344" t="str">
        <x:v>Permissions-based</x:v>
      </x:c>
      <x:c r="K10" s="345" t="str">
        <x:v>U/K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No dedicated Stage channel; voice room launcher + permissions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23" customHeight="1">
      <x:c r="A11" s="411" t="str">
        <x:v>Interactive &amp; Support Channels</x:v>
      </x:c>
      <x:c r="B11" s="412"/>
      <x:c r="C11" s="412"/>
      <x:c r="D11" s="412"/>
      <x:c r="E11" s="412"/>
      <x:c r="F11" s="412"/>
      <x:c r="G11" s="412"/>
      <x:c r="H11" s="412"/>
      <x:c r="I11" s="412"/>
      <x:c r="J11" s="412"/>
      <x:c r="K11" s="413"/>
      <x:c r="L11" s="389"/>
      <x:c r="M11" s="389"/>
      <x:c r="N11" s="389"/>
      <x:c r="O11" s="389"/>
      <x:c r="P11" s="389"/>
      <x:c r="Q11" s="389"/>
      <x:c r="R11" s="389"/>
      <x:c r="S11" s="389"/>
      <x:c r="T11" s="389"/>
      <x:c r="U11" s="389"/>
      <x:c r="V11" s="389"/>
      <x:c r="W11" s="389"/>
      <x:c r="X11" s="389"/>
      <x:c r="Y11" s="389"/>
      <x:c r="Z11" s="389"/>
      <x:c r="AA11" s="389"/>
      <x:c r="AB11" s="389"/>
      <x:c r="AC11" s="389"/>
      <x:c r="AD11" s="389"/>
      <x:c r="AE11" s="389"/>
    </x:row>
    <x:row r="12" ht="36" customHeight="1">
      <x:c r="A12" s="358" t="str">
        <x:v>Polls</x:v>
      </x:c>
      <x:c r="B12" s="344" t="str">
        <x:v>No dedicated channel; native poll messages</x:v>
      </x:c>
      <x:c r="C12" s="344" t="str">
        <x:v>No native</x:v>
      </x:c>
      <x:c r="D12" s="344" t="str">
        <x:v>U/K</x:v>
      </x:c>
      <x:c r="E12" s="344" t="str">
        <x:v>U/K</x:v>
      </x:c>
      <x:c r="F12" s="344" t="str">
        <x:v>Via Polling App</x:v>
      </x:c>
      <x:c r="G12" s="344" t="str">
        <x:v>Poll events in capable clients</x:v>
      </x:c>
      <x:c r="H12" s="344" t="str">
        <x:v>Discord-compatible target/U/K</x:v>
      </x:c>
      <x:c r="I12" s="344" t="str">
        <x:v>N/A</x:v>
      </x:c>
      <x:c r="J12" s="344" t="str">
        <x:v>N/A</x:v>
      </x:c>
      <x:c r="K12" s="345" t="str">
        <x:v>Via integrations</x:v>
      </x:c>
      <x:c r="L12" s="346" t="str">
        <x:v>Poll integrations</x:v>
      </x:c>
      <x:c r="M12" s="346" t="str">
        <x:v>Poll apps</x:v>
      </x:c>
      <x:c r="N12" s="346" t="str">
        <x:v>U/K</x:v>
      </x:c>
      <x:c r="O12" s="346" t="str">
        <x:v>No</x:v>
      </x:c>
      <x:c r="P12" s="346" t="str">
        <x:v>No</x:v>
      </x:c>
      <x:c r="Q12" s="346" t="str">
        <x:v>Native polls</x:v>
      </x:c>
      <x:c r="R12" s="346" t="str">
        <x:v>No</x:v>
      </x:c>
      <x:c r="S12" s="346" t="str">
        <x:v>No native</x:v>
      </x:c>
      <x:c r="T12" s="346" t="str">
        <x:v>U/K</x:v>
      </x:c>
      <x:c r="U12" s="346" t="str">
        <x:v>No</x:v>
      </x:c>
      <x:c r="V12" s="346" t="str">
        <x:v>No</x:v>
      </x:c>
      <x:c r="W12" s="346" t="str">
        <x:v>No</x:v>
      </x:c>
      <x:c r="X12" s="346" t="str">
        <x:v>No</x:v>
      </x:c>
      <x:c r="Y12" s="346" t="str">
        <x:v>No</x:v>
      </x:c>
      <x:c r="Z12" s="346" t="str">
        <x:v>No</x:v>
      </x:c>
      <x:c r="AA12" s="380" t="str">
        <x:v>Yes - native Poll channel</x:v>
      </x:c>
      <x:c r="AB12" s="346" t="str">
        <x:v>Polls</x:v>
      </x:c>
      <x:c r="AC12" s="346" t="str">
        <x:v>No</x:v>
      </x:c>
      <x:c r="AD12" s="346" t="str">
        <x:v>U/K</x:v>
      </x:c>
      <x:c r="AE12" s="346" t="str">
        <x:v>U/K</x:v>
      </x:c>
    </x:row>
    <x:row r="13" ht="36" customHeight="1">
      <x:c r="A13" s="358" t="str">
        <x:v>Tickets</x:v>
      </x:c>
      <x:c r="B13" s="344" t="str">
        <x:v>No native ticket channel; bots/apps commonly provide tickets</x:v>
      </x:c>
      <x:c r="C13" s="344" t="str">
        <x:v>No native</x:v>
      </x:c>
      <x:c r="D13" s="344" t="str">
        <x:v>No native</x:v>
      </x:c>
      <x:c r="E13" s="344" t="str">
        <x:v>No native</x:v>
      </x:c>
      <x:c r="F13" s="344" t="str">
        <x:v>Via app</x:v>
      </x:c>
      <x:c r="G13" s="344" t="str">
        <x:v>Via integrations/bots</x:v>
      </x:c>
      <x:c r="H13" s="344" t="str">
        <x:v>No native</x:v>
      </x:c>
      <x:c r="I13" s="344" t="str">
        <x:v>N/A</x:v>
      </x:c>
      <x:c r="J13" s="344" t="str">
        <x:v>N/A</x:v>
      </x:c>
      <x:c r="K13" s="345" t="str">
        <x:v>Via integrations</x:v>
      </x:c>
      <x:c r="L13" s="346" t="str">
        <x:v>Integrations</x:v>
      </x:c>
      <x:c r="M13" s="346" t="str">
        <x:v>Apps</x:v>
      </x:c>
      <x:c r="N13" s="346" t="str">
        <x:v>No</x:v>
      </x:c>
      <x:c r="O13" s="346" t="str">
        <x:v>No</x:v>
      </x:c>
      <x:c r="P13" s="346" t="str">
        <x:v>No</x:v>
      </x:c>
      <x:c r="Q13" s="346" t="str">
        <x:v>No</x:v>
      </x:c>
      <x:c r="R13" s="346" t="str">
        <x:v>No</x:v>
      </x:c>
      <x:c r="S13" s="346" t="str">
        <x:v>No native</x:v>
      </x:c>
      <x:c r="T13" s="346" t="str">
        <x:v>No</x:v>
      </x:c>
      <x:c r="U13" s="346" t="str">
        <x:v>No</x:v>
      </x:c>
      <x:c r="V13" s="346" t="str">
        <x:v>No</x:v>
      </x:c>
      <x:c r="W13" s="346" t="str">
        <x:v>No</x:v>
      </x:c>
      <x:c r="X13" s="346" t="str">
        <x:v>No</x:v>
      </x:c>
      <x:c r="Y13" s="346" t="str">
        <x:v>No</x:v>
      </x:c>
      <x:c r="Z13" s="346" t="str">
        <x:v>No</x:v>
      </x:c>
      <x:c r="AA13" s="380" t="str">
        <x:v>Yes - private support threads/status/assignee/transcript</x:v>
      </x:c>
      <x:c r="AB13" s="346" t="str">
        <x:v>No</x:v>
      </x:c>
      <x:c r="AC13" s="346" t="str">
        <x:v>No</x:v>
      </x:c>
      <x:c r="AD13" s="346" t="str">
        <x:v>No</x:v>
      </x:c>
      <x:c r="AE13" s="346" t="str">
        <x:v>U/K</x:v>
      </x:c>
    </x:row>
    <x:row r="14" ht="36" customHeight="1">
      <x:c r="A14" s="358" t="str">
        <x:v>Counting</x:v>
      </x:c>
      <x:c r="B14" s="344" t="str">
        <x:v>No native channel type; bots/apps can emulate counting</x:v>
      </x:c>
      <x:c r="C14" s="344" t="str">
        <x:v>No native</x:v>
      </x:c>
      <x:c r="D14" s="344" t="str">
        <x:v>No native</x:v>
      </x:c>
      <x:c r="E14" s="344" t="str">
        <x:v>No native</x:v>
      </x:c>
      <x:c r="F14" s="344" t="str">
        <x:v>Via app</x:v>
      </x:c>
      <x:c r="G14" s="344" t="str">
        <x:v>Extensible/client-dependent</x:v>
      </x:c>
      <x:c r="H14" s="344" t="str">
        <x:v>No native</x:v>
      </x:c>
      <x:c r="I14" s="344" t="str">
        <x:v>N/A</x:v>
      </x:c>
      <x:c r="J14" s="344" t="str">
        <x:v>N/A</x:v>
      </x:c>
      <x:c r="K14" s="345" t="str">
        <x:v>No</x:v>
      </x:c>
      <x:c r="L14" s="346" t="str">
        <x:v>No</x:v>
      </x:c>
      <x:c r="M14" s="346" t="str">
        <x:v>No</x:v>
      </x:c>
      <x:c r="N14" s="346" t="str">
        <x:v>No</x:v>
      </x:c>
      <x:c r="O14" s="346" t="str">
        <x:v>No</x:v>
      </x:c>
      <x:c r="P14" s="346" t="str">
        <x:v>No</x:v>
      </x:c>
      <x:c r="Q14" s="346" t="str">
        <x:v>No native</x:v>
      </x:c>
      <x:c r="R14" s="346" t="str">
        <x:v>No</x:v>
      </x:c>
      <x:c r="S14" s="346" t="str">
        <x:v>No native</x:v>
      </x:c>
      <x:c r="T14" s="346" t="str">
        <x:v>No</x:v>
      </x:c>
      <x:c r="U14" s="346" t="str">
        <x:v>No</x:v>
      </x:c>
      <x:c r="V14" s="346" t="str">
        <x:v>No</x:v>
      </x:c>
      <x:c r="W14" s="346" t="str">
        <x:v>No</x:v>
      </x:c>
      <x:c r="X14" s="346" t="str">
        <x:v>No</x:v>
      </x:c>
      <x:c r="Y14" s="346" t="str">
        <x:v>No</x:v>
      </x:c>
      <x:c r="Z14" s="346" t="str">
        <x:v>No</x:v>
      </x:c>
      <x:c r="AA14" s="380" t="str">
        <x:v>Yes - native count, leaderboard, history</x:v>
      </x:c>
      <x:c r="AB14" s="346" t="str">
        <x:v>No</x:v>
      </x:c>
      <x:c r="AC14" s="346" t="str">
        <x:v>No</x:v>
      </x:c>
      <x:c r="AD14" s="346" t="str">
        <x:v>No</x:v>
      </x:c>
      <x:c r="AE14" s="346" t="str">
        <x:v>No</x:v>
      </x:c>
    </x:row>
    <x:row r="15" ht="36" customHeight="1">
      <x:c r="A15" s="397" t="str">
        <x:v>Highlights</x:v>
      </x:c>
      <x:c r="B15" s="349" t="str">
        <x:v>No dedicated native channel; pins/forums can approximate</x:v>
      </x:c>
      <x:c r="C15" s="349" t="str">
        <x:v>U/K</x:v>
      </x:c>
      <x:c r="D15" s="349" t="str">
        <x:v>U/K</x:v>
      </x:c>
      <x:c r="E15" s="349" t="str">
        <x:v>U/K</x:v>
      </x:c>
      <x:c r="F15" s="349" t="str">
        <x:v>U/K</x:v>
      </x:c>
      <x:c r="G15" s="349" t="str">
        <x:v>U/K</x:v>
      </x:c>
      <x:c r="H15" s="349" t="str">
        <x:v>U/K</x:v>
      </x:c>
      <x:c r="I15" s="349" t="str">
        <x:v>U/K</x:v>
      </x:c>
      <x:c r="J15" s="349" t="str">
        <x:v>U/K</x:v>
      </x:c>
      <x:c r="K15" s="395" t="str">
        <x:v>U/K</x:v>
      </x:c>
      <x:c r="L15" s="349" t="str">
        <x:v>U/K</x:v>
      </x:c>
      <x:c r="M15" s="349" t="str">
        <x:v>U/K</x:v>
      </x:c>
      <x:c r="N15" s="349" t="str">
        <x:v>U/K</x:v>
      </x:c>
      <x:c r="O15" s="349" t="str">
        <x:v>U/K</x:v>
      </x:c>
      <x:c r="P15" s="349" t="str">
        <x:v>U/K</x:v>
      </x:c>
      <x:c r="Q15" s="349" t="str">
        <x:v>U/K</x:v>
      </x:c>
      <x:c r="R15" s="349" t="str">
        <x:v>U/K</x:v>
      </x:c>
      <x:c r="S15" s="349" t="str">
        <x:v>U/K</x:v>
      </x:c>
      <x:c r="T15" s="349" t="str">
        <x:v>U/K</x:v>
      </x:c>
      <x:c r="U15" s="349" t="str">
        <x:v>U/K</x:v>
      </x:c>
      <x:c r="V15" s="349" t="str">
        <x:v>U/K</x:v>
      </x:c>
      <x:c r="W15" s="349" t="str">
        <x:v>U/K</x:v>
      </x:c>
      <x:c r="X15" s="349" t="str">
        <x:v>U/K</x:v>
      </x:c>
      <x:c r="Y15" s="349" t="str">
        <x:v>U/K</x:v>
      </x:c>
      <x:c r="Z15" s="349" t="str">
        <x:v>U/K</x:v>
      </x:c>
      <x:c r="AA15" s="381" t="str">
        <x:v>Yes - native Highlights channel</x:v>
      </x:c>
      <x:c r="AB15" s="349" t="str">
        <x:v>U/K</x:v>
      </x:c>
      <x:c r="AC15" s="349" t="str">
        <x:v>U/K</x:v>
      </x:c>
      <x:c r="AD15" s="349" t="str">
        <x:v>U/K</x:v>
      </x:c>
      <x:c r="AE15" s="349" t="str">
        <x:v>U/K</x:v>
      </x:c>
    </x:row>
    <x:row r="16" ht="36" customHeight="1">
      <x:c r="A16" s="378" t="str">
        <x:v>Arrivals / Welcome</x:v>
      </x:c>
      <x:c r="B16" s="346" t="str">
        <x:v>No dedicated arrival channel; system channels can announce joins</x:v>
      </x:c>
      <x:c r="C16" s="346" t="str">
        <x:v>No native</x:v>
      </x:c>
      <x:c r="D16" s="346" t="str">
        <x:v>No native</x:v>
      </x:c>
      <x:c r="E16" s="346" t="str">
        <x:v>No native</x:v>
      </x:c>
      <x:c r="F16" s="346" t="str">
        <x:v>Via app</x:v>
      </x:c>
      <x:c r="G16" s="346" t="str">
        <x:v>Client-dependent</x:v>
      </x:c>
      <x:c r="H16" s="346" t="str">
        <x:v>No native</x:v>
      </x:c>
      <x:c r="I16" s="346" t="str">
        <x:v>N/A</x:v>
      </x:c>
      <x:c r="J16" s="346" t="str">
        <x:v>N/A</x:v>
      </x:c>
      <x:c r="K16" s="346" t="str">
        <x:v>No</x:v>
      </x:c>
      <x:c r="L16" s="346" t="str">
        <x:v>No</x:v>
      </x:c>
      <x:c r="M16" s="346" t="str">
        <x:v>No</x:v>
      </x:c>
      <x:c r="N16" s="346" t="str">
        <x:v>No</x:v>
      </x:c>
      <x:c r="O16" s="346" t="str">
        <x:v>No</x:v>
      </x:c>
      <x:c r="P16" s="346" t="str">
        <x:v>No</x:v>
      </x:c>
      <x:c r="Q16" s="346" t="str">
        <x:v>No</x:v>
      </x:c>
      <x:c r="R16" s="346" t="str">
        <x:v>No</x:v>
      </x:c>
      <x:c r="S16" s="346" t="str">
        <x:v>No native</x:v>
      </x:c>
      <x:c r="T16" s="346" t="str">
        <x:v>No</x:v>
      </x:c>
      <x:c r="U16" s="346" t="str">
        <x:v>No</x:v>
      </x:c>
      <x:c r="V16" s="346" t="str">
        <x:v>No</x:v>
      </x:c>
      <x:c r="W16" s="346" t="str">
        <x:v>No</x:v>
      </x:c>
      <x:c r="X16" s="346" t="str">
        <x:v>No</x:v>
      </x:c>
      <x:c r="Y16" s="346" t="str">
        <x:v>No</x:v>
      </x:c>
      <x:c r="Z16" s="346" t="str">
        <x:v>No</x:v>
      </x:c>
      <x:c r="AA16" s="380" t="str">
        <x:v>U/K</x:v>
      </x:c>
      <x:c r="AB16" s="346" t="str">
        <x:v>No</x:v>
      </x:c>
      <x:c r="AC16" s="346" t="str">
        <x:v>No</x:v>
      </x:c>
      <x:c r="AD16" s="346" t="str">
        <x:v>No</x:v>
      </x:c>
      <x:c r="AE16" s="346" t="str">
        <x:v>Arrivals/presence</x:v>
      </x:c>
    </x:row>
    <x:row r="17" ht="36" customHeight="1">
      <x:c r="A17" s="378" t="str">
        <x:v>Forms / Applications</x:v>
      </x:c>
      <x:c r="B17" s="346" t="str">
        <x:v>No native form channel; apps/bots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Yes - forms can be posted in channels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23" customHeight="1">
      <x:c r="A18" s="389" t="str">
        <x:v>Persistent Knowledge &amp; Work</x:v>
      </x:c>
      <x:c r="B18" s="389"/>
      <x:c r="C18" s="389"/>
      <x:c r="D18" s="389"/>
      <x:c r="E18" s="389"/>
      <x:c r="F18" s="389"/>
      <x:c r="G18" s="389"/>
      <x:c r="H18" s="389"/>
      <x:c r="I18" s="389"/>
      <x:c r="J18" s="389"/>
      <x:c r="K18" s="389"/>
      <x:c r="L18" s="389"/>
      <x:c r="M18" s="389"/>
      <x:c r="N18" s="389"/>
      <x:c r="O18" s="389"/>
      <x:c r="P18" s="389"/>
      <x:c r="Q18" s="389"/>
      <x:c r="R18" s="389"/>
      <x:c r="S18" s="389"/>
      <x:c r="T18" s="389"/>
      <x:c r="U18" s="389"/>
      <x:c r="V18" s="389"/>
      <x:c r="W18" s="389"/>
      <x:c r="X18" s="389"/>
      <x:c r="Y18" s="389"/>
      <x:c r="Z18" s="389"/>
      <x:c r="AA18" s="389"/>
      <x:c r="AB18" s="389"/>
      <x:c r="AC18" s="389"/>
      <x:c r="AD18" s="389"/>
      <x:c r="AE18" s="389"/>
    </x:row>
    <x:row r="19" ht="36" customHeight="1">
      <x:c r="A19" s="378" t="str">
        <x:v>Wiki</x:v>
      </x:c>
      <x:c r="B19" s="346" t="str">
        <x:v>No native wiki channel type</x:v>
      </x:c>
      <x:c r="C19" s="346" t="str">
        <x:v>No native</x:v>
      </x:c>
      <x:c r="D19" s="346" t="str">
        <x:v>No native</x:v>
      </x:c>
      <x:c r="E19" s="346" t="str">
        <x:v>No native</x:v>
      </x:c>
      <x:c r="F19" s="346" t="str">
        <x:v>Via app</x:v>
      </x:c>
      <x:c r="G19" s="346" t="str">
        <x:v>Extensible/client-dependent</x:v>
      </x:c>
      <x:c r="H19" s="346" t="str">
        <x:v>No native</x:v>
      </x:c>
      <x:c r="I19" s="346" t="str">
        <x:v>N/A</x:v>
      </x:c>
      <x:c r="J19" s="346" t="str">
        <x:v>N/A</x:v>
      </x:c>
      <x:c r="K19" s="346" t="str">
        <x:v>No</x:v>
      </x:c>
      <x:c r="L19" s="346" t="str">
        <x:v>No</x:v>
      </x:c>
      <x:c r="M19" s="346" t="str">
        <x:v>No</x:v>
      </x:c>
      <x:c r="N19" s="346" t="str">
        <x:v>No</x:v>
      </x:c>
      <x:c r="O19" s="346" t="str">
        <x:v>No</x:v>
      </x:c>
      <x:c r="P19" s="346" t="str">
        <x:v>No</x:v>
      </x:c>
      <x:c r="Q19" s="346" t="str">
        <x:v>No</x:v>
      </x:c>
      <x:c r="R19" s="346" t="str">
        <x:v>No</x:v>
      </x:c>
      <x:c r="S19" s="346" t="str">
        <x:v>No native</x:v>
      </x:c>
      <x:c r="T19" s="346" t="str">
        <x:v>No</x:v>
      </x:c>
      <x:c r="U19" s="346" t="str">
        <x:v>No</x:v>
      </x:c>
      <x:c r="V19" s="346" t="str">
        <x:v>No</x:v>
      </x:c>
      <x:c r="W19" s="346" t="str">
        <x:v>Wiki/docs-like</x:v>
      </x:c>
      <x:c r="X19" s="346" t="str">
        <x:v>No</x:v>
      </x:c>
      <x:c r="Y19" s="346" t="str">
        <x:v>No</x:v>
      </x:c>
      <x:c r="Z19" s="346" t="str">
        <x:v>No</x:v>
      </x:c>
      <x:c r="AA19" s="380" t="str">
        <x:v>Yes - pages, sections, drafts, files</x:v>
      </x:c>
      <x:c r="AB19" s="346" t="str">
        <x:v>No</x:v>
      </x:c>
      <x:c r="AC19" s="346" t="str">
        <x:v>No</x:v>
      </x:c>
      <x:c r="AD19" s="346" t="str">
        <x:v>Wiki</x:v>
      </x:c>
      <x:c r="AE19" s="346" t="str">
        <x:v>No</x:v>
      </x:c>
    </x:row>
    <x:row r="20" ht="36" customHeight="1">
      <x:c r="A20" s="378" t="str">
        <x:v>Document</x:v>
      </x:c>
      <x:c r="B20" s="346" t="str">
        <x:v>No native document channel type</x:v>
      </x:c>
      <x:c r="C20" s="346" t="str">
        <x:v>No native</x:v>
      </x:c>
      <x:c r="D20" s="346" t="str">
        <x:v>No native</x:v>
      </x:c>
      <x:c r="E20" s="346" t="str">
        <x:v>No native</x:v>
      </x:c>
      <x:c r="F20" s="346" t="str">
        <x:v>Via app</x:v>
      </x:c>
      <x:c r="G20" s="346" t="str">
        <x:v>Extensible/client-dependent</x:v>
      </x:c>
      <x:c r="H20" s="346" t="str">
        <x:v>No native</x:v>
      </x:c>
      <x:c r="I20" s="346" t="str">
        <x:v>N/A</x:v>
      </x:c>
      <x:c r="J20" s="346" t="str">
        <x:v>N/A</x:v>
      </x:c>
      <x:c r="K20" s="346" t="str">
        <x:v>No</x:v>
      </x:c>
      <x:c r="L20" s="346" t="str">
        <x:v>No</x:v>
      </x:c>
      <x:c r="M20" s="346" t="str">
        <x:v>No</x:v>
      </x:c>
      <x:c r="N20" s="346" t="str">
        <x:v>No</x:v>
      </x:c>
      <x:c r="O20" s="346" t="str">
        <x:v>No</x:v>
      </x:c>
      <x:c r="P20" s="346" t="str">
        <x:v>No</x:v>
      </x:c>
      <x:c r="Q20" s="346" t="str">
        <x:v>No</x:v>
      </x:c>
      <x:c r="R20" s="346" t="str">
        <x:v>No</x:v>
      </x:c>
      <x:c r="S20" s="346" t="str">
        <x:v>No native</x:v>
      </x:c>
      <x:c r="T20" s="346" t="str">
        <x:v>No</x:v>
      </x:c>
      <x:c r="U20" s="346" t="str">
        <x:v>No</x:v>
      </x:c>
      <x:c r="V20" s="346" t="str">
        <x:v>No</x:v>
      </x:c>
      <x:c r="W20" s="346" t="str">
        <x:v>Documentation pages</x:v>
      </x:c>
      <x:c r="X20" s="346" t="str">
        <x:v>No</x:v>
      </x:c>
      <x:c r="Y20" s="346" t="str">
        <x:v>No</x:v>
      </x:c>
      <x:c r="Z20" s="346" t="str">
        <x:v>No</x:v>
      </x:c>
      <x:c r="AA20" s="380" t="str">
        <x:v>Yes - document channel, folders, whiteboards</x:v>
      </x:c>
      <x:c r="AB20" s="346" t="str">
        <x:v>No</x:v>
      </x:c>
      <x:c r="AC20" s="346" t="str">
        <x:v>No</x:v>
      </x:c>
      <x:c r="AD20" s="346" t="str">
        <x:v>Wiki</x:v>
      </x:c>
      <x:c r="AE20" s="346" t="str">
        <x:v>No</x:v>
      </x:c>
    </x:row>
    <x:row r="21" ht="36" customHeight="1">
      <x:c r="A21" s="378" t="str">
        <x:v>Tasks / Kanban</x:v>
      </x:c>
      <x:c r="B21" s="346" t="str">
        <x:v>No native task channel type</x:v>
      </x:c>
      <x:c r="C21" s="346" t="str">
        <x:v>No native</x:v>
      </x:c>
      <x:c r="D21" s="346" t="str">
        <x:v>No native</x:v>
      </x:c>
      <x:c r="E21" s="346" t="str">
        <x:v>No native</x:v>
      </x:c>
      <x:c r="F21" s="346" t="str">
        <x:v>Via app</x:v>
      </x:c>
      <x:c r="G21" s="346" t="str">
        <x:v>Extensible/client-dependent</x:v>
      </x:c>
      <x:c r="H21" s="346" t="str">
        <x:v>No native</x:v>
      </x:c>
      <x:c r="I21" s="346" t="str">
        <x:v>N/A</x:v>
      </x:c>
      <x:c r="J21" s="346" t="str">
        <x:v>N/A</x:v>
      </x:c>
      <x:c r="K21" s="346" t="str">
        <x:v>No dedicated task channel</x:v>
      </x:c>
      <x:c r="L21" s="346" t="str">
        <x:v>Boards/tasks via products/plugins</x:v>
      </x:c>
      <x:c r="M21" s="346" t="str">
        <x:v>Apps</x:v>
      </x:c>
      <x:c r="N21" s="346" t="str">
        <x:v>No</x:v>
      </x:c>
      <x:c r="O21" s="346" t="str">
        <x:v>No</x:v>
      </x:c>
      <x:c r="P21" s="346" t="str">
        <x:v>No</x:v>
      </x:c>
      <x:c r="Q21" s="346" t="str">
        <x:v>No</x:v>
      </x:c>
      <x:c r="R21" s="346" t="str">
        <x:v>No</x:v>
      </x:c>
      <x:c r="S21" s="346" t="str">
        <x:v>No native</x:v>
      </x:c>
      <x:c r="T21" s="346" t="str">
        <x:v>Tasks</x:v>
      </x:c>
      <x:c r="U21" s="346" t="str">
        <x:v>No</x:v>
      </x:c>
      <x:c r="V21" s="346" t="str">
        <x:v>No</x:v>
      </x:c>
      <x:c r="W21" s="346" t="str">
        <x:v>No</x:v>
      </x:c>
      <x:c r="X21" s="346" t="str">
        <x:v>No</x:v>
      </x:c>
      <x:c r="Y21" s="346" t="str">
        <x:v>No</x:v>
      </x:c>
      <x:c r="Z21" s="346" t="str">
        <x:v>No</x:v>
      </x:c>
      <x:c r="AA21" s="380" t="str">
        <x:v>Yes - task boards, assignees, blockers, archive</x:v>
      </x:c>
      <x:c r="AB21" s="346" t="str">
        <x:v>No</x:v>
      </x:c>
      <x:c r="AC21" s="346" t="str">
        <x:v>No</x:v>
      </x:c>
      <x:c r="AD21" s="346" t="str">
        <x:v>No</x:v>
      </x:c>
      <x:c r="AE21" s="346" t="str">
        <x:v>Tasks/modules</x:v>
      </x:c>
    </x:row>
    <x:row r="22" ht="36" customHeight="1">
      <x:c r="A22" s="378" t="str">
        <x:v>Live Board / Status Board</x:v>
      </x:c>
      <x:c r="B22" s="346" t="str">
        <x:v>No native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Yes - live status cards / tool-fed boards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78" t="str">
        <x:v>Roster / Team List</x:v>
      </x:c>
      <x:c r="B23" s="346" t="str">
        <x:v>No native roster channel type</x:v>
      </x:c>
      <x:c r="C23" s="346" t="str">
        <x:v>No native</x:v>
      </x:c>
      <x:c r="D23" s="346" t="str">
        <x:v>No native</x:v>
      </x:c>
      <x:c r="E23" s="346" t="str">
        <x:v>No native</x:v>
      </x:c>
      <x:c r="F23" s="346" t="str">
        <x:v>Via app (Raid Planner)</x:v>
      </x:c>
      <x:c r="G23" s="346" t="str">
        <x:v>Extensible/client-dependent</x:v>
      </x:c>
      <x:c r="H23" s="346" t="str">
        <x:v>No native</x:v>
      </x:c>
      <x:c r="I23" s="346" t="str">
        <x:v>N/A</x:v>
      </x:c>
      <x:c r="J23" s="346" t="str">
        <x:v>N/A</x:v>
      </x:c>
      <x:c r="K23" s="346" t="str">
        <x:v>No</x:v>
      </x:c>
      <x:c r="L23" s="346" t="str">
        <x:v>No</x:v>
      </x:c>
      <x:c r="M23" s="346" t="str">
        <x:v>No</x:v>
      </x:c>
      <x:c r="N23" s="346" t="str">
        <x:v>No</x:v>
      </x:c>
      <x:c r="O23" s="346" t="str">
        <x:v>No</x:v>
      </x:c>
      <x:c r="P23" s="346" t="str">
        <x:v>No</x:v>
      </x:c>
      <x:c r="Q23" s="346" t="str">
        <x:v>No</x:v>
      </x:c>
      <x:c r="R23" s="346" t="str">
        <x:v>No</x:v>
      </x:c>
      <x:c r="S23" s="346" t="str">
        <x:v>No native</x:v>
      </x:c>
      <x:c r="T23" s="346" t="str">
        <x:v>No</x:v>
      </x:c>
      <x:c r="U23" s="346" t="str">
        <x:v>No</x:v>
      </x:c>
      <x:c r="V23" s="346" t="str">
        <x:v>No</x:v>
      </x:c>
      <x:c r="W23" s="346" t="str">
        <x:v>No</x:v>
      </x:c>
      <x:c r="X23" s="346" t="str">
        <x:v>No</x:v>
      </x:c>
      <x:c r="Y23" s="346" t="str">
        <x:v>No</x:v>
      </x:c>
      <x:c r="Z23" s="346" t="str">
        <x:v>No</x:v>
      </x:c>
      <x:c r="AA23" s="380" t="str">
        <x:v>Experimental - dynamic role/member-derived roster</x:v>
      </x:c>
      <x:c r="AB23" s="346" t="str">
        <x:v>No</x:v>
      </x:c>
      <x:c r="AC23" s="346" t="str">
        <x:v>No</x:v>
      </x:c>
      <x:c r="AD23" s="346" t="str">
        <x:v>No</x:v>
      </x:c>
      <x:c r="AE23" s="346" t="str">
        <x:v>Roster/team modules</x:v>
      </x:c>
    </x:row>
    <x:row r="24" ht="36" customHeight="1">
      <x:c r="A24" s="378" t="str">
        <x:v>Web Link / Shortcut</x:v>
      </x:c>
      <x:c r="B24" s="346" t="str">
        <x:v>No native web-link channel type; links/embeds can be posted</x:v>
      </x:c>
      <x:c r="C24" s="346" t="str">
        <x:v>No native</x:v>
      </x:c>
      <x:c r="D24" s="346" t="str">
        <x:v>No native</x:v>
      </x:c>
      <x:c r="E24" s="346" t="str">
        <x:v>No native</x:v>
      </x:c>
      <x:c r="F24" s="346" t="str">
        <x:v>Via app</x:v>
      </x:c>
      <x:c r="G24" s="346" t="str">
        <x:v>Extensible/client-dependent</x:v>
      </x:c>
      <x:c r="H24" s="346" t="str">
        <x:v>No native</x:v>
      </x:c>
      <x:c r="I24" s="346" t="str">
        <x:v>N/A</x:v>
      </x:c>
      <x:c r="J24" s="346" t="str">
        <x:v>N/A</x:v>
      </x:c>
      <x:c r="K24" s="346" t="str">
        <x:v>No</x:v>
      </x:c>
      <x:c r="L24" s="346" t="str">
        <x:v>No</x:v>
      </x:c>
      <x:c r="M24" s="346" t="str">
        <x:v>No</x:v>
      </x:c>
      <x:c r="N24" s="346" t="str">
        <x:v>No</x:v>
      </x:c>
      <x:c r="O24" s="346" t="str">
        <x:v>No</x:v>
      </x:c>
      <x:c r="P24" s="346" t="str">
        <x:v>No</x:v>
      </x:c>
      <x:c r="Q24" s="346" t="str">
        <x:v>No</x:v>
      </x:c>
      <x:c r="R24" s="346" t="str">
        <x:v>No</x:v>
      </x:c>
      <x:c r="S24" s="346" t="str">
        <x:v>No native</x:v>
      </x:c>
      <x:c r="T24" s="346" t="str">
        <x:v>No</x:v>
      </x:c>
      <x:c r="U24" s="346" t="str">
        <x:v>No</x:v>
      </x:c>
      <x:c r="V24" s="346" t="str">
        <x:v>No</x:v>
      </x:c>
      <x:c r="W24" s="346" t="str">
        <x:v>ATProto links</x:v>
      </x:c>
      <x:c r="X24" s="346" t="str">
        <x:v>No</x:v>
      </x:c>
      <x:c r="Y24" s="346" t="str">
        <x:v>No</x:v>
      </x:c>
      <x:c r="Z24" s="346" t="str">
        <x:v>No</x:v>
      </x:c>
      <x:c r="AA24" s="380" t="str">
        <x:v>Yes - Link channel</x:v>
      </x:c>
      <x:c r="AB24" s="346" t="str">
        <x:v>No</x:v>
      </x:c>
      <x:c r="AC24" s="346" t="str">
        <x:v>No</x:v>
      </x:c>
      <x:c r="AD24" s="346" t="str">
        <x:v>No</x:v>
      </x:c>
      <x:c r="AE24" s="346" t="str">
        <x:v>Web/media stage</x:v>
      </x:c>
    </x:row>
    <x:row r="25" ht="36" customHeight="1">
      <x:c r="A25" s="378" t="str">
        <x:v>Calendar / Events</x:v>
      </x:c>
      <x:c r="B25" s="346" t="str">
        <x:v>Partial - Scheduled Events, not a channel</x:v>
      </x:c>
      <x:c r="C25" s="346" t="str">
        <x:v>No native</x:v>
      </x:c>
      <x:c r="D25" s="346" t="str">
        <x:v>Events rather than calendar channel</x:v>
      </x:c>
      <x:c r="E25" s="346" t="str">
        <x:v>No native</x:v>
      </x:c>
      <x:c r="F25" s="346" t="str">
        <x:v>Via app</x:v>
      </x:c>
      <x:c r="G25" s="346" t="str">
        <x:v>Client-dependent</x:v>
      </x:c>
      <x:c r="H25" s="346" t="str">
        <x:v>No native</x:v>
      </x:c>
      <x:c r="I25" s="346" t="str">
        <x:v>N/A</x:v>
      </x:c>
      <x:c r="J25" s="346" t="str">
        <x:v>N/A</x:v>
      </x:c>
      <x:c r="K25" s="346" t="str">
        <x:v>No dedicated calendar; integrations</x:v>
      </x:c>
      <x:c r="L25" s="346" t="str">
        <x:v>No</x:v>
      </x:c>
      <x:c r="M25" s="346" t="str">
        <x:v>Calendar apps/integrations</x:v>
      </x:c>
      <x:c r="N25" s="346" t="str">
        <x:v>Events</x:v>
      </x:c>
      <x:c r="O25" s="346" t="str">
        <x:v>No</x:v>
      </x:c>
      <x:c r="P25" s="346" t="str">
        <x:v>No</x:v>
      </x:c>
      <x:c r="Q25" s="346" t="str">
        <x:v>No</x:v>
      </x:c>
      <x:c r="R25" s="346" t="str">
        <x:v>No</x:v>
      </x:c>
      <x:c r="S25" s="346" t="str">
        <x:v>No native</x:v>
      </x:c>
      <x:c r="T25" s="346" t="str">
        <x:v>Calendar</x:v>
      </x:c>
      <x:c r="U25" s="346" t="str">
        <x:v>No</x:v>
      </x:c>
      <x:c r="V25" s="346" t="str">
        <x:v>No</x:v>
      </x:c>
      <x:c r="W25" s="346" t="str">
        <x:v>No</x:v>
      </x:c>
      <x:c r="X25" s="346" t="str">
        <x:v>No</x:v>
      </x:c>
      <x:c r="Y25" s="346" t="str">
        <x:v>No</x:v>
      </x:c>
      <x:c r="Z25" s="346" t="str">
        <x:v>No</x:v>
      </x:c>
      <x:c r="AA25" s="380" t="str">
        <x:v>Yes - Shard events + multiple calendars</x:v>
      </x:c>
      <x:c r="AB25" s="346" t="str">
        <x:v>No</x:v>
      </x:c>
      <x:c r="AC25" s="346" t="str">
        <x:v>No</x:v>
      </x:c>
      <x:c r="AD25" s="346" t="str">
        <x:v>Events/U/K</x:v>
      </x:c>
      <x:c r="AE25" s="346" t="str">
        <x:v>Events</x:v>
      </x:c>
    </x:row>
    <x:row r="26" ht="36" customHeight="1">
      <x:c r="A26" s="378" t="str">
        <x:v>RSS / Feed</x:v>
      </x:c>
      <x:c r="B26" s="346" t="str">
        <x:v>No native; webhooks/apps</x:v>
      </x:c>
      <x:c r="C26" s="346" t="str">
        <x:v>No native</x:v>
      </x:c>
      <x:c r="D26" s="346" t="str">
        <x:v>No native</x:v>
      </x:c>
      <x:c r="E26" s="346" t="str">
        <x:v>No native</x:v>
      </x:c>
      <x:c r="F26" s="346" t="str">
        <x:v>Via app</x:v>
      </x:c>
      <x:c r="G26" s="346" t="str">
        <x:v>Via integrations/bots</x:v>
      </x:c>
      <x:c r="H26" s="346" t="str">
        <x:v>No native</x:v>
      </x:c>
      <x:c r="I26" s="346" t="str">
        <x:v>N/A</x:v>
      </x:c>
      <x:c r="J26" s="346" t="str">
        <x:v>N/A</x:v>
      </x:c>
      <x:c r="K26" s="346" t="str">
        <x:v>Via integrations</x:v>
      </x:c>
      <x:c r="L26" s="346" t="str">
        <x:v>Integrations</x:v>
      </x:c>
      <x:c r="M26" s="346" t="str">
        <x:v>Apps</x:v>
      </x:c>
      <x:c r="N26" s="346" t="str">
        <x:v>No</x:v>
      </x:c>
      <x:c r="O26" s="346" t="str">
        <x:v>No</x:v>
      </x:c>
      <x:c r="P26" s="346" t="str">
        <x:v>No</x:v>
      </x:c>
      <x:c r="Q26" s="346" t="str">
        <x:v>No</x:v>
      </x:c>
      <x:c r="R26" s="346" t="str">
        <x:v>No</x:v>
      </x:c>
      <x:c r="S26" s="346" t="str">
        <x:v>No native</x:v>
      </x:c>
      <x:c r="T26" s="346" t="str">
        <x:v>No</x:v>
      </x:c>
      <x:c r="U26" s="346" t="str">
        <x:v>No</x:v>
      </x:c>
      <x:c r="V26" s="346" t="str">
        <x:v>No</x:v>
      </x:c>
      <x:c r="W26" s="346" t="str">
        <x:v>No</x:v>
      </x:c>
      <x:c r="X26" s="346" t="str">
        <x:v>No</x:v>
      </x:c>
      <x:c r="Y26" s="346" t="str">
        <x:v>No</x:v>
      </x:c>
      <x:c r="Z26" s="346" t="str">
        <x:v>No</x:v>
      </x:c>
      <x:c r="AA26" s="380" t="str">
        <x:v>Portal rather than channel - built-in RSS reader</x:v>
      </x:c>
      <x:c r="AB26" s="346" t="str">
        <x:v>No</x:v>
      </x:c>
      <x:c r="AC26" s="346" t="str">
        <x:v>No</x:v>
      </x:c>
      <x:c r="AD26" s="346" t="str">
        <x:v>No</x:v>
      </x:c>
      <x:c r="AE26" s="346" t="str">
        <x:v>U/K</x:v>
      </x:c>
    </x:row>
    <x:row r="27" ht="36" customHeight="1">
      <x:c r="A27" s="378" t="str">
        <x:v>Whiteboard</x:v>
      </x:c>
      <x:c r="B27" s="346" t="str">
        <x:v>Activities/apps</x:v>
      </x:c>
      <x:c r="C27" s="346" t="str">
        <x:v>U/K</x:v>
      </x:c>
      <x:c r="D27" s="346" t="str">
        <x:v>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Yes - within Documents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78" t="str">
        <x:v>Tabletop</x:v>
      </x:c>
      <x:c r="B28" s="346" t="str">
        <x:v>Activities/apps</x:v>
      </x:c>
      <x:c r="C28" s="346" t="str">
        <x:v>U/K</x:v>
      </x:c>
      <x:c r="D28" s="346" t="str">
        <x:v>U/K</x:v>
      </x:c>
      <x:c r="E28" s="346" t="str">
        <x:v>U/K</x:v>
      </x:c>
      <x:c r="F28" s="346" t="str">
        <x:v>U/K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U/K</x:v>
      </x:c>
      <x:c r="L28" s="346" t="str">
        <x:v>U/K</x:v>
      </x:c>
      <x:c r="M28" s="346" t="str">
        <x:v>U/K</x:v>
      </x:c>
      <x:c r="N28" s="346" t="str">
        <x:v>U/K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Experimental - dedicated Tabletop workspace/channel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5">
    <x:cfRule type="expression" dxfId="28" priority="1">
      <x:formula>ISNUMBER(SEARCH("U/K",B3))</x:formula>
    </x:cfRule>
    <x:cfRule type="expression" dxfId="29" priority="2">
      <x:formula>OR(B3="N/A",LEFT(B3,4)="N/A ")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" max="1" width="36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Extra Features - engagement, desktop, audio, and built-in community tools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v>Discord</x:v>
      </x:c>
      <x:c r="C2" s="376" t="str">
        <x:v>Stoat</x:v>
      </x:c>
      <x:c r="D2" s="376" t="str">
        <x:v>Fenrid</x:v>
      </x:c>
      <x:c r="E2" s="376" t="str">
        <x:v>Fluxer</x:v>
      </x:c>
      <x:c r="F2" s="376" t="str">
        <x:v>Root</x:v>
      </x:c>
      <x:c r="G2" s="376" t="str">
        <x:v>Matrix</x:v>
      </x:c>
      <x:c r="H2" s="376" t="str">
        <x:v>Spacebar</x:v>
      </x:c>
      <x:c r="I2" s="376" t="str">
        <x:v>Mumble</x:v>
      </x:c>
      <x:c r="J2" s="376" t="str">
        <x:v>TeamSpeak</x:v>
      </x:c>
      <x:c r="K2" s="377" t="str">
        <x:v>Zulip</x:v>
      </x:c>
      <x:c r="L2" s="376" t="str">
        <x:v>Mattermost</x:v>
      </x:c>
      <x:c r="M2" s="376" t="str">
        <x:v>Rocket.Chat</x:v>
      </x:c>
      <x:c r="N2" s="376" t="str">
        <x:v>GameVox</x:v>
      </x:c>
      <x:c r="O2" s="376" t="str">
        <x:v>Nerimity</x:v>
      </x:c>
      <x:c r="P2" s="376" t="str">
        <x:v>Osmium</x:v>
      </x:c>
      <x:c r="Q2" s="376" t="str">
        <x:v>Loqa</x:v>
      </x:c>
      <x:c r="R2" s="376" t="str">
        <x:v>Venta</x:v>
      </x:c>
      <x:c r="S2" s="376" t="str">
        <x:v>Mezon</x:v>
      </x:c>
      <x:c r="T2" s="376" t="str">
        <x:v>Kloak</x:v>
      </x:c>
      <x:c r="U2" s="376" t="str">
        <x:v>Yapper</x:v>
      </x:c>
      <x:c r="V2" s="376" t="str">
        <x:v>Harmony</x:v>
      </x:c>
      <x:c r="W2" s="376" t="str">
        <x:v>Roomy</x:v>
      </x:c>
      <x:c r="X2" s="376" t="str">
        <x:v>Armada</x:v>
      </x:c>
      <x:c r="Y2" s="376" t="str">
        <x:v>Hollow</x:v>
      </x:c>
      <x:c r="Z2" s="376" t="str">
        <x:v>DCTS</x:v>
      </x:c>
      <x:c r="AA2" s="383" t="str">
        <x:v>Rift</x:v>
      </x:c>
      <x:c r="AB2" s="376" t="str">
        <x:v>pqp.gg</x:v>
      </x:c>
      <x:c r="AC2" s="376" t="str">
        <x:v>Echon</x:v>
      </x:c>
      <x:c r="AD2" s="376" t="str">
        <x:v>Valour</x:v>
      </x:c>
      <x:c r="AE2" s="376" t="str">
        <x:v>Weered</x:v>
      </x:c>
    </x:row>
    <x:row r="3" ht="23" customHeight="1">
      <x:c r="A3" s="403" t="str">
        <x:v>Presence, Audio &amp; Desktop</x:v>
      </x:c>
      <x:c r="B3" s="403"/>
      <x:c r="C3" s="403"/>
      <x:c r="D3" s="403"/>
      <x:c r="E3" s="403"/>
      <x:c r="F3" s="403"/>
      <x:c r="G3" s="403"/>
      <x:c r="H3" s="403"/>
      <x:c r="I3" s="403"/>
      <x:c r="J3" s="403"/>
      <x:c r="K3" s="403"/>
      <x:c r="L3" s="404"/>
      <x:c r="M3" s="404"/>
      <x:c r="N3" s="404"/>
      <x:c r="O3" s="404"/>
      <x:c r="P3" s="404"/>
      <x:c r="Q3" s="404"/>
      <x:c r="R3" s="404"/>
      <x:c r="S3" s="404"/>
      <x:c r="T3" s="404"/>
      <x:c r="U3" s="404"/>
      <x:c r="V3" s="404"/>
      <x:c r="W3" s="404"/>
      <x:c r="X3" s="404"/>
      <x:c r="Y3" s="404"/>
      <x:c r="Z3" s="404"/>
      <x:c r="AA3" s="404"/>
      <x:c r="AB3" s="404"/>
      <x:c r="AC3" s="404"/>
      <x:c r="AD3" s="404"/>
      <x:c r="AE3" s="404"/>
    </x:row>
    <x:row r="4" ht="36" customHeight="1">
      <x:c r="A4" s="358" t="str">
        <x:v>Rich Presence</x:v>
      </x:c>
      <x:c r="B4" s="344" t="str">
        <x:v>Yes - Rich Presence</x:v>
      </x:c>
      <x:c r="C4" s="344" t="str">
        <x:v>Yes</x:v>
      </x:c>
      <x:c r="D4" s="344" t="str">
        <x:v>U/K</x:v>
      </x:c>
      <x:c r="E4" s="344" t="str">
        <x:v>Yes</x:v>
      </x:c>
      <x:c r="F4" s="344" t="str">
        <x:v>U/K</x:v>
      </x:c>
      <x:c r="G4" s="344" t="str">
        <x:v>Client-dependent</x:v>
      </x:c>
      <x:c r="H4" s="344" t="str">
        <x:v>Discord-compatible target</x:v>
      </x:c>
      <x:c r="I4" s="344" t="str">
        <x:v>Game integration/positional audio</x:v>
      </x:c>
      <x:c r="J4" s="344" t="str">
        <x:v>Game-oriented presence/plugins</x:v>
      </x:c>
      <x:c r="K4" s="345" t="str">
        <x:v>No game rich presence</x:v>
      </x:c>
      <x:c r="L4" s="346" t="str">
        <x:v>Integrations/status</x:v>
      </x:c>
      <x:c r="M4" s="346" t="str">
        <x:v>Integrations/status</x:v>
      </x:c>
      <x:c r="N4" s="346" t="str">
        <x:v>Rich presence/overlay</x:v>
      </x:c>
      <x:c r="O4" s="346" t="str">
        <x:v>Rich Presence extension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Yes/U/K</x:v>
      </x:c>
      <x:c r="T4" s="346" t="str">
        <x:v>U/K</x:v>
      </x:c>
      <x:c r="U4" s="346" t="str">
        <x:v>U/K</x:v>
      </x:c>
      <x:c r="V4" s="346" t="str">
        <x:v>Discord-compatible rich presence U/K</x:v>
      </x:c>
      <x:c r="W4" s="346" t="str">
        <x:v>ATProto presence U/K</x:v>
      </x:c>
      <x:c r="X4" s="346" t="str">
        <x:v>Nostr presence U/K</x:v>
      </x:c>
      <x:c r="Y4" s="346" t="str">
        <x:v>Twitch integration/badges</x:v>
      </x:c>
      <x:c r="Z4" s="346" t="str">
        <x:v>U/K</x:v>
      </x:c>
      <x:c r="AA4" s="380" t="str">
        <x:v>Portal/tool integrations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Deep game presence</x:v>
      </x:c>
    </x:row>
    <x:row r="5" ht="36" customHeight="1">
      <x:c r="A5" s="396" t="str">
        <x:v>Voice Overlay</x:v>
      </x:c>
      <x:c r="B5" s="392" t="str">
        <x:v>Yes - game overlay</x:v>
      </x:c>
      <x:c r="C5" s="392" t="str">
        <x:v>U/K</x:v>
      </x:c>
      <x:c r="D5" s="392" t="str">
        <x:v>U/K</x:v>
      </x:c>
      <x:c r="E5" s="392" t="str">
        <x:v>U/K</x:v>
      </x:c>
      <x:c r="F5" s="392" t="str">
        <x:v>U/K</x:v>
      </x:c>
      <x:c r="G5" s="392" t="str">
        <x:v>U/K</x:v>
      </x:c>
      <x:c r="H5" s="392" t="str">
        <x:v>U/K</x:v>
      </x:c>
      <x:c r="I5" s="392" t="str">
        <x:v>U/K</x:v>
      </x:c>
      <x:c r="J5" s="392" t="str">
        <x:v>Client/plugin dependent</x:v>
      </x:c>
      <x:c r="K5" s="392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Yes - desktop voice overlay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8" t="str">
        <x:v>Server / Community Soundboards</x:v>
      </x:c>
      <x:c r="B6" s="344" t="str">
        <x:v>Yes - server Soundboard</x:v>
      </x:c>
      <x:c r="C6" s="344" t="str">
        <x:v>No native soundboard verified</x:v>
      </x:c>
      <x:c r="D6" s="344" t="str">
        <x:v>U/K</x:v>
      </x:c>
      <x:c r="E6" s="344" t="str">
        <x:v>U/K</x:v>
      </x:c>
      <x:c r="F6" s="344" t="str">
        <x:v>U/K</x:v>
      </x:c>
      <x:c r="G6" s="344" t="str">
        <x:v>Client-dependent</x:v>
      </x:c>
      <x:c r="H6" s="344" t="str">
        <x:v>Discord-compatible target; U/K</x:v>
      </x:c>
      <x:c r="I6" s="344" t="str">
        <x:v>No</x:v>
      </x:c>
      <x:c r="J6" s="344" t="str">
        <x:v>Sound packs/plugins; native soundboard U/K</x:v>
      </x:c>
      <x:c r="K6" s="345" t="str">
        <x:v>No</x:v>
      </x:c>
      <x:c r="L6" s="346" t="str">
        <x:v>No native soundboard</x:v>
      </x:c>
      <x:c r="M6" s="346" t="str">
        <x:v>No native gaming soundboard</x:v>
      </x:c>
      <x:c r="N6" s="346" t="str">
        <x:v>Yes - imported soundboard</x:v>
      </x:c>
      <x:c r="O6" s="346" t="str">
        <x:v>No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No</x:v>
      </x:c>
      <x:c r="V6" s="346" t="str">
        <x:v>U/K</x:v>
      </x:c>
      <x:c r="W6" s="346" t="str">
        <x:v>No</x:v>
      </x:c>
      <x:c r="X6" s="346" t="str">
        <x:v>No</x:v>
      </x:c>
      <x:c r="Y6" s="346" t="str">
        <x:v>No</x:v>
      </x:c>
      <x:c r="Z6" s="346" t="str">
        <x:v>U/K</x:v>
      </x:c>
      <x:c r="AA6" s="380" t="str">
        <x:v>Yes</x:v>
      </x:c>
      <x:c r="AB6" s="346" t="str">
        <x:v>No</x:v>
      </x:c>
      <x:c r="AC6" s="346" t="str">
        <x:v>No</x:v>
      </x:c>
      <x:c r="AD6" s="346" t="str">
        <x:v>No</x:v>
      </x:c>
      <x:c r="AE6" s="346" t="str">
        <x:v>No</x:v>
      </x:c>
    </x:row>
    <x:row r="7" ht="36" customHeight="1">
      <x:c r="A7" s="358" t="str">
        <x:v>Personal Soundboard</x:v>
      </x:c>
      <x:c r="B7" s="344" t="str">
        <x:v>Partial - server soundboards can be used/favorited; no separate personal soundboard</x:v>
      </x:c>
      <x:c r="C7" s="344" t="str">
        <x:v>No</x:v>
      </x:c>
      <x:c r="D7" s="344" t="str">
        <x:v>U/K</x:v>
      </x:c>
      <x:c r="E7" s="344" t="str">
        <x:v>U/K</x:v>
      </x:c>
      <x:c r="F7" s="344" t="str">
        <x:v>U/K</x:v>
      </x:c>
      <x:c r="G7" s="344" t="str">
        <x:v>Client-dependent</x:v>
      </x:c>
      <x:c r="H7" s="344" t="str">
        <x:v>U/K</x:v>
      </x:c>
      <x:c r="I7" s="344" t="str">
        <x:v>No</x:v>
      </x:c>
      <x:c r="J7" s="344" t="str">
        <x:v>U/K</x:v>
      </x:c>
      <x:c r="K7" s="345" t="str">
        <x:v>No</x:v>
      </x:c>
      <x:c r="L7" s="346" t="str">
        <x:v>No</x:v>
      </x:c>
      <x:c r="M7" s="346" t="str">
        <x:v>No</x:v>
      </x:c>
      <x:c r="N7" s="346" t="str">
        <x:v>U/K</x:v>
      </x:c>
      <x:c r="O7" s="346" t="str">
        <x:v>No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No</x:v>
      </x:c>
      <x:c r="V7" s="346" t="str">
        <x:v>U/K</x:v>
      </x:c>
      <x:c r="W7" s="346" t="str">
        <x:v>No</x:v>
      </x:c>
      <x:c r="X7" s="346" t="str">
        <x:v>No</x:v>
      </x:c>
      <x:c r="Y7" s="346" t="str">
        <x:v>No</x:v>
      </x:c>
      <x:c r="Z7" s="346" t="str">
        <x:v>U/K</x:v>
      </x:c>
      <x:c r="AA7" s="380" t="str">
        <x:v>Yes</x:v>
      </x:c>
      <x:c r="AB7" s="346" t="str">
        <x:v>No</x:v>
      </x:c>
      <x:c r="AC7" s="346" t="str">
        <x:v>No</x:v>
      </x:c>
      <x:c r="AD7" s="346" t="str">
        <x:v>No</x:v>
      </x:c>
      <x:c r="AE7" s="346" t="str">
        <x:v>No</x:v>
      </x:c>
    </x:row>
    <x:row r="8" ht="36" customHeight="1">
      <x:c r="A8" s="358" t="str">
        <x:v>Voice Changer</x:v>
      </x:c>
      <x:c r="B8" s="344" t="str">
        <x:v>No native</x:v>
      </x:c>
      <x:c r="C8" s="344" t="str">
        <x:v>U/K</x:v>
      </x:c>
      <x:c r="D8" s="344" t="str">
        <x:v>U/K</x:v>
      </x:c>
      <x:c r="E8" s="344" t="str">
        <x:v>U/K</x:v>
      </x:c>
      <x:c r="F8" s="344" t="str">
        <x:v>U/K</x:v>
      </x:c>
      <x:c r="G8" s="344" t="str">
        <x:v>U/K</x:v>
      </x:c>
      <x:c r="H8" s="344" t="str">
        <x:v>U/K</x:v>
      </x:c>
      <x:c r="I8" s="344" t="str">
        <x:v>U/K</x:v>
      </x:c>
      <x:c r="J8" s="344" t="str">
        <x:v>Plugin dependent</x:v>
      </x:c>
      <x:c r="K8" s="345" t="str">
        <x:v>U/K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23" customHeight="1">
      <x:c r="A9" s="403" t="str">
        <x:v>Community Engagement</x:v>
      </x:c>
      <x:c r="B9" s="403"/>
      <x:c r="C9" s="403"/>
      <x:c r="D9" s="403"/>
      <x:c r="E9" s="403"/>
      <x:c r="F9" s="403"/>
      <x:c r="G9" s="403"/>
      <x:c r="H9" s="403"/>
      <x:c r="I9" s="403"/>
      <x:c r="J9" s="403"/>
      <x:c r="K9" s="403"/>
      <x:c r="L9" s="389"/>
      <x:c r="M9" s="389"/>
      <x:c r="N9" s="389"/>
      <x:c r="O9" s="389"/>
      <x:c r="P9" s="389"/>
      <x:c r="Q9" s="389"/>
      <x:c r="R9" s="389"/>
      <x:c r="S9" s="389"/>
      <x:c r="T9" s="389"/>
      <x:c r="U9" s="389"/>
      <x:c r="V9" s="389"/>
      <x:c r="W9" s="389"/>
      <x:c r="X9" s="389"/>
      <x:c r="Y9" s="389"/>
      <x:c r="Z9" s="389"/>
      <x:c r="AA9" s="389"/>
      <x:c r="AB9" s="389"/>
      <x:c r="AC9" s="389"/>
      <x:c r="AD9" s="389"/>
      <x:c r="AE9" s="389"/>
    </x:row>
    <x:row r="10" ht="36" customHeight="1">
      <x:c r="A10" s="358" t="str">
        <x:v>Leveling / XP</x:v>
      </x:c>
      <x:c r="B10" s="344" t="str">
        <x:v>No native; bots/apps</x:v>
      </x:c>
      <x:c r="C10" s="344" t="str">
        <x:v>U/K</x:v>
      </x:c>
      <x:c r="D10" s="344" t="str">
        <x:v>U/K</x:v>
      </x:c>
      <x:c r="E10" s="344" t="str">
        <x:v>U/K</x:v>
      </x:c>
      <x:c r="F10" s="344" t="str">
        <x:v>U/K</x:v>
      </x:c>
      <x:c r="G10" s="344" t="str">
        <x:v>U/K</x:v>
      </x:c>
      <x:c r="H10" s="344" t="str">
        <x:v>U/K</x:v>
      </x:c>
      <x:c r="I10" s="344" t="str">
        <x:v>U/K</x:v>
      </x:c>
      <x:c r="J10" s="344" t="str">
        <x:v>U/K</x:v>
      </x:c>
      <x:c r="K10" s="345" t="str">
        <x:v>U/K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Yes - opt-in XP, roles/unlocks, leaderboard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8" t="str">
        <x:v>Giveaways / Raffles</x:v>
      </x:c>
      <x:c r="B11" s="344" t="str">
        <x:v>No native; bots/apps</x:v>
      </x:c>
      <x:c r="C11" s="344" t="str">
        <x:v>U/K</x:v>
      </x:c>
      <x:c r="D11" s="344" t="str">
        <x:v>U/K</x:v>
      </x:c>
      <x:c r="E11" s="344" t="str">
        <x:v>U/K</x:v>
      </x:c>
      <x:c r="F11" s="344" t="str">
        <x:v>U/K</x:v>
      </x:c>
      <x:c r="G11" s="344" t="str">
        <x:v>U/K</x:v>
      </x:c>
      <x:c r="H11" s="344" t="str">
        <x:v>U/K</x:v>
      </x:c>
      <x:c r="I11" s="344" t="str">
        <x:v>U/K</x:v>
      </x:c>
      <x:c r="J11" s="344" t="str">
        <x:v>U/K</x:v>
      </x:c>
      <x:c r="K11" s="345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Yes - verifiable cryptographic draw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8" t="str">
        <x:v>Reaction Roles</x:v>
      </x:c>
      <x:c r="B12" s="344" t="str">
        <x:v>No native general reaction-role builder; bots/apps</x:v>
      </x:c>
      <x:c r="C12" s="344" t="str">
        <x:v>U/K</x:v>
      </x:c>
      <x:c r="D12" s="344" t="str">
        <x:v>U/K</x:v>
      </x:c>
      <x:c r="E12" s="344" t="str">
        <x:v>U/K</x:v>
      </x:c>
      <x:c r="F12" s="344" t="str">
        <x:v>U/K</x:v>
      </x:c>
      <x:c r="G12" s="344" t="str">
        <x:v>U/K</x:v>
      </x:c>
      <x:c r="H12" s="344" t="str">
        <x:v>U/K</x:v>
      </x:c>
      <x:c r="I12" s="344" t="str">
        <x:v>U/K</x:v>
      </x:c>
      <x:c r="J12" s="344" t="str">
        <x:v>U/K</x:v>
      </x:c>
      <x:c r="K12" s="345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Yes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8" t="str">
        <x:v>Live Stream Alerts</x:v>
      </x:c>
      <x:c r="B13" s="344" t="str">
        <x:v>Bots/webhooks/apps</x:v>
      </x:c>
      <x:c r="C13" s="344" t="str">
        <x:v>U/K</x:v>
      </x:c>
      <x:c r="D13" s="344" t="str">
        <x:v>U/K</x:v>
      </x:c>
      <x:c r="E13" s="344" t="str">
        <x:v>U/K</x:v>
      </x:c>
      <x:c r="F13" s="344" t="str">
        <x:v>U/K</x:v>
      </x:c>
      <x:c r="G13" s="344" t="str">
        <x:v>U/K</x:v>
      </x:c>
      <x:c r="H13" s="344" t="str">
        <x:v>U/K</x:v>
      </x:c>
      <x:c r="I13" s="344" t="str">
        <x:v>U/K</x:v>
      </x:c>
      <x:c r="J13" s="344" t="str">
        <x:v>U/K</x:v>
      </x:c>
      <x:c r="K13" s="345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Yes - Twitch EventSub live alerts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97" t="str">
        <x:v>Shared Availability</x:v>
      </x:c>
      <x:c r="B14" s="349" t="str">
        <x:v>No dedicated native availability tool</x:v>
      </x:c>
      <x:c r="C14" s="349" t="str">
        <x:v>U/K</x:v>
      </x:c>
      <x:c r="D14" s="349" t="str">
        <x:v>U/K</x:v>
      </x:c>
      <x:c r="E14" s="349" t="str">
        <x:v>U/K</x:v>
      </x:c>
      <x:c r="F14" s="349" t="str">
        <x:v>U/K</x:v>
      </x:c>
      <x:c r="G14" s="349" t="str">
        <x:v>U/K</x:v>
      </x:c>
      <x:c r="H14" s="349" t="str">
        <x:v>U/K</x:v>
      </x:c>
      <x:c r="I14" s="349" t="str">
        <x:v>U/K</x:v>
      </x:c>
      <x:c r="J14" s="349" t="str">
        <x:v>U/K</x:v>
      </x:c>
      <x:c r="K14" s="395" t="str">
        <x:v>U/K</x:v>
      </x:c>
      <x:c r="L14" s="349" t="str">
        <x:v>U/K</x:v>
      </x:c>
      <x:c r="M14" s="349" t="str">
        <x:v>U/K</x:v>
      </x:c>
      <x:c r="N14" s="349" t="str">
        <x:v>U/K</x:v>
      </x:c>
      <x:c r="O14" s="349" t="str">
        <x:v>U/K</x:v>
      </x:c>
      <x:c r="P14" s="349" t="str">
        <x:v>U/K</x:v>
      </x:c>
      <x:c r="Q14" s="349" t="str">
        <x:v>U/K</x:v>
      </x:c>
      <x:c r="R14" s="349" t="str">
        <x:v>U/K</x:v>
      </x:c>
      <x:c r="S14" s="349" t="str">
        <x:v>U/K</x:v>
      </x:c>
      <x:c r="T14" s="349" t="str">
        <x:v>U/K</x:v>
      </x:c>
      <x:c r="U14" s="349" t="str">
        <x:v>U/K</x:v>
      </x:c>
      <x:c r="V14" s="349" t="str">
        <x:v>U/K</x:v>
      </x:c>
      <x:c r="W14" s="349" t="str">
        <x:v>U/K</x:v>
      </x:c>
      <x:c r="X14" s="349" t="str">
        <x:v>U/K</x:v>
      </x:c>
      <x:c r="Y14" s="349" t="str">
        <x:v>U/K</x:v>
      </x:c>
      <x:c r="Z14" s="349" t="str">
        <x:v>U/K</x:v>
      </x:c>
      <x:c r="AA14" s="381" t="str">
        <x:v>Yes</x:v>
      </x:c>
      <x:c r="AB14" s="349" t="str">
        <x:v>U/K</x:v>
      </x:c>
      <x:c r="AC14" s="349" t="str">
        <x:v>U/K</x:v>
      </x:c>
      <x:c r="AD14" s="349" t="str">
        <x:v>U/K</x:v>
      </x:c>
      <x:c r="AE14" s="349" t="str">
        <x:v>U/K</x:v>
      </x:c>
    </x:row>
    <x:row r="15" ht="36" customHeight="1">
      <x:c r="A15" s="378" t="str">
        <x:v>Text Macros</x:v>
      </x:c>
      <x:c r="B15" s="346" t="str">
        <x:v>No native macro system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Yes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Dice Rolls</x:v>
      </x:c>
      <x:c r="B16" s="346" t="str">
        <x:v>Apps/bots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Yes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23" customHeight="1">
      <x:c r="A17" s="389" t="str">
        <x:v>Make &amp; Play</x:v>
      </x:c>
      <x:c r="B17" s="389"/>
      <x:c r="C17" s="389"/>
      <x:c r="D17" s="389"/>
      <x:c r="E17" s="389"/>
      <x:c r="F17" s="389"/>
      <x:c r="G17" s="389"/>
      <x:c r="H17" s="389"/>
      <x:c r="I17" s="389"/>
      <x:c r="J17" s="389"/>
      <x:c r="K17" s="389"/>
      <x:c r="L17" s="389"/>
      <x:c r="M17" s="389"/>
      <x:c r="N17" s="389"/>
      <x:c r="O17" s="389"/>
      <x:c r="P17" s="389"/>
      <x:c r="Q17" s="389"/>
      <x:c r="R17" s="389"/>
      <x:c r="S17" s="389"/>
      <x:c r="T17" s="389"/>
      <x:c r="U17" s="389"/>
      <x:c r="V17" s="389"/>
      <x:c r="W17" s="389"/>
      <x:c r="X17" s="389"/>
      <x:c r="Y17" s="389"/>
      <x:c r="Z17" s="389"/>
      <x:c r="AA17" s="389"/>
      <x:c r="AB17" s="389"/>
      <x:c r="AC17" s="389"/>
      <x:c r="AD17" s="389"/>
      <x:c r="AE17" s="389"/>
    </x:row>
    <x:row r="18" ht="36" customHeight="1">
      <x:c r="A18" s="378" t="str">
        <x:v>Tabletop</x:v>
      </x:c>
      <x:c r="B18" s="346" t="str">
        <x:v>Activities/apps can provide tabletop</x:v>
      </x:c>
      <x:c r="C18" s="346" t="str">
        <x:v>No</x:v>
      </x:c>
      <x:c r="D18" s="346" t="str">
        <x:v>No</x:v>
      </x:c>
      <x:c r="E18" s="346" t="str">
        <x:v>No</x:v>
      </x:c>
      <x:c r="F18" s="346" t="str">
        <x:v>Apps can implement tabletop-like experiences</x:v>
      </x:c>
      <x:c r="G18" s="346" t="str">
        <x:v>Client-dependent</x:v>
      </x:c>
      <x:c r="H18" s="346" t="str">
        <x:v>No</x:v>
      </x:c>
      <x:c r="I18" s="346" t="str">
        <x:v>No</x:v>
      </x:c>
      <x:c r="J18" s="346" t="str">
        <x:v>No</x:v>
      </x:c>
      <x:c r="K18" s="346" t="str">
        <x:v>No</x:v>
      </x:c>
      <x:c r="L18" s="346" t="str">
        <x:v>No</x:v>
      </x:c>
      <x:c r="M18" s="346" t="str">
        <x:v>No</x:v>
      </x:c>
      <x:c r="N18" s="346" t="str">
        <x:v>No dedicated tabletop</x:v>
      </x:c>
      <x:c r="O18" s="346" t="str">
        <x:v>No</x:v>
      </x:c>
      <x:c r="P18" s="346" t="str">
        <x:v>No</x:v>
      </x:c>
      <x:c r="Q18" s="346" t="str">
        <x:v>No</x:v>
      </x:c>
      <x:c r="R18" s="346" t="str">
        <x:v>No</x:v>
      </x:c>
      <x:c r="S18" s="346" t="str">
        <x:v>No</x:v>
      </x:c>
      <x:c r="T18" s="346" t="str">
        <x:v>No</x:v>
      </x:c>
      <x:c r="U18" s="346" t="str">
        <x:v>No</x:v>
      </x:c>
      <x:c r="V18" s="346" t="str">
        <x:v>No</x:v>
      </x:c>
      <x:c r="W18" s="346" t="str">
        <x:v>No</x:v>
      </x:c>
      <x:c r="X18" s="346" t="str">
        <x:v>No</x:v>
      </x:c>
      <x:c r="Y18" s="346" t="str">
        <x:v>No</x:v>
      </x:c>
      <x:c r="Z18" s="346" t="str">
        <x:v>No</x:v>
      </x:c>
      <x:c r="AA18" s="380" t="str">
        <x:v>Experimental - native Tabletop workspace</x:v>
      </x:c>
      <x:c r="AB18" s="346" t="str">
        <x:v>No</x:v>
      </x:c>
      <x:c r="AC18" s="346" t="str">
        <x:v>No</x:v>
      </x:c>
      <x:c r="AD18" s="346" t="str">
        <x:v>No</x:v>
      </x:c>
      <x:c r="AE18" s="346" t="str">
        <x:v>Yes - D&amp;D module/maps</x:v>
      </x:c>
    </x:row>
    <x:row r="19" ht="36" customHeight="1">
      <x:c r="A19" s="378" t="str">
        <x:v>Arcade / Mini Games</x:v>
      </x:c>
      <x:c r="B19" s="346" t="str">
        <x:v>Yes - Activities include games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Experimental - Arcade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78" t="str">
        <x:v>Music Creation / Studio</x:v>
      </x:c>
      <x:c r="B20" s="346" t="str">
        <x:v>No native DAW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Experimental - Rift Studio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78" t="str">
        <x:v>Watch Parties</x:v>
      </x:c>
      <x:c r="B21" s="346" t="str">
        <x:v>Activities can provide co-watching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Yes - synchronized YouTube/Twitch Watch Party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4">
    <x:cfRule type="expression" dxfId="26" priority="1">
      <x:formula>ISNUMBER(SEARCH("U/K",B3))</x:formula>
    </x:cfRule>
    <x:cfRule type="expression" dxfId="27" priority="2">
      <x:formula>OR(B3="N/A",LEFT(B3,4)="N/A ")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Embedded Apps &amp; Workspaces - in-client apps, widgets, layouts, shared experiences, and app ecosystems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v>Discord</x:v>
      </x:c>
      <x:c r="C2" s="420" t="str">
        <x:v>Stoat</x:v>
      </x:c>
      <x:c r="D2" s="420" t="str">
        <x:v>Fenrid</x:v>
      </x:c>
      <x:c r="E2" s="420" t="str">
        <x:v>Fluxer</x:v>
      </x:c>
      <x:c r="F2" s="420" t="str">
        <x:v>Root</x:v>
      </x:c>
      <x:c r="G2" s="420" t="str">
        <x:v>Matrix</x:v>
      </x:c>
      <x:c r="H2" s="420" t="str">
        <x:v>Spacebar</x:v>
      </x:c>
      <x:c r="I2" s="420" t="str">
        <x:v>Mumble</x:v>
      </x:c>
      <x:c r="J2" s="420" t="str">
        <x:v>TeamSpeak</x:v>
      </x:c>
      <x:c r="K2" s="420" t="str">
        <x:v>Zulip</x:v>
      </x:c>
      <x:c r="L2" s="420" t="str">
        <x:v>Mattermost</x:v>
      </x:c>
      <x:c r="M2" s="420" t="str">
        <x:v>Rocket.Chat</x:v>
      </x:c>
      <x:c r="N2" s="420" t="str">
        <x:v>GameVox</x:v>
      </x:c>
      <x:c r="O2" s="420" t="str">
        <x:v>Nerimity</x:v>
      </x:c>
      <x:c r="P2" s="420" t="str">
        <x:v>Osmium</x:v>
      </x:c>
      <x:c r="Q2" s="420" t="str">
        <x:v>Loqa</x:v>
      </x:c>
      <x:c r="R2" s="420" t="str">
        <x:v>Venta</x:v>
      </x:c>
      <x:c r="S2" s="420" t="str">
        <x:v>Mezon</x:v>
      </x:c>
      <x:c r="T2" s="420" t="str">
        <x:v>Kloak</x:v>
      </x:c>
      <x:c r="U2" s="420" t="str">
        <x:v>Yapper</x:v>
      </x:c>
      <x:c r="V2" s="420" t="str">
        <x:v>Harmony</x:v>
      </x:c>
      <x:c r="W2" s="420" t="str">
        <x:v>Roomy</x:v>
      </x:c>
      <x:c r="X2" s="420" t="str">
        <x:v>Armada</x:v>
      </x:c>
      <x:c r="Y2" s="420" t="str">
        <x:v>Hollow</x:v>
      </x:c>
      <x:c r="Z2" s="420" t="str">
        <x:v>DCTS</x:v>
      </x:c>
      <x:c r="AA2" s="421" t="str">
        <x:v>Rift</x:v>
      </x:c>
      <x:c r="AB2" s="420" t="str">
        <x:v>pqp.gg</x:v>
      </x:c>
      <x:c r="AC2" s="420" t="str">
        <x:v>Echon</x:v>
      </x:c>
      <x:c r="AD2" s="420" t="str">
        <x:v>Valour</x:v>
      </x:c>
      <x:c r="AE2" s="420" t="str">
        <x:v>Weered</x:v>
      </x:c>
    </x:row>
    <x:row r="3" ht="23" customHeight="1">
      <x:c r="A3" s="389" t="str">
        <x:v>Platform &amp; Runtime</x:v>
      </x:c>
      <x:c r="B3" s="389"/>
      <x:c r="C3" s="389"/>
      <x:c r="D3" s="389"/>
      <x:c r="E3" s="389"/>
      <x:c r="F3" s="389"/>
      <x:c r="G3" s="389"/>
      <x:c r="H3" s="389"/>
      <x:c r="I3" s="389"/>
      <x:c r="J3" s="389"/>
      <x:c r="K3" s="389"/>
      <x:c r="L3" s="389"/>
      <x:c r="M3" s="389"/>
      <x:c r="N3" s="389"/>
      <x:c r="O3" s="389"/>
      <x:c r="P3" s="389"/>
      <x:c r="Q3" s="389"/>
      <x:c r="R3" s="389"/>
      <x:c r="S3" s="389"/>
      <x:c r="T3" s="389"/>
      <x:c r="U3" s="389"/>
      <x:c r="V3" s="389"/>
      <x:c r="W3" s="389"/>
      <x:c r="X3" s="389"/>
      <x:c r="Y3" s="389"/>
      <x:c r="Z3" s="389"/>
      <x:c r="AA3" s="389"/>
      <x:c r="AB3" s="389"/>
      <x:c r="AC3" s="389"/>
      <x:c r="AD3" s="389"/>
      <x:c r="AE3" s="389"/>
    </x:row>
    <x:row r="4" ht="36" customHeight="1">
      <x:c r="A4" s="378" t="str">
        <x:v>Embedded App / Widget Framework</x:v>
      </x:c>
      <x:c r="B4" s="346" t="str">
        <x:v>Yes - Activities + Embedded App SDK</x:v>
      </x:c>
      <x:c r="C4" s="346" t="str">
        <x:v>U/K</x:v>
      </x:c>
      <x:c r="D4" s="346" t="str">
        <x:v>U/K</x:v>
      </x:c>
      <x:c r="E4" s="346" t="str">
        <x:v>U/K</x:v>
      </x:c>
      <x:c r="F4" s="346" t="str">
        <x:v>U/K</x:v>
      </x:c>
      <x:c r="G4" s="346" t="str">
        <x:v>Client-dependent - Element supports room widgets/custom embedded web pages; not Matrix-wide</x:v>
      </x:c>
      <x:c r="H4" s="346" t="str">
        <x:v>U/K</x:v>
      </x:c>
      <x:c r="I4" s="346" t="str">
        <x:v>U/K</x:v>
      </x:c>
      <x:c r="J4" s="346" t="str">
        <x:v>U/K</x:v>
      </x:c>
      <x:c r="K4" s="346" t="str">
        <x:v>No comparable embedded UI framework; bots/integrations instead</x:v>
      </x:c>
      <x:c r="L4" s="346" t="str">
        <x:v>Yes - webapp plugins can inject React/root components</x:v>
      </x:c>
      <x:c r="M4" s="346" t="str">
        <x:v>Yes - Apps-Engine packages install directly into workspace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Yes - Portals embedded beside chat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78" t="str">
        <x:v>Third-Party App Development SDK / Framework</x:v>
      </x:c>
      <x:c r="B5" s="346" t="str">
        <x:v>Yes - @discord/embedded-app-sdk</x:v>
      </x:c>
      <x:c r="C5" s="346" t="str">
        <x:v>U/K</x:v>
      </x:c>
      <x:c r="D5" s="346" t="str">
        <x:v>U/K</x:v>
      </x:c>
      <x:c r="E5" s="346" t="str">
        <x:v>U/K</x:v>
      </x:c>
      <x:c r="F5" s="346" t="str">
        <x:v>U/K</x:v>
      </x:c>
      <x:c r="G5" s="346" t="str">
        <x:v>Client/integration-manager dependent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APIs/bot frameworks, not embedded UI</x:v>
      </x:c>
      <x:c r="L5" s="346" t="str">
        <x:v>Yes - plugin webapp APIs</x:v>
      </x:c>
      <x:c r="M5" s="346" t="str">
        <x:v>Yes - Apps-Engine (TypeScript)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U/K - first-party Portal catalog documented; third-party SDK U/K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78" t="str">
        <x:v>App Directory / Marketplace</x:v>
      </x:c>
      <x:c r="B6" s="346" t="str">
        <x:v>Yes - App Directory / platform apps</x:v>
      </x:c>
      <x:c r="C6" s="346" t="str">
        <x:v>U/K</x:v>
      </x:c>
      <x:c r="D6" s="346" t="str">
        <x:v>U/K</x:v>
      </x:c>
      <x:c r="E6" s="346" t="str">
        <x:v>U/K</x:v>
      </x:c>
      <x:c r="F6" s="346" t="str">
        <x:v>U/K</x:v>
      </x:c>
      <x:c r="G6" s="346" t="str">
        <x:v>Client-dependent integration manager/catalog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Yes - integration directory, not embedded apps</x:v>
      </x:c>
      <x:c r="L6" s="346" t="str">
        <x:v>Plugin marketplace/ecosystem</x:v>
      </x:c>
      <x:c r="M6" s="346" t="str">
        <x:v>Yes - Marketplace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First-party Portal catalog; third-party marketplace U/K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78" t="str">
        <x:v>Runs Inside Chat Client</x:v>
      </x:c>
      <x:c r="B7" s="346" t="str">
        <x:v>Yes - Activities run inside Discord</x:v>
      </x:c>
      <x:c r="C7" s="346" t="str">
        <x:v>U/K</x:v>
      </x:c>
      <x:c r="D7" s="346" t="str">
        <x:v>U/K</x:v>
      </x:c>
      <x:c r="E7" s="346" t="str">
        <x:v>U/K</x:v>
      </x:c>
      <x:c r="F7" s="346" t="str">
        <x:v>U/K</x:v>
      </x:c>
      <x:c r="G7" s="346" t="str">
        <x:v>Client-dependent widgets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Integrations generally act through messages/bots</x:v>
      </x:c>
      <x:c r="L7" s="346" t="str">
        <x:v>Yes - plugins can extend web/desktop UI</x:v>
      </x:c>
      <x:c r="M7" s="346" t="str">
        <x:v>Yes - apps extend workspace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Yes - Portals live in the Rift workspace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78" t="str">
        <x:v>Shared / Synchronized Multi-User Sessions</x:v>
      </x:c>
      <x:c r="B8" s="346" t="str">
        <x:v>Yes - Activities are multiplayer/social sessions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U/K</x:v>
      </x:c>
      <x:c r="G8" s="346" t="str">
        <x:v>Widget-dependent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Bot/integration-dependent</x:v>
      </x:c>
      <x:c r="L8" s="346" t="str">
        <x:v>Plugin-dependent</x:v>
      </x:c>
      <x:c r="M8" s="346" t="str">
        <x:v>App-dependent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 - Watch Parties; Arcade/Tabletop collaborative experiences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78" t="str">
        <x:v>Launch from Channel / Conversation</x:v>
      </x:c>
      <x:c r="B9" s="346" t="str">
        <x:v>Yes - channels, DMs, App Launcher</x:v>
      </x:c>
      <x:c r="C9" s="346" t="str">
        <x:v>U/K</x:v>
      </x:c>
      <x:c r="D9" s="346" t="str">
        <x:v>U/K</x:v>
      </x:c>
      <x:c r="E9" s="346" t="str">
        <x:v>U/K</x:v>
      </x:c>
      <x:c r="F9" s="346" t="str">
        <x:v>U/K</x:v>
      </x:c>
      <x:c r="G9" s="346" t="str">
        <x:v>Client-dependent room widgets</x:v>
      </x:c>
      <x:c r="H9" s="346" t="str">
        <x:v>U/K</x:v>
      </x:c>
      <x:c r="I9" s="346" t="str">
        <x:v>U/K</x:v>
      </x:c>
      <x:c r="J9" s="346" t="str">
        <x:v>U/K</x:v>
      </x:c>
      <x:c r="K9" s="346" t="str">
        <x:v>Bots/integrations can be invoked in conversation</x:v>
      </x:c>
      <x:c r="L9" s="346" t="str">
        <x:v>Plugin-dependent</x:v>
      </x:c>
      <x:c r="M9" s="346" t="str">
        <x:v>App-dependent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Yes - Portals alongside chat; some tools post into channels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78" t="str">
        <x:v>Mobile Embedded App Support</x:v>
      </x:c>
      <x:c r="B10" s="346" t="str">
        <x:v>Yes - Embedded App SDK supports iOS/Android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Client/widget dependent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Integrations available; not embedded UI</x:v>
      </x:c>
      <x:c r="L10" s="346" t="str">
        <x:v>Plugin/mobile support varies</x:v>
      </x:c>
      <x:c r="M10" s="346" t="str">
        <x:v>App/mobile support varies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Core app mobile; individual Portal support varies/U/K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23" customHeight="1">
      <x:c r="A11" s="389" t="str">
        <x:v>Workspace &amp; Layout</x:v>
      </x:c>
      <x:c r="B11" s="389"/>
      <x:c r="C11" s="389"/>
      <x:c r="D11" s="389"/>
      <x:c r="E11" s="389"/>
      <x:c r="F11" s="389"/>
      <x:c r="G11" s="389"/>
      <x:c r="H11" s="389"/>
      <x:c r="I11" s="389"/>
      <x:c r="J11" s="389"/>
      <x:c r="K11" s="389"/>
      <x:c r="L11" s="389"/>
      <x:c r="M11" s="389"/>
      <x:c r="N11" s="389"/>
      <x:c r="O11" s="389"/>
      <x:c r="P11" s="389"/>
      <x:c r="Q11" s="389"/>
      <x:c r="R11" s="389"/>
      <x:c r="S11" s="389"/>
      <x:c r="T11" s="389"/>
      <x:c r="U11" s="389"/>
      <x:c r="V11" s="389"/>
      <x:c r="W11" s="389"/>
      <x:c r="X11" s="389"/>
      <x:c r="Y11" s="389"/>
      <x:c r="Z11" s="389"/>
      <x:c r="AA11" s="389"/>
      <x:c r="AB11" s="389"/>
      <x:c r="AC11" s="389"/>
      <x:c r="AD11" s="389"/>
      <x:c r="AE11" s="389"/>
    </x:row>
    <x:row r="12" ht="36" customHeight="1">
      <x:c r="A12" s="378" t="str">
        <x:v>Drag / Resize Embedded Apps</x:v>
      </x:c>
      <x:c r="B12" s="346" t="str">
        <x:v>No general workspace layout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Client-dependent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Plugin-dependent</x:v>
      </x:c>
      <x:c r="M12" s="346" t="str">
        <x:v>App-dependent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Yes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Multiple Apps Visible Beside Chat</x:v>
      </x:c>
      <x:c r="B13" s="346" t="str">
        <x:v>Limited - Activity/PiP model, not freeform dashboard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Client-dependent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Plugin-dependent</x:v>
      </x:c>
      <x:c r="M13" s="346" t="str">
        <x:v>App-dependent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Yes - multi-panel workspace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78" t="str">
        <x:v>Save Named App Layouts / Workspaces</x:v>
      </x:c>
      <x:c r="B14" s="346" t="str">
        <x:v>No general feature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Client-dependent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No general user layout feature</x:v>
      </x:c>
      <x:c r="M14" s="346" t="str">
        <x:v>No general user layout feature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Yes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78" t="str">
        <x:v>Pop App / Chat into Separate Window</x:v>
      </x:c>
      <x:c r="B15" s="346" t="str">
        <x:v>Activity/PiP behavior varies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Client-dependent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Client/plugin dependent</x:v>
      </x:c>
      <x:c r="M15" s="346" t="str">
        <x:v>Client/app dependent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Yes - tear out chat or Portal to own window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Per-User Personal Apps / Widgets</x:v>
      </x:c>
      <x:c r="B16" s="346" t="str">
        <x:v>Yes - user-installed apps / Activities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Client-dependent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Personal bots/integrations possible</x:v>
      </x:c>
      <x:c r="L16" s="346" t="str">
        <x:v>Plugin/admin controlled</x:v>
      </x:c>
      <x:c r="M16" s="346" t="str">
        <x:v>Workspace/admin controlled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Yes - personal Portals such as to-dos/watchlists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78" t="str">
        <x:v>Per-Community / Shared Apps</x:v>
      </x:c>
      <x:c r="B17" s="346" t="str">
        <x:v>Yes - guild-installed apps/Activities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Room widgets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Organization integrations</x:v>
      </x:c>
      <x:c r="L17" s="346" t="str">
        <x:v>Workspace plugins</x:v>
      </x:c>
      <x:c r="M17" s="346" t="str">
        <x:v>Workspace apps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Yes - Shard-aware tools/events + shared sessions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23" customHeight="1">
      <x:c r="A18" s="389" t="str">
        <x:v>Media &amp; Entertainment Apps</x:v>
      </x:c>
      <x:c r="B18" s="389"/>
      <x:c r="C18" s="389"/>
      <x:c r="D18" s="389"/>
      <x:c r="E18" s="389"/>
      <x:c r="F18" s="389"/>
      <x:c r="G18" s="389"/>
      <x:c r="H18" s="389"/>
      <x:c r="I18" s="389"/>
      <x:c r="J18" s="389"/>
      <x:c r="K18" s="389"/>
      <x:c r="L18" s="389"/>
      <x:c r="M18" s="389"/>
      <x:c r="N18" s="389"/>
      <x:c r="O18" s="389"/>
      <x:c r="P18" s="389"/>
      <x:c r="Q18" s="389"/>
      <x:c r="R18" s="389"/>
      <x:c r="S18" s="389"/>
      <x:c r="T18" s="389"/>
      <x:c r="U18" s="389"/>
      <x:c r="V18" s="389"/>
      <x:c r="W18" s="389"/>
      <x:c r="X18" s="389"/>
      <x:c r="Y18" s="389"/>
      <x:c r="Z18" s="389"/>
      <x:c r="AA18" s="389"/>
      <x:c r="AB18" s="389"/>
      <x:c r="AC18" s="389"/>
      <x:c r="AD18" s="389"/>
      <x:c r="AE18" s="389"/>
    </x:row>
    <x:row r="19" ht="36" customHeight="1">
      <x:c r="A19" s="378" t="str">
        <x:v>YouTube Viewer</x:v>
      </x:c>
      <x:c r="B19" s="346" t="str">
        <x:v>Via Activities/apps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Widget/integration dependent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Yes - YouTube Portal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78" t="str">
        <x:v>Twitch Viewer</x:v>
      </x:c>
      <x:c r="B20" s="346" t="str">
        <x:v>Via apps/links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Widget/integration dependent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Yes - Twitch Portal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78" t="str">
        <x:v>Synchronized Watch Party</x:v>
      </x:c>
      <x:c r="B21" s="346" t="str">
        <x:v>Yes - Activities can provide co-watching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Widget-dependent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Yes - host-synchronized YouTube/Twitch Watch Party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78" t="str">
        <x:v>Internet Radio</x:v>
      </x:c>
      <x:c r="B22" s="346" t="str">
        <x:v>Apps/bots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Widget-dependent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Yes - Radio Portal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78" t="str">
        <x:v>Soundboard App</x:v>
      </x:c>
      <x:c r="B23" s="346" t="str">
        <x:v>Native soundboard + apps</x:v>
      </x:c>
      <x:c r="C23" s="346" t="str">
        <x:v>U/K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Yes - Portal + native personal/Shard soundboards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36" customHeight="1">
      <x:c r="A24" s="378" t="str">
        <x:v>Game Library / Game Night Tool</x:v>
      </x:c>
      <x:c r="B24" s="346" t="str">
        <x:v>Activities/game integrations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U/K</x:v>
      </x:c>
      <x:c r="M24" s="346" t="str">
        <x:v>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Yes - Steam library + overlap + Game Night voting</x:v>
      </x:c>
      <x:c r="AB24" s="346" t="str">
        <x:v>U/K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78" t="str">
        <x:v>Arcade / Mini Games</x:v>
      </x:c>
      <x:c r="B25" s="346" t="str">
        <x:v>Yes - Activities ecosystem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Experimental - Arcade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78" t="str">
        <x:v>Tabletop / Virtual Tabletop</x:v>
      </x:c>
      <x:c r="B26" s="346" t="str">
        <x:v>Via Activities/apps</x:v>
      </x:c>
      <x:c r="C26" s="346" t="str">
        <x:v>U/K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U/K</x:v>
      </x:c>
      <x:c r="H26" s="346" t="str">
        <x:v>U/K</x:v>
      </x:c>
      <x:c r="I26" s="346" t="str">
        <x:v>U/K</x:v>
      </x:c>
      <x:c r="J26" s="346" t="str">
        <x:v>U/K</x:v>
      </x:c>
      <x:c r="K26" s="346" t="str">
        <x:v>U/K</x:v>
      </x:c>
      <x:c r="L26" s="346" t="str">
        <x:v>U/K</x:v>
      </x:c>
      <x:c r="M26" s="346" t="str">
        <x:v>U/K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Experimental - native Tabletop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U/K</x:v>
      </x:c>
    </x:row>
    <x:row r="27" ht="36" customHeight="1">
      <x:c r="A27" s="378" t="str">
        <x:v>Music Creation / DAW</x:v>
      </x:c>
      <x:c r="B27" s="346" t="str">
        <x:v>No first-party DAW</x:v>
      </x:c>
      <x:c r="C27" s="346" t="str">
        <x:v>U/K</x:v>
      </x:c>
      <x:c r="D27" s="346" t="str">
        <x:v>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Experimental - Rift Studio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23" customHeight="1">
      <x:c r="A28" s="389" t="str">
        <x:v>Productivity &amp; Information Apps</x:v>
      </x:c>
      <x:c r="B28" s="389"/>
      <x:c r="C28" s="389"/>
      <x:c r="D28" s="389"/>
      <x:c r="E28" s="389"/>
      <x:c r="F28" s="389"/>
      <x:c r="G28" s="389"/>
      <x:c r="H28" s="389"/>
      <x:c r="I28" s="389"/>
      <x:c r="J28" s="389"/>
      <x:c r="K28" s="389"/>
      <x:c r="L28" s="389"/>
      <x:c r="M28" s="389"/>
      <x:c r="N28" s="389"/>
      <x:c r="O28" s="389"/>
      <x:c r="P28" s="389"/>
      <x:c r="Q28" s="389"/>
      <x:c r="R28" s="389"/>
      <x:c r="S28" s="389"/>
      <x:c r="T28" s="389"/>
      <x:c r="U28" s="389"/>
      <x:c r="V28" s="389"/>
      <x:c r="W28" s="389"/>
      <x:c r="X28" s="389"/>
      <x:c r="Y28" s="389"/>
      <x:c r="Z28" s="389"/>
      <x:c r="AA28" s="389"/>
      <x:c r="AB28" s="389"/>
      <x:c r="AC28" s="389"/>
      <x:c r="AD28" s="389"/>
      <x:c r="AE28" s="389"/>
    </x:row>
    <x:row r="29" ht="36" customHeight="1">
      <x:c r="A29" s="378" t="str">
        <x:v>Weather</x:v>
      </x:c>
      <x:c r="B29" s="346" t="str">
        <x:v>Apps/bots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U/K</x:v>
      </x:c>
      <x:c r="G29" s="346" t="str">
        <x:v>Widget/integration dependent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Integrations/bots possible</x:v>
      </x:c>
      <x:c r="L29" s="346" t="str">
        <x:v>U/K</x:v>
      </x:c>
      <x:c r="M29" s="346" t="str">
        <x:v>Apps possible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Yes - Weather + Windy radar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36" customHeight="1">
      <x:c r="A30" s="378" t="str">
        <x:v>Calendar</x:v>
      </x:c>
      <x:c r="B30" s="346" t="str">
        <x:v>Apps/bots; Scheduled Events native</x:v>
      </x:c>
      <x:c r="C30" s="346" t="str">
        <x:v>U/K</x:v>
      </x:c>
      <x:c r="D30" s="346" t="str">
        <x:v>U/K</x:v>
      </x:c>
      <x:c r="E30" s="346" t="str">
        <x:v>U/K</x:v>
      </x:c>
      <x:c r="F30" s="346" t="str">
        <x:v>U/K</x:v>
      </x:c>
      <x:c r="G30" s="346" t="str">
        <x:v>Element integrations can include calendar widgets</x:v>
      </x:c>
      <x:c r="H30" s="346" t="str">
        <x:v>U/K</x:v>
      </x:c>
      <x:c r="I30" s="346" t="str">
        <x:v>U/K</x:v>
      </x:c>
      <x:c r="J30" s="346" t="str">
        <x:v>U/K</x:v>
      </x:c>
      <x:c r="K30" s="346" t="str">
        <x:v>Integrations possible</x:v>
      </x:c>
      <x:c r="L30" s="346" t="str">
        <x:v>U/K</x:v>
      </x:c>
      <x:c r="M30" s="346" t="str">
        <x:v>Apps possible</x:v>
      </x:c>
      <x:c r="N30" s="346" t="str">
        <x:v>U/K</x:v>
      </x:c>
      <x:c r="O30" s="346" t="str">
        <x:v>U/K</x:v>
      </x:c>
      <x:c r="P30" s="346" t="str">
        <x:v>U/K</x:v>
      </x:c>
      <x:c r="Q30" s="346" t="str">
        <x:v>U/K</x:v>
      </x:c>
      <x:c r="R30" s="346" t="str">
        <x:v>U/K</x:v>
      </x:c>
      <x:c r="S30" s="346" t="str">
        <x:v>U/K</x:v>
      </x:c>
      <x:c r="T30" s="346" t="str">
        <x:v>U/K</x:v>
      </x:c>
      <x:c r="U30" s="346" t="str">
        <x:v>U/K</x:v>
      </x:c>
      <x:c r="V30" s="346" t="str">
        <x:v>U/K</x:v>
      </x:c>
      <x:c r="W30" s="346" t="str">
        <x:v>U/K</x:v>
      </x:c>
      <x:c r="X30" s="346" t="str">
        <x:v>U/K</x:v>
      </x:c>
      <x:c r="Y30" s="346" t="str">
        <x:v>U/K</x:v>
      </x:c>
      <x:c r="Z30" s="346" t="str">
        <x:v>U/K</x:v>
      </x:c>
      <x:c r="AA30" s="380" t="str">
        <x:v>Yes - personal + Shard calendars, iCal sync</x:v>
      </x:c>
      <x:c r="AB30" s="346" t="str">
        <x:v>U/K</x:v>
      </x:c>
      <x:c r="AC30" s="346" t="str">
        <x:v>U/K</x:v>
      </x:c>
      <x:c r="AD30" s="346" t="str">
        <x:v>U/K</x:v>
      </x:c>
      <x:c r="AE30" s="346" t="str">
        <x:v>U/K</x:v>
      </x:c>
    </x:row>
    <x:row r="31" ht="36" customHeight="1">
      <x:c r="A31" s="378" t="str">
        <x:v>To-Do List</x:v>
      </x:c>
      <x:c r="B31" s="346" t="str">
        <x:v>Apps/bots</x:v>
      </x:c>
      <x:c r="C31" s="346" t="str">
        <x:v>U/K</x:v>
      </x:c>
      <x:c r="D31" s="346" t="str">
        <x:v>U/K</x:v>
      </x:c>
      <x:c r="E31" s="346" t="str">
        <x:v>U/K</x:v>
      </x:c>
      <x:c r="F31" s="346" t="str">
        <x:v>U/K</x:v>
      </x:c>
      <x:c r="G31" s="346" t="str">
        <x:v>U/K</x:v>
      </x:c>
      <x:c r="H31" s="346" t="str">
        <x:v>U/K</x:v>
      </x:c>
      <x:c r="I31" s="346" t="str">
        <x:v>U/K</x:v>
      </x:c>
      <x:c r="J31" s="346" t="str">
        <x:v>U/K</x:v>
      </x:c>
      <x:c r="K31" s="346" t="str">
        <x:v>Integrations/bots</x:v>
      </x:c>
      <x:c r="L31" s="346" t="str">
        <x:v>Plugins/integrations</x:v>
      </x:c>
      <x:c r="M31" s="346" t="str">
        <x:v>Apps</x:v>
      </x:c>
      <x:c r="N31" s="346" t="str">
        <x:v>U/K</x:v>
      </x:c>
      <x:c r="O31" s="346" t="str">
        <x:v>U/K</x:v>
      </x:c>
      <x:c r="P31" s="346" t="str">
        <x:v>U/K</x:v>
      </x:c>
      <x:c r="Q31" s="346" t="str">
        <x:v>U/K</x:v>
      </x:c>
      <x:c r="R31" s="346" t="str">
        <x:v>U/K</x:v>
      </x:c>
      <x:c r="S31" s="346" t="str">
        <x:v>U/K</x:v>
      </x:c>
      <x:c r="T31" s="346" t="str">
        <x:v>U/K</x:v>
      </x:c>
      <x:c r="U31" s="346" t="str">
        <x:v>U/K</x:v>
      </x:c>
      <x:c r="V31" s="346" t="str">
        <x:v>U/K</x:v>
      </x:c>
      <x:c r="W31" s="346" t="str">
        <x:v>U/K</x:v>
      </x:c>
      <x:c r="X31" s="346" t="str">
        <x:v>U/K</x:v>
      </x:c>
      <x:c r="Y31" s="346" t="str">
        <x:v>U/K</x:v>
      </x:c>
      <x:c r="Z31" s="346" t="str">
        <x:v>U/K</x:v>
      </x:c>
      <x:c r="AA31" s="380" t="str">
        <x:v>Yes - personal To-do Portal</x:v>
      </x:c>
      <x:c r="AB31" s="346" t="str">
        <x:v>U/K</x:v>
      </x:c>
      <x:c r="AC31" s="346" t="str">
        <x:v>U/K</x:v>
      </x:c>
      <x:c r="AD31" s="346" t="str">
        <x:v>U/K</x:v>
      </x:c>
      <x:c r="AE31" s="346" t="str">
        <x:v>U/K</x:v>
      </x:c>
    </x:row>
    <x:row r="32" ht="36" customHeight="1">
      <x:c r="A32" s="378" t="str">
        <x:v>RSS / Feed Reader</x:v>
      </x:c>
      <x:c r="B32" s="346" t="str">
        <x:v>Apps/webhooks</x:v>
      </x:c>
      <x:c r="C32" s="346" t="str">
        <x:v>U/K</x:v>
      </x:c>
      <x:c r="D32" s="346" t="str">
        <x:v>U/K</x:v>
      </x:c>
      <x:c r="E32" s="346" t="str">
        <x:v>U/K</x:v>
      </x:c>
      <x:c r="F32" s="346" t="str">
        <x:v>U/K</x:v>
      </x:c>
      <x:c r="G32" s="346" t="str">
        <x:v>Element integration ecosystem includes feeds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Native integrations/webhooks</x:v>
      </x:c>
      <x:c r="L32" s="346" t="str">
        <x:v>U/K</x:v>
      </x:c>
      <x:c r="M32" s="346" t="str">
        <x:v>Apps/webhooks</x:v>
      </x:c>
      <x:c r="N32" s="346" t="str">
        <x:v>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Yes - built-in Feeds/RSS Portal</x:v>
      </x:c>
      <x:c r="AB32" s="346" t="str">
        <x:v>U/K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78" t="str">
        <x:v>Stocks / Crypto Watchlist</x:v>
      </x:c>
      <x:c r="B33" s="346" t="str">
        <x:v>Apps/bots</x:v>
      </x:c>
      <x:c r="C33" s="346" t="str">
        <x:v>U/K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Widget-dependent</x:v>
      </x:c>
      <x:c r="H33" s="346" t="str">
        <x:v>U/K</x:v>
      </x:c>
      <x:c r="I33" s="346" t="str">
        <x:v>U/K</x:v>
      </x:c>
      <x:c r="J33" s="346" t="str">
        <x:v>U/K</x:v>
      </x:c>
      <x:c r="K33" s="346" t="str">
        <x:v>Bots/integrations</x:v>
      </x:c>
      <x:c r="L33" s="346" t="str">
        <x:v>U/K</x:v>
      </x:c>
      <x:c r="M33" s="346" t="str">
        <x:v>Apps possible</x:v>
      </x:c>
      <x:c r="N33" s="346" t="str">
        <x:v>U/K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Yes - Markets Portal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  <x:row r="34" ht="36" customHeight="1">
      <x:c r="A34" s="378" t="str">
        <x:v>Sports / Fantasy</x:v>
      </x:c>
      <x:c r="B34" s="346" t="str">
        <x:v>Apps/bots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Widget-dependent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U/K</x:v>
      </x:c>
      <x:c r="L34" s="346" t="str">
        <x:v>U/K</x:v>
      </x:c>
      <x:c r="M34" s="346" t="str">
        <x:v>U/K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Yes - Portal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Mini Browser / Embedded Web</x:v>
      </x:c>
      <x:c r="B35" s="346" t="str">
        <x:v>Activities are sandboxed embedded web apps; not a general browser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Custom widgets can embed web pages in supported clients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U/K</x:v>
      </x:c>
      <x:c r="M35" s="346" t="str">
        <x:v>U/K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Yes - Mini Browser Portal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Post-It / Sticky Notes</x:v>
      </x:c>
      <x:c r="B36" s="346" t="str">
        <x:v>Apps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Widget-dependent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U/K</x:v>
      </x:c>
      <x:c r="M36" s="346" t="str">
        <x:v>U/K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Yes - Post-it Portal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  <x:row r="37" ht="36" customHeight="1">
      <x:c r="A37" s="378" t="str">
        <x:v>World Clock</x:v>
      </x:c>
      <x:c r="B37" s="346" t="str">
        <x:v>Apps/bots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U/K</x:v>
      </x:c>
      <x:c r="L37" s="346" t="str">
        <x:v>U/K</x:v>
      </x:c>
      <x:c r="M37" s="346" t="str">
        <x:v>U/K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Yes - World Clock Portal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  <x:row r="38" ht="36" customHeight="1">
      <x:c r="A38" s="378" t="str">
        <x:v>System Monitor</x:v>
      </x:c>
      <x:c r="B38" s="346" t="str">
        <x:v>No first-party hardware monitor</x:v>
      </x:c>
      <x:c r="C38" s="346" t="str">
        <x:v>U/K</x:v>
      </x:c>
      <x:c r="D38" s="346" t="str">
        <x:v>U/K</x:v>
      </x:c>
      <x:c r="E38" s="346" t="str">
        <x:v>U/K</x:v>
      </x:c>
      <x:c r="F38" s="346" t="str">
        <x:v>U/K</x:v>
      </x:c>
      <x:c r="G38" s="346" t="str">
        <x:v>U/K</x:v>
      </x:c>
      <x:c r="H38" s="346" t="str">
        <x:v>U/K</x:v>
      </x:c>
      <x:c r="I38" s="346" t="str">
        <x:v>U/K</x:v>
      </x:c>
      <x:c r="J38" s="346" t="str">
        <x:v>U/K</x:v>
      </x:c>
      <x:c r="K38" s="346" t="str">
        <x:v>U/K</x:v>
      </x:c>
      <x:c r="L38" s="346" t="str">
        <x:v>U/K</x:v>
      </x:c>
      <x:c r="M38" s="346" t="str">
        <x:v>U/K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U/K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U/K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Yes - desktop-only CPU/GPU/RAM/VRAM/temp/disk/network HUD</x:v>
      </x:c>
      <x:c r="AB38" s="346" t="str">
        <x:v>U/K</x:v>
      </x:c>
      <x:c r="AC38" s="346" t="str">
        <x:v>U/K</x:v>
      </x:c>
      <x:c r="AD38" s="346" t="str">
        <x:v>U/K</x:v>
      </x:c>
      <x:c r="AE38" s="346" t="str">
        <x:v>U/K</x:v>
      </x:c>
    </x:row>
    <x:row r="39" ht="23" customHeight="1">
      <x:c r="A39" s="389" t="str">
        <x:v>Developer &amp; Governance</x:v>
      </x:c>
      <x:c r="B39" s="389"/>
      <x:c r="C39" s="389"/>
      <x:c r="D39" s="389"/>
      <x:c r="E39" s="389"/>
      <x:c r="F39" s="389"/>
      <x:c r="G39" s="389"/>
      <x:c r="H39" s="389"/>
      <x:c r="I39" s="389"/>
      <x:c r="J39" s="389"/>
      <x:c r="K39" s="389"/>
      <x:c r="L39" s="389"/>
      <x:c r="M39" s="389"/>
      <x:c r="N39" s="389"/>
      <x:c r="O39" s="389"/>
      <x:c r="P39" s="389"/>
      <x:c r="Q39" s="389"/>
      <x:c r="R39" s="389"/>
      <x:c r="S39" s="389"/>
      <x:c r="T39" s="389"/>
      <x:c r="U39" s="389"/>
      <x:c r="V39" s="389"/>
      <x:c r="W39" s="389"/>
      <x:c r="X39" s="389"/>
      <x:c r="Y39" s="389"/>
      <x:c r="Z39" s="389"/>
      <x:c r="AA39" s="389"/>
      <x:c r="AB39" s="389"/>
      <x:c r="AC39" s="389"/>
      <x:c r="AD39" s="389"/>
      <x:c r="AE39" s="389"/>
    </x:row>
    <x:row r="40" ht="36" customHeight="1">
      <x:c r="A40" s="378" t="str">
        <x:v>App Permissions / Scopes</x:v>
      </x:c>
      <x:c r="B40" s="346" t="str">
        <x:v>Yes - OAuth2 + SDK scopes</x:v>
      </x:c>
      <x:c r="C40" s="346" t="str">
        <x:v>U/K</x:v>
      </x:c>
      <x:c r="D40" s="346" t="str">
        <x:v>U/K</x:v>
      </x:c>
      <x:c r="E40" s="346" t="str">
        <x:v>U/K</x:v>
      </x:c>
      <x:c r="F40" s="346" t="str">
        <x:v>U/K</x:v>
      </x:c>
      <x:c r="G40" s="346" t="str">
        <x:v>Client/widget/integration dependent</x:v>
      </x:c>
      <x:c r="H40" s="346" t="str">
        <x:v>U/K</x:v>
      </x:c>
      <x:c r="I40" s="346" t="str">
        <x:v>U/K</x:v>
      </x:c>
      <x:c r="J40" s="346" t="str">
        <x:v>U/K</x:v>
      </x:c>
      <x:c r="K40" s="346" t="str">
        <x:v>Bot type + API key/permissions</x:v>
      </x:c>
      <x:c r="L40" s="346" t="str">
        <x:v>Admin/plugin permission model</x:v>
      </x:c>
      <x:c r="M40" s="346" t="str">
        <x:v>Apps-Engine permission model</x:v>
      </x:c>
      <x:c r="N40" s="346" t="str">
        <x:v>U/K</x:v>
      </x:c>
      <x:c r="O40" s="346" t="str">
        <x:v>U/K</x:v>
      </x:c>
      <x:c r="P40" s="346" t="str">
        <x:v>U/K</x:v>
      </x:c>
      <x:c r="Q40" s="346" t="str">
        <x:v>U/K</x:v>
      </x:c>
      <x:c r="R40" s="346" t="str">
        <x:v>U/K</x:v>
      </x:c>
      <x:c r="S40" s="346" t="str">
        <x:v>U/K</x:v>
      </x:c>
      <x:c r="T40" s="346" t="str">
        <x:v>U/K</x:v>
      </x:c>
      <x:c r="U40" s="346" t="str">
        <x:v>U/K</x:v>
      </x:c>
      <x:c r="V40" s="346" t="str">
        <x:v>U/K</x:v>
      </x:c>
      <x:c r="W40" s="346" t="str">
        <x:v>U/K</x:v>
      </x:c>
      <x:c r="X40" s="346" t="str">
        <x:v>U/K</x:v>
      </x:c>
      <x:c r="Y40" s="346" t="str">
        <x:v>U/K</x:v>
      </x:c>
      <x:c r="Z40" s="346" t="str">
        <x:v>U/K</x:v>
      </x:c>
      <x:c r="AA40" s="380" t="str">
        <x:v>U/K</x:v>
      </x:c>
      <x:c r="AB40" s="346" t="str">
        <x:v>U/K</x:v>
      </x:c>
      <x:c r="AC40" s="346" t="str">
        <x:v>U/K</x:v>
      </x:c>
      <x:c r="AD40" s="346" t="str">
        <x:v>U/K</x:v>
      </x:c>
      <x:c r="AE40" s="346" t="str">
        <x:v>U/K</x:v>
      </x:c>
    </x:row>
    <x:row r="41" ht="36" customHeight="1">
      <x:c r="A41" s="378" t="str">
        <x:v>Private / Sideloaded Apps</x:v>
      </x:c>
      <x:c r="B41" s="346" t="str">
        <x:v>Development/private apps supported</x:v>
      </x:c>
      <x:c r="C41" s="346" t="str">
        <x:v>U/K</x:v>
      </x:c>
      <x:c r="D41" s="346" t="str">
        <x:v>U/K</x:v>
      </x:c>
      <x:c r="E41" s="346" t="str">
        <x:v>U/K</x:v>
      </x:c>
      <x:c r="F41" s="346" t="str">
        <x:v>U/K</x:v>
      </x:c>
      <x:c r="G41" s="346" t="str">
        <x:v>Custom widgets supported in Element deployments</x:v>
      </x:c>
      <x:c r="H41" s="346" t="str">
        <x:v>U/K</x:v>
      </x:c>
      <x:c r="I41" s="346" t="str">
        <x:v>U/K</x:v>
      </x:c>
      <x:c r="J41" s="346" t="str">
        <x:v>U/K</x:v>
      </x:c>
      <x:c r="K41" s="346" t="str">
        <x:v>Custom bots/integrations</x:v>
      </x:c>
      <x:c r="L41" s="346" t="str">
        <x:v>Yes - uploaded plugins depending admin policy</x:v>
      </x:c>
      <x:c r="M41" s="346" t="str">
        <x:v>Yes - private apps on supported plans</x:v>
      </x:c>
      <x:c r="N41" s="346" t="str">
        <x:v>U/K</x:v>
      </x:c>
      <x:c r="O41" s="346" t="str">
        <x:v>U/K</x:v>
      </x:c>
      <x:c r="P41" s="346" t="str">
        <x:v>U/K</x:v>
      </x:c>
      <x:c r="Q41" s="346" t="str">
        <x:v>U/K</x:v>
      </x:c>
      <x:c r="R41" s="346" t="str">
        <x:v>U/K</x:v>
      </x:c>
      <x:c r="S41" s="346" t="str">
        <x:v>U/K</x:v>
      </x:c>
      <x:c r="T41" s="346" t="str">
        <x:v>U/K</x:v>
      </x:c>
      <x:c r="U41" s="346" t="str">
        <x:v>U/K</x:v>
      </x:c>
      <x:c r="V41" s="346" t="str">
        <x:v>U/K</x:v>
      </x:c>
      <x:c r="W41" s="346" t="str">
        <x:v>U/K</x:v>
      </x:c>
      <x:c r="X41" s="346" t="str">
        <x:v>U/K</x:v>
      </x:c>
      <x:c r="Y41" s="346" t="str">
        <x:v>U/K</x:v>
      </x:c>
      <x:c r="Z41" s="346" t="str">
        <x:v>U/K</x:v>
      </x:c>
      <x:c r="AA41" s="380" t="str">
        <x:v>U/K</x:v>
      </x:c>
      <x:c r="AB41" s="346" t="str">
        <x:v>U/K</x:v>
      </x:c>
      <x:c r="AC41" s="346" t="str">
        <x:v>U/K</x:v>
      </x:c>
      <x:c r="AD41" s="346" t="str">
        <x:v>U/K</x:v>
      </x:c>
      <x:c r="AE41" s="346" t="str">
        <x:v>U/K</x:v>
      </x:c>
    </x:row>
    <x:row r="42" ht="36" customHeight="1">
      <x:c r="A42" s="378" t="str">
        <x:v>Paid Apps / In-App Purchases</x:v>
      </x:c>
      <x:c r="B42" s="346" t="str">
        <x:v>Yes - Activity SKUs/IAP supported</x:v>
      </x:c>
      <x:c r="C42" s="346" t="str">
        <x:v>U/K</x:v>
      </x:c>
      <x:c r="D42" s="346" t="str">
        <x:v>U/K</x:v>
      </x:c>
      <x:c r="E42" s="346" t="str">
        <x:v>U/K</x:v>
      </x:c>
      <x:c r="F42" s="346" t="str">
        <x:v>U/K</x:v>
      </x:c>
      <x:c r="G42" s="346" t="str">
        <x:v>Provider/app dependent</x:v>
      </x:c>
      <x:c r="H42" s="346" t="str">
        <x:v>U/K</x:v>
      </x:c>
      <x:c r="I42" s="346" t="str">
        <x:v>U/K</x:v>
      </x:c>
      <x:c r="J42" s="346" t="str">
        <x:v>U/K</x:v>
      </x:c>
      <x:c r="K42" s="346" t="str">
        <x:v>Integration vendor dependent</x:v>
      </x:c>
      <x:c r="L42" s="346" t="str">
        <x:v>Marketplace/plugin dependent</x:v>
      </x:c>
      <x:c r="M42" s="346" t="str">
        <x:v>Yes - paid marketplace apps</x:v>
      </x:c>
      <x:c r="N42" s="346" t="str">
        <x:v>U/K</x:v>
      </x:c>
      <x:c r="O42" s="346" t="str">
        <x:v>U/K</x:v>
      </x:c>
      <x:c r="P42" s="346" t="str">
        <x:v>U/K</x:v>
      </x:c>
      <x:c r="Q42" s="346" t="str">
        <x:v>U/K</x:v>
      </x:c>
      <x:c r="R42" s="346" t="str">
        <x:v>U/K</x:v>
      </x:c>
      <x:c r="S42" s="346" t="str">
        <x:v>U/K</x:v>
      </x:c>
      <x:c r="T42" s="346" t="str">
        <x:v>U/K</x:v>
      </x:c>
      <x:c r="U42" s="346" t="str">
        <x:v>U/K</x:v>
      </x:c>
      <x:c r="V42" s="346" t="str">
        <x:v>U/K</x:v>
      </x:c>
      <x:c r="W42" s="346" t="str">
        <x:v>U/K</x:v>
      </x:c>
      <x:c r="X42" s="346" t="str">
        <x:v>U/K</x:v>
      </x:c>
      <x:c r="Y42" s="346" t="str">
        <x:v>U/K</x:v>
      </x:c>
      <x:c r="Z42" s="346" t="str">
        <x:v>U/K</x:v>
      </x:c>
      <x:c r="AA42" s="380" t="str">
        <x:v>U/K</x:v>
      </x:c>
      <x:c r="AB42" s="346" t="str">
        <x:v>U/K</x:v>
      </x:c>
      <x:c r="AC42" s="346" t="str">
        <x:v>U/K</x:v>
      </x:c>
      <x:c r="AD42" s="346" t="str">
        <x:v>U/K</x:v>
      </x:c>
      <x:c r="AE42" s="346" t="str">
        <x:v>U/K</x:v>
      </x:c>
    </x:row>
    <x:row r="43" ht="36" customHeight="1">
      <x:c r="A43" s="378" t="str">
        <x:v>Embedded App Notes</x:v>
      </x:c>
      <x:c r="B43" s="346" t="str">
        <x:v>Activities are iframe web apps designed for games, social experiences, co-watching and collaborative tools.</x:v>
      </x:c>
      <x:c r="C43" s="346" t="str">
        <x:v>U/K</x:v>
      </x:c>
      <x:c r="D43" s="346" t="str">
        <x:v>U/K</x:v>
      </x:c>
      <x:c r="E43" s="346" t="str">
        <x:v>U/K</x:v>
      </x:c>
      <x:c r="F43" s="346" t="str">
        <x:v>U/K</x:v>
      </x:c>
      <x:c r="G43" s="346" t="str">
        <x:v>Do not treat Element widget support as a Matrix-wide guarantee; behavior is client/integration-manager dependent.</x:v>
      </x:c>
      <x:c r="H43" s="346" t="str">
        <x:v>U/K</x:v>
      </x:c>
      <x:c r="I43" s="346" t="str">
        <x:v>U/K</x:v>
      </x:c>
      <x:c r="J43" s="346" t="str">
        <x:v>U/K</x:v>
      </x:c>
      <x:c r="K43" s="346" t="str">
        <x:v>Extensibility is strong through bots, webhooks and 120+ integrations, but not as an embedded-app workspace.</x:v>
      </x:c>
      <x:c r="L43" s="346" t="str">
        <x:v>Plugin webapps can deeply extend client UI but are admin-installed extensions rather than a consumer-style Activity launcher.</x:v>
      </x:c>
      <x:c r="M43" s="346" t="str">
        <x:v>Apps-Engine/Marketplace extends a workspace; app UI model varies by app.</x:v>
      </x:c>
      <x:c r="N43" s="346" t="str">
        <x:v>U/K</x:v>
      </x:c>
      <x:c r="O43" s="346" t="str">
        <x:v>U/K</x:v>
      </x:c>
      <x:c r="P43" s="346" t="str">
        <x:v>U/K</x:v>
      </x:c>
      <x:c r="Q43" s="346" t="str">
        <x:v>U/K</x:v>
      </x:c>
      <x:c r="R43" s="346" t="str">
        <x:v>U/K</x:v>
      </x:c>
      <x:c r="S43" s="346" t="str">
        <x:v>U/K</x:v>
      </x:c>
      <x:c r="T43" s="346" t="str">
        <x:v>U/K</x:v>
      </x:c>
      <x:c r="U43" s="346" t="str">
        <x:v>U/K</x:v>
      </x:c>
      <x:c r="V43" s="346" t="str">
        <x:v>U/K</x:v>
      </x:c>
      <x:c r="W43" s="346" t="str">
        <x:v>U/K</x:v>
      </x:c>
      <x:c r="X43" s="346" t="str">
        <x:v>U/K</x:v>
      </x:c>
      <x:c r="Y43" s="346" t="str">
        <x:v>U/K</x:v>
      </x:c>
      <x:c r="Z43" s="346" t="str">
        <x:v>U/K</x:v>
      </x:c>
      <x:c r="AA43" s="380" t="str">
        <x:v>Portals are a core workspace model: draggable/resizable apps beside chat, with saved layouts. Rift also documents experimental Studio, Arcade and Tabletop.</x:v>
      </x:c>
      <x:c r="AB43" s="346" t="str">
        <x:v>U/K</x:v>
      </x:c>
      <x:c r="AC43" s="346" t="str">
        <x:v>U/K</x:v>
      </x:c>
      <x:c r="AD43" s="346" t="str">
        <x:v>U/K</x:v>
      </x:c>
      <x:c r="AE43" s="346" t="str">
        <x:v>U/K</x:v>
      </x:c>
    </x:row>
  </x:sheetData>
  <x:mergeCells>
    <x:mergeCell ref="A1:AE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Community, Channel &amp; Usage Limits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Membership &amp; Communities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Max Communities / Servers Joined (Free)</x:v>
      </x:c>
      <x:c r="B4" s="346" t="str">
        <x:v>100</x:v>
      </x:c>
      <x:c r="C4" s="346" t="str">
        <x:v>U/K</x:v>
      </x:c>
      <x:c r="D4" s="346" t="str">
        <x:v>U/K</x:v>
      </x:c>
      <x:c r="E4" s="346" t="str">
        <x:v>100</x:v>
      </x:c>
      <x:c r="F4" s="346" t="str">
        <x:v>U/K</x:v>
      </x:c>
      <x:c r="G4" s="346" t="str">
        <x:v>U/K</x:v>
      </x:c>
      <x:c r="H4" s="346" t="str">
        <x:v>U/K</x:v>
      </x:c>
      <x:c r="I4" s="346" t="str">
        <x:v>U/K</x:v>
      </x:c>
      <x:c r="J4" s="346" t="str">
        <x:v>U/K</x:v>
      </x:c>
      <x:c r="K4" s="346" t="str">
        <x:v>U/K</x:v>
      </x:c>
      <x:c r="L4" s="346" t="str">
        <x:v>U/K</x:v>
      </x:c>
      <x:c r="M4" s="346" t="str">
        <x:v>U/K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U/K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9" t="str">
        <x:v>Max Communities / Servers Joined (Paid)</x:v>
      </x:c>
      <x:c r="B5" s="346" t="str">
        <x:v>200 with Nitro</x:v>
      </x:c>
      <x:c r="C5" s="346" t="str">
        <x:v>U/K</x:v>
      </x:c>
      <x:c r="D5" s="346" t="str">
        <x:v>U/K</x:v>
      </x:c>
      <x:c r="E5" s="346" t="str">
        <x:v>200</x:v>
      </x:c>
      <x:c r="F5" s="346" t="str">
        <x:v>U/K</x:v>
      </x:c>
      <x:c r="G5" s="346" t="str">
        <x:v>U/K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U/K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Max Members per Community (Free)</x:v>
      </x:c>
      <x:c r="B6" s="346" t="str">
        <x:v>U/K</x:v>
      </x:c>
      <x:c r="C6" s="346" t="str">
        <x:v>U/K</x:v>
      </x:c>
      <x:c r="D6" s="346" t="str">
        <x:v>U/K</x:v>
      </x:c>
      <x:c r="E6" s="346" t="str">
        <x:v>U/K</x:v>
      </x:c>
      <x:c r="F6" s="346" t="str">
        <x:v>U/K</x:v>
      </x:c>
      <x:c r="G6" s="346" t="str">
        <x:v>U/K</x:v>
      </x:c>
      <x:c r="H6" s="346" t="str">
        <x:v>U/K</x:v>
      </x:c>
      <x:c r="I6" s="346" t="str">
        <x:v>U/K</x:v>
      </x:c>
      <x:c r="J6" s="346" t="str">
        <x:v>32 slots self-host free</x:v>
      </x:c>
      <x:c r="K6" s="346" t="str">
        <x:v>U/K</x:v>
      </x:c>
      <x:c r="L6" s="346" t="str">
        <x:v>U/K</x:v>
      </x:c>
      <x:c r="M6" s="346" t="str">
        <x:v>U/K</x:v>
      </x:c>
      <x:c r="N6" s="346" t="str">
        <x:v>100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No published member cap / thousands supported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Unlimited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No seat limits for using public lobbies</x:v>
      </x:c>
    </x:row>
    <x:row r="7" ht="36" customHeight="1">
      <x:c r="A7" s="359" t="str">
        <x:v>Max Members per Community (Paid)</x:v>
      </x:c>
      <x:c r="B7" s="346" t="str">
        <x:v>U/K</x:v>
      </x:c>
      <x:c r="C7" s="346" t="str">
        <x:v>U/K</x:v>
      </x:c>
      <x:c r="D7" s="346" t="str">
        <x:v>U/K</x:v>
      </x:c>
      <x:c r="E7" s="346" t="str">
        <x:v>U/K</x:v>
      </x:c>
      <x:c r="F7" s="346" t="str">
        <x:v>U/K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Hosted 11/27/64 incl. bonus; self-host up to 1024 licensed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200 Silver / 500 Gold / Unlimited Diamond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Unlimited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Unlimited Members Available?</x:v>
      </x:c>
      <x:c r="B8" s="346" t="str">
        <x:v>U/K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U/K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Yes - Diamond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Yes / no published Clan cap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No seat limits for platform use; custom builds sized by community</x:v>
      </x:c>
    </x:row>
    <x:row r="9" ht="23" customHeight="1">
      <x:c r="A9" s="427" t="str">
        <x:v>Channels &amp; Roles</x:v>
      </x:c>
      <x:c r="B9" s="427"/>
      <x:c r="C9" s="427"/>
      <x:c r="D9" s="427"/>
      <x:c r="E9" s="427"/>
      <x:c r="F9" s="427"/>
      <x:c r="G9" s="427"/>
      <x:c r="H9" s="427"/>
      <x:c r="I9" s="427"/>
      <x:c r="J9" s="427"/>
      <x:c r="K9" s="427"/>
      <x:c r="L9" s="427"/>
      <x:c r="M9" s="427"/>
      <x:c r="N9" s="427"/>
      <x:c r="O9" s="427"/>
      <x:c r="P9" s="427"/>
      <x:c r="Q9" s="427"/>
      <x:c r="R9" s="427"/>
      <x:c r="S9" s="427"/>
      <x:c r="T9" s="427"/>
      <x:c r="U9" s="427"/>
      <x:c r="V9" s="427"/>
      <x:c r="W9" s="427"/>
      <x:c r="X9" s="427"/>
      <x:c r="Y9" s="427"/>
      <x:c r="Z9" s="427"/>
      <x:c r="AA9" s="427"/>
      <x:c r="AB9" s="427"/>
      <x:c r="AC9" s="427"/>
      <x:c r="AD9" s="427"/>
      <x:c r="AE9" s="427"/>
    </x:row>
    <x:row r="10" ht="36" customHeight="1">
      <x:c r="A10" s="359" t="str">
        <x:v>Max Text Channels</x:v>
      </x:c>
      <x:c r="B10" s="346" t="str">
        <x:v>U/K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8 free; paid 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Unlimited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9" t="str">
        <x:v>Max Voice Channels</x:v>
      </x:c>
      <x:c r="B11" s="346" t="str">
        <x:v>U/K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5 free / 9 Silver / 18 Gold / 64 Diamond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Unlimited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9" t="str">
        <x:v>Max Total Channels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Unlimited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9" t="str">
        <x:v>Max Roles</x:v>
      </x:c>
      <x:c r="B13" s="346" t="str">
        <x:v>U/K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59" t="str">
        <x:v>Max Categories / Channel Groups</x:v>
      </x:c>
      <x:c r="B14" s="346" t="str">
        <x:v>U/K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23" customHeight="1">
      <x:c r="A15" s="427" t="str">
        <x:v>Customization Limits</x:v>
      </x:c>
      <x:c r="B15" s="427"/>
      <x:c r="C15" s="427"/>
      <x:c r="D15" s="427"/>
      <x:c r="E15" s="427"/>
      <x:c r="F15" s="427"/>
      <x:c r="G15" s="427"/>
      <x:c r="H15" s="427"/>
      <x:c r="I15" s="427"/>
      <x:c r="J15" s="427"/>
      <x:c r="K15" s="427"/>
      <x:c r="L15" s="427"/>
      <x:c r="M15" s="427"/>
      <x:c r="N15" s="427"/>
      <x:c r="O15" s="427"/>
      <x:c r="P15" s="427"/>
      <x:c r="Q15" s="427"/>
      <x:c r="R15" s="427"/>
      <x:c r="S15" s="427"/>
      <x:c r="T15" s="427"/>
      <x:c r="U15" s="427"/>
      <x:c r="V15" s="427"/>
      <x:c r="W15" s="427"/>
      <x:c r="X15" s="427"/>
      <x:c r="Y15" s="427"/>
      <x:c r="Z15" s="427"/>
      <x:c r="AA15" s="427"/>
      <x:c r="AB15" s="427"/>
      <x:c r="AC15" s="427"/>
      <x:c r="AD15" s="427"/>
      <x:c r="AE15" s="427"/>
    </x:row>
    <x:row r="16" ht="36" customHeight="1">
      <x:c r="A16" s="359" t="str">
        <x:v>Custom Emoji Slots (Free)</x:v>
      </x:c>
      <x:c r="B16" s="346" t="str">
        <x:v>Server-level slots depend boost/community configuration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0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10 Shard + 10 personal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59" t="str">
        <x:v>Custom Emoji Slots (Paid Max)</x:v>
      </x:c>
      <x:c r="B17" s="346" t="str">
        <x:v>U/K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500 Diamond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100 Shard Forge + 30 personal Rift+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59" t="str">
        <x:v>Soundboard Slots (Free)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8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10 Shard + 5 personal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59" t="str">
        <x:v>Soundboard Slots (Paid Max)</x:v>
      </x:c>
      <x:c r="B19" s="346" t="str">
        <x:v>U/K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48 Diamond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75 Shard Forge + 25 personal Rift+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59" t="str">
        <x:v>Sticker Slots (Free)</x:v>
      </x:c>
      <x:c r="B20" s="346" t="str">
        <x:v>U/K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U/K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59" t="str">
        <x:v>Sticker Slots (Paid Max)</x:v>
      </x:c>
      <x:c r="B21" s="346" t="str">
        <x:v>U/K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23" customHeight="1">
      <x:c r="A22" s="427" t="str">
        <x:v>Messaging &amp; Media Limits</x:v>
      </x:c>
      <x:c r="B22" s="427"/>
      <x:c r="C22" s="427"/>
      <x:c r="D22" s="427"/>
      <x:c r="E22" s="427"/>
      <x:c r="F22" s="427"/>
      <x:c r="G22" s="427"/>
      <x:c r="H22" s="427"/>
      <x:c r="I22" s="427"/>
      <x:c r="J22" s="427"/>
      <x:c r="K22" s="427"/>
      <x:c r="L22" s="427"/>
      <x:c r="M22" s="427"/>
      <x:c r="N22" s="427"/>
      <x:c r="O22" s="427"/>
      <x:c r="P22" s="427"/>
      <x:c r="Q22" s="427"/>
      <x:c r="R22" s="427"/>
      <x:c r="S22" s="427"/>
      <x:c r="T22" s="427"/>
      <x:c r="U22" s="427"/>
      <x:c r="V22" s="427"/>
      <x:c r="W22" s="427"/>
      <x:c r="X22" s="427"/>
      <x:c r="Y22" s="427"/>
      <x:c r="Z22" s="427"/>
      <x:c r="AA22" s="427"/>
      <x:c r="AB22" s="427"/>
      <x:c r="AC22" s="427"/>
      <x:c r="AD22" s="427"/>
      <x:c r="AE22" s="427"/>
    </x:row>
    <x:row r="23" ht="36" customHeight="1">
      <x:c r="A23" s="359" t="str">
        <x:v>Message Length (Free)</x:v>
      </x:c>
      <x:c r="B23" s="346" t="str">
        <x:v>2,000</x:v>
      </x:c>
      <x:c r="C23" s="346" t="str">
        <x:v>U/K</x:v>
      </x:c>
      <x:c r="D23" s="346" t="str">
        <x:v>U/K</x:v>
      </x:c>
      <x:c r="E23" s="346" t="str">
        <x:v>2,000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8,000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36" customHeight="1">
      <x:c r="A24" s="359" t="str">
        <x:v>Message Length (Paid Max)</x:v>
      </x:c>
      <x:c r="B24" s="346" t="str">
        <x:v>4,000 with Nitro</x:v>
      </x:c>
      <x:c r="C24" s="346" t="str">
        <x:v>U/K</x:v>
      </x:c>
      <x:c r="D24" s="346" t="str">
        <x:v>U/K</x:v>
      </x:c>
      <x:c r="E24" s="346" t="str">
        <x:v>4,000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U/K</x:v>
      </x:c>
      <x:c r="M24" s="346" t="str">
        <x:v>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16,000 Rift+</x:v>
      </x:c>
      <x:c r="AB24" s="346" t="str">
        <x:v>U/K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59" t="str">
        <x:v>Group DM Member Limit</x:v>
      </x:c>
      <x:c r="B25" s="346" t="str">
        <x:v>U/K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10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U/K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Webcam Participant Limit</x:v>
      </x:c>
      <x:c r="B26" s="346" t="str">
        <x:v>25 when video active in server voice</x:v>
      </x:c>
      <x:c r="C26" s="346" t="str">
        <x:v>U/K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Client-dependent</x:v>
      </x:c>
      <x:c r="H26" s="346" t="str">
        <x:v>U/K</x:v>
      </x:c>
      <x:c r="I26" s="346" t="str">
        <x:v>No</x:v>
      </x:c>
      <x:c r="J26" s="346" t="str">
        <x:v>U/K</x:v>
      </x:c>
      <x:c r="K26" s="346" t="str">
        <x:v>Provider-dependent</x:v>
      </x:c>
      <x:c r="L26" s="346" t="str">
        <x:v>Yes</x:v>
      </x:c>
      <x:c r="M26" s="346" t="str">
        <x:v>Provider-dependent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No</x:v>
      </x:c>
      <x:c r="V26" s="346" t="str">
        <x:v>U/K</x:v>
      </x:c>
      <x:c r="W26" s="346" t="str">
        <x:v>N/A</x:v>
      </x:c>
      <x:c r="X26" s="346" t="str">
        <x:v>U/K</x:v>
      </x:c>
      <x:c r="Y26" s="346" t="str">
        <x:v>No</x:v>
      </x:c>
      <x:c r="Z26" s="346" t="str">
        <x:v>U/K</x:v>
      </x:c>
      <x:c r="AA26" s="380" t="str">
        <x:v>U/K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U/K</x:v>
      </x:c>
    </x:row>
    <x:row r="27" ht="36" customHeight="1">
      <x:c r="A27" s="359" t="str">
        <x:v>Concurrent Screen Share Limit</x:v>
      </x:c>
      <x:c r="B27" s="346" t="str">
        <x:v>U/K</x:v>
      </x:c>
      <x:c r="C27" s="346" t="str">
        <x:v>U/K</x:v>
      </x:c>
      <x:c r="D27" s="346" t="str">
        <x:v>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U/K</x:v>
      </x:c>
      <x:c r="AB27" s="346" t="str">
        <x:v>4</x:v>
      </x:c>
      <x:c r="AC27" s="346" t="str">
        <x:v>U/K</x:v>
      </x:c>
      <x:c r="AD27" s="346" t="str">
        <x:v>U/K</x:v>
      </x:c>
      <x:c r="AE27" s="346" t="str">
        <x:v>U/K</x:v>
      </x:c>
    </x:row>
    <x:row r="28" ht="23" customHeight="1">
      <x:c r="A28" s="427" t="str">
        <x:v>Apps &amp; Automation</x:v>
      </x:c>
      <x:c r="B28" s="427"/>
      <x:c r="C28" s="427"/>
      <x:c r="D28" s="427"/>
      <x:c r="E28" s="427"/>
      <x:c r="F28" s="427"/>
      <x:c r="G28" s="427"/>
      <x:c r="H28" s="427"/>
      <x:c r="I28" s="427"/>
      <x:c r="J28" s="427"/>
      <x:c r="K28" s="427"/>
      <x:c r="L28" s="427"/>
      <x:c r="M28" s="427"/>
      <x:c r="N28" s="427"/>
      <x:c r="O28" s="427"/>
      <x:c r="P28" s="427"/>
      <x:c r="Q28" s="427"/>
      <x:c r="R28" s="427"/>
      <x:c r="S28" s="427"/>
      <x:c r="T28" s="427"/>
      <x:c r="U28" s="427"/>
      <x:c r="V28" s="427"/>
      <x:c r="W28" s="427"/>
      <x:c r="X28" s="427"/>
      <x:c r="Y28" s="427"/>
      <x:c r="Z28" s="427"/>
      <x:c r="AA28" s="427"/>
      <x:c r="AB28" s="427"/>
      <x:c r="AC28" s="427"/>
      <x:c r="AD28" s="427"/>
      <x:c r="AE28" s="427"/>
    </x:row>
    <x:row r="29" ht="36" customHeight="1">
      <x:c r="A29" s="359" t="str">
        <x:v>Max Bots / Apps</x:v>
      </x:c>
      <x:c r="B29" s="346" t="str">
        <x:v>U/K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U/K</x:v>
      </x:c>
      <x:c r="M29" s="346" t="str">
        <x:v>U/K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U/K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36" customHeight="1">
      <x:c r="A30" s="359" t="str">
        <x:v>Max Incoming Webhooks</x:v>
      </x:c>
      <x:c r="B30" s="346" t="str">
        <x:v>U/K</x:v>
      </x:c>
      <x:c r="C30" s="346" t="str">
        <x:v>U/K</x:v>
      </x:c>
      <x:c r="D30" s="346" t="str">
        <x:v>U/K</x:v>
      </x:c>
      <x:c r="E30" s="346" t="str">
        <x:v>U/K</x:v>
      </x:c>
      <x:c r="F30" s="346" t="str">
        <x:v>U/K</x:v>
      </x:c>
      <x:c r="G30" s="346" t="str">
        <x:v>U/K</x:v>
      </x:c>
      <x:c r="H30" s="346" t="str">
        <x:v>U/K</x:v>
      </x:c>
      <x:c r="I30" s="346" t="str">
        <x:v>U/K</x:v>
      </x:c>
      <x:c r="J30" s="346" t="str">
        <x:v>U/K</x:v>
      </x:c>
      <x:c r="K30" s="346" t="str">
        <x:v>U/K</x:v>
      </x:c>
      <x:c r="L30" s="346" t="str">
        <x:v>U/K</x:v>
      </x:c>
      <x:c r="M30" s="346" t="str">
        <x:v>U/K</x:v>
      </x:c>
      <x:c r="N30" s="346" t="str">
        <x:v>U/K</x:v>
      </x:c>
      <x:c r="O30" s="346" t="str">
        <x:v>U/K</x:v>
      </x:c>
      <x:c r="P30" s="346" t="str">
        <x:v>U/K</x:v>
      </x:c>
      <x:c r="Q30" s="346" t="str">
        <x:v>U/K</x:v>
      </x:c>
      <x:c r="R30" s="346" t="str">
        <x:v>U/K</x:v>
      </x:c>
      <x:c r="S30" s="346" t="str">
        <x:v>U/K</x:v>
      </x:c>
      <x:c r="T30" s="346" t="str">
        <x:v>U/K</x:v>
      </x:c>
      <x:c r="U30" s="346" t="str">
        <x:v>U/K</x:v>
      </x:c>
      <x:c r="V30" s="346" t="str">
        <x:v>U/K</x:v>
      </x:c>
      <x:c r="W30" s="346" t="str">
        <x:v>U/K</x:v>
      </x:c>
      <x:c r="X30" s="346" t="str">
        <x:v>U/K</x:v>
      </x:c>
      <x:c r="Y30" s="346" t="str">
        <x:v>U/K</x:v>
      </x:c>
      <x:c r="Z30" s="346" t="str">
        <x:v>U/K</x:v>
      </x:c>
      <x:c r="AA30" s="380" t="str">
        <x:v>5 free / 15 Ember / 30 Forge</x:v>
      </x:c>
      <x:c r="AB30" s="346" t="str">
        <x:v>U/K</x:v>
      </x:c>
      <x:c r="AC30" s="346" t="str">
        <x:v>U/K</x:v>
      </x:c>
      <x:c r="AD30" s="346" t="str">
        <x:v>U/K</x:v>
      </x:c>
      <x:c r="AE30" s="346" t="str">
        <x:v>U/K</x:v>
      </x:c>
    </x:row>
    <x:row r="31" ht="36" customHeight="1">
      <x:c r="A31" s="359" t="str">
        <x:v>Max Saved Layouts / Workspaces</x:v>
      </x:c>
      <x:c r="B31" s="346" t="str">
        <x:v>U/K</x:v>
      </x:c>
      <x:c r="C31" s="346" t="str">
        <x:v>U/K</x:v>
      </x:c>
      <x:c r="D31" s="346" t="str">
        <x:v>U/K</x:v>
      </x:c>
      <x:c r="E31" s="346" t="str">
        <x:v>U/K</x:v>
      </x:c>
      <x:c r="F31" s="346" t="str">
        <x:v>U/K</x:v>
      </x:c>
      <x:c r="G31" s="346" t="str">
        <x:v>U/K</x:v>
      </x:c>
      <x:c r="H31" s="346" t="str">
        <x:v>U/K</x:v>
      </x:c>
      <x:c r="I31" s="346" t="str">
        <x:v>U/K</x:v>
      </x:c>
      <x:c r="J31" s="346" t="str">
        <x:v>U/K</x:v>
      </x:c>
      <x:c r="K31" s="346" t="str">
        <x:v>U/K</x:v>
      </x:c>
      <x:c r="L31" s="346" t="str">
        <x:v>U/K</x:v>
      </x:c>
      <x:c r="M31" s="346" t="str">
        <x:v>U/K</x:v>
      </x:c>
      <x:c r="N31" s="346" t="str">
        <x:v>U/K</x:v>
      </x:c>
      <x:c r="O31" s="346" t="str">
        <x:v>U/K</x:v>
      </x:c>
      <x:c r="P31" s="346" t="str">
        <x:v>U/K</x:v>
      </x:c>
      <x:c r="Q31" s="346" t="str">
        <x:v>U/K</x:v>
      </x:c>
      <x:c r="R31" s="346" t="str">
        <x:v>U/K</x:v>
      </x:c>
      <x:c r="S31" s="346" t="str">
        <x:v>U/K</x:v>
      </x:c>
      <x:c r="T31" s="346" t="str">
        <x:v>U/K</x:v>
      </x:c>
      <x:c r="U31" s="346" t="str">
        <x:v>U/K</x:v>
      </x:c>
      <x:c r="V31" s="346" t="str">
        <x:v>U/K</x:v>
      </x:c>
      <x:c r="W31" s="346" t="str">
        <x:v>U/K</x:v>
      </x:c>
      <x:c r="X31" s="346" t="str">
        <x:v>U/K</x:v>
      </x:c>
      <x:c r="Y31" s="346" t="str">
        <x:v>U/K</x:v>
      </x:c>
      <x:c r="Z31" s="346" t="str">
        <x:v>U/K</x:v>
      </x:c>
      <x:c r="AA31" s="380" t="str">
        <x:v>2 free / 8 Rift+</x:v>
      </x:c>
      <x:c r="AB31" s="346" t="str">
        <x:v>U/K</x:v>
      </x:c>
      <x:c r="AC31" s="346" t="str">
        <x:v>U/K</x:v>
      </x:c>
      <x:c r="AD31" s="346" t="str">
        <x:v>U/K</x:v>
      </x:c>
      <x:c r="AE31" s="346" t="str">
        <x:v>U/K</x:v>
      </x:c>
    </x:row>
    <x:row r="32" ht="23" customHeight="1">
      <x:c r="A32" s="427" t="str">
        <x:v>Source &amp; Notes</x:v>
      </x:c>
      <x:c r="B32" s="427"/>
      <x:c r="C32" s="427"/>
      <x:c r="D32" s="427"/>
      <x:c r="E32" s="427"/>
      <x:c r="F32" s="427"/>
      <x:c r="G32" s="427"/>
      <x:c r="H32" s="427"/>
      <x:c r="I32" s="427"/>
      <x:c r="J32" s="427"/>
      <x:c r="K32" s="427"/>
      <x:c r="L32" s="427"/>
      <x:c r="M32" s="427"/>
      <x:c r="N32" s="427"/>
      <x:c r="O32" s="427"/>
      <x:c r="P32" s="427"/>
      <x:c r="Q32" s="427"/>
      <x:c r="R32" s="427"/>
      <x:c r="S32" s="427"/>
      <x:c r="T32" s="427"/>
      <x:c r="U32" s="427"/>
      <x:c r="V32" s="427"/>
      <x:c r="W32" s="427"/>
      <x:c r="X32" s="427"/>
      <x:c r="Y32" s="427"/>
      <x:c r="Z32" s="427"/>
      <x:c r="AA32" s="427"/>
      <x:c r="AB32" s="427"/>
      <x:c r="AC32" s="427"/>
      <x:c r="AD32" s="427"/>
      <x:c r="AE32" s="427"/>
    </x:row>
    <x:row r="33" ht="36" customHeight="1">
      <x:c r="A33" s="359" t="str">
        <x:v>Limits Source URL</x:v>
      </x:c>
      <x:c r="B33" s="346" t="str">
        <x:v>https://support.discord.com/hc/en-us/articles/115000435108-What-are-Nitro-Nitro-Basic</x:v>
      </x:c>
      <x:c r="C33" s="346" t="str">
        <x:v>U/K</x:v>
      </x:c>
      <x:c r="D33" s="346" t="str">
        <x:v>U/K</x:v>
      </x:c>
      <x:c r="E33" s="346" t="str">
        <x:v>https://fluxer.app/plutonium</x:v>
      </x:c>
      <x:c r="F33" s="346" t="str">
        <x:v>U/K</x:v>
      </x:c>
      <x:c r="G33" s="346" t="str">
        <x:v>U/K</x:v>
      </x:c>
      <x:c r="H33" s="346" t="str">
        <x:v>U/K</x:v>
      </x:c>
      <x:c r="I33" s="346" t="str">
        <x:v>U/K</x:v>
      </x:c>
      <x:c r="J33" s="346" t="str">
        <x:v>https://support.teamspeak.com/hc/en-us/articles/26033099878045-Current-Community-Options</x:v>
      </x:c>
      <x:c r="K33" s="346" t="str">
        <x:v>U/K</x:v>
      </x:c>
      <x:c r="L33" s="346" t="str">
        <x:v>U/K</x:v>
      </x:c>
      <x:c r="M33" s="346" t="str">
        <x:v>U/K</x:v>
      </x:c>
      <x:c r="N33" s="346" t="str">
        <x:v>https://gamevox.com/blog/gamevox-vs-discord/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https://mezon.ai/docs/user/resources/FAQ/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https://therift.chat/de/plans/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https://weered.ca/pricing</x:v>
      </x:c>
    </x:row>
    <x:row r="34" ht="36" customHeight="1">
      <x:c r="A34" s="360" t="str">
        <x:v>Limits Notes</x:v>
      </x:c>
      <x:c r="B34" s="349" t="str">
        <x:v>U/K unless explicitly published by the platform.</x:v>
      </x:c>
      <x:c r="C34" s="349" t="str">
        <x:v>U/K unless explicitly published by the platform.</x:v>
      </x:c>
      <x:c r="D34" s="349" t="str">
        <x:v>U/K unless explicitly published by the platform.</x:v>
      </x:c>
      <x:c r="E34" s="349" t="str">
        <x:v>U/K unless explicitly published by the platform.</x:v>
      </x:c>
      <x:c r="F34" s="349" t="str">
        <x:v>U/K unless explicitly published by the platform.</x:v>
      </x:c>
      <x:c r="G34" s="349" t="str">
        <x:v>U/K unless explicitly published by the platform.</x:v>
      </x:c>
      <x:c r="H34" s="349" t="str">
        <x:v>U/K unless explicitly published by the platform.</x:v>
      </x:c>
      <x:c r="I34" s="349" t="str">
        <x:v>U/K unless explicitly published by the platform.</x:v>
      </x:c>
      <x:c r="J34" s="349" t="str">
        <x:v>U/K unless explicitly published by the platform.</x:v>
      </x:c>
      <x:c r="K34" s="349" t="str">
        <x:v>U/K unless explicitly published by the platform.</x:v>
      </x:c>
      <x:c r="L34" s="349" t="str">
        <x:v>U/K unless explicitly published by the platform.</x:v>
      </x:c>
      <x:c r="M34" s="349" t="str">
        <x:v>U/K unless explicitly published by the platform.</x:v>
      </x:c>
      <x:c r="N34" s="349" t="str">
        <x:v>Server-wide tiers; all members inherit the server tier.</x:v>
      </x:c>
      <x:c r="O34" s="349" t="str">
        <x:v>U/K unless explicitly published by the platform.</x:v>
      </x:c>
      <x:c r="P34" s="349" t="str">
        <x:v>U/K unless explicitly published by the platform.</x:v>
      </x:c>
      <x:c r="Q34" s="349" t="str">
        <x:v>U/K unless explicitly published by the platform.</x:v>
      </x:c>
      <x:c r="R34" s="349" t="str">
        <x:v>U/K unless explicitly published by the platform.</x:v>
      </x:c>
      <x:c r="S34" s="349" t="str">
        <x:v>U/K unless explicitly published by the platform.</x:v>
      </x:c>
      <x:c r="T34" s="349" t="str">
        <x:v>U/K unless explicitly published by the platform.</x:v>
      </x:c>
      <x:c r="U34" s="349" t="str">
        <x:v>U/K unless explicitly published by the platform.</x:v>
      </x:c>
      <x:c r="V34" s="349" t="str">
        <x:v>U/K unless explicitly published by the platform.</x:v>
      </x:c>
      <x:c r="W34" s="349" t="str">
        <x:v>U/K unless explicitly published by the platform.</x:v>
      </x:c>
      <x:c r="X34" s="349" t="str">
        <x:v>U/K unless explicitly published by the platform.</x:v>
      </x:c>
      <x:c r="Y34" s="349" t="str">
        <x:v>U/K unless explicitly published by the platform.</x:v>
      </x:c>
      <x:c r="Z34" s="349" t="str">
        <x:v>U/K unless explicitly published by the platform.</x:v>
      </x:c>
      <x:c r="AA34" s="381" t="str">
        <x:v>U/K unless explicitly published by the platform.</x:v>
      </x:c>
      <x:c r="AB34" s="349" t="str">
        <x:v>U/K unless explicitly published by the platform.</x:v>
      </x:c>
      <x:c r="AC34" s="349" t="str">
        <x:v>U/K unless explicitly published by the platform.</x:v>
      </x:c>
      <x:c r="AD34" s="349" t="str">
        <x:v>U/K unless explicitly published by the platform.</x:v>
      </x:c>
      <x:c r="AE34" s="349" t="str">
        <x:v>U/K unless explicitly published by the platform.</x:v>
      </x:c>
    </x:row>
    <x:row r="35" ht="23" customHeight="1">
      <x:c r="A35" s="389" t="str">
        <x:v>Additional Capacity Limits</x:v>
      </x:c>
      <x:c r="B35" s="389"/>
      <x:c r="C35" s="389"/>
      <x:c r="D35" s="389"/>
      <x:c r="E35" s="389"/>
      <x:c r="F35" s="389"/>
      <x:c r="G35" s="389"/>
      <x:c r="H35" s="389"/>
      <x:c r="I35" s="389"/>
      <x:c r="J35" s="389"/>
      <x:c r="K35" s="389"/>
      <x:c r="L35" s="389"/>
      <x:c r="M35" s="389"/>
      <x:c r="N35" s="389"/>
      <x:c r="O35" s="389"/>
      <x:c r="P35" s="389"/>
      <x:c r="Q35" s="389"/>
      <x:c r="R35" s="389"/>
      <x:c r="S35" s="389"/>
      <x:c r="T35" s="389"/>
      <x:c r="U35" s="389"/>
      <x:c r="V35" s="389"/>
      <x:c r="W35" s="389"/>
      <x:c r="X35" s="389"/>
      <x:c r="Y35" s="389"/>
      <x:c r="Z35" s="389"/>
      <x:c r="AA35" s="389"/>
      <x:c r="AB35" s="389"/>
      <x:c r="AC35" s="389"/>
      <x:c r="AD35" s="389"/>
      <x:c r="AE35" s="389"/>
    </x:row>
    <x:row r="36" ht="36" customHeight="1">
      <x:c r="A36" s="378" t="str">
        <x:v>Max Forum Tags per Forum</x:v>
      </x:c>
      <x:c r="B36" s="346" t="str">
        <x:v>Published limit exists/U/K exact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U/K</x:v>
      </x:c>
      <x:c r="M36" s="346" t="str">
        <x:v>U/K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  <x:row r="37" ht="36" customHeight="1">
      <x:c r="A37" s="378" t="str">
        <x:v>Max Scheduled Events</x:v>
      </x:c>
      <x:c r="B37" s="346" t="str">
        <x:v>Published/configured limit U/K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U/K</x:v>
      </x:c>
      <x:c r="L37" s="346" t="str">
        <x:v>U/K</x:v>
      </x:c>
      <x:c r="M37" s="346" t="str">
        <x:v>U/K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U/K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  <x:row r="38" ht="36" customHeight="1">
      <x:c r="A38" s="378" t="str">
        <x:v>Max Concurrent Voice Rooms</x:v>
      </x:c>
      <x:c r="B38" s="346" t="str">
        <x:v>Channel-count constrained</x:v>
      </x:c>
      <x:c r="C38" s="346" t="str">
        <x:v>U/K</x:v>
      </x:c>
      <x:c r="D38" s="346" t="str">
        <x:v>U/K</x:v>
      </x:c>
      <x:c r="E38" s="346" t="str">
        <x:v>U/K</x:v>
      </x:c>
      <x:c r="F38" s="346" t="str">
        <x:v>U/K</x:v>
      </x:c>
      <x:c r="G38" s="346" t="str">
        <x:v>U/K</x:v>
      </x:c>
      <x:c r="H38" s="346" t="str">
        <x:v>U/K</x:v>
      </x:c>
      <x:c r="I38" s="346" t="str">
        <x:v>U/K</x:v>
      </x:c>
      <x:c r="J38" s="346" t="str">
        <x:v>U/K</x:v>
      </x:c>
      <x:c r="K38" s="346" t="str">
        <x:v>U/K</x:v>
      </x:c>
      <x:c r="L38" s="346" t="str">
        <x:v>U/K</x:v>
      </x:c>
      <x:c r="M38" s="346" t="str">
        <x:v>U/K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U/K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U/K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U/K; launcher rooms are ephemeral</x:v>
      </x:c>
      <x:c r="AB38" s="346" t="str">
        <x:v>U/K</x:v>
      </x:c>
      <x:c r="AC38" s="346" t="str">
        <x:v>U/K</x:v>
      </x:c>
      <x:c r="AD38" s="346" t="str">
        <x:v>U/K</x:v>
      </x:c>
      <x:c r="AE38" s="346" t="str">
        <x:v>U/K</x:v>
      </x:c>
    </x:row>
    <x:row r="39" ht="36" customHeight="1">
      <x:c r="A39" s="378" t="str">
        <x:v>Max Portals / Embedded Panels</x:v>
      </x:c>
      <x:c r="B39" s="346" t="str">
        <x:v>Activity/session dependent</x:v>
      </x:c>
      <x:c r="C39" s="346" t="str">
        <x:v>U/K</x:v>
      </x:c>
      <x:c r="D39" s="346" t="str">
        <x:v>U/K</x:v>
      </x:c>
      <x:c r="E39" s="346" t="str">
        <x:v>U/K</x:v>
      </x:c>
      <x:c r="F39" s="346" t="str">
        <x:v>U/K</x:v>
      </x:c>
      <x:c r="G39" s="346" t="str">
        <x:v>U/K</x:v>
      </x:c>
      <x:c r="H39" s="346" t="str">
        <x:v>U/K</x:v>
      </x:c>
      <x:c r="I39" s="346" t="str">
        <x:v>U/K</x:v>
      </x:c>
      <x:c r="J39" s="346" t="str">
        <x:v>U/K</x:v>
      </x:c>
      <x:c r="K39" s="346" t="str">
        <x:v>U/K</x:v>
      </x:c>
      <x:c r="L39" s="346" t="str">
        <x:v>U/K</x:v>
      </x:c>
      <x:c r="M39" s="346" t="str">
        <x:v>U/K</x:v>
      </x:c>
      <x:c r="N39" s="346" t="str">
        <x:v>U/K</x:v>
      </x:c>
      <x:c r="O39" s="346" t="str">
        <x:v>U/K</x:v>
      </x:c>
      <x:c r="P39" s="346" t="str">
        <x:v>U/K</x:v>
      </x:c>
      <x:c r="Q39" s="346" t="str">
        <x:v>U/K</x:v>
      </x:c>
      <x:c r="R39" s="346" t="str">
        <x:v>U/K</x:v>
      </x:c>
      <x:c r="S39" s="346" t="str">
        <x:v>U/K</x:v>
      </x:c>
      <x:c r="T39" s="346" t="str">
        <x:v>U/K</x:v>
      </x:c>
      <x:c r="U39" s="346" t="str">
        <x:v>U/K</x:v>
      </x:c>
      <x:c r="V39" s="346" t="str">
        <x:v>U/K</x:v>
      </x:c>
      <x:c r="W39" s="346" t="str">
        <x:v>U/K</x:v>
      </x:c>
      <x:c r="X39" s="346" t="str">
        <x:v>U/K</x:v>
      </x:c>
      <x:c r="Y39" s="346" t="str">
        <x:v>U/K</x:v>
      </x:c>
      <x:c r="Z39" s="346" t="str">
        <x:v>U/K</x:v>
      </x:c>
      <x:c r="AA39" s="380" t="str">
        <x:v>U/K</x:v>
      </x:c>
      <x:c r="AB39" s="346" t="str">
        <x:v>U/K</x:v>
      </x:c>
      <x:c r="AC39" s="346" t="str">
        <x:v>U/K</x:v>
      </x:c>
      <x:c r="AD39" s="346" t="str">
        <x:v>U/K</x:v>
      </x:c>
      <x:c r="AE39" s="346" t="str">
        <x:v>U/K</x:v>
      </x:c>
    </x:row>
  </x:sheetData>
  <x:mergeCells>
    <x:mergeCell ref="A1:AE1"/>
  </x:mergeCells>
  <x:conditionalFormatting sqref="B3:AE34">
    <x:cfRule type="expression" dxfId="74" priority="1">
      <x:formula>ISNUMBER(SEARCH("U/K",B3))</x:formula>
    </x:cfRule>
    <x:cfRule type="expression" dxfId="75" priority="2">
      <x:formula>OR(B3="N/A",LEFT(B3,4)="N/A ")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Voice &amp; Audio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Voice Architecture (Persistent Rooms vs Ad-Hoc Calls)</x:v>
      </x:c>
      <x:c r="B3" s="344" t="str">
        <x:v>Persistent server voice channels + ad-hoc DM/GDM calls</x:v>
      </x:c>
      <x:c r="C3" s="344" t="str">
        <x:v>Persistent server voice channels + calls</x:v>
      </x:c>
      <x:c r="D3" s="344" t="str">
        <x:v>Persistent community voice + calls</x:v>
      </x:c>
      <x:c r="E3" s="344" t="str">
        <x:v>Persistent community voice + DM calls</x:v>
      </x:c>
      <x:c r="F3" s="344" t="str">
        <x:v>Persistent community voice + DM calls</x:v>
      </x:c>
      <x:c r="G3" s="344" t="str">
        <x:v>Client-dependent; MatrixRTC/VoIP rooms and calls</x:v>
      </x:c>
      <x:c r="H3" s="344" t="str">
        <x:v>Optional persistent guild + DM voice via WebRTC media package</x:v>
      </x:c>
      <x:c r="I3" s="344" t="str">
        <x:v>Persistent hierarchical voice channels</x:v>
      </x:c>
      <x:c r="J3" s="344" t="str">
        <x:v>Persistent voice channels</x:v>
      </x:c>
      <x:c r="K3" s="345" t="str">
        <x:v>No native persistent voice rooms; integrates external call providers</x:v>
      </x:c>
      <x:c r="L3" s="346" t="str">
        <x:v>Native Calls in channels/DMs; persistent text channels with ad-hoc calls</x:v>
      </x:c>
      <x:c r="M3" s="346" t="str">
        <x:v>Calls/video depend on deployment/provider/integration; not Discord-style universal persistent voice</x:v>
      </x:c>
      <x:c r="N3" s="346" t="str">
        <x:v>Persistent voice rooms + calls</x:v>
      </x:c>
      <x:c r="O3" s="346" t="str">
        <x:v>Voice support U/K</x:v>
      </x:c>
      <x:c r="P3" s="346" t="str">
        <x:v>Persistent voice/video channels</x:v>
      </x:c>
      <x:c r="Q3" s="346" t="str">
        <x:v>Persistent voice rooms</x:v>
      </x:c>
      <x:c r="R3" s="346" t="str">
        <x:v>Voice supported; Linux mic I/O issues reported</x:v>
      </x:c>
      <x:c r="S3" s="346" t="str">
        <x:v>Voice/video calls</x:v>
      </x:c>
      <x:c r="T3" s="346" t="str">
        <x:v>Voice channels</x:v>
      </x:c>
      <x:c r="U3" s="346" t="str">
        <x:v>Persistent spatial voice channels</x:v>
      </x:c>
      <x:c r="V3" s="346" t="str">
        <x:v>Voice nearly/partially working</x:v>
      </x:c>
      <x:c r="W3" s="346" t="str">
        <x:v>No mature native voice feature verified</x:v>
      </x:c>
      <x:c r="X3" s="346" t="str">
        <x:v>Live voice rooms</x:v>
      </x:c>
      <x:c r="Y3" s="346" t="str">
        <x:v>Calls via peer-to-peer WebRTC; persistent rooms U/K</x:v>
      </x:c>
      <x:c r="Z3" s="346" t="str">
        <x:v>Persistent server voice + messenger</x:v>
      </x:c>
      <x:c r="AA3" s="380" t="str">
        <x:v>Yes - voice/communities</x:v>
      </x:c>
      <x:c r="AB3" s="346" t="str">
        <x:v>Persistent calls/rooms</x:v>
      </x:c>
      <x:c r="AC3" s="346" t="str">
        <x:v>Persistent voice channels</x:v>
      </x:c>
      <x:c r="AD3" s="346" t="str">
        <x:v>Persistent voice channels</x:v>
      </x:c>
      <x:c r="AE3" s="414" t="str">
        <x:v>Voice in every room</x:v>
      </x:c>
    </x:row>
    <x:row r="4" ht="36" customHeight="1">
      <x:c r="A4" s="358" t="str">
        <x:v>Audio Codec</x:v>
      </x:c>
      <x:c r="B4" s="344" t="str">
        <x:v>Opus</x:v>
      </x:c>
      <x:c r="C4" s="344" t="str">
        <x:v>Opus/WebRTC via LiveKit</x:v>
      </x:c>
      <x:c r="D4" s="344" t="str">
        <x:v>WebRTC/LiveKit</x:v>
      </x:c>
      <x:c r="E4" s="344" t="str">
        <x:v>WebRTC/LiveKit</x:v>
      </x:c>
      <x:c r="F4" s="344" t="str">
        <x:v>U/K</x:v>
      </x:c>
      <x:c r="G4" s="344" t="str">
        <x:v>Opus commonly via WebRTC; protocol/client-dependent</x:v>
      </x:c>
      <x:c r="H4" s="344" t="str">
        <x:v>WebRTC; implementation-dependent codecs</x:v>
      </x:c>
      <x:c r="I4" s="344" t="str">
        <x:v>Opus</x:v>
      </x:c>
      <x:c r="J4" s="344" t="str">
        <x:v>Opus / proprietary stack depending generation</x:v>
      </x:c>
      <x:c r="K4" s="345" t="str">
        <x:v>N/A</x:v>
      </x:c>
      <x:c r="L4" s="346" t="str">
        <x:v>WebRTC/Opus</x:v>
      </x:c>
      <x:c r="M4" s="346" t="str">
        <x:v>WebRTC/integration-dependent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Yes</x:v>
      </x:c>
      <x:c r="R4" s="346" t="str">
        <x:v>U/K</x:v>
      </x:c>
      <x:c r="S4" s="346" t="str">
        <x:v>Yes</x:v>
      </x:c>
      <x:c r="T4" s="346" t="str">
        <x:v>Yes/U/K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Yes/U/K</x:v>
      </x:c>
      <x:c r="Z4" s="346" t="str">
        <x:v>Yes/U/K</x:v>
      </x:c>
      <x:c r="AA4" s="380" t="str">
        <x:v>Yes/U/K</x:v>
      </x:c>
      <x:c r="AB4" s="346" t="str">
        <x:v>Yes</x:v>
      </x:c>
      <x:c r="AC4" s="346" t="str">
        <x:v>Yes</x:v>
      </x:c>
      <x:c r="AD4" s="346" t="str">
        <x:v>U/K</x:v>
      </x:c>
      <x:c r="AE4" s="414" t="str">
        <x:v>Yes</x:v>
      </x:c>
    </x:row>
    <x:row r="5" ht="36" customHeight="1">
      <x:c r="A5" s="358" t="str">
        <x:v>Max Audio Bitrate (kbps)</x:v>
      </x:c>
      <x:c r="B5" s="344" t="str">
        <x:v>384 max (Level 3 boost); 96 base</x:v>
      </x:c>
      <x:c r="C5" s="344" t="str">
        <x:v>U/K</x:v>
      </x:c>
      <x:c r="D5" s="344" t="str">
        <x:v>U/K</x:v>
      </x:c>
      <x:c r="E5" s="344" t="str">
        <x:v>U/K</x:v>
      </x:c>
      <x:c r="F5" s="344" t="str">
        <x:v>U/K</x:v>
      </x:c>
      <x:c r="G5" s="344" t="str">
        <x:v>Varies by client/media stack</x:v>
      </x:c>
      <x:c r="H5" s="344" t="str">
        <x:v>U/K</x:v>
      </x:c>
      <x:c r="I5" s="344" t="str">
        <x:v>Server-configurable / U/K</x:v>
      </x:c>
      <x:c r="J5" s="344" t="str">
        <x:v>U/K</x:v>
      </x:c>
      <x:c r="K5" s="345" t="str">
        <x:v>N/A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Yes</x:v>
      </x:c>
      <x:c r="R5" s="346" t="str">
        <x:v>U/K</x:v>
      </x:c>
      <x:c r="S5" s="346" t="str">
        <x:v>Yes</x:v>
      </x:c>
      <x:c r="T5" s="346" t="str">
        <x:v>Yes/U/K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Yes/U/K</x:v>
      </x:c>
      <x:c r="Z5" s="346" t="str">
        <x:v>Yes/U/K</x:v>
      </x:c>
      <x:c r="AA5" s="380" t="str">
        <x:v>Yes/U/K</x:v>
      </x:c>
      <x:c r="AB5" s="346" t="str">
        <x:v>Yes</x:v>
      </x:c>
      <x:c r="AC5" s="346" t="str">
        <x:v>Yes</x:v>
      </x:c>
      <x:c r="AD5" s="346" t="str">
        <x:v>U/K</x:v>
      </x:c>
      <x:c r="AE5" s="414" t="str">
        <x:v>Yes</x:v>
      </x:c>
    </x:row>
    <x:row r="6" ht="36" customHeight="1">
      <x:c r="A6" s="358" t="str">
        <x:v>Noise Suppression Engine (Krisp / RNNoise / WebRTC)</x:v>
      </x:c>
      <x:c r="B6" s="344" t="str">
        <x:v>Krisp</x:v>
      </x:c>
      <x:c r="C6" s="344" t="str">
        <x:v>RNNoise</x:v>
      </x:c>
      <x:c r="D6" s="344" t="str">
        <x:v>DeepFilterNet3 local noise suppression planned/used</x:v>
      </x:c>
      <x:c r="E6" s="344" t="str">
        <x:v>DeepFilterNet3 + media processing controls</x:v>
      </x:c>
      <x:c r="F6" s="344" t="str">
        <x:v>U/K</x:v>
      </x:c>
      <x:c r="G6" s="344" t="str">
        <x:v>Varies by client</x:v>
      </x:c>
      <x:c r="H6" s="344" t="str">
        <x:v>U/K</x:v>
      </x:c>
      <x:c r="I6" s="344" t="str">
        <x:v>Built-in client processing; exact engine varies</x:v>
      </x:c>
      <x:c r="J6" s="344" t="str">
        <x:v>Built-in processing; engine U/K</x:v>
      </x:c>
      <x:c r="K6" s="345" t="str">
        <x:v>N/A</x:v>
      </x:c>
      <x:c r="L6" s="346" t="str">
        <x:v>Built-in WebRTC processing; exact engine U/K</x:v>
      </x:c>
      <x:c r="M6" s="346" t="str">
        <x:v>Provider-dependent</x:v>
      </x:c>
      <x:c r="N6" s="346" t="str">
        <x:v>Built-in noise/echo processing</x:v>
      </x:c>
      <x:c r="O6" s="346" t="str">
        <x:v>U/K</x:v>
      </x:c>
      <x:c r="P6" s="346" t="str">
        <x:v>Custom voice infrastructure</x:v>
      </x:c>
      <x:c r="Q6" s="346" t="str">
        <x:v>LiveKit/WebRTC</x:v>
      </x:c>
      <x:c r="R6" s="346" t="str">
        <x:v>U/K</x:v>
      </x:c>
      <x:c r="S6" s="346" t="str">
        <x:v>Custom WebRTC SFU</x:v>
      </x:c>
      <x:c r="T6" s="346" t="str">
        <x:v>U/K</x:v>
      </x:c>
      <x:c r="U6" s="346" t="str">
        <x:v>Self-host media server</x:v>
      </x:c>
      <x:c r="V6" s="346" t="str">
        <x:v>WebRTC</x:v>
      </x:c>
      <x:c r="W6" s="346" t="str">
        <x:v>N/A</x:v>
      </x:c>
      <x:c r="X6" s="346" t="str">
        <x:v>Nostr/Concord + realtime media stack U/K</x:v>
      </x:c>
      <x:c r="Y6" s="346" t="str">
        <x:v>P2P WebRTC with STUN/TURN fallback</x:v>
      </x:c>
      <x:c r="Z6" s="346" t="str">
        <x:v>LiveKit/WebRTC</x:v>
      </x:c>
      <x:c r="AA6" s="380" t="str">
        <x:v>U/K</x:v>
      </x:c>
      <x:c r="AB6" s="346" t="str">
        <x:v>Hosted/self-host media server</x:v>
      </x:c>
      <x:c r="AC6" s="346" t="str">
        <x:v>LiveKit</x:v>
      </x:c>
      <x:c r="AD6" s="346" t="str">
        <x:v>LiveKit</x:v>
      </x:c>
      <x:c r="AE6" s="414" t="str">
        <x:v>LiveKit</x:v>
      </x:c>
    </x:row>
    <x:row r="7" ht="36" customHeight="1">
      <x:c r="A7" s="358" t="str">
        <x:v>Push-to-Talk Support</x:v>
      </x:c>
      <x:c r="B7" s="344" t="str">
        <x:v>Yes</x:v>
      </x:c>
      <x:c r="C7" s="344" t="str">
        <x:v>Yes</x:v>
      </x:c>
      <x:c r="D7" s="344" t="str">
        <x:v>Yes</x:v>
      </x:c>
      <x:c r="E7" s="344" t="str">
        <x:v>Yes</x:v>
      </x:c>
      <x:c r="F7" s="344" t="str">
        <x:v>Yes</x:v>
      </x:c>
      <x:c r="G7" s="344" t="str">
        <x:v>Varies by client</x:v>
      </x:c>
      <x:c r="H7" s="344" t="str">
        <x:v>Client-dependent</x:v>
      </x:c>
      <x:c r="I7" s="344" t="str">
        <x:v>Yes</x:v>
      </x:c>
      <x:c r="J7" s="344" t="str">
        <x:v>Yes</x:v>
      </x:c>
      <x:c r="K7" s="345" t="str">
        <x:v>N/A</x:v>
      </x:c>
      <x:c r="L7" s="346" t="str">
        <x:v>U/K</x:v>
      </x:c>
      <x:c r="M7" s="346" t="str">
        <x:v>U/K</x:v>
      </x:c>
      <x:c r="N7" s="346" t="str">
        <x:v>Yes</x:v>
      </x:c>
      <x:c r="O7" s="346" t="str">
        <x:v>U/K</x:v>
      </x:c>
      <x:c r="P7" s="346" t="str">
        <x:v>Yes/U/K</x:v>
      </x:c>
      <x:c r="Q7" s="346" t="str">
        <x:v>U/K</x:v>
      </x:c>
      <x:c r="R7" s="346" t="str">
        <x:v>Yes/U/K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N/A</x:v>
      </x:c>
      <x:c r="X7" s="346" t="str">
        <x:v>U/K</x:v>
      </x:c>
      <x:c r="Y7" s="346" t="str">
        <x:v>U/K</x:v>
      </x:c>
      <x:c r="Z7" s="346" t="str">
        <x:v>Opus</x:v>
      </x:c>
      <x:c r="AA7" s="380" t="str">
        <x:v>U/K</x:v>
      </x:c>
      <x:c r="AB7" s="346" t="str">
        <x:v>U/K</x:v>
      </x:c>
      <x:c r="AC7" s="346" t="str">
        <x:v>U/K</x:v>
      </x:c>
      <x:c r="AD7" s="346" t="str">
        <x:v>U/K</x:v>
      </x:c>
      <x:c r="AE7" s="414" t="str">
        <x:v>U/K</x:v>
      </x:c>
    </x:row>
    <x:row r="8" ht="36" customHeight="1">
      <x:c r="A8" s="358" t="str">
        <x:v>Individual User Volume Control</x:v>
      </x:c>
      <x:c r="B8" s="344" t="str">
        <x:v>Yes</x:v>
      </x:c>
      <x:c r="C8" s="344" t="str">
        <x:v>Yes</x:v>
      </x:c>
      <x:c r="D8" s="344" t="str">
        <x:v>Yes</x:v>
      </x:c>
      <x:c r="E8" s="344" t="str">
        <x:v>Yes</x:v>
      </x:c>
      <x:c r="F8" s="344" t="str">
        <x:v>Yes</x:v>
      </x:c>
      <x:c r="G8" s="344" t="str">
        <x:v>Varies by client</x:v>
      </x:c>
      <x:c r="H8" s="344" t="str">
        <x:v>Client-dependent</x:v>
      </x:c>
      <x:c r="I8" s="344" t="str">
        <x:v>Yes</x:v>
      </x:c>
      <x:c r="J8" s="344" t="str">
        <x:v>Yes</x:v>
      </x:c>
      <x:c r="K8" s="345" t="str">
        <x:v>N/A</x:v>
      </x:c>
      <x:c r="L8" s="346" t="str">
        <x:v>Yes</x:v>
      </x:c>
      <x:c r="M8" s="346" t="str">
        <x:v>U/K</x:v>
      </x:c>
      <x:c r="N8" s="346" t="str">
        <x:v>Yes</x:v>
      </x:c>
      <x:c r="O8" s="346" t="str">
        <x:v>U/K</x:v>
      </x:c>
      <x:c r="P8" s="346" t="str">
        <x:v>Yes/U/K</x:v>
      </x:c>
      <x:c r="Q8" s="346" t="str">
        <x:v>Yes</x:v>
      </x:c>
      <x:c r="R8" s="346" t="str">
        <x:v>U/K</x:v>
      </x:c>
      <x:c r="S8" s="346" t="str">
        <x:v>Yes/U/K</x:v>
      </x:c>
      <x:c r="T8" s="346" t="str">
        <x:v>Yes/U/K</x:v>
      </x:c>
      <x:c r="U8" s="346" t="str">
        <x:v>Yes/U/K</x:v>
      </x:c>
      <x:c r="V8" s="346" t="str">
        <x:v>U/K</x:v>
      </x:c>
      <x:c r="W8" s="346" t="str">
        <x:v>N/A</x:v>
      </x:c>
      <x:c r="X8" s="346" t="str">
        <x:v>U/K</x:v>
      </x:c>
      <x:c r="Y8" s="346" t="str">
        <x:v>U/K</x:v>
      </x:c>
      <x:c r="Z8" s="346" t="str">
        <x:v>Yes/U/K</x:v>
      </x:c>
      <x:c r="AA8" s="380" t="str">
        <x:v>Yes/U/K</x:v>
      </x:c>
      <x:c r="AB8" s="346" t="str">
        <x:v>Yes</x:v>
      </x:c>
      <x:c r="AC8" s="346" t="str">
        <x:v>Yes</x:v>
      </x:c>
      <x:c r="AD8" s="346" t="str">
        <x:v>Yes/U/K</x:v>
      </x:c>
      <x:c r="AE8" s="414" t="str">
        <x:v>Yes</x:v>
      </x:c>
    </x:row>
    <x:row r="9" ht="36" customHeight="1">
      <x:c r="A9" s="358" t="str">
        <x:v>Spatial / Proximity Audio Support</x:v>
      </x:c>
      <x:c r="B9" s="344" t="str">
        <x:v>No native client proximity/spatial audio; possible in third-party game integrations</x:v>
      </x:c>
      <x:c r="C9" s="344" t="str">
        <x:v>No native proximity audio</x:v>
      </x:c>
      <x:c r="D9" s="344" t="str">
        <x:v>U/K</x:v>
      </x:c>
      <x:c r="E9" s="344" t="str">
        <x:v>No native proximity audio</x:v>
      </x:c>
      <x:c r="F9" s="344" t="str">
        <x:v>No native proximity audio</x:v>
      </x:c>
      <x:c r="G9" s="344" t="str">
        <x:v>Possible via specialized clients; not a core default</x:v>
      </x:c>
      <x:c r="H9" s="344" t="str">
        <x:v>No native proximity</x:v>
      </x:c>
      <x:c r="I9" s="344" t="str">
        <x:v>Yes - positional audio supported with games/plugins</x:v>
      </x:c>
      <x:c r="J9" s="344" t="str">
        <x:v>Yes/3D audio support historically; current TS6 specifics U/K</x:v>
      </x:c>
      <x:c r="K9" s="345" t="str">
        <x:v>N/A</x:v>
      </x:c>
      <x:c r="L9" s="346" t="str">
        <x:v>No</x:v>
      </x:c>
      <x:c r="M9" s="346" t="str">
        <x:v>No</x:v>
      </x:c>
      <x:c r="N9" s="346" t="str">
        <x:v>GameLink spatial audio</x:v>
      </x:c>
      <x:c r="O9" s="346" t="str">
        <x:v>No</x:v>
      </x:c>
      <x:c r="P9" s="346" t="str">
        <x:v>No</x:v>
      </x:c>
      <x:c r="Q9" s="346" t="str">
        <x:v>No</x:v>
      </x:c>
      <x:c r="R9" s="346" t="str">
        <x:v>No</x:v>
      </x:c>
      <x:c r="S9" s="346" t="str">
        <x:v>No</x:v>
      </x:c>
      <x:c r="T9" s="346" t="str">
        <x:v>No</x:v>
      </x:c>
      <x:c r="U9" s="346" t="str">
        <x:v>Yes - spatial/proximity</x:v>
      </x:c>
      <x:c r="V9" s="346" t="str">
        <x:v>No</x:v>
      </x:c>
      <x:c r="W9" s="346" t="str">
        <x:v>N/A</x:v>
      </x:c>
      <x:c r="X9" s="346" t="str">
        <x:v>No</x:v>
      </x:c>
      <x:c r="Y9" s="346" t="str">
        <x:v>No</x:v>
      </x:c>
      <x:c r="Z9" s="346" t="str">
        <x:v>No</x:v>
      </x:c>
      <x:c r="AA9" s="380" t="str">
        <x:v>No</x:v>
      </x:c>
      <x:c r="AB9" s="346" t="str">
        <x:v>No</x:v>
      </x:c>
      <x:c r="AC9" s="346" t="str">
        <x:v>No</x:v>
      </x:c>
      <x:c r="AD9" s="346" t="str">
        <x:v>No</x:v>
      </x:c>
      <x:c r="AE9" s="414" t="str">
        <x:v>No</x:v>
      </x:c>
    </x:row>
    <x:row r="10" ht="36" customHeight="1">
      <x:c r="A10" s="358" t="str">
        <x:v>Stage Channels (Speaker vs Audience)</x:v>
      </x:c>
      <x:c r="B10" s="344" t="str">
        <x:v>Yes</x:v>
      </x:c>
      <x:c r="C10" s="344" t="str">
        <x:v>No Discord-style Stage verified</x:v>
      </x:c>
      <x:c r="D10" s="344" t="str">
        <x:v>Nested voice / host-broadcasting planned</x:v>
      </x:c>
      <x:c r="E10" s="344" t="str">
        <x:v>U/K</x:v>
      </x:c>
      <x:c r="F10" s="344" t="str">
        <x:v>No dedicated Stage verified</x:v>
      </x:c>
      <x:c r="G10" s="344" t="str">
        <x:v>Client-dependent</x:v>
      </x:c>
      <x:c r="H10" s="344" t="str">
        <x:v>Discord-compatible target; U/K</x:v>
      </x:c>
      <x:c r="I10" s="344" t="str">
        <x:v>No Discord Stage equivalent</x:v>
      </x:c>
      <x:c r="J10" s="344" t="str">
        <x:v>No Discord Stage equivalent verified</x:v>
      </x:c>
      <x:c r="K10" s="345" t="str">
        <x:v>N/A</x:v>
      </x:c>
      <x:c r="L10" s="346" t="str">
        <x:v>Raise-hand supported in Calls</x:v>
      </x:c>
      <x:c r="M10" s="346" t="str">
        <x:v>U/K</x:v>
      </x:c>
      <x:c r="N10" s="346" t="str">
        <x:v>No Discord-style Stage verified</x:v>
      </x:c>
      <x:c r="O10" s="346" t="str">
        <x:v>No</x:v>
      </x:c>
      <x:c r="P10" s="346" t="str">
        <x:v>No Stage verified</x:v>
      </x:c>
      <x:c r="Q10" s="346" t="str">
        <x:v>Stage channels supported/imported; native operation U/K</x:v>
      </x:c>
      <x:c r="R10" s="346" t="str">
        <x:v>No</x:v>
      </x:c>
      <x:c r="S10" s="346" t="str">
        <x:v>U/K</x:v>
      </x:c>
      <x:c r="T10" s="346" t="str">
        <x:v>No</x:v>
      </x:c>
      <x:c r="U10" s="346" t="str">
        <x:v>No Stage</x:v>
      </x:c>
      <x:c r="V10" s="346" t="str">
        <x:v>No</x:v>
      </x:c>
      <x:c r="W10" s="346" t="str">
        <x:v>N/A</x:v>
      </x:c>
      <x:c r="X10" s="346" t="str">
        <x:v>U/K</x:v>
      </x:c>
      <x:c r="Y10" s="346" t="str">
        <x:v>No</x:v>
      </x:c>
      <x:c r="Z10" s="346" t="str">
        <x:v>No Stage verified</x:v>
      </x:c>
      <x:c r="AA10" s="380" t="str">
        <x:v>U/K</x:v>
      </x:c>
      <x:c r="AB10" s="346" t="str">
        <x:v>No Stage</x:v>
      </x:c>
      <x:c r="AC10" s="346" t="str">
        <x:v>No Stage verified</x:v>
      </x:c>
      <x:c r="AD10" s="346" t="str">
        <x:v>No Stage verified</x:v>
      </x:c>
      <x:c r="AE10" s="414" t="str">
        <x:v>Stage is a general room stage/media surface, not Discord Stage</x:v>
      </x:c>
    </x:row>
    <x:row r="11" ht="36" customHeight="1">
      <x:c r="A11" s="397" t="str">
        <x:v>Raise Hand / Speaking Requests</x:v>
      </x:c>
      <x:c r="B11" s="349" t="str">
        <x:v>Yes</x:v>
      </x:c>
      <x:c r="C11" s="349" t="str">
        <x:v>U/K</x:v>
      </x:c>
      <x:c r="D11" s="349" t="str">
        <x:v>U/K</x:v>
      </x:c>
      <x:c r="E11" s="349" t="str">
        <x:v>U/K</x:v>
      </x:c>
      <x:c r="F11" s="349" t="str">
        <x:v>U/K</x:v>
      </x:c>
      <x:c r="G11" s="349" t="str">
        <x:v>Client-dependent</x:v>
      </x:c>
      <x:c r="H11" s="349" t="str">
        <x:v>U/K</x:v>
      </x:c>
      <x:c r="I11" s="349" t="str">
        <x:v>No</x:v>
      </x:c>
      <x:c r="J11" s="349" t="str">
        <x:v>U/K</x:v>
      </x:c>
      <x:c r="K11" s="395" t="str">
        <x:v>N/A</x:v>
      </x:c>
      <x:c r="L11" s="349" t="str">
        <x:v>Yes</x:v>
      </x:c>
      <x:c r="M11" s="349" t="str">
        <x:v>U/K</x:v>
      </x:c>
      <x:c r="N11" s="349" t="str">
        <x:v>U/K</x:v>
      </x:c>
      <x:c r="O11" s="349" t="str">
        <x:v>U/K</x:v>
      </x:c>
      <x:c r="P11" s="349" t="str">
        <x:v>U/K</x:v>
      </x:c>
      <x:c r="Q11" s="349" t="str">
        <x:v>U/K</x:v>
      </x:c>
      <x:c r="R11" s="349" t="str">
        <x:v>U/K</x:v>
      </x:c>
      <x:c r="S11" s="349" t="str">
        <x:v>U/K</x:v>
      </x:c>
      <x:c r="T11" s="349" t="str">
        <x:v>U/K</x:v>
      </x:c>
      <x:c r="U11" s="349" t="str">
        <x:v>No</x:v>
      </x:c>
      <x:c r="V11" s="349" t="str">
        <x:v>U/K</x:v>
      </x:c>
      <x:c r="W11" s="349" t="str">
        <x:v>N/A</x:v>
      </x:c>
      <x:c r="X11" s="349" t="str">
        <x:v>U/K</x:v>
      </x:c>
      <x:c r="Y11" s="349" t="str">
        <x:v>U/K</x:v>
      </x:c>
      <x:c r="Z11" s="349" t="str">
        <x:v>U/K</x:v>
      </x:c>
      <x:c r="AA11" s="381" t="str">
        <x:v>U/K</x:v>
      </x:c>
      <x:c r="AB11" s="349" t="str">
        <x:v>U/K</x:v>
      </x:c>
      <x:c r="AC11" s="349" t="str">
        <x:v>U/K</x:v>
      </x:c>
      <x:c r="AD11" s="349" t="str">
        <x:v>U/K</x:v>
      </x:c>
      <x:c r="AE11" s="415" t="str">
        <x:v>U/K</x:v>
      </x:c>
    </x:row>
    <x:row r="12" ht="23" customHeight="1">
      <x:c r="A12" s="389" t="str">
        <x:v>Advanced Voice Controls</x:v>
      </x:c>
      <x:c r="B12" s="389"/>
      <x:c r="C12" s="389"/>
      <x:c r="D12" s="389"/>
      <x:c r="E12" s="389"/>
      <x:c r="F12" s="389"/>
      <x:c r="G12" s="389"/>
      <x:c r="H12" s="389"/>
      <x:c r="I12" s="389"/>
      <x:c r="J12" s="389"/>
      <x:c r="K12" s="389"/>
      <x:c r="L12" s="389"/>
      <x:c r="M12" s="389"/>
      <x:c r="N12" s="389"/>
      <x:c r="O12" s="389"/>
      <x:c r="P12" s="389"/>
      <x:c r="Q12" s="389"/>
      <x:c r="R12" s="389"/>
      <x:c r="S12" s="389"/>
      <x:c r="T12" s="389"/>
      <x:c r="U12" s="389"/>
      <x:c r="V12" s="389"/>
      <x:c r="W12" s="389"/>
      <x:c r="X12" s="389"/>
      <x:c r="Y12" s="389"/>
      <x:c r="Z12" s="389"/>
      <x:c r="AA12" s="389"/>
      <x:c r="AB12" s="389"/>
      <x:c r="AC12" s="389"/>
      <x:c r="AD12" s="389"/>
      <x:c r="AE12" s="389"/>
    </x:row>
    <x:row r="13" ht="36" customHeight="1">
      <x:c r="A13" s="378" t="str">
        <x:v>DM Voice Calls?</x:v>
      </x:c>
      <x:c r="B13" s="346" t="str">
        <x:v>Yes</x:v>
      </x:c>
      <x:c r="C13" s="346" t="str">
        <x:v>U/K</x:v>
      </x:c>
      <x:c r="D13" s="346" t="str">
        <x:v>Yes</x:v>
      </x:c>
      <x:c r="E13" s="346" t="str">
        <x:v>Yes</x:v>
      </x:c>
      <x:c r="F13" s="346" t="str">
        <x:v>Yes</x:v>
      </x:c>
      <x:c r="G13" s="346" t="str">
        <x:v>Client-dependent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Yes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Yes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Yes</x:v>
      </x:c>
      <x:c r="AD13" s="346" t="str">
        <x:v>U/K</x:v>
      </x:c>
      <x:c r="AE13" s="346" t="str">
        <x:v>Yes</x:v>
      </x:c>
    </x:row>
    <x:row r="14" ht="36" customHeight="1">
      <x:c r="A14" s="378" t="str">
        <x:v>Group DM Voice Calls?</x:v>
      </x:c>
      <x:c r="B14" s="346" t="str">
        <x:v>Yes</x:v>
      </x:c>
      <x:c r="C14" s="346" t="str">
        <x:v>U/K</x:v>
      </x:c>
      <x:c r="D14" s="346" t="str">
        <x:v>Yes</x:v>
      </x:c>
      <x:c r="E14" s="346" t="str">
        <x:v>Yes</x:v>
      </x:c>
      <x:c r="F14" s="346" t="str">
        <x:v>Yes</x:v>
      </x:c>
      <x:c r="G14" s="346" t="str">
        <x:v>Client-dependent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Yes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Yes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Yes</x:v>
      </x:c>
      <x:c r="AD14" s="346" t="str">
        <x:v>U/K</x:v>
      </x:c>
      <x:c r="AE14" s="346" t="str">
        <x:v>Yes</x:v>
      </x:c>
    </x:row>
    <x:row r="15" ht="36" customHeight="1">
      <x:c r="A15" s="378" t="str">
        <x:v>Voice Activity?</x:v>
      </x:c>
      <x:c r="B15" s="346" t="str">
        <x:v>Yes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Yes</x:v>
      </x:c>
      <x:c r="J15" s="346" t="str">
        <x:v>Yes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Yes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Yes</x:v>
      </x:c>
    </x:row>
    <x:row r="16" ht="36" customHeight="1">
      <x:c r="A16" s="378" t="str">
        <x:v>Echo Cancellation?</x:v>
      </x:c>
      <x:c r="B16" s="346" t="str">
        <x:v>Yes</x:v>
      </x:c>
      <x:c r="C16" s="346" t="str">
        <x:v>U/K</x:v>
      </x:c>
      <x:c r="D16" s="346" t="str">
        <x:v>Yes</x:v>
      </x:c>
      <x:c r="E16" s="346" t="str">
        <x:v>Yes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Yes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Yes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U/K</x:v>
      </x:c>
      <x:c r="AB16" s="346" t="str">
        <x:v>U/K</x:v>
      </x:c>
      <x:c r="AC16" s="346" t="str">
        <x:v>Yes</x:v>
      </x:c>
      <x:c r="AD16" s="346" t="str">
        <x:v>U/K</x:v>
      </x:c>
      <x:c r="AE16" s="346" t="str">
        <x:v>Yes</x:v>
      </x:c>
    </x:row>
    <x:row r="17" ht="36" customHeight="1">
      <x:c r="A17" s="378" t="str">
        <x:v>Automatic Gain Control?</x:v>
      </x:c>
      <x:c r="B17" s="346" t="str">
        <x:v>U/K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Yes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U/K</x:v>
      </x:c>
      <x:c r="AC17" s="346" t="str">
        <x:v>Yes</x:v>
      </x:c>
      <x:c r="AD17" s="346" t="str">
        <x:v>U/K</x:v>
      </x:c>
      <x:c r="AE17" s="346" t="str">
        <x:v>U/K</x:v>
      </x:c>
    </x:row>
    <x:row r="18" ht="36" customHeight="1">
      <x:c r="A18" s="378" t="str">
        <x:v>Voice Recording Native?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78" t="str">
        <x:v>Voice Transcription Native?</x:v>
      </x:c>
      <x:c r="B19" s="346" t="str">
        <x:v>U/K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Yes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Yes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78" t="str">
        <x:v>Temporary / Launcher Voice Rooms</x:v>
      </x:c>
      <x:c r="B20" s="346" t="str">
        <x:v>No native launcher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Yes - auto-spawn/delete rooms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 s="24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 s="24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 s="24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 s="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 s="24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 s="24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1">
    <x:cfRule type="expression" dxfId="34" priority="1">
      <x:formula>ISNUMBER(SEARCH("U/K",B3))</x:formula>
    </x:cfRule>
    <x:cfRule type="expression" dxfId="35" priority="2">
      <x:formula>OR(B3="N/A",LEFT(B3,4)="N/A ")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Voice &amp; Audio - Normalized Detail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Voice Modes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Persistent Voice Channels?</x:v>
      </x:c>
      <x:c r="B4" s="346" t="str">
        <x:f>IF('Voice &amp; Audio'!$B$3="","U/K",'Voice &amp; Audio'!$B$3)</x:f>
        <x:v>Persistent server voice channels + ad-hoc DM/GDM calls</x:v>
      </x:c>
      <x:c r="C4" s="346" t="str">
        <x:f>IF('Voice &amp; Audio'!$C$3="","U/K",'Voice &amp; Audio'!$C$3)</x:f>
        <x:v>Persistent server voice channels + calls</x:v>
      </x:c>
      <x:c r="D4" s="346" t="str">
        <x:f>IF('Voice &amp; Audio'!$D$3="","U/K",'Voice &amp; Audio'!$D$3)</x:f>
        <x:v>Persistent community voice + calls</x:v>
      </x:c>
      <x:c r="E4" s="346" t="str">
        <x:f>IF('Voice &amp; Audio'!$E$3="","U/K",'Voice &amp; Audio'!$E$3)</x:f>
        <x:v>Persistent community voice + DM calls</x:v>
      </x:c>
      <x:c r="F4" s="346" t="str">
        <x:f>IF('Voice &amp; Audio'!$F$3="","U/K",'Voice &amp; Audio'!$F$3)</x:f>
        <x:v>Persistent community voice + DM calls</x:v>
      </x:c>
      <x:c r="G4" s="346" t="str">
        <x:f>IF('Voice &amp; Audio'!$G$3="","U/K",'Voice &amp; Audio'!$G$3)</x:f>
        <x:v>Client-dependent; MatrixRTC/VoIP rooms and calls</x:v>
      </x:c>
      <x:c r="H4" s="346" t="str">
        <x:f>IF('Voice &amp; Audio'!$H$3="","U/K",'Voice &amp; Audio'!$H$3)</x:f>
        <x:v>Optional persistent guild + DM voice via WebRTC media package</x:v>
      </x:c>
      <x:c r="I4" s="346" t="str">
        <x:f>IF('Voice &amp; Audio'!$I$3="","U/K",'Voice &amp; Audio'!$I$3)</x:f>
        <x:v>Persistent hierarchical voice channels</x:v>
      </x:c>
      <x:c r="J4" s="346" t="str">
        <x:f>IF('Voice &amp; Audio'!$J$3="","U/K",'Voice &amp; Audio'!$J$3)</x:f>
        <x:v>Persistent voice channels</x:v>
      </x:c>
      <x:c r="K4" s="346" t="str">
        <x:f>IF('Voice &amp; Audio'!$K$3="","U/K",'Voice &amp; Audio'!$K$3)</x:f>
        <x:v>No native persistent voice rooms; integrates external call providers</x:v>
      </x:c>
      <x:c r="L4" s="346" t="str">
        <x:f>IF('Voice &amp; Audio'!$L$3="","U/K",'Voice &amp; Audio'!$L$3)</x:f>
        <x:v>Native Calls in channels/DMs; persistent text channels with ad-hoc calls</x:v>
      </x:c>
      <x:c r="M4" s="346" t="str">
        <x:f>IF('Voice &amp; Audio'!$M$3="","U/K",'Voice &amp; Audio'!$M$3)</x:f>
        <x:v>Calls/video depend on deployment/provider/integration; not Discord-style universal persistent voice</x:v>
      </x:c>
      <x:c r="N4" s="346" t="str">
        <x:f>IF('Voice &amp; Audio'!$N$3="","U/K",'Voice &amp; Audio'!$N$3)</x:f>
        <x:v>Persistent voice rooms + calls</x:v>
      </x:c>
      <x:c r="O4" s="346" t="str">
        <x:f>IF('Voice &amp; Audio'!$O$3="","U/K",'Voice &amp; Audio'!$O$3)</x:f>
        <x:v>Voice support U/K</x:v>
      </x:c>
      <x:c r="P4" s="346" t="str">
        <x:f>IF('Voice &amp; Audio'!$P$3="","U/K",'Voice &amp; Audio'!$P$3)</x:f>
        <x:v>Persistent voice/video channels</x:v>
      </x:c>
      <x:c r="Q4" s="346" t="str">
        <x:f>IF('Voice &amp; Audio'!$Q$3="","U/K",'Voice &amp; Audio'!$Q$3)</x:f>
        <x:v>Persistent voice rooms</x:v>
      </x:c>
      <x:c r="R4" s="346" t="str">
        <x:f>IF('Voice &amp; Audio'!$R$3="","U/K",'Voice &amp; Audio'!$R$3)</x:f>
        <x:v>Voice supported; Linux mic I/O issues reported</x:v>
      </x:c>
      <x:c r="S4" s="346" t="str">
        <x:f>IF('Voice &amp; Audio'!$S$3="","U/K",'Voice &amp; Audio'!$S$3)</x:f>
        <x:v>Voice/video calls</x:v>
      </x:c>
      <x:c r="T4" s="346" t="str">
        <x:f>IF('Voice &amp; Audio'!$T$3="","U/K",'Voice &amp; Audio'!$T$3)</x:f>
        <x:v>Voice channels</x:v>
      </x:c>
      <x:c r="U4" s="346" t="str">
        <x:f>IF('Voice &amp; Audio'!$U$3="","U/K",'Voice &amp; Audio'!$U$3)</x:f>
        <x:v>Persistent spatial voice channels</x:v>
      </x:c>
      <x:c r="V4" s="346" t="str">
        <x:f>IF('Voice &amp; Audio'!$V$3="","U/K",'Voice &amp; Audio'!$V$3)</x:f>
        <x:v>Voice nearly/partially working</x:v>
      </x:c>
      <x:c r="W4" s="346" t="str">
        <x:f>IF('Voice &amp; Audio'!$W$3="","U/K",'Voice &amp; Audio'!$W$3)</x:f>
        <x:v>No mature native voice feature verified</x:v>
      </x:c>
      <x:c r="X4" s="346" t="str">
        <x:f>IF('Voice &amp; Audio'!$X$3="","U/K",'Voice &amp; Audio'!$X$3)</x:f>
        <x:v>Live voice rooms</x:v>
      </x:c>
      <x:c r="Y4" s="346" t="str">
        <x:f>IF('Voice &amp; Audio'!$Y$3="","U/K",'Voice &amp; Audio'!$Y$3)</x:f>
        <x:v>Calls via peer-to-peer WebRTC; persistent rooms U/K</x:v>
      </x:c>
      <x:c r="Z4" s="346" t="str">
        <x:f>IF('Voice &amp; Audio'!$Z$3="","U/K",'Voice &amp; Audio'!$Z$3)</x:f>
        <x:v>Persistent server voice + messenger</x:v>
      </x:c>
      <x:c r="AA4" s="380" t="str">
        <x:f>IF('Voice &amp; Audio'!$AA$3="","U/K",'Voice &amp; Audio'!$AA$3)</x:f>
        <x:v>Yes - voice/communities</x:v>
      </x:c>
      <x:c r="AB4" s="346" t="str">
        <x:f>IF('Voice &amp; Audio'!$AB$3="","U/K",'Voice &amp; Audio'!$AB$3)</x:f>
        <x:v>Persistent calls/rooms</x:v>
      </x:c>
      <x:c r="AC4" s="346" t="str">
        <x:f>IF('Voice &amp; Audio'!$AC$3="","U/K",'Voice &amp; Audio'!$AC$3)</x:f>
        <x:v>Persistent voice channels</x:v>
      </x:c>
      <x:c r="AD4" s="346" t="str">
        <x:f>IF('Voice &amp; Audio'!$AD$3="","U/K",'Voice &amp; Audio'!$AD$3)</x:f>
        <x:v>Persistent voice channels</x:v>
      </x:c>
      <x:c r="AE4" s="346" t="str">
        <x:f>IF('Voice &amp; Audio'!$AE$3="","U/K",'Voice &amp; Audio'!$AE$3)</x:f>
        <x:v>Voice in every room</x:v>
      </x:c>
    </x:row>
    <x:row r="5" ht="36" customHeight="1">
      <x:c r="A5" s="359" t="str">
        <x:v>DM Voice Calls?</x:v>
      </x:c>
      <x:c r="B5" s="346" t="str">
        <x:v>Yes</x:v>
      </x:c>
      <x:c r="C5" s="346" t="str">
        <x:v>U/K</x:v>
      </x:c>
      <x:c r="D5" s="346" t="str">
        <x:v>Yes</x:v>
      </x:c>
      <x:c r="E5" s="346" t="str">
        <x:v>Yes</x:v>
      </x:c>
      <x:c r="F5" s="346" t="str">
        <x:v>Yes</x:v>
      </x:c>
      <x:c r="G5" s="346" t="str">
        <x:v>Client-dependent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Yes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Yes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U/K</x:v>
      </x:c>
      <x:c r="AB5" s="346" t="str">
        <x:v>U/K</x:v>
      </x:c>
      <x:c r="AC5" s="346" t="str">
        <x:v>Yes</x:v>
      </x:c>
      <x:c r="AD5" s="346" t="str">
        <x:v>U/K</x:v>
      </x:c>
      <x:c r="AE5" s="346" t="str">
        <x:v>Yes</x:v>
      </x:c>
    </x:row>
    <x:row r="6" ht="36" customHeight="1">
      <x:c r="A6" s="359" t="str">
        <x:v>Group DM Voice Calls?</x:v>
      </x:c>
      <x:c r="B6" s="346" t="str">
        <x:v>Yes</x:v>
      </x:c>
      <x:c r="C6" s="346" t="str">
        <x:v>U/K</x:v>
      </x:c>
      <x:c r="D6" s="346" t="str">
        <x:v>Yes</x:v>
      </x:c>
      <x:c r="E6" s="346" t="str">
        <x:v>Yes</x:v>
      </x:c>
      <x:c r="F6" s="346" t="str">
        <x:v>Yes</x:v>
      </x:c>
      <x:c r="G6" s="346" t="str">
        <x:v>Client-dependent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U/K</x:v>
      </x:c>
      <x:c r="L6" s="346" t="str">
        <x:v>U/K</x:v>
      </x:c>
      <x:c r="M6" s="346" t="str">
        <x:v>U/K</x:v>
      </x:c>
      <x:c r="N6" s="346" t="str">
        <x:v>Yes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Yes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U/K</x:v>
      </x:c>
      <x:c r="AB6" s="346" t="str">
        <x:v>U/K</x:v>
      </x:c>
      <x:c r="AC6" s="346" t="str">
        <x:v>Yes</x:v>
      </x:c>
      <x:c r="AD6" s="346" t="str">
        <x:v>U/K</x:v>
      </x:c>
      <x:c r="AE6" s="346" t="str">
        <x:v>Yes</x:v>
      </x:c>
    </x:row>
    <x:row r="7" ht="36" customHeight="1">
      <x:c r="A7" s="359" t="str">
        <x:v>Stage / Broadcast Voice?</x:v>
      </x:c>
      <x:c r="B7" s="346" t="str">
        <x:f>IF('Voice &amp; Audio'!$B$10="","U/K",'Voice &amp; Audio'!$B$10)</x:f>
        <x:v>Yes</x:v>
      </x:c>
      <x:c r="C7" s="346" t="str">
        <x:f>IF('Voice &amp; Audio'!$C$10="","U/K",'Voice &amp; Audio'!$C$10)</x:f>
        <x:v>No Discord-style Stage verified</x:v>
      </x:c>
      <x:c r="D7" s="346" t="str">
        <x:f>IF('Voice &amp; Audio'!$D$10="","U/K",'Voice &amp; Audio'!$D$10)</x:f>
        <x:v>Nested voice / host-broadcasting planned</x:v>
      </x:c>
      <x:c r="E7" s="346" t="str">
        <x:f>IF('Voice &amp; Audio'!$E$10="","U/K",'Voice &amp; Audio'!$E$10)</x:f>
        <x:v>U/K</x:v>
      </x:c>
      <x:c r="F7" s="346" t="str">
        <x:f>IF('Voice &amp; Audio'!$F$10="","U/K",'Voice &amp; Audio'!$F$10)</x:f>
        <x:v>No dedicated Stage verified</x:v>
      </x:c>
      <x:c r="G7" s="346" t="str">
        <x:f>IF('Voice &amp; Audio'!$G$10="","U/K",'Voice &amp; Audio'!$G$10)</x:f>
        <x:v>Client-dependent</x:v>
      </x:c>
      <x:c r="H7" s="346" t="str">
        <x:f>IF('Voice &amp; Audio'!$H$10="","U/K",'Voice &amp; Audio'!$H$10)</x:f>
        <x:v>Discord-compatible target; U/K</x:v>
      </x:c>
      <x:c r="I7" s="346" t="str">
        <x:f>IF('Voice &amp; Audio'!$I$10="","U/K",'Voice &amp; Audio'!$I$10)</x:f>
        <x:v>No Discord Stage equivalent</x:v>
      </x:c>
      <x:c r="J7" s="346" t="str">
        <x:f>IF('Voice &amp; Audio'!$J$10="","U/K",'Voice &amp; Audio'!$J$10)</x:f>
        <x:v>No Discord Stage equivalent verified</x:v>
      </x:c>
      <x:c r="K7" s="346" t="str">
        <x:f>IF('Voice &amp; Audio'!$K$10="","U/K",'Voice &amp; Audio'!$K$10)</x:f>
        <x:v>N/A</x:v>
      </x:c>
      <x:c r="L7" s="346" t="str">
        <x:f>IF('Voice &amp; Audio'!$L$10="","U/K",'Voice &amp; Audio'!$L$10)</x:f>
        <x:v>Raise-hand supported in Calls</x:v>
      </x:c>
      <x:c r="M7" s="346" t="str">
        <x:f>IF('Voice &amp; Audio'!$M$10="","U/K",'Voice &amp; Audio'!$M$10)</x:f>
        <x:v>U/K</x:v>
      </x:c>
      <x:c r="N7" s="346" t="str">
        <x:f>IF('Voice &amp; Audio'!$N$10="","U/K",'Voice &amp; Audio'!$N$10)</x:f>
        <x:v>No Discord-style Stage verified</x:v>
      </x:c>
      <x:c r="O7" s="346" t="str">
        <x:f>IF('Voice &amp; Audio'!$O$10="","U/K",'Voice &amp; Audio'!$O$10)</x:f>
        <x:v>No</x:v>
      </x:c>
      <x:c r="P7" s="346" t="str">
        <x:f>IF('Voice &amp; Audio'!$P$10="","U/K",'Voice &amp; Audio'!$P$10)</x:f>
        <x:v>No Stage verified</x:v>
      </x:c>
      <x:c r="Q7" s="346" t="str">
        <x:f>IF('Voice &amp; Audio'!$Q$10="","U/K",'Voice &amp; Audio'!$Q$10)</x:f>
        <x:v>Stage channels supported/imported; native operation U/K</x:v>
      </x:c>
      <x:c r="R7" s="346" t="str">
        <x:f>IF('Voice &amp; Audio'!$R$10="","U/K",'Voice &amp; Audio'!$R$10)</x:f>
        <x:v>No</x:v>
      </x:c>
      <x:c r="S7" s="346" t="str">
        <x:f>IF('Voice &amp; Audio'!$S$10="","U/K",'Voice &amp; Audio'!$S$10)</x:f>
        <x:v>U/K</x:v>
      </x:c>
      <x:c r="T7" s="346" t="str">
        <x:f>IF('Voice &amp; Audio'!$T$10="","U/K",'Voice &amp; Audio'!$T$10)</x:f>
        <x:v>No</x:v>
      </x:c>
      <x:c r="U7" s="346" t="str">
        <x:f>IF('Voice &amp; Audio'!$U$10="","U/K",'Voice &amp; Audio'!$U$10)</x:f>
        <x:v>No Stage</x:v>
      </x:c>
      <x:c r="V7" s="346" t="str">
        <x:f>IF('Voice &amp; Audio'!$V$10="","U/K",'Voice &amp; Audio'!$V$10)</x:f>
        <x:v>No</x:v>
      </x:c>
      <x:c r="W7" s="346" t="str">
        <x:f>IF('Voice &amp; Audio'!$W$10="","U/K",'Voice &amp; Audio'!$W$10)</x:f>
        <x:v>N/A</x:v>
      </x:c>
      <x:c r="X7" s="346" t="str">
        <x:f>IF('Voice &amp; Audio'!$X$10="","U/K",'Voice &amp; Audio'!$X$10)</x:f>
        <x:v>U/K</x:v>
      </x:c>
      <x:c r="Y7" s="346" t="str">
        <x:f>IF('Voice &amp; Audio'!$Y$10="","U/K",'Voice &amp; Audio'!$Y$10)</x:f>
        <x:v>No</x:v>
      </x:c>
      <x:c r="Z7" s="346" t="str">
        <x:f>IF('Voice &amp; Audio'!$Z$10="","U/K",'Voice &amp; Audio'!$Z$10)</x:f>
        <x:v>No Stage verified</x:v>
      </x:c>
      <x:c r="AA7" s="380" t="str">
        <x:f>IF('Voice &amp; Audio'!$AA$10="","U/K",'Voice &amp; Audio'!$AA$10)</x:f>
        <x:v>U/K</x:v>
      </x:c>
      <x:c r="AB7" s="346" t="str">
        <x:f>IF('Voice &amp; Audio'!$AB$10="","U/K",'Voice &amp; Audio'!$AB$10)</x:f>
        <x:v>No Stage</x:v>
      </x:c>
      <x:c r="AC7" s="346" t="str">
        <x:f>IF('Voice &amp; Audio'!$AC$10="","U/K",'Voice &amp; Audio'!$AC$10)</x:f>
        <x:v>No Stage verified</x:v>
      </x:c>
      <x:c r="AD7" s="346" t="str">
        <x:f>IF('Voice &amp; Audio'!$AD$10="","U/K",'Voice &amp; Audio'!$AD$10)</x:f>
        <x:v>No Stage verified</x:v>
      </x:c>
      <x:c r="AE7" s="346" t="str">
        <x:f>IF('Voice &amp; Audio'!$AE$10="","U/K",'Voice &amp; Audio'!$AE$10)</x:f>
        <x:v>Stage is a general room stage/media surface, not Discord Stage</x:v>
      </x:c>
    </x:row>
    <x:row r="8" ht="36" customHeight="1">
      <x:c r="A8" s="359" t="str">
        <x:v>Speaker / Audience Roles?</x:v>
      </x:c>
      <x:c r="B8" s="346" t="str">
        <x:v>Yes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U/K</x:v>
      </x:c>
      <x:c r="G8" s="346" t="str">
        <x:v>Client-dependent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Yes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U/K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Raise Hand?</x:v>
      </x:c>
      <x:c r="B9" s="346" t="str">
        <x:f>IF('Voice &amp; Audio'!$B$11="","U/K",'Voice &amp; Audio'!$B$11)</x:f>
        <x:v>Yes</x:v>
      </x:c>
      <x:c r="C9" s="346" t="str">
        <x:f>IF('Voice &amp; Audio'!$C$11="","U/K",'Voice &amp; Audio'!$C$11)</x:f>
        <x:v>U/K</x:v>
      </x:c>
      <x:c r="D9" s="346" t="str">
        <x:f>IF('Voice &amp; Audio'!$D$11="","U/K",'Voice &amp; Audio'!$D$11)</x:f>
        <x:v>U/K</x:v>
      </x:c>
      <x:c r="E9" s="346" t="str">
        <x:f>IF('Voice &amp; Audio'!$E$11="","U/K",'Voice &amp; Audio'!$E$11)</x:f>
        <x:v>U/K</x:v>
      </x:c>
      <x:c r="F9" s="346" t="str">
        <x:f>IF('Voice &amp; Audio'!$F$11="","U/K",'Voice &amp; Audio'!$F$11)</x:f>
        <x:v>U/K</x:v>
      </x:c>
      <x:c r="G9" s="346" t="str">
        <x:f>IF('Voice &amp; Audio'!$G$11="","U/K",'Voice &amp; Audio'!$G$11)</x:f>
        <x:v>Client-dependent</x:v>
      </x:c>
      <x:c r="H9" s="346" t="str">
        <x:f>IF('Voice &amp; Audio'!$H$11="","U/K",'Voice &amp; Audio'!$H$11)</x:f>
        <x:v>U/K</x:v>
      </x:c>
      <x:c r="I9" s="346" t="str">
        <x:f>IF('Voice &amp; Audio'!$I$11="","U/K",'Voice &amp; Audio'!$I$11)</x:f>
        <x:v>No</x:v>
      </x:c>
      <x:c r="J9" s="346" t="str">
        <x:f>IF('Voice &amp; Audio'!$J$11="","U/K",'Voice &amp; Audio'!$J$11)</x:f>
        <x:v>U/K</x:v>
      </x:c>
      <x:c r="K9" s="346" t="str">
        <x:f>IF('Voice &amp; Audio'!$K$11="","U/K",'Voice &amp; Audio'!$K$11)</x:f>
        <x:v>N/A</x:v>
      </x:c>
      <x:c r="L9" s="346" t="str">
        <x:f>IF('Voice &amp; Audio'!$L$11="","U/K",'Voice &amp; Audio'!$L$11)</x:f>
        <x:v>Yes</x:v>
      </x:c>
      <x:c r="M9" s="346" t="str">
        <x:f>IF('Voice &amp; Audio'!$M$11="","U/K",'Voice &amp; Audio'!$M$11)</x:f>
        <x:v>U/K</x:v>
      </x:c>
      <x:c r="N9" s="346" t="str">
        <x:f>IF('Voice &amp; Audio'!$N$11="","U/K",'Voice &amp; Audio'!$N$11)</x:f>
        <x:v>U/K</x:v>
      </x:c>
      <x:c r="O9" s="346" t="str">
        <x:f>IF('Voice &amp; Audio'!$O$11="","U/K",'Voice &amp; Audio'!$O$11)</x:f>
        <x:v>U/K</x:v>
      </x:c>
      <x:c r="P9" s="346" t="str">
        <x:f>IF('Voice &amp; Audio'!$P$11="","U/K",'Voice &amp; Audio'!$P$11)</x:f>
        <x:v>U/K</x:v>
      </x:c>
      <x:c r="Q9" s="346" t="str">
        <x:f>IF('Voice &amp; Audio'!$Q$11="","U/K",'Voice &amp; Audio'!$Q$11)</x:f>
        <x:v>U/K</x:v>
      </x:c>
      <x:c r="R9" s="346" t="str">
        <x:f>IF('Voice &amp; Audio'!$R$11="","U/K",'Voice &amp; Audio'!$R$11)</x:f>
        <x:v>U/K</x:v>
      </x:c>
      <x:c r="S9" s="346" t="str">
        <x:f>IF('Voice &amp; Audio'!$S$11="","U/K",'Voice &amp; Audio'!$S$11)</x:f>
        <x:v>U/K</x:v>
      </x:c>
      <x:c r="T9" s="346" t="str">
        <x:f>IF('Voice &amp; Audio'!$T$11="","U/K",'Voice &amp; Audio'!$T$11)</x:f>
        <x:v>U/K</x:v>
      </x:c>
      <x:c r="U9" s="346" t="str">
        <x:f>IF('Voice &amp; Audio'!$U$11="","U/K",'Voice &amp; Audio'!$U$11)</x:f>
        <x:v>No</x:v>
      </x:c>
      <x:c r="V9" s="346" t="str">
        <x:f>IF('Voice &amp; Audio'!$V$11="","U/K",'Voice &amp; Audio'!$V$11)</x:f>
        <x:v>U/K</x:v>
      </x:c>
      <x:c r="W9" s="346" t="str">
        <x:f>IF('Voice &amp; Audio'!$W$11="","U/K",'Voice &amp; Audio'!$W$11)</x:f>
        <x:v>N/A</x:v>
      </x:c>
      <x:c r="X9" s="346" t="str">
        <x:f>IF('Voice &amp; Audio'!$X$11="","U/K",'Voice &amp; Audio'!$X$11)</x:f>
        <x:v>U/K</x:v>
      </x:c>
      <x:c r="Y9" s="346" t="str">
        <x:f>IF('Voice &amp; Audio'!$Y$11="","U/K",'Voice &amp; Audio'!$Y$11)</x:f>
        <x:v>U/K</x:v>
      </x:c>
      <x:c r="Z9" s="346" t="str">
        <x:f>IF('Voice &amp; Audio'!$Z$11="","U/K",'Voice &amp; Audio'!$Z$11)</x:f>
        <x:v>U/K</x:v>
      </x:c>
      <x:c r="AA9" s="380" t="str">
        <x:f>IF('Voice &amp; Audio'!$AA$11="","U/K",'Voice &amp; Audio'!$AA$11)</x:f>
        <x:v>U/K</x:v>
      </x:c>
      <x:c r="AB9" s="346" t="str">
        <x:f>IF('Voice &amp; Audio'!$AB$11="","U/K",'Voice &amp; Audio'!$AB$11)</x:f>
        <x:v>U/K</x:v>
      </x:c>
      <x:c r="AC9" s="346" t="str">
        <x:f>IF('Voice &amp; Audio'!$AC$11="","U/K",'Voice &amp; Audio'!$AC$11)</x:f>
        <x:v>U/K</x:v>
      </x:c>
      <x:c r="AD9" s="346" t="str">
        <x:f>IF('Voice &amp; Audio'!$AD$11="","U/K",'Voice &amp; Audio'!$AD$11)</x:f>
        <x:v>U/K</x:v>
      </x:c>
      <x:c r="AE9" s="346" t="str">
        <x:f>IF('Voice &amp; Audio'!$AE$11="","U/K",'Voice &amp; Audio'!$AE$11)</x:f>
        <x:v>U/K</x:v>
      </x:c>
    </x:row>
    <x:row r="10" ht="23" customHeight="1">
      <x:c r="A10" s="427" t="str">
        <x:v>Audio Quality</x:v>
      </x:c>
      <x:c r="B10" s="427"/>
      <x:c r="C10" s="427"/>
      <x:c r="D10" s="427"/>
      <x:c r="E10" s="427"/>
      <x:c r="F10" s="427"/>
      <x:c r="G10" s="427"/>
      <x:c r="H10" s="427"/>
      <x:c r="I10" s="427"/>
      <x:c r="J10" s="427"/>
      <x:c r="K10" s="427"/>
      <x:c r="L10" s="427"/>
      <x:c r="M10" s="427"/>
      <x:c r="N10" s="427"/>
      <x:c r="O10" s="427"/>
      <x:c r="P10" s="427"/>
      <x:c r="Q10" s="427"/>
      <x:c r="R10" s="427"/>
      <x:c r="S10" s="427"/>
      <x:c r="T10" s="427"/>
      <x:c r="U10" s="427"/>
      <x:c r="V10" s="427"/>
      <x:c r="W10" s="427"/>
      <x:c r="X10" s="427"/>
      <x:c r="Y10" s="427"/>
      <x:c r="Z10" s="427"/>
      <x:c r="AA10" s="427"/>
      <x:c r="AB10" s="427"/>
      <x:c r="AC10" s="427"/>
      <x:c r="AD10" s="427"/>
      <x:c r="AE10" s="427"/>
    </x:row>
    <x:row r="11" ht="36" customHeight="1">
      <x:c r="A11" s="359" t="str">
        <x:v>Audio Codec</x:v>
      </x:c>
      <x:c r="B11" s="346" t="str">
        <x:f>IF('Voice &amp; Audio'!$B$4="","U/K",'Voice &amp; Audio'!$B$4)</x:f>
        <x:v>Opus</x:v>
      </x:c>
      <x:c r="C11" s="346" t="str">
        <x:f>IF('Voice &amp; Audio'!$C$4="","U/K",'Voice &amp; Audio'!$C$4)</x:f>
        <x:v>Opus/WebRTC via LiveKit</x:v>
      </x:c>
      <x:c r="D11" s="346" t="str">
        <x:f>IF('Voice &amp; Audio'!$D$4="","U/K",'Voice &amp; Audio'!$D$4)</x:f>
        <x:v>WebRTC/LiveKit</x:v>
      </x:c>
      <x:c r="E11" s="346" t="str">
        <x:f>IF('Voice &amp; Audio'!$E$4="","U/K",'Voice &amp; Audio'!$E$4)</x:f>
        <x:v>WebRTC/LiveKit</x:v>
      </x:c>
      <x:c r="F11" s="346" t="str">
        <x:f>IF('Voice &amp; Audio'!$F$4="","U/K",'Voice &amp; Audio'!$F$4)</x:f>
        <x:v>U/K</x:v>
      </x:c>
      <x:c r="G11" s="346" t="str">
        <x:f>IF('Voice &amp; Audio'!$G$4="","U/K",'Voice &amp; Audio'!$G$4)</x:f>
        <x:v>Opus commonly via WebRTC; protocol/client-dependent</x:v>
      </x:c>
      <x:c r="H11" s="346" t="str">
        <x:f>IF('Voice &amp; Audio'!$H$4="","U/K",'Voice &amp; Audio'!$H$4)</x:f>
        <x:v>WebRTC; implementation-dependent codecs</x:v>
      </x:c>
      <x:c r="I11" s="346" t="str">
        <x:f>IF('Voice &amp; Audio'!$I$4="","U/K",'Voice &amp; Audio'!$I$4)</x:f>
        <x:v>Opus</x:v>
      </x:c>
      <x:c r="J11" s="346" t="str">
        <x:f>IF('Voice &amp; Audio'!$J$4="","U/K",'Voice &amp; Audio'!$J$4)</x:f>
        <x:v>Opus / proprietary stack depending generation</x:v>
      </x:c>
      <x:c r="K11" s="346" t="str">
        <x:f>IF('Voice &amp; Audio'!$K$4="","U/K",'Voice &amp; Audio'!$K$4)</x:f>
        <x:v>N/A</x:v>
      </x:c>
      <x:c r="L11" s="346" t="str">
        <x:f>IF('Voice &amp; Audio'!$L$4="","U/K",'Voice &amp; Audio'!$L$4)</x:f>
        <x:v>WebRTC/Opus</x:v>
      </x:c>
      <x:c r="M11" s="346" t="str">
        <x:f>IF('Voice &amp; Audio'!$M$4="","U/K",'Voice &amp; Audio'!$M$4)</x:f>
        <x:v>WebRTC/integration-dependent</x:v>
      </x:c>
      <x:c r="N11" s="346" t="str">
        <x:f>IF('Voice &amp; Audio'!$N$4="","U/K",'Voice &amp; Audio'!$N$4)</x:f>
        <x:v>U/K</x:v>
      </x:c>
      <x:c r="O11" s="346" t="str">
        <x:f>IF('Voice &amp; Audio'!$O$4="","U/K",'Voice &amp; Audio'!$O$4)</x:f>
        <x:v>U/K</x:v>
      </x:c>
      <x:c r="P11" s="346" t="str">
        <x:f>IF('Voice &amp; Audio'!$P$4="","U/K",'Voice &amp; Audio'!$P$4)</x:f>
        <x:v>U/K</x:v>
      </x:c>
      <x:c r="Q11" s="346" t="str">
        <x:f>IF('Voice &amp; Audio'!$Q$4="","U/K",'Voice &amp; Audio'!$Q$4)</x:f>
        <x:v>Yes</x:v>
      </x:c>
      <x:c r="R11" s="346" t="str">
        <x:f>IF('Voice &amp; Audio'!$R$4="","U/K",'Voice &amp; Audio'!$R$4)</x:f>
        <x:v>U/K</x:v>
      </x:c>
      <x:c r="S11" s="346" t="str">
        <x:f>IF('Voice &amp; Audio'!$S$4="","U/K",'Voice &amp; Audio'!$S$4)</x:f>
        <x:v>Yes</x:v>
      </x:c>
      <x:c r="T11" s="346" t="str">
        <x:f>IF('Voice &amp; Audio'!$T$4="","U/K",'Voice &amp; Audio'!$T$4)</x:f>
        <x:v>Yes/U/K</x:v>
      </x:c>
      <x:c r="U11" s="346" t="str">
        <x:f>IF('Voice &amp; Audio'!$U$4="","U/K",'Voice &amp; Audio'!$U$4)</x:f>
        <x:v>U/K</x:v>
      </x:c>
      <x:c r="V11" s="346" t="str">
        <x:f>IF('Voice &amp; Audio'!$V$4="","U/K",'Voice &amp; Audio'!$V$4)</x:f>
        <x:v>U/K</x:v>
      </x:c>
      <x:c r="W11" s="346" t="str">
        <x:f>IF('Voice &amp; Audio'!$W$4="","U/K",'Voice &amp; Audio'!$W$4)</x:f>
        <x:v>U/K</x:v>
      </x:c>
      <x:c r="X11" s="346" t="str">
        <x:f>IF('Voice &amp; Audio'!$X$4="","U/K",'Voice &amp; Audio'!$X$4)</x:f>
        <x:v>U/K</x:v>
      </x:c>
      <x:c r="Y11" s="346" t="str">
        <x:f>IF('Voice &amp; Audio'!$Y$4="","U/K",'Voice &amp; Audio'!$Y$4)</x:f>
        <x:v>Yes/U/K</x:v>
      </x:c>
      <x:c r="Z11" s="346" t="str">
        <x:f>IF('Voice &amp; Audio'!$Z$4="","U/K",'Voice &amp; Audio'!$Z$4)</x:f>
        <x:v>Yes/U/K</x:v>
      </x:c>
      <x:c r="AA11" s="380" t="str">
        <x:f>IF('Voice &amp; Audio'!$AA$4="","U/K",'Voice &amp; Audio'!$AA$4)</x:f>
        <x:v>Yes/U/K</x:v>
      </x:c>
      <x:c r="AB11" s="346" t="str">
        <x:f>IF('Voice &amp; Audio'!$AB$4="","U/K",'Voice &amp; Audio'!$AB$4)</x:f>
        <x:v>Yes</x:v>
      </x:c>
      <x:c r="AC11" s="346" t="str">
        <x:f>IF('Voice &amp; Audio'!$AC$4="","U/K",'Voice &amp; Audio'!$AC$4)</x:f>
        <x:v>Yes</x:v>
      </x:c>
      <x:c r="AD11" s="346" t="str">
        <x:f>IF('Voice &amp; Audio'!$AD$4="","U/K",'Voice &amp; Audio'!$AD$4)</x:f>
        <x:v>U/K</x:v>
      </x:c>
      <x:c r="AE11" s="346" t="str">
        <x:f>IF('Voice &amp; Audio'!$AE$4="","U/K",'Voice &amp; Audio'!$AE$4)</x:f>
        <x:v>Yes</x:v>
      </x:c>
    </x:row>
    <x:row r="12" ht="36" customHeight="1">
      <x:c r="A12" s="359" t="str">
        <x:v>Free / Base Voice Bitrate (kbps)</x:v>
      </x:c>
      <x:c r="B12" s="346" t="str">
        <x:v>96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Server-configurable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64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96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9" t="str">
        <x:v>Paid / Boost Max Voice Bitrate (kbps)</x:v>
      </x:c>
      <x:c r="B13" s="346" t="str">
        <x:v>384</x:v>
      </x:c>
      <x:c r="C13" s="346" t="str">
        <x:f>IF('Voice &amp; Audio'!$C$5="","U/K",'Voice &amp; Audio'!$C$5)</x:f>
        <x:v>U/K</x:v>
      </x:c>
      <x:c r="D13" s="346" t="str">
        <x:f>IF('Voice &amp; Audio'!$D$5="","U/K",'Voice &amp; Audio'!$D$5)</x:f>
        <x:v>U/K</x:v>
      </x:c>
      <x:c r="E13" s="346" t="str">
        <x:f>IF('Voice &amp; Audio'!$E$5="","U/K",'Voice &amp; Audio'!$E$5)</x:f>
        <x:v>U/K</x:v>
      </x:c>
      <x:c r="F13" s="346" t="str">
        <x:f>IF('Voice &amp; Audio'!$F$5="","U/K",'Voice &amp; Audio'!$F$5)</x:f>
        <x:v>U/K</x:v>
      </x:c>
      <x:c r="G13" s="346" t="str">
        <x:f>IF('Voice &amp; Audio'!$G$5="","U/K",'Voice &amp; Audio'!$G$5)</x:f>
        <x:v>Varies by client/media stack</x:v>
      </x:c>
      <x:c r="H13" s="346" t="str">
        <x:f>IF('Voice &amp; Audio'!$H$5="","U/K",'Voice &amp; Audio'!$H$5)</x:f>
        <x:v>U/K</x:v>
      </x:c>
      <x:c r="I13" s="346" t="str">
        <x:f>IF('Voice &amp; Audio'!$I$5="","U/K",'Voice &amp; Audio'!$I$5)</x:f>
        <x:v>Server-configurable / U/K</x:v>
      </x:c>
      <x:c r="J13" s="346" t="str">
        <x:f>IF('Voice &amp; Audio'!$J$5="","U/K",'Voice &amp; Audio'!$J$5)</x:f>
        <x:v>U/K</x:v>
      </x:c>
      <x:c r="K13" s="346" t="str">
        <x:f>IF('Voice &amp; Audio'!$K$5="","U/K",'Voice &amp; Audio'!$K$5)</x:f>
        <x:v>N/A</x:v>
      </x:c>
      <x:c r="L13" s="346" t="str">
        <x:f>IF('Voice &amp; Audio'!$L$5="","U/K",'Voice &amp; Audio'!$L$5)</x:f>
        <x:v>U/K</x:v>
      </x:c>
      <x:c r="M13" s="346" t="str">
        <x:f>IF('Voice &amp; Audio'!$M$5="","U/K",'Voice &amp; Audio'!$M$5)</x:f>
        <x:v>U/K</x:v>
      </x:c>
      <x:c r="N13" s="346" t="str">
        <x:v>256</x:v>
      </x:c>
      <x:c r="O13" s="346" t="str">
        <x:f>IF('Voice &amp; Audio'!$O$5="","U/K",'Voice &amp; Audio'!$O$5)</x:f>
        <x:v>U/K</x:v>
      </x:c>
      <x:c r="P13" s="346" t="str">
        <x:f>IF('Voice &amp; Audio'!$P$5="","U/K",'Voice &amp; Audio'!$P$5)</x:f>
        <x:v>U/K</x:v>
      </x:c>
      <x:c r="Q13" s="346" t="str">
        <x:f>IF('Voice &amp; Audio'!$Q$5="","U/K",'Voice &amp; Audio'!$Q$5)</x:f>
        <x:v>Yes</x:v>
      </x:c>
      <x:c r="R13" s="346" t="str">
        <x:f>IF('Voice &amp; Audio'!$R$5="","U/K",'Voice &amp; Audio'!$R$5)</x:f>
        <x:v>U/K</x:v>
      </x:c>
      <x:c r="S13" s="346" t="str">
        <x:f>IF('Voice &amp; Audio'!$S$5="","U/K",'Voice &amp; Audio'!$S$5)</x:f>
        <x:v>Yes</x:v>
      </x:c>
      <x:c r="T13" s="346" t="str">
        <x:f>IF('Voice &amp; Audio'!$T$5="","U/K",'Voice &amp; Audio'!$T$5)</x:f>
        <x:v>Yes/U/K</x:v>
      </x:c>
      <x:c r="U13" s="346" t="str">
        <x:f>IF('Voice &amp; Audio'!$U$5="","U/K",'Voice &amp; Audio'!$U$5)</x:f>
        <x:v>U/K</x:v>
      </x:c>
      <x:c r="V13" s="346" t="str">
        <x:f>IF('Voice &amp; Audio'!$V$5="","U/K",'Voice &amp; Audio'!$V$5)</x:f>
        <x:v>U/K</x:v>
      </x:c>
      <x:c r="W13" s="346" t="str">
        <x:f>IF('Voice &amp; Audio'!$W$5="","U/K",'Voice &amp; Audio'!$W$5)</x:f>
        <x:v>U/K</x:v>
      </x:c>
      <x:c r="X13" s="346" t="str">
        <x:f>IF('Voice &amp; Audio'!$X$5="","U/K",'Voice &amp; Audio'!$X$5)</x:f>
        <x:v>U/K</x:v>
      </x:c>
      <x:c r="Y13" s="346" t="str">
        <x:f>IF('Voice &amp; Audio'!$Y$5="","U/K",'Voice &amp; Audio'!$Y$5)</x:f>
        <x:v>Yes/U/K</x:v>
      </x:c>
      <x:c r="Z13" s="346" t="str">
        <x:f>IF('Voice &amp; Audio'!$Z$5="","U/K",'Voice &amp; Audio'!$Z$5)</x:f>
        <x:v>Yes/U/K</x:v>
      </x:c>
      <x:c r="AA13" s="380" t="str">
        <x:v>192</x:v>
      </x:c>
      <x:c r="AB13" s="346" t="str">
        <x:f>IF('Voice &amp; Audio'!$AB$5="","U/K",'Voice &amp; Audio'!$AB$5)</x:f>
        <x:v>Yes</x:v>
      </x:c>
      <x:c r="AC13" s="346" t="str">
        <x:f>IF('Voice &amp; Audio'!$AC$5="","U/K",'Voice &amp; Audio'!$AC$5)</x:f>
        <x:v>Yes</x:v>
      </x:c>
      <x:c r="AD13" s="346" t="str">
        <x:f>IF('Voice &amp; Audio'!$AD$5="","U/K",'Voice &amp; Audio'!$AD$5)</x:f>
        <x:v>U/K</x:v>
      </x:c>
      <x:c r="AE13" s="346" t="str">
        <x:f>IF('Voice &amp; Audio'!$AE$5="","U/K",'Voice &amp; Audio'!$AE$5)</x:f>
        <x:v>Yes</x:v>
      </x:c>
    </x:row>
    <x:row r="14" ht="36" customHeight="1">
      <x:c r="A14" s="359" t="str">
        <x:v>Voice Bitrate User-Selectable?</x:v>
      </x:c>
      <x:c r="B14" s="346" t="str">
        <x:v>Yes / server-configurable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Yes / server-configurable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Yes / server-configurable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Yes / server-configurable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23" customHeight="1">
      <x:c r="A15" s="427" t="str">
        <x:v>Controls</x:v>
      </x:c>
      <x:c r="B15" s="427"/>
      <x:c r="C15" s="427"/>
      <x:c r="D15" s="427"/>
      <x:c r="E15" s="427"/>
      <x:c r="F15" s="427"/>
      <x:c r="G15" s="427"/>
      <x:c r="H15" s="427"/>
      <x:c r="I15" s="427"/>
      <x:c r="J15" s="427"/>
      <x:c r="K15" s="427"/>
      <x:c r="L15" s="427"/>
      <x:c r="M15" s="427"/>
      <x:c r="N15" s="427"/>
      <x:c r="O15" s="427"/>
      <x:c r="P15" s="427"/>
      <x:c r="Q15" s="427"/>
      <x:c r="R15" s="427"/>
      <x:c r="S15" s="427"/>
      <x:c r="T15" s="427"/>
      <x:c r="U15" s="427"/>
      <x:c r="V15" s="427"/>
      <x:c r="W15" s="427"/>
      <x:c r="X15" s="427"/>
      <x:c r="Y15" s="427"/>
      <x:c r="Z15" s="427"/>
      <x:c r="AA15" s="427"/>
      <x:c r="AB15" s="427"/>
      <x:c r="AC15" s="427"/>
      <x:c r="AD15" s="427"/>
      <x:c r="AE15" s="427"/>
    </x:row>
    <x:row r="16" ht="36" customHeight="1">
      <x:c r="A16" s="359" t="str">
        <x:v>Push-to-Talk?</x:v>
      </x:c>
      <x:c r="B16" s="346" t="str">
        <x:f>IF('Voice &amp; Audio'!$B$7="","U/K",'Voice &amp; Audio'!$B$7)</x:f>
        <x:v>Yes</x:v>
      </x:c>
      <x:c r="C16" s="346" t="str">
        <x:f>IF('Voice &amp; Audio'!$C$7="","U/K",'Voice &amp; Audio'!$C$7)</x:f>
        <x:v>Yes</x:v>
      </x:c>
      <x:c r="D16" s="346" t="str">
        <x:f>IF('Voice &amp; Audio'!$D$7="","U/K",'Voice &amp; Audio'!$D$7)</x:f>
        <x:v>Yes</x:v>
      </x:c>
      <x:c r="E16" s="346" t="str">
        <x:f>IF('Voice &amp; Audio'!$E$7="","U/K",'Voice &amp; Audio'!$E$7)</x:f>
        <x:v>Yes</x:v>
      </x:c>
      <x:c r="F16" s="346" t="str">
        <x:f>IF('Voice &amp; Audio'!$F$7="","U/K",'Voice &amp; Audio'!$F$7)</x:f>
        <x:v>Yes</x:v>
      </x:c>
      <x:c r="G16" s="346" t="str">
        <x:f>IF('Voice &amp; Audio'!$G$7="","U/K",'Voice &amp; Audio'!$G$7)</x:f>
        <x:v>Varies by client</x:v>
      </x:c>
      <x:c r="H16" s="346" t="str">
        <x:f>IF('Voice &amp; Audio'!$H$7="","U/K",'Voice &amp; Audio'!$H$7)</x:f>
        <x:v>Client-dependent</x:v>
      </x:c>
      <x:c r="I16" s="346" t="str">
        <x:f>IF('Voice &amp; Audio'!$I$7="","U/K",'Voice &amp; Audio'!$I$7)</x:f>
        <x:v>Yes</x:v>
      </x:c>
      <x:c r="J16" s="346" t="str">
        <x:f>IF('Voice &amp; Audio'!$J$7="","U/K",'Voice &amp; Audio'!$J$7)</x:f>
        <x:v>Yes</x:v>
      </x:c>
      <x:c r="K16" s="346" t="str">
        <x:f>IF('Voice &amp; Audio'!$K$7="","U/K",'Voice &amp; Audio'!$K$7)</x:f>
        <x:v>N/A</x:v>
      </x:c>
      <x:c r="L16" s="346" t="str">
        <x:f>IF('Voice &amp; Audio'!$L$7="","U/K",'Voice &amp; Audio'!$L$7)</x:f>
        <x:v>U/K</x:v>
      </x:c>
      <x:c r="M16" s="346" t="str">
        <x:f>IF('Voice &amp; Audio'!$M$7="","U/K",'Voice &amp; Audio'!$M$7)</x:f>
        <x:v>U/K</x:v>
      </x:c>
      <x:c r="N16" s="346" t="str">
        <x:f>IF('Voice &amp; Audio'!$N$7="","U/K",'Voice &amp; Audio'!$N$7)</x:f>
        <x:v>Yes</x:v>
      </x:c>
      <x:c r="O16" s="346" t="str">
        <x:f>IF('Voice &amp; Audio'!$O$7="","U/K",'Voice &amp; Audio'!$O$7)</x:f>
        <x:v>U/K</x:v>
      </x:c>
      <x:c r="P16" s="346" t="str">
        <x:f>IF('Voice &amp; Audio'!$P$7="","U/K",'Voice &amp; Audio'!$P$7)</x:f>
        <x:v>Yes/U/K</x:v>
      </x:c>
      <x:c r="Q16" s="346" t="str">
        <x:f>IF('Voice &amp; Audio'!$Q$7="","U/K",'Voice &amp; Audio'!$Q$7)</x:f>
        <x:v>U/K</x:v>
      </x:c>
      <x:c r="R16" s="346" t="str">
        <x:f>IF('Voice &amp; Audio'!$R$7="","U/K",'Voice &amp; Audio'!$R$7)</x:f>
        <x:v>Yes/U/K</x:v>
      </x:c>
      <x:c r="S16" s="346" t="str">
        <x:f>IF('Voice &amp; Audio'!$S$7="","U/K",'Voice &amp; Audio'!$S$7)</x:f>
        <x:v>U/K</x:v>
      </x:c>
      <x:c r="T16" s="346" t="str">
        <x:f>IF('Voice &amp; Audio'!$T$7="","U/K",'Voice &amp; Audio'!$T$7)</x:f>
        <x:v>U/K</x:v>
      </x:c>
      <x:c r="U16" s="346" t="str">
        <x:f>IF('Voice &amp; Audio'!$U$7="","U/K",'Voice &amp; Audio'!$U$7)</x:f>
        <x:v>U/K</x:v>
      </x:c>
      <x:c r="V16" s="346" t="str">
        <x:f>IF('Voice &amp; Audio'!$V$7="","U/K",'Voice &amp; Audio'!$V$7)</x:f>
        <x:v>U/K</x:v>
      </x:c>
      <x:c r="W16" s="346" t="str">
        <x:f>IF('Voice &amp; Audio'!$W$7="","U/K",'Voice &amp; Audio'!$W$7)</x:f>
        <x:v>N/A</x:v>
      </x:c>
      <x:c r="X16" s="346" t="str">
        <x:f>IF('Voice &amp; Audio'!$X$7="","U/K",'Voice &amp; Audio'!$X$7)</x:f>
        <x:v>U/K</x:v>
      </x:c>
      <x:c r="Y16" s="346" t="str">
        <x:f>IF('Voice &amp; Audio'!$Y$7="","U/K",'Voice &amp; Audio'!$Y$7)</x:f>
        <x:v>U/K</x:v>
      </x:c>
      <x:c r="Z16" s="346" t="str">
        <x:f>IF('Voice &amp; Audio'!$Z$7="","U/K",'Voice &amp; Audio'!$Z$7)</x:f>
        <x:v>Opus</x:v>
      </x:c>
      <x:c r="AA16" s="380" t="str">
        <x:f>IF('Voice &amp; Audio'!$AA$7="","U/K",'Voice &amp; Audio'!$AA$7)</x:f>
        <x:v>U/K</x:v>
      </x:c>
      <x:c r="AB16" s="346" t="str">
        <x:f>IF('Voice &amp; Audio'!$AB$7="","U/K",'Voice &amp; Audio'!$AB$7)</x:f>
        <x:v>U/K</x:v>
      </x:c>
      <x:c r="AC16" s="346" t="str">
        <x:f>IF('Voice &amp; Audio'!$AC$7="","U/K",'Voice &amp; Audio'!$AC$7)</x:f>
        <x:v>U/K</x:v>
      </x:c>
      <x:c r="AD16" s="346" t="str">
        <x:f>IF('Voice &amp; Audio'!$AD$7="","U/K",'Voice &amp; Audio'!$AD$7)</x:f>
        <x:v>U/K</x:v>
      </x:c>
      <x:c r="AE16" s="346" t="str">
        <x:f>IF('Voice &amp; Audio'!$AE$7="","U/K",'Voice &amp; Audio'!$AE$7)</x:f>
        <x:v>U/K</x:v>
      </x:c>
    </x:row>
    <x:row r="17" ht="36" customHeight="1">
      <x:c r="A17" s="359" t="str">
        <x:v>Voice Activity?</x:v>
      </x:c>
      <x:c r="B17" s="346" t="str">
        <x:v>Yes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Yes</x:v>
      </x:c>
      <x:c r="J17" s="346" t="str">
        <x:v>Yes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Yes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Yes</x:v>
      </x:c>
    </x:row>
    <x:row r="18" ht="36" customHeight="1">
      <x:c r="A18" s="359" t="str">
        <x:v>Per-User Volume?</x:v>
      </x:c>
      <x:c r="B18" s="346" t="str">
        <x:f>IF('Voice &amp; Audio'!$B$8="","U/K",'Voice &amp; Audio'!$B$8)</x:f>
        <x:v>Yes</x:v>
      </x:c>
      <x:c r="C18" s="346" t="str">
        <x:f>IF('Voice &amp; Audio'!$C$8="","U/K",'Voice &amp; Audio'!$C$8)</x:f>
        <x:v>Yes</x:v>
      </x:c>
      <x:c r="D18" s="346" t="str">
        <x:f>IF('Voice &amp; Audio'!$D$8="","U/K",'Voice &amp; Audio'!$D$8)</x:f>
        <x:v>Yes</x:v>
      </x:c>
      <x:c r="E18" s="346" t="str">
        <x:f>IF('Voice &amp; Audio'!$E$8="","U/K",'Voice &amp; Audio'!$E$8)</x:f>
        <x:v>Yes</x:v>
      </x:c>
      <x:c r="F18" s="346" t="str">
        <x:f>IF('Voice &amp; Audio'!$F$8="","U/K",'Voice &amp; Audio'!$F$8)</x:f>
        <x:v>Yes</x:v>
      </x:c>
      <x:c r="G18" s="346" t="str">
        <x:f>IF('Voice &amp; Audio'!$G$8="","U/K",'Voice &amp; Audio'!$G$8)</x:f>
        <x:v>Varies by client</x:v>
      </x:c>
      <x:c r="H18" s="346" t="str">
        <x:f>IF('Voice &amp; Audio'!$H$8="","U/K",'Voice &amp; Audio'!$H$8)</x:f>
        <x:v>Client-dependent</x:v>
      </x:c>
      <x:c r="I18" s="346" t="str">
        <x:f>IF('Voice &amp; Audio'!$I$8="","U/K",'Voice &amp; Audio'!$I$8)</x:f>
        <x:v>Yes</x:v>
      </x:c>
      <x:c r="J18" s="346" t="str">
        <x:f>IF('Voice &amp; Audio'!$J$8="","U/K",'Voice &amp; Audio'!$J$8)</x:f>
        <x:v>Yes</x:v>
      </x:c>
      <x:c r="K18" s="346" t="str">
        <x:f>IF('Voice &amp; Audio'!$K$8="","U/K",'Voice &amp; Audio'!$K$8)</x:f>
        <x:v>N/A</x:v>
      </x:c>
      <x:c r="L18" s="346" t="str">
        <x:f>IF('Voice &amp; Audio'!$L$8="","U/K",'Voice &amp; Audio'!$L$8)</x:f>
        <x:v>Yes</x:v>
      </x:c>
      <x:c r="M18" s="346" t="str">
        <x:f>IF('Voice &amp; Audio'!$M$8="","U/K",'Voice &amp; Audio'!$M$8)</x:f>
        <x:v>U/K</x:v>
      </x:c>
      <x:c r="N18" s="346" t="str">
        <x:f>IF('Voice &amp; Audio'!$N$8="","U/K",'Voice &amp; Audio'!$N$8)</x:f>
        <x:v>Yes</x:v>
      </x:c>
      <x:c r="O18" s="346" t="str">
        <x:f>IF('Voice &amp; Audio'!$O$8="","U/K",'Voice &amp; Audio'!$O$8)</x:f>
        <x:v>U/K</x:v>
      </x:c>
      <x:c r="P18" s="346" t="str">
        <x:f>IF('Voice &amp; Audio'!$P$8="","U/K",'Voice &amp; Audio'!$P$8)</x:f>
        <x:v>Yes/U/K</x:v>
      </x:c>
      <x:c r="Q18" s="346" t="str">
        <x:f>IF('Voice &amp; Audio'!$Q$8="","U/K",'Voice &amp; Audio'!$Q$8)</x:f>
        <x:v>Yes</x:v>
      </x:c>
      <x:c r="R18" s="346" t="str">
        <x:f>IF('Voice &amp; Audio'!$R$8="","U/K",'Voice &amp; Audio'!$R$8)</x:f>
        <x:v>U/K</x:v>
      </x:c>
      <x:c r="S18" s="346" t="str">
        <x:f>IF('Voice &amp; Audio'!$S$8="","U/K",'Voice &amp; Audio'!$S$8)</x:f>
        <x:v>Yes/U/K</x:v>
      </x:c>
      <x:c r="T18" s="346" t="str">
        <x:f>IF('Voice &amp; Audio'!$T$8="","U/K",'Voice &amp; Audio'!$T$8)</x:f>
        <x:v>Yes/U/K</x:v>
      </x:c>
      <x:c r="U18" s="346" t="str">
        <x:f>IF('Voice &amp; Audio'!$U$8="","U/K",'Voice &amp; Audio'!$U$8)</x:f>
        <x:v>Yes/U/K</x:v>
      </x:c>
      <x:c r="V18" s="346" t="str">
        <x:f>IF('Voice &amp; Audio'!$V$8="","U/K",'Voice &amp; Audio'!$V$8)</x:f>
        <x:v>U/K</x:v>
      </x:c>
      <x:c r="W18" s="346" t="str">
        <x:f>IF('Voice &amp; Audio'!$W$8="","U/K",'Voice &amp; Audio'!$W$8)</x:f>
        <x:v>N/A</x:v>
      </x:c>
      <x:c r="X18" s="346" t="str">
        <x:f>IF('Voice &amp; Audio'!$X$8="","U/K",'Voice &amp; Audio'!$X$8)</x:f>
        <x:v>U/K</x:v>
      </x:c>
      <x:c r="Y18" s="346" t="str">
        <x:f>IF('Voice &amp; Audio'!$Y$8="","U/K",'Voice &amp; Audio'!$Y$8)</x:f>
        <x:v>U/K</x:v>
      </x:c>
      <x:c r="Z18" s="346" t="str">
        <x:f>IF('Voice &amp; Audio'!$Z$8="","U/K",'Voice &amp; Audio'!$Z$8)</x:f>
        <x:v>Yes/U/K</x:v>
      </x:c>
      <x:c r="AA18" s="380" t="str">
        <x:f>IF('Voice &amp; Audio'!$AA$8="","U/K",'Voice &amp; Audio'!$AA$8)</x:f>
        <x:v>Yes/U/K</x:v>
      </x:c>
      <x:c r="AB18" s="346" t="str">
        <x:f>IF('Voice &amp; Audio'!$AB$8="","U/K",'Voice &amp; Audio'!$AB$8)</x:f>
        <x:v>Yes</x:v>
      </x:c>
      <x:c r="AC18" s="346" t="str">
        <x:f>IF('Voice &amp; Audio'!$AC$8="","U/K",'Voice &amp; Audio'!$AC$8)</x:f>
        <x:v>Yes</x:v>
      </x:c>
      <x:c r="AD18" s="346" t="str">
        <x:f>IF('Voice &amp; Audio'!$AD$8="","U/K",'Voice &amp; Audio'!$AD$8)</x:f>
        <x:v>Yes/U/K</x:v>
      </x:c>
      <x:c r="AE18" s="346" t="str">
        <x:f>IF('Voice &amp; Audio'!$AE$8="","U/K",'Voice &amp; Audio'!$AE$8)</x:f>
        <x:v>Yes</x:v>
      </x:c>
    </x:row>
    <x:row r="19" ht="36" customHeight="1">
      <x:c r="A19" s="359" t="str">
        <x:v>Input Gain Control?</x:v>
      </x:c>
      <x:c r="B19" s="346" t="str">
        <x:v>U/K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23" customHeight="1">
      <x:c r="A20" s="427" t="str">
        <x:v>Processing</x:v>
      </x:c>
      <x:c r="B20" s="427"/>
      <x:c r="C20" s="427"/>
      <x:c r="D20" s="427"/>
      <x:c r="E20" s="427"/>
      <x:c r="F20" s="427"/>
      <x:c r="G20" s="427"/>
      <x:c r="H20" s="427"/>
      <x:c r="I20" s="427"/>
      <x:c r="J20" s="427"/>
      <x:c r="K20" s="427"/>
      <x:c r="L20" s="427"/>
      <x:c r="M20" s="427"/>
      <x:c r="N20" s="427"/>
      <x:c r="O20" s="427"/>
      <x:c r="P20" s="427"/>
      <x:c r="Q20" s="427"/>
      <x:c r="R20" s="427"/>
      <x:c r="S20" s="427"/>
      <x:c r="T20" s="427"/>
      <x:c r="U20" s="427"/>
      <x:c r="V20" s="427"/>
      <x:c r="W20" s="427"/>
      <x:c r="X20" s="427"/>
      <x:c r="Y20" s="427"/>
      <x:c r="Z20" s="427"/>
      <x:c r="AA20" s="427"/>
      <x:c r="AB20" s="427"/>
      <x:c r="AC20" s="427"/>
      <x:c r="AD20" s="427"/>
      <x:c r="AE20" s="427"/>
    </x:row>
    <x:row r="21" ht="36" customHeight="1">
      <x:c r="A21" s="359" t="str">
        <x:v>Noise Suppression?</x:v>
      </x:c>
      <x:c r="B21" s="346" t="str">
        <x:v>Yes</x:v>
      </x:c>
      <x:c r="C21" s="346" t="str">
        <x:v>Yes</x:v>
      </x:c>
      <x:c r="D21" s="346" t="str">
        <x:v>Yes</x:v>
      </x:c>
      <x:c r="E21" s="346" t="str">
        <x:v>Yes</x:v>
      </x:c>
      <x:c r="F21" s="346" t="str">
        <x:v>U/K</x:v>
      </x:c>
      <x:c r="G21" s="346" t="str">
        <x:v>Yes</x:v>
      </x:c>
      <x:c r="H21" s="346" t="str">
        <x:v>U/K</x:v>
      </x:c>
      <x:c r="I21" s="346" t="str">
        <x:v>Yes</x:v>
      </x:c>
      <x:c r="J21" s="346" t="str">
        <x:v>U/K</x:v>
      </x:c>
      <x:c r="K21" s="346" t="str">
        <x:v>No</x:v>
      </x:c>
      <x:c r="L21" s="346" t="str">
        <x:v>U/K</x:v>
      </x:c>
      <x:c r="M21" s="346" t="str">
        <x:v>Yes</x:v>
      </x:c>
      <x:c r="N21" s="346" t="str">
        <x:v>Yes</x:v>
      </x:c>
      <x:c r="O21" s="346" t="str">
        <x:v>U/K</x:v>
      </x:c>
      <x:c r="P21" s="346" t="str">
        <x:v>Yes</x:v>
      </x:c>
      <x:c r="Q21" s="346" t="str">
        <x:v>Yes</x:v>
      </x:c>
      <x:c r="R21" s="346" t="str">
        <x:v>U/K</x:v>
      </x:c>
      <x:c r="S21" s="346" t="str">
        <x:v>Yes</x:v>
      </x:c>
      <x:c r="T21" s="346" t="str">
        <x:v>U/K</x:v>
      </x:c>
      <x:c r="U21" s="346" t="str">
        <x:v>Yes</x:v>
      </x:c>
      <x:c r="V21" s="346" t="str">
        <x:v>Yes</x:v>
      </x:c>
      <x:c r="W21" s="346" t="str">
        <x:v>No</x:v>
      </x:c>
      <x:c r="X21" s="346" t="str">
        <x:v>U/K</x:v>
      </x:c>
      <x:c r="Y21" s="346" t="str">
        <x:v>Yes</x:v>
      </x:c>
      <x:c r="Z21" s="346" t="str">
        <x:v>Yes</x:v>
      </x:c>
      <x:c r="AA21" s="380" t="str">
        <x:v>U/K</x:v>
      </x:c>
      <x:c r="AB21" s="346" t="str">
        <x:v>Yes</x:v>
      </x:c>
      <x:c r="AC21" s="346" t="str">
        <x:v>Yes</x:v>
      </x:c>
      <x:c r="AD21" s="346" t="str">
        <x:v>Yes</x:v>
      </x:c>
      <x:c r="AE21" s="346" t="str">
        <x:v>Yes</x:v>
      </x:c>
    </x:row>
    <x:row r="22" ht="36" customHeight="1">
      <x:c r="A22" s="359" t="str">
        <x:v>Noise Suppression Engine</x:v>
      </x:c>
      <x:c r="B22" s="346" t="str">
        <x:f>IF('Voice &amp; Audio'!$B$6="","U/K",'Voice &amp; Audio'!$B$6)</x:f>
        <x:v>Krisp</x:v>
      </x:c>
      <x:c r="C22" s="346" t="str">
        <x:f>IF('Voice &amp; Audio'!$C$6="","U/K",'Voice &amp; Audio'!$C$6)</x:f>
        <x:v>RNNoise</x:v>
      </x:c>
      <x:c r="D22" s="346" t="str">
        <x:f>IF('Voice &amp; Audio'!$D$6="","U/K",'Voice &amp; Audio'!$D$6)</x:f>
        <x:v>DeepFilterNet3 local noise suppression planned/used</x:v>
      </x:c>
      <x:c r="E22" s="346" t="str">
        <x:f>IF('Voice &amp; Audio'!$E$6="","U/K",'Voice &amp; Audio'!$E$6)</x:f>
        <x:v>DeepFilterNet3 + media processing controls</x:v>
      </x:c>
      <x:c r="F22" s="346" t="str">
        <x:f>IF('Voice &amp; Audio'!$F$6="","U/K",'Voice &amp; Audio'!$F$6)</x:f>
        <x:v>U/K</x:v>
      </x:c>
      <x:c r="G22" s="346" t="str">
        <x:f>IF('Voice &amp; Audio'!$G$6="","U/K",'Voice &amp; Audio'!$G$6)</x:f>
        <x:v>Varies by client</x:v>
      </x:c>
      <x:c r="H22" s="346" t="str">
        <x:f>IF('Voice &amp; Audio'!$H$6="","U/K",'Voice &amp; Audio'!$H$6)</x:f>
        <x:v>U/K</x:v>
      </x:c>
      <x:c r="I22" s="346" t="str">
        <x:f>IF('Voice &amp; Audio'!$I$6="","U/K",'Voice &amp; Audio'!$I$6)</x:f>
        <x:v>Built-in client processing; exact engine varies</x:v>
      </x:c>
      <x:c r="J22" s="346" t="str">
        <x:f>IF('Voice &amp; Audio'!$J$6="","U/K",'Voice &amp; Audio'!$J$6)</x:f>
        <x:v>Built-in processing; engine U/K</x:v>
      </x:c>
      <x:c r="K22" s="346" t="str">
        <x:f>IF('Voice &amp; Audio'!$K$6="","U/K",'Voice &amp; Audio'!$K$6)</x:f>
        <x:v>N/A</x:v>
      </x:c>
      <x:c r="L22" s="346" t="str">
        <x:f>IF('Voice &amp; Audio'!$L$6="","U/K",'Voice &amp; Audio'!$L$6)</x:f>
        <x:v>Built-in WebRTC processing; exact engine U/K</x:v>
      </x:c>
      <x:c r="M22" s="346" t="str">
        <x:f>IF('Voice &amp; Audio'!$M$6="","U/K",'Voice &amp; Audio'!$M$6)</x:f>
        <x:v>Provider-dependent</x:v>
      </x:c>
      <x:c r="N22" s="346" t="str">
        <x:f>IF('Voice &amp; Audio'!$N$6="","U/K",'Voice &amp; Audio'!$N$6)</x:f>
        <x:v>Built-in noise/echo processing</x:v>
      </x:c>
      <x:c r="O22" s="346" t="str">
        <x:f>IF('Voice &amp; Audio'!$O$6="","U/K",'Voice &amp; Audio'!$O$6)</x:f>
        <x:v>U/K</x:v>
      </x:c>
      <x:c r="P22" s="346" t="str">
        <x:f>IF('Voice &amp; Audio'!$P$6="","U/K",'Voice &amp; Audio'!$P$6)</x:f>
        <x:v>Custom voice infrastructure</x:v>
      </x:c>
      <x:c r="Q22" s="346" t="str">
        <x:f>IF('Voice &amp; Audio'!$Q$6="","U/K",'Voice &amp; Audio'!$Q$6)</x:f>
        <x:v>LiveKit/WebRTC</x:v>
      </x:c>
      <x:c r="R22" s="346" t="str">
        <x:f>IF('Voice &amp; Audio'!$R$6="","U/K",'Voice &amp; Audio'!$R$6)</x:f>
        <x:v>U/K</x:v>
      </x:c>
      <x:c r="S22" s="346" t="str">
        <x:f>IF('Voice &amp; Audio'!$S$6="","U/K",'Voice &amp; Audio'!$S$6)</x:f>
        <x:v>Custom WebRTC SFU</x:v>
      </x:c>
      <x:c r="T22" s="346" t="str">
        <x:f>IF('Voice &amp; Audio'!$T$6="","U/K",'Voice &amp; Audio'!$T$6)</x:f>
        <x:v>U/K</x:v>
      </x:c>
      <x:c r="U22" s="346" t="str">
        <x:f>IF('Voice &amp; Audio'!$U$6="","U/K",'Voice &amp; Audio'!$U$6)</x:f>
        <x:v>Self-host media server</x:v>
      </x:c>
      <x:c r="V22" s="346" t="str">
        <x:f>IF('Voice &amp; Audio'!$V$6="","U/K",'Voice &amp; Audio'!$V$6)</x:f>
        <x:v>WebRTC</x:v>
      </x:c>
      <x:c r="W22" s="346" t="str">
        <x:f>IF('Voice &amp; Audio'!$W$6="","U/K",'Voice &amp; Audio'!$W$6)</x:f>
        <x:v>N/A</x:v>
      </x:c>
      <x:c r="X22" s="346" t="str">
        <x:f>IF('Voice &amp; Audio'!$X$6="","U/K",'Voice &amp; Audio'!$X$6)</x:f>
        <x:v>Nostr/Concord + realtime media stack U/K</x:v>
      </x:c>
      <x:c r="Y22" s="346" t="str">
        <x:f>IF('Voice &amp; Audio'!$Y$6="","U/K",'Voice &amp; Audio'!$Y$6)</x:f>
        <x:v>P2P WebRTC with STUN/TURN fallback</x:v>
      </x:c>
      <x:c r="Z22" s="346" t="str">
        <x:f>IF('Voice &amp; Audio'!$Z$6="","U/K",'Voice &amp; Audio'!$Z$6)</x:f>
        <x:v>LiveKit/WebRTC</x:v>
      </x:c>
      <x:c r="AA22" s="380" t="str">
        <x:f>IF('Voice &amp; Audio'!$AA$6="","U/K",'Voice &amp; Audio'!$AA$6)</x:f>
        <x:v>U/K</x:v>
      </x:c>
      <x:c r="AB22" s="346" t="str">
        <x:f>IF('Voice &amp; Audio'!$AB$6="","U/K",'Voice &amp; Audio'!$AB$6)</x:f>
        <x:v>Hosted/self-host media server</x:v>
      </x:c>
      <x:c r="AC22" s="346" t="str">
        <x:f>IF('Voice &amp; Audio'!$AC$6="","U/K",'Voice &amp; Audio'!$AC$6)</x:f>
        <x:v>LiveKit</x:v>
      </x:c>
      <x:c r="AD22" s="346" t="str">
        <x:f>IF('Voice &amp; Audio'!$AD$6="","U/K",'Voice &amp; Audio'!$AD$6)</x:f>
        <x:v>LiveKit</x:v>
      </x:c>
      <x:c r="AE22" s="346" t="str">
        <x:f>IF('Voice &amp; Audio'!$AE$6="","U/K",'Voice &amp; Audio'!$AE$6)</x:f>
        <x:v>LiveKit</x:v>
      </x:c>
    </x:row>
    <x:row r="23" ht="36" customHeight="1">
      <x:c r="A23" s="359" t="str">
        <x:v>Echo Cancellation?</x:v>
      </x:c>
      <x:c r="B23" s="346" t="str">
        <x:v>Yes</x:v>
      </x:c>
      <x:c r="C23" s="346" t="str">
        <x:v>U/K</x:v>
      </x:c>
      <x:c r="D23" s="346" t="str">
        <x:v>Yes</x:v>
      </x:c>
      <x:c r="E23" s="346" t="str">
        <x:v>Yes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Yes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Yes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U/K</x:v>
      </x:c>
      <x:c r="AB23" s="346" t="str">
        <x:v>U/K</x:v>
      </x:c>
      <x:c r="AC23" s="346" t="str">
        <x:v>Yes</x:v>
      </x:c>
      <x:c r="AD23" s="346" t="str">
        <x:v>U/K</x:v>
      </x:c>
      <x:c r="AE23" s="346" t="str">
        <x:v>Yes</x:v>
      </x:c>
    </x:row>
    <x:row r="24" ht="36" customHeight="1">
      <x:c r="A24" s="359" t="str">
        <x:v>Automatic Gain Control?</x:v>
      </x:c>
      <x:c r="B24" s="346" t="str">
        <x:v>U/K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U/K</x:v>
      </x:c>
      <x:c r="M24" s="346" t="str">
        <x:v>U/K</x:v>
      </x:c>
      <x:c r="N24" s="346" t="str">
        <x:v>Yes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U/K</x:v>
      </x:c>
      <x:c r="AB24" s="346" t="str">
        <x:v>U/K</x:v>
      </x:c>
      <x:c r="AC24" s="346" t="str">
        <x:v>Yes</x:v>
      </x:c>
      <x:c r="AD24" s="346" t="str">
        <x:v>U/K</x:v>
      </x:c>
      <x:c r="AE24" s="346" t="str">
        <x:v>U/K</x:v>
      </x:c>
    </x:row>
    <x:row r="25" ht="23" customHeight="1">
      <x:c r="A25" s="427" t="str">
        <x:v>Special Audio</x:v>
      </x:c>
      <x:c r="B25" s="427"/>
      <x:c r="C25" s="427"/>
      <x:c r="D25" s="427"/>
      <x:c r="E25" s="427"/>
      <x:c r="F25" s="427"/>
      <x:c r="G25" s="427"/>
      <x:c r="H25" s="427"/>
      <x:c r="I25" s="427"/>
      <x:c r="J25" s="427"/>
      <x:c r="K25" s="427"/>
      <x:c r="L25" s="427"/>
      <x:c r="M25" s="427"/>
      <x:c r="N25" s="427"/>
      <x:c r="O25" s="427"/>
      <x:c r="P25" s="427"/>
      <x:c r="Q25" s="427"/>
      <x:c r="R25" s="427"/>
      <x:c r="S25" s="427"/>
      <x:c r="T25" s="427"/>
      <x:c r="U25" s="427"/>
      <x:c r="V25" s="427"/>
      <x:c r="W25" s="427"/>
      <x:c r="X25" s="427"/>
      <x:c r="Y25" s="427"/>
      <x:c r="Z25" s="427"/>
      <x:c r="AA25" s="427"/>
      <x:c r="AB25" s="427"/>
      <x:c r="AC25" s="427"/>
      <x:c r="AD25" s="427"/>
      <x:c r="AE25" s="427"/>
    </x:row>
    <x:row r="26" ht="36" customHeight="1">
      <x:c r="A26" s="359" t="str">
        <x:v>Spatial Audio?</x:v>
      </x:c>
      <x:c r="B26" s="346" t="str">
        <x:f>IF('Voice &amp; Audio'!$B$9="","U/K",'Voice &amp; Audio'!$B$9)</x:f>
        <x:v>No native client proximity/spatial audio; possible in third-party game integrations</x:v>
      </x:c>
      <x:c r="C26" s="346" t="str">
        <x:f>IF('Voice &amp; Audio'!$C$9="","U/K",'Voice &amp; Audio'!$C$9)</x:f>
        <x:v>No native proximity audio</x:v>
      </x:c>
      <x:c r="D26" s="346" t="str">
        <x:f>IF('Voice &amp; Audio'!$D$9="","U/K",'Voice &amp; Audio'!$D$9)</x:f>
        <x:v>U/K</x:v>
      </x:c>
      <x:c r="E26" s="346" t="str">
        <x:f>IF('Voice &amp; Audio'!$E$9="","U/K",'Voice &amp; Audio'!$E$9)</x:f>
        <x:v>No native proximity audio</x:v>
      </x:c>
      <x:c r="F26" s="346" t="str">
        <x:f>IF('Voice &amp; Audio'!$F$9="","U/K",'Voice &amp; Audio'!$F$9)</x:f>
        <x:v>No native proximity audio</x:v>
      </x:c>
      <x:c r="G26" s="346" t="str">
        <x:f>IF('Voice &amp; Audio'!$G$9="","U/K",'Voice &amp; Audio'!$G$9)</x:f>
        <x:v>Possible via specialized clients; not a core default</x:v>
      </x:c>
      <x:c r="H26" s="346" t="str">
        <x:f>IF('Voice &amp; Audio'!$H$9="","U/K",'Voice &amp; Audio'!$H$9)</x:f>
        <x:v>No native proximity</x:v>
      </x:c>
      <x:c r="I26" s="346" t="str">
        <x:f>IF('Voice &amp; Audio'!$I$9="","U/K",'Voice &amp; Audio'!$I$9)</x:f>
        <x:v>Yes - positional audio supported with games/plugins</x:v>
      </x:c>
      <x:c r="J26" s="346" t="str">
        <x:f>IF('Voice &amp; Audio'!$J$9="","U/K",'Voice &amp; Audio'!$J$9)</x:f>
        <x:v>Yes/3D audio support historically; current TS6 specifics U/K</x:v>
      </x:c>
      <x:c r="K26" s="346" t="str">
        <x:f>IF('Voice &amp; Audio'!$K$9="","U/K",'Voice &amp; Audio'!$K$9)</x:f>
        <x:v>N/A</x:v>
      </x:c>
      <x:c r="L26" s="346" t="str">
        <x:f>IF('Voice &amp; Audio'!$L$9="","U/K",'Voice &amp; Audio'!$L$9)</x:f>
        <x:v>No</x:v>
      </x:c>
      <x:c r="M26" s="346" t="str">
        <x:f>IF('Voice &amp; Audio'!$M$9="","U/K",'Voice &amp; Audio'!$M$9)</x:f>
        <x:v>No</x:v>
      </x:c>
      <x:c r="N26" s="346" t="str">
        <x:f>IF('Voice &amp; Audio'!$N$9="","U/K",'Voice &amp; Audio'!$N$9)</x:f>
        <x:v>GameLink spatial audio</x:v>
      </x:c>
      <x:c r="O26" s="346" t="str">
        <x:f>IF('Voice &amp; Audio'!$O$9="","U/K",'Voice &amp; Audio'!$O$9)</x:f>
        <x:v>No</x:v>
      </x:c>
      <x:c r="P26" s="346" t="str">
        <x:f>IF('Voice &amp; Audio'!$P$9="","U/K",'Voice &amp; Audio'!$P$9)</x:f>
        <x:v>No</x:v>
      </x:c>
      <x:c r="Q26" s="346" t="str">
        <x:f>IF('Voice &amp; Audio'!$Q$9="","U/K",'Voice &amp; Audio'!$Q$9)</x:f>
        <x:v>No</x:v>
      </x:c>
      <x:c r="R26" s="346" t="str">
        <x:f>IF('Voice &amp; Audio'!$R$9="","U/K",'Voice &amp; Audio'!$R$9)</x:f>
        <x:v>No</x:v>
      </x:c>
      <x:c r="S26" s="346" t="str">
        <x:f>IF('Voice &amp; Audio'!$S$9="","U/K",'Voice &amp; Audio'!$S$9)</x:f>
        <x:v>No</x:v>
      </x:c>
      <x:c r="T26" s="346" t="str">
        <x:f>IF('Voice &amp; Audio'!$T$9="","U/K",'Voice &amp; Audio'!$T$9)</x:f>
        <x:v>No</x:v>
      </x:c>
      <x:c r="U26" s="346" t="str">
        <x:f>IF('Voice &amp; Audio'!$U$9="","U/K",'Voice &amp; Audio'!$U$9)</x:f>
        <x:v>Yes - spatial/proximity</x:v>
      </x:c>
      <x:c r="V26" s="346" t="str">
        <x:f>IF('Voice &amp; Audio'!$V$9="","U/K",'Voice &amp; Audio'!$V$9)</x:f>
        <x:v>No</x:v>
      </x:c>
      <x:c r="W26" s="346" t="str">
        <x:f>IF('Voice &amp; Audio'!$W$9="","U/K",'Voice &amp; Audio'!$W$9)</x:f>
        <x:v>N/A</x:v>
      </x:c>
      <x:c r="X26" s="346" t="str">
        <x:f>IF('Voice &amp; Audio'!$X$9="","U/K",'Voice &amp; Audio'!$X$9)</x:f>
        <x:v>No</x:v>
      </x:c>
      <x:c r="Y26" s="346" t="str">
        <x:f>IF('Voice &amp; Audio'!$Y$9="","U/K",'Voice &amp; Audio'!$Y$9)</x:f>
        <x:v>No</x:v>
      </x:c>
      <x:c r="Z26" s="346" t="str">
        <x:f>IF('Voice &amp; Audio'!$Z$9="","U/K",'Voice &amp; Audio'!$Z$9)</x:f>
        <x:v>No</x:v>
      </x:c>
      <x:c r="AA26" s="380" t="str">
        <x:f>IF('Voice &amp; Audio'!$AA$9="","U/K",'Voice &amp; Audio'!$AA$9)</x:f>
        <x:v>No</x:v>
      </x:c>
      <x:c r="AB26" s="346" t="str">
        <x:f>IF('Voice &amp; Audio'!$AB$9="","U/K",'Voice &amp; Audio'!$AB$9)</x:f>
        <x:v>No</x:v>
      </x:c>
      <x:c r="AC26" s="346" t="str">
        <x:f>IF('Voice &amp; Audio'!$AC$9="","U/K",'Voice &amp; Audio'!$AC$9)</x:f>
        <x:v>No</x:v>
      </x:c>
      <x:c r="AD26" s="346" t="str">
        <x:f>IF('Voice &amp; Audio'!$AD$9="","U/K",'Voice &amp; Audio'!$AD$9)</x:f>
        <x:v>No</x:v>
      </x:c>
      <x:c r="AE26" s="346" t="str">
        <x:f>IF('Voice &amp; Audio'!$AE$9="","U/K",'Voice &amp; Audio'!$AE$9)</x:f>
        <x:v>No</x:v>
      </x:c>
    </x:row>
    <x:row r="27" ht="36" customHeight="1">
      <x:c r="A27" s="359" t="str">
        <x:v>Proximity Audio?</x:v>
      </x:c>
      <x:c r="B27" s="346" t="str">
        <x:v>No</x:v>
      </x:c>
      <x:c r="C27" s="346" t="str">
        <x:v>U/K</x:v>
      </x:c>
      <x:c r="D27" s="346" t="str">
        <x:v>U/K</x:v>
      </x:c>
      <x:c r="E27" s="346" t="str">
        <x:v>No</x:v>
      </x:c>
      <x:c r="F27" s="346" t="str">
        <x:v>No</x:v>
      </x:c>
      <x:c r="G27" s="346" t="str">
        <x:v>U/K</x:v>
      </x:c>
      <x:c r="H27" s="346" t="str">
        <x:v>U/K</x:v>
      </x:c>
      <x:c r="I27" s="346" t="str">
        <x:v>Yes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Yes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Yes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U/K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59" t="str">
        <x:v>Voice Recording Native?</x:v>
      </x:c>
      <x:c r="B28" s="346" t="str">
        <x:v>U/K</x:v>
      </x:c>
      <x:c r="C28" s="346" t="str">
        <x:v>U/K</x:v>
      </x:c>
      <x:c r="D28" s="346" t="str">
        <x:v>U/K</x:v>
      </x:c>
      <x:c r="E28" s="346" t="str">
        <x:v>U/K</x:v>
      </x:c>
      <x:c r="F28" s="346" t="str">
        <x:v>U/K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U/K</x:v>
      </x:c>
      <x:c r="L28" s="346" t="str">
        <x:v>U/K</x:v>
      </x:c>
      <x:c r="M28" s="346" t="str">
        <x:v>U/K</x:v>
      </x:c>
      <x:c r="N28" s="346" t="str">
        <x:v>U/K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U/K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36" customHeight="1">
      <x:c r="A29" s="359" t="str">
        <x:v>Voice Transcription Native?</x:v>
      </x:c>
      <x:c r="B29" s="346" t="str">
        <x:v>U/K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Yes</x:v>
      </x:c>
      <x:c r="M29" s="346" t="str">
        <x:v>U/K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Yes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U/K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23" customHeight="1">
      <x:c r="A30" s="427" t="str">
        <x:v>Source &amp; Notes</x:v>
      </x:c>
      <x:c r="B30" s="427"/>
      <x:c r="C30" s="427"/>
      <x:c r="D30" s="427"/>
      <x:c r="E30" s="427"/>
      <x:c r="F30" s="427"/>
      <x:c r="G30" s="427"/>
      <x:c r="H30" s="427"/>
      <x:c r="I30" s="427"/>
      <x:c r="J30" s="427"/>
      <x:c r="K30" s="427"/>
      <x:c r="L30" s="427"/>
      <x:c r="M30" s="427"/>
      <x:c r="N30" s="427"/>
      <x:c r="O30" s="427"/>
      <x:c r="P30" s="427"/>
      <x:c r="Q30" s="427"/>
      <x:c r="R30" s="427"/>
      <x:c r="S30" s="427"/>
      <x:c r="T30" s="427"/>
      <x:c r="U30" s="427"/>
      <x:c r="V30" s="427"/>
      <x:c r="W30" s="427"/>
      <x:c r="X30" s="427"/>
      <x:c r="Y30" s="427"/>
      <x:c r="Z30" s="427"/>
      <x:c r="AA30" s="427"/>
      <x:c r="AB30" s="427"/>
      <x:c r="AC30" s="427"/>
      <x:c r="AD30" s="427"/>
      <x:c r="AE30" s="427"/>
    </x:row>
    <x:row r="31" ht="36" customHeight="1">
      <x:c r="A31" s="359" t="str">
        <x:v>Voice Source URL</x:v>
      </x:c>
      <x:c r="B31" s="346" t="str">
        <x:v>https://support.discord.com/</x:v>
      </x:c>
      <x:c r="C31" s="346" t="str">
        <x:v>See Research Sources</x:v>
      </x:c>
      <x:c r="D31" s="346" t="str">
        <x:v>See Research Sources</x:v>
      </x:c>
      <x:c r="E31" s="346" t="str">
        <x:v>See Research Sources</x:v>
      </x:c>
      <x:c r="F31" s="346" t="str">
        <x:v>See Research Sources</x:v>
      </x:c>
      <x:c r="G31" s="346" t="str">
        <x:v>See Research Sources</x:v>
      </x:c>
      <x:c r="H31" s="346" t="str">
        <x:v>See Research Sources</x:v>
      </x:c>
      <x:c r="I31" s="346" t="str">
        <x:v>See Research Sources</x:v>
      </x:c>
      <x:c r="J31" s="346" t="str">
        <x:v>See Research Sources</x:v>
      </x:c>
      <x:c r="K31" s="346" t="str">
        <x:v>See Research Sources</x:v>
      </x:c>
      <x:c r="L31" s="346" t="str">
        <x:v>See Research Sources</x:v>
      </x:c>
      <x:c r="M31" s="346" t="str">
        <x:v>See Research Sources</x:v>
      </x:c>
      <x:c r="N31" s="346" t="str">
        <x:v>https://gamevox.com/</x:v>
      </x:c>
      <x:c r="O31" s="346" t="str">
        <x:v>See Research Sources</x:v>
      </x:c>
      <x:c r="P31" s="346" t="str">
        <x:v>See Research Sources</x:v>
      </x:c>
      <x:c r="Q31" s="346" t="str">
        <x:v>See Research Sources</x:v>
      </x:c>
      <x:c r="R31" s="346" t="str">
        <x:v>See Research Sources</x:v>
      </x:c>
      <x:c r="S31" s="346" t="str">
        <x:v>See Research Sources</x:v>
      </x:c>
      <x:c r="T31" s="346" t="str">
        <x:v>See Research Sources</x:v>
      </x:c>
      <x:c r="U31" s="346" t="str">
        <x:v>See Research Sources</x:v>
      </x:c>
      <x:c r="V31" s="346" t="str">
        <x:v>See Research Sources</x:v>
      </x:c>
      <x:c r="W31" s="346" t="str">
        <x:v>See Research Sources</x:v>
      </x:c>
      <x:c r="X31" s="346" t="str">
        <x:v>See Research Sources</x:v>
      </x:c>
      <x:c r="Y31" s="346" t="str">
        <x:v>See Research Sources</x:v>
      </x:c>
      <x:c r="Z31" s="346" t="str">
        <x:v>See Research Sources</x:v>
      </x:c>
      <x:c r="AA31" s="380" t="str">
        <x:v>https://therift.chat/plans/</x:v>
      </x:c>
      <x:c r="AB31" s="346" t="str">
        <x:v>See Research Sources</x:v>
      </x:c>
      <x:c r="AC31" s="346" t="str">
        <x:v>See Research Sources</x:v>
      </x:c>
      <x:c r="AD31" s="346" t="str">
        <x:v>See Research Sources</x:v>
      </x:c>
      <x:c r="AE31" s="346" t="str">
        <x:v>See Research Sources</x:v>
      </x:c>
    </x:row>
    <x:row r="32" ht="36" customHeight="1">
      <x:c r="A32" s="360" t="str">
        <x:v>Voice Notes</x:v>
      </x:c>
      <x:c r="B32" s="349" t="str">
        <x:v>Voice/video/Go Live E2EE by default except Stage.</x:v>
      </x:c>
      <x:c r="C32" s="349" t="str">
        <x:v>Screen sharing/video rolled out in 2026; exact plan limits are not comprehensively documented.</x:v>
      </x:c>
      <x:c r="D32" s="349" t="str">
        <x:v>Alpha behavior/limits can change.</x:v>
      </x:c>
      <x:c r="E32" s="349" t="str">
        <x:v>Nothing is E2EE yet per Sep 13 privacy policy.</x:v>
      </x:c>
      <x:c r="F32" s="349" t="str">
        <x:v>Mobile can view shared screens.</x:v>
      </x:c>
      <x:c r="G32" s="349" t="str">
        <x:v>Media limits belong to a client/homeserver/SFU deployment, not to Matrix as a universal platform.</x:v>
      </x:c>
      <x:c r="H32" s="349" t="str">
        <x:v>Voice is optional and disabled unless operator installs a compatible media implementation.</x:v>
      </x:c>
      <x:c r="I32" s="349" t="str">
        <x:v>Purpose-built voice; no webcam/screen-sharing core.</x:v>
      </x:c>
      <x:c r="J32" s="349" t="str">
        <x:v>TS6 is beta, so limits/features are changing.</x:v>
      </x:c>
      <x:c r="K32" s="349" t="str">
        <x:v>Voice/video are intentionally delegated to services such as Jitsi/Zoom/BigBlueButton.</x:v>
      </x:c>
      <x:c r="L32" s="349" t="str">
        <x:v>Native Calls supports screen share and meeting-style controls.</x:v>
      </x:c>
      <x:c r="M32" s="349" t="str">
        <x:v>Media calling is not a single fixed platform profile across all Rocket.Chat deployments.</x:v>
      </x:c>
      <x:c r="N32" s="349" t="str">
        <x:v>Voice-first gaming platform.</x:v>
      </x:c>
      <x:c r="O32" s="349" t="str">
        <x:v>Public docs emphasize chat more than media limits.</x:v>
      </x:c>
      <x:c r="P32" s="349" t="str">
        <x:v>Custom voice infrastructure is a headline feature.</x:v>
      </x:c>
      <x:c r="Q32" s="349" t="str">
        <x:v>Voice/video/screen share are live in open beta.</x:v>
      </x:c>
      <x:c r="R32" s="349" t="str">
        <x:v>Media details sparse.</x:v>
      </x:c>
      <x:c r="S32" s="349" t="str">
        <x:v>No paywall on voice/video quality claimed.</x:v>
      </x:c>
      <x:c r="T32" s="349" t="str">
        <x:v>Media limits not well documented.</x:v>
      </x:c>
      <x:c r="U32" s="349" t="str">
        <x:v>Self-host resource capacity determines practical limits.</x:v>
      </x:c>
      <x:c r="V32" s="349" t="str">
        <x:v>Media is early/incomplete.</x:v>
      </x:c>
      <x:c r="W32" s="349" t="str">
        <x:v>Text/community-gardening focus.</x:v>
      </x:c>
      <x:c r="X32" s="349" t="str">
        <x:v>Voice exists; detailed limits are not publicly documented.</x:v>
      </x:c>
      <x:c r="Y32" s="349" t="str">
        <x:v>Media is peer-to-peer rather than server-room focused.</x:v>
      </x:c>
      <x:c r="Z32" s="349" t="str">
        <x:v>Media limits are software/operator-configurable rather than a paid tier.</x:v>
      </x:c>
      <x:c r="AA32" s="381" t="str">
        <x:v>Public site does not publish detailed media limits.</x:v>
      </x:c>
      <x:c r="AB32" s="349" t="str">
        <x:v>Screen share with sound and multi-share are headline features.</x:v>
      </x:c>
      <x:c r="AC32" s="349" t="str">
        <x:v>LiveKit-based voice/video/screen sharing.</x:v>
      </x:c>
      <x:c r="AD32" s="349" t="str">
        <x:v>Voice is documented; detailed video/screen limits are U/K.</x:v>
      </x:c>
      <x:c r="AE32" s="349" t="str">
        <x:v>Designed around always-present game-room media.</x:v>
      </x:c>
    </x:row>
    <x:row r="33" ht="23" customHeight="1">
      <x:c r="A33" s="389" t="str">
        <x:v>Voice Experience Extras</x:v>
      </x:c>
      <x:c r="B33" s="389"/>
      <x:c r="C33" s="389"/>
      <x:c r="D33" s="389"/>
      <x:c r="E33" s="389"/>
      <x:c r="F33" s="389"/>
      <x:c r="G33" s="389"/>
      <x:c r="H33" s="389"/>
      <x:c r="I33" s="389"/>
      <x:c r="J33" s="389"/>
      <x:c r="K33" s="389"/>
      <x:c r="L33" s="389"/>
      <x:c r="M33" s="389"/>
      <x:c r="N33" s="389"/>
      <x:c r="O33" s="389"/>
      <x:c r="P33" s="389"/>
      <x:c r="Q33" s="389"/>
      <x:c r="R33" s="389"/>
      <x:c r="S33" s="389"/>
      <x:c r="T33" s="389"/>
      <x:c r="U33" s="389"/>
      <x:c r="V33" s="389"/>
      <x:c r="W33" s="389"/>
      <x:c r="X33" s="389"/>
      <x:c r="Y33" s="389"/>
      <x:c r="Z33" s="389"/>
      <x:c r="AA33" s="389"/>
      <x:c r="AB33" s="389"/>
      <x:c r="AC33" s="389"/>
      <x:c r="AD33" s="389"/>
      <x:c r="AE33" s="389"/>
    </x:row>
    <x:row r="34" ht="36" customHeight="1">
      <x:c r="A34" s="378" t="str">
        <x:v>Voice Overlay?</x:v>
      </x:c>
      <x:c r="B34" s="346" t="str">
        <x:v>Yes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U/K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U/K</x:v>
      </x:c>
      <x:c r="L34" s="346" t="str">
        <x:v>U/K</x:v>
      </x:c>
      <x:c r="M34" s="346" t="str">
        <x:v>U/K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Yes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Temporary / Launcher Voice Rooms?</x:v>
      </x:c>
      <x:c r="B35" s="346" t="str">
        <x:v>No native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U/K</x:v>
      </x:c>
      <x:c r="M35" s="346" t="str">
        <x:v>U/K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Yes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Music / High-Fidelity Mode?</x:v>
      </x:c>
      <x:c r="B36" s="346" t="str">
        <x:v>U/K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Configurable/codecs</x:v>
      </x:c>
      <x:c r="K36" s="346" t="str">
        <x:v>U/K</x:v>
      </x:c>
      <x:c r="L36" s="346" t="str">
        <x:v>U/K</x:v>
      </x:c>
      <x:c r="M36" s="346" t="str">
        <x:v>U/K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  <x:row r="37" ht="36" customHeight="1">
      <x:c r="A37" s="378" t="str">
        <x:v>Voice Changer Native?</x:v>
      </x:c>
      <x:c r="B37" s="346" t="str">
        <x:v>No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U/K</x:v>
      </x:c>
      <x:c r="L37" s="346" t="str">
        <x:v>U/K</x:v>
      </x:c>
      <x:c r="M37" s="346" t="str">
        <x:v>U/K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Yes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</x:sheetData>
  <x:mergeCells>
    <x:mergeCell ref="A1:AE1"/>
  </x:mergeCells>
  <x:conditionalFormatting sqref="B3:AE32">
    <x:cfRule type="expression" dxfId="68" priority="1">
      <x:formula>ISNUMBER(SEARCH("U/K",B3))</x:formula>
    </x:cfRule>
    <x:cfRule type="expression" dxfId="69" priority="2">
      <x:formula>OR(B3="N/A",LEFT(B3,4)="N/A ")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Video &amp; Screen Sharing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Free Screen Share Max Resolution</x:v>
      </x:c>
      <x:c r="B3" s="344" t="str">
        <x:v>720p</x:v>
      </x:c>
      <x:c r="C3" s="344" t="str">
        <x:v>U/K (client-dependent)</x:v>
      </x:c>
      <x:c r="D3" s="344" t="str">
        <x:v>U/K</x:v>
      </x:c>
      <x:c r="E3" s="344" t="str">
        <x:v>720p</x:v>
      </x:c>
      <x:c r="F3" s="344" t="str">
        <x:v>720p Game Mode / Source mode</x:v>
      </x:c>
      <x:c r="G3" s="344" t="str">
        <x:v>Varies by client</x:v>
      </x:c>
      <x:c r="H3" s="344" t="str">
        <x:v>Supported by recommended Pion voice implementation</x:v>
      </x:c>
      <x:c r="I3" s="344" t="str">
        <x:v>N/A</x:v>
      </x:c>
      <x:c r="J3" s="344" t="str">
        <x:v>TS6 supports screen sharing; exact free resolution U/K</x:v>
      </x:c>
      <x:c r="K3" s="345" t="str">
        <x:v>External call provider-dependent</x:v>
      </x:c>
      <x:c r="L3" s="346" t="str">
        <x:v>Provider/deployment dependent; native Calls screen share</x:v>
      </x:c>
      <x:c r="M3" s="346" t="str">
        <x:v>Provider/deployment-dependent</x:v>
      </x:c>
      <x:c r="N3" s="346" t="str">
        <x:v>1080p</x:v>
      </x:c>
      <x:c r="O3" s="346" t="str">
        <x:v>U/K</x:v>
      </x:c>
      <x:c r="P3" s="346" t="str">
        <x:v>U/K</x:v>
      </x:c>
      <x:c r="Q3" s="346" t="str">
        <x:v>HD/U/K</x:v>
      </x:c>
      <x:c r="R3" s="346" t="str">
        <x:v>U/K</x:v>
      </x:c>
      <x:c r="S3" s="346" t="str">
        <x:v>Unlimited resolution claim</x:v>
      </x:c>
      <x:c r="T3" s="346" t="str">
        <x:v>U/K</x:v>
      </x:c>
      <x:c r="U3" s="346" t="str">
        <x:v>Up to 1440p included</x:v>
      </x:c>
      <x:c r="V3" s="346" t="str">
        <x:v>In development</x:v>
      </x:c>
      <x:c r="W3" s="346" t="str">
        <x:v>N/A/U/K</x:v>
      </x:c>
      <x:c r="X3" s="346" t="str">
        <x:v>U/K</x:v>
      </x:c>
      <x:c r="Y3" s="346" t="str">
        <x:v>P2P/client dependent</x:v>
      </x:c>
      <x:c r="Z3" s="346" t="str">
        <x:v>Up to 4K theoretical/configurable</x:v>
      </x:c>
      <x:c r="AA3" s="380" t="str">
        <x:v>U/K</x:v>
      </x:c>
      <x:c r="AB3" s="346" t="str">
        <x:v>Up to 1080p</x:v>
      </x:c>
      <x:c r="AC3" s="346" t="str">
        <x:v>HD default; exact resolution U/K</x:v>
      </x:c>
      <x:c r="AD3" s="346" t="str">
        <x:v>U/K</x:v>
      </x:c>
      <x:c r="AE3" s="414" t="str">
        <x:v>U/K</x:v>
      </x:c>
    </x:row>
    <x:row r="4" ht="36" customHeight="1">
      <x:c r="A4" s="358" t="str">
        <x:v>Free Screen Share Max FPS</x:v>
      </x:c>
      <x:c r="B4" s="344" t="str">
        <x:v>30 fps</x:v>
      </x:c>
      <x:c r="C4" s="344" t="str">
        <x:v>U/K</x:v>
      </x:c>
      <x:c r="D4" s="344" t="str">
        <x:v>U/K</x:v>
      </x:c>
      <x:c r="E4" s="344" t="str">
        <x:v>30 fps</x:v>
      </x:c>
      <x:c r="F4" s="344" t="str">
        <x:v>30 fps Game Mode / 5 fps Source mode</x:v>
      </x:c>
      <x:c r="G4" s="344" t="str">
        <x:v>Varies by client</x:v>
      </x:c>
      <x:c r="H4" s="344" t="str">
        <x:v>U/K</x:v>
      </x:c>
      <x:c r="I4" s="344" t="str">
        <x:v>N/A</x:v>
      </x:c>
      <x:c r="J4" s="344" t="str">
        <x:v>U/K</x:v>
      </x:c>
      <x:c r="K4" s="345" t="str">
        <x:v>Provider-dependent</x:v>
      </x:c>
      <x:c r="L4" s="346" t="str">
        <x:v>U/K</x:v>
      </x:c>
      <x:c r="M4" s="346" t="str">
        <x:v>U/K</x:v>
      </x:c>
      <x:c r="N4" s="346" t="str">
        <x:v>30 fps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Unlimited / U/K</x:v>
      </x:c>
      <x:c r="T4" s="346" t="str">
        <x:v>U/K</x:v>
      </x:c>
      <x:c r="U4" s="346" t="str">
        <x:v>U/K</x:v>
      </x:c>
      <x:c r="V4" s="346" t="str">
        <x:v>In development</x:v>
      </x:c>
      <x:c r="W4" s="346" t="str">
        <x:v>N/A/U/K</x:v>
      </x:c>
      <x:c r="X4" s="346" t="str">
        <x:v>U/K</x:v>
      </x:c>
      <x:c r="Y4" s="346" t="str">
        <x:v>U/K</x:v>
      </x:c>
      <x:c r="Z4" s="346" t="str">
        <x:v>Up to 60/120 depending docs/version</x:v>
      </x:c>
      <x:c r="AA4" s="380" t="str">
        <x:v>U/K</x:v>
      </x:c>
      <x:c r="AB4" s="346" t="str">
        <x:v>U/K</x:v>
      </x:c>
      <x:c r="AC4" s="346" t="str">
        <x:v>U/K</x:v>
      </x:c>
      <x:c r="AD4" s="346" t="str">
        <x:v>U/K</x:v>
      </x:c>
      <x:c r="AE4" s="414" t="str">
        <x:v>U/K</x:v>
      </x:c>
    </x:row>
    <x:row r="5" ht="36" customHeight="1">
      <x:c r="A5" s="358" t="str">
        <x:v>Paid / Boost Screen Share Max</x:v>
      </x:c>
      <x:c r="B5" s="344" t="str">
        <x:v>Up to 4K/60 fps with Nitro/Nitro Classic</x:v>
      </x:c>
      <x:c r="C5" s="344" t="str">
        <x:v>U/K</x:v>
      </x:c>
      <x:c r="D5" s="344" t="str">
        <x:v>U/K</x:v>
      </x:c>
      <x:c r="E5" s="344" t="str">
        <x:v>Up to 4K/60 with Plutonium</x:v>
      </x:c>
      <x:c r="F5" s="344" t="str">
        <x:v>Up to 1440p/60 with Sudo</x:v>
      </x:c>
      <x:c r="G5" s="344" t="str">
        <x:v>Varies by client/service</x:v>
      </x:c>
      <x:c r="H5" s="344" t="str">
        <x:v>Configurable/U/K</x:v>
      </x:c>
      <x:c r="I5" s="344" t="str">
        <x:v>N/A</x:v>
      </x:c>
      <x:c r="J5" s="344" t="str">
        <x:v>U/K</x:v>
      </x:c>
      <x:c r="K5" s="345" t="str">
        <x:v>Provider-dependent</x:v>
      </x:c>
      <x:c r="L5" s="346" t="str">
        <x:v>Plan/deployment-dependent</x:v>
      </x:c>
      <x:c r="M5" s="346" t="str">
        <x:v>U/K</x:v>
      </x:c>
      <x:c r="N5" s="346" t="str">
        <x:v>Up to 4K/60 Diamond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No premium limit</x:v>
      </x:c>
      <x:c r="T5" s="346" t="str">
        <x:v>U/K</x:v>
      </x:c>
      <x:c r="U5" s="346" t="str">
        <x:v>Up to 1440p included</x:v>
      </x:c>
      <x:c r="V5" s="346" t="str">
        <x:v>N/A</x:v>
      </x:c>
      <x:c r="W5" s="346" t="str">
        <x:v>N/A</x:v>
      </x:c>
      <x:c r="X5" s="346" t="str">
        <x:v>U/K</x:v>
      </x:c>
      <x:c r="Y5" s="346" t="str">
        <x:v>N/A</x:v>
      </x:c>
      <x:c r="Z5" s="346" t="str">
        <x:v>Operator-configurable</x:v>
      </x:c>
      <x:c r="AA5" s="380" t="str">
        <x:v>U/K</x:v>
      </x:c>
      <x:c r="AB5" s="346" t="str">
        <x:v>1080p free</x:v>
      </x:c>
      <x:c r="AC5" s="346" t="str">
        <x:v>U/K</x:v>
      </x:c>
      <x:c r="AD5" s="346" t="str">
        <x:v>U/K</x:v>
      </x:c>
      <x:c r="AE5" s="414" t="str">
        <x:v>Free/unmetered</x:v>
      </x:c>
    </x:row>
    <x:row r="6" ht="36" customHeight="1">
      <x:c r="A6" s="358" t="str">
        <x:v>Application Audio Capture</x:v>
      </x:c>
      <x:c r="B6" s="344" t="str">
        <x:v>Yes - Windows, macOS, Chrome, mobile; Linux audio sharing unavailable</x:v>
      </x:c>
      <x:c r="C6" s="344" t="str">
        <x:v>Yes / rollout in 2026</x:v>
      </x:c>
      <x:c r="D6" s="344" t="str">
        <x:v>Yes - screen sharing exists in alpha</x:v>
      </x:c>
      <x:c r="E6" s="344" t="str">
        <x:v>Yes</x:v>
      </x:c>
      <x:c r="F6" s="344" t="str">
        <x:v>Yes - share stream audio</x:v>
      </x:c>
      <x:c r="G6" s="344" t="str">
        <x:v>Varies by client</x:v>
      </x:c>
      <x:c r="H6" s="344" t="str">
        <x:v>Go Live supported by recommended Pion implementation</x:v>
      </x:c>
      <x:c r="I6" s="344" t="str">
        <x:v>N/A</x:v>
      </x:c>
      <x:c r="J6" s="344" t="str">
        <x:v>Yes</x:v>
      </x:c>
      <x:c r="K6" s="345" t="str">
        <x:v>Provider-dependent</x:v>
      </x:c>
      <x:c r="L6" s="346" t="str">
        <x:v>Yes</x:v>
      </x:c>
      <x:c r="M6" s="346" t="str">
        <x:v>Provider-dependent</x:v>
      </x:c>
      <x:c r="N6" s="346" t="str">
        <x:v>Yes</x:v>
      </x:c>
      <x:c r="O6" s="346" t="str">
        <x:v>U/K</x:v>
      </x:c>
      <x:c r="P6" s="346" t="str">
        <x:v>Yes</x:v>
      </x:c>
      <x:c r="Q6" s="346" t="str">
        <x:v>Yes</x:v>
      </x:c>
      <x:c r="R6" s="346" t="str">
        <x:v>U/K</x:v>
      </x:c>
      <x:c r="S6" s="346" t="str">
        <x:v>Yes</x:v>
      </x:c>
      <x:c r="T6" s="346" t="str">
        <x:v>Yes/U/K</x:v>
      </x:c>
      <x:c r="U6" s="346" t="str">
        <x:v>Yes - screen share with audio</x:v>
      </x:c>
      <x:c r="V6" s="346" t="str">
        <x:v>U/K</x:v>
      </x:c>
      <x:c r="W6" s="346" t="str">
        <x:v>N/A</x:v>
      </x:c>
      <x:c r="X6" s="346" t="str">
        <x:v>U/K</x:v>
      </x:c>
      <x:c r="Y6" s="346" t="str">
        <x:v>U/K</x:v>
      </x:c>
      <x:c r="Z6" s="346" t="str">
        <x:v>Yes</x:v>
      </x:c>
      <x:c r="AA6" s="380" t="str">
        <x:v>U/K</x:v>
      </x:c>
      <x:c r="AB6" s="346" t="str">
        <x:v>Yes - with sound</x:v>
      </x:c>
      <x:c r="AC6" s="346" t="str">
        <x:v>Yes</x:v>
      </x:c>
      <x:c r="AD6" s="346" t="str">
        <x:v>U/K</x:v>
      </x:c>
      <x:c r="AE6" s="414" t="str">
        <x:v>Yes</x:v>
      </x:c>
    </x:row>
    <x:row r="7" ht="36" customHeight="1">
      <x:c r="A7" s="358" t="str">
        <x:v>System Audio Capture</x:v>
      </x:c>
      <x:c r="B7" s="344" t="str">
        <x:v>U/K (official docs do not guarantee universal full-system audio capture)</x:v>
      </x:c>
      <x:c r="C7" s="344" t="str">
        <x:v>U/K</x:v>
      </x:c>
      <x:c r="D7" s="344" t="str">
        <x:v>U/K</x:v>
      </x:c>
      <x:c r="E7" s="344" t="str">
        <x:v>Yes on supported desktop paths</x:v>
      </x:c>
      <x:c r="F7" s="344" t="str">
        <x:v>Yes on supported desktop</x:v>
      </x:c>
      <x:c r="G7" s="344" t="str">
        <x:v>Varies by client</x:v>
      </x:c>
      <x:c r="H7" s="344" t="str">
        <x:v>U/K</x:v>
      </x:c>
      <x:c r="I7" s="344" t="str">
        <x:v>N/A</x:v>
      </x:c>
      <x:c r="J7" s="344" t="str">
        <x:v>Yes/U/K</x:v>
      </x:c>
      <x:c r="K7" s="345" t="str">
        <x:v>Provider-dependent</x:v>
      </x:c>
      <x:c r="L7" s="346" t="str">
        <x:v>Yes</x:v>
      </x:c>
      <x:c r="M7" s="346" t="str">
        <x:v>Provider-dependent</x:v>
      </x:c>
      <x:c r="N7" s="346" t="str">
        <x:v>Yes/U/K</x:v>
      </x:c>
      <x:c r="O7" s="346" t="str">
        <x:v>U/K</x:v>
      </x:c>
      <x:c r="P7" s="346" t="str">
        <x:v>Yes/U/K</x:v>
      </x:c>
      <x:c r="Q7" s="346" t="str">
        <x:v>Yes/U/K</x:v>
      </x:c>
      <x:c r="R7" s="346" t="str">
        <x:v>U/K</x:v>
      </x:c>
      <x:c r="S7" s="346" t="str">
        <x:v>Yes/U/K</x:v>
      </x:c>
      <x:c r="T7" s="346" t="str">
        <x:v>Yes/U/K</x:v>
      </x:c>
      <x:c r="U7" s="346" t="str">
        <x:v>Yes/U/K</x:v>
      </x:c>
      <x:c r="V7" s="346" t="str">
        <x:v>U/K</x:v>
      </x:c>
      <x:c r="W7" s="346" t="str">
        <x:v>N/A</x:v>
      </x:c>
      <x:c r="X7" s="346" t="str">
        <x:v>U/K</x:v>
      </x:c>
      <x:c r="Y7" s="346" t="str">
        <x:v>U/K</x:v>
      </x:c>
      <x:c r="Z7" s="346" t="str">
        <x:v>Yes/U/K</x:v>
      </x:c>
      <x:c r="AA7" s="380" t="str">
        <x:v>U/K</x:v>
      </x:c>
      <x:c r="AB7" s="346" t="str">
        <x:v>Yes/U/K</x:v>
      </x:c>
      <x:c r="AC7" s="346" t="str">
        <x:v>Yes/U/K</x:v>
      </x:c>
      <x:c r="AD7" s="346" t="str">
        <x:v>U/K</x:v>
      </x:c>
      <x:c r="AE7" s="414" t="str">
        <x:v>Yes/U/K</x:v>
      </x:c>
    </x:row>
    <x:row r="8" ht="36" customHeight="1">
      <x:c r="A8" s="358" t="str">
        <x:v>Simultaneous Multi-Stream Viewing</x:v>
      </x:c>
      <x:c r="B8" s="344" t="str">
        <x:v>U/K (official documentation is inconsistent across viewing surfaces)</x:v>
      </x:c>
      <x:c r="C8" s="344" t="str">
        <x:v>Yes</x:v>
      </x:c>
      <x:c r="D8" s="344" t="str">
        <x:v>Yes</x:v>
      </x:c>
      <x:c r="E8" s="344" t="str">
        <x:v>Yes</x:v>
      </x:c>
      <x:c r="F8" s="344" t="str">
        <x:v>Yes</x:v>
      </x:c>
      <x:c r="G8" s="344" t="str">
        <x:v>Varies by client</x:v>
      </x:c>
      <x:c r="H8" s="344" t="str">
        <x:v>U/K</x:v>
      </x:c>
      <x:c r="I8" s="344" t="str">
        <x:v>N/A</x:v>
      </x:c>
      <x:c r="J8" s="344" t="str">
        <x:v>Yes</x:v>
      </x:c>
      <x:c r="K8" s="345" t="str">
        <x:v>Provider-dependent</x:v>
      </x:c>
      <x:c r="L8" s="346" t="str">
        <x:v>Yes</x:v>
      </x:c>
      <x:c r="M8" s="346" t="str">
        <x:v>Provider-dependent</x:v>
      </x:c>
      <x:c r="N8" s="346" t="str">
        <x:v>Yes/U/K</x:v>
      </x:c>
      <x:c r="O8" s="346" t="str">
        <x:v>U/K</x:v>
      </x:c>
      <x:c r="P8" s="346" t="str">
        <x:v>Yes</x:v>
      </x:c>
      <x:c r="Q8" s="346" t="str">
        <x:v>Yes</x:v>
      </x:c>
      <x:c r="R8" s="346" t="str">
        <x:v>U/K</x:v>
      </x:c>
      <x:c r="S8" s="346" t="str">
        <x:v>Yes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N/A</x:v>
      </x:c>
      <x:c r="X8" s="346" t="str">
        <x:v>U/K</x:v>
      </x:c>
      <x:c r="Y8" s="346" t="str">
        <x:v>U/K</x:v>
      </x:c>
      <x:c r="Z8" s="346" t="str">
        <x:v>Yes/U/K</x:v>
      </x:c>
      <x:c r="AA8" s="380" t="str">
        <x:v>U/K</x:v>
      </x:c>
      <x:c r="AB8" s="346" t="str">
        <x:v>Yes - up to four shares</x:v>
      </x:c>
      <x:c r="AC8" s="346" t="str">
        <x:v>Yes</x:v>
      </x:c>
      <x:c r="AD8" s="346" t="str">
        <x:v>U/K</x:v>
      </x:c>
      <x:c r="AE8" s="414" t="str">
        <x:v>Yes</x:v>
      </x:c>
    </x:row>
    <x:row r="9" ht="36" customHeight="1">
      <x:c r="A9" s="358" t="str">
        <x:v>Webcam Grid Limit</x:v>
      </x:c>
      <x:c r="B9" s="344" t="str">
        <x:v>25 participants in a server voice channel when video is active</x:v>
      </x:c>
      <x:c r="C9" s="344" t="str">
        <x:v>U/K</x:v>
      </x:c>
      <x:c r="D9" s="344" t="str">
        <x:v>U/K</x:v>
      </x:c>
      <x:c r="E9" s="344" t="str">
        <x:v>U/K</x:v>
      </x:c>
      <x:c r="F9" s="344" t="str">
        <x:v>U/K</x:v>
      </x:c>
      <x:c r="G9" s="344" t="str">
        <x:v>Varies by client</x:v>
      </x:c>
      <x:c r="H9" s="344" t="str">
        <x:v>U/K</x:v>
      </x:c>
      <x:c r="I9" s="344" t="str">
        <x:v>N/A</x:v>
      </x:c>
      <x:c r="J9" s="344" t="str">
        <x:v>U/K</x:v>
      </x:c>
      <x:c r="K9" s="345" t="str">
        <x:v>Provider-dependent</x:v>
      </x:c>
      <x:c r="L9" s="346" t="str">
        <x:v>Up to plan/deployment limit</x:v>
      </x:c>
      <x:c r="M9" s="346" t="str">
        <x:v>Provider-dependent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25+ grid claimed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N/A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U/K</x:v>
      </x:c>
      <x:c r="AB9" s="346" t="str">
        <x:v>100+ watch party demonstrated</x:v>
      </x:c>
      <x:c r="AC9" s="346" t="str">
        <x:v>U/K</x:v>
      </x:c>
      <x:c r="AD9" s="346" t="str">
        <x:v>U/K</x:v>
      </x:c>
      <x:c r="AE9" s="414" t="str">
        <x:v>U/K</x:v>
      </x:c>
    </x:row>
    <x:row r="10" ht="36" customHeight="1">
      <x:c r="A10" s="397" t="str">
        <x:v>Stage Presentation Mode</x:v>
      </x:c>
      <x:c r="B10" s="349" t="str">
        <x:v>Yes - Stage supports video/screen share; 1 shared screen at a time</x:v>
      </x:c>
      <x:c r="C10" s="349" t="str">
        <x:v>U/K</x:v>
      </x:c>
      <x:c r="D10" s="349" t="str">
        <x:v>U/K</x:v>
      </x:c>
      <x:c r="E10" s="349" t="str">
        <x:v>U/K</x:v>
      </x:c>
      <x:c r="F10" s="349" t="str">
        <x:v>No dedicated Stage mode verified</x:v>
      </x:c>
      <x:c r="G10" s="349" t="str">
        <x:v>Varies by client</x:v>
      </x:c>
      <x:c r="H10" s="349" t="str">
        <x:v>U/K</x:v>
      </x:c>
      <x:c r="I10" s="349" t="str">
        <x:v>N/A</x:v>
      </x:c>
      <x:c r="J10" s="349" t="str">
        <x:v>U/K</x:v>
      </x:c>
      <x:c r="K10" s="395" t="str">
        <x:v>Provider-dependent</x:v>
      </x:c>
      <x:c r="L10" s="349" t="str">
        <x:v>Presentation via Calls</x:v>
      </x:c>
      <x:c r="M10" s="349" t="str">
        <x:v>Provider-dependent</x:v>
      </x:c>
      <x:c r="N10" s="349" t="str">
        <x:v>U/K</x:v>
      </x:c>
      <x:c r="O10" s="349" t="str">
        <x:v>U/K</x:v>
      </x:c>
      <x:c r="P10" s="349" t="str">
        <x:v>U/K</x:v>
      </x:c>
      <x:c r="Q10" s="349" t="str">
        <x:v>Stage U/K</x:v>
      </x:c>
      <x:c r="R10" s="349" t="str">
        <x:v>U/K</x:v>
      </x:c>
      <x:c r="S10" s="349" t="str">
        <x:v>U/K</x:v>
      </x:c>
      <x:c r="T10" s="349" t="str">
        <x:v>U/K</x:v>
      </x:c>
      <x:c r="U10" s="349" t="str">
        <x:v>U/K</x:v>
      </x:c>
      <x:c r="V10" s="349" t="str">
        <x:v>U/K</x:v>
      </x:c>
      <x:c r="W10" s="349" t="str">
        <x:v>N/A</x:v>
      </x:c>
      <x:c r="X10" s="349" t="str">
        <x:v>U/K</x:v>
      </x:c>
      <x:c r="Y10" s="349" t="str">
        <x:v>U/K</x:v>
      </x:c>
      <x:c r="Z10" s="349" t="str">
        <x:v>U/K</x:v>
      </x:c>
      <x:c r="AA10" s="381" t="str">
        <x:v>U/K</x:v>
      </x:c>
      <x:c r="AB10" s="349" t="str">
        <x:v>No Stage</x:v>
      </x:c>
      <x:c r="AC10" s="349" t="str">
        <x:v>U/K</x:v>
      </x:c>
      <x:c r="AD10" s="349" t="str">
        <x:v>U/K</x:v>
      </x:c>
      <x:c r="AE10" s="415" t="str">
        <x:v>Room stage supports media</x:v>
      </x:c>
    </x:row>
    <x:row r="11" ht="23" customHeight="1">
      <x:c r="A11" s="389" t="str">
        <x:v>Capture, Mobile &amp; Multi-Stream</x:v>
      </x:c>
      <x:c r="B11" s="389"/>
      <x:c r="C11" s="389"/>
      <x:c r="D11" s="389"/>
      <x:c r="E11" s="389"/>
      <x:c r="F11" s="389"/>
      <x:c r="G11" s="389"/>
      <x:c r="H11" s="389"/>
      <x:c r="I11" s="389"/>
      <x:c r="J11" s="389"/>
      <x:c r="K11" s="389"/>
      <x:c r="L11" s="389"/>
      <x:c r="M11" s="389"/>
      <x:c r="N11" s="389"/>
      <x:c r="O11" s="389"/>
      <x:c r="P11" s="389"/>
      <x:c r="Q11" s="389"/>
      <x:c r="R11" s="389"/>
      <x:c r="S11" s="389"/>
      <x:c r="T11" s="389"/>
      <x:c r="U11" s="389"/>
      <x:c r="V11" s="389"/>
      <x:c r="W11" s="389"/>
      <x:c r="X11" s="389"/>
      <x:c r="Y11" s="389"/>
      <x:c r="Z11" s="389"/>
      <x:c r="AA11" s="389"/>
      <x:c r="AB11" s="389"/>
      <x:c r="AC11" s="389"/>
      <x:c r="AD11" s="389"/>
      <x:c r="AE11" s="389"/>
    </x:row>
    <x:row r="12" ht="36" customHeight="1">
      <x:c r="A12" s="378" t="str">
        <x:v>Application Audio Capture?</x:v>
      </x:c>
      <x:c r="B12" s="346" t="str">
        <x:v>Yes</x:v>
      </x:c>
      <x:c r="C12" s="346" t="str">
        <x:v>Yes/U/K</x:v>
      </x:c>
      <x:c r="D12" s="346" t="str">
        <x:v>U/K</x:v>
      </x:c>
      <x:c r="E12" s="346" t="str">
        <x:v>Yes</x:v>
      </x:c>
      <x:c r="F12" s="346" t="str">
        <x:v>Yes</x:v>
      </x:c>
      <x:c r="G12" s="346" t="str">
        <x:v>Client-dependent</x:v>
      </x:c>
      <x:c r="H12" s="346" t="str">
        <x:v>U/K</x:v>
      </x:c>
      <x:c r="I12" s="346" t="str">
        <x:v>N/A</x:v>
      </x:c>
      <x:c r="J12" s="346" t="str">
        <x:v>Yes</x:v>
      </x:c>
      <x:c r="K12" s="346" t="str">
        <x:v>Provider-dependent</x:v>
      </x:c>
      <x:c r="L12" s="346" t="str">
        <x:v>Yes</x:v>
      </x:c>
      <x:c r="M12" s="346" t="str">
        <x:v>Provider-dependent</x:v>
      </x:c>
      <x:c r="N12" s="346" t="str">
        <x:v>Yes</x:v>
      </x:c>
      <x:c r="O12" s="346" t="str">
        <x:v>U/K</x:v>
      </x:c>
      <x:c r="P12" s="346" t="str">
        <x:v>Yes</x:v>
      </x:c>
      <x:c r="Q12" s="346" t="str">
        <x:v>Yes</x:v>
      </x:c>
      <x:c r="R12" s="346" t="str">
        <x:v>U/K</x:v>
      </x:c>
      <x:c r="S12" s="346" t="str">
        <x:v>Yes</x:v>
      </x:c>
      <x:c r="T12" s="346" t="str">
        <x:v>U/K</x:v>
      </x:c>
      <x:c r="U12" s="346" t="str">
        <x:v>Yes</x:v>
      </x:c>
      <x:c r="V12" s="346" t="str">
        <x:v>U/K</x:v>
      </x:c>
      <x:c r="W12" s="346" t="str">
        <x:v>N/A</x:v>
      </x:c>
      <x:c r="X12" s="346" t="str">
        <x:v>U/K</x:v>
      </x:c>
      <x:c r="Y12" s="346" t="str">
        <x:v>U/K</x:v>
      </x:c>
      <x:c r="Z12" s="346" t="str">
        <x:v>Yes</x:v>
      </x:c>
      <x:c r="AA12" s="380" t="str">
        <x:v>U/K</x:v>
      </x:c>
      <x:c r="AB12" s="346" t="str">
        <x:v>Yes</x:v>
      </x:c>
      <x:c r="AC12" s="346" t="str">
        <x:v>Yes</x:v>
      </x:c>
      <x:c r="AD12" s="346" t="str">
        <x:v>U/K</x:v>
      </x:c>
      <x:c r="AE12" s="346" t="str">
        <x:v>Yes</x:v>
      </x:c>
    </x:row>
    <x:row r="13" ht="36" customHeight="1">
      <x:c r="A13" s="378" t="str">
        <x:v>System Audio Capture?</x:v>
      </x:c>
      <x:c r="B13" s="346" t="str">
        <x:v>Yes on supported platforms</x:v>
      </x:c>
      <x:c r="C13" s="346" t="str">
        <x:v>U/K</x:v>
      </x:c>
      <x:c r="D13" s="346" t="str">
        <x:v>U/K</x:v>
      </x:c>
      <x:c r="E13" s="346" t="str">
        <x:v>Yes on supported desktop</x:v>
      </x:c>
      <x:c r="F13" s="346" t="str">
        <x:v>Yes</x:v>
      </x:c>
      <x:c r="G13" s="346" t="str">
        <x:v>Client-dependent</x:v>
      </x:c>
      <x:c r="H13" s="346" t="str">
        <x:v>U/K</x:v>
      </x:c>
      <x:c r="I13" s="346" t="str">
        <x:v>N/A</x:v>
      </x:c>
      <x:c r="J13" s="346" t="str">
        <x:v>Yes/U/K</x:v>
      </x:c>
      <x:c r="K13" s="346" t="str">
        <x:v>Provider-dependent</x:v>
      </x:c>
      <x:c r="L13" s="346" t="str">
        <x:v>Yes</x:v>
      </x:c>
      <x:c r="M13" s="346" t="str">
        <x:v>Provider-dependent</x:v>
      </x:c>
      <x:c r="N13" s="346" t="str">
        <x:v>Yes/U/K</x:v>
      </x:c>
      <x:c r="O13" s="346" t="str">
        <x:v>U/K</x:v>
      </x:c>
      <x:c r="P13" s="346" t="str">
        <x:v>Yes/U/K</x:v>
      </x:c>
      <x:c r="Q13" s="346" t="str">
        <x:v>Yes/U/K</x:v>
      </x:c>
      <x:c r="R13" s="346" t="str">
        <x:v>U/K</x:v>
      </x:c>
      <x:c r="S13" s="346" t="str">
        <x:v>Yes/U/K</x:v>
      </x:c>
      <x:c r="T13" s="346" t="str">
        <x:v>U/K</x:v>
      </x:c>
      <x:c r="U13" s="346" t="str">
        <x:v>Yes/U/K</x:v>
      </x:c>
      <x:c r="V13" s="346" t="str">
        <x:v>U/K</x:v>
      </x:c>
      <x:c r="W13" s="346" t="str">
        <x:v>N/A</x:v>
      </x:c>
      <x:c r="X13" s="346" t="str">
        <x:v>U/K</x:v>
      </x:c>
      <x:c r="Y13" s="346" t="str">
        <x:v>U/K</x:v>
      </x:c>
      <x:c r="Z13" s="346" t="str">
        <x:v>Yes/U/K</x:v>
      </x:c>
      <x:c r="AA13" s="380" t="str">
        <x:v>U/K</x:v>
      </x:c>
      <x:c r="AB13" s="346" t="str">
        <x:v>Yes</x:v>
      </x:c>
      <x:c r="AC13" s="346" t="str">
        <x:v>Yes/U/K</x:v>
      </x:c>
      <x:c r="AD13" s="346" t="str">
        <x:v>U/K</x:v>
      </x:c>
      <x:c r="AE13" s="346" t="str">
        <x:v>Yes/U/K</x:v>
      </x:c>
    </x:row>
    <x:row r="14" ht="36" customHeight="1">
      <x:c r="A14" s="378" t="str">
        <x:v>Linux Screen Audio?</x:v>
      </x:c>
      <x:c r="B14" s="346" t="str">
        <x:v>Linux audio-share limitations</x:v>
      </x:c>
      <x:c r="C14" s="346" t="str">
        <x:v>U/K</x:v>
      </x:c>
      <x:c r="D14" s="346" t="str">
        <x:v>U/K</x:v>
      </x:c>
      <x:c r="E14" s="346" t="str">
        <x:v>Advanced Linux source/audio options reported in canary; stable details U/K</x:v>
      </x:c>
      <x:c r="F14" s="346" t="str">
        <x:v>Linux PipeWire support noted; current exact behavior U/K</x:v>
      </x:c>
      <x:c r="G14" s="346" t="str">
        <x:v>Client-dependent</x:v>
      </x:c>
      <x:c r="H14" s="346" t="str">
        <x:v>U/K</x:v>
      </x:c>
      <x:c r="I14" s="346" t="str">
        <x:v>N/A</x:v>
      </x:c>
      <x:c r="J14" s="346" t="str">
        <x:v>U/K</x:v>
      </x:c>
      <x:c r="K14" s="346" t="str">
        <x:v>Provider-dependent</x:v>
      </x:c>
      <x:c r="L14" s="346" t="str">
        <x:v>Depends desktop/Linux support</x:v>
      </x:c>
      <x:c r="M14" s="346" t="str">
        <x:v>Provider-dependent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Linux mic I/O known rough edge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N/A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Linux supported</x:v>
      </x:c>
      <x:c r="AC14" s="346" t="str">
        <x:v>Linux supported/U/K</x:v>
      </x:c>
      <x:c r="AD14" s="346" t="str">
        <x:v>U/K</x:v>
      </x:c>
      <x:c r="AE14" s="346" t="str">
        <x:v>U/K</x:v>
      </x:c>
    </x:row>
    <x:row r="15" ht="36" customHeight="1">
      <x:c r="A15" s="378" t="str">
        <x:v>Mobile Screen Share?</x:v>
      </x:c>
      <x:c r="B15" s="346" t="str">
        <x:v>Mobile screen share supported</x:v>
      </x:c>
      <x:c r="C15" s="346" t="str">
        <x:v>U/K</x:v>
      </x:c>
      <x:c r="D15" s="346" t="str">
        <x:v>U/K</x:v>
      </x:c>
      <x:c r="E15" s="346" t="str">
        <x:v>Mobile beta support U/K</x:v>
      </x:c>
      <x:c r="F15" s="346" t="str">
        <x:v>No sharing from mobile</x:v>
      </x:c>
      <x:c r="G15" s="346" t="str">
        <x:v>Client-dependent</x:v>
      </x:c>
      <x:c r="H15" s="346" t="str">
        <x:v>U/K</x:v>
      </x:c>
      <x:c r="I15" s="346" t="str">
        <x:v>N/A</x:v>
      </x:c>
      <x:c r="J15" s="346" t="str">
        <x:v>U/K</x:v>
      </x:c>
      <x:c r="K15" s="346" t="str">
        <x:v>Provider-dependent</x:v>
      </x:c>
      <x:c r="L15" s="346" t="str">
        <x:v>Mobile behavior varies</x:v>
      </x:c>
      <x:c r="M15" s="346" t="str">
        <x:v>Provider-dependent</x:v>
      </x:c>
      <x:c r="N15" s="346" t="str">
        <x:v>Yes/U/K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Yes/U/K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N/A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Phone can watch shares; sharing 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Multiple Concurrent Screen Shares?</x:v>
      </x:c>
      <x:c r="B16" s="346" t="str">
        <x:v>U/K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Client/provider-dependent</x:v>
      </x:c>
      <x:c r="H16" s="346" t="str">
        <x:v>Implementation-dependent</x:v>
      </x:c>
      <x:c r="I16" s="346" t="str">
        <x:v>N/A</x:v>
      </x:c>
      <x:c r="J16" s="346" t="str">
        <x:v>U/K</x:v>
      </x:c>
      <x:c r="K16" s="346" t="str">
        <x:v>Provider-dependent</x:v>
      </x:c>
      <x:c r="L16" s="346" t="str">
        <x:v>Plan-dependent</x:v>
      </x:c>
      <x:c r="M16" s="346" t="str">
        <x:v>Provider-dependent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N/A</x:v>
      </x:c>
      <x:c r="X16" s="346" t="str">
        <x:v>U/K</x:v>
      </x:c>
      <x:c r="Y16" s="346" t="str">
        <x:v>P2P</x:v>
      </x:c>
      <x:c r="Z16" s="346" t="str">
        <x:v>U/K</x:v>
      </x:c>
      <x:c r="AA16" s="380" t="str">
        <x:v>U/K</x:v>
      </x:c>
      <x:c r="AB16" s="346" t="str">
        <x:v>Yes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78" t="str">
        <x:v>Simultaneous Multi-Stream Viewing?</x:v>
      </x:c>
      <x:c r="B17" s="346" t="str">
        <x:v>Yes</x:v>
      </x:c>
      <x:c r="C17" s="346" t="str">
        <x:v>Yes/U/K</x:v>
      </x:c>
      <x:c r="D17" s="346" t="str">
        <x:v>Yes/U/K</x:v>
      </x:c>
      <x:c r="E17" s="346" t="str">
        <x:v>Yes</x:v>
      </x:c>
      <x:c r="F17" s="346" t="str">
        <x:v>Yes</x:v>
      </x:c>
      <x:c r="G17" s="346" t="str">
        <x:v>Client-dependent</x:v>
      </x:c>
      <x:c r="H17" s="346" t="str">
        <x:v>Yes/U/K</x:v>
      </x:c>
      <x:c r="I17" s="346" t="str">
        <x:v>N/A</x:v>
      </x:c>
      <x:c r="J17" s="346" t="str">
        <x:v>Yes/U/K</x:v>
      </x:c>
      <x:c r="K17" s="346" t="str">
        <x:v>Provider-dependent</x:v>
      </x:c>
      <x:c r="L17" s="346" t="str">
        <x:v>Yes</x:v>
      </x:c>
      <x:c r="M17" s="346" t="str">
        <x:v>Provider-dependent</x:v>
      </x:c>
      <x:c r="N17" s="346" t="str">
        <x:v>Yes</x:v>
      </x:c>
      <x:c r="O17" s="346" t="str">
        <x:v>U/K</x:v>
      </x:c>
      <x:c r="P17" s="346" t="str">
        <x:v>Yes</x:v>
      </x:c>
      <x:c r="Q17" s="346" t="str">
        <x:v>Yes</x:v>
      </x:c>
      <x:c r="R17" s="346" t="str">
        <x:v>U/K</x:v>
      </x:c>
      <x:c r="S17" s="346" t="str">
        <x:v>Yes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N/A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Yes - 100+ watch party</x:v>
      </x:c>
      <x:c r="AC17" s="346" t="str">
        <x:v>Yes</x:v>
      </x:c>
      <x:c r="AD17" s="346" t="str">
        <x:v>U/K</x:v>
      </x:c>
      <x:c r="AE17" s="346" t="str">
        <x:v>Yes</x:v>
      </x:c>
    </x:row>
    <x:row r="18" ht="36" customHeight="1">
      <x:c r="A18" s="378" t="str">
        <x:v>Stage / Presentation Mode?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>
      <x:c r="A19" s="24"/>
      <x:c r="B19" s="24"/>
      <x:c r="C19" s="24"/>
      <x:c r="D19" s="24"/>
      <x:c r="E19" s="24"/>
      <x:c r="F19" s="24"/>
      <x:c r="G19" s="24"/>
      <x:c r="H19" s="24"/>
      <x:c r="I19" s="24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0">
    <x:cfRule type="expression" dxfId="36" priority="1">
      <x:formula>ISNUMBER(SEARCH("U/K",B3))</x:formula>
    </x:cfRule>
    <x:cfRule type="expression" dxfId="37" priority="2">
      <x:formula>OR(B3="N/A",LEFT(B3,4)="N/A ")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Screen Share / Video Quality - Free vs Paid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Core Availability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Webcam Video Available?</x:v>
      </x:c>
      <x:c r="B4" s="346" t="str">
        <x:v>Yes</x:v>
      </x:c>
      <x:c r="C4" s="346" t="str">
        <x:v>U/K</x:v>
      </x:c>
      <x:c r="D4" s="346" t="str">
        <x:v>U/K</x:v>
      </x:c>
      <x:c r="E4" s="346" t="str">
        <x:v>U/K</x:v>
      </x:c>
      <x:c r="F4" s="346" t="str">
        <x:v>U/K</x:v>
      </x:c>
      <x:c r="G4" s="346" t="str">
        <x:v>Client-dependent</x:v>
      </x:c>
      <x:c r="H4" s="346" t="str">
        <x:v>U/K</x:v>
      </x:c>
      <x:c r="I4" s="346" t="str">
        <x:v>No</x:v>
      </x:c>
      <x:c r="J4" s="346" t="str">
        <x:v>U/K</x:v>
      </x:c>
      <x:c r="K4" s="346" t="str">
        <x:v>Provider-dependent</x:v>
      </x:c>
      <x:c r="L4" s="346" t="str">
        <x:v>Yes</x:v>
      </x:c>
      <x:c r="M4" s="346" t="str">
        <x:v>Provider-dependent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No</x:v>
      </x:c>
      <x:c r="V4" s="346" t="str">
        <x:v>U/K</x:v>
      </x:c>
      <x:c r="W4" s="346" t="str">
        <x:v>N/A</x:v>
      </x:c>
      <x:c r="X4" s="346" t="str">
        <x:v>U/K</x:v>
      </x:c>
      <x:c r="Y4" s="346" t="str">
        <x:v>No</x:v>
      </x:c>
      <x:c r="Z4" s="346" t="str">
        <x:v>U/K</x:v>
      </x:c>
      <x:c r="AA4" s="380" t="str">
        <x:v>U/K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9" t="str">
        <x:v>Screen Share Available?</x:v>
      </x:c>
      <x:c r="B5" s="346" t="str">
        <x:v>Yes</x:v>
      </x:c>
      <x:c r="C5" s="346" t="str">
        <x:v>Yes/rollout</x:v>
      </x:c>
      <x:c r="D5" s="346" t="str">
        <x:v>Yes</x:v>
      </x:c>
      <x:c r="E5" s="346" t="str">
        <x:v>Yes</x:v>
      </x:c>
      <x:c r="F5" s="346" t="str">
        <x:v>Yes</x:v>
      </x:c>
      <x:c r="G5" s="346" t="str">
        <x:v>Client-dependent</x:v>
      </x:c>
      <x:c r="H5" s="346" t="str">
        <x:v>Yes with Pion implementation</x:v>
      </x:c>
      <x:c r="I5" s="346" t="str">
        <x:v>No</x:v>
      </x:c>
      <x:c r="J5" s="346" t="str">
        <x:v>Yes - TS6 beta / P2P</x:v>
      </x:c>
      <x:c r="K5" s="346" t="str">
        <x:v>External provider</x:v>
      </x:c>
      <x:c r="L5" s="346" t="str">
        <x:v>Yes</x:v>
      </x:c>
      <x:c r="M5" s="346" t="str">
        <x:v>Provider-dependent</x:v>
      </x:c>
      <x:c r="N5" s="346" t="str">
        <x:v>Yes</x:v>
      </x:c>
      <x:c r="O5" s="346" t="str">
        <x:v>U/K</x:v>
      </x:c>
      <x:c r="P5" s="346" t="str">
        <x:v>Yes</x:v>
      </x:c>
      <x:c r="Q5" s="346" t="str">
        <x:v>Yes</x:v>
      </x:c>
      <x:c r="R5" s="346" t="str">
        <x:v>U/K</x:v>
      </x:c>
      <x:c r="S5" s="346" t="str">
        <x:v>Yes</x:v>
      </x:c>
      <x:c r="T5" s="346" t="str">
        <x:v>U/K</x:v>
      </x:c>
      <x:c r="U5" s="346" t="str">
        <x:v>U/K</x:v>
      </x:c>
      <x:c r="V5" s="346" t="str">
        <x:v>In development</x:v>
      </x:c>
      <x:c r="W5" s="346" t="str">
        <x:v>N/A</x:v>
      </x:c>
      <x:c r="X5" s="346" t="str">
        <x:v>U/K</x:v>
      </x:c>
      <x:c r="Y5" s="346" t="str">
        <x:v>Yes/U/K</x:v>
      </x:c>
      <x:c r="Z5" s="346" t="str">
        <x:v>U/K</x:v>
      </x:c>
      <x:c r="AA5" s="380" t="str">
        <x:v>U/K</x:v>
      </x:c>
      <x:c r="AB5" s="346" t="str">
        <x:v>Camera in DMs</x:v>
      </x:c>
      <x:c r="AC5" s="346" t="str">
        <x:v>Yes</x:v>
      </x:c>
      <x:c r="AD5" s="346" t="str">
        <x:v>U/K</x:v>
      </x:c>
      <x:c r="AE5" s="346" t="str">
        <x:v>Yes</x:v>
      </x:c>
    </x:row>
    <x:row r="6" ht="36" customHeight="1">
      <x:c r="A6" s="359" t="str">
        <x:v>Screen Share Available on Free Plan?</x:v>
      </x:c>
      <x:c r="B6" s="346" t="str">
        <x:v>Yes</x:v>
      </x:c>
      <x:c r="C6" s="346" t="str">
        <x:v>U/K</x:v>
      </x:c>
      <x:c r="D6" s="346" t="str">
        <x:v>U/K</x:v>
      </x:c>
      <x:c r="E6" s="346" t="str">
        <x:v>Yes</x:v>
      </x:c>
      <x:c r="F6" s="346" t="str">
        <x:v>Yes</x:v>
      </x:c>
      <x:c r="G6" s="346" t="str">
        <x:v>Yes</x:v>
      </x:c>
      <x:c r="H6" s="346" t="str">
        <x:v>Yes</x:v>
      </x:c>
      <x:c r="I6" s="346" t="str">
        <x:v>No</x:v>
      </x:c>
      <x:c r="J6" s="346" t="str">
        <x:v>Yes with TS6 client/self-host context; exact hosting limits vary</x:v>
      </x:c>
      <x:c r="K6" s="346" t="str">
        <x:v>Yes</x:v>
      </x:c>
      <x:c r="L6" s="346" t="str">
        <x:v>Yes</x:v>
      </x:c>
      <x:c r="M6" s="346" t="str">
        <x:v>Yes</x:v>
      </x:c>
      <x:c r="N6" s="346" t="str">
        <x:v>Yes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Yes</x:v>
      </x:c>
      <x:c r="T6" s="346" t="str">
        <x:v>U/K</x:v>
      </x:c>
      <x:c r="U6" s="346" t="str">
        <x:v>Yes</x:v>
      </x:c>
      <x:c r="V6" s="346" t="str">
        <x:v>No</x:v>
      </x:c>
      <x:c r="W6" s="346" t="str">
        <x:v>No</x:v>
      </x:c>
      <x:c r="X6" s="346" t="str">
        <x:v>U/K</x:v>
      </x:c>
      <x:c r="Y6" s="346" t="str">
        <x:v>U/K</x:v>
      </x:c>
      <x:c r="Z6" s="346" t="str">
        <x:v>Yes</x:v>
      </x:c>
      <x:c r="AA6" s="380" t="str">
        <x:v>U/K</x:v>
      </x:c>
      <x:c r="AB6" s="346" t="str">
        <x:v>Yes</x:v>
      </x:c>
      <x:c r="AC6" s="346" t="str">
        <x:v>U/K</x:v>
      </x:c>
      <x:c r="AD6" s="346" t="str">
        <x:v>U/K</x:v>
      </x:c>
      <x:c r="AE6" s="346" t="str">
        <x:v>U/K</x:v>
      </x:c>
    </x:row>
    <x:row r="7" ht="23" customHeight="1">
      <x:c r="A7" s="427" t="str">
        <x:v>Resolution Entitlements</x:v>
      </x:c>
      <x:c r="B7" s="427"/>
      <x:c r="C7" s="427"/>
      <x:c r="D7" s="427"/>
      <x:c r="E7" s="427"/>
      <x:c r="F7" s="427"/>
      <x:c r="G7" s="427"/>
      <x:c r="H7" s="427"/>
      <x:c r="I7" s="427"/>
      <x:c r="J7" s="427"/>
      <x:c r="K7" s="427"/>
      <x:c r="L7" s="427"/>
      <x:c r="M7" s="427"/>
      <x:c r="N7" s="427"/>
      <x:c r="O7" s="427"/>
      <x:c r="P7" s="427"/>
      <x:c r="Q7" s="427"/>
      <x:c r="R7" s="427"/>
      <x:c r="S7" s="427"/>
      <x:c r="T7" s="427"/>
      <x:c r="U7" s="427"/>
      <x:c r="V7" s="427"/>
      <x:c r="W7" s="427"/>
      <x:c r="X7" s="427"/>
      <x:c r="Y7" s="427"/>
      <x:c r="Z7" s="427"/>
      <x:c r="AA7" s="427"/>
      <x:c r="AB7" s="427"/>
      <x:c r="AC7" s="427"/>
      <x:c r="AD7" s="427"/>
      <x:c r="AE7" s="427"/>
    </x:row>
    <x:row r="8" ht="36" customHeight="1">
      <x:c r="A8" s="359" t="str">
        <x:v>480p Available?</x:v>
      </x:c>
      <x:c r="B8" s="346" t="str">
        <x:v>Yes</x:v>
      </x:c>
      <x:c r="C8" s="346" t="str">
        <x:v>U/K</x:v>
      </x:c>
      <x:c r="D8" s="346" t="str">
        <x:v>U/K</x:v>
      </x:c>
      <x:c r="E8" s="346" t="str">
        <x:v>Yes</x:v>
      </x:c>
      <x:c r="F8" s="346" t="str">
        <x:v>U/K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Yes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Yes / U/K exact options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480p Access (Free / Paid / Configurable)</x:v>
      </x:c>
      <x:c r="B9" s="346" t="str">
        <x:v>Free</x:v>
      </x:c>
      <x:c r="C9" s="346" t="str">
        <x:v>U/K</x:v>
      </x:c>
      <x:c r="D9" s="346" t="str">
        <x:v>U/K</x:v>
      </x:c>
      <x:c r="E9" s="346" t="str">
        <x:v>Free/configurable</x:v>
      </x:c>
      <x:c r="F9" s="346" t="str">
        <x:v>U/K</x:v>
      </x:c>
      <x:c r="G9" s="346" t="str">
        <x:v>U/K</x:v>
      </x:c>
      <x:c r="H9" s="346" t="str">
        <x:v>U/K</x:v>
      </x:c>
      <x:c r="I9" s="346" t="str">
        <x:v>U/K</x:v>
      </x:c>
      <x:c r="J9" s="346" t="str">
        <x:v>U/K</x:v>
      </x:c>
      <x:c r="K9" s="346" t="str">
        <x:v>U/K</x:v>
      </x:c>
      <x:c r="L9" s="346" t="str">
        <x:v>U/K</x:v>
      </x:c>
      <x:c r="M9" s="346" t="str">
        <x:v>U/K</x:v>
      </x:c>
      <x:c r="N9" s="346" t="str">
        <x:v>Free/configurable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Free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Free/configurable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59" t="str">
        <x:v>720p Available?</x:v>
      </x:c>
      <x:c r="B10" s="346" t="str">
        <x:v>Yes</x:v>
      </x:c>
      <x:c r="C10" s="346" t="str">
        <x:v>U/K</x:v>
      </x:c>
      <x:c r="D10" s="346" t="str">
        <x:v>U/K</x:v>
      </x:c>
      <x:c r="E10" s="346" t="str">
        <x:v>Yes</x:v>
      </x:c>
      <x:c r="F10" s="346" t="str">
        <x:v>Yes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Yes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Yes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Yes / U/K exact options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Yes</x:v>
      </x:c>
      <x:c r="AB10" s="346" t="str">
        <x:v>Yes</x:v>
      </x:c>
      <x:c r="AC10" s="346" t="str">
        <x:v>U/K</x:v>
      </x:c>
      <x:c r="AD10" s="346" t="str">
        <x:v>U/K</x:v>
      </x:c>
      <x:c r="AE10" s="346" t="str">
        <x:v>Yes/U/K exact options</x:v>
      </x:c>
    </x:row>
    <x:row r="11" ht="36" customHeight="1">
      <x:c r="A11" s="359" t="str">
        <x:v>720p Access (Free / Paid / Configurable)</x:v>
      </x:c>
      <x:c r="B11" s="346" t="str">
        <x:v>Free</x:v>
      </x:c>
      <x:c r="C11" s="346" t="str">
        <x:v>U/K</x:v>
      </x:c>
      <x:c r="D11" s="346" t="str">
        <x:v>U/K</x:v>
      </x:c>
      <x:c r="E11" s="346" t="str">
        <x:v>Free</x:v>
      </x:c>
      <x:c r="F11" s="346" t="str">
        <x:v>Free + Sudo selectable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Configurable/P2P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Free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Free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Free</x:v>
      </x:c>
      <x:c r="AB11" s="346" t="str">
        <x:v>Free</x:v>
      </x:c>
      <x:c r="AC11" s="346" t="str">
        <x:v>U/K</x:v>
      </x:c>
      <x:c r="AD11" s="346" t="str">
        <x:v>U/K</x:v>
      </x:c>
      <x:c r="AE11" s="346" t="str">
        <x:v>Free</x:v>
      </x:c>
    </x:row>
    <x:row r="12" ht="36" customHeight="1">
      <x:c r="A12" s="359" t="str">
        <x:v>720p Max FPS</x:v>
      </x:c>
      <x:c r="B12" s="346" t="str">
        <x:v>30</x:v>
      </x:c>
      <x:c r="C12" s="346" t="str">
        <x:v>U/K</x:v>
      </x:c>
      <x:c r="D12" s="346" t="str">
        <x:v>U/K</x:v>
      </x:c>
      <x:c r="E12" s="346" t="str">
        <x:v>30</x:v>
      </x:c>
      <x:c r="F12" s="346" t="str">
        <x:v>60 with Sudo; free max U/K/30 in prior docs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30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60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9" t="str">
        <x:v>1080p Available?</x:v>
      </x:c>
      <x:c r="B13" s="346" t="str">
        <x:v>Yes</x:v>
      </x:c>
      <x:c r="C13" s="346" t="str">
        <x:v>U/K</x:v>
      </x:c>
      <x:c r="D13" s="346" t="str">
        <x:v>U/K</x:v>
      </x:c>
      <x:c r="E13" s="346" t="str">
        <x:v>Yes</x:v>
      </x:c>
      <x:c r="F13" s="346" t="str">
        <x:v>Yes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Yes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Yes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Yes / U/K exact options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Yes</x:v>
      </x:c>
      <x:c r="AB13" s="346" t="str">
        <x:v>Yes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59" t="str">
        <x:v>1080p Access (Free / Paid / Configurable)</x:v>
      </x:c>
      <x:c r="B14" s="346" t="str">
        <x:v>Paid - Nitro</x:v>
      </x:c>
      <x:c r="C14" s="346" t="str">
        <x:v>U/K</x:v>
      </x:c>
      <x:c r="D14" s="346" t="str">
        <x:v>U/K</x:v>
      </x:c>
      <x:c r="E14" s="346" t="str">
        <x:v>Paid - Plutonium</x:v>
      </x:c>
      <x:c r="F14" s="346" t="str">
        <x:v>Paid - Sudo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Configurable/P2P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Free 30 FPS; Gold+ 60 FPS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Free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Paid - Rift+ or Shard Ember</x:v>
      </x:c>
      <x:c r="AB14" s="346" t="str">
        <x:v>Free</x:v>
      </x:c>
      <x:c r="AC14" s="346" t="str">
        <x:v>U/K</x:v>
      </x:c>
      <x:c r="AD14" s="346" t="str">
        <x:v>U/K</x:v>
      </x:c>
      <x:c r="AE14" s="346" t="str">
        <x:v>Free if supported</x:v>
      </x:c>
    </x:row>
    <x:row r="15" ht="36" customHeight="1">
      <x:c r="A15" s="359" t="str">
        <x:v>1080p Max FPS</x:v>
      </x:c>
      <x:c r="B15" s="346" t="str">
        <x:v>60</x:v>
      </x:c>
      <x:c r="C15" s="346" t="str">
        <x:v>U/K</x:v>
      </x:c>
      <x:c r="D15" s="346" t="str">
        <x:v>U/K</x:v>
      </x:c>
      <x:c r="E15" s="346" t="str">
        <x:v>60</x:v>
      </x:c>
      <x:c r="F15" s="346" t="str">
        <x:v>60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60 observed/configurable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60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60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1440p Available?</x:v>
      </x:c>
      <x:c r="B16" s="346" t="str">
        <x:v>U/K</x:v>
      </x:c>
      <x:c r="C16" s="346" t="str">
        <x:v>U/K</x:v>
      </x:c>
      <x:c r="D16" s="346" t="str">
        <x:v>U/K</x:v>
      </x:c>
      <x:c r="E16" s="346" t="str">
        <x:v>Yes (within paid max)</x:v>
      </x:c>
      <x:c r="F16" s="346" t="str">
        <x:v>Yes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Yes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Yes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59" t="str">
        <x:v>1440p Access (Free / Paid / Configurable)</x:v>
      </x:c>
      <x:c r="B17" s="346" t="str">
        <x:v>U/K</x:v>
      </x:c>
      <x:c r="C17" s="346" t="str">
        <x:v>U/K</x:v>
      </x:c>
      <x:c r="D17" s="346" t="str">
        <x:v>U/K</x:v>
      </x:c>
      <x:c r="E17" s="346" t="str">
        <x:v>Paid - Plutonium</x:v>
      </x:c>
      <x:c r="F17" s="346" t="str">
        <x:v>Paid - Sudo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Paid - Diamond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Free if supported; no paywall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Paid - Shard Forge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Free if supported</x:v>
      </x:c>
    </x:row>
    <x:row r="18" ht="36" customHeight="1">
      <x:c r="A18" s="359" t="str">
        <x:v>1440p Max FPS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60</x:v>
      </x:c>
      <x:c r="F18" s="346" t="str">
        <x:v>60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60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60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59" t="str">
        <x:v>4K Available?</x:v>
      </x:c>
      <x:c r="B19" s="346" t="str">
        <x:v>Yes</x:v>
      </x:c>
      <x:c r="C19" s="346" t="str">
        <x:v>U/K</x:v>
      </x:c>
      <x:c r="D19" s="346" t="str">
        <x:v>U/K</x:v>
      </x:c>
      <x:c r="E19" s="346" t="str">
        <x:v>Yes</x:v>
      </x:c>
      <x:c r="F19" s="346" t="str">
        <x:v>No documented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Yes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No documented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59" t="str">
        <x:v>4K Access (Free / Paid / Configurable)</x:v>
      </x:c>
      <x:c r="B20" s="346" t="str">
        <x:v>Paid - Nitro</x:v>
      </x:c>
      <x:c r="C20" s="346" t="str">
        <x:v>U/K</x:v>
      </x:c>
      <x:c r="D20" s="346" t="str">
        <x:v>U/K</x:v>
      </x:c>
      <x:c r="E20" s="346" t="str">
        <x:v>Paid - Plutonium</x:v>
      </x:c>
      <x:c r="F20" s="346" t="str">
        <x:v>N/A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Paid - Diamond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Free if supported; no paywall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N/A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Free if supported</x:v>
      </x:c>
    </x:row>
    <x:row r="21" ht="36" customHeight="1">
      <x:c r="A21" s="359" t="str">
        <x:v>4K Max FPS</x:v>
      </x:c>
      <x:c r="B21" s="346" t="str">
        <x:v>60</x:v>
      </x:c>
      <x:c r="C21" s="346" t="str">
        <x:v>U/K</x:v>
      </x:c>
      <x:c r="D21" s="346" t="str">
        <x:v>U/K</x:v>
      </x:c>
      <x:c r="E21" s="346" t="str">
        <x:v>60</x:v>
      </x:c>
      <x:c r="F21" s="346" t="str">
        <x:v>N/A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60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N/A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23" customHeight="1">
      <x:c r="A22" s="427" t="str">
        <x:v>Frame Rate Entitlements</x:v>
      </x:c>
      <x:c r="B22" s="427"/>
      <x:c r="C22" s="427"/>
      <x:c r="D22" s="427"/>
      <x:c r="E22" s="427"/>
      <x:c r="F22" s="427"/>
      <x:c r="G22" s="427"/>
      <x:c r="H22" s="427"/>
      <x:c r="I22" s="427"/>
      <x:c r="J22" s="427"/>
      <x:c r="K22" s="427"/>
      <x:c r="L22" s="427"/>
      <x:c r="M22" s="427"/>
      <x:c r="N22" s="427"/>
      <x:c r="O22" s="427"/>
      <x:c r="P22" s="427"/>
      <x:c r="Q22" s="427"/>
      <x:c r="R22" s="427"/>
      <x:c r="S22" s="427"/>
      <x:c r="T22" s="427"/>
      <x:c r="U22" s="427"/>
      <x:c r="V22" s="427"/>
      <x:c r="W22" s="427"/>
      <x:c r="X22" s="427"/>
      <x:c r="Y22" s="427"/>
      <x:c r="Z22" s="427"/>
      <x:c r="AA22" s="427"/>
      <x:c r="AB22" s="427"/>
      <x:c r="AC22" s="427"/>
      <x:c r="AD22" s="427"/>
      <x:c r="AE22" s="427"/>
    </x:row>
    <x:row r="23" ht="36" customHeight="1">
      <x:c r="A23" s="359" t="str">
        <x:v>30 FPS Available?</x:v>
      </x:c>
      <x:c r="B23" s="346" t="str">
        <x:v>Yes</x:v>
      </x:c>
      <x:c r="C23" s="346" t="str">
        <x:v>U/K</x:v>
      </x:c>
      <x:c r="D23" s="346" t="str">
        <x:v>U/K</x:v>
      </x:c>
      <x:c r="E23" s="346" t="str">
        <x:v>Yes</x:v>
      </x:c>
      <x:c r="F23" s="346" t="str">
        <x:v>Yes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Yes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U/K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36" customHeight="1">
      <x:c r="A24" s="359" t="str">
        <x:v>30 FPS Access</x:v>
      </x:c>
      <x:c r="B24" s="346" t="str">
        <x:v>Free</x:v>
      </x:c>
      <x:c r="C24" s="346" t="str">
        <x:v>U/K</x:v>
      </x:c>
      <x:c r="D24" s="346" t="str">
        <x:v>U/K</x:v>
      </x:c>
      <x:c r="E24" s="346" t="str">
        <x:v>Free</x:v>
      </x:c>
      <x:c r="F24" s="346" t="str">
        <x:v>Free / paid selectable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Configurable</x:v>
      </x:c>
      <x:c r="K24" s="346" t="str">
        <x:v>U/K</x:v>
      </x:c>
      <x:c r="L24" s="346" t="str">
        <x:v>U/K</x:v>
      </x:c>
      <x:c r="M24" s="346" t="str">
        <x:v>U/K</x:v>
      </x:c>
      <x:c r="N24" s="346" t="str">
        <x:v>Free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Free if supported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Free</x:v>
      </x:c>
      <x:c r="AB24" s="346" t="str">
        <x:v>Free/U/K</x:v>
      </x:c>
      <x:c r="AC24" s="346" t="str">
        <x:v>U/K</x:v>
      </x:c>
      <x:c r="AD24" s="346" t="str">
        <x:v>U/K</x:v>
      </x:c>
      <x:c r="AE24" s="346" t="str">
        <x:v>Free if supported</x:v>
      </x:c>
    </x:row>
    <x:row r="25" ht="36" customHeight="1">
      <x:c r="A25" s="359" t="str">
        <x:v>60 FPS Available?</x:v>
      </x:c>
      <x:c r="B25" s="346" t="str">
        <x:v>Yes</x:v>
      </x:c>
      <x:c r="C25" s="346" t="str">
        <x:v>U/K</x:v>
      </x:c>
      <x:c r="D25" s="346" t="str">
        <x:v>U/K</x:v>
      </x:c>
      <x:c r="E25" s="346" t="str">
        <x:v>Yes</x:v>
      </x:c>
      <x:c r="F25" s="346" t="str">
        <x:v>Yes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Yes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Yes</x:v>
      </x:c>
      <x:c r="AA25" s="380" t="str">
        <x:v>U/K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60 FPS Access</x:v>
      </x:c>
      <x:c r="B26" s="346" t="str">
        <x:v>Paid - Nitro</x:v>
      </x:c>
      <x:c r="C26" s="346" t="str">
        <x:v>U/K</x:v>
      </x:c>
      <x:c r="D26" s="346" t="str">
        <x:v>U/K</x:v>
      </x:c>
      <x:c r="E26" s="346" t="str">
        <x:v>Paid - Plutonium</x:v>
      </x:c>
      <x:c r="F26" s="346" t="str">
        <x:v>Paid - Sudo</x:v>
      </x:c>
      <x:c r="G26" s="346" t="str">
        <x:v>U/K</x:v>
      </x:c>
      <x:c r="H26" s="346" t="str">
        <x:v>U/K</x:v>
      </x:c>
      <x:c r="I26" s="346" t="str">
        <x:v>U/K</x:v>
      </x:c>
      <x:c r="J26" s="346" t="str">
        <x:v>Configurable</x:v>
      </x:c>
      <x:c r="K26" s="346" t="str">
        <x:v>U/K</x:v>
      </x:c>
      <x:c r="L26" s="346" t="str">
        <x:v>U/K</x:v>
      </x:c>
      <x:c r="M26" s="346" t="str">
        <x:v>U/K</x:v>
      </x:c>
      <x:c r="N26" s="346" t="str">
        <x:v>Gold+ / Diamond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Free if supported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Free at 720p; paid for higher resolution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Free if supported</x:v>
      </x:c>
    </x:row>
    <x:row r="27" ht="36" customHeight="1">
      <x:c r="A27" s="359" t="str">
        <x:v>120 FPS Available?</x:v>
      </x:c>
      <x:c r="B27" s="346" t="str">
        <x:v>No</x:v>
      </x:c>
      <x:c r="C27" s="346" t="str">
        <x:v>U/K</x:v>
      </x:c>
      <x:c r="D27" s="346" t="str">
        <x:v>U/K</x:v>
      </x:c>
      <x:c r="E27" s="346" t="str">
        <x:v>No</x:v>
      </x:c>
      <x:c r="F27" s="346" t="str">
        <x:v>No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No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Yes</x:v>
      </x:c>
      <x:c r="AA27" s="380" t="str">
        <x:v>No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59" t="str">
        <x:v>120 FPS Access</x:v>
      </x:c>
      <x:c r="B28" s="346" t="str">
        <x:v>No documented</x:v>
      </x:c>
      <x:c r="C28" s="346" t="str">
        <x:v>U/K</x:v>
      </x:c>
      <x:c r="D28" s="346" t="str">
        <x:v>U/K</x:v>
      </x:c>
      <x:c r="E28" s="346" t="str">
        <x:v>No documented</x:v>
      </x:c>
      <x:c r="F28" s="346" t="str">
        <x:v>No documented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U/K</x:v>
      </x:c>
      <x:c r="L28" s="346" t="str">
        <x:v>U/K</x:v>
      </x:c>
      <x:c r="M28" s="346" t="str">
        <x:v>U/K</x:v>
      </x:c>
      <x:c r="N28" s="346" t="str">
        <x:v>No documented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No documented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23" customHeight="1">
      <x:c r="A29" s="427" t="str">
        <x:v>Maximums</x:v>
      </x:c>
      <x:c r="B29" s="427"/>
      <x:c r="C29" s="427"/>
      <x:c r="D29" s="427"/>
      <x:c r="E29" s="427"/>
      <x:c r="F29" s="427"/>
      <x:c r="G29" s="427"/>
      <x:c r="H29" s="427"/>
      <x:c r="I29" s="427"/>
      <x:c r="J29" s="427"/>
      <x:c r="K29" s="427"/>
      <x:c r="L29" s="427"/>
      <x:c r="M29" s="427"/>
      <x:c r="N29" s="427"/>
      <x:c r="O29" s="427"/>
      <x:c r="P29" s="427"/>
      <x:c r="Q29" s="427"/>
      <x:c r="R29" s="427"/>
      <x:c r="S29" s="427"/>
      <x:c r="T29" s="427"/>
      <x:c r="U29" s="427"/>
      <x:c r="V29" s="427"/>
      <x:c r="W29" s="427"/>
      <x:c r="X29" s="427"/>
      <x:c r="Y29" s="427"/>
      <x:c r="Z29" s="427"/>
      <x:c r="AA29" s="427"/>
      <x:c r="AB29" s="427"/>
      <x:c r="AC29" s="427"/>
      <x:c r="AD29" s="427"/>
      <x:c r="AE29" s="427"/>
    </x:row>
    <x:row r="30" ht="36" customHeight="1">
      <x:c r="A30" s="359" t="str">
        <x:v>Free Max Resolution</x:v>
      </x:c>
      <x:c r="B30" s="346" t="str">
        <x:v>720p</x:v>
      </x:c>
      <x:c r="C30" s="346" t="str">
        <x:v>U/K</x:v>
      </x:c>
      <x:c r="D30" s="346" t="str">
        <x:v>U/K</x:v>
      </x:c>
      <x:c r="E30" s="346" t="str">
        <x:v>720p</x:v>
      </x:c>
      <x:c r="F30" s="346" t="str">
        <x:v>720p game / Source text mode</x:v>
      </x:c>
      <x:c r="G30" s="346" t="str">
        <x:v>Client-dependent</x:v>
      </x:c>
      <x:c r="H30" s="346" t="str">
        <x:v>Operator/config dependent</x:v>
      </x:c>
      <x:c r="I30" s="346" t="str">
        <x:v>N/A</x:v>
      </x:c>
      <x:c r="J30" s="346" t="str">
        <x:v>U/K</x:v>
      </x:c>
      <x:c r="K30" s="346" t="str">
        <x:v>Provider-dependent</x:v>
      </x:c>
      <x:c r="L30" s="346" t="str">
        <x:v>Deployment/plan dependent</x:v>
      </x:c>
      <x:c r="M30" s="346" t="str">
        <x:v>Provider-dependent</x:v>
      </x:c>
      <x:c r="N30" s="346" t="str">
        <x:v>1080p</x:v>
      </x:c>
      <x:c r="O30" s="346" t="str">
        <x:v>U/K</x:v>
      </x:c>
      <x:c r="P30" s="346" t="str">
        <x:v>U/K</x:v>
      </x:c>
      <x:c r="Q30" s="346" t="str">
        <x:v>HD/U/K</x:v>
      </x:c>
      <x:c r="R30" s="346" t="str">
        <x:v>U/K</x:v>
      </x:c>
      <x:c r="S30" s="346" t="str">
        <x:v>Unlimited / no resolution paywall; technical max U/K</x:v>
      </x:c>
      <x:c r="T30" s="346" t="str">
        <x:v>U/K</x:v>
      </x:c>
      <x:c r="U30" s="346" t="str">
        <x:v>Up to 1440p</x:v>
      </x:c>
      <x:c r="V30" s="346" t="str">
        <x:v>N/A</x:v>
      </x:c>
      <x:c r="W30" s="346" t="str">
        <x:v>N/A</x:v>
      </x:c>
      <x:c r="X30" s="346" t="str">
        <x:v>U/K</x:v>
      </x:c>
      <x:c r="Y30" s="346" t="str">
        <x:v>U/K</x:v>
      </x:c>
      <x:c r="Z30" s="346" t="str">
        <x:v>Up to 4K</x:v>
      </x:c>
      <x:c r="AA30" s="380" t="str">
        <x:v>720p</x:v>
      </x:c>
      <x:c r="AB30" s="346" t="str">
        <x:v>1080p</x:v>
      </x:c>
      <x:c r="AC30" s="346" t="str">
        <x:v>HD/U/K</x:v>
      </x:c>
      <x:c r="AD30" s="346" t="str">
        <x:v>U/K</x:v>
      </x:c>
      <x:c r="AE30" s="346" t="str">
        <x:v>U/K</x:v>
      </x:c>
    </x:row>
    <x:row r="31" ht="36" customHeight="1">
      <x:c r="A31" s="359" t="str">
        <x:v>Free Max FPS</x:v>
      </x:c>
      <x:c r="B31" s="346" t="str">
        <x:v>30</x:v>
      </x:c>
      <x:c r="C31" s="346" t="str">
        <x:v>U/K</x:v>
      </x:c>
      <x:c r="D31" s="346" t="str">
        <x:v>U/K</x:v>
      </x:c>
      <x:c r="E31" s="346" t="str">
        <x:v>30</x:v>
      </x:c>
      <x:c r="F31" s="346" t="str">
        <x:v>30 game / 5 source</x:v>
      </x:c>
      <x:c r="G31" s="346" t="str">
        <x:v>Client-dependent</x:v>
      </x:c>
      <x:c r="H31" s="346" t="str">
        <x:v>U/K</x:v>
      </x:c>
      <x:c r="I31" s="346" t="str">
        <x:v>N/A</x:v>
      </x:c>
      <x:c r="J31" s="346" t="str">
        <x:v>U/K</x:v>
      </x:c>
      <x:c r="K31" s="346" t="str">
        <x:v>Provider-dependent</x:v>
      </x:c>
      <x:c r="L31" s="346" t="str">
        <x:v>Deployment/plan dependent</x:v>
      </x:c>
      <x:c r="M31" s="346" t="str">
        <x:v>Provider-dependent</x:v>
      </x:c>
      <x:c r="N31" s="346" t="str">
        <x:v>30</x:v>
      </x:c>
      <x:c r="O31" s="346" t="str">
        <x:v>U/K</x:v>
      </x:c>
      <x:c r="P31" s="346" t="str">
        <x:v>U/K</x:v>
      </x:c>
      <x:c r="Q31" s="346" t="str">
        <x:v>U/K</x:v>
      </x:c>
      <x:c r="R31" s="346" t="str">
        <x:v>U/K</x:v>
      </x:c>
      <x:c r="S31" s="346" t="str">
        <x:v>U/K</x:v>
      </x:c>
      <x:c r="T31" s="346" t="str">
        <x:v>U/K</x:v>
      </x:c>
      <x:c r="U31" s="346" t="str">
        <x:v>U/K</x:v>
      </x:c>
      <x:c r="V31" s="346" t="str">
        <x:v>N/A</x:v>
      </x:c>
      <x:c r="W31" s="346" t="str">
        <x:v>N/A</x:v>
      </x:c>
      <x:c r="X31" s="346" t="str">
        <x:v>U/K</x:v>
      </x:c>
      <x:c r="Y31" s="346" t="str">
        <x:v>U/K</x:v>
      </x:c>
      <x:c r="Z31" s="346" t="str">
        <x:v>Up to 60/120 by version/config</x:v>
      </x:c>
      <x:c r="AA31" s="380" t="str">
        <x:v>60</x:v>
      </x:c>
      <x:c r="AB31" s="346" t="str">
        <x:v>U/K</x:v>
      </x:c>
      <x:c r="AC31" s="346" t="str">
        <x:v>U/K</x:v>
      </x:c>
      <x:c r="AD31" s="346" t="str">
        <x:v>U/K</x:v>
      </x:c>
      <x:c r="AE31" s="346" t="str">
        <x:v>U/K</x:v>
      </x:c>
    </x:row>
    <x:row r="32" ht="36" customHeight="1">
      <x:c r="A32" s="359" t="str">
        <x:v>Absolute Max Resolution</x:v>
      </x:c>
      <x:c r="B32" s="346" t="str">
        <x:v>4K</x:v>
      </x:c>
      <x:c r="C32" s="346" t="str">
        <x:v>U/K</x:v>
      </x:c>
      <x:c r="D32" s="346" t="str">
        <x:v>U/K</x:v>
      </x:c>
      <x:c r="E32" s="346" t="str">
        <x:v>4K</x:v>
      </x:c>
      <x:c r="F32" s="346" t="str">
        <x:v>1440p</x:v>
      </x:c>
      <x:c r="G32" s="346" t="str">
        <x:v>U/K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U/K</x:v>
      </x:c>
      <x:c r="L32" s="346" t="str">
        <x:v>U/K</x:v>
      </x:c>
      <x:c r="M32" s="346" t="str">
        <x:v>U/K</x:v>
      </x:c>
      <x:c r="N32" s="346" t="str">
        <x:v>4K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1440p</x:v>
      </x:c>
      <x:c r="AB32" s="346" t="str">
        <x:v>1080p verified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59" t="str">
        <x:v>Absolute Max FPS</x:v>
      </x:c>
      <x:c r="B33" s="346" t="str">
        <x:v>60</x:v>
      </x:c>
      <x:c r="C33" s="346" t="str">
        <x:v>U/K</x:v>
      </x:c>
      <x:c r="D33" s="346" t="str">
        <x:v>U/K</x:v>
      </x:c>
      <x:c r="E33" s="346" t="str">
        <x:v>60</x:v>
      </x:c>
      <x:c r="F33" s="346" t="str">
        <x:v>60</x:v>
      </x:c>
      <x:c r="G33" s="346" t="str">
        <x:v>U/K</x:v>
      </x:c>
      <x:c r="H33" s="346" t="str">
        <x:v>U/K</x:v>
      </x:c>
      <x:c r="I33" s="346" t="str">
        <x:v>U/K</x:v>
      </x:c>
      <x:c r="J33" s="346" t="str">
        <x:v>U/K</x:v>
      </x:c>
      <x:c r="K33" s="346" t="str">
        <x:v>U/K</x:v>
      </x:c>
      <x:c r="L33" s="346" t="str">
        <x:v>U/K</x:v>
      </x:c>
      <x:c r="M33" s="346" t="str">
        <x:v>U/K</x:v>
      </x:c>
      <x:c r="N33" s="346" t="str">
        <x:v>60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60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  <x:row r="34" ht="36" customHeight="1">
      <x:c r="A34" s="359" t="str">
        <x:v>Paid Tier Needed for Absolute Max</x:v>
      </x:c>
      <x:c r="B34" s="346" t="str">
        <x:v>Nitro</x:v>
      </x:c>
      <x:c r="C34" s="346" t="str">
        <x:v>U/K</x:v>
      </x:c>
      <x:c r="D34" s="346" t="str">
        <x:v>U/K</x:v>
      </x:c>
      <x:c r="E34" s="346" t="str">
        <x:v>Plutonium</x:v>
      </x:c>
      <x:c r="F34" s="346" t="str">
        <x:v>Sudo</x:v>
      </x:c>
      <x:c r="G34" s="346" t="str">
        <x:v>U/K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U/K</x:v>
      </x:c>
      <x:c r="L34" s="346" t="str">
        <x:v>U/K</x:v>
      </x:c>
      <x:c r="M34" s="346" t="str">
        <x:v>U/K</x:v>
      </x:c>
      <x:c r="N34" s="346" t="str">
        <x:v>Diamond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None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Shard Forge</x:v>
      </x:c>
      <x:c r="AB34" s="346" t="str">
        <x:v>None verified</x:v>
      </x:c>
      <x:c r="AC34" s="346" t="str">
        <x:v>U/K</x:v>
      </x:c>
      <x:c r="AD34" s="346" t="str">
        <x:v>U/K</x:v>
      </x:c>
      <x:c r="AE34" s="346" t="str">
        <x:v>None for core voice/video/screen share</x:v>
      </x:c>
    </x:row>
    <x:row r="35" ht="23" customHeight="1">
      <x:c r="A35" s="427" t="str">
        <x:v>Capture &amp; Viewing</x:v>
      </x:c>
      <x:c r="B35" s="427"/>
      <x:c r="C35" s="427"/>
      <x:c r="D35" s="427"/>
      <x:c r="E35" s="427"/>
      <x:c r="F35" s="427"/>
      <x:c r="G35" s="427"/>
      <x:c r="H35" s="427"/>
      <x:c r="I35" s="427"/>
      <x:c r="J35" s="427"/>
      <x:c r="K35" s="427"/>
      <x:c r="L35" s="427"/>
      <x:c r="M35" s="427"/>
      <x:c r="N35" s="427"/>
      <x:c r="O35" s="427"/>
      <x:c r="P35" s="427"/>
      <x:c r="Q35" s="427"/>
      <x:c r="R35" s="427"/>
      <x:c r="S35" s="427"/>
      <x:c r="T35" s="427"/>
      <x:c r="U35" s="427"/>
      <x:c r="V35" s="427"/>
      <x:c r="W35" s="427"/>
      <x:c r="X35" s="427"/>
      <x:c r="Y35" s="427"/>
      <x:c r="Z35" s="427"/>
      <x:c r="AA35" s="427"/>
      <x:c r="AB35" s="427"/>
      <x:c r="AC35" s="427"/>
      <x:c r="AD35" s="427"/>
      <x:c r="AE35" s="427"/>
    </x:row>
    <x:row r="36" ht="36" customHeight="1">
      <x:c r="A36" s="359" t="str">
        <x:v>Application Audio Capture?</x:v>
      </x:c>
      <x:c r="B36" s="346" t="str">
        <x:v>Yes</x:v>
      </x:c>
      <x:c r="C36" s="346" t="str">
        <x:v>Yes/U/K</x:v>
      </x:c>
      <x:c r="D36" s="346" t="str">
        <x:v>U/K</x:v>
      </x:c>
      <x:c r="E36" s="346" t="str">
        <x:v>Yes</x:v>
      </x:c>
      <x:c r="F36" s="346" t="str">
        <x:v>Yes</x:v>
      </x:c>
      <x:c r="G36" s="346" t="str">
        <x:v>Client-dependent</x:v>
      </x:c>
      <x:c r="H36" s="346" t="str">
        <x:v>U/K</x:v>
      </x:c>
      <x:c r="I36" s="346" t="str">
        <x:v>N/A</x:v>
      </x:c>
      <x:c r="J36" s="346" t="str">
        <x:v>Yes</x:v>
      </x:c>
      <x:c r="K36" s="346" t="str">
        <x:v>Provider-dependent</x:v>
      </x:c>
      <x:c r="L36" s="346" t="str">
        <x:v>Yes</x:v>
      </x:c>
      <x:c r="M36" s="346" t="str">
        <x:v>Provider-dependent</x:v>
      </x:c>
      <x:c r="N36" s="346" t="str">
        <x:v>Yes</x:v>
      </x:c>
      <x:c r="O36" s="346" t="str">
        <x:v>U/K</x:v>
      </x:c>
      <x:c r="P36" s="346" t="str">
        <x:v>Yes</x:v>
      </x:c>
      <x:c r="Q36" s="346" t="str">
        <x:v>Yes</x:v>
      </x:c>
      <x:c r="R36" s="346" t="str">
        <x:v>U/K</x:v>
      </x:c>
      <x:c r="S36" s="346" t="str">
        <x:v>Yes</x:v>
      </x:c>
      <x:c r="T36" s="346" t="str">
        <x:v>U/K</x:v>
      </x:c>
      <x:c r="U36" s="346" t="str">
        <x:v>Yes</x:v>
      </x:c>
      <x:c r="V36" s="346" t="str">
        <x:v>U/K</x:v>
      </x:c>
      <x:c r="W36" s="346" t="str">
        <x:v>N/A</x:v>
      </x:c>
      <x:c r="X36" s="346" t="str">
        <x:v>U/K</x:v>
      </x:c>
      <x:c r="Y36" s="346" t="str">
        <x:v>U/K</x:v>
      </x:c>
      <x:c r="Z36" s="346" t="str">
        <x:v>Yes</x:v>
      </x:c>
      <x:c r="AA36" s="380" t="str">
        <x:v>U/K</x:v>
      </x:c>
      <x:c r="AB36" s="346" t="str">
        <x:v>Yes</x:v>
      </x:c>
      <x:c r="AC36" s="346" t="str">
        <x:v>Yes</x:v>
      </x:c>
      <x:c r="AD36" s="346" t="str">
        <x:v>U/K</x:v>
      </x:c>
      <x:c r="AE36" s="346" t="str">
        <x:v>Yes</x:v>
      </x:c>
    </x:row>
    <x:row r="37" ht="36" customHeight="1">
      <x:c r="A37" s="359" t="str">
        <x:v>System Audio Capture?</x:v>
      </x:c>
      <x:c r="B37" s="346" t="str">
        <x:v>Yes on supported platforms</x:v>
      </x:c>
      <x:c r="C37" s="346" t="str">
        <x:v>U/K</x:v>
      </x:c>
      <x:c r="D37" s="346" t="str">
        <x:v>U/K</x:v>
      </x:c>
      <x:c r="E37" s="346" t="str">
        <x:v>Yes on supported desktop</x:v>
      </x:c>
      <x:c r="F37" s="346" t="str">
        <x:v>Yes</x:v>
      </x:c>
      <x:c r="G37" s="346" t="str">
        <x:v>Client-dependent</x:v>
      </x:c>
      <x:c r="H37" s="346" t="str">
        <x:v>U/K</x:v>
      </x:c>
      <x:c r="I37" s="346" t="str">
        <x:v>N/A</x:v>
      </x:c>
      <x:c r="J37" s="346" t="str">
        <x:v>Yes/U/K</x:v>
      </x:c>
      <x:c r="K37" s="346" t="str">
        <x:v>Provider-dependent</x:v>
      </x:c>
      <x:c r="L37" s="346" t="str">
        <x:v>Yes</x:v>
      </x:c>
      <x:c r="M37" s="346" t="str">
        <x:v>Provider-dependent</x:v>
      </x:c>
      <x:c r="N37" s="346" t="str">
        <x:v>Yes/U/K</x:v>
      </x:c>
      <x:c r="O37" s="346" t="str">
        <x:v>U/K</x:v>
      </x:c>
      <x:c r="P37" s="346" t="str">
        <x:v>Yes/U/K</x:v>
      </x:c>
      <x:c r="Q37" s="346" t="str">
        <x:v>Yes/U/K</x:v>
      </x:c>
      <x:c r="R37" s="346" t="str">
        <x:v>U/K</x:v>
      </x:c>
      <x:c r="S37" s="346" t="str">
        <x:v>Yes/U/K</x:v>
      </x:c>
      <x:c r="T37" s="346" t="str">
        <x:v>U/K</x:v>
      </x:c>
      <x:c r="U37" s="346" t="str">
        <x:v>Yes/U/K</x:v>
      </x:c>
      <x:c r="V37" s="346" t="str">
        <x:v>U/K</x:v>
      </x:c>
      <x:c r="W37" s="346" t="str">
        <x:v>N/A</x:v>
      </x:c>
      <x:c r="X37" s="346" t="str">
        <x:v>U/K</x:v>
      </x:c>
      <x:c r="Y37" s="346" t="str">
        <x:v>U/K</x:v>
      </x:c>
      <x:c r="Z37" s="346" t="str">
        <x:v>Yes/U/K</x:v>
      </x:c>
      <x:c r="AA37" s="380" t="str">
        <x:v>U/K</x:v>
      </x:c>
      <x:c r="AB37" s="346" t="str">
        <x:v>Yes</x:v>
      </x:c>
      <x:c r="AC37" s="346" t="str">
        <x:v>Yes/U/K</x:v>
      </x:c>
      <x:c r="AD37" s="346" t="str">
        <x:v>U/K</x:v>
      </x:c>
      <x:c r="AE37" s="346" t="str">
        <x:v>Yes/U/K</x:v>
      </x:c>
    </x:row>
    <x:row r="38" ht="36" customHeight="1">
      <x:c r="A38" s="359" t="str">
        <x:v>Linux Screen Audio?</x:v>
      </x:c>
      <x:c r="B38" s="346" t="str">
        <x:v>Linux audio-share limitations</x:v>
      </x:c>
      <x:c r="C38" s="346" t="str">
        <x:v>U/K</x:v>
      </x:c>
      <x:c r="D38" s="346" t="str">
        <x:v>U/K</x:v>
      </x:c>
      <x:c r="E38" s="346" t="str">
        <x:v>Advanced Linux source/audio options reported in canary; stable details U/K</x:v>
      </x:c>
      <x:c r="F38" s="346" t="str">
        <x:v>Linux PipeWire support noted; current exact behavior U/K</x:v>
      </x:c>
      <x:c r="G38" s="346" t="str">
        <x:v>Client-dependent</x:v>
      </x:c>
      <x:c r="H38" s="346" t="str">
        <x:v>U/K</x:v>
      </x:c>
      <x:c r="I38" s="346" t="str">
        <x:v>N/A</x:v>
      </x:c>
      <x:c r="J38" s="346" t="str">
        <x:v>U/K</x:v>
      </x:c>
      <x:c r="K38" s="346" t="str">
        <x:v>Provider-dependent</x:v>
      </x:c>
      <x:c r="L38" s="346" t="str">
        <x:v>Depends desktop/Linux support</x:v>
      </x:c>
      <x:c r="M38" s="346" t="str">
        <x:v>Provider-dependent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Linux mic I/O known rough edge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N/A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U/K</x:v>
      </x:c>
      <x:c r="AB38" s="346" t="str">
        <x:v>Linux supported</x:v>
      </x:c>
      <x:c r="AC38" s="346" t="str">
        <x:v>Linux supported/U/K</x:v>
      </x:c>
      <x:c r="AD38" s="346" t="str">
        <x:v>U/K</x:v>
      </x:c>
      <x:c r="AE38" s="346" t="str">
        <x:v>U/K</x:v>
      </x:c>
    </x:row>
    <x:row r="39" ht="36" customHeight="1">
      <x:c r="A39" s="359" t="str">
        <x:v>Mobile Screen Share?</x:v>
      </x:c>
      <x:c r="B39" s="346" t="str">
        <x:v>Mobile screen share supported</x:v>
      </x:c>
      <x:c r="C39" s="346" t="str">
        <x:v>U/K</x:v>
      </x:c>
      <x:c r="D39" s="346" t="str">
        <x:v>U/K</x:v>
      </x:c>
      <x:c r="E39" s="346" t="str">
        <x:v>Mobile beta support U/K</x:v>
      </x:c>
      <x:c r="F39" s="346" t="str">
        <x:v>No sharing from mobile</x:v>
      </x:c>
      <x:c r="G39" s="346" t="str">
        <x:v>Client-dependent</x:v>
      </x:c>
      <x:c r="H39" s="346" t="str">
        <x:v>U/K</x:v>
      </x:c>
      <x:c r="I39" s="346" t="str">
        <x:v>N/A</x:v>
      </x:c>
      <x:c r="J39" s="346" t="str">
        <x:v>U/K</x:v>
      </x:c>
      <x:c r="K39" s="346" t="str">
        <x:v>Provider-dependent</x:v>
      </x:c>
      <x:c r="L39" s="346" t="str">
        <x:v>Mobile behavior varies</x:v>
      </x:c>
      <x:c r="M39" s="346" t="str">
        <x:v>Provider-dependent</x:v>
      </x:c>
      <x:c r="N39" s="346" t="str">
        <x:v>Yes/U/K</x:v>
      </x:c>
      <x:c r="O39" s="346" t="str">
        <x:v>U/K</x:v>
      </x:c>
      <x:c r="P39" s="346" t="str">
        <x:v>U/K</x:v>
      </x:c>
      <x:c r="Q39" s="346" t="str">
        <x:v>U/K</x:v>
      </x:c>
      <x:c r="R39" s="346" t="str">
        <x:v>U/K</x:v>
      </x:c>
      <x:c r="S39" s="346" t="str">
        <x:v>Yes/U/K</x:v>
      </x:c>
      <x:c r="T39" s="346" t="str">
        <x:v>U/K</x:v>
      </x:c>
      <x:c r="U39" s="346" t="str">
        <x:v>U/K</x:v>
      </x:c>
      <x:c r="V39" s="346" t="str">
        <x:v>U/K</x:v>
      </x:c>
      <x:c r="W39" s="346" t="str">
        <x:v>N/A</x:v>
      </x:c>
      <x:c r="X39" s="346" t="str">
        <x:v>U/K</x:v>
      </x:c>
      <x:c r="Y39" s="346" t="str">
        <x:v>U/K</x:v>
      </x:c>
      <x:c r="Z39" s="346" t="str">
        <x:v>U/K</x:v>
      </x:c>
      <x:c r="AA39" s="380" t="str">
        <x:v>U/K</x:v>
      </x:c>
      <x:c r="AB39" s="346" t="str">
        <x:v>Phone can watch shares; sharing U/K</x:v>
      </x:c>
      <x:c r="AC39" s="346" t="str">
        <x:v>U/K</x:v>
      </x:c>
      <x:c r="AD39" s="346" t="str">
        <x:v>U/K</x:v>
      </x:c>
      <x:c r="AE39" s="346" t="str">
        <x:v>U/K</x:v>
      </x:c>
    </x:row>
    <x:row r="40" ht="36" customHeight="1">
      <x:c r="A40" s="359" t="str">
        <x:v>Multiple Concurrent Screen Shares?</x:v>
      </x:c>
      <x:c r="B40" s="346" t="str">
        <x:v>U/K</x:v>
      </x:c>
      <x:c r="C40" s="346" t="str">
        <x:v>U/K</x:v>
      </x:c>
      <x:c r="D40" s="346" t="str">
        <x:v>U/K</x:v>
      </x:c>
      <x:c r="E40" s="346" t="str">
        <x:v>U/K</x:v>
      </x:c>
      <x:c r="F40" s="346" t="str">
        <x:v>U/K</x:v>
      </x:c>
      <x:c r="G40" s="346" t="str">
        <x:v>Client/provider-dependent</x:v>
      </x:c>
      <x:c r="H40" s="346" t="str">
        <x:v>Implementation-dependent</x:v>
      </x:c>
      <x:c r="I40" s="346" t="str">
        <x:v>N/A</x:v>
      </x:c>
      <x:c r="J40" s="346" t="str">
        <x:v>U/K</x:v>
      </x:c>
      <x:c r="K40" s="346" t="str">
        <x:v>Provider-dependent</x:v>
      </x:c>
      <x:c r="L40" s="346" t="str">
        <x:v>Plan-dependent</x:v>
      </x:c>
      <x:c r="M40" s="346" t="str">
        <x:v>Provider-dependent</x:v>
      </x:c>
      <x:c r="N40" s="346" t="str">
        <x:v>U/K</x:v>
      </x:c>
      <x:c r="O40" s="346" t="str">
        <x:v>U/K</x:v>
      </x:c>
      <x:c r="P40" s="346" t="str">
        <x:v>U/K</x:v>
      </x:c>
      <x:c r="Q40" s="346" t="str">
        <x:v>U/K</x:v>
      </x:c>
      <x:c r="R40" s="346" t="str">
        <x:v>U/K</x:v>
      </x:c>
      <x:c r="S40" s="346" t="str">
        <x:v>U/K</x:v>
      </x:c>
      <x:c r="T40" s="346" t="str">
        <x:v>U/K</x:v>
      </x:c>
      <x:c r="U40" s="346" t="str">
        <x:v>U/K</x:v>
      </x:c>
      <x:c r="V40" s="346" t="str">
        <x:v>U/K</x:v>
      </x:c>
      <x:c r="W40" s="346" t="str">
        <x:v>N/A</x:v>
      </x:c>
      <x:c r="X40" s="346" t="str">
        <x:v>U/K</x:v>
      </x:c>
      <x:c r="Y40" s="346" t="str">
        <x:v>P2P</x:v>
      </x:c>
      <x:c r="Z40" s="346" t="str">
        <x:v>U/K</x:v>
      </x:c>
      <x:c r="AA40" s="380" t="str">
        <x:v>U/K</x:v>
      </x:c>
      <x:c r="AB40" s="346" t="str">
        <x:v>Yes</x:v>
      </x:c>
      <x:c r="AC40" s="346" t="str">
        <x:v>U/K</x:v>
      </x:c>
      <x:c r="AD40" s="346" t="str">
        <x:v>U/K</x:v>
      </x:c>
      <x:c r="AE40" s="346" t="str">
        <x:v>U/K</x:v>
      </x:c>
    </x:row>
    <x:row r="41" ht="36" customHeight="1">
      <x:c r="A41" s="359" t="str">
        <x:v>Max Concurrent Screen Shares</x:v>
      </x:c>
      <x:c r="B41" s="346" t="str">
        <x:v>U/K</x:v>
      </x:c>
      <x:c r="C41" s="346" t="str">
        <x:v>U/K</x:v>
      </x:c>
      <x:c r="D41" s="346" t="str">
        <x:v>U/K</x:v>
      </x:c>
      <x:c r="E41" s="346" t="str">
        <x:v>U/K</x:v>
      </x:c>
      <x:c r="F41" s="346" t="str">
        <x:v>U/K</x:v>
      </x:c>
      <x:c r="G41" s="346" t="str">
        <x:v>U/K</x:v>
      </x:c>
      <x:c r="H41" s="346" t="str">
        <x:v>U/K</x:v>
      </x:c>
      <x:c r="I41" s="346" t="str">
        <x:v>U/K</x:v>
      </x:c>
      <x:c r="J41" s="346" t="str">
        <x:v>U/K</x:v>
      </x:c>
      <x:c r="K41" s="346" t="str">
        <x:v>U/K</x:v>
      </x:c>
      <x:c r="L41" s="346" t="str">
        <x:v>U/K</x:v>
      </x:c>
      <x:c r="M41" s="346" t="str">
        <x:v>U/K</x:v>
      </x:c>
      <x:c r="N41" s="346" t="str">
        <x:v>Multiple; exact max U/K</x:v>
      </x:c>
      <x:c r="O41" s="346" t="str">
        <x:v>U/K</x:v>
      </x:c>
      <x:c r="P41" s="346" t="str">
        <x:v>U/K</x:v>
      </x:c>
      <x:c r="Q41" s="346" t="str">
        <x:v>U/K</x:v>
      </x:c>
      <x:c r="R41" s="346" t="str">
        <x:v>U/K</x:v>
      </x:c>
      <x:c r="S41" s="346" t="str">
        <x:v>U/K</x:v>
      </x:c>
      <x:c r="T41" s="346" t="str">
        <x:v>U/K</x:v>
      </x:c>
      <x:c r="U41" s="346" t="str">
        <x:v>U/K</x:v>
      </x:c>
      <x:c r="V41" s="346" t="str">
        <x:v>U/K</x:v>
      </x:c>
      <x:c r="W41" s="346" t="str">
        <x:v>U/K</x:v>
      </x:c>
      <x:c r="X41" s="346" t="str">
        <x:v>U/K</x:v>
      </x:c>
      <x:c r="Y41" s="346" t="str">
        <x:v>U/K</x:v>
      </x:c>
      <x:c r="Z41" s="346" t="str">
        <x:v>U/K</x:v>
      </x:c>
      <x:c r="AA41" s="380" t="str">
        <x:v>U/K</x:v>
      </x:c>
      <x:c r="AB41" s="346" t="str">
        <x:v>4</x:v>
      </x:c>
      <x:c r="AC41" s="346" t="str">
        <x:v>U/K</x:v>
      </x:c>
      <x:c r="AD41" s="346" t="str">
        <x:v>U/K</x:v>
      </x:c>
      <x:c r="AE41" s="346" t="str">
        <x:v>U/K</x:v>
      </x:c>
    </x:row>
    <x:row r="42" ht="36" customHeight="1">
      <x:c r="A42" s="359" t="str">
        <x:v>Simultaneous Multi-Stream Viewing?</x:v>
      </x:c>
      <x:c r="B42" s="346" t="str">
        <x:v>Yes</x:v>
      </x:c>
      <x:c r="C42" s="346" t="str">
        <x:v>Yes/U/K</x:v>
      </x:c>
      <x:c r="D42" s="346" t="str">
        <x:v>Yes/U/K</x:v>
      </x:c>
      <x:c r="E42" s="346" t="str">
        <x:v>Yes</x:v>
      </x:c>
      <x:c r="F42" s="346" t="str">
        <x:v>Yes</x:v>
      </x:c>
      <x:c r="G42" s="346" t="str">
        <x:v>Client-dependent</x:v>
      </x:c>
      <x:c r="H42" s="346" t="str">
        <x:v>Yes/U/K</x:v>
      </x:c>
      <x:c r="I42" s="346" t="str">
        <x:v>N/A</x:v>
      </x:c>
      <x:c r="J42" s="346" t="str">
        <x:v>Yes/U/K</x:v>
      </x:c>
      <x:c r="K42" s="346" t="str">
        <x:v>Provider-dependent</x:v>
      </x:c>
      <x:c r="L42" s="346" t="str">
        <x:v>Yes</x:v>
      </x:c>
      <x:c r="M42" s="346" t="str">
        <x:v>Provider-dependent</x:v>
      </x:c>
      <x:c r="N42" s="346" t="str">
        <x:v>Yes</x:v>
      </x:c>
      <x:c r="O42" s="346" t="str">
        <x:v>U/K</x:v>
      </x:c>
      <x:c r="P42" s="346" t="str">
        <x:v>Yes</x:v>
      </x:c>
      <x:c r="Q42" s="346" t="str">
        <x:v>Yes</x:v>
      </x:c>
      <x:c r="R42" s="346" t="str">
        <x:v>U/K</x:v>
      </x:c>
      <x:c r="S42" s="346" t="str">
        <x:v>Yes</x:v>
      </x:c>
      <x:c r="T42" s="346" t="str">
        <x:v>U/K</x:v>
      </x:c>
      <x:c r="U42" s="346" t="str">
        <x:v>U/K</x:v>
      </x:c>
      <x:c r="V42" s="346" t="str">
        <x:v>U/K</x:v>
      </x:c>
      <x:c r="W42" s="346" t="str">
        <x:v>N/A</x:v>
      </x:c>
      <x:c r="X42" s="346" t="str">
        <x:v>U/K</x:v>
      </x:c>
      <x:c r="Y42" s="346" t="str">
        <x:v>U/K</x:v>
      </x:c>
      <x:c r="Z42" s="346" t="str">
        <x:v>U/K</x:v>
      </x:c>
      <x:c r="AA42" s="380" t="str">
        <x:v>U/K</x:v>
      </x:c>
      <x:c r="AB42" s="346" t="str">
        <x:v>Yes - 100+ watch party</x:v>
      </x:c>
      <x:c r="AC42" s="346" t="str">
        <x:v>Yes</x:v>
      </x:c>
      <x:c r="AD42" s="346" t="str">
        <x:v>U/K</x:v>
      </x:c>
      <x:c r="AE42" s="346" t="str">
        <x:v>Yes</x:v>
      </x:c>
    </x:row>
    <x:row r="43" ht="36" customHeight="1">
      <x:c r="A43" s="359" t="str">
        <x:v>Webcam Participant Limit</x:v>
      </x:c>
      <x:c r="B43" s="346" t="str">
        <x:v>U/K</x:v>
      </x:c>
      <x:c r="C43" s="346" t="str">
        <x:v>U/K</x:v>
      </x:c>
      <x:c r="D43" s="346" t="str">
        <x:v>U/K</x:v>
      </x:c>
      <x:c r="E43" s="346" t="str">
        <x:v>U/K</x:v>
      </x:c>
      <x:c r="F43" s="346" t="str">
        <x:v>U/K</x:v>
      </x:c>
      <x:c r="G43" s="346" t="str">
        <x:v>U/K</x:v>
      </x:c>
      <x:c r="H43" s="346" t="str">
        <x:v>U/K</x:v>
      </x:c>
      <x:c r="I43" s="346" t="str">
        <x:v>U/K</x:v>
      </x:c>
      <x:c r="J43" s="346" t="str">
        <x:v>U/K</x:v>
      </x:c>
      <x:c r="K43" s="346" t="str">
        <x:v>U/K</x:v>
      </x:c>
      <x:c r="L43" s="346" t="str">
        <x:v>U/K</x:v>
      </x:c>
      <x:c r="M43" s="346" t="str">
        <x:v>U/K</x:v>
      </x:c>
      <x:c r="N43" s="346" t="str">
        <x:v>U/K</x:v>
      </x:c>
      <x:c r="O43" s="346" t="str">
        <x:v>U/K</x:v>
      </x:c>
      <x:c r="P43" s="346" t="str">
        <x:v>U/K</x:v>
      </x:c>
      <x:c r="Q43" s="346" t="str">
        <x:v>U/K</x:v>
      </x:c>
      <x:c r="R43" s="346" t="str">
        <x:v>U/K</x:v>
      </x:c>
      <x:c r="S43" s="346" t="str">
        <x:v>U/K</x:v>
      </x:c>
      <x:c r="T43" s="346" t="str">
        <x:v>U/K</x:v>
      </x:c>
      <x:c r="U43" s="346" t="str">
        <x:v>U/K</x:v>
      </x:c>
      <x:c r="V43" s="346" t="str">
        <x:v>U/K</x:v>
      </x:c>
      <x:c r="W43" s="346" t="str">
        <x:v>U/K</x:v>
      </x:c>
      <x:c r="X43" s="346" t="str">
        <x:v>U/K</x:v>
      </x:c>
      <x:c r="Y43" s="346" t="str">
        <x:v>U/K</x:v>
      </x:c>
      <x:c r="Z43" s="346" t="str">
        <x:v>U/K</x:v>
      </x:c>
      <x:c r="AA43" s="380" t="str">
        <x:v>U/K</x:v>
      </x:c>
      <x:c r="AB43" s="346" t="str">
        <x:v>U/K</x:v>
      </x:c>
      <x:c r="AC43" s="346" t="str">
        <x:v>U/K</x:v>
      </x:c>
      <x:c r="AD43" s="346" t="str">
        <x:v>U/K</x:v>
      </x:c>
      <x:c r="AE43" s="346" t="str">
        <x:v>U/K</x:v>
      </x:c>
    </x:row>
    <x:row r="44" ht="36" customHeight="1">
      <x:c r="A44" s="359" t="str">
        <x:v>Stage / Presentation Mode?</x:v>
      </x:c>
      <x:c r="B44" s="346" t="str">
        <x:v>U/K</x:v>
      </x:c>
      <x:c r="C44" s="346" t="str">
        <x:v>U/K</x:v>
      </x:c>
      <x:c r="D44" s="346" t="str">
        <x:v>U/K</x:v>
      </x:c>
      <x:c r="E44" s="346" t="str">
        <x:v>U/K</x:v>
      </x:c>
      <x:c r="F44" s="346" t="str">
        <x:v>U/K</x:v>
      </x:c>
      <x:c r="G44" s="346" t="str">
        <x:v>U/K</x:v>
      </x:c>
      <x:c r="H44" s="346" t="str">
        <x:v>U/K</x:v>
      </x:c>
      <x:c r="I44" s="346" t="str">
        <x:v>U/K</x:v>
      </x:c>
      <x:c r="J44" s="346" t="str">
        <x:v>U/K</x:v>
      </x:c>
      <x:c r="K44" s="346" t="str">
        <x:v>U/K</x:v>
      </x:c>
      <x:c r="L44" s="346" t="str">
        <x:v>U/K</x:v>
      </x:c>
      <x:c r="M44" s="346" t="str">
        <x:v>U/K</x:v>
      </x:c>
      <x:c r="N44" s="346" t="str">
        <x:v>U/K</x:v>
      </x:c>
      <x:c r="O44" s="346" t="str">
        <x:v>U/K</x:v>
      </x:c>
      <x:c r="P44" s="346" t="str">
        <x:v>U/K</x:v>
      </x:c>
      <x:c r="Q44" s="346" t="str">
        <x:v>U/K</x:v>
      </x:c>
      <x:c r="R44" s="346" t="str">
        <x:v>U/K</x:v>
      </x:c>
      <x:c r="S44" s="346" t="str">
        <x:v>U/K</x:v>
      </x:c>
      <x:c r="T44" s="346" t="str">
        <x:v>U/K</x:v>
      </x:c>
      <x:c r="U44" s="346" t="str">
        <x:v>U/K</x:v>
      </x:c>
      <x:c r="V44" s="346" t="str">
        <x:v>U/K</x:v>
      </x:c>
      <x:c r="W44" s="346" t="str">
        <x:v>U/K</x:v>
      </x:c>
      <x:c r="X44" s="346" t="str">
        <x:v>U/K</x:v>
      </x:c>
      <x:c r="Y44" s="346" t="str">
        <x:v>U/K</x:v>
      </x:c>
      <x:c r="Z44" s="346" t="str">
        <x:v>U/K</x:v>
      </x:c>
      <x:c r="AA44" s="380" t="str">
        <x:v>U/K</x:v>
      </x:c>
      <x:c r="AB44" s="346" t="str">
        <x:v>U/K</x:v>
      </x:c>
      <x:c r="AC44" s="346" t="str">
        <x:v>U/K</x:v>
      </x:c>
      <x:c r="AD44" s="346" t="str">
        <x:v>U/K</x:v>
      </x:c>
      <x:c r="AE44" s="346" t="str">
        <x:v>U/K</x:v>
      </x:c>
    </x:row>
    <x:row r="45" ht="23" customHeight="1">
      <x:c r="A45" s="427" t="str">
        <x:v>Source &amp; Notes</x:v>
      </x:c>
      <x:c r="B45" s="427"/>
      <x:c r="C45" s="427"/>
      <x:c r="D45" s="427"/>
      <x:c r="E45" s="427"/>
      <x:c r="F45" s="427"/>
      <x:c r="G45" s="427"/>
      <x:c r="H45" s="427"/>
      <x:c r="I45" s="427"/>
      <x:c r="J45" s="427"/>
      <x:c r="K45" s="427"/>
      <x:c r="L45" s="427"/>
      <x:c r="M45" s="427"/>
      <x:c r="N45" s="427"/>
      <x:c r="O45" s="427"/>
      <x:c r="P45" s="427"/>
      <x:c r="Q45" s="427"/>
      <x:c r="R45" s="427"/>
      <x:c r="S45" s="427"/>
      <x:c r="T45" s="427"/>
      <x:c r="U45" s="427"/>
      <x:c r="V45" s="427"/>
      <x:c r="W45" s="427"/>
      <x:c r="X45" s="427"/>
      <x:c r="Y45" s="427"/>
      <x:c r="Z45" s="427"/>
      <x:c r="AA45" s="427"/>
      <x:c r="AB45" s="427"/>
      <x:c r="AC45" s="427"/>
      <x:c r="AD45" s="427"/>
      <x:c r="AE45" s="427"/>
    </x:row>
    <x:row r="46" ht="36" customHeight="1">
      <x:c r="A46" s="359" t="str">
        <x:v>Screen Share Source URL</x:v>
      </x:c>
      <x:c r="B46" s="346" t="str">
        <x:v>https://support.discord.com/hc/en-us/articles/360040816151-Go-Live-and-Screen-Share</x:v>
      </x:c>
      <x:c r="C46" s="346" t="str">
        <x:v>U/K</x:v>
      </x:c>
      <x:c r="D46" s="346" t="str">
        <x:v>U/K</x:v>
      </x:c>
      <x:c r="E46" s="346" t="str">
        <x:v>https://fluxer.app/plutonium</x:v>
      </x:c>
      <x:c r="F46" s="346" t="str">
        <x:v>https://support.rootapp.com/docs/sudo/get-started/sudo-faqs/</x:v>
      </x:c>
      <x:c r="G46" s="346" t="str">
        <x:v>U/K</x:v>
      </x:c>
      <x:c r="H46" s="346" t="str">
        <x:v>U/K</x:v>
      </x:c>
      <x:c r="I46" s="346" t="str">
        <x:v>U/K</x:v>
      </x:c>
      <x:c r="J46" s="346" t="str">
        <x:v>https://community.teamspeak.com/t/teamspeak-6-0-0-beta1-screen-camera-sharing-communities-design-overhaul/54925</x:v>
      </x:c>
      <x:c r="K46" s="346" t="str">
        <x:v>U/K</x:v>
      </x:c>
      <x:c r="L46" s="346" t="str">
        <x:v>U/K</x:v>
      </x:c>
      <x:c r="M46" s="346" t="str">
        <x:v>U/K</x:v>
      </x:c>
      <x:c r="N46" s="346" t="str">
        <x:v>https://gamevox.com/</x:v>
      </x:c>
      <x:c r="O46" s="346" t="str">
        <x:v>U/K</x:v>
      </x:c>
      <x:c r="P46" s="346" t="str">
        <x:v>U/K</x:v>
      </x:c>
      <x:c r="Q46" s="346" t="str">
        <x:v>U/K</x:v>
      </x:c>
      <x:c r="R46" s="346" t="str">
        <x:v>U/K</x:v>
      </x:c>
      <x:c r="S46" s="346" t="str">
        <x:v>https://mezon.ai/docs/user/resources/FAQ/</x:v>
      </x:c>
      <x:c r="T46" s="346" t="str">
        <x:v>U/K</x:v>
      </x:c>
      <x:c r="U46" s="346" t="str">
        <x:v>U/K</x:v>
      </x:c>
      <x:c r="V46" s="346" t="str">
        <x:v>U/K</x:v>
      </x:c>
      <x:c r="W46" s="346" t="str">
        <x:v>U/K</x:v>
      </x:c>
      <x:c r="X46" s="346" t="str">
        <x:v>U/K</x:v>
      </x:c>
      <x:c r="Y46" s="346" t="str">
        <x:v>U/K</x:v>
      </x:c>
      <x:c r="Z46" s="346" t="str">
        <x:v>U/K</x:v>
      </x:c>
      <x:c r="AA46" s="380" t="str">
        <x:v>https://therift.chat/de/plans/</x:v>
      </x:c>
      <x:c r="AB46" s="346" t="str">
        <x:v>https://pqp.gg/</x:v>
      </x:c>
      <x:c r="AC46" s="346" t="str">
        <x:v>U/K</x:v>
      </x:c>
      <x:c r="AD46" s="346" t="str">
        <x:v>U/K</x:v>
      </x:c>
      <x:c r="AE46" s="346" t="str">
        <x:v>https://weered.ca/alternatives/discord</x:v>
      </x:c>
    </x:row>
    <x:row r="47" ht="36" customHeight="1">
      <x:c r="A47" s="360" t="str">
        <x:v>Screen Share Notes</x:v>
      </x:c>
      <x:c r="B47" s="349" t="str">
        <x:v>Voice/video/Go Live E2EE by default except Stage.</x:v>
      </x:c>
      <x:c r="C47" s="349" t="str">
        <x:v>Screen sharing/video rolled out in 2026; exact plan limits are not comprehensively documented.</x:v>
      </x:c>
      <x:c r="D47" s="349" t="str">
        <x:v>Alpha behavior/limits can change.</x:v>
      </x:c>
      <x:c r="E47" s="349" t="str">
        <x:v>Nothing is E2EE yet per Sep 13 privacy policy.</x:v>
      </x:c>
      <x:c r="F47" s="349" t="str">
        <x:v>Mobile can view shared screens.</x:v>
      </x:c>
      <x:c r="G47" s="349" t="str">
        <x:v>Media limits belong to a client/homeserver/SFU deployment, not to Matrix as a universal platform.</x:v>
      </x:c>
      <x:c r="H47" s="349" t="str">
        <x:v>Voice is optional and disabled unless operator installs a compatible media implementation.</x:v>
      </x:c>
      <x:c r="I47" s="349" t="str">
        <x:v>Purpose-built voice; no webcam/screen-sharing core.</x:v>
      </x:c>
      <x:c r="J47" s="349" t="str">
        <x:v>TS6 screen sharing is still evolving; server-side streaming has lagged behind P2P. No stable official resolution-tier table was found.</x:v>
      </x:c>
      <x:c r="K47" s="349" t="str">
        <x:v>Voice/video are intentionally delegated to services such as Jitsi/Zoom/BigBlueButton.</x:v>
      </x:c>
      <x:c r="L47" s="349" t="str">
        <x:v>Native Calls supports screen share and meeting-style controls.</x:v>
      </x:c>
      <x:c r="M47" s="349" t="str">
        <x:v>Media calling is not a single fixed platform profile across all Rocket.Chat deployments.</x:v>
      </x:c>
      <x:c r="N47" s="349" t="str">
        <x:v>Voice-first gaming platform.</x:v>
      </x:c>
      <x:c r="O47" s="349" t="str">
        <x:v>Public docs emphasize chat more than media limits.</x:v>
      </x:c>
      <x:c r="P47" s="349" t="str">
        <x:v>Custom voice infrastructure is a headline feature.</x:v>
      </x:c>
      <x:c r="Q47" s="349" t="str">
        <x:v>Voice/video/screen share are live in open beta.</x:v>
      </x:c>
      <x:c r="R47" s="349" t="str">
        <x:v>Media details sparse.</x:v>
      </x:c>
      <x:c r="S47" s="349" t="str">
        <x:v>No paywall on voice/video quality claimed.</x:v>
      </x:c>
      <x:c r="T47" s="349" t="str">
        <x:v>Media limits not well documented.</x:v>
      </x:c>
      <x:c r="U47" s="349" t="str">
        <x:v>Self-host resource capacity determines practical limits.</x:v>
      </x:c>
      <x:c r="V47" s="349" t="str">
        <x:v>Media is early/incomplete.</x:v>
      </x:c>
      <x:c r="W47" s="349" t="str">
        <x:v>Text/community-gardening focus.</x:v>
      </x:c>
      <x:c r="X47" s="349" t="str">
        <x:v>Voice exists; detailed limits are not publicly documented.</x:v>
      </x:c>
      <x:c r="Y47" s="349" t="str">
        <x:v>Media is peer-to-peer rather than server-room focused.</x:v>
      </x:c>
      <x:c r="Z47" s="349" t="str">
        <x:v>Media limits are software/operator-configurable rather than a paid tier.</x:v>
      </x:c>
      <x:c r="AA47" s="381" t="str">
        <x:v>Rift's current pricing page lists 720p free, 1080p Ember/Rift+, 1440p Forge. Some comparison copy elsewhere has differed; pricing page used as authority.</x:v>
      </x:c>
      <x:c r="AB47" s="349" t="str">
        <x:v>Screen share with sound and multi-share are headline features.</x:v>
      </x:c>
      <x:c r="AC47" s="349" t="str">
        <x:v>LiveKit-based voice/video/screen sharing.</x:v>
      </x:c>
      <x:c r="AD47" s="349" t="str">
        <x:v>Voice is documented; detailed video/screen limits are U/K.</x:v>
      </x:c>
      <x:c r="AE47" s="349" t="str">
        <x:v>Designed around always-present game-room media.</x:v>
      </x:c>
    </x:row>
    <x:row r="48" ht="23" customHeight="1">
      <x:c r="A48" s="389" t="str">
        <x:v>Delivery &amp; Experience</x:v>
      </x:c>
      <x:c r="B48" s="389"/>
      <x:c r="C48" s="389"/>
      <x:c r="D48" s="389"/>
      <x:c r="E48" s="389"/>
      <x:c r="F48" s="389"/>
      <x:c r="G48" s="389"/>
      <x:c r="H48" s="389"/>
      <x:c r="I48" s="389"/>
      <x:c r="J48" s="389"/>
      <x:c r="K48" s="389"/>
      <x:c r="L48" s="389"/>
      <x:c r="M48" s="389"/>
      <x:c r="N48" s="389"/>
      <x:c r="O48" s="389"/>
      <x:c r="P48" s="389"/>
      <x:c r="Q48" s="389"/>
      <x:c r="R48" s="389"/>
      <x:c r="S48" s="389"/>
      <x:c r="T48" s="389"/>
      <x:c r="U48" s="389"/>
      <x:c r="V48" s="389"/>
      <x:c r="W48" s="389"/>
      <x:c r="X48" s="389"/>
      <x:c r="Y48" s="389"/>
      <x:c r="Z48" s="389"/>
      <x:c r="AA48" s="389"/>
      <x:c r="AB48" s="389"/>
      <x:c r="AC48" s="389"/>
      <x:c r="AD48" s="389"/>
      <x:c r="AE48" s="389"/>
    </x:row>
    <x:row r="49" ht="36" customHeight="1">
      <x:c r="A49" s="378" t="str">
        <x:v>Picture-in-Picture / Pop-Out Viewing?</x:v>
      </x:c>
      <x:c r="B49" s="346" t="str">
        <x:v>Yes/U/K</x:v>
      </x:c>
      <x:c r="C49" s="346" t="str">
        <x:v>U/K</x:v>
      </x:c>
      <x:c r="D49" s="346" t="str">
        <x:v>U/K</x:v>
      </x:c>
      <x:c r="E49" s="346" t="str">
        <x:v>U/K</x:v>
      </x:c>
      <x:c r="F49" s="346" t="str">
        <x:v>U/K</x:v>
      </x:c>
      <x:c r="G49" s="346" t="str">
        <x:v>U/K</x:v>
      </x:c>
      <x:c r="H49" s="346" t="str">
        <x:v>U/K</x:v>
      </x:c>
      <x:c r="I49" s="346" t="str">
        <x:v>U/K</x:v>
      </x:c>
      <x:c r="J49" s="346" t="str">
        <x:v>U/K</x:v>
      </x:c>
      <x:c r="K49" s="346" t="str">
        <x:v>U/K</x:v>
      </x:c>
      <x:c r="L49" s="346" t="str">
        <x:v>U/K</x:v>
      </x:c>
      <x:c r="M49" s="346" t="str">
        <x:v>U/K</x:v>
      </x:c>
      <x:c r="N49" s="346" t="str">
        <x:v>U/K</x:v>
      </x:c>
      <x:c r="O49" s="346" t="str">
        <x:v>U/K</x:v>
      </x:c>
      <x:c r="P49" s="346" t="str">
        <x:v>U/K</x:v>
      </x:c>
      <x:c r="Q49" s="346" t="str">
        <x:v>U/K</x:v>
      </x:c>
      <x:c r="R49" s="346" t="str">
        <x:v>U/K</x:v>
      </x:c>
      <x:c r="S49" s="346" t="str">
        <x:v>U/K</x:v>
      </x:c>
      <x:c r="T49" s="346" t="str">
        <x:v>U/K</x:v>
      </x:c>
      <x:c r="U49" s="346" t="str">
        <x:v>U/K</x:v>
      </x:c>
      <x:c r="V49" s="346" t="str">
        <x:v>U/K</x:v>
      </x:c>
      <x:c r="W49" s="346" t="str">
        <x:v>U/K</x:v>
      </x:c>
      <x:c r="X49" s="346" t="str">
        <x:v>U/K</x:v>
      </x:c>
      <x:c r="Y49" s="346" t="str">
        <x:v>U/K</x:v>
      </x:c>
      <x:c r="Z49" s="346" t="str">
        <x:v>U/K</x:v>
      </x:c>
      <x:c r="AA49" s="380" t="str">
        <x:v>Layout/pop-out support; exact stream PiP U/K</x:v>
      </x:c>
      <x:c r="AB49" s="346" t="str">
        <x:v>U/K</x:v>
      </x:c>
      <x:c r="AC49" s="346" t="str">
        <x:v>U/K</x:v>
      </x:c>
      <x:c r="AD49" s="346" t="str">
        <x:v>U/K</x:v>
      </x:c>
      <x:c r="AE49" s="346" t="str">
        <x:v>U/K</x:v>
      </x:c>
    </x:row>
    <x:row r="50" ht="36" customHeight="1">
      <x:c r="A50" s="378" t="str">
        <x:v>Adaptive Quality / Congestion Control?</x:v>
      </x:c>
      <x:c r="B50" s="346" t="str">
        <x:v>Yes/WebRTC-like media stack U/K details</x:v>
      </x:c>
      <x:c r="C50" s="346" t="str">
        <x:v>U/K</x:v>
      </x:c>
      <x:c r="D50" s="346" t="str">
        <x:v>U/K</x:v>
      </x:c>
      <x:c r="E50" s="346" t="str">
        <x:v>U/K</x:v>
      </x:c>
      <x:c r="F50" s="346" t="str">
        <x:v>U/K</x:v>
      </x:c>
      <x:c r="G50" s="346" t="str">
        <x:v>U/K</x:v>
      </x:c>
      <x:c r="H50" s="346" t="str">
        <x:v>U/K</x:v>
      </x:c>
      <x:c r="I50" s="346" t="str">
        <x:v>U/K</x:v>
      </x:c>
      <x:c r="J50" s="346" t="str">
        <x:v>U/K</x:v>
      </x:c>
      <x:c r="K50" s="346" t="str">
        <x:v>U/K</x:v>
      </x:c>
      <x:c r="L50" s="346" t="str">
        <x:v>U/K</x:v>
      </x:c>
      <x:c r="M50" s="346" t="str">
        <x:v>U/K</x:v>
      </x:c>
      <x:c r="N50" s="346" t="str">
        <x:v>U/K</x:v>
      </x:c>
      <x:c r="O50" s="346" t="str">
        <x:v>U/K</x:v>
      </x:c>
      <x:c r="P50" s="346" t="str">
        <x:v>U/K</x:v>
      </x:c>
      <x:c r="Q50" s="346" t="str">
        <x:v>U/K</x:v>
      </x:c>
      <x:c r="R50" s="346" t="str">
        <x:v>U/K</x:v>
      </x:c>
      <x:c r="S50" s="346" t="str">
        <x:v>U/K</x:v>
      </x:c>
      <x:c r="T50" s="346" t="str">
        <x:v>U/K</x:v>
      </x:c>
      <x:c r="U50" s="346" t="str">
        <x:v>U/K</x:v>
      </x:c>
      <x:c r="V50" s="346" t="str">
        <x:v>U/K</x:v>
      </x:c>
      <x:c r="W50" s="346" t="str">
        <x:v>U/K</x:v>
      </x:c>
      <x:c r="X50" s="346" t="str">
        <x:v>U/K</x:v>
      </x:c>
      <x:c r="Y50" s="346" t="str">
        <x:v>U/K</x:v>
      </x:c>
      <x:c r="Z50" s="346" t="str">
        <x:v>U/K</x:v>
      </x:c>
      <x:c r="AA50" s="380" t="str">
        <x:v>U/K</x:v>
      </x:c>
      <x:c r="AB50" s="346" t="str">
        <x:v>U/K</x:v>
      </x:c>
      <x:c r="AC50" s="346" t="str">
        <x:v>U/K</x:v>
      </x:c>
      <x:c r="AD50" s="346" t="str">
        <x:v>U/K</x:v>
      </x:c>
      <x:c r="AE50" s="346" t="str">
        <x:v>U/K</x:v>
      </x:c>
    </x:row>
    <x:row r="51" ht="36" customHeight="1">
      <x:c r="A51" s="378" t="str">
        <x:v>Hardware-Accelerated Encoding?</x:v>
      </x:c>
      <x:c r="B51" s="346" t="str">
        <x:v>Client/platform dependent</x:v>
      </x:c>
      <x:c r="C51" s="346" t="str">
        <x:v>U/K</x:v>
      </x:c>
      <x:c r="D51" s="346" t="str">
        <x:v>U/K</x:v>
      </x:c>
      <x:c r="E51" s="346" t="str">
        <x:v>U/K</x:v>
      </x:c>
      <x:c r="F51" s="346" t="str">
        <x:v>U/K</x:v>
      </x:c>
      <x:c r="G51" s="346" t="str">
        <x:v>U/K</x:v>
      </x:c>
      <x:c r="H51" s="346" t="str">
        <x:v>U/K</x:v>
      </x:c>
      <x:c r="I51" s="346" t="str">
        <x:v>U/K</x:v>
      </x:c>
      <x:c r="J51" s="346" t="str">
        <x:v>U/K</x:v>
      </x:c>
      <x:c r="K51" s="346" t="str">
        <x:v>U/K</x:v>
      </x:c>
      <x:c r="L51" s="346" t="str">
        <x:v>U/K</x:v>
      </x:c>
      <x:c r="M51" s="346" t="str">
        <x:v>U/K</x:v>
      </x:c>
      <x:c r="N51" s="346" t="str">
        <x:v>U/K</x:v>
      </x:c>
      <x:c r="O51" s="346" t="str">
        <x:v>U/K</x:v>
      </x:c>
      <x:c r="P51" s="346" t="str">
        <x:v>U/K</x:v>
      </x:c>
      <x:c r="Q51" s="346" t="str">
        <x:v>U/K</x:v>
      </x:c>
      <x:c r="R51" s="346" t="str">
        <x:v>U/K</x:v>
      </x:c>
      <x:c r="S51" s="346" t="str">
        <x:v>U/K</x:v>
      </x:c>
      <x:c r="T51" s="346" t="str">
        <x:v>U/K</x:v>
      </x:c>
      <x:c r="U51" s="346" t="str">
        <x:v>U/K</x:v>
      </x:c>
      <x:c r="V51" s="346" t="str">
        <x:v>U/K</x:v>
      </x:c>
      <x:c r="W51" s="346" t="str">
        <x:v>U/K</x:v>
      </x:c>
      <x:c r="X51" s="346" t="str">
        <x:v>U/K</x:v>
      </x:c>
      <x:c r="Y51" s="346" t="str">
        <x:v>U/K</x:v>
      </x:c>
      <x:c r="Z51" s="346" t="str">
        <x:v>U/K</x:v>
      </x:c>
      <x:c r="AA51" s="380" t="str">
        <x:v>U/K</x:v>
      </x:c>
      <x:c r="AB51" s="346" t="str">
        <x:v>U/K</x:v>
      </x:c>
      <x:c r="AC51" s="346" t="str">
        <x:v>U/K</x:v>
      </x:c>
      <x:c r="AD51" s="346" t="str">
        <x:v>U/K</x:v>
      </x:c>
      <x:c r="AE51" s="346" t="str">
        <x:v>U/K</x:v>
      </x:c>
    </x:row>
    <x:row r="52" ht="36" customHeight="1">
      <x:c r="A52" s="378" t="str">
        <x:v>Synchronized Watch Party?</x:v>
      </x:c>
      <x:c r="B52" s="346" t="str">
        <x:v>Via Activities</x:v>
      </x:c>
      <x:c r="C52" s="346" t="str">
        <x:v>U/K</x:v>
      </x:c>
      <x:c r="D52" s="346" t="str">
        <x:v>U/K</x:v>
      </x:c>
      <x:c r="E52" s="346" t="str">
        <x:v>U/K</x:v>
      </x:c>
      <x:c r="F52" s="346" t="str">
        <x:v>U/K</x:v>
      </x:c>
      <x:c r="G52" s="346" t="str">
        <x:v>U/K</x:v>
      </x:c>
      <x:c r="H52" s="346" t="str">
        <x:v>U/K</x:v>
      </x:c>
      <x:c r="I52" s="346" t="str">
        <x:v>U/K</x:v>
      </x:c>
      <x:c r="J52" s="346" t="str">
        <x:v>U/K</x:v>
      </x:c>
      <x:c r="K52" s="346" t="str">
        <x:v>U/K</x:v>
      </x:c>
      <x:c r="L52" s="346" t="str">
        <x:v>U/K</x:v>
      </x:c>
      <x:c r="M52" s="346" t="str">
        <x:v>U/K</x:v>
      </x:c>
      <x:c r="N52" s="346" t="str">
        <x:v>U/K</x:v>
      </x:c>
      <x:c r="O52" s="346" t="str">
        <x:v>U/K</x:v>
      </x:c>
      <x:c r="P52" s="346" t="str">
        <x:v>U/K</x:v>
      </x:c>
      <x:c r="Q52" s="346" t="str">
        <x:v>U/K</x:v>
      </x:c>
      <x:c r="R52" s="346" t="str">
        <x:v>U/K</x:v>
      </x:c>
      <x:c r="S52" s="346" t="str">
        <x:v>U/K</x:v>
      </x:c>
      <x:c r="T52" s="346" t="str">
        <x:v>U/K</x:v>
      </x:c>
      <x:c r="U52" s="346" t="str">
        <x:v>U/K</x:v>
      </x:c>
      <x:c r="V52" s="346" t="str">
        <x:v>U/K</x:v>
      </x:c>
      <x:c r="W52" s="346" t="str">
        <x:v>U/K</x:v>
      </x:c>
      <x:c r="X52" s="346" t="str">
        <x:v>U/K</x:v>
      </x:c>
      <x:c r="Y52" s="346" t="str">
        <x:v>U/K</x:v>
      </x:c>
      <x:c r="Z52" s="346" t="str">
        <x:v>U/K</x:v>
      </x:c>
      <x:c r="AA52" s="380" t="str">
        <x:v>Yes - YouTube/Twitch Portal Watch Party</x:v>
      </x:c>
      <x:c r="AB52" s="346" t="str">
        <x:v>U/K</x:v>
      </x:c>
      <x:c r="AC52" s="346" t="str">
        <x:v>U/K</x:v>
      </x:c>
      <x:c r="AD52" s="346" t="str">
        <x:v>U/K</x:v>
      </x:c>
      <x:c r="AE52" s="346" t="str">
        <x:v>U/K</x:v>
      </x:c>
    </x:row>
  </x:sheetData>
  <x:mergeCells>
    <x:mergeCell ref="A1:AE1"/>
  </x:mergeCells>
  <x:conditionalFormatting sqref="B3:AE47">
    <x:cfRule type="expression" dxfId="66" priority="1">
      <x:formula>ISNUMBER(SEARCH("U/K",B3))</x:formula>
    </x:cfRule>
    <x:cfRule type="expression" dxfId="67" priority="2">
      <x:formula>OR(B3="N/A",LEFT(B3,4)="N/A ")</x:formula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Media &amp; Limits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f>'At a Glance'!$B$2</x:f>
        <x:v>Discord</x:v>
      </x:c>
      <x:c r="C2" s="420" t="str">
        <x:f>'At a Glance'!$C$2</x:f>
        <x:v>Stoat</x:v>
      </x:c>
      <x:c r="D2" s="420" t="str">
        <x:f>'At a Glance'!$D$2</x:f>
        <x:v>Fenrid</x:v>
      </x:c>
      <x:c r="E2" s="420" t="str">
        <x:f>'At a Glance'!$E$2</x:f>
        <x:v>Fluxer</x:v>
      </x:c>
      <x:c r="F2" s="420" t="str">
        <x:f>'At a Glance'!$F$2</x:f>
        <x:v>Root</x:v>
      </x:c>
      <x:c r="G2" s="420" t="str">
        <x:f>'At a Glance'!$G$2</x:f>
        <x:v>Matrix</x:v>
      </x:c>
      <x:c r="H2" s="420" t="str">
        <x:f>'At a Glance'!$H$2</x:f>
        <x:v>Spacebar</x:v>
      </x:c>
      <x:c r="I2" s="420" t="str">
        <x:f>'At a Glance'!$I$2</x:f>
        <x:v>Mumble</x:v>
      </x:c>
      <x:c r="J2" s="420" t="str">
        <x:f>'At a Glance'!$J$2</x:f>
        <x:v>TeamSpeak</x:v>
      </x:c>
      <x:c r="K2" s="420" t="str">
        <x:f>'At a Glance'!$K$2</x:f>
        <x:v>Zulip</x:v>
      </x:c>
      <x:c r="L2" s="420" t="str">
        <x:f>'At a Glance'!$L$2</x:f>
        <x:v>Mattermost</x:v>
      </x:c>
      <x:c r="M2" s="420" t="str">
        <x:f>'At a Glance'!$M$2</x:f>
        <x:v>Rocket.Chat</x:v>
      </x:c>
      <x:c r="N2" s="420" t="str">
        <x:f>'At a Glance'!$N$2</x:f>
        <x:v>GameVox</x:v>
      </x:c>
      <x:c r="O2" s="420" t="str">
        <x:f>'At a Glance'!$O$2</x:f>
        <x:v>Nerimity</x:v>
      </x:c>
      <x:c r="P2" s="420" t="str">
        <x:f>'At a Glance'!$P$2</x:f>
        <x:v>Osmium</x:v>
      </x:c>
      <x:c r="Q2" s="420" t="str">
        <x:f>'At a Glance'!$Q$2</x:f>
        <x:v>Loqa</x:v>
      </x:c>
      <x:c r="R2" s="420" t="str">
        <x:f>'At a Glance'!$R$2</x:f>
        <x:v>Venta</x:v>
      </x:c>
      <x:c r="S2" s="420" t="str">
        <x:f>'At a Glance'!$S$2</x:f>
        <x:v>Mezon</x:v>
      </x:c>
      <x:c r="T2" s="420" t="str">
        <x:f>'At a Glance'!$T$2</x:f>
        <x:v>Kloak</x:v>
      </x:c>
      <x:c r="U2" s="420" t="str">
        <x:f>'At a Glance'!$U$2</x:f>
        <x:v>Yapper</x:v>
      </x:c>
      <x:c r="V2" s="420" t="str">
        <x:f>'At a Glance'!$V$2</x:f>
        <x:v>Harmony</x:v>
      </x:c>
      <x:c r="W2" s="420" t="str">
        <x:f>'At a Glance'!$W$2</x:f>
        <x:v>Roomy</x:v>
      </x:c>
      <x:c r="X2" s="420" t="str">
        <x:f>'At a Glance'!$X$2</x:f>
        <x:v>Armada</x:v>
      </x:c>
      <x:c r="Y2" s="420" t="str">
        <x:f>'At a Glance'!$Y$2</x:f>
        <x:v>Hollow</x:v>
      </x:c>
      <x:c r="Z2" s="420" t="str">
        <x:f>'At a Glance'!$Z$2</x:f>
        <x:v>DCTS</x:v>
      </x:c>
      <x:c r="AA2" s="421" t="str">
        <x:f>'At a Glance'!$AA$2</x:f>
        <x:v>Rift</x:v>
      </x:c>
      <x:c r="AB2" s="420" t="str">
        <x:f>'At a Glance'!$AB$2</x:f>
        <x:v>pqp.gg</x:v>
      </x:c>
      <x:c r="AC2" s="420" t="str">
        <x:f>'At a Glance'!$AC$2</x:f>
        <x:v>Echon</x:v>
      </x:c>
      <x:c r="AD2" s="420" t="str">
        <x:f>'At a Glance'!$AD$2</x:f>
        <x:v>Valour</x:v>
      </x:c>
      <x:c r="AE2" s="420" t="str">
        <x:f>'At a Glance'!$AE$2</x:f>
        <x:v>Weered</x:v>
      </x:c>
    </x:row>
    <x:row r="3" ht="36" customHeight="1">
      <x:c r="A3" s="359" t="str">
        <x:v>Persistent Voice Rooms</x:v>
      </x:c>
      <x:c r="B3" s="346" t="str">
        <x:v>Yes</x:v>
      </x:c>
      <x:c r="C3" s="346" t="str">
        <x:v>Yes</x:v>
      </x:c>
      <x:c r="D3" s="346" t="str">
        <x:v>Yes</x:v>
      </x:c>
      <x:c r="E3" s="346" t="str">
        <x:v>Yes</x:v>
      </x:c>
      <x:c r="F3" s="346" t="str">
        <x:v>Yes</x:v>
      </x:c>
      <x:c r="G3" s="346" t="str">
        <x:v>Client-dependent</x:v>
      </x:c>
      <x:c r="H3" s="346" t="str">
        <x:v>Yes when voice component enabled</x:v>
      </x:c>
      <x:c r="I3" s="346" t="str">
        <x:v>Yes</x:v>
      </x:c>
      <x:c r="J3" s="346" t="str">
        <x:v>Yes</x:v>
      </x:c>
      <x:c r="K3" s="346" t="str">
        <x:v>No native</x:v>
      </x:c>
      <x:c r="L3" s="346" t="str">
        <x:v>Not Discord-style always-on; Calls in channels/DMs</x:v>
      </x:c>
      <x:c r="M3" s="346" t="str">
        <x:v>Not universally Discord-style</x:v>
      </x:c>
      <x:c r="N3" s="346" t="str">
        <x:v>Yes</x:v>
      </x:c>
      <x:c r="O3" s="346" t="str">
        <x:v>U/K</x:v>
      </x:c>
      <x:c r="P3" s="346" t="str">
        <x:v>Yes</x:v>
      </x:c>
      <x:c r="Q3" s="346" t="str">
        <x:v>Yes</x:v>
      </x:c>
      <x:c r="R3" s="346" t="str">
        <x:v>Yes/U/K</x:v>
      </x:c>
      <x:c r="S3" s="346" t="str">
        <x:v>Yes</x:v>
      </x:c>
      <x:c r="T3" s="346" t="str">
        <x:v>Yes</x:v>
      </x:c>
      <x:c r="U3" s="346" t="str">
        <x:v>Yes</x:v>
      </x:c>
      <x:c r="V3" s="346" t="str">
        <x:v>Partial</x:v>
      </x:c>
      <x:c r="W3" s="346" t="str">
        <x:v>No verified</x:v>
      </x:c>
      <x:c r="X3" s="346" t="str">
        <x:v>Yes</x:v>
      </x:c>
      <x:c r="Y3" s="346" t="str">
        <x:v>No persistent voice-room model verified</x:v>
      </x:c>
      <x:c r="Z3" s="346" t="str">
        <x:v>Yes</x:v>
      </x:c>
      <x:c r="AA3" s="380" t="str">
        <x:v>Yes</x:v>
      </x:c>
      <x:c r="AB3" s="346" t="str">
        <x:v>Yes</x:v>
      </x:c>
      <x:c r="AC3" s="346" t="str">
        <x:v>Yes</x:v>
      </x:c>
      <x:c r="AD3" s="346" t="str">
        <x:v>Yes</x:v>
      </x:c>
      <x:c r="AE3" s="346" t="str">
        <x:v>Yes - voice in rooms</x:v>
      </x:c>
    </x:row>
    <x:row r="4" ht="36" customHeight="1">
      <x:c r="A4" s="359" t="str">
        <x:v>DM Calls</x:v>
      </x:c>
      <x:c r="B4" s="346" t="str">
        <x:v>Yes</x:v>
      </x:c>
      <x:c r="C4" s="346" t="str">
        <x:v>Yes/U/K</x:v>
      </x:c>
      <x:c r="D4" s="346" t="str">
        <x:v>Yes</x:v>
      </x:c>
      <x:c r="E4" s="346" t="str">
        <x:v>Yes</x:v>
      </x:c>
      <x:c r="F4" s="346" t="str">
        <x:v>Yes</x:v>
      </x:c>
      <x:c r="G4" s="346" t="str">
        <x:v>Client-dependent</x:v>
      </x:c>
      <x:c r="H4" s="346" t="str">
        <x:v>Yes</x:v>
      </x:c>
      <x:c r="I4" s="346" t="str">
        <x:v>No persistent DM call model</x:v>
      </x:c>
      <x:c r="J4" s="346" t="str">
        <x:v>Yes/U/K</x:v>
      </x:c>
      <x:c r="K4" s="346" t="str">
        <x:v>External provider</x:v>
      </x:c>
      <x:c r="L4" s="346" t="str">
        <x:v>Yes</x:v>
      </x:c>
      <x:c r="M4" s="346" t="str">
        <x:v>Provider/deployment dependent</x:v>
      </x:c>
      <x:c r="N4" s="346" t="str">
        <x:v>Yes/U/K</x:v>
      </x:c>
      <x:c r="O4" s="346" t="str">
        <x:v>U/K</x:v>
      </x:c>
      <x:c r="P4" s="346" t="str">
        <x:v>Yes/U/K</x:v>
      </x:c>
      <x:c r="Q4" s="346" t="str">
        <x:v>Yes</x:v>
      </x:c>
      <x:c r="R4" s="346" t="str">
        <x:v>U/K</x:v>
      </x:c>
      <x:c r="S4" s="346" t="str">
        <x:v>Yes</x:v>
      </x:c>
      <x:c r="T4" s="346" t="str">
        <x:v>Yes/U/K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Yes calls</x:v>
      </x:c>
      <x:c r="Z4" s="346" t="str">
        <x:v>Yes/U/K</x:v>
      </x:c>
      <x:c r="AA4" s="380" t="str">
        <x:v>Yes/U/K</x:v>
      </x:c>
      <x:c r="AB4" s="346" t="str">
        <x:v>Yes</x:v>
      </x:c>
      <x:c r="AC4" s="346" t="str">
        <x:v>Yes</x:v>
      </x:c>
      <x:c r="AD4" s="346" t="str">
        <x:v>U/K</x:v>
      </x:c>
      <x:c r="AE4" s="346" t="str">
        <x:v>Yes</x:v>
      </x:c>
    </x:row>
    <x:row r="5" ht="36" customHeight="1">
      <x:c r="A5" s="359" t="str">
        <x:v>Group Calls</x:v>
      </x:c>
      <x:c r="B5" s="346" t="str">
        <x:v>Yes</x:v>
      </x:c>
      <x:c r="C5" s="346" t="str">
        <x:v>Yes/U/K</x:v>
      </x:c>
      <x:c r="D5" s="346" t="str">
        <x:v>Yes</x:v>
      </x:c>
      <x:c r="E5" s="346" t="str">
        <x:v>Yes</x:v>
      </x:c>
      <x:c r="F5" s="346" t="str">
        <x:v>Yes</x:v>
      </x:c>
      <x:c r="G5" s="346" t="str">
        <x:v>Client-dependent</x:v>
      </x:c>
      <x:c r="H5" s="346" t="str">
        <x:v>Yes</x:v>
      </x:c>
      <x:c r="I5" s="346" t="str">
        <x:v>No group call model separate from channels</x:v>
      </x:c>
      <x:c r="J5" s="346" t="str">
        <x:v>Yes/U/K</x:v>
      </x:c>
      <x:c r="K5" s="346" t="str">
        <x:v>External provider</x:v>
      </x:c>
      <x:c r="L5" s="346" t="str">
        <x:v>Yes</x:v>
      </x:c>
      <x:c r="M5" s="346" t="str">
        <x:v>Provider/deployment dependent</x:v>
      </x:c>
      <x:c r="N5" s="346" t="str">
        <x:v>Yes/U/K</x:v>
      </x:c>
      <x:c r="O5" s="346" t="str">
        <x:v>U/K</x:v>
      </x:c>
      <x:c r="P5" s="346" t="str">
        <x:v>Yes/U/K</x:v>
      </x:c>
      <x:c r="Q5" s="346" t="str">
        <x:v>Yes</x:v>
      </x:c>
      <x:c r="R5" s="346" t="str">
        <x:v>U/K</x:v>
      </x:c>
      <x:c r="S5" s="346" t="str">
        <x:v>Yes</x:v>
      </x:c>
      <x:c r="T5" s="346" t="str">
        <x:v>Yes/U/K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Yes/U/K</x:v>
      </x:c>
      <x:c r="Z5" s="346" t="str">
        <x:v>Yes/U/K</x:v>
      </x:c>
      <x:c r="AA5" s="380" t="str">
        <x:v>Yes/U/K</x:v>
      </x:c>
      <x:c r="AB5" s="346" t="str">
        <x:v>Yes</x:v>
      </x:c>
      <x:c r="AC5" s="346" t="str">
        <x:v>Yes</x:v>
      </x:c>
      <x:c r="AD5" s="346" t="str">
        <x:v>U/K</x:v>
      </x:c>
      <x:c r="AE5" s="346" t="str">
        <x:v>Yes</x:v>
      </x:c>
    </x:row>
    <x:row r="6" ht="36" customHeight="1">
      <x:c r="A6" s="359" t="str">
        <x:v>Media Backend / SFU</x:v>
      </x:c>
      <x:c r="B6" s="346" t="str">
        <x:v>Discord media infrastructure / DAVE</x:v>
      </x:c>
      <x:c r="C6" s="346" t="str">
        <x:v>LiveKit</x:v>
      </x:c>
      <x:c r="D6" s="346" t="str">
        <x:v>LiveKit</x:v>
      </x:c>
      <x:c r="E6" s="346" t="str">
        <x:v>LiveKit + Fluxer media stack</x:v>
      </x:c>
      <x:c r="F6" s="346" t="str">
        <x:v>Proprietary/hosted WebRTC stack U/K</x:v>
      </x:c>
      <x:c r="G6" s="346" t="str">
        <x:v>MatrixRTC + deployment SFU(s), or legacy/provider integrations</x:v>
      </x:c>
      <x:c r="H6" s="346" t="str">
        <x:v>Optional Pion/Medooze/Mediasoup WebRTC implementations</x:v>
      </x:c>
      <x:c r="I6" s="346" t="str">
        <x:v>Mumble server mixes/routes voice</x:v>
      </x:c>
      <x:c r="J6" s="346" t="str">
        <x:v>TeamSpeak media server</x:v>
      </x:c>
      <x:c r="K6" s="346" t="str">
        <x:v>External integration/provider</x:v>
      </x:c>
      <x:c r="L6" s="346" t="str">
        <x:v>Mattermost Calls WebRTC/SFU</x:v>
      </x:c>
      <x:c r="M6" s="346" t="str">
        <x:v>Deployment/integration dependent</x:v>
      </x:c>
      <x:c r="N6" s="346" t="str">
        <x:v>GameVox media stack</x:v>
      </x:c>
      <x:c r="O6" s="346" t="str">
        <x:v>U/K</x:v>
      </x:c>
      <x:c r="P6" s="346" t="str">
        <x:v>Custom media infrastructure</x:v>
      </x:c>
      <x:c r="Q6" s="346" t="str">
        <x:v>LiveKit</x:v>
      </x:c>
      <x:c r="R6" s="346" t="str">
        <x:v>U/K</x:v>
      </x:c>
      <x:c r="S6" s="346" t="str">
        <x:v>Custom WebRTC SFU</x:v>
      </x:c>
      <x:c r="T6" s="346" t="str">
        <x:v>U/K</x:v>
      </x:c>
      <x:c r="U6" s="346" t="str">
        <x:v>Self-host media</x:v>
      </x:c>
      <x:c r="V6" s="346" t="str">
        <x:v>WebRTC</x:v>
      </x:c>
      <x:c r="W6" s="346" t="str">
        <x:v>N/A</x:v>
      </x:c>
      <x:c r="X6" s="346" t="str">
        <x:v>Realtime voice implementation U/K</x:v>
      </x:c>
      <x:c r="Y6" s="346" t="str">
        <x:v>P2P WebRTC + TURN fallback</x:v>
      </x:c>
      <x:c r="Z6" s="346" t="str">
        <x:v>LiveKit</x:v>
      </x:c>
      <x:c r="AA6" s="380" t="str">
        <x:v>U/K</x:v>
      </x:c>
      <x:c r="AB6" s="346" t="str">
        <x:v>Hosted/self-host media</x:v>
      </x:c>
      <x:c r="AC6" s="346" t="str">
        <x:v>LiveKit</x:v>
      </x:c>
      <x:c r="AD6" s="346" t="str">
        <x:v>LiveKit</x:v>
      </x:c>
      <x:c r="AE6" s="346" t="str">
        <x:v>LiveKit</x:v>
      </x:c>
    </x:row>
    <x:row r="7" ht="36" customHeight="1">
      <x:c r="A7" s="359" t="str">
        <x:v>Audio Codec</x:v>
      </x:c>
      <x:c r="B7" s="346" t="str">
        <x:v>Opus</x:v>
      </x:c>
      <x:c r="C7" s="346" t="str">
        <x:v>Opus/WebRTC</x:v>
      </x:c>
      <x:c r="D7" s="346" t="str">
        <x:v>WebRTC/Opus</x:v>
      </x:c>
      <x:c r="E7" s="346" t="str">
        <x:v>WebRTC/Opus</x:v>
      </x:c>
      <x:c r="F7" s="346" t="str">
        <x:v>U/K</x:v>
      </x:c>
      <x:c r="G7" s="346" t="str">
        <x:v>Opus/WebRTC typical</x:v>
      </x:c>
      <x:c r="H7" s="346" t="str">
        <x:v>Implementation-dependent</x:v>
      </x:c>
      <x:c r="I7" s="346" t="str">
        <x:v>Opus</x:v>
      </x:c>
      <x:c r="J7" s="346" t="str">
        <x:v>Opus/proprietary stack</x:v>
      </x:c>
      <x:c r="K7" s="346" t="str">
        <x:v>Provider-dependent</x:v>
      </x:c>
      <x:c r="L7" s="346" t="str">
        <x:v>Opus/WebRTC</x:v>
      </x:c>
      <x:c r="M7" s="346" t="str">
        <x:v>WebRTC/provider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Opus/WebRTC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Opus/WebRTC U/K</x:v>
      </x:c>
      <x:c r="W7" s="346" t="str">
        <x:v>N/A</x:v>
      </x:c>
      <x:c r="X7" s="346" t="str">
        <x:v>U/K</x:v>
      </x:c>
      <x:c r="Y7" s="346" t="str">
        <x:v>U/K</x:v>
      </x:c>
      <x:c r="Z7" s="346" t="str">
        <x:v>Opus</x:v>
      </x:c>
      <x:c r="AA7" s="380" t="str">
        <x:v>U/K</x:v>
      </x:c>
      <x:c r="AB7" s="346" t="str">
        <x:v>U/K</x:v>
      </x:c>
      <x:c r="AC7" s="346" t="str">
        <x:v>Opus/WebRTC</x:v>
      </x:c>
      <x:c r="AD7" s="346" t="str">
        <x:v>Opus/WebRTC</x:v>
      </x:c>
      <x:c r="AE7" s="346" t="str">
        <x:v>Opus/WebRTC</x:v>
      </x:c>
    </x:row>
    <x:row r="8" ht="36" customHeight="1">
      <x:c r="A8" s="359" t="str">
        <x:v>Free / Base Audio Bitrate</x:v>
      </x:c>
      <x:c r="B8" s="346" t="str">
        <x:v>96 kbps base server voice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U/K</x:v>
      </x:c>
      <x:c r="G8" s="346" t="str">
        <x:v>Client/provider-dependent</x:v>
      </x:c>
      <x:c r="H8" s="346" t="str">
        <x:v>U/K</x:v>
      </x:c>
      <x:c r="I8" s="346" t="str">
        <x:v>Server configured</x:v>
      </x:c>
      <x:c r="J8" s="346" t="str">
        <x:v>U/K</x:v>
      </x:c>
      <x:c r="K8" s="346" t="str">
        <x:v>Provider-dependent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N/A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U/K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Maximum Audio Bitrate</x:v>
      </x:c>
      <x:c r="B9" s="346" t="str">
        <x:v>384 kbps boosted</x:v>
      </x:c>
      <x:c r="C9" s="346" t="str">
        <x:v>U/K</x:v>
      </x:c>
      <x:c r="D9" s="346" t="str">
        <x:v>U/K</x:v>
      </x:c>
      <x:c r="E9" s="346" t="str">
        <x:v>U/K</x:v>
      </x:c>
      <x:c r="F9" s="346" t="str">
        <x:v>U/K</x:v>
      </x:c>
      <x:c r="G9" s="346" t="str">
        <x:v>Client/provider-dependent</x:v>
      </x:c>
      <x:c r="H9" s="346" t="str">
        <x:v>U/K</x:v>
      </x:c>
      <x:c r="I9" s="346" t="str">
        <x:v>Server configured</x:v>
      </x:c>
      <x:c r="J9" s="346" t="str">
        <x:v>U/K</x:v>
      </x:c>
      <x:c r="K9" s="346" t="str">
        <x:v>Provider-dependent</x:v>
      </x:c>
      <x:c r="L9" s="346" t="str">
        <x:v>U/K</x:v>
      </x:c>
      <x:c r="M9" s="346" t="str">
        <x:v>U/K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N/A</x:v>
      </x:c>
      <x:c r="X9" s="346" t="str">
        <x:v>U/K</x:v>
      </x:c>
      <x:c r="Y9" s="346" t="str">
        <x:v>U/K</x:v>
      </x:c>
      <x:c r="Z9" s="346" t="str">
        <x:v>Configurable up to very high</x:v>
      </x:c>
      <x:c r="AA9" s="380" t="str">
        <x:v>U/K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59" t="str">
        <x:v>Push-to-Talk</x:v>
      </x:c>
      <x:c r="B10" s="346" t="str">
        <x:v>Yes</x:v>
      </x:c>
      <x:c r="C10" s="346" t="str">
        <x:v>Yes</x:v>
      </x:c>
      <x:c r="D10" s="346" t="str">
        <x:v>Yes</x:v>
      </x:c>
      <x:c r="E10" s="346" t="str">
        <x:v>Yes</x:v>
      </x:c>
      <x:c r="F10" s="346" t="str">
        <x:v>Yes</x:v>
      </x:c>
      <x:c r="G10" s="346" t="str">
        <x:v>Client-dependent</x:v>
      </x:c>
      <x:c r="H10" s="346" t="str">
        <x:v>Client-dependent</x:v>
      </x:c>
      <x:c r="I10" s="346" t="str">
        <x:v>Yes</x:v>
      </x:c>
      <x:c r="J10" s="346" t="str">
        <x:v>Yes</x:v>
      </x:c>
      <x:c r="K10" s="346" t="str">
        <x:v>Provider-dependent</x:v>
      </x:c>
      <x:c r="L10" s="346" t="str">
        <x:v>U/K</x:v>
      </x:c>
      <x:c r="M10" s="346" t="str">
        <x:v>U/K</x:v>
      </x:c>
      <x:c r="N10" s="346" t="str">
        <x:v>Yes</x:v>
      </x:c>
      <x:c r="O10" s="346" t="str">
        <x:v>U/K</x:v>
      </x:c>
      <x:c r="P10" s="346" t="str">
        <x:v>U/K</x:v>
      </x:c>
      <x:c r="Q10" s="346" t="str">
        <x:v>Yes</x:v>
      </x:c>
      <x:c r="R10" s="346" t="str">
        <x:v>U/K</x:v>
      </x:c>
      <x:c r="S10" s="346" t="str">
        <x:v>Yes/U/K</x:v>
      </x:c>
      <x:c r="T10" s="346" t="str">
        <x:v>U/K</x:v>
      </x:c>
      <x:c r="U10" s="346" t="str">
        <x:v>Yes/U/K</x:v>
      </x:c>
      <x:c r="V10" s="346" t="str">
        <x:v>U/K</x:v>
      </x:c>
      <x:c r="W10" s="346" t="str">
        <x:v>N/A</x:v>
      </x:c>
      <x:c r="X10" s="346" t="str">
        <x:v>U/K</x:v>
      </x:c>
      <x:c r="Y10" s="346" t="str">
        <x:v>U/K</x:v>
      </x:c>
      <x:c r="Z10" s="346" t="str">
        <x:v>Yes/U/K</x:v>
      </x:c>
      <x:c r="AA10" s="380" t="str">
        <x:v>U/K</x:v>
      </x:c>
      <x:c r="AB10" s="346" t="str">
        <x:v>Yes</x:v>
      </x:c>
      <x:c r="AC10" s="346" t="str">
        <x:v>Yes/U/K</x:v>
      </x:c>
      <x:c r="AD10" s="346" t="str">
        <x:v>U/K</x:v>
      </x:c>
      <x:c r="AE10" s="346" t="str">
        <x:v>Yes</x:v>
      </x:c>
    </x:row>
    <x:row r="11" ht="36" customHeight="1">
      <x:c r="A11" s="359" t="str">
        <x:v>Per-User Volume</x:v>
      </x:c>
      <x:c r="B11" s="346" t="str">
        <x:v>Yes</x:v>
      </x:c>
      <x:c r="C11" s="346" t="str">
        <x:v>Yes</x:v>
      </x:c>
      <x:c r="D11" s="346" t="str">
        <x:v>Yes</x:v>
      </x:c>
      <x:c r="E11" s="346" t="str">
        <x:v>Yes</x:v>
      </x:c>
      <x:c r="F11" s="346" t="str">
        <x:v>Yes</x:v>
      </x:c>
      <x:c r="G11" s="346" t="str">
        <x:v>Client-dependent</x:v>
      </x:c>
      <x:c r="H11" s="346" t="str">
        <x:v>Client-dependent</x:v>
      </x:c>
      <x:c r="I11" s="346" t="str">
        <x:v>Yes</x:v>
      </x:c>
      <x:c r="J11" s="346" t="str">
        <x:v>Yes</x:v>
      </x:c>
      <x:c r="K11" s="346" t="str">
        <x:v>Provider-dependent</x:v>
      </x:c>
      <x:c r="L11" s="346" t="str">
        <x:v>Yes</x:v>
      </x:c>
      <x:c r="M11" s="346" t="str">
        <x:v>U/K</x:v>
      </x:c>
      <x:c r="N11" s="346" t="str">
        <x:v>Yes</x:v>
      </x:c>
      <x:c r="O11" s="346" t="str">
        <x:v>U/K</x:v>
      </x:c>
      <x:c r="P11" s="346" t="str">
        <x:v>U/K</x:v>
      </x:c>
      <x:c r="Q11" s="346" t="str">
        <x:v>Yes</x:v>
      </x:c>
      <x:c r="R11" s="346" t="str">
        <x:v>U/K</x:v>
      </x:c>
      <x:c r="S11" s="346" t="str">
        <x:v>Yes/U/K</x:v>
      </x:c>
      <x:c r="T11" s="346" t="str">
        <x:v>U/K</x:v>
      </x:c>
      <x:c r="U11" s="346" t="str">
        <x:v>Yes/U/K</x:v>
      </x:c>
      <x:c r="V11" s="346" t="str">
        <x:v>U/K</x:v>
      </x:c>
      <x:c r="W11" s="346" t="str">
        <x:v>N/A</x:v>
      </x:c>
      <x:c r="X11" s="346" t="str">
        <x:v>U/K</x:v>
      </x:c>
      <x:c r="Y11" s="346" t="str">
        <x:v>U/K</x:v>
      </x:c>
      <x:c r="Z11" s="346" t="str">
        <x:v>Yes/U/K</x:v>
      </x:c>
      <x:c r="AA11" s="380" t="str">
        <x:v>U/K</x:v>
      </x:c>
      <x:c r="AB11" s="346" t="str">
        <x:v>Yes</x:v>
      </x:c>
      <x:c r="AC11" s="346" t="str">
        <x:v>Yes/U/K</x:v>
      </x:c>
      <x:c r="AD11" s="346" t="str">
        <x:v>U/K</x:v>
      </x:c>
      <x:c r="AE11" s="346" t="str">
        <x:v>Yes/U/K</x:v>
      </x:c>
    </x:row>
    <x:row r="12" ht="36" customHeight="1">
      <x:c r="A12" s="359" t="str">
        <x:v>Noise Suppression</x:v>
      </x:c>
      <x:c r="B12" s="346" t="str">
        <x:v>Krisp</x:v>
      </x:c>
      <x:c r="C12" s="346" t="str">
        <x:v>RNNoise</x:v>
      </x:c>
      <x:c r="D12" s="346" t="str">
        <x:v>DeepFilterNet3/local processing</x:v>
      </x:c>
      <x:c r="E12" s="346" t="str">
        <x:v>DeepFilterNet3</x:v>
      </x:c>
      <x:c r="F12" s="346" t="str">
        <x:v>U/K</x:v>
      </x:c>
      <x:c r="G12" s="346" t="str">
        <x:v>Client-dependent</x:v>
      </x:c>
      <x:c r="H12" s="346" t="str">
        <x:v>U/K</x:v>
      </x:c>
      <x:c r="I12" s="346" t="str">
        <x:v>Built-in processing</x:v>
      </x:c>
      <x:c r="J12" s="346" t="str">
        <x:v>Built-in</x:v>
      </x:c>
      <x:c r="K12" s="346" t="str">
        <x:v>Provider-dependent</x:v>
      </x:c>
      <x:c r="L12" s="346" t="str">
        <x:v>WebRTC processing</x:v>
      </x:c>
      <x:c r="M12" s="346" t="str">
        <x:v>Provider-dependent</x:v>
      </x:c>
      <x:c r="N12" s="346" t="str">
        <x:v>Built-in processing</x:v>
      </x:c>
      <x:c r="O12" s="346" t="str">
        <x:v>U/K</x:v>
      </x:c>
      <x:c r="P12" s="346" t="str">
        <x:v>U/K</x:v>
      </x:c>
      <x:c r="Q12" s="346" t="str">
        <x:v>Noise suppression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N/A</x:v>
      </x:c>
      <x:c r="X12" s="346" t="str">
        <x:v>U/K</x:v>
      </x:c>
      <x:c r="Y12" s="346" t="str">
        <x:v>U/K</x:v>
      </x:c>
      <x:c r="Z12" s="346" t="str">
        <x:v>Noise/echo cancellation</x:v>
      </x:c>
      <x:c r="AA12" s="380" t="str">
        <x:v>U/K</x:v>
      </x:c>
      <x:c r="AB12" s="346" t="str">
        <x:v>U/K</x:v>
      </x:c>
      <x:c r="AC12" s="346" t="str">
        <x:v>Echo cancellation/noise suppression/auto gain</x:v>
      </x:c>
      <x:c r="AD12" s="346" t="str">
        <x:v>U/K</x:v>
      </x:c>
      <x:c r="AE12" s="346" t="str">
        <x:v>U/K</x:v>
      </x:c>
    </x:row>
    <x:row r="13" ht="36" customHeight="1">
      <x:c r="A13" s="359" t="str">
        <x:v>Spatial / Proximity Audio</x:v>
      </x:c>
      <x:c r="B13" s="346" t="str">
        <x:v>No native proximity</x:v>
      </x:c>
      <x:c r="C13" s="346" t="str">
        <x:v>No</x:v>
      </x:c>
      <x:c r="D13" s="346" t="str">
        <x:v>No</x:v>
      </x:c>
      <x:c r="E13" s="346" t="str">
        <x:v>No</x:v>
      </x:c>
      <x:c r="F13" s="346" t="str">
        <x:v>No</x:v>
      </x:c>
      <x:c r="G13" s="346" t="str">
        <x:v>Client-dependent</x:v>
      </x:c>
      <x:c r="H13" s="346" t="str">
        <x:v>No</x:v>
      </x:c>
      <x:c r="I13" s="346" t="str">
        <x:v>Yes - positional audio</x:v>
      </x:c>
      <x:c r="J13" s="346" t="str">
        <x:v>3D/positional support historically</x:v>
      </x:c>
      <x:c r="K13" s="346" t="str">
        <x:v>No</x:v>
      </x:c>
      <x:c r="L13" s="346" t="str">
        <x:v>No</x:v>
      </x:c>
      <x:c r="M13" s="346" t="str">
        <x:v>No</x:v>
      </x:c>
      <x:c r="N13" s="346" t="str">
        <x:v>GameLink spatial audio</x:v>
      </x:c>
      <x:c r="O13" s="346" t="str">
        <x:v>No</x:v>
      </x:c>
      <x:c r="P13" s="346" t="str">
        <x:v>No</x:v>
      </x:c>
      <x:c r="Q13" s="346" t="str">
        <x:v>No</x:v>
      </x:c>
      <x:c r="R13" s="346" t="str">
        <x:v>No</x:v>
      </x:c>
      <x:c r="S13" s="346" t="str">
        <x:v>No</x:v>
      </x:c>
      <x:c r="T13" s="346" t="str">
        <x:v>No</x:v>
      </x:c>
      <x:c r="U13" s="346" t="str">
        <x:v>Yes - spatial/proximity</x:v>
      </x:c>
      <x:c r="V13" s="346" t="str">
        <x:v>No</x:v>
      </x:c>
      <x:c r="W13" s="346" t="str">
        <x:v>N/A</x:v>
      </x:c>
      <x:c r="X13" s="346" t="str">
        <x:v>No</x:v>
      </x:c>
      <x:c r="Y13" s="346" t="str">
        <x:v>No</x:v>
      </x:c>
      <x:c r="Z13" s="346" t="str">
        <x:v>No</x:v>
      </x:c>
      <x:c r="AA13" s="380" t="str">
        <x:v>No</x:v>
      </x:c>
      <x:c r="AB13" s="346" t="str">
        <x:v>No</x:v>
      </x:c>
      <x:c r="AC13" s="346" t="str">
        <x:v>No</x:v>
      </x:c>
      <x:c r="AD13" s="346" t="str">
        <x:v>No</x:v>
      </x:c>
      <x:c r="AE13" s="346" t="str">
        <x:v>No</x:v>
      </x:c>
    </x:row>
    <x:row r="14" ht="36" customHeight="1">
      <x:c r="A14" s="359" t="str">
        <x:v>Stage / Broadcast Mode</x:v>
      </x:c>
      <x:c r="B14" s="346" t="str">
        <x:v>Yes - Stage</x:v>
      </x:c>
      <x:c r="C14" s="346" t="str">
        <x:v>No verified</x:v>
      </x:c>
      <x:c r="D14" s="346" t="str">
        <x:v>Nested voice/host-broadcasting direction</x:v>
      </x:c>
      <x:c r="E14" s="346" t="str">
        <x:v>U/K</x:v>
      </x:c>
      <x:c r="F14" s="346" t="str">
        <x:v>No dedicated stage</x:v>
      </x:c>
      <x:c r="G14" s="346" t="str">
        <x:v>Client-dependent</x:v>
      </x:c>
      <x:c r="H14" s="346" t="str">
        <x:v>Discord-compatible target/U/K</x:v>
      </x:c>
      <x:c r="I14" s="346" t="str">
        <x:v>No</x:v>
      </x:c>
      <x:c r="J14" s="346" t="str">
        <x:v>No Discord stage equivalent</x:v>
      </x:c>
      <x:c r="K14" s="346" t="str">
        <x:v>Provider-dependent</x:v>
      </x:c>
      <x:c r="L14" s="346" t="str">
        <x:v>Call presentation</x:v>
      </x:c>
      <x:c r="M14" s="346" t="str">
        <x:v>Provider-dependent</x:v>
      </x:c>
      <x:c r="N14" s="346" t="str">
        <x:v>No Stage verified</x:v>
      </x:c>
      <x:c r="O14" s="346" t="str">
        <x:v>No</x:v>
      </x:c>
      <x:c r="P14" s="346" t="str">
        <x:v>No Stage verified</x:v>
      </x:c>
      <x:c r="Q14" s="346" t="str">
        <x:v>Stage/channel model</x:v>
      </x:c>
      <x:c r="R14" s="346" t="str">
        <x:v>No</x:v>
      </x:c>
      <x:c r="S14" s="346" t="str">
        <x:v>U/K</x:v>
      </x:c>
      <x:c r="T14" s="346" t="str">
        <x:v>No</x:v>
      </x:c>
      <x:c r="U14" s="346" t="str">
        <x:v>No</x:v>
      </x:c>
      <x:c r="V14" s="346" t="str">
        <x:v>No</x:v>
      </x:c>
      <x:c r="W14" s="346" t="str">
        <x:v>N/A</x:v>
      </x:c>
      <x:c r="X14" s="346" t="str">
        <x:v>U/K</x:v>
      </x:c>
      <x:c r="Y14" s="346" t="str">
        <x:v>No</x:v>
      </x:c>
      <x:c r="Z14" s="346" t="str">
        <x:v>No</x:v>
      </x:c>
      <x:c r="AA14" s="380" t="str">
        <x:v>No dedicated Stage; announcements + permissions / voice launchers</x:v>
      </x:c>
      <x:c r="AB14" s="346" t="str">
        <x:v>No</x:v>
      </x:c>
      <x:c r="AC14" s="346" t="str">
        <x:v>No</x:v>
      </x:c>
      <x:c r="AD14" s="346" t="str">
        <x:v>No</x:v>
      </x:c>
      <x:c r="AE14" s="346" t="str">
        <x:v>Room stage/media surface</x:v>
      </x:c>
    </x:row>
    <x:row r="15" ht="36" customHeight="1">
      <x:c r="A15" s="359" t="str">
        <x:v>Raise Hand / Speaker Requests</x:v>
      </x:c>
      <x:c r="B15" s="346" t="str">
        <x:v>Yes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Client-dependent</x:v>
      </x:c>
      <x:c r="H15" s="346" t="str">
        <x:v>U/K</x:v>
      </x:c>
      <x:c r="I15" s="346" t="str">
        <x:v>No</x:v>
      </x:c>
      <x:c r="J15" s="346" t="str">
        <x:v>U/K</x:v>
      </x:c>
      <x:c r="K15" s="346" t="str">
        <x:v>Provider-dependent</x:v>
      </x:c>
      <x:c r="L15" s="346" t="str">
        <x:v>Yes</x:v>
      </x:c>
      <x:c r="M15" s="346" t="str">
        <x:v>Provider-dependent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No</x:v>
      </x:c>
      <x:c r="V15" s="346" t="str">
        <x:v>U/K</x:v>
      </x:c>
      <x:c r="W15" s="346" t="str">
        <x:v>N/A</x:v>
      </x:c>
      <x:c r="X15" s="346" t="str">
        <x:v>U/K</x:v>
      </x:c>
      <x:c r="Y15" s="346" t="str">
        <x:v>No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Webcam Video</x:v>
      </x:c>
      <x:c r="B16" s="346" t="str">
        <x:v>Yes</x:v>
      </x:c>
      <x:c r="C16" s="346" t="str">
        <x:v>Yes/rollout</x:v>
      </x:c>
      <x:c r="D16" s="346" t="str">
        <x:v>Yes</x:v>
      </x:c>
      <x:c r="E16" s="346" t="str">
        <x:v>Yes</x:v>
      </x:c>
      <x:c r="F16" s="346" t="str">
        <x:v>Yes</x:v>
      </x:c>
      <x:c r="G16" s="346" t="str">
        <x:v>Client-dependent</x:v>
      </x:c>
      <x:c r="H16" s="346" t="str">
        <x:v>Yes with Pion implementation</x:v>
      </x:c>
      <x:c r="I16" s="346" t="str">
        <x:v>No</x:v>
      </x:c>
      <x:c r="J16" s="346" t="str">
        <x:v>TS6 video capabilities U/K</x:v>
      </x:c>
      <x:c r="K16" s="346" t="str">
        <x:v>External provider</x:v>
      </x:c>
      <x:c r="L16" s="346" t="str">
        <x:v>Yes</x:v>
      </x:c>
      <x:c r="M16" s="346" t="str">
        <x:v>Provider-dependent</x:v>
      </x:c>
      <x:c r="N16" s="346" t="str">
        <x:v>Yes</x:v>
      </x:c>
      <x:c r="O16" s="346" t="str">
        <x:v>U/K</x:v>
      </x:c>
      <x:c r="P16" s="346" t="str">
        <x:v>Yes</x:v>
      </x:c>
      <x:c r="Q16" s="346" t="str">
        <x:v>Yes</x:v>
      </x:c>
      <x:c r="R16" s="346" t="str">
        <x:v>U/K</x:v>
      </x:c>
      <x:c r="S16" s="346" t="str">
        <x:v>Yes</x:v>
      </x:c>
      <x:c r="T16" s="346" t="str">
        <x:v>U/K</x:v>
      </x:c>
      <x:c r="U16" s="346" t="str">
        <x:v>U/K</x:v>
      </x:c>
      <x:c r="V16" s="346" t="str">
        <x:v>In development</x:v>
      </x:c>
      <x:c r="W16" s="346" t="str">
        <x:v>N/A</x:v>
      </x:c>
      <x:c r="X16" s="346" t="str">
        <x:v>U/K</x:v>
      </x:c>
      <x:c r="Y16" s="346" t="str">
        <x:v>Yes/U/K</x:v>
      </x:c>
      <x:c r="Z16" s="346" t="str">
        <x:v>U/K</x:v>
      </x:c>
      <x:c r="AA16" s="380" t="str">
        <x:v>Yes</x:v>
      </x:c>
      <x:c r="AB16" s="346" t="str">
        <x:v>Camera in DMs</x:v>
      </x:c>
      <x:c r="AC16" s="346" t="str">
        <x:v>Yes</x:v>
      </x:c>
      <x:c r="AD16" s="346" t="str">
        <x:v>U/K</x:v>
      </x:c>
      <x:c r="AE16" s="346" t="str">
        <x:v>Yes</x:v>
      </x:c>
    </x:row>
    <x:row r="17" ht="36" customHeight="1">
      <x:c r="A17" s="359" t="str">
        <x:v>Screen Sharing</x:v>
      </x:c>
      <x:c r="B17" s="346" t="str">
        <x:v>Yes</x:v>
      </x:c>
      <x:c r="C17" s="346" t="str">
        <x:v>Yes/rollout</x:v>
      </x:c>
      <x:c r="D17" s="346" t="str">
        <x:v>Yes</x:v>
      </x:c>
      <x:c r="E17" s="346" t="str">
        <x:v>Yes</x:v>
      </x:c>
      <x:c r="F17" s="346" t="str">
        <x:v>Yes</x:v>
      </x:c>
      <x:c r="G17" s="346" t="str">
        <x:v>Client-dependent</x:v>
      </x:c>
      <x:c r="H17" s="346" t="str">
        <x:v>Yes - Go Live with Pion</x:v>
      </x:c>
      <x:c r="I17" s="346" t="str">
        <x:v>No</x:v>
      </x:c>
      <x:c r="J17" s="346" t="str">
        <x:v>Yes - TS6</x:v>
      </x:c>
      <x:c r="K17" s="346" t="str">
        <x:v>External provider</x:v>
      </x:c>
      <x:c r="L17" s="346" t="str">
        <x:v>Yes</x:v>
      </x:c>
      <x:c r="M17" s="346" t="str">
        <x:v>Provider-dependent</x:v>
      </x:c>
      <x:c r="N17" s="346" t="str">
        <x:v>Yes</x:v>
      </x:c>
      <x:c r="O17" s="346" t="str">
        <x:v>U/K</x:v>
      </x:c>
      <x:c r="P17" s="346" t="str">
        <x:v>Yes</x:v>
      </x:c>
      <x:c r="Q17" s="346" t="str">
        <x:v>Yes</x:v>
      </x:c>
      <x:c r="R17" s="346" t="str">
        <x:v>U/K</x:v>
      </x:c>
      <x:c r="S17" s="346" t="str">
        <x:v>Yes</x:v>
      </x:c>
      <x:c r="T17" s="346" t="str">
        <x:v>Yes - screen share advertised</x:v>
      </x:c>
      <x:c r="U17" s="346" t="str">
        <x:v>Yes</x:v>
      </x:c>
      <x:c r="V17" s="346" t="str">
        <x:v>In development</x:v>
      </x:c>
      <x:c r="W17" s="346" t="str">
        <x:v>N/A</x:v>
      </x:c>
      <x:c r="X17" s="346" t="str">
        <x:v>U/K</x:v>
      </x:c>
      <x:c r="Y17" s="346" t="str">
        <x:v>Screen/media call support U/K</x:v>
      </x:c>
      <x:c r="Z17" s="346" t="str">
        <x:v>Yes</x:v>
      </x:c>
      <x:c r="AA17" s="380" t="str">
        <x:v>Yes</x:v>
      </x:c>
      <x:c r="AB17" s="346" t="str">
        <x:v>Yes</x:v>
      </x:c>
      <x:c r="AC17" s="346" t="str">
        <x:v>Yes</x:v>
      </x:c>
      <x:c r="AD17" s="346" t="str">
        <x:v>U/K</x:v>
      </x:c>
      <x:c r="AE17" s="346" t="str">
        <x:v>Yes</x:v>
      </x:c>
    </x:row>
    <x:row r="18" ht="36" customHeight="1">
      <x:c r="A18" s="359" t="str">
        <x:v>Free Screen Share Resolution</x:v>
      </x:c>
      <x:c r="B18" s="346" t="str">
        <x:v>720p</x:v>
      </x:c>
      <x:c r="C18" s="346" t="str">
        <x:v>U/K</x:v>
      </x:c>
      <x:c r="D18" s="346" t="str">
        <x:v>U/K</x:v>
      </x:c>
      <x:c r="E18" s="346" t="str">
        <x:v>720p</x:v>
      </x:c>
      <x:c r="F18" s="346" t="str">
        <x:v>720p game / Source text mode</x:v>
      </x:c>
      <x:c r="G18" s="346" t="str">
        <x:v>Client-dependent</x:v>
      </x:c>
      <x:c r="H18" s="346" t="str">
        <x:v>Operator/config dependent</x:v>
      </x:c>
      <x:c r="I18" s="346" t="str">
        <x:v>N/A</x:v>
      </x:c>
      <x:c r="J18" s="346" t="str">
        <x:v>U/K</x:v>
      </x:c>
      <x:c r="K18" s="346" t="str">
        <x:v>Provider-dependent</x:v>
      </x:c>
      <x:c r="L18" s="346" t="str">
        <x:v>Deployment/plan dependent</x:v>
      </x:c>
      <x:c r="M18" s="346" t="str">
        <x:v>Provider-dependent</x:v>
      </x:c>
      <x:c r="N18" s="346" t="str">
        <x:v>1080p</x:v>
      </x:c>
      <x:c r="O18" s="346" t="str">
        <x:v>U/K</x:v>
      </x:c>
      <x:c r="P18" s="346" t="str">
        <x:v>U/K</x:v>
      </x:c>
      <x:c r="Q18" s="346" t="str">
        <x:v>HD/U/K</x:v>
      </x:c>
      <x:c r="R18" s="346" t="str">
        <x:v>U/K</x:v>
      </x:c>
      <x:c r="S18" s="346" t="str">
        <x:v>Unlimited-resolution claim</x:v>
      </x:c>
      <x:c r="T18" s="346" t="str">
        <x:v>U/K</x:v>
      </x:c>
      <x:c r="U18" s="346" t="str">
        <x:v>Up to 1440p</x:v>
      </x:c>
      <x:c r="V18" s="346" t="str">
        <x:v>N/A</x:v>
      </x:c>
      <x:c r="W18" s="346" t="str">
        <x:v>N/A</x:v>
      </x:c>
      <x:c r="X18" s="346" t="str">
        <x:v>U/K</x:v>
      </x:c>
      <x:c r="Y18" s="346" t="str">
        <x:v>U/K</x:v>
      </x:c>
      <x:c r="Z18" s="346" t="str">
        <x:v>Up to 4K</x:v>
      </x:c>
      <x:c r="AA18" s="380" t="str">
        <x:v>U/K</x:v>
      </x:c>
      <x:c r="AB18" s="346" t="str">
        <x:v>Up to 1080p</x:v>
      </x:c>
      <x:c r="AC18" s="346" t="str">
        <x:v>HD/U/K</x:v>
      </x:c>
      <x:c r="AD18" s="346" t="str">
        <x:v>U/K</x:v>
      </x:c>
      <x:c r="AE18" s="346" t="str">
        <x:v>U/K</x:v>
      </x:c>
    </x:row>
    <x:row r="19" ht="36" customHeight="1">
      <x:c r="A19" s="359" t="str">
        <x:v>Free Screen Share FPS</x:v>
      </x:c>
      <x:c r="B19" s="346" t="str">
        <x:v>30</x:v>
      </x:c>
      <x:c r="C19" s="346" t="str">
        <x:v>U/K</x:v>
      </x:c>
      <x:c r="D19" s="346" t="str">
        <x:v>U/K</x:v>
      </x:c>
      <x:c r="E19" s="346" t="str">
        <x:v>30</x:v>
      </x:c>
      <x:c r="F19" s="346" t="str">
        <x:v>30 game / 5 source</x:v>
      </x:c>
      <x:c r="G19" s="346" t="str">
        <x:v>Client-dependent</x:v>
      </x:c>
      <x:c r="H19" s="346" t="str">
        <x:v>U/K</x:v>
      </x:c>
      <x:c r="I19" s="346" t="str">
        <x:v>N/A</x:v>
      </x:c>
      <x:c r="J19" s="346" t="str">
        <x:v>U/K</x:v>
      </x:c>
      <x:c r="K19" s="346" t="str">
        <x:v>Provider-dependent</x:v>
      </x:c>
      <x:c r="L19" s="346" t="str">
        <x:v>Deployment/plan dependent</x:v>
      </x:c>
      <x:c r="M19" s="346" t="str">
        <x:v>Provider-dependent</x:v>
      </x:c>
      <x:c r="N19" s="346" t="str">
        <x:v>30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Unlimited/U/K</x:v>
      </x:c>
      <x:c r="T19" s="346" t="str">
        <x:v>U/K</x:v>
      </x:c>
      <x:c r="U19" s="346" t="str">
        <x:v>U/K</x:v>
      </x:c>
      <x:c r="V19" s="346" t="str">
        <x:v>N/A</x:v>
      </x:c>
      <x:c r="W19" s="346" t="str">
        <x:v>N/A</x:v>
      </x:c>
      <x:c r="X19" s="346" t="str">
        <x:v>U/K</x:v>
      </x:c>
      <x:c r="Y19" s="346" t="str">
        <x:v>U/K</x:v>
      </x:c>
      <x:c r="Z19" s="346" t="str">
        <x:v>Up to 60/120 by version/config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59" t="str">
        <x:v>Paid / Boost Screen Share Max</x:v>
      </x:c>
      <x:c r="B20" s="346" t="str">
        <x:v>Up to 4K/60</x:v>
      </x:c>
      <x:c r="C20" s="346" t="str">
        <x:v>U/K</x:v>
      </x:c>
      <x:c r="D20" s="346" t="str">
        <x:v>U/K</x:v>
      </x:c>
      <x:c r="E20" s="346" t="str">
        <x:v>4K/60 Plutonium</x:v>
      </x:c>
      <x:c r="F20" s="346" t="str">
        <x:v>1440p/60 Sudo</x:v>
      </x:c>
      <x:c r="G20" s="346" t="str">
        <x:v>Client/provider-dependent</x:v>
      </x:c>
      <x:c r="H20" s="346" t="str">
        <x:v>Operator/config dependent</x:v>
      </x:c>
      <x:c r="I20" s="346" t="str">
        <x:v>N/A</x:v>
      </x:c>
      <x:c r="J20" s="346" t="str">
        <x:v>U/K</x:v>
      </x:c>
      <x:c r="K20" s="346" t="str">
        <x:v>Provider-dependent</x:v>
      </x:c>
      <x:c r="L20" s="346" t="str">
        <x:v>Deployment/plan dependent</x:v>
      </x:c>
      <x:c r="M20" s="346" t="str">
        <x:v>Provider-dependent</x:v>
      </x:c>
      <x:c r="N20" s="346" t="str">
        <x:v>4K/60 Diamond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No paid cap claimed</x:v>
      </x:c>
      <x:c r="T20" s="346" t="str">
        <x:v>U/K</x:v>
      </x:c>
      <x:c r="U20" s="346" t="str">
        <x:v>1440p included</x:v>
      </x:c>
      <x:c r="V20" s="346" t="str">
        <x:v>N/A</x:v>
      </x:c>
      <x:c r="W20" s="346" t="str">
        <x:v>N/A</x:v>
      </x:c>
      <x:c r="X20" s="346" t="str">
        <x:v>U/K</x:v>
      </x:c>
      <x:c r="Y20" s="346" t="str">
        <x:v>U/K</x:v>
      </x:c>
      <x:c r="Z20" s="346" t="str">
        <x:v>Operator configured</x:v>
      </x:c>
      <x:c r="AA20" s="380" t="str">
        <x:v>U/K</x:v>
      </x:c>
      <x:c r="AB20" s="346" t="str">
        <x:v>1080p free</x:v>
      </x:c>
      <x:c r="AC20" s="346" t="str">
        <x:v>U/K</x:v>
      </x:c>
      <x:c r="AD20" s="346" t="str">
        <x:v>U/K</x:v>
      </x:c>
      <x:c r="AE20" s="346" t="str">
        <x:v>Free/unmetered claim</x:v>
      </x:c>
    </x:row>
    <x:row r="21" ht="36" customHeight="1">
      <x:c r="A21" s="359" t="str">
        <x:v>Application Audio Capture</x:v>
      </x:c>
      <x:c r="B21" s="346" t="str">
        <x:v>Yes</x:v>
      </x:c>
      <x:c r="C21" s="346" t="str">
        <x:v>Yes/U/K</x:v>
      </x:c>
      <x:c r="D21" s="346" t="str">
        <x:v>U/K</x:v>
      </x:c>
      <x:c r="E21" s="346" t="str">
        <x:v>Yes</x:v>
      </x:c>
      <x:c r="F21" s="346" t="str">
        <x:v>Yes</x:v>
      </x:c>
      <x:c r="G21" s="346" t="str">
        <x:v>Client-dependent</x:v>
      </x:c>
      <x:c r="H21" s="346" t="str">
        <x:v>U/K</x:v>
      </x:c>
      <x:c r="I21" s="346" t="str">
        <x:v>N/A</x:v>
      </x:c>
      <x:c r="J21" s="346" t="str">
        <x:v>Yes</x:v>
      </x:c>
      <x:c r="K21" s="346" t="str">
        <x:v>Provider-dependent</x:v>
      </x:c>
      <x:c r="L21" s="346" t="str">
        <x:v>Yes</x:v>
      </x:c>
      <x:c r="M21" s="346" t="str">
        <x:v>Provider-dependent</x:v>
      </x:c>
      <x:c r="N21" s="346" t="str">
        <x:v>Yes</x:v>
      </x:c>
      <x:c r="O21" s="346" t="str">
        <x:v>U/K</x:v>
      </x:c>
      <x:c r="P21" s="346" t="str">
        <x:v>Yes</x:v>
      </x:c>
      <x:c r="Q21" s="346" t="str">
        <x:v>Yes</x:v>
      </x:c>
      <x:c r="R21" s="346" t="str">
        <x:v>U/K</x:v>
      </x:c>
      <x:c r="S21" s="346" t="str">
        <x:v>Yes</x:v>
      </x:c>
      <x:c r="T21" s="346" t="str">
        <x:v>U/K</x:v>
      </x:c>
      <x:c r="U21" s="346" t="str">
        <x:v>Yes</x:v>
      </x:c>
      <x:c r="V21" s="346" t="str">
        <x:v>U/K</x:v>
      </x:c>
      <x:c r="W21" s="346" t="str">
        <x:v>N/A</x:v>
      </x:c>
      <x:c r="X21" s="346" t="str">
        <x:v>U/K</x:v>
      </x:c>
      <x:c r="Y21" s="346" t="str">
        <x:v>U/K</x:v>
      </x:c>
      <x:c r="Z21" s="346" t="str">
        <x:v>Yes</x:v>
      </x:c>
      <x:c r="AA21" s="380" t="str">
        <x:v>Yes/U/K by platform</x:v>
      </x:c>
      <x:c r="AB21" s="346" t="str">
        <x:v>Yes</x:v>
      </x:c>
      <x:c r="AC21" s="346" t="str">
        <x:v>Yes</x:v>
      </x:c>
      <x:c r="AD21" s="346" t="str">
        <x:v>U/K</x:v>
      </x:c>
      <x:c r="AE21" s="346" t="str">
        <x:v>Yes</x:v>
      </x:c>
    </x:row>
    <x:row r="22" ht="36" customHeight="1">
      <x:c r="A22" s="359" t="str">
        <x:v>System Audio Capture</x:v>
      </x:c>
      <x:c r="B22" s="346" t="str">
        <x:v>Yes on supported platforms</x:v>
      </x:c>
      <x:c r="C22" s="346" t="str">
        <x:v>U/K</x:v>
      </x:c>
      <x:c r="D22" s="346" t="str">
        <x:v>U/K</x:v>
      </x:c>
      <x:c r="E22" s="346" t="str">
        <x:v>Yes on supported desktop</x:v>
      </x:c>
      <x:c r="F22" s="346" t="str">
        <x:v>Yes</x:v>
      </x:c>
      <x:c r="G22" s="346" t="str">
        <x:v>Client-dependent</x:v>
      </x:c>
      <x:c r="H22" s="346" t="str">
        <x:v>U/K</x:v>
      </x:c>
      <x:c r="I22" s="346" t="str">
        <x:v>N/A</x:v>
      </x:c>
      <x:c r="J22" s="346" t="str">
        <x:v>Yes/U/K</x:v>
      </x:c>
      <x:c r="K22" s="346" t="str">
        <x:v>Provider-dependent</x:v>
      </x:c>
      <x:c r="L22" s="346" t="str">
        <x:v>Yes</x:v>
      </x:c>
      <x:c r="M22" s="346" t="str">
        <x:v>Provider-dependent</x:v>
      </x:c>
      <x:c r="N22" s="346" t="str">
        <x:v>Yes/U/K</x:v>
      </x:c>
      <x:c r="O22" s="346" t="str">
        <x:v>U/K</x:v>
      </x:c>
      <x:c r="P22" s="346" t="str">
        <x:v>Yes/U/K</x:v>
      </x:c>
      <x:c r="Q22" s="346" t="str">
        <x:v>Yes/U/K</x:v>
      </x:c>
      <x:c r="R22" s="346" t="str">
        <x:v>U/K</x:v>
      </x:c>
      <x:c r="S22" s="346" t="str">
        <x:v>Yes/U/K</x:v>
      </x:c>
      <x:c r="T22" s="346" t="str">
        <x:v>U/K</x:v>
      </x:c>
      <x:c r="U22" s="346" t="str">
        <x:v>Yes/U/K</x:v>
      </x:c>
      <x:c r="V22" s="346" t="str">
        <x:v>U/K</x:v>
      </x:c>
      <x:c r="W22" s="346" t="str">
        <x:v>N/A</x:v>
      </x:c>
      <x:c r="X22" s="346" t="str">
        <x:v>U/K</x:v>
      </x:c>
      <x:c r="Y22" s="346" t="str">
        <x:v>U/K</x:v>
      </x:c>
      <x:c r="Z22" s="346" t="str">
        <x:v>Yes/U/K</x:v>
      </x:c>
      <x:c r="AA22" s="380" t="str">
        <x:v>Yes/U/K by platform</x:v>
      </x:c>
      <x:c r="AB22" s="346" t="str">
        <x:v>Yes</x:v>
      </x:c>
      <x:c r="AC22" s="346" t="str">
        <x:v>Yes/U/K</x:v>
      </x:c>
      <x:c r="AD22" s="346" t="str">
        <x:v>U/K</x:v>
      </x:c>
      <x:c r="AE22" s="346" t="str">
        <x:v>Yes/U/K</x:v>
      </x:c>
    </x:row>
    <x:row r="23" ht="36" customHeight="1">
      <x:c r="A23" s="359" t="str">
        <x:v>Linux Screen Audio</x:v>
      </x:c>
      <x:c r="B23" s="346" t="str">
        <x:v>Linux audio-share limitations</x:v>
      </x:c>
      <x:c r="C23" s="346" t="str">
        <x:v>U/K</x:v>
      </x:c>
      <x:c r="D23" s="346" t="str">
        <x:v>U/K</x:v>
      </x:c>
      <x:c r="E23" s="346" t="str">
        <x:v>Advanced Linux source/audio options reported in canary; stable details U/K</x:v>
      </x:c>
      <x:c r="F23" s="346" t="str">
        <x:v>Linux PipeWire support noted; current exact behavior U/K</x:v>
      </x:c>
      <x:c r="G23" s="346" t="str">
        <x:v>Client-dependent</x:v>
      </x:c>
      <x:c r="H23" s="346" t="str">
        <x:v>U/K</x:v>
      </x:c>
      <x:c r="I23" s="346" t="str">
        <x:v>N/A</x:v>
      </x:c>
      <x:c r="J23" s="346" t="str">
        <x:v>U/K</x:v>
      </x:c>
      <x:c r="K23" s="346" t="str">
        <x:v>Provider-dependent</x:v>
      </x:c>
      <x:c r="L23" s="346" t="str">
        <x:v>Depends desktop/Linux support</x:v>
      </x:c>
      <x:c r="M23" s="346" t="str">
        <x:v>Provider-dependent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Linux mic I/O known rough edge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N/A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U/K</x:v>
      </x:c>
      <x:c r="AB23" s="346" t="str">
        <x:v>Linux supported</x:v>
      </x:c>
      <x:c r="AC23" s="346" t="str">
        <x:v>Linux supported/U/K</x:v>
      </x:c>
      <x:c r="AD23" s="346" t="str">
        <x:v>U/K</x:v>
      </x:c>
      <x:c r="AE23" s="346" t="str">
        <x:v>U/K</x:v>
      </x:c>
    </x:row>
    <x:row r="24" ht="36" customHeight="1">
      <x:c r="A24" s="359" t="str">
        <x:v>Mobile Screen Share</x:v>
      </x:c>
      <x:c r="B24" s="346" t="str">
        <x:v>Mobile screen share supported</x:v>
      </x:c>
      <x:c r="C24" s="346" t="str">
        <x:v>U/K</x:v>
      </x:c>
      <x:c r="D24" s="346" t="str">
        <x:v>U/K</x:v>
      </x:c>
      <x:c r="E24" s="346" t="str">
        <x:v>Mobile beta support U/K</x:v>
      </x:c>
      <x:c r="F24" s="346" t="str">
        <x:v>No sharing from mobile</x:v>
      </x:c>
      <x:c r="G24" s="346" t="str">
        <x:v>Client-dependent</x:v>
      </x:c>
      <x:c r="H24" s="346" t="str">
        <x:v>U/K</x:v>
      </x:c>
      <x:c r="I24" s="346" t="str">
        <x:v>N/A</x:v>
      </x:c>
      <x:c r="J24" s="346" t="str">
        <x:v>U/K</x:v>
      </x:c>
      <x:c r="K24" s="346" t="str">
        <x:v>Provider-dependent</x:v>
      </x:c>
      <x:c r="L24" s="346" t="str">
        <x:v>Mobile behavior varies</x:v>
      </x:c>
      <x:c r="M24" s="346" t="str">
        <x:v>Provider-dependent</x:v>
      </x:c>
      <x:c r="N24" s="346" t="str">
        <x:v>Yes/U/K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Yes/U/K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N/A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Yes - mobile calls/screen documented</x:v>
      </x:c>
      <x:c r="AB24" s="346" t="str">
        <x:v>Phone can watch shares; sharing U/K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59" t="str">
        <x:v>Multiple Concurrent Screen Shares</x:v>
      </x:c>
      <x:c r="B25" s="346" t="str">
        <x:v>U/K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Client/provider-dependent</x:v>
      </x:c>
      <x:c r="H25" s="346" t="str">
        <x:v>Implementation-dependent</x:v>
      </x:c>
      <x:c r="I25" s="346" t="str">
        <x:v>N/A</x:v>
      </x:c>
      <x:c r="J25" s="346" t="str">
        <x:v>U/K</x:v>
      </x:c>
      <x:c r="K25" s="346" t="str">
        <x:v>Provider-dependent</x:v>
      </x:c>
      <x:c r="L25" s="346" t="str">
        <x:v>Plan-dependent</x:v>
      </x:c>
      <x:c r="M25" s="346" t="str">
        <x:v>Provider-dependent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N/A</x:v>
      </x:c>
      <x:c r="X25" s="346" t="str">
        <x:v>U/K</x:v>
      </x:c>
      <x:c r="Y25" s="346" t="str">
        <x:v>P2P</x:v>
      </x:c>
      <x:c r="Z25" s="346" t="str">
        <x:v>U/K</x:v>
      </x:c>
      <x:c r="AA25" s="380" t="str">
        <x:v>U/K</x:v>
      </x:c>
      <x:c r="AB25" s="346" t="str">
        <x:v>4 concurrent shares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Multi-Stream Viewing</x:v>
      </x:c>
      <x:c r="B26" s="346" t="str">
        <x:v>Yes</x:v>
      </x:c>
      <x:c r="C26" s="346" t="str">
        <x:v>Yes/U/K</x:v>
      </x:c>
      <x:c r="D26" s="346" t="str">
        <x:v>Yes/U/K</x:v>
      </x:c>
      <x:c r="E26" s="346" t="str">
        <x:v>Yes</x:v>
      </x:c>
      <x:c r="F26" s="346" t="str">
        <x:v>Yes</x:v>
      </x:c>
      <x:c r="G26" s="346" t="str">
        <x:v>Client-dependent</x:v>
      </x:c>
      <x:c r="H26" s="346" t="str">
        <x:v>Yes/U/K</x:v>
      </x:c>
      <x:c r="I26" s="346" t="str">
        <x:v>N/A</x:v>
      </x:c>
      <x:c r="J26" s="346" t="str">
        <x:v>Yes/U/K</x:v>
      </x:c>
      <x:c r="K26" s="346" t="str">
        <x:v>Provider-dependent</x:v>
      </x:c>
      <x:c r="L26" s="346" t="str">
        <x:v>Yes</x:v>
      </x:c>
      <x:c r="M26" s="346" t="str">
        <x:v>Provider-dependent</x:v>
      </x:c>
      <x:c r="N26" s="346" t="str">
        <x:v>Yes</x:v>
      </x:c>
      <x:c r="O26" s="346" t="str">
        <x:v>U/K</x:v>
      </x:c>
      <x:c r="P26" s="346" t="str">
        <x:v>Yes</x:v>
      </x:c>
      <x:c r="Q26" s="346" t="str">
        <x:v>Yes</x:v>
      </x:c>
      <x:c r="R26" s="346" t="str">
        <x:v>U/K</x:v>
      </x:c>
      <x:c r="S26" s="346" t="str">
        <x:v>Yes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N/A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U/K</x:v>
      </x:c>
      <x:c r="AB26" s="346" t="str">
        <x:v>Yes - 100+ watch party</x:v>
      </x:c>
      <x:c r="AC26" s="346" t="str">
        <x:v>Yes</x:v>
      </x:c>
      <x:c r="AD26" s="346" t="str">
        <x:v>U/K</x:v>
      </x:c>
      <x:c r="AE26" s="346" t="str">
        <x:v>Yes</x:v>
      </x:c>
    </x:row>
    <x:row r="27" ht="36" customHeight="1">
      <x:c r="A27" s="360" t="str">
        <x:v>Media Notes</x:v>
      </x:c>
      <x:c r="B27" s="349" t="str">
        <x:v>Voice/video/Go Live E2EE by default except Stage.</x:v>
      </x:c>
      <x:c r="C27" s="349" t="str">
        <x:v>Screen sharing/video rolled out in 2026; exact plan limits are not comprehensively documented.</x:v>
      </x:c>
      <x:c r="D27" s="349" t="str">
        <x:v>Alpha behavior/limits can change.</x:v>
      </x:c>
      <x:c r="E27" s="349" t="str">
        <x:v>Nothing is E2EE yet per Sep 13 privacy policy.</x:v>
      </x:c>
      <x:c r="F27" s="349" t="str">
        <x:v>Mobile can view shared screens.</x:v>
      </x:c>
      <x:c r="G27" s="349" t="str">
        <x:v>Media limits belong to a client/homeserver/SFU deployment, not to Matrix as a universal platform.</x:v>
      </x:c>
      <x:c r="H27" s="349" t="str">
        <x:v>Voice is optional and disabled unless operator installs a compatible media implementation.</x:v>
      </x:c>
      <x:c r="I27" s="349" t="str">
        <x:v>Purpose-built voice; no webcam/screen-sharing core.</x:v>
      </x:c>
      <x:c r="J27" s="349" t="str">
        <x:v>TS6 is beta, so limits/features are changing.</x:v>
      </x:c>
      <x:c r="K27" s="349" t="str">
        <x:v>Voice/video are intentionally delegated to services such as Jitsi/Zoom/BigBlueButton.</x:v>
      </x:c>
      <x:c r="L27" s="349" t="str">
        <x:v>Native Calls supports screen share and meeting-style controls.</x:v>
      </x:c>
      <x:c r="M27" s="349" t="str">
        <x:v>Media calling is not a single fixed platform profile across all Rocket.Chat deployments.</x:v>
      </x:c>
      <x:c r="N27" s="349" t="str">
        <x:v>Voice-first gaming platform.</x:v>
      </x:c>
      <x:c r="O27" s="349" t="str">
        <x:v>Public docs emphasize chat more than media limits.</x:v>
      </x:c>
      <x:c r="P27" s="349" t="str">
        <x:v>Custom voice infrastructure is a headline feature.</x:v>
      </x:c>
      <x:c r="Q27" s="349" t="str">
        <x:v>Voice/video/screen share are live in open beta.</x:v>
      </x:c>
      <x:c r="R27" s="349" t="str">
        <x:v>Media details sparse.</x:v>
      </x:c>
      <x:c r="S27" s="349" t="str">
        <x:v>No paywall on voice/video quality claimed.</x:v>
      </x:c>
      <x:c r="T27" s="349" t="str">
        <x:v>Media limits not well documented.</x:v>
      </x:c>
      <x:c r="U27" s="349" t="str">
        <x:v>Self-host resource capacity determines practical limits.</x:v>
      </x:c>
      <x:c r="V27" s="349" t="str">
        <x:v>Media is early/incomplete.</x:v>
      </x:c>
      <x:c r="W27" s="349" t="str">
        <x:v>Text/community-gardening focus.</x:v>
      </x:c>
      <x:c r="X27" s="349" t="str">
        <x:v>Voice exists; detailed limits are not publicly documented.</x:v>
      </x:c>
      <x:c r="Y27" s="349" t="str">
        <x:v>Media is peer-to-peer rather than server-room focused.</x:v>
      </x:c>
      <x:c r="Z27" s="349" t="str">
        <x:v>Media limits are software/operator-configurable rather than a paid tier.</x:v>
      </x:c>
      <x:c r="AA27" s="381" t="str">
        <x:v>Public site does not publish detailed media limits.</x:v>
      </x:c>
      <x:c r="AB27" s="349" t="str">
        <x:v>Screen share with sound and multi-share are headline features.</x:v>
      </x:c>
      <x:c r="AC27" s="349" t="str">
        <x:v>LiveKit-based voice/video/screen sharing.</x:v>
      </x:c>
      <x:c r="AD27" s="349" t="str">
        <x:v>Voice is documented; detailed video/screen limits are U/K.</x:v>
      </x:c>
      <x:c r="AE27" s="349" t="str">
        <x:v>Designed around always-present game-room media.</x:v>
      </x:c>
    </x:row>
    <x:row r="28" ht="23" customHeight="1">
      <x:c r="A28" s="389" t="str">
        <x:v>Advanced Media Experience</x:v>
      </x:c>
      <x:c r="B28" s="389"/>
      <x:c r="C28" s="389"/>
      <x:c r="D28" s="389"/>
      <x:c r="E28" s="389"/>
      <x:c r="F28" s="389"/>
      <x:c r="G28" s="389"/>
      <x:c r="H28" s="389"/>
      <x:c r="I28" s="389"/>
      <x:c r="J28" s="389"/>
      <x:c r="K28" s="389"/>
      <x:c r="L28" s="389"/>
      <x:c r="M28" s="389"/>
      <x:c r="N28" s="389"/>
      <x:c r="O28" s="389"/>
      <x:c r="P28" s="389"/>
      <x:c r="Q28" s="389"/>
      <x:c r="R28" s="389"/>
      <x:c r="S28" s="389"/>
      <x:c r="T28" s="389"/>
      <x:c r="U28" s="389"/>
      <x:c r="V28" s="389"/>
      <x:c r="W28" s="389"/>
      <x:c r="X28" s="389"/>
      <x:c r="Y28" s="389"/>
      <x:c r="Z28" s="389"/>
      <x:c r="AA28" s="389"/>
      <x:c r="AB28" s="389"/>
      <x:c r="AC28" s="389"/>
      <x:c r="AD28" s="389"/>
      <x:c r="AE28" s="389"/>
    </x:row>
    <x:row r="29" ht="36" customHeight="1">
      <x:c r="A29" s="378" t="str">
        <x:v>Voice Room Launcher / Auto-Delete Rooms</x:v>
      </x:c>
      <x:c r="B29" s="346" t="str">
        <x:v>No native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U/K</x:v>
      </x:c>
      <x:c r="M29" s="346" t="str">
        <x:v>U/K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Yes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36" customHeight="1">
      <x:c r="A30" s="378" t="str">
        <x:v>Voice Recording Native?</x:v>
      </x:c>
      <x:c r="B30" s="346" t="str">
        <x:v>U/K</x:v>
      </x:c>
      <x:c r="C30" s="346" t="str">
        <x:v>U/K</x:v>
      </x:c>
      <x:c r="D30" s="346" t="str">
        <x:v>U/K</x:v>
      </x:c>
      <x:c r="E30" s="346" t="str">
        <x:v>U/K</x:v>
      </x:c>
      <x:c r="F30" s="346" t="str">
        <x:v>U/K</x:v>
      </x:c>
      <x:c r="G30" s="346" t="str">
        <x:v>U/K</x:v>
      </x:c>
      <x:c r="H30" s="346" t="str">
        <x:v>U/K</x:v>
      </x:c>
      <x:c r="I30" s="346" t="str">
        <x:v>U/K</x:v>
      </x:c>
      <x:c r="J30" s="346" t="str">
        <x:v>U/K</x:v>
      </x:c>
      <x:c r="K30" s="346" t="str">
        <x:v>U/K</x:v>
      </x:c>
      <x:c r="L30" s="346" t="str">
        <x:v>U/K</x:v>
      </x:c>
      <x:c r="M30" s="346" t="str">
        <x:v>U/K</x:v>
      </x:c>
      <x:c r="N30" s="346" t="str">
        <x:v>U/K</x:v>
      </x:c>
      <x:c r="O30" s="346" t="str">
        <x:v>U/K</x:v>
      </x:c>
      <x:c r="P30" s="346" t="str">
        <x:v>U/K</x:v>
      </x:c>
      <x:c r="Q30" s="346" t="str">
        <x:v>U/K</x:v>
      </x:c>
      <x:c r="R30" s="346" t="str">
        <x:v>U/K</x:v>
      </x:c>
      <x:c r="S30" s="346" t="str">
        <x:v>U/K</x:v>
      </x:c>
      <x:c r="T30" s="346" t="str">
        <x:v>U/K</x:v>
      </x:c>
      <x:c r="U30" s="346" t="str">
        <x:v>U/K</x:v>
      </x:c>
      <x:c r="V30" s="346" t="str">
        <x:v>U/K</x:v>
      </x:c>
      <x:c r="W30" s="346" t="str">
        <x:v>U/K</x:v>
      </x:c>
      <x:c r="X30" s="346" t="str">
        <x:v>U/K</x:v>
      </x:c>
      <x:c r="Y30" s="346" t="str">
        <x:v>U/K</x:v>
      </x:c>
      <x:c r="Z30" s="346" t="str">
        <x:v>U/K</x:v>
      </x:c>
      <x:c r="AA30" s="380" t="str">
        <x:v>U/K</x:v>
      </x:c>
      <x:c r="AB30" s="346" t="str">
        <x:v>U/K</x:v>
      </x:c>
      <x:c r="AC30" s="346" t="str">
        <x:v>U/K</x:v>
      </x:c>
      <x:c r="AD30" s="346" t="str">
        <x:v>U/K</x:v>
      </x:c>
      <x:c r="AE30" s="346" t="str">
        <x:v>U/K</x:v>
      </x:c>
    </x:row>
    <x:row r="31" ht="36" customHeight="1">
      <x:c r="A31" s="378" t="str">
        <x:v>Voice Transcription Native?</x:v>
      </x:c>
      <x:c r="B31" s="346" t="str">
        <x:v>U/K</x:v>
      </x:c>
      <x:c r="C31" s="346" t="str">
        <x:v>U/K</x:v>
      </x:c>
      <x:c r="D31" s="346" t="str">
        <x:v>U/K</x:v>
      </x:c>
      <x:c r="E31" s="346" t="str">
        <x:v>U/K</x:v>
      </x:c>
      <x:c r="F31" s="346" t="str">
        <x:v>U/K</x:v>
      </x:c>
      <x:c r="G31" s="346" t="str">
        <x:v>U/K</x:v>
      </x:c>
      <x:c r="H31" s="346" t="str">
        <x:v>U/K</x:v>
      </x:c>
      <x:c r="I31" s="346" t="str">
        <x:v>U/K</x:v>
      </x:c>
      <x:c r="J31" s="346" t="str">
        <x:v>U/K</x:v>
      </x:c>
      <x:c r="K31" s="346" t="str">
        <x:v>U/K</x:v>
      </x:c>
      <x:c r="L31" s="346" t="str">
        <x:v>Yes</x:v>
      </x:c>
      <x:c r="M31" s="346" t="str">
        <x:v>U/K</x:v>
      </x:c>
      <x:c r="N31" s="346" t="str">
        <x:v>U/K</x:v>
      </x:c>
      <x:c r="O31" s="346" t="str">
        <x:v>U/K</x:v>
      </x:c>
      <x:c r="P31" s="346" t="str">
        <x:v>U/K</x:v>
      </x:c>
      <x:c r="Q31" s="346" t="str">
        <x:v>U/K</x:v>
      </x:c>
      <x:c r="R31" s="346" t="str">
        <x:v>U/K</x:v>
      </x:c>
      <x:c r="S31" s="346" t="str">
        <x:v>Yes</x:v>
      </x:c>
      <x:c r="T31" s="346" t="str">
        <x:v>U/K</x:v>
      </x:c>
      <x:c r="U31" s="346" t="str">
        <x:v>U/K</x:v>
      </x:c>
      <x:c r="V31" s="346" t="str">
        <x:v>U/K</x:v>
      </x:c>
      <x:c r="W31" s="346" t="str">
        <x:v>U/K</x:v>
      </x:c>
      <x:c r="X31" s="346" t="str">
        <x:v>U/K</x:v>
      </x:c>
      <x:c r="Y31" s="346" t="str">
        <x:v>U/K</x:v>
      </x:c>
      <x:c r="Z31" s="346" t="str">
        <x:v>U/K</x:v>
      </x:c>
      <x:c r="AA31" s="380" t="str">
        <x:v>U/K</x:v>
      </x:c>
      <x:c r="AB31" s="346" t="str">
        <x:v>U/K</x:v>
      </x:c>
      <x:c r="AC31" s="346" t="str">
        <x:v>U/K</x:v>
      </x:c>
      <x:c r="AD31" s="346" t="str">
        <x:v>U/K</x:v>
      </x:c>
      <x:c r="AE31" s="346" t="str">
        <x:v>U/K</x:v>
      </x:c>
    </x:row>
    <x:row r="32" ht="36" customHeight="1">
      <x:c r="A32" s="378" t="str">
        <x:v>Watch Party / Synchronized Co-Watching</x:v>
      </x:c>
      <x:c r="B32" s="346" t="str">
        <x:v>Activities can provide co-watching</x:v>
      </x:c>
      <x:c r="C32" s="346" t="str">
        <x:v>U/K</x:v>
      </x:c>
      <x:c r="D32" s="346" t="str">
        <x:v>U/K</x:v>
      </x:c>
      <x:c r="E32" s="346" t="str">
        <x:v>U/K</x:v>
      </x:c>
      <x:c r="F32" s="346" t="str">
        <x:v>U/K</x:v>
      </x:c>
      <x:c r="G32" s="346" t="str">
        <x:v>U/K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U/K</x:v>
      </x:c>
      <x:c r="L32" s="346" t="str">
        <x:v>U/K</x:v>
      </x:c>
      <x:c r="M32" s="346" t="str">
        <x:v>U/K</x:v>
      </x:c>
      <x:c r="N32" s="346" t="str">
        <x:v>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Yes - YouTube/Twitch Watch Party</x:v>
      </x:c>
      <x:c r="AB32" s="346" t="str">
        <x:v>U/K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78" t="str">
        <x:v>High-Fidelity / Music Mode</x:v>
      </x:c>
      <x:c r="B33" s="346" t="str">
        <x:v>U/K</x:v>
      </x:c>
      <x:c r="C33" s="346" t="str">
        <x:v>U/K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U/K</x:v>
      </x:c>
      <x:c r="H33" s="346" t="str">
        <x:v>U/K</x:v>
      </x:c>
      <x:c r="I33" s="346" t="str">
        <x:v>U/K</x:v>
      </x:c>
      <x:c r="J33" s="346" t="str">
        <x:v>Codec/settings dependent</x:v>
      </x:c>
      <x:c r="K33" s="346" t="str">
        <x:v>U/K</x:v>
      </x:c>
      <x:c r="L33" s="346" t="str">
        <x:v>U/K</x:v>
      </x:c>
      <x:c r="M33" s="346" t="str">
        <x:v>U/K</x:v>
      </x:c>
      <x:c r="N33" s="346" t="str">
        <x:v>U/K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U/K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</x:sheetData>
  <x:mergeCells>
    <x:mergeCell ref="A1:AE1"/>
  </x:mergeCells>
  <x:conditionalFormatting sqref="B3:AE27">
    <x:cfRule type="expression" dxfId="62" priority="1">
      <x:formula>ISNUMBER(SEARCH("U/K",B3))</x:formula>
    </x:cfRule>
    <x:cfRule type="expression" dxfId="63" priority="2">
      <x:formula>OR(B3="N/A",LEFT(B3,4)="N/A ")</x:formula>
    </x:cfRule>
  </x:conditionalFormatting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Files, Uploads &amp; Storage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Uploads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File Uploads Supported?</x:v>
      </x:c>
      <x:c r="B4" s="346" t="str">
        <x:v>Yes</x:v>
      </x:c>
      <x:c r="C4" s="346" t="str">
        <x:v>Yes</x:v>
      </x:c>
      <x:c r="D4" s="346" t="str">
        <x:v>Yes</x:v>
      </x:c>
      <x:c r="E4" s="346" t="str">
        <x:v>Yes</x:v>
      </x:c>
      <x:c r="F4" s="346" t="str">
        <x:v>Yes</x:v>
      </x:c>
      <x:c r="G4" s="346" t="str">
        <x:v>Yes</x:v>
      </x:c>
      <x:c r="H4" s="346" t="str">
        <x:v>Yes</x:v>
      </x:c>
      <x:c r="I4" s="346" t="str">
        <x:v>No</x:v>
      </x:c>
      <x:c r="J4" s="346" t="str">
        <x:v>U/K</x:v>
      </x:c>
      <x:c r="K4" s="346" t="str">
        <x:v>Yes</x:v>
      </x:c>
      <x:c r="L4" s="346" t="str">
        <x:v>Yes</x:v>
      </x:c>
      <x:c r="M4" s="346" t="str">
        <x:v>Yes</x:v>
      </x:c>
      <x:c r="N4" s="346" t="str">
        <x:v>Yes</x:v>
      </x:c>
      <x:c r="O4" s="346" t="str">
        <x:v>Yes</x:v>
      </x:c>
      <x:c r="P4" s="346" t="str">
        <x:v>Yes</x:v>
      </x:c>
      <x:c r="Q4" s="346" t="str">
        <x:v>Yes</x:v>
      </x:c>
      <x:c r="R4" s="346" t="str">
        <x:v>Yes</x:v>
      </x:c>
      <x:c r="S4" s="346" t="str">
        <x:v>Yes</x:v>
      </x:c>
      <x:c r="T4" s="346" t="str">
        <x:v>Yes</x:v>
      </x:c>
      <x:c r="U4" s="346" t="str">
        <x:v>Yes</x:v>
      </x:c>
      <x:c r="V4" s="346" t="str">
        <x:v>Yes</x:v>
      </x:c>
      <x:c r="W4" s="346" t="str">
        <x:v>Yes</x:v>
      </x:c>
      <x:c r="X4" s="346" t="str">
        <x:v>Yes</x:v>
      </x:c>
      <x:c r="Y4" s="346" t="str">
        <x:v>Yes</x:v>
      </x:c>
      <x:c r="Z4" s="346" t="str">
        <x:v>Yes</x:v>
      </x:c>
      <x:c r="AA4" s="380" t="str">
        <x:v>Yes</x:v>
      </x:c>
      <x:c r="AB4" s="346" t="str">
        <x:v>Yes</x:v>
      </x:c>
      <x:c r="AC4" s="346" t="str">
        <x:v>Yes</x:v>
      </x:c>
      <x:c r="AD4" s="346" t="str">
        <x:v>Yes</x:v>
      </x:c>
      <x:c r="AE4" s="346" t="str">
        <x:v>Yes</x:v>
      </x:c>
    </x:row>
    <x:row r="5" ht="36" customHeight="1">
      <x:c r="A5" s="359" t="str">
        <x:v>Free Max File Upload (MB)</x:v>
      </x:c>
      <x:c r="B5" s="346" t="str">
        <x:v>20</x:v>
      </x:c>
      <x:c r="C5" s="346" t="str">
        <x:v>U/K</x:v>
      </x:c>
      <x:c r="D5" s="346" t="str">
        <x:v>U/K</x:v>
      </x:c>
      <x:c r="E5" s="346" t="str">
        <x:v>25</x:v>
      </x:c>
      <x:c r="F5" s="346" t="str">
        <x:v>25</x:v>
      </x:c>
      <x:c r="G5" s="346" t="str">
        <x:v>U/K</x:v>
      </x:c>
      <x:c r="H5" s="346" t="str">
        <x:v>U/K</x:v>
      </x:c>
      <x:c r="I5" s="346" t="str">
        <x:v>U/K</x:v>
      </x:c>
      <x:c r="J5" s="346" t="str">
        <x:v>5 (TS comparison; primary official limit U/K)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500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100 for video/other; images 50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50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Paid Max File Upload (MB)</x:v>
      </x:c>
      <x:c r="B6" s="346" t="str">
        <x:v>500</x:v>
      </x:c>
      <x:c r="C6" s="346" t="str">
        <x:v>U/K</x:v>
      </x:c>
      <x:c r="D6" s="346" t="str">
        <x:v>U/K</x:v>
      </x:c>
      <x:c r="E6" s="346" t="str">
        <x:v>500</x:v>
      </x:c>
      <x:c r="F6" s="346" t="str">
        <x:v>U/K</x:v>
      </x:c>
      <x:c r="G6" s="346" t="str">
        <x:v>U/K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U/K</x:v>
      </x:c>
      <x:c r="L6" s="346" t="str">
        <x:v>U/K</x:v>
      </x:c>
      <x:c r="M6" s="346" t="str">
        <x:v>U/K</x:v>
      </x:c>
      <x:c r="N6" s="346" t="str">
        <x:v>10240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N/A - no paid tier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200 personal / 100 community-member cap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9" t="str">
        <x:v>Absolute Max File Upload (MB)</x:v>
      </x:c>
      <x:c r="B7" s="346" t="str">
        <x:v>500</x:v>
      </x:c>
      <x:c r="C7" s="346" t="str">
        <x:v>U/K</x:v>
      </x:c>
      <x:c r="D7" s="346" t="str">
        <x:v>U/K</x:v>
      </x:c>
      <x:c r="E7" s="346" t="str">
        <x:v>500</x:v>
      </x:c>
      <x:c r="F7" s="346" t="str">
        <x:v>25 verified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10240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100 verified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200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Max Files Per Message</x:v>
      </x:c>
      <x:c r="B8" s="346" t="str">
        <x:v>U/K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10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U/K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Image Upload Max (MB)</x:v>
      </x:c>
      <x:c r="B9" s="346" t="str">
        <x:v>U/K</x:v>
      </x:c>
      <x:c r="C9" s="346" t="str">
        <x:v>U/K</x:v>
      </x:c>
      <x:c r="D9" s="346" t="str">
        <x:v>U/K</x:v>
      </x:c>
      <x:c r="E9" s="346" t="str">
        <x:v>U/K</x:v>
      </x:c>
      <x:c r="F9" s="346" t="str">
        <x:v>U/K</x:v>
      </x:c>
      <x:c r="G9" s="346" t="str">
        <x:v>U/K</x:v>
      </x:c>
      <x:c r="H9" s="346" t="str">
        <x:v>U/K</x:v>
      </x:c>
      <x:c r="I9" s="346" t="str">
        <x:v>U/K</x:v>
      </x:c>
      <x:c r="J9" s="346" t="str">
        <x:v>U/K</x:v>
      </x:c>
      <x:c r="K9" s="346" t="str">
        <x:v>U/K</x:v>
      </x:c>
      <x:c r="L9" s="346" t="str">
        <x:v>U/K</x:v>
      </x:c>
      <x:c r="M9" s="346" t="str">
        <x:v>U/K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50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U/K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59" t="str">
        <x:v>Video Upload Max (MB)</x:v>
      </x:c>
      <x:c r="B10" s="346" t="str">
        <x:v>U/K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100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9" t="str">
        <x:v>Other File Upload Max (MB)</x:v>
      </x:c>
      <x:c r="B11" s="346" t="str">
        <x:v>U/K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100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9" t="str">
        <x:v>Soundboard Clip Max (MB)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23" customHeight="1">
      <x:c r="A13" s="427" t="str">
        <x:v>Storage</x:v>
      </x:c>
      <x:c r="B13" s="427"/>
      <x:c r="C13" s="427"/>
      <x:c r="D13" s="427"/>
      <x:c r="E13" s="427"/>
      <x:c r="F13" s="427"/>
      <x:c r="G13" s="427"/>
      <x:c r="H13" s="427"/>
      <x:c r="I13" s="427"/>
      <x:c r="J13" s="427"/>
      <x:c r="K13" s="427"/>
      <x:c r="L13" s="427"/>
      <x:c r="M13" s="427"/>
      <x:c r="N13" s="427"/>
      <x:c r="O13" s="427"/>
      <x:c r="P13" s="427"/>
      <x:c r="Q13" s="427"/>
      <x:c r="R13" s="427"/>
      <x:c r="S13" s="427"/>
      <x:c r="T13" s="427"/>
      <x:c r="U13" s="427"/>
      <x:c r="V13" s="427"/>
      <x:c r="W13" s="427"/>
      <x:c r="X13" s="427"/>
      <x:c r="Y13" s="427"/>
      <x:c r="Z13" s="427"/>
      <x:c r="AA13" s="427"/>
      <x:c r="AB13" s="427"/>
      <x:c r="AC13" s="427"/>
      <x:c r="AD13" s="427"/>
      <x:c r="AE13" s="427"/>
    </x:row>
    <x:row r="14" ht="36" customHeight="1">
      <x:c r="A14" s="359" t="str">
        <x:v>Free Total Storage</x:v>
      </x:c>
      <x:c r="B14" s="346" t="str">
        <x:v>U/K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5 GB total (Zulip Cloud Free)</x:v>
      </x:c>
      <x:c r="L14" s="346" t="str">
        <x:v>U/K</x:v>
      </x:c>
      <x:c r="M14" s="346" t="str">
        <x:v>U/K</x:v>
      </x:c>
      <x:c r="N14" s="346" t="str">
        <x:v>2 GB per Standard server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59" t="str">
        <x:v>Paid Total Storage</x:v>
      </x:c>
      <x:c r="B15" s="346" t="str">
        <x:v>U/K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5 GB/user Standard; 25 GB/user Plus</x:v>
      </x:c>
      <x:c r="L15" s="346" t="str">
        <x:v>U/K</x:v>
      </x:c>
      <x:c r="M15" s="346" t="str">
        <x:v>U/K</x:v>
      </x:c>
      <x:c r="N15" s="346" t="str">
        <x:v>Up to 200 GB / tier-dependent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Per-User Storage Quota</x:v>
      </x:c>
      <x:c r="B16" s="346" t="str">
        <x:v>U/K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5 GB Standard / 25 GB Plus</x:v>
      </x:c>
      <x:c r="L16" s="346" t="str">
        <x:v>U/K</x:v>
      </x:c>
      <x:c r="M16" s="346" t="str">
        <x:v>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U/K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59" t="str">
        <x:v>Per-Community Storage Quota</x:v>
      </x:c>
      <x:c r="B17" s="346" t="str">
        <x:v>U/K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59" t="str">
        <x:v>Storage Quota Self-Host Configurable?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23" customHeight="1">
      <x:c r="A19" s="427" t="str">
        <x:v>History &amp; Retention</x:v>
      </x:c>
      <x:c r="B19" s="427"/>
      <x:c r="C19" s="427"/>
      <x:c r="D19" s="427"/>
      <x:c r="E19" s="427"/>
      <x:c r="F19" s="427"/>
      <x:c r="G19" s="427"/>
      <x:c r="H19" s="427"/>
      <x:c r="I19" s="427"/>
      <x:c r="J19" s="427"/>
      <x:c r="K19" s="427"/>
      <x:c r="L19" s="427"/>
      <x:c r="M19" s="427"/>
      <x:c r="N19" s="427"/>
      <x:c r="O19" s="427"/>
      <x:c r="P19" s="427"/>
      <x:c r="Q19" s="427"/>
      <x:c r="R19" s="427"/>
      <x:c r="S19" s="427"/>
      <x:c r="T19" s="427"/>
      <x:c r="U19" s="427"/>
      <x:c r="V19" s="427"/>
      <x:c r="W19" s="427"/>
      <x:c r="X19" s="427"/>
      <x:c r="Y19" s="427"/>
      <x:c r="Z19" s="427"/>
      <x:c r="AA19" s="427"/>
      <x:c r="AB19" s="427"/>
      <x:c r="AC19" s="427"/>
      <x:c r="AD19" s="427"/>
      <x:c r="AE19" s="427"/>
    </x:row>
    <x:row r="20" ht="36" customHeight="1">
      <x:c r="A20" s="359" t="str">
        <x:v>Free Message History Limit</x:v>
      </x:c>
      <x:c r="B20" s="346" t="str">
        <x:v>U/K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10,000 messages searchable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U/K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59" t="str">
        <x:v>Paid Message History Limit</x:v>
      </x:c>
      <x:c r="B21" s="346" t="str">
        <x:v>U/K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Unlimited search history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59" t="str">
        <x:v>Attachment Retention</x:v>
      </x:c>
      <x:c r="B22" s="346" t="str">
        <x:v>U/K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59" t="str">
        <x:v>Deleted Attachment Retention</x:v>
      </x:c>
      <x:c r="B23" s="346" t="str">
        <x:v>U/K</x:v>
      </x:c>
      <x:c r="C23" s="346" t="str">
        <x:v>U/K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U/K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23" customHeight="1">
      <x:c r="A24" s="427" t="str">
        <x:v>Media Handling</x:v>
      </x:c>
      <x:c r="B24" s="427"/>
      <x:c r="C24" s="427"/>
      <x:c r="D24" s="427"/>
      <x:c r="E24" s="427"/>
      <x:c r="F24" s="427"/>
      <x:c r="G24" s="427"/>
      <x:c r="H24" s="427"/>
      <x:c r="I24" s="427"/>
      <x:c r="J24" s="427"/>
      <x:c r="K24" s="427"/>
      <x:c r="L24" s="427"/>
      <x:c r="M24" s="427"/>
      <x:c r="N24" s="427"/>
      <x:c r="O24" s="427"/>
      <x:c r="P24" s="427"/>
      <x:c r="Q24" s="427"/>
      <x:c r="R24" s="427"/>
      <x:c r="S24" s="427"/>
      <x:c r="T24" s="427"/>
      <x:c r="U24" s="427"/>
      <x:c r="V24" s="427"/>
      <x:c r="W24" s="427"/>
      <x:c r="X24" s="427"/>
      <x:c r="Y24" s="427"/>
      <x:c r="Z24" s="427"/>
      <x:c r="AA24" s="427"/>
      <x:c r="AB24" s="427"/>
      <x:c r="AC24" s="427"/>
      <x:c r="AD24" s="427"/>
      <x:c r="AE24" s="427"/>
    </x:row>
    <x:row r="25" ht="36" customHeight="1">
      <x:c r="A25" s="359" t="str">
        <x:v>CDN / Media Proxy?</x:v>
      </x:c>
      <x:c r="B25" s="346" t="str">
        <x:v>Yes / CDN</x:v>
      </x:c>
      <x:c r="C25" s="346" t="str">
        <x:v>U/K</x:v>
      </x:c>
      <x:c r="D25" s="346" t="str">
        <x:v>U/K</x:v>
      </x:c>
      <x:c r="E25" s="346" t="str">
        <x:v>Yes / CDN</x:v>
      </x:c>
      <x:c r="F25" s="346" t="str">
        <x:v>Yes / CDN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Yes - media proxy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EXIF Scrubbing?</x:v>
      </x:c>
      <x:c r="B26" s="346" t="str">
        <x:v>U/K</x:v>
      </x:c>
      <x:c r="C26" s="346" t="str">
        <x:v>U/K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Client/server-dependent</x:v>
      </x:c>
      <x:c r="H26" s="346" t="str">
        <x:v>U/K</x:v>
      </x:c>
      <x:c r="I26" s="346" t="str">
        <x:v>N/A</x:v>
      </x:c>
      <x:c r="J26" s="346" t="str">
        <x:v>U/K</x:v>
      </x:c>
      <x:c r="K26" s="346" t="str">
        <x:v>U/K</x:v>
      </x:c>
      <x:c r="L26" s="346" t="str">
        <x:v>U/K</x:v>
      </x:c>
      <x:c r="M26" s="346" t="str">
        <x:v>U/K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Yes - automatic EXIF stripping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U/K</x:v>
      </x:c>
    </x:row>
    <x:row r="27" ht="36" customHeight="1">
      <x:c r="A27" s="359" t="str">
        <x:v>Attachment Export?</x:v>
      </x:c>
      <x:c r="B27" s="346" t="str">
        <x:v>ZIP / JSON-heavy Data Package</x:v>
      </x:c>
      <x:c r="C27" s="346" t="str">
        <x:v>U/K</x:v>
      </x:c>
      <x:c r="D27" s="346" t="str">
        <x:v>U/K</x:v>
      </x:c>
      <x:c r="E27" s="346" t="str">
        <x:v>Service export format U/K</x:v>
      </x:c>
      <x:c r="F27" s="346" t="str">
        <x:v>U/K</x:v>
      </x:c>
      <x:c r="G27" s="346" t="str">
        <x:v>Client/provider-dependent</x:v>
      </x:c>
      <x:c r="H27" s="346" t="str">
        <x:v>U/K</x:v>
      </x:c>
      <x:c r="I27" s="346" t="str">
        <x:v>N/A</x:v>
      </x:c>
      <x:c r="J27" s="346" t="str">
        <x:v>U/K</x:v>
      </x:c>
      <x:c r="K27" s="346" t="str">
        <x:v>Zulip export archives</x:v>
      </x:c>
      <x:c r="L27" s="346" t="str">
        <x:v>Bulk/export formats</x:v>
      </x:c>
      <x:c r="M27" s="346" t="str">
        <x:v>Export/backup deployment-dependent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ATProto records</x:v>
      </x:c>
      <x:c r="X27" s="346" t="str">
        <x:v>Nostr events</x:v>
      </x:c>
      <x:c r="Y27" s="346" t="str">
        <x:v>Encrypted .hollow/local formats</x:v>
      </x:c>
      <x:c r="Z27" s="346" t="str">
        <x:v>DCTS export</x:v>
      </x:c>
      <x:c r="AA27" s="380" t="str">
        <x:v>U/K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59" t="str">
        <x:v>Inline Preview?</x:v>
      </x:c>
      <x:c r="B28" s="346" t="str">
        <x:v>Yes</x:v>
      </x:c>
      <x:c r="C28" s="346" t="str">
        <x:v>U/K</x:v>
      </x:c>
      <x:c r="D28" s="346" t="str">
        <x:v>U/K</x:v>
      </x:c>
      <x:c r="E28" s="346" t="str">
        <x:v>Yes</x:v>
      </x:c>
      <x:c r="F28" s="346" t="str">
        <x:v>Yes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Yes</x:v>
      </x:c>
      <x:c r="L28" s="346" t="str">
        <x:v>Yes</x:v>
      </x:c>
      <x:c r="M28" s="346" t="str">
        <x:v>Yes</x:v>
      </x:c>
      <x:c r="N28" s="346" t="str">
        <x:v>Yes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Yes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Yes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23" customHeight="1">
      <x:c r="A29" s="427" t="str">
        <x:v>Source &amp; Notes</x:v>
      </x:c>
      <x:c r="B29" s="427"/>
      <x:c r="C29" s="427"/>
      <x:c r="D29" s="427"/>
      <x:c r="E29" s="427"/>
      <x:c r="F29" s="427"/>
      <x:c r="G29" s="427"/>
      <x:c r="H29" s="427"/>
      <x:c r="I29" s="427"/>
      <x:c r="J29" s="427"/>
      <x:c r="K29" s="427"/>
      <x:c r="L29" s="427"/>
      <x:c r="M29" s="427"/>
      <x:c r="N29" s="427"/>
      <x:c r="O29" s="427"/>
      <x:c r="P29" s="427"/>
      <x:c r="Q29" s="427"/>
      <x:c r="R29" s="427"/>
      <x:c r="S29" s="427"/>
      <x:c r="T29" s="427"/>
      <x:c r="U29" s="427"/>
      <x:c r="V29" s="427"/>
      <x:c r="W29" s="427"/>
      <x:c r="X29" s="427"/>
      <x:c r="Y29" s="427"/>
      <x:c r="Z29" s="427"/>
      <x:c r="AA29" s="427"/>
      <x:c r="AB29" s="427"/>
      <x:c r="AC29" s="427"/>
      <x:c r="AD29" s="427"/>
      <x:c r="AE29" s="427"/>
    </x:row>
    <x:row r="30" ht="36" customHeight="1">
      <x:c r="A30" s="359" t="str">
        <x:v>File / Storage Source URL</x:v>
      </x:c>
      <x:c r="B30" s="346" t="str">
        <x:v>https://support.discord.com/hc/en-us/articles/25444343291031-File-Attachments-FAQ</x:v>
      </x:c>
      <x:c r="C30" s="346" t="str">
        <x:v>U/K</x:v>
      </x:c>
      <x:c r="D30" s="346" t="str">
        <x:v>U/K</x:v>
      </x:c>
      <x:c r="E30" s="346" t="str">
        <x:v>https://fluxer.app/plutonium</x:v>
      </x:c>
      <x:c r="F30" s="346" t="str">
        <x:v>https://support.rootapp.com/docs/leader/channel-files/overview/</x:v>
      </x:c>
      <x:c r="G30" s="346" t="str">
        <x:v>U/K</x:v>
      </x:c>
      <x:c r="H30" s="346" t="str">
        <x:v>U/K</x:v>
      </x:c>
      <x:c r="I30" s="346" t="str">
        <x:v>U/K</x:v>
      </x:c>
      <x:c r="J30" s="346" t="str">
        <x:v>U/K</x:v>
      </x:c>
      <x:c r="K30" s="346" t="str">
        <x:v>https://zulip.com/plans/</x:v>
      </x:c>
      <x:c r="L30" s="346" t="str">
        <x:v>U/K</x:v>
      </x:c>
      <x:c r="M30" s="346" t="str">
        <x:v>U/K</x:v>
      </x:c>
      <x:c r="N30" s="346" t="str">
        <x:v>https://gamevox.com/blog/gamevox-vs-discord/</x:v>
      </x:c>
      <x:c r="O30" s="346" t="str">
        <x:v>U/K</x:v>
      </x:c>
      <x:c r="P30" s="346" t="str">
        <x:v>U/K</x:v>
      </x:c>
      <x:c r="Q30" s="346" t="str">
        <x:v>U/K</x:v>
      </x:c>
      <x:c r="R30" s="346" t="str">
        <x:v>U/K</x:v>
      </x:c>
      <x:c r="S30" s="346" t="str">
        <x:v>https://mezon.ai/docs/user/resources/FAQ/</x:v>
      </x:c>
      <x:c r="T30" s="346" t="str">
        <x:v>U/K</x:v>
      </x:c>
      <x:c r="U30" s="346" t="str">
        <x:v>U/K</x:v>
      </x:c>
      <x:c r="V30" s="346" t="str">
        <x:v>U/K</x:v>
      </x:c>
      <x:c r="W30" s="346" t="str">
        <x:v>U/K</x:v>
      </x:c>
      <x:c r="X30" s="346" t="str">
        <x:v>U/K</x:v>
      </x:c>
      <x:c r="Y30" s="346" t="str">
        <x:v>U/K</x:v>
      </x:c>
      <x:c r="Z30" s="346" t="str">
        <x:v>U/K</x:v>
      </x:c>
      <x:c r="AA30" s="380" t="str">
        <x:v>https://therift.chat/de/plans/</x:v>
      </x:c>
      <x:c r="AB30" s="346" t="str">
        <x:v>U/K</x:v>
      </x:c>
      <x:c r="AC30" s="346" t="str">
        <x:v>U/K</x:v>
      </x:c>
      <x:c r="AD30" s="346" t="str">
        <x:v>U/K</x:v>
      </x:c>
      <x:c r="AE30" s="346" t="str">
        <x:v>U/K</x:v>
      </x:c>
    </x:row>
    <x:row r="31" ht="36" customHeight="1">
      <x:c r="A31" s="360" t="str">
        <x:v>File / Storage Notes</x:v>
      </x:c>
      <x:c r="B31" s="349" t="str">
        <x:v>20 MB free; 50 MB Nitro Basic; 500 MB Nitro.</x:v>
      </x:c>
      <x:c r="C31" s="349" t="str">
        <x:v>U/K</x:v>
      </x:c>
      <x:c r="D31" s="349" t="str">
        <x:v>U/K</x:v>
      </x:c>
      <x:c r="E31" s="349" t="str">
        <x:v>25 MB free; 500 MB with Plutonium.</x:v>
      </x:c>
      <x:c r="F31" s="349" t="str">
        <x:v>Root docs verify 25 MB max and 10 files/upload; no higher paid file cap verified.</x:v>
      </x:c>
      <x:c r="G31" s="349" t="str">
        <x:v>Homeserver-dependent</x:v>
      </x:c>
      <x:c r="H31" s="349" t="str">
        <x:v>Operator-configurable</x:v>
      </x:c>
      <x:c r="I31" s="349" t="str">
        <x:v>N/A</x:v>
      </x:c>
      <x:c r="J31" s="349" t="str">
        <x:v>A 5 MB attachment limit is widely documented in current comparisons; official primary limit was not re-verified in this pass.</x:v>
      </x:c>
      <x:c r="K31" s="349" t="str">
        <x:v>Plan/server configurable</x:v>
      </x:c>
      <x:c r="L31" s="349" t="str">
        <x:v>Admin-configurable</x:v>
      </x:c>
      <x:c r="M31" s="349" t="str">
        <x:v>Admin-configurable</x:v>
      </x:c>
      <x:c r="N31" s="349" t="str">
        <x:v>500 MB free; Silver 1 GB/file; Gold 2 GB/file; Diamond 10 GB/file.</x:v>
      </x:c>
      <x:c r="O31" s="349" t="str">
        <x:v>U/K</x:v>
      </x:c>
      <x:c r="P31" s="349" t="str">
        <x:v>U/K</x:v>
      </x:c>
      <x:c r="Q31" s="349" t="str">
        <x:v>U/K</x:v>
      </x:c>
      <x:c r="R31" s="349" t="str">
        <x:v>U/K</x:v>
      </x:c>
      <x:c r="S31" s="349" t="str">
        <x:v>All features free; images max 50 MB, video/other max 100 MB.</x:v>
      </x:c>
      <x:c r="T31" s="349" t="str">
        <x:v>U/K</x:v>
      </x:c>
      <x:c r="U31" s="349" t="str">
        <x:v>Server-configurable</x:v>
      </x:c>
      <x:c r="V31" s="349" t="str">
        <x:v>U/K</x:v>
      </x:c>
      <x:c r="W31" s="349" t="str">
        <x:v>U/K</x:v>
      </x:c>
      <x:c r="X31" s="349" t="str">
        <x:v>Relay-dependent</x:v>
      </x:c>
      <x:c r="Y31" s="349" t="str">
        <x:v>Local/device storage</x:v>
      </x:c>
      <x:c r="Z31" s="349" t="str">
        <x:v>Operator configured</x:v>
      </x:c>
      <x:c r="AA31" s="381" t="str">
        <x:v>Free 50 MB; Rift+ 200 MB; Ember 75 MB/member; Forge 100 MB/member.</x:v>
      </x:c>
      <x:c r="AB31" s="349" t="str">
        <x:v>U/K</x:v>
      </x:c>
      <x:c r="AC31" s="349" t="str">
        <x:v>U/K</x:v>
      </x:c>
      <x:c r="AD31" s="349" t="str">
        <x:v>U/K</x:v>
      </x:c>
      <x:c r="AE31" s="349" t="str">
        <x:v>U/K</x:v>
      </x:c>
    </x:row>
    <x:row r="32" ht="23" customHeight="1">
      <x:c r="A32" s="389" t="str">
        <x:v>File Security &amp; Management</x:v>
      </x:c>
      <x:c r="B32" s="389"/>
      <x:c r="C32" s="389"/>
      <x:c r="D32" s="389"/>
      <x:c r="E32" s="389"/>
      <x:c r="F32" s="389"/>
      <x:c r="G32" s="389"/>
      <x:c r="H32" s="389"/>
      <x:c r="I32" s="389"/>
      <x:c r="J32" s="389"/>
      <x:c r="K32" s="389"/>
      <x:c r="L32" s="389"/>
      <x:c r="M32" s="389"/>
      <x:c r="N32" s="389"/>
      <x:c r="O32" s="389"/>
      <x:c r="P32" s="389"/>
      <x:c r="Q32" s="389"/>
      <x:c r="R32" s="389"/>
      <x:c r="S32" s="389"/>
      <x:c r="T32" s="389"/>
      <x:c r="U32" s="389"/>
      <x:c r="V32" s="389"/>
      <x:c r="W32" s="389"/>
      <x:c r="X32" s="389"/>
      <x:c r="Y32" s="389"/>
      <x:c r="Z32" s="389"/>
      <x:c r="AA32" s="389"/>
      <x:c r="AB32" s="389"/>
      <x:c r="AC32" s="389"/>
      <x:c r="AD32" s="389"/>
      <x:c r="AE32" s="389"/>
    </x:row>
    <x:row r="33" ht="36" customHeight="1">
      <x:c r="A33" s="378" t="str">
        <x:v>Malware / Virus Scanning?</x:v>
      </x:c>
      <x:c r="B33" s="346" t="str">
        <x:v>U/K</x:v>
      </x:c>
      <x:c r="C33" s="346" t="str">
        <x:v>U/K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U/K</x:v>
      </x:c>
      <x:c r="H33" s="346" t="str">
        <x:v>U/K</x:v>
      </x:c>
      <x:c r="I33" s="346" t="str">
        <x:v>U/K</x:v>
      </x:c>
      <x:c r="J33" s="346" t="str">
        <x:v>U/K</x:v>
      </x:c>
      <x:c r="K33" s="346" t="str">
        <x:v>U/K</x:v>
      </x:c>
      <x:c r="L33" s="346" t="str">
        <x:v>Deployment/integration dependent</x:v>
      </x:c>
      <x:c r="M33" s="346" t="str">
        <x:v>U/K</x:v>
      </x:c>
      <x:c r="N33" s="346" t="str">
        <x:v>U/K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U/K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  <x:row r="34" ht="36" customHeight="1">
      <x:c r="A34" s="378" t="str">
        <x:v>File Type Restrictions Configurable?</x:v>
      </x:c>
      <x:c r="B34" s="346" t="str">
        <x:v>Platform-controlled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U/K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U/K</x:v>
      </x:c>
      <x:c r="L34" s="346" t="str">
        <x:v>Admin/deployment dependent</x:v>
      </x:c>
      <x:c r="M34" s="346" t="str">
        <x:v>Admin configurable/U/K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U/K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Per-Channel Retention Policy?</x:v>
      </x:c>
      <x:c r="B35" s="346" t="str">
        <x:v>No general native retention timer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Enterprise/deployment dependent</x:v>
      </x:c>
      <x:c r="M35" s="346" t="str">
        <x:v>Deployment/settings dependent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Yes - disappearing messages per channel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Object Storage Backend Self-Host Configurable?</x:v>
      </x:c>
      <x:c r="B36" s="346" t="str">
        <x:v>U/K</x:v>
      </x:c>
      <x:c r="C36" s="346" t="str">
        <x:v>Yes / recommended</x:v>
      </x:c>
      <x:c r="D36" s="346" t="str">
        <x:v>U/K</x:v>
      </x:c>
      <x:c r="E36" s="346" t="str">
        <x:v>Yes / recommended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Yes / recommended</x:v>
      </x:c>
      <x:c r="M36" s="346" t="str">
        <x:v>Yes / recommended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</x:sheetData>
  <x:mergeCells>
    <x:mergeCell ref="A1:AE1"/>
  </x:mergeCells>
  <x:conditionalFormatting sqref="B3:AE31">
    <x:cfRule type="expression" dxfId="70" priority="1">
      <x:formula>ISNUMBER(SEARCH("U/K",B3))</x:formula>
    </x:cfRule>
    <x:cfRule type="expression" dxfId="71" priority="2">
      <x:formula>OR(B3="N/A",LEFT(B3,4)="N/A ")</x:formula>
    </x:cfRule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Platform Model &amp; Ecosystem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f>'At a Glance'!$B$2</x:f>
        <x:v>Discord</x:v>
      </x:c>
      <x:c r="C2" s="420" t="str">
        <x:f>'At a Glance'!$C$2</x:f>
        <x:v>Stoat</x:v>
      </x:c>
      <x:c r="D2" s="420" t="str">
        <x:f>'At a Glance'!$D$2</x:f>
        <x:v>Fenrid</x:v>
      </x:c>
      <x:c r="E2" s="420" t="str">
        <x:f>'At a Glance'!$E$2</x:f>
        <x:v>Fluxer</x:v>
      </x:c>
      <x:c r="F2" s="420" t="str">
        <x:f>'At a Glance'!$F$2</x:f>
        <x:v>Root</x:v>
      </x:c>
      <x:c r="G2" s="420" t="str">
        <x:f>'At a Glance'!$G$2</x:f>
        <x:v>Matrix</x:v>
      </x:c>
      <x:c r="H2" s="420" t="str">
        <x:f>'At a Glance'!$H$2</x:f>
        <x:v>Spacebar</x:v>
      </x:c>
      <x:c r="I2" s="420" t="str">
        <x:f>'At a Glance'!$I$2</x:f>
        <x:v>Mumble</x:v>
      </x:c>
      <x:c r="J2" s="420" t="str">
        <x:f>'At a Glance'!$J$2</x:f>
        <x:v>TeamSpeak</x:v>
      </x:c>
      <x:c r="K2" s="420" t="str">
        <x:f>'At a Glance'!$K$2</x:f>
        <x:v>Zulip</x:v>
      </x:c>
      <x:c r="L2" s="420" t="str">
        <x:f>'At a Glance'!$L$2</x:f>
        <x:v>Mattermost</x:v>
      </x:c>
      <x:c r="M2" s="420" t="str">
        <x:f>'At a Glance'!$M$2</x:f>
        <x:v>Rocket.Chat</x:v>
      </x:c>
      <x:c r="N2" s="420" t="str">
        <x:f>'At a Glance'!$N$2</x:f>
        <x:v>GameVox</x:v>
      </x:c>
      <x:c r="O2" s="420" t="str">
        <x:f>'At a Glance'!$O$2</x:f>
        <x:v>Nerimity</x:v>
      </x:c>
      <x:c r="P2" s="420" t="str">
        <x:f>'At a Glance'!$P$2</x:f>
        <x:v>Osmium</x:v>
      </x:c>
      <x:c r="Q2" s="420" t="str">
        <x:f>'At a Glance'!$Q$2</x:f>
        <x:v>Loqa</x:v>
      </x:c>
      <x:c r="R2" s="420" t="str">
        <x:f>'At a Glance'!$R$2</x:f>
        <x:v>Venta</x:v>
      </x:c>
      <x:c r="S2" s="420" t="str">
        <x:f>'At a Glance'!$S$2</x:f>
        <x:v>Mezon</x:v>
      </x:c>
      <x:c r="T2" s="420" t="str">
        <x:f>'At a Glance'!$T$2</x:f>
        <x:v>Kloak</x:v>
      </x:c>
      <x:c r="U2" s="420" t="str">
        <x:f>'At a Glance'!$U$2</x:f>
        <x:v>Yapper</x:v>
      </x:c>
      <x:c r="V2" s="420" t="str">
        <x:f>'At a Glance'!$V$2</x:f>
        <x:v>Harmony</x:v>
      </x:c>
      <x:c r="W2" s="420" t="str">
        <x:f>'At a Glance'!$W$2</x:f>
        <x:v>Roomy</x:v>
      </x:c>
      <x:c r="X2" s="420" t="str">
        <x:f>'At a Glance'!$X$2</x:f>
        <x:v>Armada</x:v>
      </x:c>
      <x:c r="Y2" s="420" t="str">
        <x:f>'At a Glance'!$Y$2</x:f>
        <x:v>Hollow</x:v>
      </x:c>
      <x:c r="Z2" s="420" t="str">
        <x:f>'At a Glance'!$Z$2</x:f>
        <x:v>DCTS</x:v>
      </x:c>
      <x:c r="AA2" s="421" t="str">
        <x:f>'At a Glance'!$AA$2</x:f>
        <x:v>Rift</x:v>
      </x:c>
      <x:c r="AB2" s="420" t="str">
        <x:f>'At a Glance'!$AB$2</x:f>
        <x:v>pqp.gg</x:v>
      </x:c>
      <x:c r="AC2" s="420" t="str">
        <x:f>'At a Glance'!$AC$2</x:f>
        <x:v>Echon</x:v>
      </x:c>
      <x:c r="AD2" s="420" t="str">
        <x:f>'At a Glance'!$AD$2</x:f>
        <x:v>Valour</x:v>
      </x:c>
      <x:c r="AE2" s="420" t="str">
        <x:f>'At a Glance'!$AE$2</x:f>
        <x:v>Weered</x:v>
      </x:c>
    </x:row>
    <x:row r="3" ht="36" customHeight="1">
      <x:c r="A3" s="359" t="str">
        <x:v>Platform / Protocol Identity</x:v>
      </x:c>
      <x:c r="B3" s="346" t="str">
        <x:v>Discord</x:v>
      </x:c>
      <x:c r="C3" s="346" t="str">
        <x:v>Stoat (formerly Revolt)</x:v>
      </x:c>
      <x:c r="D3" s="346" t="str">
        <x:v>Fenrid</x:v>
      </x:c>
      <x:c r="E3" s="346" t="str">
        <x:v>Fluxer</x:v>
      </x:c>
      <x:c r="F3" s="346" t="str">
        <x:v>Root</x:v>
      </x:c>
      <x:c r="G3" s="346" t="str">
        <x:v>Matrix</x:v>
      </x:c>
      <x:c r="H3" s="346" t="str">
        <x:v>Spacebar</x:v>
      </x:c>
      <x:c r="I3" s="346" t="str">
        <x:v>Mumble</x:v>
      </x:c>
      <x:c r="J3" s="346" t="str">
        <x:v>TeamSpeak</x:v>
      </x:c>
      <x:c r="K3" s="346" t="str">
        <x:v>Zulip</x:v>
      </x:c>
      <x:c r="L3" s="346" t="str">
        <x:v>Mattermost</x:v>
      </x:c>
      <x:c r="M3" s="346" t="str">
        <x:v>Rocket.Chat</x:v>
      </x:c>
      <x:c r="N3" s="346" t="str">
        <x:v>GameVox</x:v>
      </x:c>
      <x:c r="O3" s="346" t="str">
        <x:v>Nerimity</x:v>
      </x:c>
      <x:c r="P3" s="346" t="str">
        <x:v>Osmium</x:v>
      </x:c>
      <x:c r="Q3" s="346" t="str">
        <x:v>Loqa</x:v>
      </x:c>
      <x:c r="R3" s="346" t="str">
        <x:v>Venta</x:v>
      </x:c>
      <x:c r="S3" s="346" t="str">
        <x:v>Mezon</x:v>
      </x:c>
      <x:c r="T3" s="346" t="str">
        <x:v>Kloak</x:v>
      </x:c>
      <x:c r="U3" s="346" t="str">
        <x:v>Yapper</x:v>
      </x:c>
      <x:c r="V3" s="346" t="str">
        <x:v>Harmony</x:v>
      </x:c>
      <x:c r="W3" s="346" t="str">
        <x:v>Roomy</x:v>
      </x:c>
      <x:c r="X3" s="346" t="str">
        <x:v>Armada</x:v>
      </x:c>
      <x:c r="Y3" s="346" t="str">
        <x:v>Hollow</x:v>
      </x:c>
      <x:c r="Z3" s="346" t="str">
        <x:v>DCTS</x:v>
      </x:c>
      <x:c r="AA3" s="380" t="str">
        <x:v>Rift</x:v>
      </x:c>
      <x:c r="AB3" s="346" t="str">
        <x:v>pqp.gg</x:v>
      </x:c>
      <x:c r="AC3" s="346" t="str">
        <x:v>Echon</x:v>
      </x:c>
      <x:c r="AD3" s="346" t="str">
        <x:v>Valour</x:v>
      </x:c>
      <x:c r="AE3" s="346" t="str">
        <x:v>Weered</x:v>
      </x:c>
    </x:row>
    <x:row r="4" ht="36" customHeight="1">
      <x:c r="A4" s="359" t="str">
        <x:v>Product Type</x:v>
      </x:c>
      <x:c r="B4" s="346" t="str">
        <x:v>Centralized proprietary communication service</x:v>
      </x:c>
      <x:c r="C4" s="346" t="str">
        <x:v>Hosted + self-hostable Discord-like service</x:v>
      </x:c>
      <x:c r="D4" s="346" t="str">
        <x:v>Centralized hosted community platform</x:v>
      </x:c>
      <x:c r="E4" s="346" t="str">
        <x:v>Hosted + self-hostable Discord-like service</x:v>
      </x:c>
      <x:c r="F4" s="346" t="str">
        <x:v>Centralized proprietary community platform</x:v>
      </x:c>
      <x:c r="G4" s="346" t="str">
        <x:v>Open federated communication protocol/ecosystem</x:v>
      </x:c>
      <x:c r="H4" s="346" t="str">
        <x:v>Self-hosted Discord-compatible service implementation</x:v>
      </x:c>
      <x:c r="I4" s="346" t="str">
        <x:v>Self-hosted low-latency voice protocol/application</x:v>
      </x:c>
      <x:c r="J4" s="346" t="str">
        <x:v>Commercial self-hosted/hosted voice communication platform</x:v>
      </x:c>
      <x:c r="K4" s="346" t="str">
        <x:v>Hosted + self-hosted team chat application</x:v>
      </x:c>
      <x:c r="L4" s="346" t="str">
        <x:v>Enterprise collaboration application; cloud or self-host</x:v>
      </x:c>
      <x:c r="M4" s="346" t="str">
        <x:v>Collaboration platform; cloud/self-host with optional federation</x:v>
      </x:c>
      <x:c r="N4" s="346" t="str">
        <x:v>Hosted + self-hostable gaming community platform</x:v>
      </x:c>
      <x:c r="O4" s="346" t="str">
        <x:v>Open-source centralized community chat application</x:v>
      </x:c>
      <x:c r="P4" s="346" t="str">
        <x:v>Centralized distributed-region community platform</x:v>
      </x:c>
      <x:c r="Q4" s="346" t="str">
        <x:v>Discord-like hosted/self-host/federation-oriented community platform</x:v>
      </x:c>
      <x:c r="R4" s="346" t="str">
        <x:v>Discord-like platform moving from centralized to open-source/self-host/federated</x:v>
      </x:c>
      <x:c r="S4" s="346" t="str">
        <x:v>Hosted all-in-one community/work platform</x:v>
      </x:c>
      <x:c r="T4" s="346" t="str">
        <x:v>Centralized privacy-focused community platform</x:v>
      </x:c>
      <x:c r="U4" s="346" t="str">
        <x:v>Self-hosted voice/chat collaboration platform</x:v>
      </x:c>
      <x:c r="V4" s="346" t="str">
        <x:v>Open-source Discord-compatible server/API platform</x:v>
      </x:c>
      <x:c r="W4" s="346" t="str">
        <x:v>ATProto-based group chat/community app</x:v>
      </x:c>
      <x:c r="X4" s="346" t="str">
        <x:v>Serverless/federated-style E2EE community client built on Nostr</x:v>
      </x:c>
      <x:c r="Y4" s="346" t="str">
        <x:v>Local-first distributed encrypted messenger/community app</x:v>
      </x:c>
      <x:c r="Z4" s="346" t="str">
        <x:v>Self-hosted-only decentralized chat software + key-based messenger</x:v>
      </x:c>
      <x:c r="AA4" s="380" t="str">
        <x:v>Centralized proprietary community/chat platform</x:v>
      </x:c>
      <x:c r="AB4" s="346" t="str">
        <x:v>Hosted + self-hostable open-source community chat</x:v>
      </x:c>
      <x:c r="AC4" s="346" t="str">
        <x:v>Centralized Discord-like voice/chat service</x:v>
      </x:c>
      <x:c r="AD4" s="346" t="str">
        <x:v>Open-source community platform with hosted + self-host nodes</x:v>
      </x:c>
      <x:c r="AE4" s="346" t="str">
        <x:v>Centralized lobby-first gaming social platform</x:v>
      </x:c>
    </x:row>
    <x:row r="5" ht="36" customHeight="1">
      <x:c r="A5" s="359" t="str">
        <x:v>Reference / First-Party Client(s)</x:v>
      </x:c>
      <x:c r="B5" s="346" t="str">
        <x:v>Discord official web/desktop/mobile clients</x:v>
      </x:c>
      <x:c r="C5" s="346" t="str">
        <x:v>Stoat Web/PWA, Desktop, Android; iOS project</x:v>
      </x:c>
      <x:c r="D5" s="346" t="str">
        <x:v>Fenrid web/PWA alpha</x:v>
      </x:c>
      <x:c r="E5" s="346" t="str">
        <x:v>Fluxer Web/PWA, Electron desktop, Flutter mobile beta</x:v>
      </x:c>
      <x:c r="F5" s="346" t="str">
        <x:v>Root desktop/mobile/web surfaces</x:v>
      </x:c>
      <x:c r="G5" s="346" t="str">
        <x:v>No single official client. Element/Element X are example clients, not Matrix itself.</x:v>
      </x:c>
      <x:c r="H5" s="346" t="str">
        <x:v>Spacebar-aware client(s); compatibility with Discord-style clients is a project goal</x:v>
      </x:c>
      <x:c r="I5" s="346" t="str">
        <x:v>Mumble desktop client</x:v>
      </x:c>
      <x:c r="J5" s="346" t="str">
        <x:v>TeamSpeak official clients</x:v>
      </x:c>
      <x:c r="K5" s="346" t="str">
        <x:v>Zulip web/desktop/mobile</x:v>
      </x:c>
      <x:c r="L5" s="346" t="str">
        <x:v>Mattermost web/desktop/mobile</x:v>
      </x:c>
      <x:c r="M5" s="346" t="str">
        <x:v>Rocket.Chat web/desktop/mobile</x:v>
      </x:c>
      <x:c r="N5" s="346" t="str">
        <x:v>GameVox native/web clients</x:v>
      </x:c>
      <x:c r="O5" s="346" t="str">
        <x:v>Nerimity Web/Desktop/Android</x:v>
      </x:c>
      <x:c r="P5" s="346" t="str">
        <x:v>Osmium web/desktop/mobile</x:v>
      </x:c>
      <x:c r="Q5" s="346" t="str">
        <x:v>Loqa web client</x:v>
      </x:c>
      <x:c r="R5" s="346" t="str">
        <x:v>Venta client</x:v>
      </x:c>
      <x:c r="S5" s="346" t="str">
        <x:v>Mezon web/desktop/mobile</x:v>
      </x:c>
      <x:c r="T5" s="346" t="str">
        <x:v>Kloak web/client</x:v>
      </x:c>
      <x:c r="U5" s="346" t="str">
        <x:v>Yapper browser/client</x:v>
      </x:c>
      <x:c r="V5" s="346" t="str">
        <x:v>Fermi is the current primary client</x:v>
      </x:c>
      <x:c r="W5" s="346" t="str">
        <x:v>Roomy web app</x:v>
      </x:c>
      <x:c r="X5" s="346" t="str">
        <x:v>Armada client</x:v>
      </x:c>
      <x:c r="Y5" s="346" t="str">
        <x:v>Hollow native client</x:v>
      </x:c>
      <x:c r="Z5" s="346" t="str">
        <x:v>DCTS web/desktop/Android clients</x:v>
      </x:c>
      <x:c r="AA5" s="380" t="str">
        <x:v>Rift client/web</x:v>
      </x:c>
      <x:c r="AB5" s="346" t="str">
        <x:v>pqp web/desktop/mobile clients</x:v>
      </x:c>
      <x:c r="AC5" s="346" t="str">
        <x:v>Echon web/native clients</x:v>
      </x:c>
      <x:c r="AD5" s="346" t="str">
        <x:v>Valour web/Windows/Android</x:v>
      </x:c>
      <x:c r="AE5" s="346" t="str">
        <x:v>Weered web/Tauri client</x:v>
      </x:c>
    </x:row>
    <x:row r="6" ht="36" customHeight="1">
      <x:c r="A6" s="359" t="str">
        <x:v>Examples of Other Clients</x:v>
      </x:c>
      <x:c r="B6" s="346" t="str">
        <x:v>Third-party clients generally not supported</x:v>
      </x:c>
      <x:c r="C6" s="346" t="str">
        <x:v>Community clients exist</x:v>
      </x:c>
      <x:c r="D6" s="346" t="str">
        <x:v>No established third-party client ecosystem</x:v>
      </x:c>
      <x:c r="E6" s="346" t="str">
        <x:v>No mature third-party client ecosystem verified</x:v>
      </x:c>
      <x:c r="F6" s="346" t="str">
        <x:v>No third-party client ecosystem</x:v>
      </x:c>
      <x:c r="G6" s="346" t="str">
        <x:v>Cinny, FluffyChat, Nheko, Fractal, Commet and many others</x:v>
      </x:c>
      <x:c r="H6" s="346" t="str">
        <x:v>Potential compatible/community clients</x:v>
      </x:c>
      <x:c r="I6" s="346" t="str">
        <x:v>Third-party mobile clients</x:v>
      </x:c>
      <x:c r="J6" s="346" t="str">
        <x:v>Third-party client support limited by proprietary ecosystem</x:v>
      </x:c>
      <x:c r="K6" s="346" t="str">
        <x:v>API clients/bots; not interchangeable end-user clients in Matrix sense</x:v>
      </x:c>
      <x:c r="L6" s="346" t="str">
        <x:v>Custom clients/integrations possible; not interchangeable protocol clients</x:v>
      </x:c>
      <x:c r="M6" s="346" t="str">
        <x:v>API/custom clients possible</x:v>
      </x:c>
      <x:c r="N6" s="346" t="str">
        <x:v>No interchangeable third-party client ecosystem verified</x:v>
      </x:c>
      <x:c r="O6" s="346" t="str">
        <x:v>Forks/custom clients possible via open API/code</x:v>
      </x:c>
      <x:c r="P6" s="346" t="str">
        <x:v>No interchangeable client ecosystem verified</x:v>
      </x:c>
      <x:c r="Q6" s="346" t="str">
        <x:v>Third-party client ecosystem U/K</x:v>
      </x:c>
      <x:c r="R6" s="346" t="str">
        <x:v>Third-party clients future U/K</x:v>
      </x:c>
      <x:c r="S6" s="346" t="str">
        <x:v>Open source allows forks/custom clients; interoperability standard U/K</x:v>
      </x:c>
      <x:c r="T6" s="346" t="str">
        <x:v>No third-party clients verified</x:v>
      </x:c>
      <x:c r="U6" s="346" t="str">
        <x:v>No third-party clients verified</x:v>
      </x:c>
      <x:c r="V6" s="346" t="str">
        <x:v>Anyone can build clients against Harmony API</x:v>
      </x:c>
      <x:c r="W6" s="346" t="str">
        <x:v>Potential ATProto clients/integrations; Roomy-specific clients U/K</x:v>
      </x:c>
      <x:c r="X6" s="346" t="str">
        <x:v>Other Nostr clients do not automatically implement Armada/Concord semantics</x:v>
      </x:c>
      <x:c r="Y6" s="346" t="str">
        <x:v>Protocol/client ecosystem U/K</x:v>
      </x:c>
      <x:c r="Z6" s="346" t="str">
        <x:v>Open source allows custom clients</x:v>
      </x:c>
      <x:c r="AA6" s="380" t="str">
        <x:v>No third-party client ecosystem</x:v>
      </x:c>
      <x:c r="AB6" s="346" t="str">
        <x:v>Open source but no third-party client protocol ecosystem verified</x:v>
      </x:c>
      <x:c r="AC6" s="346" t="str">
        <x:v>No third-party clients verified</x:v>
      </x:c>
      <x:c r="AD6" s="346" t="str">
        <x:v>Open API; independent clients possible</x:v>
      </x:c>
      <x:c r="AE6" s="346" t="str">
        <x:v>No third-party clients verified</x:v>
      </x:c>
    </x:row>
    <x:row r="7" ht="36" customHeight="1">
      <x:c r="A7" s="359" t="str">
        <x:v>Client Interchangeability</x:v>
      </x:c>
      <x:c r="B7" s="346" t="str">
        <x:v>No</x:v>
      </x:c>
      <x:c r="C7" s="346" t="str">
        <x:v>Limited - official clients do not all support arbitrary self-hosted instances</x:v>
      </x:c>
      <x:c r="D7" s="346" t="str">
        <x:v>No</x:v>
      </x:c>
      <x:c r="E7" s="346" t="str">
        <x:v>Limited</x:v>
      </x:c>
      <x:c r="F7" s="346" t="str">
        <x:v>No</x:v>
      </x:c>
      <x:c r="G7" s="346" t="str">
        <x:v>Yes - core architectural feature</x:v>
      </x:c>
      <x:c r="H7" s="346" t="str">
        <x:v>Potentially, within compatibility limits</x:v>
      </x:c>
      <x:c r="I7" s="346" t="str">
        <x:v>Yes within Mumble protocol compatibility</x:v>
      </x:c>
      <x:c r="J7" s="346" t="str">
        <x:v>Limited</x:v>
      </x:c>
      <x:c r="K7" s="346" t="str">
        <x:v>Limited</x:v>
      </x:c>
      <x:c r="L7" s="346" t="str">
        <x:v>Limited</x:v>
      </x:c>
      <x:c r="M7" s="346" t="str">
        <x:v>Limited</x:v>
      </x:c>
      <x:c r="N7" s="346" t="str">
        <x:v>No</x:v>
      </x:c>
      <x:c r="O7" s="346" t="str">
        <x:v>Limited</x:v>
      </x:c>
      <x:c r="P7" s="346" t="str">
        <x:v>No</x:v>
      </x:c>
      <x:c r="Q7" s="346" t="str">
        <x:v>U/K</x:v>
      </x:c>
      <x:c r="R7" s="346" t="str">
        <x:v>U/K</x:v>
      </x:c>
      <x:c r="S7" s="346" t="str">
        <x:v>Limited/U/K</x:v>
      </x:c>
      <x:c r="T7" s="346" t="str">
        <x:v>No</x:v>
      </x:c>
      <x:c r="U7" s="346" t="str">
        <x:v>No</x:v>
      </x:c>
      <x:c r="V7" s="346" t="str">
        <x:v>Yes in principle</x:v>
      </x:c>
      <x:c r="W7" s="346" t="str">
        <x:v>Partial</x:v>
      </x:c>
      <x:c r="X7" s="346" t="str">
        <x:v>Partial</x:v>
      </x:c>
      <x:c r="Y7" s="346" t="str">
        <x:v>Identity portable across relays</x:v>
      </x:c>
      <x:c r="Z7" s="346" t="str">
        <x:v>Yes for messenger/home server identity</x:v>
      </x:c>
      <x:c r="AA7" s="380" t="str">
        <x:v>No</x:v>
      </x:c>
      <x:c r="AB7" s="346" t="str">
        <x:v>Limited</x:v>
      </x:c>
      <x:c r="AC7" s="346" t="str">
        <x:v>No</x:v>
      </x:c>
      <x:c r="AD7" s="346" t="str">
        <x:v>Partial</x:v>
      </x:c>
      <x:c r="AE7" s="346" t="str">
        <x:v>No</x:v>
      </x:c>
    </x:row>
    <x:row r="8" ht="36" customHeight="1">
      <x:c r="A8" s="359" t="str">
        <x:v>Account / Identity Hosted By</x:v>
      </x:c>
      <x:c r="B8" s="346" t="str">
        <x:v>Discord</x:v>
      </x:c>
      <x:c r="C8" s="346" t="str">
        <x:v>Hosted Stoat or self-host operator</x:v>
      </x:c>
      <x:c r="D8" s="346" t="str">
        <x:v>Fenrid</x:v>
      </x:c>
      <x:c r="E8" s="346" t="str">
        <x:v>Fluxer hosted or self-host operator</x:v>
      </x:c>
      <x:c r="F8" s="346" t="str">
        <x:v>Root</x:v>
      </x:c>
      <x:c r="G8" s="346" t="str">
        <x:v>Chosen Matrix homeserver/provider</x:v>
      </x:c>
      <x:c r="H8" s="346" t="str">
        <x:v>Each Spacebar instance operator</x:v>
      </x:c>
      <x:c r="I8" s="346" t="str">
        <x:v>Chosen Mumble server</x:v>
      </x:c>
      <x:c r="J8" s="346" t="str">
        <x:v>Chosen TeamSpeak server / provider</x:v>
      </x:c>
      <x:c r="K8" s="346" t="str">
        <x:v>Zulip Cloud or chosen self-host server</x:v>
      </x:c>
      <x:c r="L8" s="346" t="str">
        <x:v>Mattermost Cloud or chosen self-host server</x:v>
      </x:c>
      <x:c r="M8" s="346" t="str">
        <x:v>Rocket.Chat Cloud or chosen server</x:v>
      </x:c>
      <x:c r="N8" s="346" t="str">
        <x:v>GameVox account / self-host server</x:v>
      </x:c>
      <x:c r="O8" s="346" t="str">
        <x:v>Nerimity hosted service</x:v>
      </x:c>
      <x:c r="P8" s="346" t="str">
        <x:v>Osmium</x:v>
      </x:c>
      <x:c r="Q8" s="346" t="str">
        <x:v>Loqa/federated identity design U/K</x:v>
      </x:c>
      <x:c r="R8" s="346" t="str">
        <x:v>Venta identity intended to span federated servers</x:v>
      </x:c>
      <x:c r="S8" s="346" t="str">
        <x:v>Mezon account</x:v>
      </x:c>
      <x:c r="T8" s="346" t="str">
        <x:v>Kloak</x:v>
      </x:c>
      <x:c r="U8" s="346" t="str">
        <x:v>Yapper account/license + chosen server</x:v>
      </x:c>
      <x:c r="V8" s="346" t="str">
        <x:v>Per-instance</x:v>
      </x:c>
      <x:c r="W8" s="346" t="str">
        <x:v>Bluesky/ATProto identity</x:v>
      </x:c>
      <x:c r="X8" s="346" t="str">
        <x:v>Nostr keypair</x:v>
      </x:c>
      <x:c r="Y8" s="346" t="str">
        <x:v>User Ed25519 keypair</x:v>
      </x:c>
      <x:c r="Z8" s="346" t="str">
        <x:v>Chosen DCTS instance or key-based messenger</x:v>
      </x:c>
      <x:c r="AA8" s="380" t="str">
        <x:v>Rift</x:v>
      </x:c>
      <x:c r="AB8" s="346" t="str">
        <x:v>pqp account/self-host deployment</x:v>
      </x:c>
      <x:c r="AC8" s="346" t="str">
        <x:v>Echon</x:v>
      </x:c>
      <x:c r="AD8" s="346" t="str">
        <x:v>Valour account</x:v>
      </x:c>
      <x:c r="AE8" s="346" t="str">
        <x:v>Weered</x:v>
      </x:c>
    </x:row>
    <x:row r="9" ht="36" customHeight="1">
      <x:c r="A9" s="359" t="str">
        <x:v>Server / Homeserver Implementation(s)</x:v>
      </x:c>
      <x:c r="B9" s="346" t="str">
        <x:v>Discord proprietary backend</x:v>
      </x:c>
      <x:c r="C9" s="346" t="str">
        <x:v>Stoat Rust backend</x:v>
      </x:c>
      <x:c r="D9" s="346" t="str">
        <x:v>Private hosted backend</x:v>
      </x:c>
      <x:c r="E9" s="346" t="str">
        <x:v>Fluxer open-source backend/services</x:v>
      </x:c>
      <x:c r="F9" s="346" t="str">
        <x:v>Root proprietary cloud backend</x:v>
      </x:c>
      <x:c r="G9" s="346" t="str">
        <x:v>Synapse, Dendrite/other Matrix homeservers</x:v>
      </x:c>
      <x:c r="H9" s="346" t="str">
        <x:v>Spacebar API/Gateway/CDN services</x:v>
      </x:c>
      <x:c r="I9" s="346" t="str">
        <x:v>Murmur/Mumble server</x:v>
      </x:c>
      <x:c r="J9" s="346" t="str">
        <x:v>Proprietary TeamSpeak server</x:v>
      </x:c>
      <x:c r="K9" s="346" t="str">
        <x:v>Zulip server/web application</x:v>
      </x:c>
      <x:c r="L9" s="346" t="str">
        <x:v>Mattermost server</x:v>
      </x:c>
      <x:c r="M9" s="346" t="str">
        <x:v>Rocket.Chat server</x:v>
      </x:c>
      <x:c r="N9" s="346" t="str">
        <x:v>Proprietary GameVox server</x:v>
      </x:c>
      <x:c r="O9" s="346" t="str">
        <x:v>Nerimity server</x:v>
      </x:c>
      <x:c r="P9" s="346" t="str">
        <x:v>Proprietary/partly open backend components</x:v>
      </x:c>
      <x:c r="Q9" s="346" t="str">
        <x:v>Loqa backend</x:v>
      </x:c>
      <x:c r="R9" s="346" t="str">
        <x:v>AlpineBackend</x:v>
      </x:c>
      <x:c r="S9" s="346" t="str">
        <x:v>Mezon native backend</x:v>
      </x:c>
      <x:c r="T9" s="346" t="str">
        <x:v>Proprietary backend</x:v>
      </x:c>
      <x:c r="U9" s="346" t="str">
        <x:v>Yapper server software</x:v>
      </x:c>
      <x:c r="V9" s="346" t="str">
        <x:v>Harmony server</x:v>
      </x:c>
      <x:c r="W9" s="346" t="str">
        <x:v>ATProto/PDS + Roomy services</x:v>
      </x:c>
      <x:c r="X9" s="346" t="str">
        <x:v>Nostr relays / Concord</x:v>
      </x:c>
      <x:c r="Y9" s="346" t="str">
        <x:v>Stateless/ephemeral relay servers</x:v>
      </x:c>
      <x:c r="Z9" s="346" t="str">
        <x:v>DCTS server</x:v>
      </x:c>
      <x:c r="AA9" s="380" t="str">
        <x:v>Rift proprietary backend</x:v>
      </x:c>
      <x:c r="AB9" s="346" t="str">
        <x:v>pqp server</x:v>
      </x:c>
      <x:c r="AC9" s="346" t="str">
        <x:v>Private Rust backend</x:v>
      </x:c>
      <x:c r="AD9" s="346" t="str">
        <x:v>Valour node-based backend</x:v>
      </x:c>
      <x:c r="AE9" s="346" t="str">
        <x:v>Private/source-available backend</x:v>
      </x:c>
    </x:row>
    <x:row r="10" ht="36" customHeight="1">
      <x:c r="A10" s="359" t="str">
        <x:v>First-Party Hosted Service</x:v>
      </x:c>
      <x:c r="B10" s="346" t="str">
        <x:v>Yes - discord.com</x:v>
      </x:c>
      <x:c r="C10" s="346" t="str">
        <x:v>Yes</x:v>
      </x:c>
      <x:c r="D10" s="346" t="str">
        <x:v>Yes</x:v>
      </x:c>
      <x:c r="E10" s="346" t="str">
        <x:v>Yes</x:v>
      </x:c>
      <x:c r="F10" s="346" t="str">
        <x:v>Yes</x:v>
      </x:c>
      <x:c r="G10" s="346" t="str">
        <x:v>matrix.org is one Foundation-operated homeserver; many other providers exist</x:v>
      </x:c>
      <x:c r="H10" s="346" t="str">
        <x:v>No canonical global first-party hosted network required</x:v>
      </x:c>
      <x:c r="I10" s="346" t="str">
        <x:v>No central service</x:v>
      </x:c>
      <x:c r="J10" s="346" t="str">
        <x:v>Hosted options exist; many self-host</x:v>
      </x:c>
      <x:c r="K10" s="346" t="str">
        <x:v>Yes - Zulip Cloud</x:v>
      </x:c>
      <x:c r="L10" s="346" t="str">
        <x:v>Yes - cloud offering</x:v>
      </x:c>
      <x:c r="M10" s="346" t="str">
        <x:v>Yes</x:v>
      </x:c>
      <x:c r="N10" s="346" t="str">
        <x:v>Yes</x:v>
      </x:c>
      <x:c r="O10" s="346" t="str">
        <x:v>Yes</x:v>
      </x:c>
      <x:c r="P10" s="346" t="str">
        <x:v>Yes</x:v>
      </x:c>
      <x:c r="Q10" s="346" t="str">
        <x:v>Yes</x:v>
      </x:c>
      <x:c r="R10" s="346" t="str">
        <x:v>Yes</x:v>
      </x:c>
      <x:c r="S10" s="346" t="str">
        <x:v>Yes</x:v>
      </x:c>
      <x:c r="T10" s="346" t="str">
        <x:v>Yes</x:v>
      </x:c>
      <x:c r="U10" s="346" t="str">
        <x:v>Optional managed hosting</x:v>
      </x:c>
      <x:c r="V10" s="346" t="str">
        <x:v>fermi.chat hosted instance</x:v>
      </x:c>
      <x:c r="W10" s="346" t="str">
        <x:v>roomy.space</x:v>
      </x:c>
      <x:c r="X10" s="346" t="str">
        <x:v>No central host required</x:v>
      </x:c>
      <x:c r="Y10" s="346" t="str">
        <x:v>Official relay exists</x:v>
      </x:c>
      <x:c r="Z10" s="346" t="str">
        <x:v>Official public instance exists, but project is self-hosting-first</x:v>
      </x:c>
      <x:c r="AA10" s="380" t="str">
        <x:v>Yes</x:v>
      </x:c>
      <x:c r="AB10" s="346" t="str">
        <x:v>Yes - São Paulo</x:v>
      </x:c>
      <x:c r="AC10" s="346" t="str">
        <x:v>Yes</x:v>
      </x:c>
      <x:c r="AD10" s="346" t="str">
        <x:v>Yes</x:v>
      </x:c>
      <x:c r="AE10" s="346" t="str">
        <x:v>Yes</x:v>
      </x:c>
    </x:row>
    <x:row r="11" ht="36" customHeight="1">
      <x:c r="A11" s="359" t="str">
        <x:v>Self-Hosting Supported</x:v>
      </x:c>
      <x:c r="B11" s="346" t="str">
        <x:v>No</x:v>
      </x:c>
      <x:c r="C11" s="346" t="str">
        <x:v>Yes</x:v>
      </x:c>
      <x:c r="D11" s="346" t="str">
        <x:v>No currently</x:v>
      </x:c>
      <x:c r="E11" s="346" t="str">
        <x:v>Yes</x:v>
      </x:c>
      <x:c r="F11" s="346" t="str">
        <x:v>No</x:v>
      </x:c>
      <x:c r="G11" s="346" t="str">
        <x:v>Yes</x:v>
      </x:c>
      <x:c r="H11" s="346" t="str">
        <x:v>Yes</x:v>
      </x:c>
      <x:c r="I11" s="346" t="str">
        <x:v>Yes</x:v>
      </x:c>
      <x:c r="J11" s="346" t="str">
        <x:v>Yes</x:v>
      </x:c>
      <x:c r="K11" s="346" t="str">
        <x:v>Yes</x:v>
      </x:c>
      <x:c r="L11" s="346" t="str">
        <x:v>Yes</x:v>
      </x:c>
      <x:c r="M11" s="346" t="str">
        <x:v>Yes</x:v>
      </x:c>
      <x:c r="N11" s="346" t="str">
        <x:v>Yes</x:v>
      </x:c>
      <x:c r="O11" s="346" t="str">
        <x:v>Technically possible but explicitly not intended/supported</x:v>
      </x:c>
      <x:c r="P11" s="346" t="str">
        <x:v>No</x:v>
      </x:c>
      <x:c r="Q11" s="346" t="str">
        <x:v>Yes</x:v>
      </x:c>
      <x:c r="R11" s="346" t="str">
        <x:v>In development</x:v>
      </x:c>
      <x:c r="S11" s="346" t="str">
        <x:v>U/K</x:v>
      </x:c>
      <x:c r="T11" s="346" t="str">
        <x:v>No</x:v>
      </x:c>
      <x:c r="U11" s="346" t="str">
        <x:v>Yes</x:v>
      </x:c>
      <x:c r="V11" s="346" t="str">
        <x:v>Yes</x:v>
      </x:c>
      <x:c r="W11" s="346" t="str">
        <x:v>Partially via ATProto/PDS model</x:v>
      </x:c>
      <x:c r="X11" s="346" t="str">
        <x:v>Yes - relays/self-host</x:v>
      </x:c>
      <x:c r="Y11" s="346" t="str">
        <x:v>Yes</x:v>
      </x:c>
      <x:c r="Z11" s="346" t="str">
        <x:v>Yes</x:v>
      </x:c>
      <x:c r="AA11" s="380" t="str">
        <x:v>No</x:v>
      </x:c>
      <x:c r="AB11" s="346" t="str">
        <x:v>Yes</x:v>
      </x:c>
      <x:c r="AC11" s="346" t="str">
        <x:v>No</x:v>
      </x:c>
      <x:c r="AD11" s="346" t="str">
        <x:v>Yes</x:v>
      </x:c>
      <x:c r="AE11" s="346" t="str">
        <x:v>No</x:v>
      </x:c>
    </x:row>
    <x:row r="12" ht="36" customHeight="1">
      <x:c r="A12" s="359" t="str">
        <x:v>Independent Instances</x:v>
      </x:c>
      <x:c r="B12" s="346" t="str">
        <x:v>No</x:v>
      </x:c>
      <x:c r="C12" s="346" t="str">
        <x:v>Yes</x:v>
      </x:c>
      <x:c r="D12" s="346" t="str">
        <x:v>No</x:v>
      </x:c>
      <x:c r="E12" s="346" t="str">
        <x:v>Yes</x:v>
      </x:c>
      <x:c r="F12" s="346" t="str">
        <x:v>No</x:v>
      </x:c>
      <x:c r="G12" s="346" t="str">
        <x:v>Yes</x:v>
      </x:c>
      <x:c r="H12" s="346" t="str">
        <x:v>Yes</x:v>
      </x:c>
      <x:c r="I12" s="346" t="str">
        <x:v>Yes</x:v>
      </x:c>
      <x:c r="J12" s="346" t="str">
        <x:v>Yes</x:v>
      </x:c>
      <x:c r="K12" s="346" t="str">
        <x:v>Yes</x:v>
      </x:c>
      <x:c r="L12" s="346" t="str">
        <x:v>Yes</x:v>
      </x:c>
      <x:c r="M12" s="346" t="str">
        <x:v>Yes</x:v>
      </x:c>
      <x:c r="N12" s="346" t="str">
        <x:v>Yes</x:v>
      </x:c>
      <x:c r="O12" s="346" t="str">
        <x:v>Possible independent deployments</x:v>
      </x:c>
      <x:c r="P12" s="346" t="str">
        <x:v>No</x:v>
      </x:c>
      <x:c r="Q12" s="346" t="str">
        <x:v>Yes</x:v>
      </x:c>
      <x:c r="R12" s="346" t="str">
        <x:v>In development</x:v>
      </x:c>
      <x:c r="S12" s="346" t="str">
        <x:v>U/K</x:v>
      </x:c>
      <x:c r="T12" s="346" t="str">
        <x:v>No</x:v>
      </x:c>
      <x:c r="U12" s="346" t="str">
        <x:v>Yes</x:v>
      </x:c>
      <x:c r="V12" s="346" t="str">
        <x:v>Yes</x:v>
      </x:c>
      <x:c r="W12" s="346" t="str">
        <x:v>Yes/distributed data ownership model</x:v>
      </x:c>
      <x:c r="X12" s="346" t="str">
        <x:v>Yes</x:v>
      </x:c>
      <x:c r="Y12" s="346" t="str">
        <x:v>Yes</x:v>
      </x:c>
      <x:c r="Z12" s="346" t="str">
        <x:v>Yes</x:v>
      </x:c>
      <x:c r="AA12" s="380" t="str">
        <x:v>No</x:v>
      </x:c>
      <x:c r="AB12" s="346" t="str">
        <x:v>Yes</x:v>
      </x:c>
      <x:c r="AC12" s="346" t="str">
        <x:v>No</x:v>
      </x:c>
      <x:c r="AD12" s="346" t="str">
        <x:v>Yes</x:v>
      </x:c>
      <x:c r="AE12" s="346" t="str">
        <x:v>No</x:v>
      </x:c>
    </x:row>
    <x:row r="13" ht="36" customHeight="1">
      <x:c r="A13" s="359" t="str">
        <x:v>Federation Between Independent Instances</x:v>
      </x:c>
      <x:c r="B13" s="346" t="str">
        <x:v>No</x:v>
      </x:c>
      <x:c r="C13" s="346" t="str">
        <x:v>No</x:v>
      </x:c>
      <x:c r="D13" s="346" t="str">
        <x:v>No</x:v>
      </x:c>
      <x:c r="E13" s="346" t="str">
        <x:v>Not yet - on roadmap</x:v>
      </x:c>
      <x:c r="F13" s="346" t="str">
        <x:v>No</x:v>
      </x:c>
      <x:c r="G13" s="346" t="str">
        <x:v>Yes - core feature</x:v>
      </x:c>
      <x:c r="H13" s="346" t="str">
        <x:v>No</x:v>
      </x:c>
      <x:c r="I13" s="346" t="str">
        <x:v>No</x:v>
      </x:c>
      <x:c r="J13" s="346" t="str">
        <x:v>No</x:v>
      </x:c>
      <x:c r="K13" s="346" t="str">
        <x:v>No</x:v>
      </x:c>
      <x:c r="L13" s="346" t="str">
        <x:v>No general federation</x:v>
      </x:c>
      <x:c r="M13" s="346" t="str">
        <x:v>Yes - Matrix-based federation feature set, with limitations</x:v>
      </x:c>
      <x:c r="N13" s="346" t="str">
        <x:v>No federation verified</x:v>
      </x:c>
      <x:c r="O13" s="346" t="str">
        <x:v>No</x:v>
      </x:c>
      <x:c r="P13" s="346" t="str">
        <x:v>No</x:v>
      </x:c>
      <x:c r="Q13" s="346" t="str">
        <x:v>Federation advertised</x:v>
      </x:c>
      <x:c r="R13" s="346" t="str">
        <x:v>Planned/in development</x:v>
      </x:c>
      <x:c r="S13" s="346" t="str">
        <x:v>No federation verified</x:v>
      </x:c>
      <x:c r="T13" s="346" t="str">
        <x:v>No</x:v>
      </x:c>
      <x:c r="U13" s="346" t="str">
        <x:v>No</x:v>
      </x:c>
      <x:c r="V13" s="346" t="str">
        <x:v>Federation planned</x:v>
      </x:c>
      <x:c r="W13" s="346" t="str">
        <x:v>ATProto federation ecosystem</x:v>
      </x:c>
      <x:c r="X13" s="346" t="str">
        <x:v>Nostr relay interoperability</x:v>
      </x:c>
      <x:c r="Y13" s="346" t="str">
        <x:v>Relay choice but not Matrix-style federated server state</x:v>
      </x:c>
      <x:c r="Z13" s="346" t="str">
        <x:v>Yes for messenger/server communication features; full federation evolving</x:v>
      </x:c>
      <x:c r="AA13" s="380" t="str">
        <x:v>No</x:v>
      </x:c>
      <x:c r="AB13" s="346" t="str">
        <x:v>No federation</x:v>
      </x:c>
      <x:c r="AC13" s="346" t="str">
        <x:v>No</x:v>
      </x:c>
      <x:c r="AD13" s="346" t="str">
        <x:v>Node/federation model for migrating communities; exact cross-instance federation scope evolving</x:v>
      </x:c>
      <x:c r="AE13" s="346" t="str">
        <x:v>No</x:v>
      </x:c>
    </x:row>
    <x:row r="14" ht="36" customHeight="1">
      <x:c r="A14" s="359" t="str">
        <x:v>Cross-Instance Rooms / Communities</x:v>
      </x:c>
      <x:c r="B14" s="346" t="str">
        <x:v>No</x:v>
      </x:c>
      <x:c r="C14" s="346" t="str">
        <x:v>No</x:v>
      </x:c>
      <x:c r="D14" s="346" t="str">
        <x:v>No</x:v>
      </x:c>
      <x:c r="E14" s="346" t="str">
        <x:v>Not yet</x:v>
      </x:c>
      <x:c r="F14" s="346" t="str">
        <x:v>No</x:v>
      </x:c>
      <x:c r="G14" s="346" t="str">
        <x:v>Yes - rooms can span homeservers</x:v>
      </x:c>
      <x:c r="H14" s="346" t="str">
        <x:v>No</x:v>
      </x:c>
      <x:c r="I14" s="346" t="str">
        <x:v>No</x:v>
      </x:c>
      <x:c r="J14" s="346" t="str">
        <x:v>No</x:v>
      </x:c>
      <x:c r="K14" s="346" t="str">
        <x:v>No</x:v>
      </x:c>
      <x:c r="L14" s="346" t="str">
        <x:v>No</x:v>
      </x:c>
      <x:c r="M14" s="346" t="str">
        <x:v>Yes for supported federated rooms</x:v>
      </x:c>
      <x:c r="N14" s="346" t="str">
        <x:v>No</x:v>
      </x:c>
      <x:c r="O14" s="346" t="str">
        <x:v>No</x:v>
      </x:c>
      <x:c r="P14" s="346" t="str">
        <x:v>No</x:v>
      </x:c>
      <x:c r="Q14" s="346" t="str">
        <x:v>Federated communities intended</x:v>
      </x:c>
      <x:c r="R14" s="346" t="str">
        <x:v>Planned</x:v>
      </x:c>
      <x:c r="S14" s="346" t="str">
        <x:v>No</x:v>
      </x:c>
      <x:c r="T14" s="346" t="str">
        <x:v>No</x:v>
      </x:c>
      <x:c r="U14" s="346" t="str">
        <x:v>No</x:v>
      </x:c>
      <x:c r="V14" s="346" t="str">
        <x:v>Planned</x:v>
      </x:c>
      <x:c r="W14" s="346" t="str">
        <x:v>ATProto-linked spaces</x:v>
      </x:c>
      <x:c r="X14" s="346" t="str">
        <x:v>Communities can use multiple relays</x:v>
      </x:c>
      <x:c r="Y14" s="346" t="str">
        <x:v>Peers communicate across relays/home servers as designed</x:v>
      </x:c>
      <x:c r="Z14" s="346" t="str">
        <x:v>Cross-server messenger works</x:v>
      </x:c>
      <x:c r="AA14" s="380" t="str">
        <x:v>No</x:v>
      </x:c>
      <x:c r="AB14" s="346" t="str">
        <x:v>No</x:v>
      </x:c>
      <x:c r="AC14" s="346" t="str">
        <x:v>No</x:v>
      </x:c>
      <x:c r="AD14" s="346" t="str">
        <x:v>Limited/evolving</x:v>
      </x:c>
      <x:c r="AE14" s="346" t="str">
        <x:v>No</x:v>
      </x:c>
    </x:row>
    <x:row r="15" ht="36" customHeight="1">
      <x:c r="A15" s="359" t="str">
        <x:v>Cross-Instance Identity / Account Portability</x:v>
      </x:c>
      <x:c r="B15" s="346" t="str">
        <x:v>No</x:v>
      </x:c>
      <x:c r="C15" s="346" t="str">
        <x:v>No seamless portable identity</x:v>
      </x:c>
      <x:c r="D15" s="346" t="str">
        <x:v>No</x:v>
      </x:c>
      <x:c r="E15" s="346" t="str">
        <x:v>No current portable cross-instance identity</x:v>
      </x:c>
      <x:c r="F15" s="346" t="str">
        <x:v>No</x:v>
      </x:c>
      <x:c r="G15" s="346" t="str">
        <x:v>Identity is namespaced to a homeserver; clients are portable, account migration is not universally seamless</x:v>
      </x:c>
      <x:c r="H15" s="346" t="str">
        <x:v>No</x:v>
      </x:c>
      <x:c r="I15" s="346" t="str">
        <x:v>Certificate/user identity can be reused manually; no global portable identity layer</x:v>
      </x:c>
      <x:c r="J15" s="346" t="str">
        <x:v>No global federated identity</x:v>
      </x:c>
      <x:c r="K15" s="346" t="str">
        <x:v>No seamless cross-server identity</x:v>
      </x:c>
      <x:c r="L15" s="346" t="str">
        <x:v>No</x:v>
      </x:c>
      <x:c r="M15" s="346" t="str">
        <x:v>Limited; not equivalent to universal account migration</x:v>
      </x:c>
      <x:c r="N15" s="346" t="str">
        <x:v>No</x:v>
      </x:c>
      <x:c r="O15" s="346" t="str">
        <x:v>No</x:v>
      </x:c>
      <x:c r="P15" s="346" t="str">
        <x:v>No</x:v>
      </x:c>
      <x:c r="Q15" s="346" t="str">
        <x:v>U/K</x:v>
      </x:c>
      <x:c r="R15" s="346" t="str">
        <x:v>Planned</x:v>
      </x:c>
      <x:c r="S15" s="346" t="str">
        <x:v>No</x:v>
      </x:c>
      <x:c r="T15" s="346" t="str">
        <x:v>No</x:v>
      </x:c>
      <x:c r="U15" s="346" t="str">
        <x:v>No</x:v>
      </x:c>
      <x:c r="V15" s="346" t="str">
        <x:v>Planned</x:v>
      </x:c>
      <x:c r="W15" s="346" t="str">
        <x:v>Identity via ATProto</x:v>
      </x:c>
      <x:c r="X15" s="346" t="str">
        <x:v>Identity is portable by keypair</x:v>
      </x:c>
      <x:c r="Y15" s="346" t="str">
        <x:v>Yes - identity key portable</x:v>
      </x:c>
      <x:c r="Z15" s="346" t="str">
        <x:v>Yes - messenger global ID/key and account export</x:v>
      </x:c>
      <x:c r="AA15" s="380" t="str">
        <x:v>No</x:v>
      </x:c>
      <x:c r="AB15" s="346" t="str">
        <x:v>No</x:v>
      </x:c>
      <x:c r="AC15" s="346" t="str">
        <x:v>No</x:v>
      </x:c>
      <x:c r="AD15" s="346" t="str">
        <x:v>Account survives community node moves per docs</x:v>
      </x:c>
      <x:c r="AE15" s="346" t="str">
        <x:v>No</x:v>
      </x:c>
    </x:row>
    <x:row r="16" ht="36" customHeight="1">
      <x:c r="A16" s="359" t="str">
        <x:v>Public Protocol / Standard</x:v>
      </x:c>
      <x:c r="B16" s="346" t="str">
        <x:v>Proprietary public developer APIs, not an open protocol</x:v>
      </x:c>
      <x:c r="C16" s="346" t="str">
        <x:v>Public REST/WebSocket API, but not a federation standard</x:v>
      </x:c>
      <x:c r="D16" s="346" t="str">
        <x:v>No open interoperability standard</x:v>
      </x:c>
      <x:c r="E16" s="346" t="str">
        <x:v>Public API/Gateway inspired by Discord; not a federation standard</x:v>
      </x:c>
      <x:c r="F16" s="346" t="str">
        <x:v>Proprietary Root APIs/SDK</x:v>
      </x:c>
      <x:c r="G16" s="346" t="str">
        <x:v>Open Matrix specification: Client-Server + Server-Server/Federation APIs</x:v>
      </x:c>
      <x:c r="H16" s="346" t="str">
        <x:v>Discord-compatible REST/Gateway reimplementation</x:v>
      </x:c>
      <x:c r="I16" s="346" t="str">
        <x:v>Open Mumble protocol/source</x:v>
      </x:c>
      <x:c r="J16" s="346" t="str">
        <x:v>Proprietary protocol/API</x:v>
      </x:c>
      <x:c r="K16" s="346" t="str">
        <x:v>Open REST/realtime APIs</x:v>
      </x:c>
      <x:c r="L16" s="346" t="str">
        <x:v>Open APIs, not a general federation standard</x:v>
      </x:c>
      <x:c r="M16" s="346" t="str">
        <x:v>REST/realtime APIs + federation components</x:v>
      </x:c>
      <x:c r="N16" s="346" t="str">
        <x:v>Proprietary API/service</x:v>
      </x:c>
      <x:c r="O16" s="346" t="str">
        <x:v>Public app/API code, not a federation standard</x:v>
      </x:c>
      <x:c r="P16" s="346" t="str">
        <x:v>Proprietary service APIs</x:v>
      </x:c>
      <x:c r="Q16" s="346" t="str">
        <x:v>Discord-compatible API + federation work</x:v>
      </x:c>
      <x:c r="R16" s="346" t="str">
        <x:v>Custom open-source federation protocol</x:v>
      </x:c>
      <x:c r="S16" s="346" t="str">
        <x:v>Custom APIs</x:v>
      </x:c>
      <x:c r="T16" s="346" t="str">
        <x:v>Proprietary</x:v>
      </x:c>
      <x:c r="U16" s="346" t="str">
        <x:v>Proprietary product protocol U/K</x:v>
      </x:c>
      <x:c r="V16" s="346" t="str">
        <x:v>Discord-compatible API</x:v>
      </x:c>
      <x:c r="W16" s="346" t="str">
        <x:v>AT Protocol</x:v>
      </x:c>
      <x:c r="X16" s="346" t="str">
        <x:v>Nostr + Concord/NIP-29</x:v>
      </x:c>
      <x:c r="Y16" s="346" t="str">
        <x:v>Custom open protocol/code</x:v>
      </x:c>
      <x:c r="Z16" s="346" t="str">
        <x:v>Custom protocol</x:v>
      </x:c>
      <x:c r="AA16" s="380" t="str">
        <x:v>Proprietary</x:v>
      </x:c>
      <x:c r="AB16" s="346" t="str">
        <x:v>Application API/webhooks</x:v>
      </x:c>
      <x:c r="AC16" s="346" t="str">
        <x:v>Proprietary</x:v>
      </x:c>
      <x:c r="AD16" s="346" t="str">
        <x:v>Valour API/node protocol</x:v>
      </x:c>
      <x:c r="AE16" s="346" t="str">
        <x:v>Proprietary/application API</x:v>
      </x:c>
    </x:row>
    <x:row r="17" ht="36" customHeight="1">
      <x:c r="A17" s="359" t="str">
        <x:v>Discord API Compatibility</x:v>
      </x:c>
      <x:c r="B17" s="346" t="str">
        <x:v>No</x:v>
      </x:c>
      <x:c r="C17" s="346" t="str">
        <x:v>No</x:v>
      </x:c>
      <x:c r="D17" s="346" t="str">
        <x:v>No</x:v>
      </x:c>
      <x:c r="E17" s="346" t="str">
        <x:v>Partial Discord wire/API compatibility goals</x:v>
      </x:c>
      <x:c r="F17" s="346" t="str">
        <x:v>No</x:v>
      </x:c>
      <x:c r="G17" s="346" t="str">
        <x:v>No</x:v>
      </x:c>
      <x:c r="H17" s="346" t="str">
        <x:v>Yes - major design goal</x:v>
      </x:c>
      <x:c r="I17" s="346" t="str">
        <x:v>No</x:v>
      </x:c>
      <x:c r="J17" s="346" t="str">
        <x:v>No</x:v>
      </x:c>
      <x:c r="K17" s="346" t="str">
        <x:v>No</x:v>
      </x:c>
      <x:c r="L17" s="346" t="str">
        <x:v>No</x:v>
      </x:c>
      <x:c r="M17" s="346" t="str">
        <x:v>No</x:v>
      </x:c>
      <x:c r="N17" s="346" t="str">
        <x:v>No</x:v>
      </x:c>
      <x:c r="O17" s="346" t="str">
        <x:v>No</x:v>
      </x:c>
      <x:c r="P17" s="346" t="str">
        <x:v>No</x:v>
      </x:c>
      <x:c r="Q17" s="346" t="str">
        <x:v>Yes - Discord-like bot compatibility</x:v>
      </x:c>
      <x:c r="R17" s="346" t="str">
        <x:v>No</x:v>
      </x:c>
      <x:c r="S17" s="346" t="str">
        <x:v>No</x:v>
      </x:c>
      <x:c r="T17" s="346" t="str">
        <x:v>No</x:v>
      </x:c>
      <x:c r="U17" s="346" t="str">
        <x:v>No</x:v>
      </x:c>
      <x:c r="V17" s="346" t="str">
        <x:v>Yes</x:v>
      </x:c>
      <x:c r="W17" s="346" t="str">
        <x:v>No</x:v>
      </x:c>
      <x:c r="X17" s="346" t="str">
        <x:v>No</x:v>
      </x:c>
      <x:c r="Y17" s="346" t="str">
        <x:v>No</x:v>
      </x:c>
      <x:c r="Z17" s="346" t="str">
        <x:v>No</x:v>
      </x:c>
      <x:c r="AA17" s="380" t="str">
        <x:v>No</x:v>
      </x:c>
      <x:c r="AB17" s="346" t="str">
        <x:v>No</x:v>
      </x:c>
      <x:c r="AC17" s="346" t="str">
        <x:v>No</x:v>
      </x:c>
      <x:c r="AD17" s="346" t="str">
        <x:v>No</x:v>
      </x:c>
      <x:c r="AE17" s="346" t="str">
        <x:v>No</x:v>
      </x:c>
    </x:row>
    <x:row r="18" ht="36" customHeight="1">
      <x:c r="A18" s="359" t="str">
        <x:v>Open-Source Scope</x:v>
      </x:c>
      <x:c r="B18" s="346" t="str">
        <x:v>Closed-source core service/client</x:v>
      </x:c>
      <x:c r="C18" s="346" t="str">
        <x:v>Backend/web/self-host stack largely FOSS (AGPL-3.0; components vary)</x:v>
      </x:c>
      <x:c r="D18" s="346" t="str">
        <x:v>Closed source during alpha; full source release planned</x:v>
      </x:c>
      <x:c r="E18" s="346" t="str">
        <x:v>AGPL-3.0 open-source stack</x:v>
      </x:c>
      <x:c r="F18" s="346" t="str">
        <x:v>Closed-source core platform; developer SDK/API public</x:v>
      </x:c>
      <x:c r="G18" s="346" t="str">
        <x:v>Protocol/spec open; implementations vary; many are FOSS</x:v>
      </x:c>
      <x:c r="H18" s="346" t="str">
        <x:v>FOSS / AGPL-3.0 project</x:v>
      </x:c>
      <x:c r="I18" s="346" t="str">
        <x:v>BSD-style open source</x:v>
      </x:c>
      <x:c r="J18" s="346" t="str">
        <x:v>Proprietary core</x:v>
      </x:c>
      <x:c r="K18" s="346" t="str">
        <x:v>Apache-2.0 open source</x:v>
      </x:c>
      <x:c r="L18" s="346" t="str">
        <x:v>Open-source/community code plus commercial editions</x:v>
      </x:c>
      <x:c r="M18" s="346" t="str">
        <x:v>MIT/open-source core + enterprise portions</x:v>
      </x:c>
      <x:c r="N18" s="346" t="str">
        <x:v>Closed source</x:v>
      </x:c>
      <x:c r="O18" s="346" t="str">
        <x:v>Open-source client/server</x:v>
      </x:c>
      <x:c r="P18" s="346" t="str">
        <x:v>Mixed/partial open source</x:v>
      </x:c>
      <x:c r="Q18" s="346" t="str">
        <x:v>Open-source scope U/K/AGPL claims</x:v>
      </x:c>
      <x:c r="R18" s="346" t="str">
        <x:v>Backend open; client planned</x:v>
      </x:c>
      <x:c r="S18" s="346" t="str">
        <x:v>Open-source repository</x:v>
      </x:c>
      <x:c r="T18" s="346" t="str">
        <x:v>Closed source</x:v>
      </x:c>
      <x:c r="U18" s="346" t="str">
        <x:v>Closed/proprietary U/K</x:v>
      </x:c>
      <x:c r="V18" s="346" t="str">
        <x:v>Open source</x:v>
      </x:c>
      <x:c r="W18" s="346" t="str">
        <x:v>MPL-2.0 open source</x:v>
      </x:c>
      <x:c r="X18" s="346" t="str">
        <x:v>Open source</x:v>
      </x:c>
      <x:c r="Y18" s="346" t="str">
        <x:v>Open source</x:v>
      </x:c>
      <x:c r="Z18" s="346" t="str">
        <x:v>AGPL-3.0 open source</x:v>
      </x:c>
      <x:c r="AA18" s="380" t="str">
        <x:v>Closed source</x:v>
      </x:c>
      <x:c r="AB18" s="346" t="str">
        <x:v>AGPL</x:v>
      </x:c>
      <x:c r="AC18" s="346" t="str">
        <x:v>Closed source currently</x:v>
      </x:c>
      <x:c r="AD18" s="346" t="str">
        <x:v>AGPL-3.0 client/server</x:v>
      </x:c>
      <x:c r="AE18" s="346" t="str">
        <x:v>Source-available</x:v>
      </x:c>
    </x:row>
    <x:row r="19" ht="36" customHeight="1">
      <x:c r="A19" s="359" t="str">
        <x:v>Governance / Stewardship</x:v>
      </x:c>
      <x:c r="B19" s="346" t="str">
        <x:v>Discord Inc.</x:v>
      </x:c>
      <x:c r="C19" s="346" t="str">
        <x:v>Stoat open-source project/team</x:v>
      </x:c>
      <x:c r="D19" s="346" t="str">
        <x:v>Fenrid LLC / founder-led</x:v>
      </x:c>
      <x:c r="E19" s="346" t="str">
        <x:v>Fluxer Platform AB + OSS contributors</x:v>
      </x:c>
      <x:c r="F19" s="346" t="str">
        <x:v>Root Communications, Inc.</x:v>
      </x:c>
      <x:c r="G19" s="346" t="str">
        <x:v>Matrix.org Foundation + independent ecosystem</x:v>
      </x:c>
      <x:c r="H19" s="346" t="str">
        <x:v>Volunteer Spacebar project</x:v>
      </x:c>
      <x:c r="I19" s="346" t="str">
        <x:v>Mumble open-source community</x:v>
      </x:c>
      <x:c r="J19" s="346" t="str">
        <x:v>TeamSpeak commercial company</x:v>
      </x:c>
      <x:c r="K19" s="346" t="str">
        <x:v>Kandra Labs / Zulip community</x:v>
      </x:c>
      <x:c r="L19" s="346" t="str">
        <x:v>Mattermost, Inc. + community</x:v>
      </x:c>
      <x:c r="M19" s="346" t="str">
        <x:v>Rocket.Chat company + community</x:v>
      </x:c>
      <x:c r="N19" s="346" t="str">
        <x:v>LightSpeed Gaming LLC</x:v>
      </x:c>
      <x:c r="O19" s="346" t="str">
        <x:v>Nerimity maintainer/community</x:v>
      </x:c>
      <x:c r="P19" s="346" t="str">
        <x:v>Osmium team/company</x:v>
      </x:c>
      <x:c r="Q19" s="346" t="str">
        <x:v>Loqa project/team</x:v>
      </x:c>
      <x:c r="R19" s="346" t="str">
        <x:v>AlpineBits/Venta team</x:v>
      </x:c>
      <x:c r="S19" s="346" t="str">
        <x:v>Mezon team/company</x:v>
      </x:c>
      <x:c r="T19" s="346" t="str">
        <x:v>Kloak team</x:v>
      </x:c>
      <x:c r="U19" s="346" t="str">
        <x:v>Yapper team (Portugal)</x:v>
      </x:c>
      <x:c r="V19" s="346" t="str">
        <x:v>MelodyChat community</x:v>
      </x:c>
      <x:c r="W19" s="346" t="str">
        <x:v>Muni Town / open-source contributors</x:v>
      </x:c>
      <x:c r="X19" s="346" t="str">
        <x:v>Soapbox/Armada contributors</x:v>
      </x:c>
      <x:c r="Y19" s="346" t="str">
        <x:v>Solo developer</x:v>
      </x:c>
      <x:c r="Z19" s="346" t="str">
        <x:v>DCTS project/maintainer</x:v>
      </x:c>
      <x:c r="AA19" s="380" t="str">
        <x:v>Rift Communications LLC</x:v>
      </x:c>
      <x:c r="AB19" s="346" t="str">
        <x:v>pqp project</x:v>
      </x:c>
      <x:c r="AC19" s="346" t="str">
        <x:v>Small Canadian team</x:v>
      </x:c>
      <x:c r="AD19" s="346" t="str">
        <x:v>Valour Software LLC/volunteers</x:v>
      </x:c>
      <x:c r="AE19" s="346" t="str">
        <x:v>Solo developer</x:v>
      </x:c>
    </x:row>
    <x:row r="20" ht="36" customHeight="1">
      <x:c r="A20" s="360" t="str">
        <x:v>Important Model Distinction</x:v>
      </x:c>
      <x:c r="B20" s="349" t="str">
        <x:v>One vendor controls service, accounts, official clients, and server backend.</x:v>
      </x:c>
      <x:c r="C20" s="349" t="str">
        <x:v>Self-hostable does not mean federated: separate Stoat instances do not automatically interoperate.</x:v>
      </x:c>
      <x:c r="D20" s="349" t="str">
        <x:v>Privacy features are product-level, but it is currently a centralized service rather than a federated protocol.</x:v>
      </x:c>
      <x:c r="E20" s="349" t="str">
        <x:v>Self-hosting exists now; federation is a separate roadmap item and should not be assumed.</x:v>
      </x:c>
      <x:c r="F20" s="349" t="str">
        <x:v>Apps/Bots are hosted inside Root; they extend Root but do not make it self-hosted/federated.</x:v>
      </x:c>
      <x:c r="G20" s="349" t="str">
        <x:v>Element is a Matrix client/vendor product. Matrix itself is the protocol and federated ecosystem.</x:v>
      </x:c>
      <x:c r="H20" s="349" t="str">
        <x:v>Spacebar reproduces Discord's client-server API model; it is not a federated network.</x:v>
      </x:c>
      <x:c r="I20" s="349" t="str">
        <x:v>A voice-first client/server system, not a Discord-style social platform.</x:v>
      </x:c>
      <x:c r="J20" s="349" t="str">
        <x:v>Server ownership can be independent, but TeamSpeak servers do not federate into one network.</x:v>
      </x:c>
      <x:c r="K20" s="349" t="str">
        <x:v>Multiple deployments are independent; Zulip is an application, not a federated protocol.</x:v>
      </x:c>
      <x:c r="L20" s="349" t="str">
        <x:v>Self-hosting gives data control, but separate Mattermost deployments are not one interoperable federation.</x:v>
      </x:c>
      <x:c r="M20" s="349" t="str">
        <x:v>Federation exists, but its feature set is narrower than local rooms and differs from Matrix-as-a-platform.</x:v>
      </x:c>
      <x:c r="N20" s="349" t="str">
        <x:v>Self-hosting exists, but instances are not documented as one federated network.</x:v>
      </x:c>
      <x:c r="O20" s="349" t="str">
        <x:v>Open source does not imply federation; the official project discourages self-hosting as a normal deployment model.</x:v>
      </x:c>
      <x:c r="P20" s="349" t="str">
        <x:v>Regional distribution is not federation or self-hosting.</x:v>
      </x:c>
      <x:c r="Q20" s="349" t="str">
        <x:v>Unlike a purely centralized clone, Loqa explicitly targets federation/self-hosting, but the architecture is still evolving.</x:v>
      </x:c>
      <x:c r="R20" s="349" t="str">
        <x:v>Current product and intended future architecture differ; federation/self-hosting should be marked in-progress, not assumed complete.</x:v>
      </x:c>
      <x:c r="S20" s="349" t="str">
        <x:v>Open source code does not by itself make Mezon a federated protocol like Matrix.</x:v>
      </x:c>
      <x:c r="T20" s="349" t="str">
        <x:v>Privacy-minimal account design is distinct from decentralization/self-hosting.</x:v>
      </x:c>
      <x:c r="U20" s="349" t="str">
        <x:v>Like TeamSpeak, operator owns the server; unlike Matrix, servers are not documented as federated.</x:v>
      </x:c>
      <x:c r="V20" s="349" t="str">
        <x:v>Harmony is the platform/API; Fermi is a client. This mirrors the Matrix/Element distinction conceptually, though Harmony is not Matrix.</x:v>
      </x:c>
      <x:c r="W20" s="349" t="str">
        <x:v>Roomy is an ATProto application, not a generic centralized Discord clone.</x:v>
      </x:c>
      <x:c r="X20" s="349" t="str">
        <x:v>Armada separates identity/content from a single platform host: keys are the account and relays are replaceable transport.</x:v>
      </x:c>
      <x:c r="Y20" s="349" t="str">
        <x:v>There is no central account database: the user's keypair is the identity and message history lives locally.</x:v>
      </x:c>
      <x:c r="Z20" s="349" t="str">
        <x:v>DCTS combines island-like community servers with a separate cross-server encrypted messenger.</x:v>
      </x:c>
      <x:c r="AA20" s="381" t="str">
        <x:v>Privacy policy choices (no email/phone/ID, EXIF stripping, no AI training) operate within a centralized service model.</x:v>
      </x:c>
      <x:c r="AB20" s="349" t="str">
        <x:v>Self-hosting provides ownership, but instances are not one federated network.</x:v>
      </x:c>
      <x:c r="AC20" s="349" t="str">
        <x:v>Familiar Discord-style UX on a centralized service.</x:v>
      </x:c>
      <x:c r="AD20" s="349" t="str">
        <x:v>Valour is one open-source platform/client-server stack, not a general protocol ecosystem like Matrix.</x:v>
      </x:c>
      <x:c r="AE20" s="349" t="str">
        <x:v>Weered intentionally uses game lobbies/rooms rather than cloning Discord's server/channel information architecture.</x:v>
      </x:c>
    </x:row>
    <x:row r="21" ht="23" customHeight="1">
      <x:c r="A21" s="389" t="str">
        <x:v>Operational Ecosystem</x:v>
      </x:c>
      <x:c r="B21" s="389"/>
      <x:c r="C21" s="389"/>
      <x:c r="D21" s="389"/>
      <x:c r="E21" s="389"/>
      <x:c r="F21" s="389"/>
      <x:c r="G21" s="389"/>
      <x:c r="H21" s="389"/>
      <x:c r="I21" s="389"/>
      <x:c r="J21" s="389"/>
      <x:c r="K21" s="389"/>
      <x:c r="L21" s="389"/>
      <x:c r="M21" s="389"/>
      <x:c r="N21" s="389"/>
      <x:c r="O21" s="389"/>
      <x:c r="P21" s="389"/>
      <x:c r="Q21" s="389"/>
      <x:c r="R21" s="389"/>
      <x:c r="S21" s="389"/>
      <x:c r="T21" s="389"/>
      <x:c r="U21" s="389"/>
      <x:c r="V21" s="389"/>
      <x:c r="W21" s="389"/>
      <x:c r="X21" s="389"/>
      <x:c r="Y21" s="389"/>
      <x:c r="Z21" s="389"/>
      <x:c r="AA21" s="389"/>
      <x:c r="AB21" s="389"/>
      <x:c r="AC21" s="389"/>
      <x:c r="AD21" s="389"/>
      <x:c r="AE21" s="389"/>
    </x:row>
    <x:row r="22" ht="36" customHeight="1">
      <x:c r="A22" s="378" t="str">
        <x:v>Central Account Required for Hosted Service</x:v>
      </x:c>
      <x:c r="B22" s="346" t="str">
        <x:v>Yes</x:v>
      </x:c>
      <x:c r="C22" s="346" t="str">
        <x:v>Hosted account or self-host operator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Provider/homeserver account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Yes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78" t="str">
        <x:v>Custom Domain / Branded Deployment</x:v>
      </x:c>
      <x:c r="B23" s="346" t="str">
        <x:v>No</x:v>
      </x:c>
      <x:c r="C23" s="346" t="str">
        <x:v>U/K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Yes - self-hosted</x:v>
      </x:c>
      <x:c r="L23" s="346" t="str">
        <x:v>Yes - self-hosted</x:v>
      </x:c>
      <x:c r="M23" s="346" t="str">
        <x:v>Yes - self-managed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No public self-hosting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36" customHeight="1">
      <x:c r="A24" s="378" t="str">
        <x:v>Cross-Platform Bridge Ecosystem</x:v>
      </x:c>
      <x:c r="B24" s="346" t="str">
        <x:v>Third-party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Extensive bridge ecosystem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IRC/Jabber mirrors/integrations</x:v>
      </x:c>
      <x:c r="L24" s="346" t="str">
        <x:v>Integrations/plugins</x:v>
      </x:c>
      <x:c r="M24" s="346" t="str">
        <x:v>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Webhooks/import; cross-network bridge U/K</x:v>
      </x:c>
      <x:c r="AB24" s="346" t="str">
        <x:v>U/K</x:v>
      </x:c>
      <x:c r="AC24" s="346" t="str">
        <x:v>U/K</x:v>
      </x:c>
      <x:c r="AD24" s="346" t="str">
        <x:v>U/K</x:v>
      </x:c>
      <x:c r="AE24" s="346" t="str">
        <x:v>U/K</x:v>
      </x:c>
    </x:row>
  </x:sheetData>
  <x:mergeCells>
    <x:mergeCell ref="A1:AE1"/>
  </x:mergeCells>
  <x:conditionalFormatting sqref="B3:AE20">
    <x:cfRule type="expression" dxfId="56" priority="1">
      <x:formula>ISNUMBER(SEARCH("U/K",B3))</x:formula>
    </x:cfRule>
    <x:cfRule type="expression" dxfId="57" priority="2">
      <x:formula>OR(B3="N/A",LEFT(B3,4)="N/A ")</x:formula>
    </x:cfRule>
  </x:conditionalFormatting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Architecture &amp; Licensing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Hosting Architecture (Centralized / Federated / Self-Hosted / P2P)</x:v>
      </x:c>
      <x:c r="B3" s="344" t="str">
        <x:v>Centralized cloud service</x:v>
      </x:c>
      <x:c r="C3" s="344" t="str">
        <x:v>Hosted service + self-hostable independent instances</x:v>
      </x:c>
      <x:c r="D3" s="344" t="str">
        <x:v>Centralized hosted-first service</x:v>
      </x:c>
      <x:c r="E3" s="344" t="str">
        <x:v>Hosted service + self-hostable independent instances</x:v>
      </x:c>
      <x:c r="F3" s="344" t="str">
        <x:v>Centralized hosted service</x:v>
      </x:c>
      <x:c r="G3" s="344" t="str">
        <x:v>Federated protocol/ecosystem; self-hosted or hosted homeservers</x:v>
      </x:c>
      <x:c r="H3" s="344" t="str">
        <x:v>Self-hosted independent Discord-compatible service</x:v>
      </x:c>
      <x:c r="I3" s="344" t="str">
        <x:v>Self-hosted client-server; third-party hosted servers available</x:v>
      </x:c>
      <x:c r="J3" s="344" t="str">
        <x:v>Self-hosted/hosted client-server</x:v>
      </x:c>
      <x:c r="K3" s="345" t="str">
        <x:v>Hosted cloud + self-hosted standalone servers</x:v>
      </x:c>
      <x:c r="L3" s="346" t="str">
        <x:v>Cloud + self-hosted/on-prem standalone workspaces</x:v>
      </x:c>
      <x:c r="M3" s="346" t="str">
        <x:v>Cloud + self-hosted/on-prem; optional federation</x:v>
      </x:c>
      <x:c r="N3" s="346" t="str">
        <x:v>Hosted + self-hosted</x:v>
      </x:c>
      <x:c r="O3" s="346" t="str">
        <x:v>Centralized hosted service; technically self-hostable but not intended/supported</x:v>
      </x:c>
      <x:c r="P3" s="346" t="str">
        <x:v>Centralized globally distributed/regional service</x:v>
      </x:c>
      <x:c r="Q3" s="346" t="str">
        <x:v>Hosted + self-hosting option; federation-oriented</x:v>
      </x:c>
      <x:c r="R3" s="346" t="str">
        <x:v>Hosted now; self-hosting/federation being built</x:v>
      </x:c>
      <x:c r="S3" s="346" t="str">
        <x:v>Hosted platform; self-host status U/K</x:v>
      </x:c>
      <x:c r="T3" s="346" t="str">
        <x:v>Centralized hosted service</x:v>
      </x:c>
      <x:c r="U3" s="346" t="str">
        <x:v>Self-hosted first + optional managed hosting</x:v>
      </x:c>
      <x:c r="V3" s="346" t="str">
        <x:v>Self-hostable Discord-compatible service</x:v>
      </x:c>
      <x:c r="W3" s="346" t="str">
        <x:v>ATProto/Bluesky-connected distributed application</x:v>
      </x:c>
      <x:c r="X3" s="346" t="str">
        <x:v>Serverless-by-default Nostr/relay network; optional relay-backed communities</x:v>
      </x:c>
      <x:c r="Y3" s="346" t="str">
        <x:v>Distributed local-first relay-based; self-hostable relay</x:v>
      </x:c>
      <x:c r="Z3" s="346" t="str">
        <x:v>Self-hosted only; decentralized home-server messenger</x:v>
      </x:c>
      <x:c r="AA3" s="380" t="str">
        <x:v>Centralized hosted service</x:v>
      </x:c>
      <x:c r="AB3" s="346" t="str">
        <x:v>Hosted service + self-host</x:v>
      </x:c>
      <x:c r="AC3" s="346" t="str">
        <x:v>Centralized hosted service</x:v>
      </x:c>
      <x:c r="AD3" s="346" t="str">
        <x:v>Hosted + self-hostable node-based platform</x:v>
      </x:c>
      <x:c r="AE3" s="414" t="str">
        <x:v>Centralized hosted platform</x:v>
      </x:c>
    </x:row>
    <x:row r="4" ht="36" customHeight="1">
      <x:c r="A4" s="358" t="str">
        <x:v>Federation / Network Protocol</x:v>
      </x:c>
      <x:c r="B4" s="344" t="str">
        <x:v>No federation; centralized proprietary service (public HTTP/Gateway APIs for apps)</x:v>
      </x:c>
      <x:c r="C4" s="344" t="str">
        <x:v>No inter-instance federation; custom REST/WebSocket API</x:v>
      </x:c>
      <x:c r="D4" s="344" t="str">
        <x:v>No federation; custom platform APIs</x:v>
      </x:c>
      <x:c r="E4" s="344" t="str">
        <x:v>No federation yet; federation on roadmap; Discord-inspired REST/Gateway</x:v>
      </x:c>
      <x:c r="F4" s="344" t="str">
        <x:v>No federation; proprietary Root APIs</x:v>
      </x:c>
      <x:c r="G4" s="344" t="str">
        <x:v>Matrix Client-Server API + Server-Server/Federation API; MatrixRTC for realtime calling</x:v>
      </x:c>
      <x:c r="H4" s="344" t="str">
        <x:v>Discord-compatible REST API + Gateway/WebSocket; no federation</x:v>
      </x:c>
      <x:c r="I4" s="344" t="str">
        <x:v>Mumble protocol over TLS/UDP; no federation</x:v>
      </x:c>
      <x:c r="J4" s="344" t="str">
        <x:v>Proprietary TeamSpeak protocol; no federation</x:v>
      </x:c>
      <x:c r="K4" s="345" t="str">
        <x:v>Zulip REST/realtime event API; no cross-server federation</x:v>
      </x:c>
      <x:c r="L4" s="346" t="str">
        <x:v>Mattermost APIs/WebSocket; no general cross-server federation</x:v>
      </x:c>
      <x:c r="M4" s="346" t="str">
        <x:v>REST/WebSocket/DDP + Matrix-based federation capabilities</x:v>
      </x:c>
      <x:c r="N4" s="346" t="str">
        <x:v>Centralized/independent servers; no federation verified</x:v>
      </x:c>
      <x:c r="O4" s="346" t="str">
        <x:v>No federation</x:v>
      </x:c>
      <x:c r="P4" s="346" t="str">
        <x:v>No federation verified</x:v>
      </x:c>
      <x:c r="Q4" s="346" t="str">
        <x:v>Federated infrastructure planned/implemented in evolving form</x:v>
      </x:c>
      <x:c r="R4" s="346" t="str">
        <x:v>Custom federation protocol in development</x:v>
      </x:c>
      <x:c r="S4" s="346" t="str">
        <x:v>Custom high-performance stack; federation U/K</x:v>
      </x:c>
      <x:c r="T4" s="346" t="str">
        <x:v>No federation verified</x:v>
      </x:c>
      <x:c r="U4" s="346" t="str">
        <x:v>Independent servers; no federation verified</x:v>
      </x:c>
      <x:c r="V4" s="346" t="str">
        <x:v>Discord-like API; federation planned</x:v>
      </x:c>
      <x:c r="W4" s="346" t="str">
        <x:v>ATProto-based data model; not a Matrix-style chat federation</x:v>
      </x:c>
      <x:c r="X4" s="346" t="str">
        <x:v>Nostr + Concord + NIP-29 relay groups</x:v>
      </x:c>
      <x:c r="Y4" s="346" t="str">
        <x:v>Custom relay protocol + CRDT sync; no central account server</x:v>
      </x:c>
      <x:c r="Z4" s="346" t="str">
        <x:v>Custom server protocol/WebSockets; federation/decentralization features</x:v>
      </x:c>
      <x:c r="AA4" s="380" t="str">
        <x:v>No federation</x:v>
      </x:c>
      <x:c r="AB4" s="346" t="str">
        <x:v>No federation; independent self-host copies</x:v>
      </x:c>
      <x:c r="AC4" s="346" t="str">
        <x:v>No federation</x:v>
      </x:c>
      <x:c r="AD4" s="346" t="str">
        <x:v>Independent instances/nodes; federation/migration features</x:v>
      </x:c>
      <x:c r="AE4" s="414" t="str">
        <x:v>No federation</x:v>
      </x:c>
    </x:row>
    <x:row r="5" ht="36" customHeight="1">
      <x:c r="A5" s="358" t="str">
        <x:v>Client License (FOSS / Proprietary)</x:v>
      </x:c>
      <x:c r="B5" s="344" t="str">
        <x:v>Proprietary</x:v>
      </x:c>
      <x:c r="C5" s="344" t="str">
        <x:v>FOSS (web client AGPL-3.0; clients vary)</x:v>
      </x:c>
      <x:c r="D5" s="344" t="str">
        <x:v>Proprietary during alpha; open-source release planned</x:v>
      </x:c>
      <x:c r="E5" s="344" t="str">
        <x:v>FOSS (AGPL-3.0)</x:v>
      </x:c>
      <x:c r="F5" s="344" t="str">
        <x:v>Proprietary</x:v>
      </x:c>
      <x:c r="G5" s="344" t="str">
        <x:v>Varies by client; many FOSS (e.g., Element, Element X, Cinny)</x:v>
      </x:c>
      <x:c r="H5" s="344" t="str">
        <x:v>FOSS (AGPL-3.0 project components)</x:v>
      </x:c>
      <x:c r="I5" s="344" t="str">
        <x:v>FOSS (BSD-style / BSD-3-Clause)</x:v>
      </x:c>
      <x:c r="J5" s="344" t="str">
        <x:v>Proprietary</x:v>
      </x:c>
      <x:c r="K5" s="345" t="str">
        <x:v>FOSS (Apache-2.0)</x:v>
      </x:c>
      <x:c r="L5" s="346" t="str">
        <x:v>FOSS/open-source clients; exact repo license varies</x:v>
      </x:c>
      <x:c r="M5" s="346" t="str">
        <x:v>FOSS core client; MIT components / enterprise extensions</x:v>
      </x:c>
      <x:c r="N5" s="346" t="str">
        <x:v>Proprietary</x:v>
      </x:c>
      <x:c r="O5" s="346" t="str">
        <x:v>FOSS GPL-family components</x:v>
      </x:c>
      <x:c r="P5" s="346" t="str">
        <x:v>Proprietary client / source status mixed</x:v>
      </x:c>
      <x:c r="Q5" s="346" t="str">
        <x:v>Client license U/K</x:v>
      </x:c>
      <x:c r="R5" s="346" t="str">
        <x:v>Client source planned; not yet fully public</x:v>
      </x:c>
      <x:c r="S5" s="346" t="str">
        <x:v>Open-source client code</x:v>
      </x:c>
      <x:c r="T5" s="346" t="str">
        <x:v>Proprietary</x:v>
      </x:c>
      <x:c r="U5" s="346" t="str">
        <x:v>Proprietary client/service license U/K</x:v>
      </x:c>
      <x:c r="V5" s="346" t="str">
        <x:v>Fermi client AGPL-3.0</x:v>
      </x:c>
      <x:c r="W5" s="346" t="str">
        <x:v>MPL-2.0 project</x:v>
      </x:c>
      <x:c r="X5" s="346" t="str">
        <x:v>Open source</x:v>
      </x:c>
      <x:c r="Y5" s="346" t="str">
        <x:v>Open source</x:v>
      </x:c>
      <x:c r="Z5" s="346" t="str">
        <x:v>FOSS AGPL-3.0</x:v>
      </x:c>
      <x:c r="AA5" s="380" t="str">
        <x:v>Proprietary</x:v>
      </x:c>
      <x:c r="AB5" s="346" t="str">
        <x:v>AGPL open source</x:v>
      </x:c>
      <x:c r="AC5" s="346" t="str">
        <x:v>Proprietary</x:v>
      </x:c>
      <x:c r="AD5" s="346" t="str">
        <x:v>AGPL-3.0</x:v>
      </x:c>
      <x:c r="AE5" s="414" t="str">
        <x:v>Source-available client/server U/K</x:v>
      </x:c>
    </x:row>
    <x:row r="6" ht="36" customHeight="1">
      <x:c r="A6" s="358" t="str">
        <x:v>Server License (FOSS / Proprietary)</x:v>
      </x:c>
      <x:c r="B6" s="344" t="str">
        <x:v>Proprietary</x:v>
      </x:c>
      <x:c r="C6" s="344" t="str">
        <x:v>FOSS (backend generally AGPL-3.0)</x:v>
      </x:c>
      <x:c r="D6" s="344" t="str">
        <x:v>Proprietary during alpha; open-source release planned</x:v>
      </x:c>
      <x:c r="E6" s="344" t="str">
        <x:v>FOSS (AGPL-3.0)</x:v>
      </x:c>
      <x:c r="F6" s="344" t="str">
        <x:v>Proprietary</x:v>
      </x:c>
      <x:c r="G6" s="344" t="str">
        <x:v>Varies by homeserver; Synapse is AGPLv3/commercial dual model</x:v>
      </x:c>
      <x:c r="H6" s="344" t="str">
        <x:v>FOSS (AGPL-3.0)</x:v>
      </x:c>
      <x:c r="I6" s="344" t="str">
        <x:v>FOSS (BSD-style / BSD-3-Clause)</x:v>
      </x:c>
      <x:c r="J6" s="344" t="str">
        <x:v>Proprietary</x:v>
      </x:c>
      <x:c r="K6" s="345" t="str">
        <x:v>FOSS (Apache-2.0 server/web app)</x:v>
      </x:c>
      <x:c r="L6" s="346" t="str">
        <x:v>Open source Team Edition / AGPL-source plus commercial Enterprise editions</x:v>
      </x:c>
      <x:c r="M6" s="346" t="str">
        <x:v>FOSS core (MIT) + enterprise-licensed portions</x:v>
      </x:c>
      <x:c r="N6" s="346" t="str">
        <x:v>Proprietary</x:v>
      </x:c>
      <x:c r="O6" s="346" t="str">
        <x:v>FOSS GPL-3.0 server/web components</x:v>
      </x:c>
      <x:c r="P6" s="346" t="str">
        <x:v>Server components partly open-source; exact scope U/K</x:v>
      </x:c>
      <x:c r="Q6" s="346" t="str">
        <x:v>AGPL/open-source claims; exact current scope U/K</x:v>
      </x:c>
      <x:c r="R6" s="346" t="str">
        <x:v>Backend source public</x:v>
      </x:c>
      <x:c r="S6" s="346" t="str">
        <x:v>Open-source server stack/components</x:v>
      </x:c>
      <x:c r="T6" s="346" t="str">
        <x:v>Proprietary</x:v>
      </x:c>
      <x:c r="U6" s="346" t="str">
        <x:v>Proprietary licensed server U/K</x:v>
      </x:c>
      <x:c r="V6" s="346" t="str">
        <x:v>Harmony server FOSS (Codeberg); exact license U/K</x:v>
      </x:c>
      <x:c r="W6" s="346" t="str">
        <x:v>MPL-2.0 project/server components</x:v>
      </x:c>
      <x:c r="X6" s="346" t="str">
        <x:v>Open source/protocol components</x:v>
      </x:c>
      <x:c r="Y6" s="346" t="str">
        <x:v>Open source relay/server</x:v>
      </x:c>
      <x:c r="Z6" s="346" t="str">
        <x:v>FOSS AGPL-3.0</x:v>
      </x:c>
      <x:c r="AA6" s="380" t="str">
        <x:v>Proprietary</x:v>
      </x:c>
      <x:c r="AB6" s="346" t="str">
        <x:v>AGPL open source</x:v>
      </x:c>
      <x:c r="AC6" s="346" t="str">
        <x:v>Proprietary Rust backend</x:v>
      </x:c>
      <x:c r="AD6" s="346" t="str">
        <x:v>AGPL-3.0</x:v>
      </x:c>
      <x:c r="AE6" s="414" t="str">
        <x:v>Source-available</x:v>
      </x:c>
    </x:row>
    <x:row r="7" ht="36" customHeight="1">
      <x:c r="A7" s="358" t="str">
        <x:v>Client Repo URL</x:v>
      </x:c>
      <x:c r="B7" s="344" t="str">
        <x:v>N/A - no public core client source repository</x:v>
      </x:c>
      <x:c r="C7" s="344" t="str">
        <x:v>https://github.com/stoatchat/for-web</x:v>
      </x:c>
      <x:c r="D7" s="344" t="str">
        <x:v>N/A - not public yet</x:v>
      </x:c>
      <x:c r="E7" s="344" t="str">
        <x:v>https://github.com/fluxerapp/fluxer</x:v>
      </x:c>
      <x:c r="F7" s="344" t="str">
        <x:v>N/A</x:v>
      </x:c>
      <x:c r="G7" s="344" t="str">
        <x:v>No single client repo - clients are separate implementations</x:v>
      </x:c>
      <x:c r="H7" s="344" t="str">
        <x:v>https://github.com/spacebarchat/client</x:v>
      </x:c>
      <x:c r="I7" s="344" t="str">
        <x:v>https://github.com/mumble-voip/mumble</x:v>
      </x:c>
      <x:c r="J7" s="344" t="str">
        <x:v>N/A</x:v>
      </x:c>
      <x:c r="K7" s="345" t="str">
        <x:v>https://github.com/zulip/zulip-desktop</x:v>
      </x:c>
      <x:c r="L7" s="346" t="str">
        <x:v>https://github.com/mattermost/mattermost-desktop</x:v>
      </x:c>
      <x:c r="M7" s="346" t="str">
        <x:v>https://github.com/RocketChat/Rocket.Chat.Electron</x:v>
      </x:c>
      <x:c r="N7" s="346" t="str">
        <x:v>N/A</x:v>
      </x:c>
      <x:c r="O7" s="346" t="str">
        <x:v>https://github.com/Nerimity/nerimity-web</x:v>
      </x:c>
      <x:c r="P7" s="346" t="str">
        <x:v>N/A/U/K</x:v>
      </x:c>
      <x:c r="Q7" s="346" t="str">
        <x:v>U/K</x:v>
      </x:c>
      <x:c r="R7" s="346" t="str">
        <x:v>Client repo U/K</x:v>
      </x:c>
      <x:c r="S7" s="346" t="str">
        <x:v>https://github.com/mezonai/mezon</x:v>
      </x:c>
      <x:c r="T7" s="346" t="str">
        <x:v>N/A</x:v>
      </x:c>
      <x:c r="U7" s="346" t="str">
        <x:v>N/A/U/K</x:v>
      </x:c>
      <x:c r="V7" s="346" t="str">
        <x:v>https://codeberg.org/MelodyChat/Fermi</x:v>
      </x:c>
      <x:c r="W7" s="346" t="str">
        <x:v>https://github.com/muni-town/roomy</x:v>
      </x:c>
      <x:c r="X7" s="346" t="str">
        <x:v>https://github.com/soapbox-pub/armada</x:v>
      </x:c>
      <x:c r="Y7" s="346" t="str">
        <x:v>https://github.com/VitalikPro13/HOLLOW</x:v>
      </x:c>
      <x:c r="Z7" s="346" t="str">
        <x:v>https://github.com/hackthedev/dcts-shipping</x:v>
      </x:c>
      <x:c r="AA7" s="380" t="str">
        <x:v>N/A</x:v>
      </x:c>
      <x:c r="AB7" s="346" t="str">
        <x:v>https://github.com/rafaelcg/pqp</x:v>
      </x:c>
      <x:c r="AC7" s="346" t="str">
        <x:v>N/A</x:v>
      </x:c>
      <x:c r="AD7" s="346" t="str">
        <x:v>https://github.com/Valour-Software/Valour</x:v>
      </x:c>
      <x:c r="AE7" s="414" t="str">
        <x:v>https://github.com/Weeredjs/Weered</x:v>
      </x:c>
    </x:row>
    <x:row r="8" ht="36" customHeight="1">
      <x:c r="A8" s="358" t="str">
        <x:v>Server Repo URL</x:v>
      </x:c>
      <x:c r="B8" s="344" t="str">
        <x:v>N/A - no public core server source repository</x:v>
      </x:c>
      <x:c r="C8" s="344" t="str">
        <x:v>https://github.com/stoatchat/stoatchat</x:v>
      </x:c>
      <x:c r="D8" s="344" t="str">
        <x:v>N/A - not public yet</x:v>
      </x:c>
      <x:c r="E8" s="344" t="str">
        <x:v>https://github.com/fluxerapp/fluxer</x:v>
      </x:c>
      <x:c r="F8" s="344" t="str">
        <x:v>N/A</x:v>
      </x:c>
      <x:c r="G8" s="344" t="str">
        <x:v>No single server repo - Synapse, Dendrite/others implement Matrix</x:v>
      </x:c>
      <x:c r="H8" s="344" t="str">
        <x:v>https://github.com/spacebarchat/server</x:v>
      </x:c>
      <x:c r="I8" s="344" t="str">
        <x:v>https://github.com/mumble-voip/mumble</x:v>
      </x:c>
      <x:c r="J8" s="344" t="str">
        <x:v>N/A</x:v>
      </x:c>
      <x:c r="K8" s="345" t="str">
        <x:v>https://github.com/zulip/zulip</x:v>
      </x:c>
      <x:c r="L8" s="346" t="str">
        <x:v>https://github.com/mattermost/mattermost</x:v>
      </x:c>
      <x:c r="M8" s="346" t="str">
        <x:v>https://github.com/RocketChat/Rocket.Chat</x:v>
      </x:c>
      <x:c r="N8" s="346" t="str">
        <x:v>N/A</x:v>
      </x:c>
      <x:c r="O8" s="346" t="str">
        <x:v>https://github.com/Nerimity/nerimity-server</x:v>
      </x:c>
      <x:c r="P8" s="346" t="str">
        <x:v>U/K</x:v>
      </x:c>
      <x:c r="Q8" s="346" t="str">
        <x:v>U/K</x:v>
      </x:c>
      <x:c r="R8" s="346" t="str">
        <x:v>https://github.com/AlpineBits-ch/AlpineBackend</x:v>
      </x:c>
      <x:c r="S8" s="346" t="str">
        <x:v>https://github.com/mezonai/mezon</x:v>
      </x:c>
      <x:c r="T8" s="346" t="str">
        <x:v>N/A</x:v>
      </x:c>
      <x:c r="U8" s="346" t="str">
        <x:v>N/A/U/K</x:v>
      </x:c>
      <x:c r="V8" s="346" t="str">
        <x:v>https://codeberg.org/MelodyChat/Harmony</x:v>
      </x:c>
      <x:c r="W8" s="346" t="str">
        <x:v>https://github.com/muni-town/roomy</x:v>
      </x:c>
      <x:c r="X8" s="346" t="str">
        <x:v>https://github.com/soapbox-pub/armada</x:v>
      </x:c>
      <x:c r="Y8" s="346" t="str">
        <x:v>https://github.com/VitalikPro13/HOLLOW</x:v>
      </x:c>
      <x:c r="Z8" s="346" t="str">
        <x:v>https://github.com/hackthedev/dcts-shipping</x:v>
      </x:c>
      <x:c r="AA8" s="380" t="str">
        <x:v>N/A</x:v>
      </x:c>
      <x:c r="AB8" s="346" t="str">
        <x:v>https://github.com/rafaelcg/pqp</x:v>
      </x:c>
      <x:c r="AC8" s="346" t="str">
        <x:v>N/A</x:v>
      </x:c>
      <x:c r="AD8" s="346" t="str">
        <x:v>https://github.com/Valour-Software/Valour</x:v>
      </x:c>
      <x:c r="AE8" s="414" t="str">
        <x:v>https://github.com/Weeredjs/Weered</x:v>
      </x:c>
    </x:row>
    <x:row r="9" ht="36" customHeight="1">
      <x:c r="A9" s="358" t="str">
        <x:v>Self-Hosting Setup Difficulty (1–5)</x:v>
      </x:c>
      <x:c r="B9" s="344" t="str">
        <x:v>N/A - official self-hosting unsupported</x:v>
      </x:c>
      <x:c r="C9" s="344" t="str">
        <x:v>4/5</x:v>
      </x:c>
      <x:c r="D9" s="344" t="str">
        <x:v>N/A - self-hosting not currently offered</x:v>
      </x:c>
      <x:c r="E9" s="344" t="str">
        <x:v>3/5</x:v>
      </x:c>
      <x:c r="F9" s="344" t="str">
        <x:v>N/A - no self-hosting</x:v>
      </x:c>
      <x:c r="G9" s="344" t="str">
        <x:v>4/5 (implementation-dependent)</x:v>
      </x:c>
      <x:c r="H9" s="344" t="str">
        <x:v>4/5</x:v>
      </x:c>
      <x:c r="I9" s="344" t="str">
        <x:v>2/5</x:v>
      </x:c>
      <x:c r="J9" s="344" t="str">
        <x:v>2/5</x:v>
      </x:c>
      <x:c r="K9" s="345" t="str">
        <x:v>3/5</x:v>
      </x:c>
      <x:c r="L9" s="346" t="str">
        <x:v>3/5</x:v>
      </x:c>
      <x:c r="M9" s="346" t="str">
        <x:v>3/5</x:v>
      </x:c>
      <x:c r="N9" s="346" t="str">
        <x:v>2/5</x:v>
      </x:c>
      <x:c r="O9" s="346" t="str">
        <x:v>4/5 (unsupported)</x:v>
      </x:c>
      <x:c r="P9" s="346" t="str">
        <x:v>N/A</x:v>
      </x:c>
      <x:c r="Q9" s="346" t="str">
        <x:v>3/5</x:v>
      </x:c>
      <x:c r="R9" s="346" t="str">
        <x:v>4/5 / evolving</x:v>
      </x:c>
      <x:c r="S9" s="346" t="str">
        <x:v>U/K</x:v>
      </x:c>
      <x:c r="T9" s="346" t="str">
        <x:v>N/A</x:v>
      </x:c>
      <x:c r="U9" s="346" t="str">
        <x:v>2/5</x:v>
      </x:c>
      <x:c r="V9" s="346" t="str">
        <x:v>4/5</x:v>
      </x:c>
      <x:c r="W9" s="346" t="str">
        <x:v>4/5</x:v>
      </x:c>
      <x:c r="X9" s="346" t="str">
        <x:v>3/5 for using hosted relays; self-host relay more complex</x:v>
      </x:c>
      <x:c r="Y9" s="346" t="str">
        <x:v>3/5</x:v>
      </x:c>
      <x:c r="Z9" s="346" t="str">
        <x:v>3/5</x:v>
      </x:c>
      <x:c r="AA9" s="380" t="str">
        <x:v>N/A</x:v>
      </x:c>
      <x:c r="AB9" s="346" t="str">
        <x:v>3/5</x:v>
      </x:c>
      <x:c r="AC9" s="346" t="str">
        <x:v>N/A</x:v>
      </x:c>
      <x:c r="AD9" s="346" t="str">
        <x:v>2/5 - docker compose</x:v>
      </x:c>
      <x:c r="AE9" s="414" t="str">
        <x:v>N/A</x:v>
      </x:c>
    </x:row>
    <x:row r="10" ht="36" customHeight="1">
      <x:c r="A10" s="397" t="str">
        <x:v>Docker / Container Support</x:v>
      </x:c>
      <x:c r="B10" s="349" t="str">
        <x:v>N/A - official self-hosting unsupported</x:v>
      </x:c>
      <x:c r="C10" s="349" t="str">
        <x:v>Yes - official Docker Compose self-host stack</x:v>
      </x:c>
      <x:c r="D10" s="349" t="str">
        <x:v>No</x:v>
      </x:c>
      <x:c r="E10" s="349" t="str">
        <x:v>Yes - self-host tooling/Docker</x:v>
      </x:c>
      <x:c r="F10" s="349" t="str">
        <x:v>No</x:v>
      </x:c>
      <x:c r="G10" s="349" t="str">
        <x:v>Yes - implementation-dependent</x:v>
      </x:c>
      <x:c r="H10" s="349" t="str">
        <x:v>Yes - Docker supported</x:v>
      </x:c>
      <x:c r="I10" s="349" t="str">
        <x:v>Yes - official Docker image available</x:v>
      </x:c>
      <x:c r="J10" s="349" t="str">
        <x:v>Yes - TS6 server Docker/self-host guidance</x:v>
      </x:c>
      <x:c r="K10" s="395" t="str">
        <x:v>Yes - Docker/community deployment options</x:v>
      </x:c>
      <x:c r="L10" s="349" t="str">
        <x:v>Yes - container/Kubernetes deployment supported</x:v>
      </x:c>
      <x:c r="M10" s="349" t="str">
        <x:v>Yes - Docker/Kubernetes supported</x:v>
      </x:c>
      <x:c r="N10" s="349" t="str">
        <x:v>Self-hosting available; exact container support U/K</x:v>
      </x:c>
      <x:c r="O10" s="349" t="str">
        <x:v>U/K</x:v>
      </x:c>
      <x:c r="P10" s="349" t="str">
        <x:v>No official self-hosting verified</x:v>
      </x:c>
      <x:c r="Q10" s="349" t="str">
        <x:v>Self-hosting advertised</x:v>
      </x:c>
      <x:c r="R10" s="349" t="str">
        <x:v>U/K</x:v>
      </x:c>
      <x:c r="S10" s="349" t="str">
        <x:v>U/K</x:v>
      </x:c>
      <x:c r="T10" s="349" t="str">
        <x:v>No self-hosting verified</x:v>
      </x:c>
      <x:c r="U10" s="349" t="str">
        <x:v>Self-host server available; container method U/K</x:v>
      </x:c>
      <x:c r="V10" s="349" t="str">
        <x:v>Docker/compose available for Fermi; server setup U/K</x:v>
      </x:c>
      <x:c r="W10" s="349" t="str">
        <x:v>U/K</x:v>
      </x:c>
      <x:c r="X10" s="349" t="str">
        <x:v>Relay/self-host options</x:v>
      </x:c>
      <x:c r="Y10" s="349" t="str">
        <x:v>Self-host relay; exact container support U/K</x:v>
      </x:c>
      <x:c r="Z10" s="349" t="str">
        <x:v>Yes - Docker</x:v>
      </x:c>
      <x:c r="AA10" s="381" t="str">
        <x:v>No</x:v>
      </x:c>
      <x:c r="AB10" s="349" t="str">
        <x:v>Self-host supported; container details U/K</x:v>
      </x:c>
      <x:c r="AC10" s="349" t="str">
        <x:v>No self-hosting verified</x:v>
      </x:c>
      <x:c r="AD10" s="349" t="str">
        <x:v>Yes - docker compose</x:v>
      </x:c>
      <x:c r="AE10" s="415" t="str">
        <x:v>No self-hosting advertised</x:v>
      </x:c>
    </x:row>
    <x:row r="11" ht="23" customHeight="1">
      <x:c r="A11" s="389" t="str">
        <x:v>Deployment &amp; Network Model</x:v>
      </x:c>
      <x:c r="B11" s="389"/>
      <x:c r="C11" s="389"/>
      <x:c r="D11" s="389"/>
      <x:c r="E11" s="389"/>
      <x:c r="F11" s="389"/>
      <x:c r="G11" s="389"/>
      <x:c r="H11" s="389"/>
      <x:c r="I11" s="389"/>
      <x:c r="J11" s="389"/>
      <x:c r="K11" s="389"/>
      <x:c r="L11" s="389"/>
      <x:c r="M11" s="389"/>
      <x:c r="N11" s="389"/>
      <x:c r="O11" s="389"/>
      <x:c r="P11" s="389"/>
      <x:c r="Q11" s="389"/>
      <x:c r="R11" s="389"/>
      <x:c r="S11" s="389"/>
      <x:c r="T11" s="389"/>
      <x:c r="U11" s="389"/>
      <x:c r="V11" s="389"/>
      <x:c r="W11" s="389"/>
      <x:c r="X11" s="389"/>
      <x:c r="Y11" s="389"/>
      <x:c r="Z11" s="389"/>
      <x:c r="AA11" s="389"/>
      <x:c r="AB11" s="389"/>
      <x:c r="AC11" s="389"/>
      <x:c r="AD11" s="389"/>
      <x:c r="AE11" s="389"/>
    </x:row>
    <x:row r="12" ht="36" customHeight="1">
      <x:c r="A12" s="378" t="str">
        <x:v>Centralized Hosted Service?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Self-Hosting Supported?</x:v>
      </x:c>
      <x:c r="B13" s="346" t="str">
        <x:v>No</x:v>
      </x:c>
      <x:c r="C13" s="346" t="str">
        <x:v>Yes</x:v>
      </x:c>
      <x:c r="D13" s="346" t="str">
        <x:v>No currently</x:v>
      </x:c>
      <x:c r="E13" s="346" t="str">
        <x:v>Yes</x:v>
      </x:c>
      <x:c r="F13" s="346" t="str">
        <x:v>No</x:v>
      </x:c>
      <x:c r="G13" s="346" t="str">
        <x:v>Yes</x:v>
      </x:c>
      <x:c r="H13" s="346" t="str">
        <x:v>Yes</x:v>
      </x:c>
      <x:c r="I13" s="346" t="str">
        <x:v>Yes</x:v>
      </x:c>
      <x:c r="J13" s="346" t="str">
        <x:v>Yes</x:v>
      </x:c>
      <x:c r="K13" s="346" t="str">
        <x:v>Yes</x:v>
      </x:c>
      <x:c r="L13" s="346" t="str">
        <x:v>Yes</x:v>
      </x:c>
      <x:c r="M13" s="346" t="str">
        <x:v>Yes</x:v>
      </x:c>
      <x:c r="N13" s="346" t="str">
        <x:v>Yes</x:v>
      </x:c>
      <x:c r="O13" s="346" t="str">
        <x:v>Technically possible but explicitly not intended/supported</x:v>
      </x:c>
      <x:c r="P13" s="346" t="str">
        <x:v>No</x:v>
      </x:c>
      <x:c r="Q13" s="346" t="str">
        <x:v>Yes</x:v>
      </x:c>
      <x:c r="R13" s="346" t="str">
        <x:v>In development</x:v>
      </x:c>
      <x:c r="S13" s="346" t="str">
        <x:v>U/K</x:v>
      </x:c>
      <x:c r="T13" s="346" t="str">
        <x:v>No</x:v>
      </x:c>
      <x:c r="U13" s="346" t="str">
        <x:v>Yes</x:v>
      </x:c>
      <x:c r="V13" s="346" t="str">
        <x:v>Yes</x:v>
      </x:c>
      <x:c r="W13" s="346" t="str">
        <x:v>Partially via ATProto/PDS model</x:v>
      </x:c>
      <x:c r="X13" s="346" t="str">
        <x:v>Yes - relays/self-host</x:v>
      </x:c>
      <x:c r="Y13" s="346" t="str">
        <x:v>Yes</x:v>
      </x:c>
      <x:c r="Z13" s="346" t="str">
        <x:v>Yes</x:v>
      </x:c>
      <x:c r="AA13" s="380" t="str">
        <x:v>No</x:v>
      </x:c>
      <x:c r="AB13" s="346" t="str">
        <x:v>Yes</x:v>
      </x:c>
      <x:c r="AC13" s="346" t="str">
        <x:v>No</x:v>
      </x:c>
      <x:c r="AD13" s="346" t="str">
        <x:v>Yes</x:v>
      </x:c>
      <x:c r="AE13" s="346" t="str">
        <x:v>No</x:v>
      </x:c>
    </x:row>
    <x:row r="14" ht="36" customHeight="1">
      <x:c r="A14" s="378" t="str">
        <x:v>Federated?</x:v>
      </x:c>
      <x:c r="B14" s="346" t="str">
        <x:v>No</x:v>
      </x:c>
      <x:c r="C14" s="346" t="str">
        <x:v>No</x:v>
      </x:c>
      <x:c r="D14" s="346" t="str">
        <x:v>No</x:v>
      </x:c>
      <x:c r="E14" s="346" t="str">
        <x:v>Not yet - on roadmap</x:v>
      </x:c>
      <x:c r="F14" s="346" t="str">
        <x:v>No</x:v>
      </x:c>
      <x:c r="G14" s="346" t="str">
        <x:v>Yes - core feature</x:v>
      </x:c>
      <x:c r="H14" s="346" t="str">
        <x:v>No</x:v>
      </x:c>
      <x:c r="I14" s="346" t="str">
        <x:v>No</x:v>
      </x:c>
      <x:c r="J14" s="346" t="str">
        <x:v>No</x:v>
      </x:c>
      <x:c r="K14" s="346" t="str">
        <x:v>No</x:v>
      </x:c>
      <x:c r="L14" s="346" t="str">
        <x:v>No general federation</x:v>
      </x:c>
      <x:c r="M14" s="346" t="str">
        <x:v>Yes - Matrix-based federation feature set, with limitations</x:v>
      </x:c>
      <x:c r="N14" s="346" t="str">
        <x:v>No federation verified</x:v>
      </x:c>
      <x:c r="O14" s="346" t="str">
        <x:v>No</x:v>
      </x:c>
      <x:c r="P14" s="346" t="str">
        <x:v>No</x:v>
      </x:c>
      <x:c r="Q14" s="346" t="str">
        <x:v>Federation advertised</x:v>
      </x:c>
      <x:c r="R14" s="346" t="str">
        <x:v>Planned/in development</x:v>
      </x:c>
      <x:c r="S14" s="346" t="str">
        <x:v>No federation verified</x:v>
      </x:c>
      <x:c r="T14" s="346" t="str">
        <x:v>No</x:v>
      </x:c>
      <x:c r="U14" s="346" t="str">
        <x:v>No</x:v>
      </x:c>
      <x:c r="V14" s="346" t="str">
        <x:v>Federation planned</x:v>
      </x:c>
      <x:c r="W14" s="346" t="str">
        <x:v>ATProto federation ecosystem</x:v>
      </x:c>
      <x:c r="X14" s="346" t="str">
        <x:v>Nostr relay interoperability</x:v>
      </x:c>
      <x:c r="Y14" s="346" t="str">
        <x:v>Relay choice but not Matrix-style federated server state</x:v>
      </x:c>
      <x:c r="Z14" s="346" t="str">
        <x:v>Yes for messenger/server communication features; full federation evolving</x:v>
      </x:c>
      <x:c r="AA14" s="380" t="str">
        <x:v>No</x:v>
      </x:c>
      <x:c r="AB14" s="346" t="str">
        <x:v>No federation</x:v>
      </x:c>
      <x:c r="AC14" s="346" t="str">
        <x:v>No</x:v>
      </x:c>
      <x:c r="AD14" s="346" t="str">
        <x:v>Node/federation model for migrating communities; exact cross-instance federation scope evolving</x:v>
      </x:c>
      <x:c r="AE14" s="346" t="str">
        <x:v>No</x:v>
      </x:c>
    </x:row>
    <x:row r="15" ht="36" customHeight="1">
      <x:c r="A15" s="378" t="str">
        <x:v>Peer-to-Peer?</x:v>
      </x:c>
      <x:c r="B15" s="346" t="str">
        <x:v>U/K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Yes</x:v>
      </x:c>
      <x:c r="Y15" s="346" t="str">
        <x:v>Yes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Public Protocol Specification?</x:v>
      </x:c>
      <x:c r="B16" s="346" t="str">
        <x:v>Proprietary public developer APIs, not an open protocol</x:v>
      </x:c>
      <x:c r="C16" s="346" t="str">
        <x:v>Public REST/WebSocket API, but not a federation standard</x:v>
      </x:c>
      <x:c r="D16" s="346" t="str">
        <x:v>No open interoperability standard</x:v>
      </x:c>
      <x:c r="E16" s="346" t="str">
        <x:v>Public API/Gateway inspired by Discord; not a federation standard</x:v>
      </x:c>
      <x:c r="F16" s="346" t="str">
        <x:v>Proprietary Root APIs/SDK</x:v>
      </x:c>
      <x:c r="G16" s="346" t="str">
        <x:v>Open Matrix specification: Client-Server + Server-Server/Federation APIs</x:v>
      </x:c>
      <x:c r="H16" s="346" t="str">
        <x:v>Discord-compatible REST/Gateway reimplementation</x:v>
      </x:c>
      <x:c r="I16" s="346" t="str">
        <x:v>Open Mumble protocol/source</x:v>
      </x:c>
      <x:c r="J16" s="346" t="str">
        <x:v>Proprietary protocol/API</x:v>
      </x:c>
      <x:c r="K16" s="346" t="str">
        <x:v>Open REST/realtime APIs</x:v>
      </x:c>
      <x:c r="L16" s="346" t="str">
        <x:v>Open APIs, not a general federation standard</x:v>
      </x:c>
      <x:c r="M16" s="346" t="str">
        <x:v>REST/realtime APIs + federation components</x:v>
      </x:c>
      <x:c r="N16" s="346" t="str">
        <x:v>Proprietary API/service</x:v>
      </x:c>
      <x:c r="O16" s="346" t="str">
        <x:v>Public app/API code, not a federation standard</x:v>
      </x:c>
      <x:c r="P16" s="346" t="str">
        <x:v>Proprietary service APIs</x:v>
      </x:c>
      <x:c r="Q16" s="346" t="str">
        <x:v>Discord-compatible API + federation work</x:v>
      </x:c>
      <x:c r="R16" s="346" t="str">
        <x:v>Custom open-source federation protocol</x:v>
      </x:c>
      <x:c r="S16" s="346" t="str">
        <x:v>Custom APIs</x:v>
      </x:c>
      <x:c r="T16" s="346" t="str">
        <x:v>Proprietary</x:v>
      </x:c>
      <x:c r="U16" s="346" t="str">
        <x:v>Proprietary product protocol U/K</x:v>
      </x:c>
      <x:c r="V16" s="346" t="str">
        <x:v>Discord-compatible API</x:v>
      </x:c>
      <x:c r="W16" s="346" t="str">
        <x:v>AT Protocol</x:v>
      </x:c>
      <x:c r="X16" s="346" t="str">
        <x:v>Nostr + Concord/NIP-29</x:v>
      </x:c>
      <x:c r="Y16" s="346" t="str">
        <x:v>Custom open protocol/code</x:v>
      </x:c>
      <x:c r="Z16" s="346" t="str">
        <x:v>Custom protocol</x:v>
      </x:c>
      <x:c r="AA16" s="380" t="str">
        <x:v>Proprietary</x:v>
      </x:c>
      <x:c r="AB16" s="346" t="str">
        <x:v>Application API/webhooks</x:v>
      </x:c>
      <x:c r="AC16" s="346" t="str">
        <x:v>Proprietary</x:v>
      </x:c>
      <x:c r="AD16" s="346" t="str">
        <x:v>Valour API/node protocol</x:v>
      </x:c>
      <x:c r="AE16" s="346" t="str">
        <x:v>Proprietary/application API</x:v>
      </x:c>
    </x:row>
    <x:row r="17" ht="36" customHeight="1">
      <x:c r="A17" s="378" t="str">
        <x:v>Official Docker Image?</x:v>
      </x:c>
      <x:c r="B17" s="346" t="str">
        <x:v>No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Yes</x:v>
      </x:c>
      <x:c r="J17" s="346" t="str">
        <x:v>Yes</x:v>
      </x:c>
      <x:c r="K17" s="346" t="str">
        <x:v>U/K</x:v>
      </x:c>
      <x:c r="L17" s="346" t="str">
        <x:v>Yes</x:v>
      </x:c>
      <x:c r="M17" s="346" t="str">
        <x:v>Yes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>
      <x:c r="A18" s="24"/>
      <x:c r="B18" s="24"/>
      <x:c r="C18" s="24"/>
      <x:c r="D18" s="24"/>
      <x:c r="E18" s="24"/>
      <x:c r="F18" s="24"/>
      <x:c r="G18" s="24"/>
      <x:c r="H18" s="24"/>
      <x:c r="I18" s="24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 s="24"/>
      <x:c r="I19" s="24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0">
    <x:cfRule type="expression" dxfId="32" priority="1">
      <x:formula>ISNUMBER(SEARCH("U/K",B3))</x:formula>
    </x:cfRule>
    <x:cfRule type="expression" dxfId="33" priority="2">
      <x:formula>OR(B3="N/A",LEFT(B3,4)="N/A ")</x:formula>
    </x:cfRule>
  </x:conditionalFormatting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Architecture, Federation &amp; Deployment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Topology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Centralized Hosted Service?</x:v>
      </x:c>
      <x:c r="B4" s="346" t="str">
        <x:v>U/K</x:v>
      </x:c>
      <x:c r="C4" s="346" t="str">
        <x:v>U/K</x:v>
      </x:c>
      <x:c r="D4" s="346" t="str">
        <x:v>U/K</x:v>
      </x:c>
      <x:c r="E4" s="346" t="str">
        <x:v>U/K</x:v>
      </x:c>
      <x:c r="F4" s="346" t="str">
        <x:v>U/K</x:v>
      </x:c>
      <x:c r="G4" s="346" t="str">
        <x:v>U/K</x:v>
      </x:c>
      <x:c r="H4" s="346" t="str">
        <x:v>U/K</x:v>
      </x:c>
      <x:c r="I4" s="346" t="str">
        <x:v>U/K</x:v>
      </x:c>
      <x:c r="J4" s="346" t="str">
        <x:v>U/K</x:v>
      </x:c>
      <x:c r="K4" s="346" t="str">
        <x:v>U/K</x:v>
      </x:c>
      <x:c r="L4" s="346" t="str">
        <x:v>U/K</x:v>
      </x:c>
      <x:c r="M4" s="346" t="str">
        <x:v>U/K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U/K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9" t="str">
        <x:v>Self-Hosting Supported?</x:v>
      </x:c>
      <x:c r="B5" s="346" t="str">
        <x:f>IF('Platform Model &amp; Ecosystem'!$B$11="","U/K",'Platform Model &amp; Ecosystem'!$B$11)</x:f>
        <x:v>No</x:v>
      </x:c>
      <x:c r="C5" s="346" t="str">
        <x:f>IF('Platform Model &amp; Ecosystem'!$C$11="","U/K",'Platform Model &amp; Ecosystem'!$C$11)</x:f>
        <x:v>Yes</x:v>
      </x:c>
      <x:c r="D5" s="346" t="str">
        <x:f>IF('Platform Model &amp; Ecosystem'!$D$11="","U/K",'Platform Model &amp; Ecosystem'!$D$11)</x:f>
        <x:v>No currently</x:v>
      </x:c>
      <x:c r="E5" s="346" t="str">
        <x:f>IF('Platform Model &amp; Ecosystem'!$E$11="","U/K",'Platform Model &amp; Ecosystem'!$E$11)</x:f>
        <x:v>Yes</x:v>
      </x:c>
      <x:c r="F5" s="346" t="str">
        <x:f>IF('Platform Model &amp; Ecosystem'!$F$11="","U/K",'Platform Model &amp; Ecosystem'!$F$11)</x:f>
        <x:v>No</x:v>
      </x:c>
      <x:c r="G5" s="346" t="str">
        <x:f>IF('Platform Model &amp; Ecosystem'!$G$11="","U/K",'Platform Model &amp; Ecosystem'!$G$11)</x:f>
        <x:v>Yes</x:v>
      </x:c>
      <x:c r="H5" s="346" t="str">
        <x:f>IF('Platform Model &amp; Ecosystem'!$H$11="","U/K",'Platform Model &amp; Ecosystem'!$H$11)</x:f>
        <x:v>Yes</x:v>
      </x:c>
      <x:c r="I5" s="346" t="str">
        <x:f>IF('Platform Model &amp; Ecosystem'!$I$11="","U/K",'Platform Model &amp; Ecosystem'!$I$11)</x:f>
        <x:v>Yes</x:v>
      </x:c>
      <x:c r="J5" s="346" t="str">
        <x:f>IF('Platform Model &amp; Ecosystem'!$J$11="","U/K",'Platform Model &amp; Ecosystem'!$J$11)</x:f>
        <x:v>Yes</x:v>
      </x:c>
      <x:c r="K5" s="346" t="str">
        <x:f>IF('Platform Model &amp; Ecosystem'!$K$11="","U/K",'Platform Model &amp; Ecosystem'!$K$11)</x:f>
        <x:v>Yes</x:v>
      </x:c>
      <x:c r="L5" s="346" t="str">
        <x:f>IF('Platform Model &amp; Ecosystem'!$L$11="","U/K",'Platform Model &amp; Ecosystem'!$L$11)</x:f>
        <x:v>Yes</x:v>
      </x:c>
      <x:c r="M5" s="346" t="str">
        <x:f>IF('Platform Model &amp; Ecosystem'!$M$11="","U/K",'Platform Model &amp; Ecosystem'!$M$11)</x:f>
        <x:v>Yes</x:v>
      </x:c>
      <x:c r="N5" s="346" t="str">
        <x:f>IF('Platform Model &amp; Ecosystem'!$N$11="","U/K",'Platform Model &amp; Ecosystem'!$N$11)</x:f>
        <x:v>Yes</x:v>
      </x:c>
      <x:c r="O5" s="346" t="str">
        <x:f>IF('Platform Model &amp; Ecosystem'!$O$11="","U/K",'Platform Model &amp; Ecosystem'!$O$11)</x:f>
        <x:v>Technically possible but explicitly not intended/supported</x:v>
      </x:c>
      <x:c r="P5" s="346" t="str">
        <x:f>IF('Platform Model &amp; Ecosystem'!$P$11="","U/K",'Platform Model &amp; Ecosystem'!$P$11)</x:f>
        <x:v>No</x:v>
      </x:c>
      <x:c r="Q5" s="346" t="str">
        <x:f>IF('Platform Model &amp; Ecosystem'!$Q$11="","U/K",'Platform Model &amp; Ecosystem'!$Q$11)</x:f>
        <x:v>Yes</x:v>
      </x:c>
      <x:c r="R5" s="346" t="str">
        <x:f>IF('Platform Model &amp; Ecosystem'!$R$11="","U/K",'Platform Model &amp; Ecosystem'!$R$11)</x:f>
        <x:v>In development</x:v>
      </x:c>
      <x:c r="S5" s="346" t="str">
        <x:f>IF('Platform Model &amp; Ecosystem'!$S$11="","U/K",'Platform Model &amp; Ecosystem'!$S$11)</x:f>
        <x:v>U/K</x:v>
      </x:c>
      <x:c r="T5" s="346" t="str">
        <x:f>IF('Platform Model &amp; Ecosystem'!$T$11="","U/K",'Platform Model &amp; Ecosystem'!$T$11)</x:f>
        <x:v>No</x:v>
      </x:c>
      <x:c r="U5" s="346" t="str">
        <x:f>IF('Platform Model &amp; Ecosystem'!$U$11="","U/K",'Platform Model &amp; Ecosystem'!$U$11)</x:f>
        <x:v>Yes</x:v>
      </x:c>
      <x:c r="V5" s="346" t="str">
        <x:f>IF('Platform Model &amp; Ecosystem'!$V$11="","U/K",'Platform Model &amp; Ecosystem'!$V$11)</x:f>
        <x:v>Yes</x:v>
      </x:c>
      <x:c r="W5" s="346" t="str">
        <x:f>IF('Platform Model &amp; Ecosystem'!$W$11="","U/K",'Platform Model &amp; Ecosystem'!$W$11)</x:f>
        <x:v>Partially via ATProto/PDS model</x:v>
      </x:c>
      <x:c r="X5" s="346" t="str">
        <x:f>IF('Platform Model &amp; Ecosystem'!$X$11="","U/K",'Platform Model &amp; Ecosystem'!$X$11)</x:f>
        <x:v>Yes - relays/self-host</x:v>
      </x:c>
      <x:c r="Y5" s="346" t="str">
        <x:f>IF('Platform Model &amp; Ecosystem'!$Y$11="","U/K",'Platform Model &amp; Ecosystem'!$Y$11)</x:f>
        <x:v>Yes</x:v>
      </x:c>
      <x:c r="Z5" s="346" t="str">
        <x:f>IF('Platform Model &amp; Ecosystem'!$Z$11="","U/K",'Platform Model &amp; Ecosystem'!$Z$11)</x:f>
        <x:v>Yes</x:v>
      </x:c>
      <x:c r="AA5" s="380" t="str">
        <x:f>IF('Platform Model &amp; Ecosystem'!$AA$11="","U/K",'Platform Model &amp; Ecosystem'!$AA$11)</x:f>
        <x:v>No</x:v>
      </x:c>
      <x:c r="AB5" s="346" t="str">
        <x:f>IF('Platform Model &amp; Ecosystem'!$AB$11="","U/K",'Platform Model &amp; Ecosystem'!$AB$11)</x:f>
        <x:v>Yes</x:v>
      </x:c>
      <x:c r="AC5" s="346" t="str">
        <x:f>IF('Platform Model &amp; Ecosystem'!$AC$11="","U/K",'Platform Model &amp; Ecosystem'!$AC$11)</x:f>
        <x:v>No</x:v>
      </x:c>
      <x:c r="AD5" s="346" t="str">
        <x:f>IF('Platform Model &amp; Ecosystem'!$AD$11="","U/K",'Platform Model &amp; Ecosystem'!$AD$11)</x:f>
        <x:v>Yes</x:v>
      </x:c>
      <x:c r="AE5" s="346" t="str">
        <x:f>IF('Platform Model &amp; Ecosystem'!$AE$11="","U/K",'Platform Model &amp; Ecosystem'!$AE$11)</x:f>
        <x:v>No</x:v>
      </x:c>
    </x:row>
    <x:row r="6" ht="36" customHeight="1">
      <x:c r="A6" s="359" t="str">
        <x:v>Federated?</x:v>
      </x:c>
      <x:c r="B6" s="346" t="str">
        <x:f>IF('Platform Model &amp; Ecosystem'!$B$13="","U/K",'Platform Model &amp; Ecosystem'!$B$13)</x:f>
        <x:v>No</x:v>
      </x:c>
      <x:c r="C6" s="346" t="str">
        <x:f>IF('Platform Model &amp; Ecosystem'!$C$13="","U/K",'Platform Model &amp; Ecosystem'!$C$13)</x:f>
        <x:v>No</x:v>
      </x:c>
      <x:c r="D6" s="346" t="str">
        <x:f>IF('Platform Model &amp; Ecosystem'!$D$13="","U/K",'Platform Model &amp; Ecosystem'!$D$13)</x:f>
        <x:v>No</x:v>
      </x:c>
      <x:c r="E6" s="346" t="str">
        <x:f>IF('Platform Model &amp; Ecosystem'!$E$13="","U/K",'Platform Model &amp; Ecosystem'!$E$13)</x:f>
        <x:v>Not yet - on roadmap</x:v>
      </x:c>
      <x:c r="F6" s="346" t="str">
        <x:f>IF('Platform Model &amp; Ecosystem'!$F$13="","U/K",'Platform Model &amp; Ecosystem'!$F$13)</x:f>
        <x:v>No</x:v>
      </x:c>
      <x:c r="G6" s="346" t="str">
        <x:f>IF('Platform Model &amp; Ecosystem'!$G$13="","U/K",'Platform Model &amp; Ecosystem'!$G$13)</x:f>
        <x:v>Yes - core feature</x:v>
      </x:c>
      <x:c r="H6" s="346" t="str">
        <x:f>IF('Platform Model &amp; Ecosystem'!$H$13="","U/K",'Platform Model &amp; Ecosystem'!$H$13)</x:f>
        <x:v>No</x:v>
      </x:c>
      <x:c r="I6" s="346" t="str">
        <x:f>IF('Platform Model &amp; Ecosystem'!$I$13="","U/K",'Platform Model &amp; Ecosystem'!$I$13)</x:f>
        <x:v>No</x:v>
      </x:c>
      <x:c r="J6" s="346" t="str">
        <x:f>IF('Platform Model &amp; Ecosystem'!$J$13="","U/K",'Platform Model &amp; Ecosystem'!$J$13)</x:f>
        <x:v>No</x:v>
      </x:c>
      <x:c r="K6" s="346" t="str">
        <x:f>IF('Platform Model &amp; Ecosystem'!$K$13="","U/K",'Platform Model &amp; Ecosystem'!$K$13)</x:f>
        <x:v>No</x:v>
      </x:c>
      <x:c r="L6" s="346" t="str">
        <x:f>IF('Platform Model &amp; Ecosystem'!$L$13="","U/K",'Platform Model &amp; Ecosystem'!$L$13)</x:f>
        <x:v>No general federation</x:v>
      </x:c>
      <x:c r="M6" s="346" t="str">
        <x:f>IF('Platform Model &amp; Ecosystem'!$M$13="","U/K",'Platform Model &amp; Ecosystem'!$M$13)</x:f>
        <x:v>Yes - Matrix-based federation feature set, with limitations</x:v>
      </x:c>
      <x:c r="N6" s="346" t="str">
        <x:f>IF('Platform Model &amp; Ecosystem'!$N$13="","U/K",'Platform Model &amp; Ecosystem'!$N$13)</x:f>
        <x:v>No federation verified</x:v>
      </x:c>
      <x:c r="O6" s="346" t="str">
        <x:f>IF('Platform Model &amp; Ecosystem'!$O$13="","U/K",'Platform Model &amp; Ecosystem'!$O$13)</x:f>
        <x:v>No</x:v>
      </x:c>
      <x:c r="P6" s="346" t="str">
        <x:f>IF('Platform Model &amp; Ecosystem'!$P$13="","U/K",'Platform Model &amp; Ecosystem'!$P$13)</x:f>
        <x:v>No</x:v>
      </x:c>
      <x:c r="Q6" s="346" t="str">
        <x:f>IF('Platform Model &amp; Ecosystem'!$Q$13="","U/K",'Platform Model &amp; Ecosystem'!$Q$13)</x:f>
        <x:v>Federation advertised</x:v>
      </x:c>
      <x:c r="R6" s="346" t="str">
        <x:f>IF('Platform Model &amp; Ecosystem'!$R$13="","U/K",'Platform Model &amp; Ecosystem'!$R$13)</x:f>
        <x:v>Planned/in development</x:v>
      </x:c>
      <x:c r="S6" s="346" t="str">
        <x:f>IF('Platform Model &amp; Ecosystem'!$S$13="","U/K",'Platform Model &amp; Ecosystem'!$S$13)</x:f>
        <x:v>No federation verified</x:v>
      </x:c>
      <x:c r="T6" s="346" t="str">
        <x:f>IF('Platform Model &amp; Ecosystem'!$T$13="","U/K",'Platform Model &amp; Ecosystem'!$T$13)</x:f>
        <x:v>No</x:v>
      </x:c>
      <x:c r="U6" s="346" t="str">
        <x:f>IF('Platform Model &amp; Ecosystem'!$U$13="","U/K",'Platform Model &amp; Ecosystem'!$U$13)</x:f>
        <x:v>No</x:v>
      </x:c>
      <x:c r="V6" s="346" t="str">
        <x:f>IF('Platform Model &amp; Ecosystem'!$V$13="","U/K",'Platform Model &amp; Ecosystem'!$V$13)</x:f>
        <x:v>Federation planned</x:v>
      </x:c>
      <x:c r="W6" s="346" t="str">
        <x:f>IF('Platform Model &amp; Ecosystem'!$W$13="","U/K",'Platform Model &amp; Ecosystem'!$W$13)</x:f>
        <x:v>ATProto federation ecosystem</x:v>
      </x:c>
      <x:c r="X6" s="346" t="str">
        <x:f>IF('Platform Model &amp; Ecosystem'!$X$13="","U/K",'Platform Model &amp; Ecosystem'!$X$13)</x:f>
        <x:v>Nostr relay interoperability</x:v>
      </x:c>
      <x:c r="Y6" s="346" t="str">
        <x:f>IF('Platform Model &amp; Ecosystem'!$Y$13="","U/K",'Platform Model &amp; Ecosystem'!$Y$13)</x:f>
        <x:v>Relay choice but not Matrix-style federated server state</x:v>
      </x:c>
      <x:c r="Z6" s="346" t="str">
        <x:f>IF('Platform Model &amp; Ecosystem'!$Z$13="","U/K",'Platform Model &amp; Ecosystem'!$Z$13)</x:f>
        <x:v>Yes for messenger/server communication features; full federation evolving</x:v>
      </x:c>
      <x:c r="AA6" s="380" t="str">
        <x:f>IF('Platform Model &amp; Ecosystem'!$AA$13="","U/K",'Platform Model &amp; Ecosystem'!$AA$13)</x:f>
        <x:v>No</x:v>
      </x:c>
      <x:c r="AB6" s="346" t="str">
        <x:f>IF('Platform Model &amp; Ecosystem'!$AB$13="","U/K",'Platform Model &amp; Ecosystem'!$AB$13)</x:f>
        <x:v>No federation</x:v>
      </x:c>
      <x:c r="AC6" s="346" t="str">
        <x:f>IF('Platform Model &amp; Ecosystem'!$AC$13="","U/K",'Platform Model &amp; Ecosystem'!$AC$13)</x:f>
        <x:v>No</x:v>
      </x:c>
      <x:c r="AD6" s="346" t="str">
        <x:f>IF('Platform Model &amp; Ecosystem'!$AD$13="","U/K",'Platform Model &amp; Ecosystem'!$AD$13)</x:f>
        <x:v>Node/federation model for migrating communities; exact cross-instance federation scope evolving</x:v>
      </x:c>
      <x:c r="AE6" s="346" t="str">
        <x:f>IF('Platform Model &amp; Ecosystem'!$AE$13="","U/K",'Platform Model &amp; Ecosystem'!$AE$13)</x:f>
        <x:v>No</x:v>
      </x:c>
    </x:row>
    <x:row r="7" ht="36" customHeight="1">
      <x:c r="A7" s="359" t="str">
        <x:v>Peer-to-Peer?</x:v>
      </x:c>
      <x:c r="B7" s="346" t="str">
        <x:v>U/K</x:v>
      </x:c>
      <x:c r="C7" s="346" t="str">
        <x:v>U/K</x:v>
      </x:c>
      <x:c r="D7" s="346" t="str">
        <x:v>U/K</x:v>
      </x:c>
      <x:c r="E7" s="346" t="str">
        <x:v>U/K</x:v>
      </x:c>
      <x:c r="F7" s="346" t="str">
        <x:v>U/K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Yes</x:v>
      </x:c>
      <x:c r="Y7" s="346" t="str">
        <x:v>Yes</x:v>
      </x:c>
      <x:c r="Z7" s="346" t="str">
        <x:v>U/K</x:v>
      </x:c>
      <x:c r="AA7" s="380" t="str">
        <x:v>U/K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Independent Instances?</x:v>
      </x:c>
      <x:c r="B8" s="346" t="str">
        <x:f>IF('Platform Model &amp; Ecosystem'!$B$12="","U/K",'Platform Model &amp; Ecosystem'!$B$12)</x:f>
        <x:v>No</x:v>
      </x:c>
      <x:c r="C8" s="346" t="str">
        <x:f>IF('Platform Model &amp; Ecosystem'!$C$12="","U/K",'Platform Model &amp; Ecosystem'!$C$12)</x:f>
        <x:v>Yes</x:v>
      </x:c>
      <x:c r="D8" s="346" t="str">
        <x:f>IF('Platform Model &amp; Ecosystem'!$D$12="","U/K",'Platform Model &amp; Ecosystem'!$D$12)</x:f>
        <x:v>No</x:v>
      </x:c>
      <x:c r="E8" s="346" t="str">
        <x:f>IF('Platform Model &amp; Ecosystem'!$E$12="","U/K",'Platform Model &amp; Ecosystem'!$E$12)</x:f>
        <x:v>Yes</x:v>
      </x:c>
      <x:c r="F8" s="346" t="str">
        <x:f>IF('Platform Model &amp; Ecosystem'!$F$12="","U/K",'Platform Model &amp; Ecosystem'!$F$12)</x:f>
        <x:v>No</x:v>
      </x:c>
      <x:c r="G8" s="346" t="str">
        <x:f>IF('Platform Model &amp; Ecosystem'!$G$12="","U/K",'Platform Model &amp; Ecosystem'!$G$12)</x:f>
        <x:v>Yes</x:v>
      </x:c>
      <x:c r="H8" s="346" t="str">
        <x:f>IF('Platform Model &amp; Ecosystem'!$H$12="","U/K",'Platform Model &amp; Ecosystem'!$H$12)</x:f>
        <x:v>Yes</x:v>
      </x:c>
      <x:c r="I8" s="346" t="str">
        <x:f>IF('Platform Model &amp; Ecosystem'!$I$12="","U/K",'Platform Model &amp; Ecosystem'!$I$12)</x:f>
        <x:v>Yes</x:v>
      </x:c>
      <x:c r="J8" s="346" t="str">
        <x:f>IF('Platform Model &amp; Ecosystem'!$J$12="","U/K",'Platform Model &amp; Ecosystem'!$J$12)</x:f>
        <x:v>Yes</x:v>
      </x:c>
      <x:c r="K8" s="346" t="str">
        <x:f>IF('Platform Model &amp; Ecosystem'!$K$12="","U/K",'Platform Model &amp; Ecosystem'!$K$12)</x:f>
        <x:v>Yes</x:v>
      </x:c>
      <x:c r="L8" s="346" t="str">
        <x:f>IF('Platform Model &amp; Ecosystem'!$L$12="","U/K",'Platform Model &amp; Ecosystem'!$L$12)</x:f>
        <x:v>Yes</x:v>
      </x:c>
      <x:c r="M8" s="346" t="str">
        <x:f>IF('Platform Model &amp; Ecosystem'!$M$12="","U/K",'Platform Model &amp; Ecosystem'!$M$12)</x:f>
        <x:v>Yes</x:v>
      </x:c>
      <x:c r="N8" s="346" t="str">
        <x:f>IF('Platform Model &amp; Ecosystem'!$N$12="","U/K",'Platform Model &amp; Ecosystem'!$N$12)</x:f>
        <x:v>Yes</x:v>
      </x:c>
      <x:c r="O8" s="346" t="str">
        <x:f>IF('Platform Model &amp; Ecosystem'!$O$12="","U/K",'Platform Model &amp; Ecosystem'!$O$12)</x:f>
        <x:v>Possible independent deployments</x:v>
      </x:c>
      <x:c r="P8" s="346" t="str">
        <x:f>IF('Platform Model &amp; Ecosystem'!$P$12="","U/K",'Platform Model &amp; Ecosystem'!$P$12)</x:f>
        <x:v>No</x:v>
      </x:c>
      <x:c r="Q8" s="346" t="str">
        <x:f>IF('Platform Model &amp; Ecosystem'!$Q$12="","U/K",'Platform Model &amp; Ecosystem'!$Q$12)</x:f>
        <x:v>Yes</x:v>
      </x:c>
      <x:c r="R8" s="346" t="str">
        <x:f>IF('Platform Model &amp; Ecosystem'!$R$12="","U/K",'Platform Model &amp; Ecosystem'!$R$12)</x:f>
        <x:v>In development</x:v>
      </x:c>
      <x:c r="S8" s="346" t="str">
        <x:f>IF('Platform Model &amp; Ecosystem'!$S$12="","U/K",'Platform Model &amp; Ecosystem'!$S$12)</x:f>
        <x:v>U/K</x:v>
      </x:c>
      <x:c r="T8" s="346" t="str">
        <x:f>IF('Platform Model &amp; Ecosystem'!$T$12="","U/K",'Platform Model &amp; Ecosystem'!$T$12)</x:f>
        <x:v>No</x:v>
      </x:c>
      <x:c r="U8" s="346" t="str">
        <x:f>IF('Platform Model &amp; Ecosystem'!$U$12="","U/K",'Platform Model &amp; Ecosystem'!$U$12)</x:f>
        <x:v>Yes</x:v>
      </x:c>
      <x:c r="V8" s="346" t="str">
        <x:f>IF('Platform Model &amp; Ecosystem'!$V$12="","U/K",'Platform Model &amp; Ecosystem'!$V$12)</x:f>
        <x:v>Yes</x:v>
      </x:c>
      <x:c r="W8" s="346" t="str">
        <x:f>IF('Platform Model &amp; Ecosystem'!$W$12="","U/K",'Platform Model &amp; Ecosystem'!$W$12)</x:f>
        <x:v>Yes/distributed data ownership model</x:v>
      </x:c>
      <x:c r="X8" s="346" t="str">
        <x:f>IF('Platform Model &amp; Ecosystem'!$X$12="","U/K",'Platform Model &amp; Ecosystem'!$X$12)</x:f>
        <x:v>Yes</x:v>
      </x:c>
      <x:c r="Y8" s="346" t="str">
        <x:f>IF('Platform Model &amp; Ecosystem'!$Y$12="","U/K",'Platform Model &amp; Ecosystem'!$Y$12)</x:f>
        <x:v>Yes</x:v>
      </x:c>
      <x:c r="Z8" s="346" t="str">
        <x:f>IF('Platform Model &amp; Ecosystem'!$Z$12="","U/K",'Platform Model &amp; Ecosystem'!$Z$12)</x:f>
        <x:v>Yes</x:v>
      </x:c>
      <x:c r="AA8" s="380" t="str">
        <x:f>IF('Platform Model &amp; Ecosystem'!$AA$12="","U/K",'Platform Model &amp; Ecosystem'!$AA$12)</x:f>
        <x:v>No</x:v>
      </x:c>
      <x:c r="AB8" s="346" t="str">
        <x:f>IF('Platform Model &amp; Ecosystem'!$AB$12="","U/K",'Platform Model &amp; Ecosystem'!$AB$12)</x:f>
        <x:v>Yes</x:v>
      </x:c>
      <x:c r="AC8" s="346" t="str">
        <x:f>IF('Platform Model &amp; Ecosystem'!$AC$12="","U/K",'Platform Model &amp; Ecosystem'!$AC$12)</x:f>
        <x:v>No</x:v>
      </x:c>
      <x:c r="AD8" s="346" t="str">
        <x:f>IF('Platform Model &amp; Ecosystem'!$AD$12="","U/K",'Platform Model &amp; Ecosystem'!$AD$12)</x:f>
        <x:v>Yes</x:v>
      </x:c>
      <x:c r="AE8" s="346" t="str">
        <x:f>IF('Platform Model &amp; Ecosystem'!$AE$12="","U/K",'Platform Model &amp; Ecosystem'!$AE$12)</x:f>
        <x:v>No</x:v>
      </x:c>
    </x:row>
    <x:row r="9" ht="36" customHeight="1">
      <x:c r="A9" s="359" t="str">
        <x:v>Cross-Instance Rooms / Communities?</x:v>
      </x:c>
      <x:c r="B9" s="346" t="str">
        <x:f>IF('Platform Model &amp; Ecosystem'!$B$14="","U/K",'Platform Model &amp; Ecosystem'!$B$14)</x:f>
        <x:v>No</x:v>
      </x:c>
      <x:c r="C9" s="346" t="str">
        <x:f>IF('Platform Model &amp; Ecosystem'!$C$14="","U/K",'Platform Model &amp; Ecosystem'!$C$14)</x:f>
        <x:v>No</x:v>
      </x:c>
      <x:c r="D9" s="346" t="str">
        <x:f>IF('Platform Model &amp; Ecosystem'!$D$14="","U/K",'Platform Model &amp; Ecosystem'!$D$14)</x:f>
        <x:v>No</x:v>
      </x:c>
      <x:c r="E9" s="346" t="str">
        <x:f>IF('Platform Model &amp; Ecosystem'!$E$14="","U/K",'Platform Model &amp; Ecosystem'!$E$14)</x:f>
        <x:v>Not yet</x:v>
      </x:c>
      <x:c r="F9" s="346" t="str">
        <x:f>IF('Platform Model &amp; Ecosystem'!$F$14="","U/K",'Platform Model &amp; Ecosystem'!$F$14)</x:f>
        <x:v>No</x:v>
      </x:c>
      <x:c r="G9" s="346" t="str">
        <x:f>IF('Platform Model &amp; Ecosystem'!$G$14="","U/K",'Platform Model &amp; Ecosystem'!$G$14)</x:f>
        <x:v>Yes - rooms can span homeservers</x:v>
      </x:c>
      <x:c r="H9" s="346" t="str">
        <x:f>IF('Platform Model &amp; Ecosystem'!$H$14="","U/K",'Platform Model &amp; Ecosystem'!$H$14)</x:f>
        <x:v>No</x:v>
      </x:c>
      <x:c r="I9" s="346" t="str">
        <x:f>IF('Platform Model &amp; Ecosystem'!$I$14="","U/K",'Platform Model &amp; Ecosystem'!$I$14)</x:f>
        <x:v>No</x:v>
      </x:c>
      <x:c r="J9" s="346" t="str">
        <x:f>IF('Platform Model &amp; Ecosystem'!$J$14="","U/K",'Platform Model &amp; Ecosystem'!$J$14)</x:f>
        <x:v>No</x:v>
      </x:c>
      <x:c r="K9" s="346" t="str">
        <x:f>IF('Platform Model &amp; Ecosystem'!$K$14="","U/K",'Platform Model &amp; Ecosystem'!$K$14)</x:f>
        <x:v>No</x:v>
      </x:c>
      <x:c r="L9" s="346" t="str">
        <x:f>IF('Platform Model &amp; Ecosystem'!$L$14="","U/K",'Platform Model &amp; Ecosystem'!$L$14)</x:f>
        <x:v>No</x:v>
      </x:c>
      <x:c r="M9" s="346" t="str">
        <x:f>IF('Platform Model &amp; Ecosystem'!$M$14="","U/K",'Platform Model &amp; Ecosystem'!$M$14)</x:f>
        <x:v>Yes for supported federated rooms</x:v>
      </x:c>
      <x:c r="N9" s="346" t="str">
        <x:f>IF('Platform Model &amp; Ecosystem'!$N$14="","U/K",'Platform Model &amp; Ecosystem'!$N$14)</x:f>
        <x:v>No</x:v>
      </x:c>
      <x:c r="O9" s="346" t="str">
        <x:f>IF('Platform Model &amp; Ecosystem'!$O$14="","U/K",'Platform Model &amp; Ecosystem'!$O$14)</x:f>
        <x:v>No</x:v>
      </x:c>
      <x:c r="P9" s="346" t="str">
        <x:f>IF('Platform Model &amp; Ecosystem'!$P$14="","U/K",'Platform Model &amp; Ecosystem'!$P$14)</x:f>
        <x:v>No</x:v>
      </x:c>
      <x:c r="Q9" s="346" t="str">
        <x:f>IF('Platform Model &amp; Ecosystem'!$Q$14="","U/K",'Platform Model &amp; Ecosystem'!$Q$14)</x:f>
        <x:v>Federated communities intended</x:v>
      </x:c>
      <x:c r="R9" s="346" t="str">
        <x:f>IF('Platform Model &amp; Ecosystem'!$R$14="","U/K",'Platform Model &amp; Ecosystem'!$R$14)</x:f>
        <x:v>Planned</x:v>
      </x:c>
      <x:c r="S9" s="346" t="str">
        <x:f>IF('Platform Model &amp; Ecosystem'!$S$14="","U/K",'Platform Model &amp; Ecosystem'!$S$14)</x:f>
        <x:v>No</x:v>
      </x:c>
      <x:c r="T9" s="346" t="str">
        <x:f>IF('Platform Model &amp; Ecosystem'!$T$14="","U/K",'Platform Model &amp; Ecosystem'!$T$14)</x:f>
        <x:v>No</x:v>
      </x:c>
      <x:c r="U9" s="346" t="str">
        <x:f>IF('Platform Model &amp; Ecosystem'!$U$14="","U/K",'Platform Model &amp; Ecosystem'!$U$14)</x:f>
        <x:v>No</x:v>
      </x:c>
      <x:c r="V9" s="346" t="str">
        <x:f>IF('Platform Model &amp; Ecosystem'!$V$14="","U/K",'Platform Model &amp; Ecosystem'!$V$14)</x:f>
        <x:v>Planned</x:v>
      </x:c>
      <x:c r="W9" s="346" t="str">
        <x:f>IF('Platform Model &amp; Ecosystem'!$W$14="","U/K",'Platform Model &amp; Ecosystem'!$W$14)</x:f>
        <x:v>ATProto-linked spaces</x:v>
      </x:c>
      <x:c r="X9" s="346" t="str">
        <x:f>IF('Platform Model &amp; Ecosystem'!$X$14="","U/K",'Platform Model &amp; Ecosystem'!$X$14)</x:f>
        <x:v>Communities can use multiple relays</x:v>
      </x:c>
      <x:c r="Y9" s="346" t="str">
        <x:f>IF('Platform Model &amp; Ecosystem'!$Y$14="","U/K",'Platform Model &amp; Ecosystem'!$Y$14)</x:f>
        <x:v>Peers communicate across relays/home servers as designed</x:v>
      </x:c>
      <x:c r="Z9" s="346" t="str">
        <x:f>IF('Platform Model &amp; Ecosystem'!$Z$14="","U/K",'Platform Model &amp; Ecosystem'!$Z$14)</x:f>
        <x:v>Cross-server messenger works</x:v>
      </x:c>
      <x:c r="AA9" s="380" t="str">
        <x:f>IF('Platform Model &amp; Ecosystem'!$AA$14="","U/K",'Platform Model &amp; Ecosystem'!$AA$14)</x:f>
        <x:v>No</x:v>
      </x:c>
      <x:c r="AB9" s="346" t="str">
        <x:f>IF('Platform Model &amp; Ecosystem'!$AB$14="","U/K",'Platform Model &amp; Ecosystem'!$AB$14)</x:f>
        <x:v>No</x:v>
      </x:c>
      <x:c r="AC9" s="346" t="str">
        <x:f>IF('Platform Model &amp; Ecosystem'!$AC$14="","U/K",'Platform Model &amp; Ecosystem'!$AC$14)</x:f>
        <x:v>No</x:v>
      </x:c>
      <x:c r="AD9" s="346" t="str">
        <x:f>IF('Platform Model &amp; Ecosystem'!$AD$14="","U/K",'Platform Model &amp; Ecosystem'!$AD$14)</x:f>
        <x:v>Limited/evolving</x:v>
      </x:c>
      <x:c r="AE9" s="346" t="str">
        <x:f>IF('Platform Model &amp; Ecosystem'!$AE$14="","U/K",'Platform Model &amp; Ecosystem'!$AE$14)</x:f>
        <x:v>No</x:v>
      </x:c>
    </x:row>
    <x:row r="10" ht="36" customHeight="1">
      <x:c r="A10" s="359" t="str">
        <x:v>Cross-Instance DMs?</x:v>
      </x:c>
      <x:c r="B10" s="346" t="str">
        <x:v>No</x:v>
      </x:c>
      <x:c r="C10" s="346" t="str">
        <x:v>U/K</x:v>
      </x:c>
      <x:c r="D10" s="346" t="str">
        <x:v>No</x:v>
      </x:c>
      <x:c r="E10" s="346" t="str">
        <x:v>U/K</x:v>
      </x:c>
      <x:c r="F10" s="346" t="str">
        <x:v>No</x:v>
      </x:c>
      <x:c r="G10" s="346" t="str">
        <x:v>Yes</x:v>
      </x:c>
      <x:c r="H10" s="346" t="str">
        <x:v>U/K</x:v>
      </x:c>
      <x:c r="I10" s="346" t="str">
        <x:v>No</x:v>
      </x:c>
      <x:c r="J10" s="346" t="str">
        <x:v>No</x:v>
      </x:c>
      <x:c r="K10" s="346" t="str">
        <x:v>No</x:v>
      </x:c>
      <x:c r="L10" s="346" t="str">
        <x:v>No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Yes</x:v>
      </x:c>
      <x:c r="Y10" s="346" t="str">
        <x:v>Yes</x:v>
      </x:c>
      <x:c r="Z10" s="346" t="str">
        <x:v>Yes</x:v>
      </x:c>
      <x:c r="AA10" s="380" t="str">
        <x:v>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9" t="str">
        <x:v>Account Portable Across Instances?</x:v>
      </x:c>
      <x:c r="B11" s="346" t="str">
        <x:f>IF('Platform Model &amp; Ecosystem'!$B$15="","U/K",'Platform Model &amp; Ecosystem'!$B$15)</x:f>
        <x:v>No</x:v>
      </x:c>
      <x:c r="C11" s="346" t="str">
        <x:f>IF('Platform Model &amp; Ecosystem'!$C$15="","U/K",'Platform Model &amp; Ecosystem'!$C$15)</x:f>
        <x:v>No seamless portable identity</x:v>
      </x:c>
      <x:c r="D11" s="346" t="str">
        <x:f>IF('Platform Model &amp; Ecosystem'!$D$15="","U/K",'Platform Model &amp; Ecosystem'!$D$15)</x:f>
        <x:v>No</x:v>
      </x:c>
      <x:c r="E11" s="346" t="str">
        <x:f>IF('Platform Model &amp; Ecosystem'!$E$15="","U/K",'Platform Model &amp; Ecosystem'!$E$15)</x:f>
        <x:v>No current portable cross-instance identity</x:v>
      </x:c>
      <x:c r="F11" s="346" t="str">
        <x:f>IF('Platform Model &amp; Ecosystem'!$F$15="","U/K",'Platform Model &amp; Ecosystem'!$F$15)</x:f>
        <x:v>No</x:v>
      </x:c>
      <x:c r="G11" s="346" t="str">
        <x:f>IF('Platform Model &amp; Ecosystem'!$G$15="","U/K",'Platform Model &amp; Ecosystem'!$G$15)</x:f>
        <x:v>Identity is namespaced to a homeserver; clients are portable, account migration is not universally seamless</x:v>
      </x:c>
      <x:c r="H11" s="346" t="str">
        <x:f>IF('Platform Model &amp; Ecosystem'!$H$15="","U/K",'Platform Model &amp; Ecosystem'!$H$15)</x:f>
        <x:v>No</x:v>
      </x:c>
      <x:c r="I11" s="346" t="str">
        <x:f>IF('Platform Model &amp; Ecosystem'!$I$15="","U/K",'Platform Model &amp; Ecosystem'!$I$15)</x:f>
        <x:v>Certificate/user identity can be reused manually; no global portable identity layer</x:v>
      </x:c>
      <x:c r="J11" s="346" t="str">
        <x:f>IF('Platform Model &amp; Ecosystem'!$J$15="","U/K",'Platform Model &amp; Ecosystem'!$J$15)</x:f>
        <x:v>No global federated identity</x:v>
      </x:c>
      <x:c r="K11" s="346" t="str">
        <x:f>IF('Platform Model &amp; Ecosystem'!$K$15="","U/K",'Platform Model &amp; Ecosystem'!$K$15)</x:f>
        <x:v>No seamless cross-server identity</x:v>
      </x:c>
      <x:c r="L11" s="346" t="str">
        <x:f>IF('Platform Model &amp; Ecosystem'!$L$15="","U/K",'Platform Model &amp; Ecosystem'!$L$15)</x:f>
        <x:v>No</x:v>
      </x:c>
      <x:c r="M11" s="346" t="str">
        <x:f>IF('Platform Model &amp; Ecosystem'!$M$15="","U/K",'Platform Model &amp; Ecosystem'!$M$15)</x:f>
        <x:v>Limited; not equivalent to universal account migration</x:v>
      </x:c>
      <x:c r="N11" s="346" t="str">
        <x:f>IF('Platform Model &amp; Ecosystem'!$N$15="","U/K",'Platform Model &amp; Ecosystem'!$N$15)</x:f>
        <x:v>No</x:v>
      </x:c>
      <x:c r="O11" s="346" t="str">
        <x:f>IF('Platform Model &amp; Ecosystem'!$O$15="","U/K",'Platform Model &amp; Ecosystem'!$O$15)</x:f>
        <x:v>No</x:v>
      </x:c>
      <x:c r="P11" s="346" t="str">
        <x:f>IF('Platform Model &amp; Ecosystem'!$P$15="","U/K",'Platform Model &amp; Ecosystem'!$P$15)</x:f>
        <x:v>No</x:v>
      </x:c>
      <x:c r="Q11" s="346" t="str">
        <x:f>IF('Platform Model &amp; Ecosystem'!$Q$15="","U/K",'Platform Model &amp; Ecosystem'!$Q$15)</x:f>
        <x:v>U/K</x:v>
      </x:c>
      <x:c r="R11" s="346" t="str">
        <x:f>IF('Platform Model &amp; Ecosystem'!$R$15="","U/K",'Platform Model &amp; Ecosystem'!$R$15)</x:f>
        <x:v>Planned</x:v>
      </x:c>
      <x:c r="S11" s="346" t="str">
        <x:f>IF('Platform Model &amp; Ecosystem'!$S$15="","U/K",'Platform Model &amp; Ecosystem'!$S$15)</x:f>
        <x:v>No</x:v>
      </x:c>
      <x:c r="T11" s="346" t="str">
        <x:f>IF('Platform Model &amp; Ecosystem'!$T$15="","U/K",'Platform Model &amp; Ecosystem'!$T$15)</x:f>
        <x:v>No</x:v>
      </x:c>
      <x:c r="U11" s="346" t="str">
        <x:f>IF('Platform Model &amp; Ecosystem'!$U$15="","U/K",'Platform Model &amp; Ecosystem'!$U$15)</x:f>
        <x:v>No</x:v>
      </x:c>
      <x:c r="V11" s="346" t="str">
        <x:f>IF('Platform Model &amp; Ecosystem'!$V$15="","U/K",'Platform Model &amp; Ecosystem'!$V$15)</x:f>
        <x:v>Planned</x:v>
      </x:c>
      <x:c r="W11" s="346" t="str">
        <x:f>IF('Platform Model &amp; Ecosystem'!$W$15="","U/K",'Platform Model &amp; Ecosystem'!$W$15)</x:f>
        <x:v>Identity via ATProto</x:v>
      </x:c>
      <x:c r="X11" s="346" t="str">
        <x:f>IF('Platform Model &amp; Ecosystem'!$X$15="","U/K",'Platform Model &amp; Ecosystem'!$X$15)</x:f>
        <x:v>Identity is portable by keypair</x:v>
      </x:c>
      <x:c r="Y11" s="346" t="str">
        <x:f>IF('Platform Model &amp; Ecosystem'!$Y$15="","U/K",'Platform Model &amp; Ecosystem'!$Y$15)</x:f>
        <x:v>Yes - identity key portable</x:v>
      </x:c>
      <x:c r="Z11" s="346" t="str">
        <x:f>IF('Platform Model &amp; Ecosystem'!$Z$15="","U/K",'Platform Model &amp; Ecosystem'!$Z$15)</x:f>
        <x:v>Yes - messenger global ID/key and account export</x:v>
      </x:c>
      <x:c r="AA11" s="380" t="str">
        <x:f>IF('Platform Model &amp; Ecosystem'!$AA$15="","U/K",'Platform Model &amp; Ecosystem'!$AA$15)</x:f>
        <x:v>No</x:v>
      </x:c>
      <x:c r="AB11" s="346" t="str">
        <x:f>IF('Platform Model &amp; Ecosystem'!$AB$15="","U/K",'Platform Model &amp; Ecosystem'!$AB$15)</x:f>
        <x:v>No</x:v>
      </x:c>
      <x:c r="AC11" s="346" t="str">
        <x:f>IF('Platform Model &amp; Ecosystem'!$AC$15="","U/K",'Platform Model &amp; Ecosystem'!$AC$15)</x:f>
        <x:v>No</x:v>
      </x:c>
      <x:c r="AD11" s="346" t="str">
        <x:f>IF('Platform Model &amp; Ecosystem'!$AD$15="","U/K",'Platform Model &amp; Ecosystem'!$AD$15)</x:f>
        <x:v>Account survives community node moves per docs</x:v>
      </x:c>
      <x:c r="AE11" s="346" t="str">
        <x:f>IF('Platform Model &amp; Ecosystem'!$AE$15="","U/K",'Platform Model &amp; Ecosystem'!$AE$15)</x:f>
        <x:v>No</x:v>
      </x:c>
    </x:row>
    <x:row r="12" ht="23" customHeight="1">
      <x:c r="A12" s="427" t="str">
        <x:v>Protocol</x:v>
      </x:c>
      <x:c r="B12" s="427"/>
      <x:c r="C12" s="427"/>
      <x:c r="D12" s="427"/>
      <x:c r="E12" s="427"/>
      <x:c r="F12" s="427"/>
      <x:c r="G12" s="427"/>
      <x:c r="H12" s="427"/>
      <x:c r="I12" s="427"/>
      <x:c r="J12" s="427"/>
      <x:c r="K12" s="427"/>
      <x:c r="L12" s="427"/>
      <x:c r="M12" s="427"/>
      <x:c r="N12" s="427"/>
      <x:c r="O12" s="427"/>
      <x:c r="P12" s="427"/>
      <x:c r="Q12" s="427"/>
      <x:c r="R12" s="427"/>
      <x:c r="S12" s="427"/>
      <x:c r="T12" s="427"/>
      <x:c r="U12" s="427"/>
      <x:c r="V12" s="427"/>
      <x:c r="W12" s="427"/>
      <x:c r="X12" s="427"/>
      <x:c r="Y12" s="427"/>
      <x:c r="Z12" s="427"/>
      <x:c r="AA12" s="427"/>
      <x:c r="AB12" s="427"/>
      <x:c r="AC12" s="427"/>
      <x:c r="AD12" s="427"/>
      <x:c r="AE12" s="427"/>
    </x:row>
    <x:row r="13" ht="36" customHeight="1">
      <x:c r="A13" s="359" t="str">
        <x:v>Primary Network Protocol</x:v>
      </x:c>
      <x:c r="B13" s="346" t="str">
        <x:f>IF('Architecture &amp; Licensing'!$B$4="","U/K",'Architecture &amp; Licensing'!$B$4)</x:f>
        <x:v>No federation; centralized proprietary service (public HTTP/Gateway APIs for apps)</x:v>
      </x:c>
      <x:c r="C13" s="346" t="str">
        <x:f>IF('Architecture &amp; Licensing'!$C$4="","U/K",'Architecture &amp; Licensing'!$C$4)</x:f>
        <x:v>No inter-instance federation; custom REST/WebSocket API</x:v>
      </x:c>
      <x:c r="D13" s="346" t="str">
        <x:f>IF('Architecture &amp; Licensing'!$D$4="","U/K",'Architecture &amp; Licensing'!$D$4)</x:f>
        <x:v>No federation; custom platform APIs</x:v>
      </x:c>
      <x:c r="E13" s="346" t="str">
        <x:f>IF('Architecture &amp; Licensing'!$E$4="","U/K",'Architecture &amp; Licensing'!$E$4)</x:f>
        <x:v>No federation yet; federation on roadmap; Discord-inspired REST/Gateway</x:v>
      </x:c>
      <x:c r="F13" s="346" t="str">
        <x:f>IF('Architecture &amp; Licensing'!$F$4="","U/K",'Architecture &amp; Licensing'!$F$4)</x:f>
        <x:v>No federation; proprietary Root APIs</x:v>
      </x:c>
      <x:c r="G13" s="346" t="str">
        <x:f>IF('Architecture &amp; Licensing'!$G$4="","U/K",'Architecture &amp; Licensing'!$G$4)</x:f>
        <x:v>Matrix Client-Server API + Server-Server/Federation API; MatrixRTC for realtime calling</x:v>
      </x:c>
      <x:c r="H13" s="346" t="str">
        <x:f>IF('Architecture &amp; Licensing'!$H$4="","U/K",'Architecture &amp; Licensing'!$H$4)</x:f>
        <x:v>Discord-compatible REST API + Gateway/WebSocket; no federation</x:v>
      </x:c>
      <x:c r="I13" s="346" t="str">
        <x:f>IF('Architecture &amp; Licensing'!$I$4="","U/K",'Architecture &amp; Licensing'!$I$4)</x:f>
        <x:v>Mumble protocol over TLS/UDP; no federation</x:v>
      </x:c>
      <x:c r="J13" s="346" t="str">
        <x:f>IF('Architecture &amp; Licensing'!$J$4="","U/K",'Architecture &amp; Licensing'!$J$4)</x:f>
        <x:v>Proprietary TeamSpeak protocol; no federation</x:v>
      </x:c>
      <x:c r="K13" s="346" t="str">
        <x:f>IF('Architecture &amp; Licensing'!$K$4="","U/K",'Architecture &amp; Licensing'!$K$4)</x:f>
        <x:v>Zulip REST/realtime event API; no cross-server federation</x:v>
      </x:c>
      <x:c r="L13" s="346" t="str">
        <x:f>IF('Architecture &amp; Licensing'!$L$4="","U/K",'Architecture &amp; Licensing'!$L$4)</x:f>
        <x:v>Mattermost APIs/WebSocket; no general cross-server federation</x:v>
      </x:c>
      <x:c r="M13" s="346" t="str">
        <x:f>IF('Architecture &amp; Licensing'!$M$4="","U/K",'Architecture &amp; Licensing'!$M$4)</x:f>
        <x:v>REST/WebSocket/DDP + Matrix-based federation capabilities</x:v>
      </x:c>
      <x:c r="N13" s="346" t="str">
        <x:f>IF('Architecture &amp; Licensing'!$N$4="","U/K",'Architecture &amp; Licensing'!$N$4)</x:f>
        <x:v>Centralized/independent servers; no federation verified</x:v>
      </x:c>
      <x:c r="O13" s="346" t="str">
        <x:f>IF('Architecture &amp; Licensing'!$O$4="","U/K",'Architecture &amp; Licensing'!$O$4)</x:f>
        <x:v>No federation</x:v>
      </x:c>
      <x:c r="P13" s="346" t="str">
        <x:f>IF('Architecture &amp; Licensing'!$P$4="","U/K",'Architecture &amp; Licensing'!$P$4)</x:f>
        <x:v>No federation verified</x:v>
      </x:c>
      <x:c r="Q13" s="346" t="str">
        <x:f>IF('Architecture &amp; Licensing'!$Q$4="","U/K",'Architecture &amp; Licensing'!$Q$4)</x:f>
        <x:v>Federated infrastructure planned/implemented in evolving form</x:v>
      </x:c>
      <x:c r="R13" s="346" t="str">
        <x:f>IF('Architecture &amp; Licensing'!$R$4="","U/K",'Architecture &amp; Licensing'!$R$4)</x:f>
        <x:v>Custom federation protocol in development</x:v>
      </x:c>
      <x:c r="S13" s="346" t="str">
        <x:f>IF('Architecture &amp; Licensing'!$S$4="","U/K",'Architecture &amp; Licensing'!$S$4)</x:f>
        <x:v>Custom high-performance stack; federation U/K</x:v>
      </x:c>
      <x:c r="T13" s="346" t="str">
        <x:f>IF('Architecture &amp; Licensing'!$T$4="","U/K",'Architecture &amp; Licensing'!$T$4)</x:f>
        <x:v>No federation verified</x:v>
      </x:c>
      <x:c r="U13" s="346" t="str">
        <x:f>IF('Architecture &amp; Licensing'!$U$4="","U/K",'Architecture &amp; Licensing'!$U$4)</x:f>
        <x:v>Independent servers; no federation verified</x:v>
      </x:c>
      <x:c r="V13" s="346" t="str">
        <x:f>IF('Architecture &amp; Licensing'!$V$4="","U/K",'Architecture &amp; Licensing'!$V$4)</x:f>
        <x:v>Discord-like API; federation planned</x:v>
      </x:c>
      <x:c r="W13" s="346" t="str">
        <x:f>IF('Architecture &amp; Licensing'!$W$4="","U/K",'Architecture &amp; Licensing'!$W$4)</x:f>
        <x:v>ATProto-based data model; not a Matrix-style chat federation</x:v>
      </x:c>
      <x:c r="X13" s="346" t="str">
        <x:f>IF('Architecture &amp; Licensing'!$X$4="","U/K",'Architecture &amp; Licensing'!$X$4)</x:f>
        <x:v>Nostr + Concord + NIP-29 relay groups</x:v>
      </x:c>
      <x:c r="Y13" s="346" t="str">
        <x:f>IF('Architecture &amp; Licensing'!$Y$4="","U/K",'Architecture &amp; Licensing'!$Y$4)</x:f>
        <x:v>Custom relay protocol + CRDT sync; no central account server</x:v>
      </x:c>
      <x:c r="Z13" s="346" t="str">
        <x:f>IF('Architecture &amp; Licensing'!$Z$4="","U/K",'Architecture &amp; Licensing'!$Z$4)</x:f>
        <x:v>Custom server protocol/WebSockets; federation/decentralization features</x:v>
      </x:c>
      <x:c r="AA13" s="380" t="str">
        <x:f>IF('Architecture &amp; Licensing'!$AA$4="","U/K",'Architecture &amp; Licensing'!$AA$4)</x:f>
        <x:v>No federation</x:v>
      </x:c>
      <x:c r="AB13" s="346" t="str">
        <x:f>IF('Architecture &amp; Licensing'!$AB$4="","U/K",'Architecture &amp; Licensing'!$AB$4)</x:f>
        <x:v>No federation; independent self-host copies</x:v>
      </x:c>
      <x:c r="AC13" s="346" t="str">
        <x:f>IF('Architecture &amp; Licensing'!$AC$4="","U/K",'Architecture &amp; Licensing'!$AC$4)</x:f>
        <x:v>No federation</x:v>
      </x:c>
      <x:c r="AD13" s="346" t="str">
        <x:f>IF('Architecture &amp; Licensing'!$AD$4="","U/K",'Architecture &amp; Licensing'!$AD$4)</x:f>
        <x:v>Independent instances/nodes; federation/migration features</x:v>
      </x:c>
      <x:c r="AE13" s="346" t="str">
        <x:f>IF('Architecture &amp; Licensing'!$AE$4="","U/K",'Architecture &amp; Licensing'!$AE$4)</x:f>
        <x:v>No federation</x:v>
      </x:c>
    </x:row>
    <x:row r="14" ht="36" customHeight="1">
      <x:c r="A14" s="359" t="str">
        <x:v>Public Protocol Specification?</x:v>
      </x:c>
      <x:c r="B14" s="346" t="str">
        <x:f>IF('Platform Model &amp; Ecosystem'!$B$16="","U/K",'Platform Model &amp; Ecosystem'!$B$16)</x:f>
        <x:v>Proprietary public developer APIs, not an open protocol</x:v>
      </x:c>
      <x:c r="C14" s="346" t="str">
        <x:f>IF('Platform Model &amp; Ecosystem'!$C$16="","U/K",'Platform Model &amp; Ecosystem'!$C$16)</x:f>
        <x:v>Public REST/WebSocket API, but not a federation standard</x:v>
      </x:c>
      <x:c r="D14" s="346" t="str">
        <x:f>IF('Platform Model &amp; Ecosystem'!$D$16="","U/K",'Platform Model &amp; Ecosystem'!$D$16)</x:f>
        <x:v>No open interoperability standard</x:v>
      </x:c>
      <x:c r="E14" s="346" t="str">
        <x:f>IF('Platform Model &amp; Ecosystem'!$E$16="","U/K",'Platform Model &amp; Ecosystem'!$E$16)</x:f>
        <x:v>Public API/Gateway inspired by Discord; not a federation standard</x:v>
      </x:c>
      <x:c r="F14" s="346" t="str">
        <x:f>IF('Platform Model &amp; Ecosystem'!$F$16="","U/K",'Platform Model &amp; Ecosystem'!$F$16)</x:f>
        <x:v>Proprietary Root APIs/SDK</x:v>
      </x:c>
      <x:c r="G14" s="346" t="str">
        <x:f>IF('Platform Model &amp; Ecosystem'!$G$16="","U/K",'Platform Model &amp; Ecosystem'!$G$16)</x:f>
        <x:v>Open Matrix specification: Client-Server + Server-Server/Federation APIs</x:v>
      </x:c>
      <x:c r="H14" s="346" t="str">
        <x:f>IF('Platform Model &amp; Ecosystem'!$H$16="","U/K",'Platform Model &amp; Ecosystem'!$H$16)</x:f>
        <x:v>Discord-compatible REST/Gateway reimplementation</x:v>
      </x:c>
      <x:c r="I14" s="346" t="str">
        <x:f>IF('Platform Model &amp; Ecosystem'!$I$16="","U/K",'Platform Model &amp; Ecosystem'!$I$16)</x:f>
        <x:v>Open Mumble protocol/source</x:v>
      </x:c>
      <x:c r="J14" s="346" t="str">
        <x:f>IF('Platform Model &amp; Ecosystem'!$J$16="","U/K",'Platform Model &amp; Ecosystem'!$J$16)</x:f>
        <x:v>Proprietary protocol/API</x:v>
      </x:c>
      <x:c r="K14" s="346" t="str">
        <x:f>IF('Platform Model &amp; Ecosystem'!$K$16="","U/K",'Platform Model &amp; Ecosystem'!$K$16)</x:f>
        <x:v>Open REST/realtime APIs</x:v>
      </x:c>
      <x:c r="L14" s="346" t="str">
        <x:f>IF('Platform Model &amp; Ecosystem'!$L$16="","U/K",'Platform Model &amp; Ecosystem'!$L$16)</x:f>
        <x:v>Open APIs, not a general federation standard</x:v>
      </x:c>
      <x:c r="M14" s="346" t="str">
        <x:f>IF('Platform Model &amp; Ecosystem'!$M$16="","U/K",'Platform Model &amp; Ecosystem'!$M$16)</x:f>
        <x:v>REST/realtime APIs + federation components</x:v>
      </x:c>
      <x:c r="N14" s="346" t="str">
        <x:f>IF('Platform Model &amp; Ecosystem'!$N$16="","U/K",'Platform Model &amp; Ecosystem'!$N$16)</x:f>
        <x:v>Proprietary API/service</x:v>
      </x:c>
      <x:c r="O14" s="346" t="str">
        <x:f>IF('Platform Model &amp; Ecosystem'!$O$16="","U/K",'Platform Model &amp; Ecosystem'!$O$16)</x:f>
        <x:v>Public app/API code, not a federation standard</x:v>
      </x:c>
      <x:c r="P14" s="346" t="str">
        <x:f>IF('Platform Model &amp; Ecosystem'!$P$16="","U/K",'Platform Model &amp; Ecosystem'!$P$16)</x:f>
        <x:v>Proprietary service APIs</x:v>
      </x:c>
      <x:c r="Q14" s="346" t="str">
        <x:f>IF('Platform Model &amp; Ecosystem'!$Q$16="","U/K",'Platform Model &amp; Ecosystem'!$Q$16)</x:f>
        <x:v>Discord-compatible API + federation work</x:v>
      </x:c>
      <x:c r="R14" s="346" t="str">
        <x:f>IF('Platform Model &amp; Ecosystem'!$R$16="","U/K",'Platform Model &amp; Ecosystem'!$R$16)</x:f>
        <x:v>Custom open-source federation protocol</x:v>
      </x:c>
      <x:c r="S14" s="346" t="str">
        <x:f>IF('Platform Model &amp; Ecosystem'!$S$16="","U/K",'Platform Model &amp; Ecosystem'!$S$16)</x:f>
        <x:v>Custom APIs</x:v>
      </x:c>
      <x:c r="T14" s="346" t="str">
        <x:f>IF('Platform Model &amp; Ecosystem'!$T$16="","U/K",'Platform Model &amp; Ecosystem'!$T$16)</x:f>
        <x:v>Proprietary</x:v>
      </x:c>
      <x:c r="U14" s="346" t="str">
        <x:f>IF('Platform Model &amp; Ecosystem'!$U$16="","U/K",'Platform Model &amp; Ecosystem'!$U$16)</x:f>
        <x:v>Proprietary product protocol U/K</x:v>
      </x:c>
      <x:c r="V14" s="346" t="str">
        <x:f>IF('Platform Model &amp; Ecosystem'!$V$16="","U/K",'Platform Model &amp; Ecosystem'!$V$16)</x:f>
        <x:v>Discord-compatible API</x:v>
      </x:c>
      <x:c r="W14" s="346" t="str">
        <x:f>IF('Platform Model &amp; Ecosystem'!$W$16="","U/K",'Platform Model &amp; Ecosystem'!$W$16)</x:f>
        <x:v>AT Protocol</x:v>
      </x:c>
      <x:c r="X14" s="346" t="str">
        <x:f>IF('Platform Model &amp; Ecosystem'!$X$16="","U/K",'Platform Model &amp; Ecosystem'!$X$16)</x:f>
        <x:v>Nostr + Concord/NIP-29</x:v>
      </x:c>
      <x:c r="Y14" s="346" t="str">
        <x:f>IF('Platform Model &amp; Ecosystem'!$Y$16="","U/K",'Platform Model &amp; Ecosystem'!$Y$16)</x:f>
        <x:v>Custom open protocol/code</x:v>
      </x:c>
      <x:c r="Z14" s="346" t="str">
        <x:f>IF('Platform Model &amp; Ecosystem'!$Z$16="","U/K",'Platform Model &amp; Ecosystem'!$Z$16)</x:f>
        <x:v>Custom protocol</x:v>
      </x:c>
      <x:c r="AA14" s="380" t="str">
        <x:f>IF('Platform Model &amp; Ecosystem'!$AA$16="","U/K",'Platform Model &amp; Ecosystem'!$AA$16)</x:f>
        <x:v>Proprietary</x:v>
      </x:c>
      <x:c r="AB14" s="346" t="str">
        <x:f>IF('Platform Model &amp; Ecosystem'!$AB$16="","U/K",'Platform Model &amp; Ecosystem'!$AB$16)</x:f>
        <x:v>Application API/webhooks</x:v>
      </x:c>
      <x:c r="AC14" s="346" t="str">
        <x:f>IF('Platform Model &amp; Ecosystem'!$AC$16="","U/K",'Platform Model &amp; Ecosystem'!$AC$16)</x:f>
        <x:v>Proprietary</x:v>
      </x:c>
      <x:c r="AD14" s="346" t="str">
        <x:f>IF('Platform Model &amp; Ecosystem'!$AD$16="","U/K",'Platform Model &amp; Ecosystem'!$AD$16)</x:f>
        <x:v>Valour API/node protocol</x:v>
      </x:c>
      <x:c r="AE14" s="346" t="str">
        <x:f>IF('Platform Model &amp; Ecosystem'!$AE$16="","U/K",'Platform Model &amp; Ecosystem'!$AE$16)</x:f>
        <x:v>Proprietary/application API</x:v>
      </x:c>
    </x:row>
    <x:row r="15" ht="36" customHeight="1">
      <x:c r="A15" s="359" t="str">
        <x:v>Discord API Compatible?</x:v>
      </x:c>
      <x:c r="B15" s="346" t="str">
        <x:f>IF('Platform Model &amp; Ecosystem'!$B$17="","U/K",'Platform Model &amp; Ecosystem'!$B$17)</x:f>
        <x:v>No</x:v>
      </x:c>
      <x:c r="C15" s="346" t="str">
        <x:f>IF('Platform Model &amp; Ecosystem'!$C$17="","U/K",'Platform Model &amp; Ecosystem'!$C$17)</x:f>
        <x:v>No</x:v>
      </x:c>
      <x:c r="D15" s="346" t="str">
        <x:f>IF('Platform Model &amp; Ecosystem'!$D$17="","U/K",'Platform Model &amp; Ecosystem'!$D$17)</x:f>
        <x:v>No</x:v>
      </x:c>
      <x:c r="E15" s="346" t="str">
        <x:f>IF('Platform Model &amp; Ecosystem'!$E$17="","U/K",'Platform Model &amp; Ecosystem'!$E$17)</x:f>
        <x:v>Partial Discord wire/API compatibility goals</x:v>
      </x:c>
      <x:c r="F15" s="346" t="str">
        <x:f>IF('Platform Model &amp; Ecosystem'!$F$17="","U/K",'Platform Model &amp; Ecosystem'!$F$17)</x:f>
        <x:v>No</x:v>
      </x:c>
      <x:c r="G15" s="346" t="str">
        <x:f>IF('Platform Model &amp; Ecosystem'!$G$17="","U/K",'Platform Model &amp; Ecosystem'!$G$17)</x:f>
        <x:v>No</x:v>
      </x:c>
      <x:c r="H15" s="346" t="str">
        <x:f>IF('Platform Model &amp; Ecosystem'!$H$17="","U/K",'Platform Model &amp; Ecosystem'!$H$17)</x:f>
        <x:v>Yes - major design goal</x:v>
      </x:c>
      <x:c r="I15" s="346" t="str">
        <x:f>IF('Platform Model &amp; Ecosystem'!$I$17="","U/K",'Platform Model &amp; Ecosystem'!$I$17)</x:f>
        <x:v>No</x:v>
      </x:c>
      <x:c r="J15" s="346" t="str">
        <x:f>IF('Platform Model &amp; Ecosystem'!$J$17="","U/K",'Platform Model &amp; Ecosystem'!$J$17)</x:f>
        <x:v>No</x:v>
      </x:c>
      <x:c r="K15" s="346" t="str">
        <x:f>IF('Platform Model &amp; Ecosystem'!$K$17="","U/K",'Platform Model &amp; Ecosystem'!$K$17)</x:f>
        <x:v>No</x:v>
      </x:c>
      <x:c r="L15" s="346" t="str">
        <x:f>IF('Platform Model &amp; Ecosystem'!$L$17="","U/K",'Platform Model &amp; Ecosystem'!$L$17)</x:f>
        <x:v>No</x:v>
      </x:c>
      <x:c r="M15" s="346" t="str">
        <x:f>IF('Platform Model &amp; Ecosystem'!$M$17="","U/K",'Platform Model &amp; Ecosystem'!$M$17)</x:f>
        <x:v>No</x:v>
      </x:c>
      <x:c r="N15" s="346" t="str">
        <x:f>IF('Platform Model &amp; Ecosystem'!$N$17="","U/K",'Platform Model &amp; Ecosystem'!$N$17)</x:f>
        <x:v>No</x:v>
      </x:c>
      <x:c r="O15" s="346" t="str">
        <x:f>IF('Platform Model &amp; Ecosystem'!$O$17="","U/K",'Platform Model &amp; Ecosystem'!$O$17)</x:f>
        <x:v>No</x:v>
      </x:c>
      <x:c r="P15" s="346" t="str">
        <x:f>IF('Platform Model &amp; Ecosystem'!$P$17="","U/K",'Platform Model &amp; Ecosystem'!$P$17)</x:f>
        <x:v>No</x:v>
      </x:c>
      <x:c r="Q15" s="346" t="str">
        <x:f>IF('Platform Model &amp; Ecosystem'!$Q$17="","U/K",'Platform Model &amp; Ecosystem'!$Q$17)</x:f>
        <x:v>Yes - Discord-like bot compatibility</x:v>
      </x:c>
      <x:c r="R15" s="346" t="str">
        <x:f>IF('Platform Model &amp; Ecosystem'!$R$17="","U/K",'Platform Model &amp; Ecosystem'!$R$17)</x:f>
        <x:v>No</x:v>
      </x:c>
      <x:c r="S15" s="346" t="str">
        <x:f>IF('Platform Model &amp; Ecosystem'!$S$17="","U/K",'Platform Model &amp; Ecosystem'!$S$17)</x:f>
        <x:v>No</x:v>
      </x:c>
      <x:c r="T15" s="346" t="str">
        <x:f>IF('Platform Model &amp; Ecosystem'!$T$17="","U/K",'Platform Model &amp; Ecosystem'!$T$17)</x:f>
        <x:v>No</x:v>
      </x:c>
      <x:c r="U15" s="346" t="str">
        <x:f>IF('Platform Model &amp; Ecosystem'!$U$17="","U/K",'Platform Model &amp; Ecosystem'!$U$17)</x:f>
        <x:v>No</x:v>
      </x:c>
      <x:c r="V15" s="346" t="str">
        <x:f>IF('Platform Model &amp; Ecosystem'!$V$17="","U/K",'Platform Model &amp; Ecosystem'!$V$17)</x:f>
        <x:v>Yes</x:v>
      </x:c>
      <x:c r="W15" s="346" t="str">
        <x:f>IF('Platform Model &amp; Ecosystem'!$W$17="","U/K",'Platform Model &amp; Ecosystem'!$W$17)</x:f>
        <x:v>No</x:v>
      </x:c>
      <x:c r="X15" s="346" t="str">
        <x:f>IF('Platform Model &amp; Ecosystem'!$X$17="","U/K",'Platform Model &amp; Ecosystem'!$X$17)</x:f>
        <x:v>No</x:v>
      </x:c>
      <x:c r="Y15" s="346" t="str">
        <x:f>IF('Platform Model &amp; Ecosystem'!$Y$17="","U/K",'Platform Model &amp; Ecosystem'!$Y$17)</x:f>
        <x:v>No</x:v>
      </x:c>
      <x:c r="Z15" s="346" t="str">
        <x:f>IF('Platform Model &amp; Ecosystem'!$Z$17="","U/K",'Platform Model &amp; Ecosystem'!$Z$17)</x:f>
        <x:v>No</x:v>
      </x:c>
      <x:c r="AA15" s="380" t="str">
        <x:f>IF('Platform Model &amp; Ecosystem'!$AA$17="","U/K",'Platform Model &amp; Ecosystem'!$AA$17)</x:f>
        <x:v>No</x:v>
      </x:c>
      <x:c r="AB15" s="346" t="str">
        <x:f>IF('Platform Model &amp; Ecosystem'!$AB$17="","U/K",'Platform Model &amp; Ecosystem'!$AB$17)</x:f>
        <x:v>No</x:v>
      </x:c>
      <x:c r="AC15" s="346" t="str">
        <x:f>IF('Platform Model &amp; Ecosystem'!$AC$17="","U/K",'Platform Model &amp; Ecosystem'!$AC$17)</x:f>
        <x:v>No</x:v>
      </x:c>
      <x:c r="AD15" s="346" t="str">
        <x:f>IF('Platform Model &amp; Ecosystem'!$AD$17="","U/K",'Platform Model &amp; Ecosystem'!$AD$17)</x:f>
        <x:v>No</x:v>
      </x:c>
      <x:c r="AE15" s="346" t="str">
        <x:f>IF('Platform Model &amp; Ecosystem'!$AE$17="","U/K",'Platform Model &amp; Ecosystem'!$AE$17)</x:f>
        <x:v>No</x:v>
      </x:c>
    </x:row>
    <x:row r="16" ht="23" customHeight="1">
      <x:c r="A16" s="427" t="str">
        <x:v>Code &amp; Licensing</x:v>
      </x:c>
      <x:c r="B16" s="427"/>
      <x:c r="C16" s="427"/>
      <x:c r="D16" s="427"/>
      <x:c r="E16" s="427"/>
      <x:c r="F16" s="427"/>
      <x:c r="G16" s="427"/>
      <x:c r="H16" s="427"/>
      <x:c r="I16" s="427"/>
      <x:c r="J16" s="427"/>
      <x:c r="K16" s="427"/>
      <x:c r="L16" s="427"/>
      <x:c r="M16" s="427"/>
      <x:c r="N16" s="427"/>
      <x:c r="O16" s="427"/>
      <x:c r="P16" s="427"/>
      <x:c r="Q16" s="427"/>
      <x:c r="R16" s="427"/>
      <x:c r="S16" s="427"/>
      <x:c r="T16" s="427"/>
      <x:c r="U16" s="427"/>
      <x:c r="V16" s="427"/>
      <x:c r="W16" s="427"/>
      <x:c r="X16" s="427"/>
      <x:c r="Y16" s="427"/>
      <x:c r="Z16" s="427"/>
      <x:c r="AA16" s="427"/>
      <x:c r="AB16" s="427"/>
      <x:c r="AC16" s="427"/>
      <x:c r="AD16" s="427"/>
      <x:c r="AE16" s="427"/>
    </x:row>
    <x:row r="17" ht="36" customHeight="1">
      <x:c r="A17" s="359" t="str">
        <x:v>Client Source Available?</x:v>
      </x:c>
      <x:c r="B17" s="346" t="str">
        <x:v>No</x:v>
      </x:c>
      <x:c r="C17" s="346" t="str">
        <x:v>Yes</x:v>
      </x:c>
      <x:c r="D17" s="346" t="str">
        <x:v>No</x:v>
      </x:c>
      <x:c r="E17" s="346" t="str">
        <x:v>Yes</x:v>
      </x:c>
      <x:c r="F17" s="346" t="str">
        <x:v>No</x:v>
      </x:c>
      <x:c r="G17" s="346" t="str">
        <x:v>U/K</x:v>
      </x:c>
      <x:c r="H17" s="346" t="str">
        <x:v>Yes</x:v>
      </x:c>
      <x:c r="I17" s="346" t="str">
        <x:v>Yes</x:v>
      </x:c>
      <x:c r="J17" s="346" t="str">
        <x:v>No</x:v>
      </x:c>
      <x:c r="K17" s="346" t="str">
        <x:v>Yes</x:v>
      </x:c>
      <x:c r="L17" s="346" t="str">
        <x:v>Yes</x:v>
      </x:c>
      <x:c r="M17" s="346" t="str">
        <x:v>Yes</x:v>
      </x:c>
      <x:c r="N17" s="346" t="str">
        <x:v>No</x:v>
      </x:c>
      <x:c r="O17" s="346" t="str">
        <x:v>Yes</x:v>
      </x:c>
      <x:c r="P17" s="346" t="str">
        <x:v>No</x:v>
      </x:c>
      <x:c r="Q17" s="346" t="str">
        <x:v>U/K</x:v>
      </x:c>
      <x:c r="R17" s="346" t="str">
        <x:v>U/K</x:v>
      </x:c>
      <x:c r="S17" s="346" t="str">
        <x:v>Yes</x:v>
      </x:c>
      <x:c r="T17" s="346" t="str">
        <x:v>No</x:v>
      </x:c>
      <x:c r="U17" s="346" t="str">
        <x:v>No</x:v>
      </x:c>
      <x:c r="V17" s="346" t="str">
        <x:v>Yes</x:v>
      </x:c>
      <x:c r="W17" s="346" t="str">
        <x:v>Yes</x:v>
      </x:c>
      <x:c r="X17" s="346" t="str">
        <x:v>Yes</x:v>
      </x:c>
      <x:c r="Y17" s="346" t="str">
        <x:v>Yes</x:v>
      </x:c>
      <x:c r="Z17" s="346" t="str">
        <x:v>Yes</x:v>
      </x:c>
      <x:c r="AA17" s="380" t="str">
        <x:v>No</x:v>
      </x:c>
      <x:c r="AB17" s="346" t="str">
        <x:v>Yes</x:v>
      </x:c>
      <x:c r="AC17" s="346" t="str">
        <x:v>No</x:v>
      </x:c>
      <x:c r="AD17" s="346" t="str">
        <x:v>Yes</x:v>
      </x:c>
      <x:c r="AE17" s="346" t="str">
        <x:v>Yes</x:v>
      </x:c>
    </x:row>
    <x:row r="18" ht="36" customHeight="1">
      <x:c r="A18" s="359" t="str">
        <x:v>Client License</x:v>
      </x:c>
      <x:c r="B18" s="346" t="str">
        <x:f>IF('Architecture &amp; Licensing'!$B$5="","U/K",'Architecture &amp; Licensing'!$B$5)</x:f>
        <x:v>Proprietary</x:v>
      </x:c>
      <x:c r="C18" s="346" t="str">
        <x:f>IF('Architecture &amp; Licensing'!$C$5="","U/K",'Architecture &amp; Licensing'!$C$5)</x:f>
        <x:v>FOSS (web client AGPL-3.0; clients vary)</x:v>
      </x:c>
      <x:c r="D18" s="346" t="str">
        <x:f>IF('Architecture &amp; Licensing'!$D$5="","U/K",'Architecture &amp; Licensing'!$D$5)</x:f>
        <x:v>Proprietary during alpha; open-source release planned</x:v>
      </x:c>
      <x:c r="E18" s="346" t="str">
        <x:f>IF('Architecture &amp; Licensing'!$E$5="","U/K",'Architecture &amp; Licensing'!$E$5)</x:f>
        <x:v>FOSS (AGPL-3.0)</x:v>
      </x:c>
      <x:c r="F18" s="346" t="str">
        <x:f>IF('Architecture &amp; Licensing'!$F$5="","U/K",'Architecture &amp; Licensing'!$F$5)</x:f>
        <x:v>Proprietary</x:v>
      </x:c>
      <x:c r="G18" s="346" t="str">
        <x:f>IF('Architecture &amp; Licensing'!$G$5="","U/K",'Architecture &amp; Licensing'!$G$5)</x:f>
        <x:v>Varies by client; many FOSS (e.g., Element, Element X, Cinny)</x:v>
      </x:c>
      <x:c r="H18" s="346" t="str">
        <x:f>IF('Architecture &amp; Licensing'!$H$5="","U/K",'Architecture &amp; Licensing'!$H$5)</x:f>
        <x:v>FOSS (AGPL-3.0 project components)</x:v>
      </x:c>
      <x:c r="I18" s="346" t="str">
        <x:f>IF('Architecture &amp; Licensing'!$I$5="","U/K",'Architecture &amp; Licensing'!$I$5)</x:f>
        <x:v>FOSS (BSD-style / BSD-3-Clause)</x:v>
      </x:c>
      <x:c r="J18" s="346" t="str">
        <x:f>IF('Architecture &amp; Licensing'!$J$5="","U/K",'Architecture &amp; Licensing'!$J$5)</x:f>
        <x:v>Proprietary</x:v>
      </x:c>
      <x:c r="K18" s="346" t="str">
        <x:f>IF('Architecture &amp; Licensing'!$K$5="","U/K",'Architecture &amp; Licensing'!$K$5)</x:f>
        <x:v>FOSS (Apache-2.0)</x:v>
      </x:c>
      <x:c r="L18" s="346" t="str">
        <x:f>IF('Architecture &amp; Licensing'!$L$5="","U/K",'Architecture &amp; Licensing'!$L$5)</x:f>
        <x:v>FOSS/open-source clients; exact repo license varies</x:v>
      </x:c>
      <x:c r="M18" s="346" t="str">
        <x:f>IF('Architecture &amp; Licensing'!$M$5="","U/K",'Architecture &amp; Licensing'!$M$5)</x:f>
        <x:v>FOSS core client; MIT components / enterprise extensions</x:v>
      </x:c>
      <x:c r="N18" s="346" t="str">
        <x:f>IF('Architecture &amp; Licensing'!$N$5="","U/K",'Architecture &amp; Licensing'!$N$5)</x:f>
        <x:v>Proprietary</x:v>
      </x:c>
      <x:c r="O18" s="346" t="str">
        <x:f>IF('Architecture &amp; Licensing'!$O$5="","U/K",'Architecture &amp; Licensing'!$O$5)</x:f>
        <x:v>FOSS GPL-family components</x:v>
      </x:c>
      <x:c r="P18" s="346" t="str">
        <x:f>IF('Architecture &amp; Licensing'!$P$5="","U/K",'Architecture &amp; Licensing'!$P$5)</x:f>
        <x:v>Proprietary client / source status mixed</x:v>
      </x:c>
      <x:c r="Q18" s="346" t="str">
        <x:f>IF('Architecture &amp; Licensing'!$Q$5="","U/K",'Architecture &amp; Licensing'!$Q$5)</x:f>
        <x:v>Client license U/K</x:v>
      </x:c>
      <x:c r="R18" s="346" t="str">
        <x:f>IF('Architecture &amp; Licensing'!$R$5="","U/K",'Architecture &amp; Licensing'!$R$5)</x:f>
        <x:v>Client source planned; not yet fully public</x:v>
      </x:c>
      <x:c r="S18" s="346" t="str">
        <x:f>IF('Architecture &amp; Licensing'!$S$5="","U/K",'Architecture &amp; Licensing'!$S$5)</x:f>
        <x:v>Open-source client code</x:v>
      </x:c>
      <x:c r="T18" s="346" t="str">
        <x:f>IF('Architecture &amp; Licensing'!$T$5="","U/K",'Architecture &amp; Licensing'!$T$5)</x:f>
        <x:v>Proprietary</x:v>
      </x:c>
      <x:c r="U18" s="346" t="str">
        <x:f>IF('Architecture &amp; Licensing'!$U$5="","U/K",'Architecture &amp; Licensing'!$U$5)</x:f>
        <x:v>Proprietary client/service license U/K</x:v>
      </x:c>
      <x:c r="V18" s="346" t="str">
        <x:f>IF('Architecture &amp; Licensing'!$V$5="","U/K",'Architecture &amp; Licensing'!$V$5)</x:f>
        <x:v>Fermi client AGPL-3.0</x:v>
      </x:c>
      <x:c r="W18" s="346" t="str">
        <x:f>IF('Architecture &amp; Licensing'!$W$5="","U/K",'Architecture &amp; Licensing'!$W$5)</x:f>
        <x:v>MPL-2.0 project</x:v>
      </x:c>
      <x:c r="X18" s="346" t="str">
        <x:f>IF('Architecture &amp; Licensing'!$X$5="","U/K",'Architecture &amp; Licensing'!$X$5)</x:f>
        <x:v>Open source</x:v>
      </x:c>
      <x:c r="Y18" s="346" t="str">
        <x:f>IF('Architecture &amp; Licensing'!$Y$5="","U/K",'Architecture &amp; Licensing'!$Y$5)</x:f>
        <x:v>Open source</x:v>
      </x:c>
      <x:c r="Z18" s="346" t="str">
        <x:f>IF('Architecture &amp; Licensing'!$Z$5="","U/K",'Architecture &amp; Licensing'!$Z$5)</x:f>
        <x:v>FOSS AGPL-3.0</x:v>
      </x:c>
      <x:c r="AA18" s="380" t="str">
        <x:f>IF('Architecture &amp; Licensing'!$AA$5="","U/K",'Architecture &amp; Licensing'!$AA$5)</x:f>
        <x:v>Proprietary</x:v>
      </x:c>
      <x:c r="AB18" s="346" t="str">
        <x:f>IF('Architecture &amp; Licensing'!$AB$5="","U/K",'Architecture &amp; Licensing'!$AB$5)</x:f>
        <x:v>AGPL open source</x:v>
      </x:c>
      <x:c r="AC18" s="346" t="str">
        <x:f>IF('Architecture &amp; Licensing'!$AC$5="","U/K",'Architecture &amp; Licensing'!$AC$5)</x:f>
        <x:v>Proprietary</x:v>
      </x:c>
      <x:c r="AD18" s="346" t="str">
        <x:f>IF('Architecture &amp; Licensing'!$AD$5="","U/K",'Architecture &amp; Licensing'!$AD$5)</x:f>
        <x:v>AGPL-3.0</x:v>
      </x:c>
      <x:c r="AE18" s="346" t="str">
        <x:f>IF('Architecture &amp; Licensing'!$AE$5="","U/K",'Architecture &amp; Licensing'!$AE$5)</x:f>
        <x:v>Source-available client/server U/K</x:v>
      </x:c>
    </x:row>
    <x:row r="19" ht="36" customHeight="1">
      <x:c r="A19" s="359" t="str">
        <x:v>Server Source Available?</x:v>
      </x:c>
      <x:c r="B19" s="346" t="str">
        <x:v>No</x:v>
      </x:c>
      <x:c r="C19" s="346" t="str">
        <x:v>Yes</x:v>
      </x:c>
      <x:c r="D19" s="346" t="str">
        <x:v>No</x:v>
      </x:c>
      <x:c r="E19" s="346" t="str">
        <x:v>Yes</x:v>
      </x:c>
      <x:c r="F19" s="346" t="str">
        <x:v>No</x:v>
      </x:c>
      <x:c r="G19" s="346" t="str">
        <x:v>U/K</x:v>
      </x:c>
      <x:c r="H19" s="346" t="str">
        <x:v>Yes</x:v>
      </x:c>
      <x:c r="I19" s="346" t="str">
        <x:v>Yes</x:v>
      </x:c>
      <x:c r="J19" s="346" t="str">
        <x:v>No</x:v>
      </x:c>
      <x:c r="K19" s="346" t="str">
        <x:v>Yes</x:v>
      </x:c>
      <x:c r="L19" s="346" t="str">
        <x:v>Yes</x:v>
      </x:c>
      <x:c r="M19" s="346" t="str">
        <x:v>Yes</x:v>
      </x:c>
      <x:c r="N19" s="346" t="str">
        <x:v>No</x:v>
      </x:c>
      <x:c r="O19" s="346" t="str">
        <x:v>Yes</x:v>
      </x:c>
      <x:c r="P19" s="346" t="str">
        <x:v>U/K</x:v>
      </x:c>
      <x:c r="Q19" s="346" t="str">
        <x:v>U/K</x:v>
      </x:c>
      <x:c r="R19" s="346" t="str">
        <x:v>Yes</x:v>
      </x:c>
      <x:c r="S19" s="346" t="str">
        <x:v>Yes</x:v>
      </x:c>
      <x:c r="T19" s="346" t="str">
        <x:v>No</x:v>
      </x:c>
      <x:c r="U19" s="346" t="str">
        <x:v>No</x:v>
      </x:c>
      <x:c r="V19" s="346" t="str">
        <x:v>Yes</x:v>
      </x:c>
      <x:c r="W19" s="346" t="str">
        <x:v>Yes</x:v>
      </x:c>
      <x:c r="X19" s="346" t="str">
        <x:v>Yes</x:v>
      </x:c>
      <x:c r="Y19" s="346" t="str">
        <x:v>Yes</x:v>
      </x:c>
      <x:c r="Z19" s="346" t="str">
        <x:v>Yes</x:v>
      </x:c>
      <x:c r="AA19" s="380" t="str">
        <x:v>No</x:v>
      </x:c>
      <x:c r="AB19" s="346" t="str">
        <x:v>Yes</x:v>
      </x:c>
      <x:c r="AC19" s="346" t="str">
        <x:v>No</x:v>
      </x:c>
      <x:c r="AD19" s="346" t="str">
        <x:v>Yes</x:v>
      </x:c>
      <x:c r="AE19" s="346" t="str">
        <x:v>Yes</x:v>
      </x:c>
    </x:row>
    <x:row r="20" ht="36" customHeight="1">
      <x:c r="A20" s="359" t="str">
        <x:v>Server License</x:v>
      </x:c>
      <x:c r="B20" s="346" t="str">
        <x:f>IF('Architecture &amp; Licensing'!$B$6="","U/K",'Architecture &amp; Licensing'!$B$6)</x:f>
        <x:v>Proprietary</x:v>
      </x:c>
      <x:c r="C20" s="346" t="str">
        <x:f>IF('Architecture &amp; Licensing'!$C$6="","U/K",'Architecture &amp; Licensing'!$C$6)</x:f>
        <x:v>FOSS (backend generally AGPL-3.0)</x:v>
      </x:c>
      <x:c r="D20" s="346" t="str">
        <x:f>IF('Architecture &amp; Licensing'!$D$6="","U/K",'Architecture &amp; Licensing'!$D$6)</x:f>
        <x:v>Proprietary during alpha; open-source release planned</x:v>
      </x:c>
      <x:c r="E20" s="346" t="str">
        <x:f>IF('Architecture &amp; Licensing'!$E$6="","U/K",'Architecture &amp; Licensing'!$E$6)</x:f>
        <x:v>FOSS (AGPL-3.0)</x:v>
      </x:c>
      <x:c r="F20" s="346" t="str">
        <x:f>IF('Architecture &amp; Licensing'!$F$6="","U/K",'Architecture &amp; Licensing'!$F$6)</x:f>
        <x:v>Proprietary</x:v>
      </x:c>
      <x:c r="G20" s="346" t="str">
        <x:f>IF('Architecture &amp; Licensing'!$G$6="","U/K",'Architecture &amp; Licensing'!$G$6)</x:f>
        <x:v>Varies by homeserver; Synapse is AGPLv3/commercial dual model</x:v>
      </x:c>
      <x:c r="H20" s="346" t="str">
        <x:f>IF('Architecture &amp; Licensing'!$H$6="","U/K",'Architecture &amp; Licensing'!$H$6)</x:f>
        <x:v>FOSS (AGPL-3.0)</x:v>
      </x:c>
      <x:c r="I20" s="346" t="str">
        <x:f>IF('Architecture &amp; Licensing'!$I$6="","U/K",'Architecture &amp; Licensing'!$I$6)</x:f>
        <x:v>FOSS (BSD-style / BSD-3-Clause)</x:v>
      </x:c>
      <x:c r="J20" s="346" t="str">
        <x:f>IF('Architecture &amp; Licensing'!$J$6="","U/K",'Architecture &amp; Licensing'!$J$6)</x:f>
        <x:v>Proprietary</x:v>
      </x:c>
      <x:c r="K20" s="346" t="str">
        <x:f>IF('Architecture &amp; Licensing'!$K$6="","U/K",'Architecture &amp; Licensing'!$K$6)</x:f>
        <x:v>FOSS (Apache-2.0 server/web app)</x:v>
      </x:c>
      <x:c r="L20" s="346" t="str">
        <x:f>IF('Architecture &amp; Licensing'!$L$6="","U/K",'Architecture &amp; Licensing'!$L$6)</x:f>
        <x:v>Open source Team Edition / AGPL-source plus commercial Enterprise editions</x:v>
      </x:c>
      <x:c r="M20" s="346" t="str">
        <x:f>IF('Architecture &amp; Licensing'!$M$6="","U/K",'Architecture &amp; Licensing'!$M$6)</x:f>
        <x:v>FOSS core (MIT) + enterprise-licensed portions</x:v>
      </x:c>
      <x:c r="N20" s="346" t="str">
        <x:f>IF('Architecture &amp; Licensing'!$N$6="","U/K",'Architecture &amp; Licensing'!$N$6)</x:f>
        <x:v>Proprietary</x:v>
      </x:c>
      <x:c r="O20" s="346" t="str">
        <x:f>IF('Architecture &amp; Licensing'!$O$6="","U/K",'Architecture &amp; Licensing'!$O$6)</x:f>
        <x:v>FOSS GPL-3.0 server/web components</x:v>
      </x:c>
      <x:c r="P20" s="346" t="str">
        <x:f>IF('Architecture &amp; Licensing'!$P$6="","U/K",'Architecture &amp; Licensing'!$P$6)</x:f>
        <x:v>Server components partly open-source; exact scope U/K</x:v>
      </x:c>
      <x:c r="Q20" s="346" t="str">
        <x:f>IF('Architecture &amp; Licensing'!$Q$6="","U/K",'Architecture &amp; Licensing'!$Q$6)</x:f>
        <x:v>AGPL/open-source claims; exact current scope U/K</x:v>
      </x:c>
      <x:c r="R20" s="346" t="str">
        <x:f>IF('Architecture &amp; Licensing'!$R$6="","U/K",'Architecture &amp; Licensing'!$R$6)</x:f>
        <x:v>Backend source public</x:v>
      </x:c>
      <x:c r="S20" s="346" t="str">
        <x:f>IF('Architecture &amp; Licensing'!$S$6="","U/K",'Architecture &amp; Licensing'!$S$6)</x:f>
        <x:v>Open-source server stack/components</x:v>
      </x:c>
      <x:c r="T20" s="346" t="str">
        <x:f>IF('Architecture &amp; Licensing'!$T$6="","U/K",'Architecture &amp; Licensing'!$T$6)</x:f>
        <x:v>Proprietary</x:v>
      </x:c>
      <x:c r="U20" s="346" t="str">
        <x:f>IF('Architecture &amp; Licensing'!$U$6="","U/K",'Architecture &amp; Licensing'!$U$6)</x:f>
        <x:v>Proprietary licensed server U/K</x:v>
      </x:c>
      <x:c r="V20" s="346" t="str">
        <x:f>IF('Architecture &amp; Licensing'!$V$6="","U/K",'Architecture &amp; Licensing'!$V$6)</x:f>
        <x:v>Harmony server FOSS (Codeberg); exact license U/K</x:v>
      </x:c>
      <x:c r="W20" s="346" t="str">
        <x:f>IF('Architecture &amp; Licensing'!$W$6="","U/K",'Architecture &amp; Licensing'!$W$6)</x:f>
        <x:v>MPL-2.0 project/server components</x:v>
      </x:c>
      <x:c r="X20" s="346" t="str">
        <x:f>IF('Architecture &amp; Licensing'!$X$6="","U/K",'Architecture &amp; Licensing'!$X$6)</x:f>
        <x:v>Open source/protocol components</x:v>
      </x:c>
      <x:c r="Y20" s="346" t="str">
        <x:f>IF('Architecture &amp; Licensing'!$Y$6="","U/K",'Architecture &amp; Licensing'!$Y$6)</x:f>
        <x:v>Open source relay/server</x:v>
      </x:c>
      <x:c r="Z20" s="346" t="str">
        <x:f>IF('Architecture &amp; Licensing'!$Z$6="","U/K",'Architecture &amp; Licensing'!$Z$6)</x:f>
        <x:v>FOSS AGPL-3.0</x:v>
      </x:c>
      <x:c r="AA20" s="380" t="str">
        <x:f>IF('Architecture &amp; Licensing'!$AA$6="","U/K",'Architecture &amp; Licensing'!$AA$6)</x:f>
        <x:v>Proprietary</x:v>
      </x:c>
      <x:c r="AB20" s="346" t="str">
        <x:f>IF('Architecture &amp; Licensing'!$AB$6="","U/K",'Architecture &amp; Licensing'!$AB$6)</x:f>
        <x:v>AGPL open source</x:v>
      </x:c>
      <x:c r="AC20" s="346" t="str">
        <x:f>IF('Architecture &amp; Licensing'!$AC$6="","U/K",'Architecture &amp; Licensing'!$AC$6)</x:f>
        <x:v>Proprietary Rust backend</x:v>
      </x:c>
      <x:c r="AD20" s="346" t="str">
        <x:f>IF('Architecture &amp; Licensing'!$AD$6="","U/K",'Architecture &amp; Licensing'!$AD$6)</x:f>
        <x:v>AGPL-3.0</x:v>
      </x:c>
      <x:c r="AE20" s="346" t="str">
        <x:f>IF('Architecture &amp; Licensing'!$AE$6="","U/K",'Architecture &amp; Licensing'!$AE$6)</x:f>
        <x:v>Source-available</x:v>
      </x:c>
    </x:row>
    <x:row r="21" ht="36" customHeight="1">
      <x:c r="A21" s="359" t="str">
        <x:v>Reference Client Repo</x:v>
      </x:c>
      <x:c r="B21" s="346" t="str">
        <x:f>IF('Architecture &amp; Licensing'!$B$7="","U/K",'Architecture &amp; Licensing'!$B$7)</x:f>
        <x:v>N/A - no public core client source repository</x:v>
      </x:c>
      <x:c r="C21" s="346" t="str">
        <x:f>IF('Architecture &amp; Licensing'!$C$7="","U/K",'Architecture &amp; Licensing'!$C$7)</x:f>
        <x:v>https://github.com/stoatchat/for-web</x:v>
      </x:c>
      <x:c r="D21" s="346" t="str">
        <x:f>IF('Architecture &amp; Licensing'!$D$7="","U/K",'Architecture &amp; Licensing'!$D$7)</x:f>
        <x:v>N/A - not public yet</x:v>
      </x:c>
      <x:c r="E21" s="346" t="str">
        <x:f>IF('Architecture &amp; Licensing'!$E$7="","U/K",'Architecture &amp; Licensing'!$E$7)</x:f>
        <x:v>https://github.com/fluxerapp/fluxer</x:v>
      </x:c>
      <x:c r="F21" s="346" t="str">
        <x:f>IF('Architecture &amp; Licensing'!$F$7="","U/K",'Architecture &amp; Licensing'!$F$7)</x:f>
        <x:v>N/A</x:v>
      </x:c>
      <x:c r="G21" s="346" t="str">
        <x:f>IF('Architecture &amp; Licensing'!$G$7="","U/K",'Architecture &amp; Licensing'!$G$7)</x:f>
        <x:v>No single client repo - clients are separate implementations</x:v>
      </x:c>
      <x:c r="H21" s="346" t="str">
        <x:f>IF('Architecture &amp; Licensing'!$H$7="","U/K",'Architecture &amp; Licensing'!$H$7)</x:f>
        <x:v>https://github.com/spacebarchat/client</x:v>
      </x:c>
      <x:c r="I21" s="346" t="str">
        <x:f>IF('Architecture &amp; Licensing'!$I$7="","U/K",'Architecture &amp; Licensing'!$I$7)</x:f>
        <x:v>https://github.com/mumble-voip/mumble</x:v>
      </x:c>
      <x:c r="J21" s="346" t="str">
        <x:f>IF('Architecture &amp; Licensing'!$J$7="","U/K",'Architecture &amp; Licensing'!$J$7)</x:f>
        <x:v>N/A</x:v>
      </x:c>
      <x:c r="K21" s="346" t="str">
        <x:f>IF('Architecture &amp; Licensing'!$K$7="","U/K",'Architecture &amp; Licensing'!$K$7)</x:f>
        <x:v>https://github.com/zulip/zulip-desktop</x:v>
      </x:c>
      <x:c r="L21" s="346" t="str">
        <x:f>IF('Architecture &amp; Licensing'!$L$7="","U/K",'Architecture &amp; Licensing'!$L$7)</x:f>
        <x:v>https://github.com/mattermost/mattermost-desktop</x:v>
      </x:c>
      <x:c r="M21" s="346" t="str">
        <x:f>IF('Architecture &amp; Licensing'!$M$7="","U/K",'Architecture &amp; Licensing'!$M$7)</x:f>
        <x:v>https://github.com/RocketChat/Rocket.Chat.Electron</x:v>
      </x:c>
      <x:c r="N21" s="346" t="str">
        <x:f>IF('Architecture &amp; Licensing'!$N$7="","U/K",'Architecture &amp; Licensing'!$N$7)</x:f>
        <x:v>N/A</x:v>
      </x:c>
      <x:c r="O21" s="346" t="str">
        <x:f>IF('Architecture &amp; Licensing'!$O$7="","U/K",'Architecture &amp; Licensing'!$O$7)</x:f>
        <x:v>https://github.com/Nerimity/nerimity-web</x:v>
      </x:c>
      <x:c r="P21" s="346" t="str">
        <x:f>IF('Architecture &amp; Licensing'!$P$7="","U/K",'Architecture &amp; Licensing'!$P$7)</x:f>
        <x:v>N/A/U/K</x:v>
      </x:c>
      <x:c r="Q21" s="346" t="str">
        <x:f>IF('Architecture &amp; Licensing'!$Q$7="","U/K",'Architecture &amp; Licensing'!$Q$7)</x:f>
        <x:v>U/K</x:v>
      </x:c>
      <x:c r="R21" s="346" t="str">
        <x:f>IF('Architecture &amp; Licensing'!$R$7="","U/K",'Architecture &amp; Licensing'!$R$7)</x:f>
        <x:v>Client repo U/K</x:v>
      </x:c>
      <x:c r="S21" s="346" t="str">
        <x:f>IF('Architecture &amp; Licensing'!$S$7="","U/K",'Architecture &amp; Licensing'!$S$7)</x:f>
        <x:v>https://github.com/mezonai/mezon</x:v>
      </x:c>
      <x:c r="T21" s="346" t="str">
        <x:f>IF('Architecture &amp; Licensing'!$T$7="","U/K",'Architecture &amp; Licensing'!$T$7)</x:f>
        <x:v>N/A</x:v>
      </x:c>
      <x:c r="U21" s="346" t="str">
        <x:f>IF('Architecture &amp; Licensing'!$U$7="","U/K",'Architecture &amp; Licensing'!$U$7)</x:f>
        <x:v>N/A/U/K</x:v>
      </x:c>
      <x:c r="V21" s="346" t="str">
        <x:f>IF('Architecture &amp; Licensing'!$V$7="","U/K",'Architecture &amp; Licensing'!$V$7)</x:f>
        <x:v>https://codeberg.org/MelodyChat/Fermi</x:v>
      </x:c>
      <x:c r="W21" s="346" t="str">
        <x:f>IF('Architecture &amp; Licensing'!$W$7="","U/K",'Architecture &amp; Licensing'!$W$7)</x:f>
        <x:v>https://github.com/muni-town/roomy</x:v>
      </x:c>
      <x:c r="X21" s="346" t="str">
        <x:f>IF('Architecture &amp; Licensing'!$X$7="","U/K",'Architecture &amp; Licensing'!$X$7)</x:f>
        <x:v>https://github.com/soapbox-pub/armada</x:v>
      </x:c>
      <x:c r="Y21" s="346" t="str">
        <x:f>IF('Architecture &amp; Licensing'!$Y$7="","U/K",'Architecture &amp; Licensing'!$Y$7)</x:f>
        <x:v>https://github.com/VitalikPro13/HOLLOW</x:v>
      </x:c>
      <x:c r="Z21" s="346" t="str">
        <x:f>IF('Architecture &amp; Licensing'!$Z$7="","U/K",'Architecture &amp; Licensing'!$Z$7)</x:f>
        <x:v>https://github.com/hackthedev/dcts-shipping</x:v>
      </x:c>
      <x:c r="AA21" s="380" t="str">
        <x:f>IF('Architecture &amp; Licensing'!$AA$7="","U/K",'Architecture &amp; Licensing'!$AA$7)</x:f>
        <x:v>N/A</x:v>
      </x:c>
      <x:c r="AB21" s="346" t="str">
        <x:f>IF('Architecture &amp; Licensing'!$AB$7="","U/K",'Architecture &amp; Licensing'!$AB$7)</x:f>
        <x:v>https://github.com/rafaelcg/pqp</x:v>
      </x:c>
      <x:c r="AC21" s="346" t="str">
        <x:f>IF('Architecture &amp; Licensing'!$AC$7="","U/K",'Architecture &amp; Licensing'!$AC$7)</x:f>
        <x:v>N/A</x:v>
      </x:c>
      <x:c r="AD21" s="346" t="str">
        <x:f>IF('Architecture &amp; Licensing'!$AD$7="","U/K",'Architecture &amp; Licensing'!$AD$7)</x:f>
        <x:v>https://github.com/Valour-Software/Valour</x:v>
      </x:c>
      <x:c r="AE21" s="346" t="str">
        <x:f>IF('Architecture &amp; Licensing'!$AE$7="","U/K",'Architecture &amp; Licensing'!$AE$7)</x:f>
        <x:v>https://github.com/Weeredjs/Weered</x:v>
      </x:c>
    </x:row>
    <x:row r="22" ht="36" customHeight="1">
      <x:c r="A22" s="359" t="str">
        <x:v>Reference Server Repo</x:v>
      </x:c>
      <x:c r="B22" s="346" t="str">
        <x:f>IF('Architecture &amp; Licensing'!$B$8="","U/K",'Architecture &amp; Licensing'!$B$8)</x:f>
        <x:v>N/A - no public core server source repository</x:v>
      </x:c>
      <x:c r="C22" s="346" t="str">
        <x:f>IF('Architecture &amp; Licensing'!$C$8="","U/K",'Architecture &amp; Licensing'!$C$8)</x:f>
        <x:v>https://github.com/stoatchat/stoatchat</x:v>
      </x:c>
      <x:c r="D22" s="346" t="str">
        <x:f>IF('Architecture &amp; Licensing'!$D$8="","U/K",'Architecture &amp; Licensing'!$D$8)</x:f>
        <x:v>N/A - not public yet</x:v>
      </x:c>
      <x:c r="E22" s="346" t="str">
        <x:f>IF('Architecture &amp; Licensing'!$E$8="","U/K",'Architecture &amp; Licensing'!$E$8)</x:f>
        <x:v>https://github.com/fluxerapp/fluxer</x:v>
      </x:c>
      <x:c r="F22" s="346" t="str">
        <x:f>IF('Architecture &amp; Licensing'!$F$8="","U/K",'Architecture &amp; Licensing'!$F$8)</x:f>
        <x:v>N/A</x:v>
      </x:c>
      <x:c r="G22" s="346" t="str">
        <x:f>IF('Architecture &amp; Licensing'!$G$8="","U/K",'Architecture &amp; Licensing'!$G$8)</x:f>
        <x:v>No single server repo - Synapse, Dendrite/others implement Matrix</x:v>
      </x:c>
      <x:c r="H22" s="346" t="str">
        <x:f>IF('Architecture &amp; Licensing'!$H$8="","U/K",'Architecture &amp; Licensing'!$H$8)</x:f>
        <x:v>https://github.com/spacebarchat/server</x:v>
      </x:c>
      <x:c r="I22" s="346" t="str">
        <x:f>IF('Architecture &amp; Licensing'!$I$8="","U/K",'Architecture &amp; Licensing'!$I$8)</x:f>
        <x:v>https://github.com/mumble-voip/mumble</x:v>
      </x:c>
      <x:c r="J22" s="346" t="str">
        <x:f>IF('Architecture &amp; Licensing'!$J$8="","U/K",'Architecture &amp; Licensing'!$J$8)</x:f>
        <x:v>N/A</x:v>
      </x:c>
      <x:c r="K22" s="346" t="str">
        <x:f>IF('Architecture &amp; Licensing'!$K$8="","U/K",'Architecture &amp; Licensing'!$K$8)</x:f>
        <x:v>https://github.com/zulip/zulip</x:v>
      </x:c>
      <x:c r="L22" s="346" t="str">
        <x:f>IF('Architecture &amp; Licensing'!$L$8="","U/K",'Architecture &amp; Licensing'!$L$8)</x:f>
        <x:v>https://github.com/mattermost/mattermost</x:v>
      </x:c>
      <x:c r="M22" s="346" t="str">
        <x:f>IF('Architecture &amp; Licensing'!$M$8="","U/K",'Architecture &amp; Licensing'!$M$8)</x:f>
        <x:v>https://github.com/RocketChat/Rocket.Chat</x:v>
      </x:c>
      <x:c r="N22" s="346" t="str">
        <x:f>IF('Architecture &amp; Licensing'!$N$8="","U/K",'Architecture &amp; Licensing'!$N$8)</x:f>
        <x:v>N/A</x:v>
      </x:c>
      <x:c r="O22" s="346" t="str">
        <x:f>IF('Architecture &amp; Licensing'!$O$8="","U/K",'Architecture &amp; Licensing'!$O$8)</x:f>
        <x:v>https://github.com/Nerimity/nerimity-server</x:v>
      </x:c>
      <x:c r="P22" s="346" t="str">
        <x:f>IF('Architecture &amp; Licensing'!$P$8="","U/K",'Architecture &amp; Licensing'!$P$8)</x:f>
        <x:v>U/K</x:v>
      </x:c>
      <x:c r="Q22" s="346" t="str">
        <x:f>IF('Architecture &amp; Licensing'!$Q$8="","U/K",'Architecture &amp; Licensing'!$Q$8)</x:f>
        <x:v>U/K</x:v>
      </x:c>
      <x:c r="R22" s="346" t="str">
        <x:f>IF('Architecture &amp; Licensing'!$R$8="","U/K",'Architecture &amp; Licensing'!$R$8)</x:f>
        <x:v>https://github.com/AlpineBits-ch/AlpineBackend</x:v>
      </x:c>
      <x:c r="S22" s="346" t="str">
        <x:f>IF('Architecture &amp; Licensing'!$S$8="","U/K",'Architecture &amp; Licensing'!$S$8)</x:f>
        <x:v>https://github.com/mezonai/mezon</x:v>
      </x:c>
      <x:c r="T22" s="346" t="str">
        <x:f>IF('Architecture &amp; Licensing'!$T$8="","U/K",'Architecture &amp; Licensing'!$T$8)</x:f>
        <x:v>N/A</x:v>
      </x:c>
      <x:c r="U22" s="346" t="str">
        <x:f>IF('Architecture &amp; Licensing'!$U$8="","U/K",'Architecture &amp; Licensing'!$U$8)</x:f>
        <x:v>N/A/U/K</x:v>
      </x:c>
      <x:c r="V22" s="346" t="str">
        <x:f>IF('Architecture &amp; Licensing'!$V$8="","U/K",'Architecture &amp; Licensing'!$V$8)</x:f>
        <x:v>https://codeberg.org/MelodyChat/Harmony</x:v>
      </x:c>
      <x:c r="W22" s="346" t="str">
        <x:f>IF('Architecture &amp; Licensing'!$W$8="","U/K",'Architecture &amp; Licensing'!$W$8)</x:f>
        <x:v>https://github.com/muni-town/roomy</x:v>
      </x:c>
      <x:c r="X22" s="346" t="str">
        <x:f>IF('Architecture &amp; Licensing'!$X$8="","U/K",'Architecture &amp; Licensing'!$X$8)</x:f>
        <x:v>https://github.com/soapbox-pub/armada</x:v>
      </x:c>
      <x:c r="Y22" s="346" t="str">
        <x:f>IF('Architecture &amp; Licensing'!$Y$8="","U/K",'Architecture &amp; Licensing'!$Y$8)</x:f>
        <x:v>https://github.com/VitalikPro13/HOLLOW</x:v>
      </x:c>
      <x:c r="Z22" s="346" t="str">
        <x:f>IF('Architecture &amp; Licensing'!$Z$8="","U/K",'Architecture &amp; Licensing'!$Z$8)</x:f>
        <x:v>https://github.com/hackthedev/dcts-shipping</x:v>
      </x:c>
      <x:c r="AA22" s="380" t="str">
        <x:f>IF('Architecture &amp; Licensing'!$AA$8="","U/K",'Architecture &amp; Licensing'!$AA$8)</x:f>
        <x:v>N/A</x:v>
      </x:c>
      <x:c r="AB22" s="346" t="str">
        <x:f>IF('Architecture &amp; Licensing'!$AB$8="","U/K",'Architecture &amp; Licensing'!$AB$8)</x:f>
        <x:v>https://github.com/rafaelcg/pqp</x:v>
      </x:c>
      <x:c r="AC22" s="346" t="str">
        <x:f>IF('Architecture &amp; Licensing'!$AC$8="","U/K",'Architecture &amp; Licensing'!$AC$8)</x:f>
        <x:v>N/A</x:v>
      </x:c>
      <x:c r="AD22" s="346" t="str">
        <x:f>IF('Architecture &amp; Licensing'!$AD$8="","U/K",'Architecture &amp; Licensing'!$AD$8)</x:f>
        <x:v>https://github.com/Valour-Software/Valour</x:v>
      </x:c>
      <x:c r="AE22" s="346" t="str">
        <x:f>IF('Architecture &amp; Licensing'!$AE$8="","U/K",'Architecture &amp; Licensing'!$AE$8)</x:f>
        <x:v>https://github.com/Weeredjs/Weered</x:v>
      </x:c>
    </x:row>
    <x:row r="23" ht="23" customHeight="1">
      <x:c r="A23" s="427" t="str">
        <x:v>Deployment Requirements</x:v>
      </x:c>
      <x:c r="B23" s="427"/>
      <x:c r="C23" s="427"/>
      <x:c r="D23" s="427"/>
      <x:c r="E23" s="427"/>
      <x:c r="F23" s="427"/>
      <x:c r="G23" s="427"/>
      <x:c r="H23" s="427"/>
      <x:c r="I23" s="427"/>
      <x:c r="J23" s="427"/>
      <x:c r="K23" s="427"/>
      <x:c r="L23" s="427"/>
      <x:c r="M23" s="427"/>
      <x:c r="N23" s="427"/>
      <x:c r="O23" s="427"/>
      <x:c r="P23" s="427"/>
      <x:c r="Q23" s="427"/>
      <x:c r="R23" s="427"/>
      <x:c r="S23" s="427"/>
      <x:c r="T23" s="427"/>
      <x:c r="U23" s="427"/>
      <x:c r="V23" s="427"/>
      <x:c r="W23" s="427"/>
      <x:c r="X23" s="427"/>
      <x:c r="Y23" s="427"/>
      <x:c r="Z23" s="427"/>
      <x:c r="AA23" s="427"/>
      <x:c r="AB23" s="427"/>
      <x:c r="AC23" s="427"/>
      <x:c r="AD23" s="427"/>
      <x:c r="AE23" s="427"/>
    </x:row>
    <x:row r="24" ht="36" customHeight="1">
      <x:c r="A24" s="359" t="str">
        <x:v>Docker Compose?</x:v>
      </x:c>
      <x:c r="B24" s="346" t="str">
        <x:v>N/A</x:v>
      </x:c>
      <x:c r="C24" s="346" t="str">
        <x:v>Yes</x:v>
      </x:c>
      <x:c r="D24" s="346" t="str">
        <x:v>No</x:v>
      </x:c>
      <x:c r="E24" s="346" t="str">
        <x:v>Yes</x:v>
      </x:c>
      <x:c r="F24" s="346" t="str">
        <x:v>No</x:v>
      </x:c>
      <x:c r="G24" s="346" t="str">
        <x:v>Yes</x:v>
      </x:c>
      <x:c r="H24" s="346" t="str">
        <x:v>Yes</x:v>
      </x:c>
      <x:c r="I24" s="346" t="str">
        <x:v>Yes</x:v>
      </x:c>
      <x:c r="J24" s="346" t="str">
        <x:v>Yes</x:v>
      </x:c>
      <x:c r="K24" s="346" t="str">
        <x:v>Yes</x:v>
      </x:c>
      <x:c r="L24" s="346" t="str">
        <x:v>Yes</x:v>
      </x:c>
      <x:c r="M24" s="346" t="str">
        <x:v>Yes</x:v>
      </x:c>
      <x:c r="N24" s="346" t="str">
        <x:v>U/K</x:v>
      </x:c>
      <x:c r="O24" s="346" t="str">
        <x:v>U/K</x:v>
      </x:c>
      <x:c r="P24" s="346" t="str">
        <x:v>No</x:v>
      </x:c>
      <x:c r="Q24" s="346" t="str">
        <x:v>Self-hosting advertised</x:v>
      </x:c>
      <x:c r="R24" s="346" t="str">
        <x:v>U/K</x:v>
      </x:c>
      <x:c r="S24" s="346" t="str">
        <x:v>U/K</x:v>
      </x:c>
      <x:c r="T24" s="346" t="str">
        <x:v>No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Relay/self-host options</x:v>
      </x:c>
      <x:c r="Y24" s="346" t="str">
        <x:v>U/K</x:v>
      </x:c>
      <x:c r="Z24" s="346" t="str">
        <x:v>Yes</x:v>
      </x:c>
      <x:c r="AA24" s="380" t="str">
        <x:v>No</x:v>
      </x:c>
      <x:c r="AB24" s="346" t="str">
        <x:v>U/K</x:v>
      </x:c>
      <x:c r="AC24" s="346" t="str">
        <x:v>No</x:v>
      </x:c>
      <x:c r="AD24" s="346" t="str">
        <x:v>Yes</x:v>
      </x:c>
      <x:c r="AE24" s="346" t="str">
        <x:v>No</x:v>
      </x:c>
    </x:row>
    <x:row r="25" ht="36" customHeight="1">
      <x:c r="A25" s="359" t="str">
        <x:v>Official Docker Image?</x:v>
      </x:c>
      <x:c r="B25" s="346" t="str">
        <x:v>No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Yes</x:v>
      </x:c>
      <x:c r="J25" s="346" t="str">
        <x:v>Yes</x:v>
      </x:c>
      <x:c r="K25" s="346" t="str">
        <x:v>U/K</x:v>
      </x:c>
      <x:c r="L25" s="346" t="str">
        <x:v>Yes</x:v>
      </x:c>
      <x:c r="M25" s="346" t="str">
        <x:v>Yes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U/K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Kubernetes Documentation?</x:v>
      </x:c>
      <x:c r="B26" s="346" t="str">
        <x:v>U/K</x:v>
      </x:c>
      <x:c r="C26" s="346" t="str">
        <x:v>U/K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U/K</x:v>
      </x:c>
      <x:c r="H26" s="346" t="str">
        <x:v>U/K</x:v>
      </x:c>
      <x:c r="I26" s="346" t="str">
        <x:v>U/K</x:v>
      </x:c>
      <x:c r="J26" s="346" t="str">
        <x:v>U/K</x:v>
      </x:c>
      <x:c r="K26" s="346" t="str">
        <x:v>U/K</x:v>
      </x:c>
      <x:c r="L26" s="346" t="str">
        <x:v>Yes</x:v>
      </x:c>
      <x:c r="M26" s="346" t="str">
        <x:v>Yes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U/K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U/K</x:v>
      </x:c>
    </x:row>
    <x:row r="27" ht="36" customHeight="1">
      <x:c r="A27" s="359" t="str">
        <x:v>External Database Required?</x:v>
      </x:c>
      <x:c r="B27" s="346" t="str">
        <x:v>U/K</x:v>
      </x:c>
      <x:c r="C27" s="346" t="str">
        <x:v>Yes</x:v>
      </x:c>
      <x:c r="D27" s="346" t="str">
        <x:v>U/K</x:v>
      </x:c>
      <x:c r="E27" s="346" t="str">
        <x:v>Yes</x:v>
      </x:c>
      <x:c r="F27" s="346" t="str">
        <x:v>U/K</x:v>
      </x:c>
      <x:c r="G27" s="346" t="str">
        <x:v>Yes</x:v>
      </x:c>
      <x:c r="H27" s="346" t="str">
        <x:v>U/K</x:v>
      </x:c>
      <x:c r="I27" s="346" t="str">
        <x:v>No</x:v>
      </x:c>
      <x:c r="J27" s="346" t="str">
        <x:v>U/K</x:v>
      </x:c>
      <x:c r="K27" s="346" t="str">
        <x:v>Yes</x:v>
      </x:c>
      <x:c r="L27" s="346" t="str">
        <x:v>Yes</x:v>
      </x:c>
      <x:c r="M27" s="346" t="str">
        <x:v>Yes</x:v>
      </x:c>
      <x:c r="N27" s="346" t="str">
        <x:v>No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U/K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59" t="str">
        <x:v>External Cache Required?</x:v>
      </x:c>
      <x:c r="B28" s="346" t="str">
        <x:v>U/K</x:v>
      </x:c>
      <x:c r="C28" s="346" t="str">
        <x:v>Yes</x:v>
      </x:c>
      <x:c r="D28" s="346" t="str">
        <x:v>U/K</x:v>
      </x:c>
      <x:c r="E28" s="346" t="str">
        <x:v>Yes</x:v>
      </x:c>
      <x:c r="F28" s="346" t="str">
        <x:v>U/K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U/K</x:v>
      </x:c>
      <x:c r="L28" s="346" t="str">
        <x:v>Yes</x:v>
      </x:c>
      <x:c r="M28" s="346" t="str">
        <x:v>Yes</x:v>
      </x:c>
      <x:c r="N28" s="346" t="str">
        <x:v>U/K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U/K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36" customHeight="1">
      <x:c r="A29" s="359" t="str">
        <x:v>Object Storage Required?</x:v>
      </x:c>
      <x:c r="B29" s="346" t="str">
        <x:v>U/K</x:v>
      </x:c>
      <x:c r="C29" s="346" t="str">
        <x:v>Yes / recommended</x:v>
      </x:c>
      <x:c r="D29" s="346" t="str">
        <x:v>U/K</x:v>
      </x:c>
      <x:c r="E29" s="346" t="str">
        <x:v>Yes / recommended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Yes / recommended</x:v>
      </x:c>
      <x:c r="M29" s="346" t="str">
        <x:v>Yes / recommended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U/K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36" customHeight="1">
      <x:c r="A30" s="359" t="str">
        <x:v>Self-Host Setup Difficulty (1-5)</x:v>
      </x:c>
      <x:c r="B30" s="346" t="str">
        <x:f>IF('Architecture &amp; Licensing'!$B$9="","U/K",'Architecture &amp; Licensing'!$B$9)</x:f>
        <x:v>N/A - official self-hosting unsupported</x:v>
      </x:c>
      <x:c r="C30" s="346" t="str">
        <x:f>IF('Architecture &amp; Licensing'!$C$9="","U/K",'Architecture &amp; Licensing'!$C$9)</x:f>
        <x:v>4/5</x:v>
      </x:c>
      <x:c r="D30" s="346" t="str">
        <x:f>IF('Architecture &amp; Licensing'!$D$9="","U/K",'Architecture &amp; Licensing'!$D$9)</x:f>
        <x:v>N/A - self-hosting not currently offered</x:v>
      </x:c>
      <x:c r="E30" s="346" t="str">
        <x:f>IF('Architecture &amp; Licensing'!$E$9="","U/K",'Architecture &amp; Licensing'!$E$9)</x:f>
        <x:v>3/5</x:v>
      </x:c>
      <x:c r="F30" s="346" t="str">
        <x:f>IF('Architecture &amp; Licensing'!$F$9="","U/K",'Architecture &amp; Licensing'!$F$9)</x:f>
        <x:v>N/A - no self-hosting</x:v>
      </x:c>
      <x:c r="G30" s="346" t="str">
        <x:f>IF('Architecture &amp; Licensing'!$G$9="","U/K",'Architecture &amp; Licensing'!$G$9)</x:f>
        <x:v>4/5 (implementation-dependent)</x:v>
      </x:c>
      <x:c r="H30" s="346" t="str">
        <x:f>IF('Architecture &amp; Licensing'!$H$9="","U/K",'Architecture &amp; Licensing'!$H$9)</x:f>
        <x:v>4/5</x:v>
      </x:c>
      <x:c r="I30" s="346" t="str">
        <x:f>IF('Architecture &amp; Licensing'!$I$9="","U/K",'Architecture &amp; Licensing'!$I$9)</x:f>
        <x:v>2/5</x:v>
      </x:c>
      <x:c r="J30" s="346" t="str">
        <x:f>IF('Architecture &amp; Licensing'!$J$9="","U/K",'Architecture &amp; Licensing'!$J$9)</x:f>
        <x:v>2/5</x:v>
      </x:c>
      <x:c r="K30" s="346" t="str">
        <x:f>IF('Architecture &amp; Licensing'!$K$9="","U/K",'Architecture &amp; Licensing'!$K$9)</x:f>
        <x:v>3/5</x:v>
      </x:c>
      <x:c r="L30" s="346" t="str">
        <x:f>IF('Architecture &amp; Licensing'!$L$9="","U/K",'Architecture &amp; Licensing'!$L$9)</x:f>
        <x:v>3/5</x:v>
      </x:c>
      <x:c r="M30" s="346" t="str">
        <x:f>IF('Architecture &amp; Licensing'!$M$9="","U/K",'Architecture &amp; Licensing'!$M$9)</x:f>
        <x:v>3/5</x:v>
      </x:c>
      <x:c r="N30" s="346" t="str">
        <x:f>IF('Architecture &amp; Licensing'!$N$9="","U/K",'Architecture &amp; Licensing'!$N$9)</x:f>
        <x:v>2/5</x:v>
      </x:c>
      <x:c r="O30" s="346" t="str">
        <x:f>IF('Architecture &amp; Licensing'!$O$9="","U/K",'Architecture &amp; Licensing'!$O$9)</x:f>
        <x:v>4/5 (unsupported)</x:v>
      </x:c>
      <x:c r="P30" s="346" t="str">
        <x:f>IF('Architecture &amp; Licensing'!$P$9="","U/K",'Architecture &amp; Licensing'!$P$9)</x:f>
        <x:v>N/A</x:v>
      </x:c>
      <x:c r="Q30" s="346" t="str">
        <x:f>IF('Architecture &amp; Licensing'!$Q$9="","U/K",'Architecture &amp; Licensing'!$Q$9)</x:f>
        <x:v>3/5</x:v>
      </x:c>
      <x:c r="R30" s="346" t="str">
        <x:f>IF('Architecture &amp; Licensing'!$R$9="","U/K",'Architecture &amp; Licensing'!$R$9)</x:f>
        <x:v>4/5 / evolving</x:v>
      </x:c>
      <x:c r="S30" s="346" t="str">
        <x:f>IF('Architecture &amp; Licensing'!$S$9="","U/K",'Architecture &amp; Licensing'!$S$9)</x:f>
        <x:v>U/K</x:v>
      </x:c>
      <x:c r="T30" s="346" t="str">
        <x:f>IF('Architecture &amp; Licensing'!$T$9="","U/K",'Architecture &amp; Licensing'!$T$9)</x:f>
        <x:v>N/A</x:v>
      </x:c>
      <x:c r="U30" s="346" t="str">
        <x:f>IF('Architecture &amp; Licensing'!$U$9="","U/K",'Architecture &amp; Licensing'!$U$9)</x:f>
        <x:v>2/5</x:v>
      </x:c>
      <x:c r="V30" s="346" t="str">
        <x:f>IF('Architecture &amp; Licensing'!$V$9="","U/K",'Architecture &amp; Licensing'!$V$9)</x:f>
        <x:v>4/5</x:v>
      </x:c>
      <x:c r="W30" s="346" t="str">
        <x:f>IF('Architecture &amp; Licensing'!$W$9="","U/K",'Architecture &amp; Licensing'!$W$9)</x:f>
        <x:v>4/5</x:v>
      </x:c>
      <x:c r="X30" s="346" t="str">
        <x:f>IF('Architecture &amp; Licensing'!$X$9="","U/K",'Architecture &amp; Licensing'!$X$9)</x:f>
        <x:v>3/5 for using hosted relays; self-host relay more complex</x:v>
      </x:c>
      <x:c r="Y30" s="346" t="str">
        <x:f>IF('Architecture &amp; Licensing'!$Y$9="","U/K",'Architecture &amp; Licensing'!$Y$9)</x:f>
        <x:v>3/5</x:v>
      </x:c>
      <x:c r="Z30" s="346" t="str">
        <x:f>IF('Architecture &amp; Licensing'!$Z$9="","U/K",'Architecture &amp; Licensing'!$Z$9)</x:f>
        <x:v>3/5</x:v>
      </x:c>
      <x:c r="AA30" s="380" t="str">
        <x:f>IF('Architecture &amp; Licensing'!$AA$9="","U/K",'Architecture &amp; Licensing'!$AA$9)</x:f>
        <x:v>N/A</x:v>
      </x:c>
      <x:c r="AB30" s="346" t="str">
        <x:f>IF('Architecture &amp; Licensing'!$AB$9="","U/K",'Architecture &amp; Licensing'!$AB$9)</x:f>
        <x:v>3/5</x:v>
      </x:c>
      <x:c r="AC30" s="346" t="str">
        <x:f>IF('Architecture &amp; Licensing'!$AC$9="","U/K",'Architecture &amp; Licensing'!$AC$9)</x:f>
        <x:v>N/A</x:v>
      </x:c>
      <x:c r="AD30" s="346" t="str">
        <x:f>IF('Architecture &amp; Licensing'!$AD$9="","U/K",'Architecture &amp; Licensing'!$AD$9)</x:f>
        <x:v>2/5 - docker compose</x:v>
      </x:c>
      <x:c r="AE30" s="346" t="str">
        <x:f>IF('Architecture &amp; Licensing'!$AE$9="","U/K",'Architecture &amp; Licensing'!$AE$9)</x:f>
        <x:v>N/A</x:v>
      </x:c>
    </x:row>
    <x:row r="31" ht="23" customHeight="1">
      <x:c r="A31" s="427" t="str">
        <x:v>Source &amp; Notes</x:v>
      </x:c>
      <x:c r="B31" s="427"/>
      <x:c r="C31" s="427"/>
      <x:c r="D31" s="427"/>
      <x:c r="E31" s="427"/>
      <x:c r="F31" s="427"/>
      <x:c r="G31" s="427"/>
      <x:c r="H31" s="427"/>
      <x:c r="I31" s="427"/>
      <x:c r="J31" s="427"/>
      <x:c r="K31" s="427"/>
      <x:c r="L31" s="427"/>
      <x:c r="M31" s="427"/>
      <x:c r="N31" s="427"/>
      <x:c r="O31" s="427"/>
      <x:c r="P31" s="427"/>
      <x:c r="Q31" s="427"/>
      <x:c r="R31" s="427"/>
      <x:c r="S31" s="427"/>
      <x:c r="T31" s="427"/>
      <x:c r="U31" s="427"/>
      <x:c r="V31" s="427"/>
      <x:c r="W31" s="427"/>
      <x:c r="X31" s="427"/>
      <x:c r="Y31" s="427"/>
      <x:c r="Z31" s="427"/>
      <x:c r="AA31" s="427"/>
      <x:c r="AB31" s="427"/>
      <x:c r="AC31" s="427"/>
      <x:c r="AD31" s="427"/>
      <x:c r="AE31" s="427"/>
    </x:row>
    <x:row r="32" ht="36" customHeight="1">
      <x:c r="A32" s="360" t="str">
        <x:v>Architecture Source / Notes</x:v>
      </x:c>
      <x:c r="B32" s="349" t="str">
        <x:f>IF('Platform Model &amp; Ecosystem'!$B$20="","U/K",'Platform Model &amp; Ecosystem'!$B$20)</x:f>
        <x:v>One vendor controls service, accounts, official clients, and server backend.</x:v>
      </x:c>
      <x:c r="C32" s="349" t="str">
        <x:f>IF('Platform Model &amp; Ecosystem'!$C$20="","U/K",'Platform Model &amp; Ecosystem'!$C$20)</x:f>
        <x:v>Self-hostable does not mean federated: separate Stoat instances do not automatically interoperate.</x:v>
      </x:c>
      <x:c r="D32" s="349" t="str">
        <x:f>IF('Platform Model &amp; Ecosystem'!$D$20="","U/K",'Platform Model &amp; Ecosystem'!$D$20)</x:f>
        <x:v>Privacy features are product-level, but it is currently a centralized service rather than a federated protocol.</x:v>
      </x:c>
      <x:c r="E32" s="349" t="str">
        <x:f>IF('Platform Model &amp; Ecosystem'!$E$20="","U/K",'Platform Model &amp; Ecosystem'!$E$20)</x:f>
        <x:v>Self-hosting exists now; federation is a separate roadmap item and should not be assumed.</x:v>
      </x:c>
      <x:c r="F32" s="349" t="str">
        <x:f>IF('Platform Model &amp; Ecosystem'!$F$20="","U/K",'Platform Model &amp; Ecosystem'!$F$20)</x:f>
        <x:v>Apps/Bots are hosted inside Root; they extend Root but do not make it self-hosted/federated.</x:v>
      </x:c>
      <x:c r="G32" s="349" t="str">
        <x:f>IF('Platform Model &amp; Ecosystem'!$G$20="","U/K",'Platform Model &amp; Ecosystem'!$G$20)</x:f>
        <x:v>Element is a Matrix client/vendor product. Matrix itself is the protocol and federated ecosystem.</x:v>
      </x:c>
      <x:c r="H32" s="349" t="str">
        <x:f>IF('Platform Model &amp; Ecosystem'!$H$20="","U/K",'Platform Model &amp; Ecosystem'!$H$20)</x:f>
        <x:v>Spacebar reproduces Discord's client-server API model; it is not a federated network.</x:v>
      </x:c>
      <x:c r="I32" s="349" t="str">
        <x:f>IF('Platform Model &amp; Ecosystem'!$I$20="","U/K",'Platform Model &amp; Ecosystem'!$I$20)</x:f>
        <x:v>A voice-first client/server system, not a Discord-style social platform.</x:v>
      </x:c>
      <x:c r="J32" s="349" t="str">
        <x:f>IF('Platform Model &amp; Ecosystem'!$J$20="","U/K",'Platform Model &amp; Ecosystem'!$J$20)</x:f>
        <x:v>Server ownership can be independent, but TeamSpeak servers do not federate into one network.</x:v>
      </x:c>
      <x:c r="K32" s="349" t="str">
        <x:f>IF('Platform Model &amp; Ecosystem'!$K$20="","U/K",'Platform Model &amp; Ecosystem'!$K$20)</x:f>
        <x:v>Multiple deployments are independent; Zulip is an application, not a federated protocol.</x:v>
      </x:c>
      <x:c r="L32" s="349" t="str">
        <x:f>IF('Platform Model &amp; Ecosystem'!$L$20="","U/K",'Platform Model &amp; Ecosystem'!$L$20)</x:f>
        <x:v>Self-hosting gives data control, but separate Mattermost deployments are not one interoperable federation.</x:v>
      </x:c>
      <x:c r="M32" s="349" t="str">
        <x:f>IF('Platform Model &amp; Ecosystem'!$M$20="","U/K",'Platform Model &amp; Ecosystem'!$M$20)</x:f>
        <x:v>Federation exists, but its feature set is narrower than local rooms and differs from Matrix-as-a-platform.</x:v>
      </x:c>
      <x:c r="N32" s="349" t="str">
        <x:f>IF('Platform Model &amp; Ecosystem'!$N$20="","U/K",'Platform Model &amp; Ecosystem'!$N$20)</x:f>
        <x:v>Self-hosting exists, but instances are not documented as one federated network.</x:v>
      </x:c>
      <x:c r="O32" s="349" t="str">
        <x:f>IF('Platform Model &amp; Ecosystem'!$O$20="","U/K",'Platform Model &amp; Ecosystem'!$O$20)</x:f>
        <x:v>Open source does not imply federation; the official project discourages self-hosting as a normal deployment model.</x:v>
      </x:c>
      <x:c r="P32" s="349" t="str">
        <x:f>IF('Platform Model &amp; Ecosystem'!$P$20="","U/K",'Platform Model &amp; Ecosystem'!$P$20)</x:f>
        <x:v>Regional distribution is not federation or self-hosting.</x:v>
      </x:c>
      <x:c r="Q32" s="349" t="str">
        <x:f>IF('Platform Model &amp; Ecosystem'!$Q$20="","U/K",'Platform Model &amp; Ecosystem'!$Q$20)</x:f>
        <x:v>Unlike a purely centralized clone, Loqa explicitly targets federation/self-hosting, but the architecture is still evolving.</x:v>
      </x:c>
      <x:c r="R32" s="349" t="str">
        <x:f>IF('Platform Model &amp; Ecosystem'!$R$20="","U/K",'Platform Model &amp; Ecosystem'!$R$20)</x:f>
        <x:v>Current product and intended future architecture differ; federation/self-hosting should be marked in-progress, not assumed complete.</x:v>
      </x:c>
      <x:c r="S32" s="349" t="str">
        <x:f>IF('Platform Model &amp; Ecosystem'!$S$20="","U/K",'Platform Model &amp; Ecosystem'!$S$20)</x:f>
        <x:v>Open source code does not by itself make Mezon a federated protocol like Matrix.</x:v>
      </x:c>
      <x:c r="T32" s="349" t="str">
        <x:f>IF('Platform Model &amp; Ecosystem'!$T$20="","U/K",'Platform Model &amp; Ecosystem'!$T$20)</x:f>
        <x:v>Privacy-minimal account design is distinct from decentralization/self-hosting.</x:v>
      </x:c>
      <x:c r="U32" s="349" t="str">
        <x:f>IF('Platform Model &amp; Ecosystem'!$U$20="","U/K",'Platform Model &amp; Ecosystem'!$U$20)</x:f>
        <x:v>Like TeamSpeak, operator owns the server; unlike Matrix, servers are not documented as federated.</x:v>
      </x:c>
      <x:c r="V32" s="349" t="str">
        <x:f>IF('Platform Model &amp; Ecosystem'!$V$20="","U/K",'Platform Model &amp; Ecosystem'!$V$20)</x:f>
        <x:v>Harmony is the platform/API; Fermi is a client. This mirrors the Matrix/Element distinction conceptually, though Harmony is not Matrix.</x:v>
      </x:c>
      <x:c r="W32" s="349" t="str">
        <x:f>IF('Platform Model &amp; Ecosystem'!$W$20="","U/K",'Platform Model &amp; Ecosystem'!$W$20)</x:f>
        <x:v>Roomy is an ATProto application, not a generic centralized Discord clone.</x:v>
      </x:c>
      <x:c r="X32" s="349" t="str">
        <x:f>IF('Platform Model &amp; Ecosystem'!$X$20="","U/K",'Platform Model &amp; Ecosystem'!$X$20)</x:f>
        <x:v>Armada separates identity/content from a single platform host: keys are the account and relays are replaceable transport.</x:v>
      </x:c>
      <x:c r="Y32" s="349" t="str">
        <x:f>IF('Platform Model &amp; Ecosystem'!$Y$20="","U/K",'Platform Model &amp; Ecosystem'!$Y$20)</x:f>
        <x:v>There is no central account database: the user's keypair is the identity and message history lives locally.</x:v>
      </x:c>
      <x:c r="Z32" s="349" t="str">
        <x:f>IF('Platform Model &amp; Ecosystem'!$Z$20="","U/K",'Platform Model &amp; Ecosystem'!$Z$20)</x:f>
        <x:v>DCTS combines island-like community servers with a separate cross-server encrypted messenger.</x:v>
      </x:c>
      <x:c r="AA32" s="381" t="str">
        <x:f>IF('Platform Model &amp; Ecosystem'!$AA$20="","U/K",'Platform Model &amp; Ecosystem'!$AA$20)</x:f>
        <x:v>Privacy policy choices (no email/phone/ID, EXIF stripping, no AI training) operate within a centralized service model.</x:v>
      </x:c>
      <x:c r="AB32" s="349" t="str">
        <x:f>IF('Platform Model &amp; Ecosystem'!$AB$20="","U/K",'Platform Model &amp; Ecosystem'!$AB$20)</x:f>
        <x:v>Self-hosting provides ownership, but instances are not one federated network.</x:v>
      </x:c>
      <x:c r="AC32" s="349" t="str">
        <x:f>IF('Platform Model &amp; Ecosystem'!$AC$20="","U/K",'Platform Model &amp; Ecosystem'!$AC$20)</x:f>
        <x:v>Familiar Discord-style UX on a centralized service.</x:v>
      </x:c>
      <x:c r="AD32" s="349" t="str">
        <x:f>IF('Platform Model &amp; Ecosystem'!$AD$20="","U/K",'Platform Model &amp; Ecosystem'!$AD$20)</x:f>
        <x:v>Valour is one open-source platform/client-server stack, not a general protocol ecosystem like Matrix.</x:v>
      </x:c>
      <x:c r="AE32" s="349" t="str">
        <x:f>IF('Platform Model &amp; Ecosystem'!$AE$20="","U/K",'Platform Model &amp; Ecosystem'!$AE$20)</x:f>
        <x:v>Weered intentionally uses game lobbies/rooms rather than cloning Discord's server/channel information architecture.</x:v>
      </x:c>
    </x:row>
    <x:row r="33" ht="23" customHeight="1">
      <x:c r="A33" s="389" t="str">
        <x:v>Operations &amp; Scale</x:v>
      </x:c>
      <x:c r="B33" s="389"/>
      <x:c r="C33" s="389"/>
      <x:c r="D33" s="389"/>
      <x:c r="E33" s="389"/>
      <x:c r="F33" s="389"/>
      <x:c r="G33" s="389"/>
      <x:c r="H33" s="389"/>
      <x:c r="I33" s="389"/>
      <x:c r="J33" s="389"/>
      <x:c r="K33" s="389"/>
      <x:c r="L33" s="389"/>
      <x:c r="M33" s="389"/>
      <x:c r="N33" s="389"/>
      <x:c r="O33" s="389"/>
      <x:c r="P33" s="389"/>
      <x:c r="Q33" s="389"/>
      <x:c r="R33" s="389"/>
      <x:c r="S33" s="389"/>
      <x:c r="T33" s="389"/>
      <x:c r="U33" s="389"/>
      <x:c r="V33" s="389"/>
      <x:c r="W33" s="389"/>
      <x:c r="X33" s="389"/>
      <x:c r="Y33" s="389"/>
      <x:c r="Z33" s="389"/>
      <x:c r="AA33" s="389"/>
      <x:c r="AB33" s="389"/>
      <x:c r="AC33" s="389"/>
      <x:c r="AD33" s="389"/>
      <x:c r="AE33" s="389"/>
    </x:row>
    <x:row r="34" ht="36" customHeight="1">
      <x:c r="A34" s="378" t="str">
        <x:v>High Availability Documented?</x:v>
      </x:c>
      <x:c r="B34" s="346" t="str">
        <x:v>N/A - SaaS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U/K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Yes/U/K</x:v>
      </x:c>
      <x:c r="L34" s="346" t="str">
        <x:v>Yes</x:v>
      </x:c>
      <x:c r="M34" s="346" t="str">
        <x:v>Yes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N/A - no public self-hosting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Horizontal Scaling Documented?</x:v>
      </x:c>
      <x:c r="B35" s="346" t="str">
        <x:v>N/A - SaaS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Yes/U/K</x:v>
      </x:c>
      <x:c r="L35" s="346" t="str">
        <x:v>Yes</x:v>
      </x:c>
      <x:c r="M35" s="346" t="str">
        <x:v>Yes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U/K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Backup / Restore Documentation?</x:v>
      </x:c>
      <x:c r="B36" s="346" t="str">
        <x:v>U/K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Yes</x:v>
      </x:c>
      <x:c r="L36" s="346" t="str">
        <x:v>Yes</x:v>
      </x:c>
      <x:c r="M36" s="346" t="str">
        <x:v>Yes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N/A - hosted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  <x:row r="37" ht="36" customHeight="1">
      <x:c r="A37" s="378" t="str">
        <x:v>Built-In Metrics / Observability?</x:v>
      </x:c>
      <x:c r="B37" s="346" t="str">
        <x:v>U/K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Yes/U/K</x:v>
      </x:c>
      <x:c r="L37" s="346" t="str">
        <x:v>Yes</x:v>
      </x:c>
      <x:c r="M37" s="346" t="str">
        <x:v>Yes/U/K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Hosted internal / U/K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  <x:row r="38" ht="36" customHeight="1">
      <x:c r="A38" s="378" t="str">
        <x:v>SMTP / Email Service Required?</x:v>
      </x:c>
      <x:c r="B38" s="346" t="str">
        <x:v>U/K</x:v>
      </x:c>
      <x:c r="C38" s="346" t="str">
        <x:v>U/K</x:v>
      </x:c>
      <x:c r="D38" s="346" t="str">
        <x:v>U/K</x:v>
      </x:c>
      <x:c r="E38" s="346" t="str">
        <x:v>U/K</x:v>
      </x:c>
      <x:c r="F38" s="346" t="str">
        <x:v>U/K</x:v>
      </x:c>
      <x:c r="G38" s="346" t="str">
        <x:v>U/K</x:v>
      </x:c>
      <x:c r="H38" s="346" t="str">
        <x:v>U/K</x:v>
      </x:c>
      <x:c r="I38" s="346" t="str">
        <x:v>U/K</x:v>
      </x:c>
      <x:c r="J38" s="346" t="str">
        <x:v>U/K</x:v>
      </x:c>
      <x:c r="K38" s="346" t="str">
        <x:v>Yes for full email flows</x:v>
      </x:c>
      <x:c r="L38" s="346" t="str">
        <x:v>Common/optional by config</x:v>
      </x:c>
      <x:c r="M38" s="346" t="str">
        <x:v>Common/optional by config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U/K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U/K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No email required for account signup per policy/U/K</x:v>
      </x:c>
      <x:c r="AB38" s="346" t="str">
        <x:v>U/K</x:v>
      </x:c>
      <x:c r="AC38" s="346" t="str">
        <x:v>U/K</x:v>
      </x:c>
      <x:c r="AD38" s="346" t="str">
        <x:v>U/K</x:v>
      </x:c>
      <x:c r="AE38" s="346" t="str">
        <x:v>U/K</x:v>
      </x:c>
    </x:row>
  </x:sheetData>
  <x:mergeCells>
    <x:mergeCell ref="A1:AE1"/>
  </x:mergeCells>
  <x:conditionalFormatting sqref="B3:AE32">
    <x:cfRule type="expression" dxfId="76" priority="1">
      <x:formula>ISNUMBER(SEARCH("U/K",B3))</x:formula>
    </x:cfRule>
    <x:cfRule type="expression" dxfId="77" priority="2">
      <x:formula>OR(B3="N/A",LEFT(B3,4)="N/A ")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Client &amp; Distribution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f>'At a Glance'!$B$2</x:f>
        <x:v>Discord</x:v>
      </x:c>
      <x:c r="C2" s="420" t="str">
        <x:f>'At a Glance'!$C$2</x:f>
        <x:v>Stoat</x:v>
      </x:c>
      <x:c r="D2" s="420" t="str">
        <x:f>'At a Glance'!$D$2</x:f>
        <x:v>Fenrid</x:v>
      </x:c>
      <x:c r="E2" s="420" t="str">
        <x:f>'At a Glance'!$E$2</x:f>
        <x:v>Fluxer</x:v>
      </x:c>
      <x:c r="F2" s="420" t="str">
        <x:f>'At a Glance'!$F$2</x:f>
        <x:v>Root</x:v>
      </x:c>
      <x:c r="G2" s="420" t="str">
        <x:f>'At a Glance'!$G$2</x:f>
        <x:v>Matrix</x:v>
      </x:c>
      <x:c r="H2" s="420" t="str">
        <x:f>'At a Glance'!$H$2</x:f>
        <x:v>Spacebar</x:v>
      </x:c>
      <x:c r="I2" s="420" t="str">
        <x:f>'At a Glance'!$I$2</x:f>
        <x:v>Mumble</x:v>
      </x:c>
      <x:c r="J2" s="420" t="str">
        <x:f>'At a Glance'!$J$2</x:f>
        <x:v>TeamSpeak</x:v>
      </x:c>
      <x:c r="K2" s="420" t="str">
        <x:f>'At a Glance'!$K$2</x:f>
        <x:v>Zulip</x:v>
      </x:c>
      <x:c r="L2" s="420" t="str">
        <x:f>'At a Glance'!$L$2</x:f>
        <x:v>Mattermost</x:v>
      </x:c>
      <x:c r="M2" s="420" t="str">
        <x:f>'At a Glance'!$M$2</x:f>
        <x:v>Rocket.Chat</x:v>
      </x:c>
      <x:c r="N2" s="420" t="str">
        <x:f>'At a Glance'!$N$2</x:f>
        <x:v>GameVox</x:v>
      </x:c>
      <x:c r="O2" s="420" t="str">
        <x:f>'At a Glance'!$O$2</x:f>
        <x:v>Nerimity</x:v>
      </x:c>
      <x:c r="P2" s="420" t="str">
        <x:f>'At a Glance'!$P$2</x:f>
        <x:v>Osmium</x:v>
      </x:c>
      <x:c r="Q2" s="420" t="str">
        <x:f>'At a Glance'!$Q$2</x:f>
        <x:v>Loqa</x:v>
      </x:c>
      <x:c r="R2" s="420" t="str">
        <x:f>'At a Glance'!$R$2</x:f>
        <x:v>Venta</x:v>
      </x:c>
      <x:c r="S2" s="420" t="str">
        <x:f>'At a Glance'!$S$2</x:f>
        <x:v>Mezon</x:v>
      </x:c>
      <x:c r="T2" s="420" t="str">
        <x:f>'At a Glance'!$T$2</x:f>
        <x:v>Kloak</x:v>
      </x:c>
      <x:c r="U2" s="420" t="str">
        <x:f>'At a Glance'!$U$2</x:f>
        <x:v>Yapper</x:v>
      </x:c>
      <x:c r="V2" s="420" t="str">
        <x:f>'At a Glance'!$V$2</x:f>
        <x:v>Harmony</x:v>
      </x:c>
      <x:c r="W2" s="420" t="str">
        <x:f>'At a Glance'!$W$2</x:f>
        <x:v>Roomy</x:v>
      </x:c>
      <x:c r="X2" s="420" t="str">
        <x:f>'At a Glance'!$X$2</x:f>
        <x:v>Armada</x:v>
      </x:c>
      <x:c r="Y2" s="420" t="str">
        <x:f>'At a Glance'!$Y$2</x:f>
        <x:v>Hollow</x:v>
      </x:c>
      <x:c r="Z2" s="420" t="str">
        <x:f>'At a Glance'!$Z$2</x:f>
        <x:v>DCTS</x:v>
      </x:c>
      <x:c r="AA2" s="421" t="str">
        <x:f>'At a Glance'!$AA$2</x:f>
        <x:v>Rift</x:v>
      </x:c>
      <x:c r="AB2" s="420" t="str">
        <x:f>'At a Glance'!$AB$2</x:f>
        <x:v>pqp.gg</x:v>
      </x:c>
      <x:c r="AC2" s="420" t="str">
        <x:f>'At a Glance'!$AC$2</x:f>
        <x:v>Echon</x:v>
      </x:c>
      <x:c r="AD2" s="420" t="str">
        <x:f>'At a Glance'!$AD$2</x:f>
        <x:v>Valour</x:v>
      </x:c>
      <x:c r="AE2" s="420" t="str">
        <x:f>'At a Glance'!$AE$2</x:f>
        <x:v>Weered</x:v>
      </x:c>
    </x:row>
    <x:row r="3" ht="36" customHeight="1">
      <x:c r="A3" s="359" t="str">
        <x:v>Web Client</x:v>
      </x:c>
      <x:c r="B3" s="346" t="str">
        <x:v>Yes</x:v>
      </x:c>
      <x:c r="C3" s="346" t="str">
        <x:v>Yes - Solid.js PWA</x:v>
      </x:c>
      <x:c r="D3" s="346" t="str">
        <x:v>Yes</x:v>
      </x:c>
      <x:c r="E3" s="346" t="str">
        <x:v>Yes</x:v>
      </x:c>
      <x:c r="F3" s="346" t="str">
        <x:v>Yes/desktop service surface</x:v>
      </x:c>
      <x:c r="G3" s="346" t="str">
        <x:v>Yes - depends on chosen client</x:v>
      </x:c>
      <x:c r="H3" s="346" t="str">
        <x:v>Spacebar client/web options</x:v>
      </x:c>
      <x:c r="I3" s="346" t="str">
        <x:v>No official web client core</x:v>
      </x:c>
      <x:c r="J3" s="346" t="str">
        <x:v>Web support/product-generation dependent</x:v>
      </x:c>
      <x:c r="K3" s="346" t="str">
        <x:v>Yes</x:v>
      </x:c>
      <x:c r="L3" s="346" t="str">
        <x:v>Yes</x:v>
      </x:c>
      <x:c r="M3" s="346" t="str">
        <x:v>Yes</x:v>
      </x:c>
      <x:c r="N3" s="346" t="str">
        <x:v>Yes</x:v>
      </x:c>
      <x:c r="O3" s="346" t="str">
        <x:v>Yes</x:v>
      </x:c>
      <x:c r="P3" s="346" t="str">
        <x:v>Yes</x:v>
      </x:c>
      <x:c r="Q3" s="346" t="str">
        <x:v>Yes</x:v>
      </x:c>
      <x:c r="R3" s="346" t="str">
        <x:v>U/K</x:v>
      </x:c>
      <x:c r="S3" s="346" t="str">
        <x:v>Yes</x:v>
      </x:c>
      <x:c r="T3" s="346" t="str">
        <x:v>Yes</x:v>
      </x:c>
      <x:c r="U3" s="346" t="str">
        <x:v>Yes</x:v>
      </x:c>
      <x:c r="V3" s="346" t="str">
        <x:v>Yes - Fermi</x:v>
      </x:c>
      <x:c r="W3" s="346" t="str">
        <x:v>Yes</x:v>
      </x:c>
      <x:c r="X3" s="346" t="str">
        <x:v>Yes</x:v>
      </x:c>
      <x:c r="Y3" s="346" t="str">
        <x:v>No web-first; native clients</x:v>
      </x:c>
      <x:c r="Z3" s="346" t="str">
        <x:v>Yes</x:v>
      </x:c>
      <x:c r="AA3" s="380" t="str">
        <x:v>Yes</x:v>
      </x:c>
      <x:c r="AB3" s="346" t="str">
        <x:v>Yes</x:v>
      </x:c>
      <x:c r="AC3" s="346" t="str">
        <x:v>Yes</x:v>
      </x:c>
      <x:c r="AD3" s="346" t="str">
        <x:v>Yes</x:v>
      </x:c>
      <x:c r="AE3" s="346" t="str">
        <x:v>Yes</x:v>
      </x:c>
    </x:row>
    <x:row r="4" ht="36" customHeight="1">
      <x:c r="A4" s="359" t="str">
        <x:v>Desktop Client</x:v>
      </x:c>
      <x:c r="B4" s="346" t="str">
        <x:v>Yes</x:v>
      </x:c>
      <x:c r="C4" s="346" t="str">
        <x:v>Yes - Electron wrapper</x:v>
      </x:c>
      <x:c r="D4" s="346" t="str">
        <x:v>PWA/web-first</x:v>
      </x:c>
      <x:c r="E4" s="346" t="str">
        <x:v>Yes</x:v>
      </x:c>
      <x:c r="F4" s="346" t="str">
        <x:v>Yes</x:v>
      </x:c>
      <x:c r="G4" s="346" t="str">
        <x:v>Yes - depends on chosen client</x:v>
      </x:c>
      <x:c r="H4" s="346" t="str">
        <x:v>Project client exists</x:v>
      </x:c>
      <x:c r="I4" s="346" t="str">
        <x:v>Yes</x:v>
      </x:c>
      <x:c r="J4" s="346" t="str">
        <x:v>Yes</x:v>
      </x:c>
      <x:c r="K4" s="346" t="str">
        <x:v>Yes</x:v>
      </x:c>
      <x:c r="L4" s="346" t="str">
        <x:v>Yes</x:v>
      </x:c>
      <x:c r="M4" s="346" t="str">
        <x:v>Yes</x:v>
      </x:c>
      <x:c r="N4" s="346" t="str">
        <x:v>Yes</x:v>
      </x:c>
      <x:c r="O4" s="346" t="str">
        <x:v>Yes</x:v>
      </x:c>
      <x:c r="P4" s="346" t="str">
        <x:v>Yes</x:v>
      </x:c>
      <x:c r="Q4" s="346" t="str">
        <x:v>U/K</x:v>
      </x:c>
      <x:c r="R4" s="346" t="str">
        <x:v>Yes</x:v>
      </x:c>
      <x:c r="S4" s="346" t="str">
        <x:v>Yes</x:v>
      </x:c>
      <x:c r="T4" s="346" t="str">
        <x:v>U/K</x:v>
      </x:c>
      <x:c r="U4" s="346" t="str">
        <x:v>Roadmap/U/K</x:v>
      </x:c>
      <x:c r="V4" s="346" t="str">
        <x:v>No native desktop</x:v>
      </x:c>
      <x:c r="W4" s="346" t="str">
        <x:v>U/K</x:v>
      </x:c>
      <x:c r="X4" s="346" t="str">
        <x:v>U/K</x:v>
      </x:c>
      <x:c r="Y4" s="346" t="str">
        <x:v>Yes</x:v>
      </x:c>
      <x:c r="Z4" s="346" t="str">
        <x:v>Yes</x:v>
      </x:c>
      <x:c r="AA4" s="380" t="str">
        <x:v>Yes/U/K</x:v>
      </x:c>
      <x:c r="AB4" s="346" t="str">
        <x:v>Yes</x:v>
      </x:c>
      <x:c r="AC4" s="346" t="str">
        <x:v>Yes</x:v>
      </x:c>
      <x:c r="AD4" s="346" t="str">
        <x:v>Yes - Windows</x:v>
      </x:c>
      <x:c r="AE4" s="346" t="str">
        <x:v>Yes</x:v>
      </x:c>
    </x:row>
    <x:row r="5" ht="36" customHeight="1">
      <x:c r="A5" s="359" t="str">
        <x:v>Desktop Framework</x:v>
      </x:c>
      <x:c r="B5" s="346" t="str">
        <x:v>Electron</x:v>
      </x:c>
      <x:c r="C5" s="346" t="str">
        <x:v>Electron + web stack</x:v>
      </x:c>
      <x:c r="D5" s="346" t="str">
        <x:v>Next.js/TypeScript web stack</x:v>
      </x:c>
      <x:c r="E5" s="346" t="str">
        <x:v>Electron</x:v>
      </x:c>
      <x:c r="F5" s="346" t="str">
        <x:v>U/K</x:v>
      </x:c>
      <x:c r="G5" s="346" t="str">
        <x:v>Varies: Electron/native/GTK/etc.</x:v>
      </x:c>
      <x:c r="H5" s="346" t="str">
        <x:v>U/K</x:v>
      </x:c>
      <x:c r="I5" s="346" t="str">
        <x:v>Native Qt</x:v>
      </x:c>
      <x:c r="J5" s="346" t="str">
        <x:v>Proprietary/native</x:v>
      </x:c>
      <x:c r="K5" s="346" t="str">
        <x:v>Electron</x:v>
      </x:c>
      <x:c r="L5" s="346" t="str">
        <x:v>Electron</x:v>
      </x:c>
      <x:c r="M5" s="346" t="str">
        <x:v>Electron</x:v>
      </x:c>
      <x:c r="N5" s="346" t="str">
        <x:v>Wails v3 native desktop</x:v>
      </x:c>
      <x:c r="O5" s="346" t="str">
        <x:v>Electron</x:v>
      </x:c>
      <x:c r="P5" s="346" t="str">
        <x:v>Native/implementation U/K</x:v>
      </x:c>
      <x:c r="Q5" s="346" t="str">
        <x:v>Web stack U/K</x:v>
      </x:c>
      <x:c r="R5" s="346" t="str">
        <x:v>U/K</x:v>
      </x:c>
      <x:c r="S5" s="346" t="str">
        <x:v>Rust native desktop</x:v>
      </x:c>
      <x:c r="T5" s="346" t="str">
        <x:v>U/K</x:v>
      </x:c>
      <x:c r="U5" s="346" t="str">
        <x:v>Browser-first</x:v>
      </x:c>
      <x:c r="V5" s="346" t="str">
        <x:v>TS/HTML/CSS web</x:v>
      </x:c>
      <x:c r="W5" s="346" t="str">
        <x:v>Web app</x:v>
      </x:c>
      <x:c r="X5" s="346" t="str">
        <x:v>Web/TypeScript U/K</x:v>
      </x:c>
      <x:c r="Y5" s="346" t="str">
        <x:v>Flutter + Rust</x:v>
      </x:c>
      <x:c r="Z5" s="346" t="str">
        <x:v>U/K</x:v>
      </x:c>
      <x:c r="AA5" s="380" t="str">
        <x:v>U/K</x:v>
      </x:c>
      <x:c r="AB5" s="346" t="str">
        <x:v>U/K</x:v>
      </x:c>
      <x:c r="AC5" s="346" t="str">
        <x:v>U/K</x:v>
      </x:c>
      <x:c r="AD5" s="346" t="str">
        <x:v>Blazor/WebAssembly + launcher</x:v>
      </x:c>
      <x:c r="AE5" s="346" t="str">
        <x:v>Tauri</x:v>
      </x:c>
    </x:row>
    <x:row r="6" ht="36" customHeight="1">
      <x:c r="A6" s="359" t="str">
        <x:v>Windows Support</x:v>
      </x:c>
      <x:c r="B6" s="346" t="str">
        <x:v>Yes</x:v>
      </x:c>
      <x:c r="C6" s="346" t="str">
        <x:v>Yes</x:v>
      </x:c>
      <x:c r="D6" s="346" t="str">
        <x:v>Yes via web/PWA</x:v>
      </x:c>
      <x:c r="E6" s="346" t="str">
        <x:v>Yes</x:v>
      </x:c>
      <x:c r="F6" s="346" t="str">
        <x:v>Yes</x:v>
      </x:c>
      <x:c r="G6" s="346" t="str">
        <x:v>Yes - many clients</x:v>
      </x:c>
      <x:c r="H6" s="346" t="str">
        <x:v>Client-dependent</x:v>
      </x:c>
      <x:c r="I6" s="346" t="str">
        <x:v>Yes</x:v>
      </x:c>
      <x:c r="J6" s="346" t="str">
        <x:v>Yes</x:v>
      </x:c>
      <x:c r="K6" s="346" t="str">
        <x:v>Yes</x:v>
      </x:c>
      <x:c r="L6" s="346" t="str">
        <x:v>Yes</x:v>
      </x:c>
      <x:c r="M6" s="346" t="str">
        <x:v>Yes</x:v>
      </x:c>
      <x:c r="N6" s="346" t="str">
        <x:v>Yes</x:v>
      </x:c>
      <x:c r="O6" s="346" t="str">
        <x:v>Yes</x:v>
      </x:c>
      <x:c r="P6" s="346" t="str">
        <x:v>Yes</x:v>
      </x:c>
      <x:c r="Q6" s="346" t="str">
        <x:v>Web</x:v>
      </x:c>
      <x:c r="R6" s="346" t="str">
        <x:v>Yes</x:v>
      </x:c>
      <x:c r="S6" s="346" t="str">
        <x:v>Yes</x:v>
      </x:c>
      <x:c r="T6" s="346" t="str">
        <x:v>Web/U/K</x:v>
      </x:c>
      <x:c r="U6" s="346" t="str">
        <x:v>Yes browser</x:v>
      </x:c>
      <x:c r="V6" s="346" t="str">
        <x:v>Web</x:v>
      </x:c>
      <x:c r="W6" s="346" t="str">
        <x:v>Web</x:v>
      </x:c>
      <x:c r="X6" s="346" t="str">
        <x:v>Web</x:v>
      </x:c>
      <x:c r="Y6" s="346" t="str">
        <x:v>Yes</x:v>
      </x:c>
      <x:c r="Z6" s="346" t="str">
        <x:v>Yes</x:v>
      </x:c>
      <x:c r="AA6" s="380" t="str">
        <x:v>Yes</x:v>
      </x:c>
      <x:c r="AB6" s="346" t="str">
        <x:v>Yes</x:v>
      </x:c>
      <x:c r="AC6" s="346" t="str">
        <x:v>Yes</x:v>
      </x:c>
      <x:c r="AD6" s="346" t="str">
        <x:v>Yes</x:v>
      </x:c>
      <x:c r="AE6" s="346" t="str">
        <x:v>Yes</x:v>
      </x:c>
    </x:row>
    <x:row r="7" ht="36" customHeight="1">
      <x:c r="A7" s="359" t="str">
        <x:v>macOS Support</x:v>
      </x:c>
      <x:c r="B7" s="346" t="str">
        <x:v>Yes</x:v>
      </x:c>
      <x:c r="C7" s="346" t="str">
        <x:v>Yes</x:v>
      </x:c>
      <x:c r="D7" s="346" t="str">
        <x:v>Yes via web/PWA</x:v>
      </x:c>
      <x:c r="E7" s="346" t="str">
        <x:v>Yes</x:v>
      </x:c>
      <x:c r="F7" s="346" t="str">
        <x:v>Yes</x:v>
      </x:c>
      <x:c r="G7" s="346" t="str">
        <x:v>Yes - many clients</x:v>
      </x:c>
      <x:c r="H7" s="346" t="str">
        <x:v>Client-dependent</x:v>
      </x:c>
      <x:c r="I7" s="346" t="str">
        <x:v>Yes</x:v>
      </x:c>
      <x:c r="J7" s="346" t="str">
        <x:v>Yes</x:v>
      </x:c>
      <x:c r="K7" s="346" t="str">
        <x:v>Yes</x:v>
      </x:c>
      <x:c r="L7" s="346" t="str">
        <x:v>Yes</x:v>
      </x:c>
      <x:c r="M7" s="346" t="str">
        <x:v>Yes</x:v>
      </x:c>
      <x:c r="N7" s="346" t="str">
        <x:v>Yes</x:v>
      </x:c>
      <x:c r="O7" s="346" t="str">
        <x:v>Yes</x:v>
      </x:c>
      <x:c r="P7" s="346" t="str">
        <x:v>Yes</x:v>
      </x:c>
      <x:c r="Q7" s="346" t="str">
        <x:v>Web</x:v>
      </x:c>
      <x:c r="R7" s="346" t="str">
        <x:v>Yes/U/K</x:v>
      </x:c>
      <x:c r="S7" s="346" t="str">
        <x:v>Yes</x:v>
      </x:c>
      <x:c r="T7" s="346" t="str">
        <x:v>Web/U/K</x:v>
      </x:c>
      <x:c r="U7" s="346" t="str">
        <x:v>Yes browser</x:v>
      </x:c>
      <x:c r="V7" s="346" t="str">
        <x:v>Web</x:v>
      </x:c>
      <x:c r="W7" s="346" t="str">
        <x:v>Web</x:v>
      </x:c>
      <x:c r="X7" s="346" t="str">
        <x:v>Web</x:v>
      </x:c>
      <x:c r="Y7" s="346" t="str">
        <x:v>Yes</x:v>
      </x:c>
      <x:c r="Z7" s="346" t="str">
        <x:v>U/K</x:v>
      </x:c>
      <x:c r="AA7" s="380" t="str">
        <x:v>Yes/U/K</x:v>
      </x:c>
      <x:c r="AB7" s="346" t="str">
        <x:v>Yes</x:v>
      </x:c>
      <x:c r="AC7" s="346" t="str">
        <x:v>Yes</x:v>
      </x:c>
      <x:c r="AD7" s="346" t="str">
        <x:v>Web</x:v>
      </x:c>
      <x:c r="AE7" s="346" t="str">
        <x:v>Yes/U/K</x:v>
      </x:c>
    </x:row>
    <x:row r="8" ht="36" customHeight="1">
      <x:c r="A8" s="359" t="str">
        <x:v>Linux Support</x:v>
      </x:c>
      <x:c r="B8" s="346" t="str">
        <x:v>Yes</x:v>
      </x:c>
      <x:c r="C8" s="346" t="str">
        <x:v>Yes</x:v>
      </x:c>
      <x:c r="D8" s="346" t="str">
        <x:v>Yes via web/PWA</x:v>
      </x:c>
      <x:c r="E8" s="346" t="str">
        <x:v>Yes - deb/rpm/AppImage/tar.gz</x:v>
      </x:c>
      <x:c r="F8" s="346" t="str">
        <x:v>Linux status U/K/experimental</x:v>
      </x:c>
      <x:c r="G8" s="346" t="str">
        <x:v>Yes - many clients</x:v>
      </x:c>
      <x:c r="H8" s="346" t="str">
        <x:v>Client-dependent</x:v>
      </x:c>
      <x:c r="I8" s="346" t="str">
        <x:v>Yes</x:v>
      </x:c>
      <x:c r="J8" s="346" t="str">
        <x:v>Yes</x:v>
      </x:c>
      <x:c r="K8" s="346" t="str">
        <x:v>Yes</x:v>
      </x:c>
      <x:c r="L8" s="346" t="str">
        <x:v>Yes</x:v>
      </x:c>
      <x:c r="M8" s="346" t="str">
        <x:v>Yes</x:v>
      </x:c>
      <x:c r="N8" s="346" t="str">
        <x:v>Yes</x:v>
      </x:c>
      <x:c r="O8" s="346" t="str">
        <x:v>Yes</x:v>
      </x:c>
      <x:c r="P8" s="346" t="str">
        <x:v>Yes</x:v>
      </x:c>
      <x:c r="Q8" s="346" t="str">
        <x:v>Web</x:v>
      </x:c>
      <x:c r="R8" s="346" t="str">
        <x:v>Linux experimental</x:v>
      </x:c>
      <x:c r="S8" s="346" t="str">
        <x:v>Yes</x:v>
      </x:c>
      <x:c r="T8" s="346" t="str">
        <x:v>Web/U/K</x:v>
      </x:c>
      <x:c r="U8" s="346" t="str">
        <x:v>Yes browser</x:v>
      </x:c>
      <x:c r="V8" s="346" t="str">
        <x:v>Web</x:v>
      </x:c>
      <x:c r="W8" s="346" t="str">
        <x:v>Web</x:v>
      </x:c>
      <x:c r="X8" s="346" t="str">
        <x:v>Web</x:v>
      </x:c>
      <x:c r="Y8" s="346" t="str">
        <x:v>Yes</x:v>
      </x:c>
      <x:c r="Z8" s="346" t="str">
        <x:v>Yes</x:v>
      </x:c>
      <x:c r="AA8" s="380" t="str">
        <x:v>Yes/U/K</x:v>
      </x:c>
      <x:c r="AB8" s="346" t="str">
        <x:v>Yes</x:v>
      </x:c>
      <x:c r="AC8" s="346" t="str">
        <x:v>Yes</x:v>
      </x:c>
      <x:c r="AD8" s="346" t="str">
        <x:v>Web</x:v>
      </x:c>
      <x:c r="AE8" s="346" t="str">
        <x:v>Yes/U/K</x:v>
      </x:c>
    </x:row>
    <x:row r="9" ht="36" customHeight="1">
      <x:c r="A9" s="359" t="str">
        <x:v>Android Support</x:v>
      </x:c>
      <x:c r="B9" s="346" t="str">
        <x:v>Yes - Play Store</x:v>
      </x:c>
      <x:c r="C9" s="346" t="str">
        <x:v>Native Android</x:v>
      </x:c>
      <x:c r="D9" s="346" t="str">
        <x:v>PWA; native app U/K</x:v>
      </x:c>
      <x:c r="E9" s="346" t="str">
        <x:v>Native Flutter beta + PWA</x:v>
      </x:c>
      <x:c r="F9" s="346" t="str">
        <x:v>Yes - Google Play</x:v>
      </x:c>
      <x:c r="G9" s="346" t="str">
        <x:v>Yes - many clients</x:v>
      </x:c>
      <x:c r="H9" s="346" t="str">
        <x:v>Client-dependent</x:v>
      </x:c>
      <x:c r="I9" s="346" t="str">
        <x:v>Third-party clients</x:v>
      </x:c>
      <x:c r="J9" s="346" t="str">
        <x:v>Yes</x:v>
      </x:c>
      <x:c r="K9" s="346" t="str">
        <x:v>Yes</x:v>
      </x:c>
      <x:c r="L9" s="346" t="str">
        <x:v>Yes</x:v>
      </x:c>
      <x:c r="M9" s="346" t="str">
        <x:v>Yes</x:v>
      </x:c>
      <x:c r="N9" s="346" t="str">
        <x:v>Yes</x:v>
      </x:c>
      <x:c r="O9" s="346" t="str">
        <x:v>Android APK</x:v>
      </x:c>
      <x:c r="P9" s="346" t="str">
        <x:v>Google Play</x:v>
      </x:c>
      <x:c r="Q9" s="346" t="str">
        <x:v>Planned</x:v>
      </x:c>
      <x:c r="R9" s="346" t="str">
        <x:v>U/K</x:v>
      </x:c>
      <x:c r="S9" s="346" t="str">
        <x:v>Native</x:v>
      </x:c>
      <x:c r="T9" s="346" t="str">
        <x:v>U/K</x:v>
      </x:c>
      <x:c r="U9" s="346" t="str">
        <x:v>Browser</x:v>
      </x:c>
      <x:c r="V9" s="346" t="str">
        <x:v>Web</x:v>
      </x:c>
      <x:c r="W9" s="346" t="str">
        <x:v>Web</x:v>
      </x:c>
      <x:c r="X9" s="346" t="str">
        <x:v>U/K</x:v>
      </x:c>
      <x:c r="Y9" s="346" t="str">
        <x:v>Mobile port usable</x:v>
      </x:c>
      <x:c r="Z9" s="346" t="str">
        <x:v>Android</x:v>
      </x:c>
      <x:c r="AA9" s="380" t="str">
        <x:v>U/K</x:v>
      </x:c>
      <x:c r="AB9" s="346" t="str">
        <x:v>APK beta</x:v>
      </x:c>
      <x:c r="AC9" s="346" t="str">
        <x:v>Android APK</x:v>
      </x:c>
      <x:c r="AD9" s="346" t="str">
        <x:v>Android APK</x:v>
      </x:c>
      <x:c r="AE9" s="346" t="str">
        <x:v>In development</x:v>
      </x:c>
    </x:row>
    <x:row r="10" ht="36" customHeight="1">
      <x:c r="A10" s="359" t="str">
        <x:v>iOS Support</x:v>
      </x:c>
      <x:c r="B10" s="346" t="str">
        <x:v>Yes - App Store</x:v>
      </x:c>
      <x:c r="C10" s="346" t="str">
        <x:v>iOS project; availability U/K</x:v>
      </x:c>
      <x:c r="D10" s="346" t="str">
        <x:v>PWA; native app U/K</x:v>
      </x:c>
      <x:c r="E10" s="346" t="str">
        <x:v>TestFlight beta + PWA</x:v>
      </x:c>
      <x:c r="F10" s="346" t="str">
        <x:v>Yes - App Store</x:v>
      </x:c>
      <x:c r="G10" s="346" t="str">
        <x:v>Yes - many clients</x:v>
      </x:c>
      <x:c r="H10" s="346" t="str">
        <x:v>Client-dependent</x:v>
      </x:c>
      <x:c r="I10" s="346" t="str">
        <x:v>Third-party clients</x:v>
      </x:c>
      <x:c r="J10" s="346" t="str">
        <x:v>Yes</x:v>
      </x:c>
      <x:c r="K10" s="346" t="str">
        <x:v>Yes</x:v>
      </x:c>
      <x:c r="L10" s="346" t="str">
        <x:v>Yes</x:v>
      </x:c>
      <x:c r="M10" s="346" t="str">
        <x:v>Yes</x:v>
      </x:c>
      <x:c r="N10" s="346" t="str">
        <x:v>Yes</x:v>
      </x:c>
      <x:c r="O10" s="346" t="str">
        <x:v>No official iOS app</x:v>
      </x:c>
      <x:c r="P10" s="346" t="str">
        <x:v>App Store</x:v>
      </x:c>
      <x:c r="Q10" s="346" t="str">
        <x:v>Planned</x:v>
      </x:c>
      <x:c r="R10" s="346" t="str">
        <x:v>U/K</x:v>
      </x:c>
      <x:c r="S10" s="346" t="str">
        <x:v>Native</x:v>
      </x:c>
      <x:c r="T10" s="346" t="str">
        <x:v>U/K</x:v>
      </x:c>
      <x:c r="U10" s="346" t="str">
        <x:v>Browser</x:v>
      </x:c>
      <x:c r="V10" s="346" t="str">
        <x:v>Web</x:v>
      </x:c>
      <x:c r="W10" s="346" t="str">
        <x:v>Web</x:v>
      </x:c>
      <x:c r="X10" s="346" t="str">
        <x:v>U/K</x:v>
      </x:c>
      <x:c r="Y10" s="346" t="str">
        <x:v>TestFlight planned</x:v>
      </x:c>
      <x:c r="Z10" s="346" t="str">
        <x:v>iOS U/K</x:v>
      </x:c>
      <x:c r="AA10" s="380" t="str">
        <x:v>U/K</x:v>
      </x:c>
      <x:c r="AB10" s="346" t="str">
        <x:v>TestFlight beta</x:v>
      </x:c>
      <x:c r="AC10" s="346" t="str">
        <x:v>App Store</x:v>
      </x:c>
      <x:c r="AD10" s="346" t="str">
        <x:v>U/K</x:v>
      </x:c>
      <x:c r="AE10" s="346" t="str">
        <x:v>In development</x:v>
      </x:c>
    </x:row>
    <x:row r="11" ht="36" customHeight="1">
      <x:c r="A11" s="359" t="str">
        <x:v>PWA</x:v>
      </x:c>
      <x:c r="B11" s="346" t="str">
        <x:v>Web app; installability varies</x:v>
      </x:c>
      <x:c r="C11" s="346" t="str">
        <x:v>Yes</x:v>
      </x:c>
      <x:c r="D11" s="346" t="str">
        <x:v>Yes</x:v>
      </x:c>
      <x:c r="E11" s="346" t="str">
        <x:v>Yes</x:v>
      </x:c>
      <x:c r="F11" s="346" t="str">
        <x:v>U/K</x:v>
      </x:c>
      <x:c r="G11" s="346" t="str">
        <x:v>Many clients have PWAs</x:v>
      </x:c>
      <x:c r="H11" s="346" t="str">
        <x:v>U/K</x:v>
      </x:c>
      <x:c r="I11" s="346" t="str">
        <x:v>No</x:v>
      </x:c>
      <x:c r="J11" s="346" t="str">
        <x:v>U/K</x:v>
      </x:c>
      <x:c r="K11" s="346" t="str">
        <x:v>Yes</x:v>
      </x:c>
      <x:c r="L11" s="346" t="str">
        <x:v>Yes/web</x:v>
      </x:c>
      <x:c r="M11" s="346" t="str">
        <x:v>Yes</x:v>
      </x:c>
      <x:c r="N11" s="346" t="str">
        <x:v>Yes/web</x:v>
      </x:c>
      <x:c r="O11" s="346" t="str">
        <x:v>Web app</x:v>
      </x:c>
      <x:c r="P11" s="346" t="str">
        <x:v>Yes</x:v>
      </x:c>
      <x:c r="Q11" s="346" t="str">
        <x:v>Yes</x:v>
      </x:c>
      <x:c r="R11" s="346" t="str">
        <x:v>U/K</x:v>
      </x:c>
      <x:c r="S11" s="346" t="str">
        <x:v>Yes</x:v>
      </x:c>
      <x:c r="T11" s="346" t="str">
        <x:v>Yes</x:v>
      </x:c>
      <x:c r="U11" s="346" t="str">
        <x:v>Yes</x:v>
      </x:c>
      <x:c r="V11" s="346" t="str">
        <x:v>Yes</x:v>
      </x:c>
      <x:c r="W11" s="346" t="str">
        <x:v>Yes</x:v>
      </x:c>
      <x:c r="X11" s="346" t="str">
        <x:v>Yes/U/K</x:v>
      </x:c>
      <x:c r="Y11" s="346" t="str">
        <x:v>No</x:v>
      </x:c>
      <x:c r="Z11" s="346" t="str">
        <x:v>Yes</x:v>
      </x:c>
      <x:c r="AA11" s="380" t="str">
        <x:v>Yes</x:v>
      </x:c>
      <x:c r="AB11" s="346" t="str">
        <x:v>Yes</x:v>
      </x:c>
      <x:c r="AC11" s="346" t="str">
        <x:v>Yes</x:v>
      </x:c>
      <x:c r="AD11" s="346" t="str">
        <x:v>Yes</x:v>
      </x:c>
      <x:c r="AE11" s="346" t="str">
        <x:v>Yes</x:v>
      </x:c>
    </x:row>
    <x:row r="12" ht="36" customHeight="1">
      <x:c r="A12" s="359" t="str">
        <x:v>Mobile Feature Parity</x:v>
      </x:c>
      <x:c r="B12" s="346" t="str">
        <x:v>High</x:v>
      </x:c>
      <x:c r="C12" s="346" t="str">
        <x:v>Partial</x:v>
      </x:c>
      <x:c r="D12" s="346" t="str">
        <x:v>Alpha</x:v>
      </x:c>
      <x:c r="E12" s="346" t="str">
        <x:v>Partial - web has more features</x:v>
      </x:c>
      <x:c r="F12" s="346" t="str">
        <x:v>Partial</x:v>
      </x:c>
      <x:c r="G12" s="346" t="str">
        <x:v>Varies widely</x:v>
      </x:c>
      <x:c r="H12" s="346" t="str">
        <x:v>U/K</x:v>
      </x:c>
      <x:c r="I12" s="346" t="str">
        <x:v>No</x:v>
      </x:c>
      <x:c r="J12" s="346" t="str">
        <x:v>Partial</x:v>
      </x:c>
      <x:c r="K12" s="346" t="str">
        <x:v>High</x:v>
      </x:c>
      <x:c r="L12" s="346" t="str">
        <x:v>High</x:v>
      </x:c>
      <x:c r="M12" s="346" t="str">
        <x:v>High</x:v>
      </x:c>
      <x:c r="N12" s="346" t="str">
        <x:v>High</x:v>
      </x:c>
      <x:c r="O12" s="346" t="str">
        <x:v>Partial</x:v>
      </x:c>
      <x:c r="P12" s="346" t="str">
        <x:v>High</x:v>
      </x:c>
      <x:c r="Q12" s="346" t="str">
        <x:v>Partial</x:v>
      </x:c>
      <x:c r="R12" s="346" t="str">
        <x:v>Early</x:v>
      </x:c>
      <x:c r="S12" s="346" t="str">
        <x:v>High</x:v>
      </x:c>
      <x:c r="T12" s="346" t="str">
        <x:v>U/K</x:v>
      </x:c>
      <x:c r="U12" s="346" t="str">
        <x:v>Partial</x:v>
      </x:c>
      <x:c r="V12" s="346" t="str">
        <x:v>Low</x:v>
      </x:c>
      <x:c r="W12" s="346" t="str">
        <x:v>Early</x:v>
      </x:c>
      <x:c r="X12" s="346" t="str">
        <x:v>Early</x:v>
      </x:c>
      <x:c r="Y12" s="346" t="str">
        <x:v>Growing</x:v>
      </x:c>
      <x:c r="Z12" s="346" t="str">
        <x:v>High</x:v>
      </x:c>
      <x:c r="AA12" s="380" t="str">
        <x:v>U/K</x:v>
      </x:c>
      <x:c r="AB12" s="346" t="str">
        <x:v>Partial</x:v>
      </x:c>
      <x:c r="AC12" s="346" t="str">
        <x:v>High</x:v>
      </x:c>
      <x:c r="AD12" s="346" t="str">
        <x:v>Partial</x:v>
      </x:c>
      <x:c r="AE12" s="346" t="str">
        <x:v>Partial</x:v>
      </x:c>
    </x:row>
    <x:row r="13" ht="36" customHeight="1">
      <x:c r="A13" s="359" t="str">
        <x:v>Official Client Can Select Custom Instance</x:v>
      </x:c>
      <x:c r="B13" s="346" t="str">
        <x:v>N/A - central service</x:v>
      </x:c>
      <x:c r="C13" s="346" t="str">
        <x:v>Web client works well with self-host; most official clients currently do not</x:v>
      </x:c>
      <x:c r="D13" s="346" t="str">
        <x:v>No - hosted only</x:v>
      </x:c>
      <x:c r="E13" s="346" t="str">
        <x:v>Self-host support exists; client custom-instance UX still maturing</x:v>
      </x:c>
      <x:c r="F13" s="346" t="str">
        <x:v>No</x:v>
      </x:c>
      <x:c r="G13" s="346" t="str">
        <x:v>Yes - core client discovery behavior</x:v>
      </x:c>
      <x:c r="H13" s="346" t="str">
        <x:v>Yes by design</x:v>
      </x:c>
      <x:c r="I13" s="346" t="str">
        <x:v>Yes - choose any server</x:v>
      </x:c>
      <x:c r="J13" s="346" t="str">
        <x:v>Yes - choose any server</x:v>
      </x:c>
      <x:c r="K13" s="346" t="str">
        <x:v>Yes - custom Zulip server URL</x:v>
      </x:c>
      <x:c r="L13" s="346" t="str">
        <x:v>Yes - server URL</x:v>
      </x:c>
      <x:c r="M13" s="346" t="str">
        <x:v>Yes - workspace/server URL</x:v>
      </x:c>
      <x:c r="N13" s="346" t="str">
        <x:v>Self-host connection supported</x:v>
      </x:c>
      <x:c r="O13" s="346" t="str">
        <x:v>Technically possible but unsupported</x:v>
      </x:c>
      <x:c r="P13" s="346" t="str">
        <x:v>No</x:v>
      </x:c>
      <x:c r="Q13" s="346" t="str">
        <x:v>Self-host/federated connection planned</x:v>
      </x:c>
      <x:c r="R13" s="346" t="str">
        <x:v>Future custom instance/federation support</x:v>
      </x:c>
      <x:c r="S13" s="346" t="str">
        <x:v>U/K</x:v>
      </x:c>
      <x:c r="T13" s="346" t="str">
        <x:v>No</x:v>
      </x:c>
      <x:c r="U13" s="346" t="str">
        <x:v>Yes - chosen server</x:v>
      </x:c>
      <x:c r="V13" s="346" t="str">
        <x:v>Yes - Fermi instance picker</x:v>
      </x:c>
      <x:c r="W13" s="346" t="str">
        <x:v>ATProto identity/provider based</x:v>
      </x:c>
      <x:c r="X13" s="346" t="str">
        <x:v>Relays are configurable</x:v>
      </x:c>
      <x:c r="Y13" s="346" t="str">
        <x:v>Yes - relay selection/self-host</x:v>
      </x:c>
      <x:c r="Z13" s="346" t="str">
        <x:v>Yes</x:v>
      </x:c>
      <x:c r="AA13" s="380" t="str">
        <x:v>N/A</x:v>
      </x:c>
      <x:c r="AB13" s="346" t="str">
        <x:v>Self-host supported</x:v>
      </x:c>
      <x:c r="AC13" s="346" t="str">
        <x:v>No</x:v>
      </x:c>
      <x:c r="AD13" s="346" t="str">
        <x:v>Yes - self-host instances</x:v>
      </x:c>
      <x:c r="AE13" s="346" t="str">
        <x:v>No</x:v>
      </x:c>
    </x:row>
    <x:row r="14" ht="36" customHeight="1">
      <x:c r="A14" s="359" t="str">
        <x:v>Third-Party Clients</x:v>
      </x:c>
      <x:c r="B14" s="346" t="str">
        <x:v>No supported third-party clients</x:v>
      </x:c>
      <x:c r="C14" s="346" t="str">
        <x:v>Community clients exist</x:v>
      </x:c>
      <x:c r="D14" s="346" t="str">
        <x:v>No established ecosystem</x:v>
      </x:c>
      <x:c r="E14" s="346" t="str">
        <x:v>Open source allows forks; mature third-party ecosystem U/K</x:v>
      </x:c>
      <x:c r="F14" s="346" t="str">
        <x:v>No</x:v>
      </x:c>
      <x:c r="G14" s="346" t="str">
        <x:v>Yes - many interchangeable clients</x:v>
      </x:c>
      <x:c r="H14" s="346" t="str">
        <x:v>Potential Discord-compatible clients/community clients</x:v>
      </x:c>
      <x:c r="I14" s="346" t="str">
        <x:v>Yes - third-party Mumble clients</x:v>
      </x:c>
      <x:c r="J14" s="346" t="str">
        <x:v>Limited</x:v>
      </x:c>
      <x:c r="K14" s="346" t="str">
        <x:v>Third-party/API clients possible</x:v>
      </x:c>
      <x:c r="L14" s="346" t="str">
        <x:v>Custom clients possible</x:v>
      </x:c>
      <x:c r="M14" s="346" t="str">
        <x:v>Custom clients possible</x:v>
      </x:c>
      <x:c r="N14" s="346" t="str">
        <x:v>No established third-party clients</x:v>
      </x:c>
      <x:c r="O14" s="346" t="str">
        <x:v>Community/forks possible</x:v>
      </x:c>
      <x:c r="P14" s="346" t="str">
        <x:v>No established third-party clients</x:v>
      </x:c>
      <x:c r="Q14" s="346" t="str">
        <x:v>U/K</x:v>
      </x:c>
      <x:c r="R14" s="346" t="str">
        <x:v>U/K</x:v>
      </x:c>
      <x:c r="S14" s="346" t="str">
        <x:v>Forks/custom possible</x:v>
      </x:c>
      <x:c r="T14" s="346" t="str">
        <x:v>No</x:v>
      </x:c>
      <x:c r="U14" s="346" t="str">
        <x:v>No</x:v>
      </x:c>
      <x:c r="V14" s="346" t="str">
        <x:v>Yes - API permits independent clients</x:v>
      </x:c>
      <x:c r="W14" s="346" t="str">
        <x:v>U/K</x:v>
      </x:c>
      <x:c r="X14" s="346" t="str">
        <x:v>Other clients can use Nostr but not necessarily Armada features</x:v>
      </x:c>
      <x:c r="Y14" s="346" t="str">
        <x:v>No mature third-party client ecosystem</x:v>
      </x:c>
      <x:c r="Z14" s="346" t="str">
        <x:v>Open source/custom possible</x:v>
      </x:c>
      <x:c r="AA14" s="380" t="str">
        <x:v>No</x:v>
      </x:c>
      <x:c r="AB14" s="346" t="str">
        <x:v>Open source</x:v>
      </x:c>
      <x:c r="AC14" s="346" t="str">
        <x:v>No</x:v>
      </x:c>
      <x:c r="AD14" s="346" t="str">
        <x:v>Open API/custom possible</x:v>
      </x:c>
      <x:c r="AE14" s="346" t="str">
        <x:v>No</x:v>
      </x:c>
    </x:row>
    <x:row r="15" ht="36" customHeight="1">
      <x:c r="A15" s="359" t="str">
        <x:v>Multi-Account UX</x:v>
      </x:c>
      <x:c r="B15" s="346" t="str">
        <x:v>Desktop Account Switcher up to 5 accounts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Client-dependent; some support multiple accounts</x:v>
      </x:c>
      <x:c r="H15" s="346" t="str">
        <x:v>U/K</x:v>
      </x:c>
      <x:c r="I15" s="346" t="str">
        <x:v>Server identity/bookmarks rather than cloud account switching</x:v>
      </x:c>
      <x:c r="J15" s="346" t="str">
        <x:v>U/K</x:v>
      </x:c>
      <x:c r="K15" s="346" t="str">
        <x:v>Multiple accounts/orgs</x:v>
      </x:c>
      <x:c r="L15" s="346" t="str">
        <x:v>Multiple servers</x:v>
      </x:c>
      <x:c r="M15" s="346" t="str">
        <x:v>Multiple workspaces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ATProto identity</x:v>
      </x:c>
      <x:c r="X15" s="346" t="str">
        <x:v>Key-based identity</x:v>
      </x:c>
      <x:c r="Y15" s="346" t="str">
        <x:v>Multi-device identity sync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Multiple Server / Instance UX</x:v>
      </x:c>
      <x:c r="B16" s="346" t="str">
        <x:v>Excellent multi-server UX</x:v>
      </x:c>
      <x:c r="C16" s="346" t="str">
        <x:v>Instance UX limited compared with Matrix</x:v>
      </x:c>
      <x:c r="D16" s="346" t="str">
        <x:v>Single hosted service</x:v>
      </x:c>
      <x:c r="E16" s="346" t="str">
        <x:v>Self-host instances supported; federation not yet</x:v>
      </x:c>
      <x:c r="F16" s="346" t="str">
        <x:v>Excellent multi-community UX</x:v>
      </x:c>
      <x:c r="G16" s="346" t="str">
        <x:v>Can use multiple homeservers/servers from one client depending client</x:v>
      </x:c>
      <x:c r="H16" s="346" t="str">
        <x:v>Multiple independent instances; no federation</x:v>
      </x:c>
      <x:c r="I16" s="346" t="str">
        <x:v>Good server bookmark UX</x:v>
      </x:c>
      <x:c r="J16" s="346" t="str">
        <x:v>Good multi-server/bookmark model</x:v>
      </x:c>
      <x:c r="K16" s="346" t="str">
        <x:v>Good multi-organization UX</x:v>
      </x:c>
      <x:c r="L16" s="346" t="str">
        <x:v>Good multi-server UX</x:v>
      </x:c>
      <x:c r="M16" s="346" t="str">
        <x:v>Good multi-workspace UX</x:v>
      </x:c>
      <x:c r="N16" s="346" t="str">
        <x:v>Multi-server</x:v>
      </x:c>
      <x:c r="O16" s="346" t="str">
        <x:v>Single primary service</x:v>
      </x:c>
      <x:c r="P16" s="346" t="str">
        <x:v>Multi-community</x:v>
      </x:c>
      <x:c r="Q16" s="346" t="str">
        <x:v>Federated instance UX planned</x:v>
      </x:c>
      <x:c r="R16" s="346" t="str">
        <x:v>Federation intended</x:v>
      </x:c>
      <x:c r="S16" s="346" t="str">
        <x:v>Multi-clan</x:v>
      </x:c>
      <x:c r="T16" s="346" t="str">
        <x:v>Single service</x:v>
      </x:c>
      <x:c r="U16" s="346" t="str">
        <x:v>Server UX</x:v>
      </x:c>
      <x:c r="V16" s="346" t="str">
        <x:v>Yes - instance dropdown</x:v>
      </x:c>
      <x:c r="W16" s="346" t="str">
        <x:v>ATProto spaces</x:v>
      </x:c>
      <x:c r="X16" s="346" t="str">
        <x:v>Relay/community UX</x:v>
      </x:c>
      <x:c r="Y16" s="346" t="str">
        <x:v>Relay selection</x:v>
      </x:c>
      <x:c r="Z16" s="346" t="str">
        <x:v>Yes - home servers/instances</x:v>
      </x:c>
      <x:c r="AA16" s="380" t="str">
        <x:v>Multi-community</x:v>
      </x:c>
      <x:c r="AB16" s="346" t="str">
        <x:v>Self-host server selection U/K</x:v>
      </x:c>
      <x:c r="AC16" s="346" t="str">
        <x:v>Multi-server</x:v>
      </x:c>
      <x:c r="AD16" s="346" t="str">
        <x:v>Node/server UX</x:v>
      </x:c>
      <x:c r="AE16" s="346" t="str">
        <x:v>Single service</x:v>
      </x:c>
    </x:row>
    <x:row r="17" ht="36" customHeight="1">
      <x:c r="A17" s="359" t="str">
        <x:v>Client Plugins / Modding</x:v>
      </x:c>
      <x:c r="B17" s="346" t="str">
        <x:v>No official client plugins/mods</x:v>
      </x:c>
      <x:c r="C17" s="346" t="str">
        <x:v>Community theming/clients; official plugin architecture U/K</x:v>
      </x:c>
      <x:c r="D17" s="346" t="str">
        <x:v>No</x:v>
      </x:c>
      <x:c r="E17" s="346" t="str">
        <x:v>No official plugin/modding architecture verified</x:v>
      </x:c>
      <x:c r="F17" s="346" t="str">
        <x:v>No client mods</x:v>
      </x:c>
      <x:c r="G17" s="346" t="str">
        <x:v>Instead of one modded client, users can choose a different Matrix client</x:v>
      </x:c>
      <x:c r="H17" s="346" t="str">
        <x:v>Project aims for rich theming/plugin support</x:v>
      </x:c>
      <x:c r="I17" s="346" t="str">
        <x:v>Plugin system supported</x:v>
      </x:c>
      <x:c r="J17" s="346" t="str">
        <x:v>Add-ons/plugins ecosystem</x:v>
      </x:c>
      <x:c r="K17" s="346" t="str">
        <x:v>No general client plugin architecture</x:v>
      </x:c>
      <x:c r="L17" s="346" t="str">
        <x:v>Server/webapp plugin architecture; not arbitrary desktop client mods</x:v>
      </x:c>
      <x:c r="M17" s="346" t="str">
        <x:v>Apps framework more than client modding</x:v>
      </x:c>
      <x:c r="N17" s="346" t="str">
        <x:v>No official modding architecture verified</x:v>
      </x:c>
      <x:c r="O17" s="346" t="str">
        <x:v>Themes/community modifications</x:v>
      </x:c>
      <x:c r="P17" s="346" t="str">
        <x:v>Modded client ecosystem reported/community-driven; official support scope U/K</x:v>
      </x:c>
      <x:c r="Q17" s="346" t="str">
        <x:v>No official modding architecture verified</x:v>
      </x:c>
      <x:c r="R17" s="346" t="str">
        <x:v>No official plugins verified</x:v>
      </x:c>
      <x:c r="S17" s="346" t="str">
        <x:v>U/K</x:v>
      </x:c>
      <x:c r="T17" s="346" t="str">
        <x:v>No</x:v>
      </x:c>
      <x:c r="U17" s="346" t="str">
        <x:v>No</x:v>
      </x:c>
      <x:c r="V17" s="346" t="str">
        <x:v>No official plugin model</x:v>
      </x:c>
      <x:c r="W17" s="346" t="str">
        <x:v>No</x:v>
      </x:c>
      <x:c r="X17" s="346" t="str">
        <x:v>U/K</x:v>
      </x:c>
      <x:c r="Y17" s="346" t="str">
        <x:v>No plugin architecture verified</x:v>
      </x:c>
      <x:c r="Z17" s="346" t="str">
        <x:v>Plugin system</x:v>
      </x:c>
      <x:c r="AA17" s="380" t="str">
        <x:v>No official plugins U/K</x:v>
      </x:c>
      <x:c r="AB17" s="346" t="str">
        <x:v>No official plugin architecture</x:v>
      </x:c>
      <x:c r="AC17" s="346" t="str">
        <x:v>No</x:v>
      </x:c>
      <x:c r="AD17" s="346" t="str">
        <x:v>Themes marketplace, not arbitrary client plugins</x:v>
      </x:c>
      <x:c r="AE17" s="346" t="str">
        <x:v>No</x:v>
      </x:c>
    </x:row>
    <x:row r="18" ht="36" customHeight="1">
      <x:c r="A18" s="359" t="str">
        <x:v>Push Notification Model</x:v>
      </x:c>
      <x:c r="B18" s="346" t="str">
        <x:v>FCM/APNs internally; exact implementation details not all public</x:v>
      </x:c>
      <x:c r="C18" s="346" t="str">
        <x:v>Backend shows FCM support; others U/K</x:v>
      </x:c>
      <x:c r="D18" s="346" t="str">
        <x:v>U/K</x:v>
      </x:c>
      <x:c r="E18" s="346" t="str">
        <x:v>FCM/APNs/relay details U/K</x:v>
      </x:c>
      <x:c r="F18" s="346" t="str">
        <x:v>U/K</x:v>
      </x:c>
      <x:c r="G18" s="346" t="str">
        <x:v>Homeserver/client-specific (FCM/APNs/UnifiedPush/etc.)</x:v>
      </x:c>
      <x:c r="H18" s="346" t="str">
        <x:v>Client-dependent</x:v>
      </x:c>
      <x:c r="I18" s="346" t="str">
        <x:v>Mobile-client dependent</x:v>
      </x:c>
      <x:c r="J18" s="346" t="str">
        <x:v>U/K</x:v>
      </x:c>
      <x:c r="K18" s="346" t="str">
        <x:v>FCM/APNs; exact self-host push options vary</x:v>
      </x:c>
      <x:c r="L18" s="346" t="str">
        <x:v>FCM/APNs; enterprise push options</x:v>
      </x:c>
      <x:c r="M18" s="346" t="str">
        <x:v>FCM/APNs; self-host configuration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ATProto/client dependent</x:v>
      </x:c>
      <x:c r="X18" s="346" t="str">
        <x:v>Nostr relay model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Native push on mobile</x:v>
      </x:c>
      <x:c r="AD18" s="346" t="str">
        <x:v>U/K</x:v>
      </x:c>
      <x:c r="AE18" s="346" t="str">
        <x:v>U/K</x:v>
      </x:c>
    </x:row>
    <x:row r="19" ht="36" customHeight="1">
      <x:c r="A19" s="360" t="str">
        <x:v>Client Notes</x:v>
      </x:c>
      <x:c r="B19" s="349" t="str">
        <x:v>One official client family controls UX.</x:v>
      </x:c>
      <x:c r="C19" s="349" t="str">
        <x:v>Self-host docs explicitly warn most official clients do not currently support self-hosted instances.</x:v>
      </x:c>
      <x:c r="D19" s="349" t="str">
        <x:v>Product-first hosted alpha.</x:v>
      </x:c>
      <x:c r="E19" s="349" t="str">
        <x:v>Native mobile is still beta as of Sep 2026.</x:v>
      </x:c>
      <x:c r="F19" s="349" t="str">
        <x:v>Mobile can join calls but cannot share screen.</x:v>
      </x:c>
      <x:c r="G19" s="349" t="str">
        <x:v>Element is only one option; do not treat Element's limitations as Matrix-wide limits.</x:v>
      </x:c>
      <x:c r="H19" s="349" t="str">
        <x:v>Compatibility is a design goal; current completeness varies.</x:v>
      </x:c>
      <x:c r="I19" s="349" t="str">
        <x:v>Native desktop focus.</x:v>
      </x:c>
      <x:c r="J19" s="349" t="str">
        <x:v>Proprietary client family.</x:v>
      </x:c>
      <x:c r="K19" s="349" t="str">
        <x:v>Team-text-first client family.</x:v>
      </x:c>
      <x:c r="L19" s="349" t="str">
        <x:v>Enterprise deployment focus.</x:v>
      </x:c>
      <x:c r="M19" s="349" t="str">
        <x:v>Mature cross-platform collaboration client.</x:v>
      </x:c>
      <x:c r="N19" s="349" t="str">
        <x:v>Native desktop/mobile/web.</x:v>
      </x:c>
      <x:c r="O19" s="349" t="str">
        <x:v>Open-source web/desktop ecosystem.</x:v>
      </x:c>
      <x:c r="P19" s="349" t="str">
        <x:v>Wide platform coverage.</x:v>
      </x:c>
      <x:c r="Q19" s="349" t="str">
        <x:v>Open beta.</x:v>
      </x:c>
      <x:c r="R19" s="349" t="str">
        <x:v>Experimental alpha/beta.</x:v>
      </x:c>
      <x:c r="S19" s="349" t="str">
        <x:v>High-performance native stack is a headline differentiator.</x:v>
      </x:c>
      <x:c r="T19" s="349" t="str">
        <x:v>Very new platform.</x:v>
      </x:c>
      <x:c r="U19" s="349" t="str">
        <x:v>Browser-first self-host model.</x:v>
      </x:c>
      <x:c r="V19" s="349" t="str">
        <x:v>Fermi is only one client implementation.</x:v>
      </x:c>
      <x:c r="W19" s="349" t="str">
        <x:v>Bluesky login is a core onboarding path.</x:v>
      </x:c>
      <x:c r="X19" s="349" t="str">
        <x:v>Client is distinct from relays/protocol.</x:v>
      </x:c>
      <x:c r="Y19" s="349" t="str">
        <x:v>Signed Windows/macOS builds plus mobile work.</x:v>
      </x:c>
      <x:c r="Z19" s="349" t="str">
        <x:v>Android and desktop share advanced features.</x:v>
      </x:c>
      <x:c r="AA19" s="381" t="str">
        <x:v>Portal/window workspace is a distinctive UX feature.</x:v>
      </x:c>
      <x:c r="AB19" s="349" t="str">
        <x:v>Broad desktop/web/mobile coverage for an early project.</x:v>
      </x:c>
      <x:c r="AC19" s="349" t="str">
        <x:v>Wide device support for a small team.</x:v>
      </x:c>
      <x:c r="AD19" s="349" t="str">
        <x:v>Distinctive multi-window chat UI.</x:v>
      </x:c>
      <x:c r="AE19" s="349" t="str">
        <x:v>Desktop + web now; mobile in progress.</x:v>
      </x:c>
    </x:row>
    <x:row r="20" ht="23" customHeight="1">
      <x:c r="A20" s="389" t="str">
        <x:v>Desktop &amp; Packaging Detail</x:v>
      </x:c>
      <x:c r="B20" s="389"/>
      <x:c r="C20" s="389"/>
      <x:c r="D20" s="389"/>
      <x:c r="E20" s="389"/>
      <x:c r="F20" s="389"/>
      <x:c r="G20" s="389"/>
      <x:c r="H20" s="389"/>
      <x:c r="I20" s="389"/>
      <x:c r="J20" s="389"/>
      <x:c r="K20" s="389"/>
      <x:c r="L20" s="389"/>
      <x:c r="M20" s="389"/>
      <x:c r="N20" s="389"/>
      <x:c r="O20" s="389"/>
      <x:c r="P20" s="389"/>
      <x:c r="Q20" s="389"/>
      <x:c r="R20" s="389"/>
      <x:c r="S20" s="389"/>
      <x:c r="T20" s="389"/>
      <x:c r="U20" s="389"/>
      <x:c r="V20" s="389"/>
      <x:c r="W20" s="389"/>
      <x:c r="X20" s="389"/>
      <x:c r="Y20" s="389"/>
      <x:c r="Z20" s="389"/>
      <x:c r="AA20" s="389"/>
      <x:c r="AB20" s="389"/>
      <x:c r="AC20" s="389"/>
      <x:c r="AD20" s="389"/>
      <x:c r="AE20" s="389"/>
    </x:row>
    <x:row r="21" ht="36" customHeight="1">
      <x:c r="A21" s="378" t="str">
        <x:v>Portable / Standalone Desktop Build</x:v>
      </x:c>
      <x:c r="B21" s="346" t="str">
        <x:v>No official portable build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78" t="str">
        <x:v>ARM Desktop Support</x:v>
      </x:c>
      <x:c r="B22" s="346" t="str">
        <x:v>Client/platform dependent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Client-dependent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78" t="str">
        <x:v>Automatic Updates</x:v>
      </x:c>
      <x:c r="B23" s="346" t="str">
        <x:v>Yes</x:v>
      </x:c>
      <x:c r="C23" s="346" t="str">
        <x:v>Client-dependent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Yes/U/K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36" customHeight="1">
      <x:c r="A24" s="378" t="str">
        <x:v>System Tray / Background Mode</x:v>
      </x:c>
      <x:c r="B24" s="346" t="str">
        <x:v>Yes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Yes</x:v>
      </x:c>
      <x:c r="L24" s="346" t="str">
        <x:v>Yes</x:v>
      </x:c>
      <x:c r="M24" s="346" t="str">
        <x:v>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Yes/U/K</x:v>
      </x:c>
      <x:c r="AB24" s="346" t="str">
        <x:v>U/K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78" t="str">
        <x:v>Voice Overlay</x:v>
      </x:c>
      <x:c r="B25" s="346" t="str">
        <x:v>Yes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Yes - always-on-top voice HUD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</x:sheetData>
  <x:mergeCells>
    <x:mergeCell ref="A1:AE1"/>
  </x:mergeCells>
  <x:conditionalFormatting sqref="B3:AE19">
    <x:cfRule type="expression" dxfId="60" priority="1">
      <x:formula>ISNUMBER(SEARCH("U/K",B3))</x:formula>
    </x:cfRule>
    <x:cfRule type="expression" dxfId="61" priority="2">
      <x:formula>OR(B3="N/A",LEFT(B3,4)="N/A ")</x:formula>
    </x:cfRule>
  </x:conditionalFormatting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Performance &amp; Client Stack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Desktop Client Framework (Native Rust/Qt vs Electron vs PWA)</x:v>
      </x:c>
      <x:c r="B3" s="344" t="str">
        <x:v>Electron 42 desktop; React Native 0.86 mobile (2026)</x:v>
      </x:c>
      <x:c r="C3" s="344" t="str">
        <x:v>Web PWA (Solid.js); desktop Electron wrapper; native Android; iOS project</x:v>
      </x:c>
      <x:c r="D3" s="344" t="str">
        <x:v>Web-first Next.js/TypeScript; PWA</x:v>
      </x:c>
      <x:c r="E3" s="344" t="str">
        <x:v>Web/PWA + Electron desktop; Flutter native mobile beta</x:v>
      </x:c>
      <x:c r="F3" s="344" t="str">
        <x:v>Desktop app + mobile apps; exact desktop framework U/K</x:v>
      </x:c>
      <x:c r="G3" s="344" t="str">
        <x:v>No single client stack - Element is one client, not Matrix; clients include Element/Element X, Cinny, FluffyChat, Nheko, etc.</x:v>
      </x:c>
      <x:c r="H3" s="344" t="str">
        <x:v>Spacebar-aware client + compatibility goal with Discord clients; exact official client stack U/K</x:v>
      </x:c>
      <x:c r="I3" s="344" t="str">
        <x:v>Native Qt desktop client</x:v>
      </x:c>
      <x:c r="J3" s="344" t="str">
        <x:v>Native desktop client (exact TS6 framework U/K)</x:v>
      </x:c>
      <x:c r="K3" s="345" t="str">
        <x:v>Web app + Electron desktop + React Native mobile</x:v>
      </x:c>
      <x:c r="L3" s="346" t="str">
        <x:v>Electron desktop; web; native mobile</x:v>
      </x:c>
      <x:c r="M3" s="346" t="str">
        <x:v>Web + Electron desktop + native mobile</x:v>
      </x:c>
      <x:c r="N3" s="346" t="str">
        <x:v>Native apps built with Wails v3; web client</x:v>
      </x:c>
      <x:c r="O3" s="346" t="str">
        <x:v>Web + Electron desktop</x:v>
      </x:c>
      <x:c r="P3" s="346" t="str">
        <x:v>Web + native desktop/mobile</x:v>
      </x:c>
      <x:c r="Q3" s="346" t="str">
        <x:v>Web; native mobile planned</x:v>
      </x:c>
      <x:c r="R3" s="346" t="str">
        <x:v>Desktop/client download; web U/K</x:v>
      </x:c>
      <x:c r="S3" s="346" t="str">
        <x:v>Native Rust desktop; native mobile; web</x:v>
      </x:c>
      <x:c r="T3" s="346" t="str">
        <x:v>Web; desktop/mobile availability U/K</x:v>
      </x:c>
      <x:c r="U3" s="346" t="str">
        <x:v>Browser-first; desktop/mobile roadmap/availability evolving</x:v>
      </x:c>
      <x:c r="V3" s="346" t="str">
        <x:v>Web-only currently</x:v>
      </x:c>
      <x:c r="W3" s="346" t="str">
        <x:v>Web app</x:v>
      </x:c>
      <x:c r="X3" s="346" t="str">
        <x:v>Web/app stack U/K</x:v>
      </x:c>
      <x:c r="Y3" s="346" t="str">
        <x:v>Native Flutter + Rust</x:v>
      </x:c>
      <x:c r="Z3" s="346" t="str">
        <x:v>Web + desktop + Android</x:v>
      </x:c>
      <x:c r="AA3" s="380" t="str">
        <x:v>Web/desktop app</x:v>
      </x:c>
      <x:c r="AB3" s="346" t="str">
        <x:v>Web + desktop + mobile betas</x:v>
      </x:c>
      <x:c r="AC3" s="346" t="str">
        <x:v>Web + Windows/Linux/macOS/iOS/Android</x:v>
      </x:c>
      <x:c r="AD3" s="346" t="str">
        <x:v>Web + Windows + Android</x:v>
      </x:c>
      <x:c r="AE3" s="414" t="str">
        <x:v>Web + Tauri desktop; mobile in works</x:v>
      </x:c>
    </x:row>
    <x:row r="4" ht="36" customHeight="1">
      <x:c r="A4" s="358" t="str">
        <x:v>Idle Desktop RAM Usage (MB)</x:v>
      </x:c>
      <x:c r="B4" s="344" t="str">
        <x:v>U/K (varies by OS/build/workload; no official fixed idle-RAM figure)</x:v>
      </x:c>
      <x:c r="C4" s="344" t="str">
        <x:v>U/K</x:v>
      </x:c>
      <x:c r="D4" s="344" t="str">
        <x:v>U/K</x:v>
      </x:c>
      <x:c r="E4" s="344" t="str">
        <x:v>U/K</x:v>
      </x:c>
      <x:c r="F4" s="344" t="str">
        <x:v>U/K</x:v>
      </x:c>
      <x:c r="G4" s="344" t="str">
        <x:v>Varies by client</x:v>
      </x:c>
      <x:c r="H4" s="344" t="str">
        <x:v>U/K</x:v>
      </x:c>
      <x:c r="I4" s="344" t="str">
        <x:v>U/K</x:v>
      </x:c>
      <x:c r="J4" s="344" t="str">
        <x:v>U/K</x:v>
      </x:c>
      <x:c r="K4" s="345" t="str">
        <x:v>U/K</x:v>
      </x:c>
      <x:c r="L4" s="346" t="str">
        <x:v>U/K</x:v>
      </x:c>
      <x:c r="M4" s="346" t="str">
        <x:v>U/K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No desktop app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U/K</x:v>
      </x:c>
      <x:c r="AB4" s="346" t="str">
        <x:v>U/K</x:v>
      </x:c>
      <x:c r="AC4" s="346" t="str">
        <x:v>U/K</x:v>
      </x:c>
      <x:c r="AD4" s="346" t="str">
        <x:v>U/K</x:v>
      </x:c>
      <x:c r="AE4" s="414" t="str">
        <x:v>U/K</x:v>
      </x:c>
    </x:row>
    <x:row r="5" ht="36" customHeight="1">
      <x:c r="A5" s="358" t="str">
        <x:v>Windows Support</x:v>
      </x:c>
      <x:c r="B5" s="344" t="str">
        <x:v>Yes - x64 and ARM64</x:v>
      </x:c>
      <x:c r="C5" s="344" t="str">
        <x:v>Yes</x:v>
      </x:c>
      <x:c r="D5" s="344" t="str">
        <x:v>Web/PWA</x:v>
      </x:c>
      <x:c r="E5" s="344" t="str">
        <x:v>Yes</x:v>
      </x:c>
      <x:c r="F5" s="344" t="str">
        <x:v>Yes</x:v>
      </x:c>
      <x:c r="G5" s="344" t="str">
        <x:v>Varies by client</x:v>
      </x:c>
      <x:c r="H5" s="344" t="str">
        <x:v>Client-dependent</x:v>
      </x:c>
      <x:c r="I5" s="344" t="str">
        <x:v>Yes</x:v>
      </x:c>
      <x:c r="J5" s="344" t="str">
        <x:v>Yes</x:v>
      </x:c>
      <x:c r="K5" s="345" t="str">
        <x:v>Yes</x:v>
      </x:c>
      <x:c r="L5" s="346" t="str">
        <x:v>Yes</x:v>
      </x:c>
      <x:c r="M5" s="346" t="str">
        <x:v>Yes</x:v>
      </x:c>
      <x:c r="N5" s="346" t="str">
        <x:v>Yes</x:v>
      </x:c>
      <x:c r="O5" s="346" t="str">
        <x:v>Yes</x:v>
      </x:c>
      <x:c r="P5" s="346" t="str">
        <x:v>Yes</x:v>
      </x:c>
      <x:c r="Q5" s="346" t="str">
        <x:v>Web stack U/K</x:v>
      </x:c>
      <x:c r="R5" s="346" t="str">
        <x:v>U/K</x:v>
      </x:c>
      <x:c r="S5" s="346" t="str">
        <x:v>Yes</x:v>
      </x:c>
      <x:c r="T5" s="346" t="str">
        <x:v>Web stack U/K</x:v>
      </x:c>
      <x:c r="U5" s="346" t="str">
        <x:v>Web/browser</x:v>
      </x:c>
      <x:c r="V5" s="346" t="str">
        <x:v>Web TS/HTML/CSS</x:v>
      </x:c>
      <x:c r="W5" s="346" t="str">
        <x:v>Web/TypeScript</x:v>
      </x:c>
      <x:c r="X5" s="346" t="str">
        <x:v>Web/TypeScript U/K</x:v>
      </x:c>
      <x:c r="Y5" s="346" t="str">
        <x:v>Flutter/Rust native</x:v>
      </x:c>
      <x:c r="Z5" s="346" t="str">
        <x:v>Web/Bun/Node + desktop wrapper U/K</x:v>
      </x:c>
      <x:c r="AA5" s="380" t="str">
        <x:v>U/K</x:v>
      </x:c>
      <x:c r="AB5" s="346" t="str">
        <x:v>Desktop app framework U/K</x:v>
      </x:c>
      <x:c r="AC5" s="346" t="str">
        <x:v>Native Rust backend; client stack U/K</x:v>
      </x:c>
      <x:c r="AD5" s="346" t="str">
        <x:v>Blazor/WebAssembly; desktop launcher</x:v>
      </x:c>
      <x:c r="AE5" s="414" t="str">
        <x:v>Tauri</x:v>
      </x:c>
    </x:row>
    <x:row r="6" ht="36" customHeight="1">
      <x:c r="A6" s="358" t="str">
        <x:v>macOS Support</x:v>
      </x:c>
      <x:c r="B6" s="344" t="str">
        <x:v>Yes</x:v>
      </x:c>
      <x:c r="C6" s="344" t="str">
        <x:v>Yes</x:v>
      </x:c>
      <x:c r="D6" s="344" t="str">
        <x:v>Web/PWA</x:v>
      </x:c>
      <x:c r="E6" s="344" t="str">
        <x:v>Yes</x:v>
      </x:c>
      <x:c r="F6" s="344" t="str">
        <x:v>Yes</x:v>
      </x:c>
      <x:c r="G6" s="344" t="str">
        <x:v>Varies by client</x:v>
      </x:c>
      <x:c r="H6" s="344" t="str">
        <x:v>Client-dependent</x:v>
      </x:c>
      <x:c r="I6" s="344" t="str">
        <x:v>Yes</x:v>
      </x:c>
      <x:c r="J6" s="344" t="str">
        <x:v>Yes</x:v>
      </x:c>
      <x:c r="K6" s="345" t="str">
        <x:v>Yes</x:v>
      </x:c>
      <x:c r="L6" s="346" t="str">
        <x:v>Yes</x:v>
      </x:c>
      <x:c r="M6" s="346" t="str">
        <x:v>Yes</x:v>
      </x:c>
      <x:c r="N6" s="346" t="str">
        <x:v>Yes</x:v>
      </x:c>
      <x:c r="O6" s="346" t="str">
        <x:v>Yes</x:v>
      </x:c>
      <x:c r="P6" s="346" t="str">
        <x:v>Yes</x:v>
      </x:c>
      <x:c r="Q6" s="346" t="str">
        <x:v>Web</x:v>
      </x:c>
      <x:c r="R6" s="346" t="str">
        <x:v>Yes</x:v>
      </x:c>
      <x:c r="S6" s="346" t="str">
        <x:v>Yes</x:v>
      </x:c>
      <x:c r="T6" s="346" t="str">
        <x:v>Web/U/K</x:v>
      </x:c>
      <x:c r="U6" s="346" t="str">
        <x:v>Browser</x:v>
      </x:c>
      <x:c r="V6" s="346" t="str">
        <x:v>Web</x:v>
      </x:c>
      <x:c r="W6" s="346" t="str">
        <x:v>Web</x:v>
      </x:c>
      <x:c r="X6" s="346" t="str">
        <x:v>Web/U/K</x:v>
      </x:c>
      <x:c r="Y6" s="346" t="str">
        <x:v>Yes</x:v>
      </x:c>
      <x:c r="Z6" s="346" t="str">
        <x:v>Yes</x:v>
      </x:c>
      <x:c r="AA6" s="380" t="str">
        <x:v>Yes</x:v>
      </x:c>
      <x:c r="AB6" s="346" t="str">
        <x:v>Yes</x:v>
      </x:c>
      <x:c r="AC6" s="346" t="str">
        <x:v>Yes</x:v>
      </x:c>
      <x:c r="AD6" s="346" t="str">
        <x:v>Yes</x:v>
      </x:c>
      <x:c r="AE6" s="414" t="str">
        <x:v>Yes</x:v>
      </x:c>
    </x:row>
    <x:row r="7" ht="36" customHeight="1">
      <x:c r="A7" s="358" t="str">
        <x:v>Linux Support (Flatpak / Deb / AUR)</x:v>
      </x:c>
      <x:c r="B7" s="344" t="str">
        <x:v>Yes - official .deb, .tar.gz, .rpm, .pkg.tar.zst; no official Flatpak listed</x:v>
      </x:c>
      <x:c r="C7" s="344" t="str">
        <x:v>Yes</x:v>
      </x:c>
      <x:c r="D7" s="344" t="str">
        <x:v>Web/PWA</x:v>
      </x:c>
      <x:c r="E7" s="344" t="str">
        <x:v>Yes - deb/rpm/AppImage/tar.gz</x:v>
      </x:c>
      <x:c r="F7" s="344" t="str">
        <x:v>Experimental/limited Linux support noted in changelogs; current status U/K</x:v>
      </x:c>
      <x:c r="G7" s="344" t="str">
        <x:v>Varies by client</x:v>
      </x:c>
      <x:c r="H7" s="344" t="str">
        <x:v>Client-dependent</x:v>
      </x:c>
      <x:c r="I7" s="344" t="str">
        <x:v>Yes</x:v>
      </x:c>
      <x:c r="J7" s="344" t="str">
        <x:v>Yes</x:v>
      </x:c>
      <x:c r="K7" s="345" t="str">
        <x:v>Yes</x:v>
      </x:c>
      <x:c r="L7" s="346" t="str">
        <x:v>Yes</x:v>
      </x:c>
      <x:c r="M7" s="346" t="str">
        <x:v>Yes</x:v>
      </x:c>
      <x:c r="N7" s="346" t="str">
        <x:v>Yes</x:v>
      </x:c>
      <x:c r="O7" s="346" t="str">
        <x:v>Yes - deb/AppImage</x:v>
      </x:c>
      <x:c r="P7" s="346" t="str">
        <x:v>Yes - deb/AppImage/rpm/tar</x:v>
      </x:c>
      <x:c r="Q7" s="346" t="str">
        <x:v>Web</x:v>
      </x:c>
      <x:c r="R7" s="346" t="str">
        <x:v>Yes/U/K</x:v>
      </x:c>
      <x:c r="S7" s="346" t="str">
        <x:v>Yes</x:v>
      </x:c>
      <x:c r="T7" s="346" t="str">
        <x:v>Web/U/K</x:v>
      </x:c>
      <x:c r="U7" s="346" t="str">
        <x:v>Browser</x:v>
      </x:c>
      <x:c r="V7" s="346" t="str">
        <x:v>Web</x:v>
      </x:c>
      <x:c r="W7" s="346" t="str">
        <x:v>Web</x:v>
      </x:c>
      <x:c r="X7" s="346" t="str">
        <x:v>Web/U/K</x:v>
      </x:c>
      <x:c r="Y7" s="346" t="str">
        <x:v>Yes</x:v>
      </x:c>
      <x:c r="Z7" s="346" t="str">
        <x:v>U/K</x:v>
      </x:c>
      <x:c r="AA7" s="380" t="str">
        <x:v>Yes/U/K</x:v>
      </x:c>
      <x:c r="AB7" s="346" t="str">
        <x:v>Yes</x:v>
      </x:c>
      <x:c r="AC7" s="346" t="str">
        <x:v>Yes</x:v>
      </x:c>
      <x:c r="AD7" s="346" t="str">
        <x:v>Web/U/K</x:v>
      </x:c>
      <x:c r="AE7" s="414" t="str">
        <x:v>Yes/U/K</x:v>
      </x:c>
    </x:row>
    <x:row r="8" ht="36" customHeight="1">
      <x:c r="A8" s="358" t="str">
        <x:v>Mobile App Feature Parity</x:v>
      </x:c>
      <x:c r="B8" s="344" t="str">
        <x:v>High but not full; mobile and desktop are converging, with some feature/surface differences</x:v>
      </x:c>
      <x:c r="C8" s="344" t="str">
        <x:v>Partial</x:v>
      </x:c>
      <x:c r="D8" s="344" t="str">
        <x:v>Alpha; mobile-specific parity U/K</x:v>
      </x:c>
      <x:c r="E8" s="344" t="str">
        <x:v>Partial - web has more features</x:v>
      </x:c>
      <x:c r="F8" s="344" t="str">
        <x:v>Partial - mobile lacks screen sharing and some management features</x:v>
      </x:c>
      <x:c r="G8" s="344" t="str">
        <x:v>Varies by client</x:v>
      </x:c>
      <x:c r="H8" s="344" t="str">
        <x:v>Client-dependent</x:v>
      </x:c>
      <x:c r="I8" s="344" t="str">
        <x:v>Not full parity; third-party mobile clients</x:v>
      </x:c>
      <x:c r="J8" s="344" t="str">
        <x:v>Mobile support exists; parity U/K</x:v>
      </x:c>
      <x:c r="K8" s="345" t="str">
        <x:v>High but some differences</x:v>
      </x:c>
      <x:c r="L8" s="346" t="str">
        <x:v>High</x:v>
      </x:c>
      <x:c r="M8" s="346" t="str">
        <x:v>High</x:v>
      </x:c>
      <x:c r="N8" s="346" t="str">
        <x:v>High/U/K</x:v>
      </x:c>
      <x:c r="O8" s="346" t="str">
        <x:v>Partial</x:v>
      </x:c>
      <x:c r="P8" s="346" t="str">
        <x:v>High</x:v>
      </x:c>
      <x:c r="Q8" s="346" t="str">
        <x:v>Web</x:v>
      </x:c>
      <x:c r="R8" s="346" t="str">
        <x:v>Linux experimental</x:v>
      </x:c>
      <x:c r="S8" s="346" t="str">
        <x:v>High</x:v>
      </x:c>
      <x:c r="T8" s="346" t="str">
        <x:v>Web/U/K</x:v>
      </x:c>
      <x:c r="U8" s="346" t="str">
        <x:v>Browser</x:v>
      </x:c>
      <x:c r="V8" s="346" t="str">
        <x:v>Web</x:v>
      </x:c>
      <x:c r="W8" s="346" t="str">
        <x:v>Web</x:v>
      </x:c>
      <x:c r="X8" s="346" t="str">
        <x:v>Web/U/K</x:v>
      </x:c>
      <x:c r="Y8" s="346" t="str">
        <x:v>Yes</x:v>
      </x:c>
      <x:c r="Z8" s="346" t="str">
        <x:v>Yes</x:v>
      </x:c>
      <x:c r="AA8" s="380" t="str">
        <x:v>Yes/U/K</x:v>
      </x:c>
      <x:c r="AB8" s="346" t="str">
        <x:v>Yes - AppImage/deb</x:v>
      </x:c>
      <x:c r="AC8" s="346" t="str">
        <x:v>Yes - AppImage/deb beta</x:v>
      </x:c>
      <x:c r="AD8" s="346" t="str">
        <x:v>Web/U/K</x:v>
      </x:c>
      <x:c r="AE8" s="414" t="str">
        <x:v>Yes/U/K</x:v>
      </x:c>
    </x:row>
    <x:row r="9" ht="36" customHeight="1">
      <x:c r="A9" s="358" t="str">
        <x:v>Android Distribution (Play Store / F-Droid / APK)</x:v>
      </x:c>
      <x:c r="B9" s="344" t="str">
        <x:v>Google Play (official); F-Droid/APK not officially listed on Discord's download page</x:v>
      </x:c>
      <x:c r="C9" s="344" t="str">
        <x:v>Native Android + PWA; distribution details U/K</x:v>
      </x:c>
      <x:c r="D9" s="344" t="str">
        <x:v>PWA; native Android U/K</x:v>
      </x:c>
      <x:c r="E9" s="344" t="str">
        <x:v>Android native beta/public testing + PWA</x:v>
      </x:c>
      <x:c r="F9" s="344" t="str">
        <x:v>Google Play</x:v>
      </x:c>
      <x:c r="G9" s="344" t="str">
        <x:v>Varies by client</x:v>
      </x:c>
      <x:c r="H9" s="344" t="str">
        <x:v>Client-dependent</x:v>
      </x:c>
      <x:c r="I9" s="344" t="str">
        <x:v>Third-party clients</x:v>
      </x:c>
      <x:c r="J9" s="344" t="str">
        <x:v>Google Play / availability varies</x:v>
      </x:c>
      <x:c r="K9" s="345" t="str">
        <x:v>Google Play / F-Droid availability may vary; exact official channels U/K</x:v>
      </x:c>
      <x:c r="L9" s="346" t="str">
        <x:v>Google Play / enterprise distribution</x:v>
      </x:c>
      <x:c r="M9" s="346" t="str">
        <x:v>Google Play</x:v>
      </x:c>
      <x:c r="N9" s="346" t="str">
        <x:v>Google Play</x:v>
      </x:c>
      <x:c r="O9" s="346" t="str">
        <x:v>Android APK</x:v>
      </x:c>
      <x:c r="P9" s="346" t="str">
        <x:v>Google Play</x:v>
      </x:c>
      <x:c r="Q9" s="346" t="str">
        <x:v>Planned</x:v>
      </x:c>
      <x:c r="R9" s="346" t="str">
        <x:v>U/K</x:v>
      </x:c>
      <x:c r="S9" s="346" t="str">
        <x:v>Native Android</x:v>
      </x:c>
      <x:c r="T9" s="346" t="str">
        <x:v>U/K</x:v>
      </x:c>
      <x:c r="U9" s="346" t="str">
        <x:v>Mobile browser/app roadmap</x:v>
      </x:c>
      <x:c r="V9" s="346" t="str">
        <x:v>Web</x:v>
      </x:c>
      <x:c r="W9" s="346" t="str">
        <x:v>Web</x:v>
      </x:c>
      <x:c r="X9" s="346" t="str">
        <x:v>U/K</x:v>
      </x:c>
      <x:c r="Y9" s="346" t="str">
        <x:v>Mobile port</x:v>
      </x:c>
      <x:c r="Z9" s="346" t="str">
        <x:v>Android / Google Play</x:v>
      </x:c>
      <x:c r="AA9" s="380" t="str">
        <x:v>U/K</x:v>
      </x:c>
      <x:c r="AB9" s="346" t="str">
        <x:v>Android APK beta</x:v>
      </x:c>
      <x:c r="AC9" s="346" t="str">
        <x:v>Signed APK</x:v>
      </x:c>
      <x:c r="AD9" s="346" t="str">
        <x:v>Android APK</x:v>
      </x:c>
      <x:c r="AE9" s="414" t="str">
        <x:v>Mobile in works</x:v>
      </x:c>
    </x:row>
    <x:row r="10" ht="36" customHeight="1">
      <x:c r="A10" s="358" t="str">
        <x:v>iOS Distribution (App Store / TestFlight / Sideload)</x:v>
      </x:c>
      <x:c r="B10" s="344" t="str">
        <x:v>App Store; TestFlight used for beta/testing</x:v>
      </x:c>
      <x:c r="C10" s="344" t="str">
        <x:v>iOS client project; availability U/K</x:v>
      </x:c>
      <x:c r="D10" s="344" t="str">
        <x:v>PWA; native iOS U/K</x:v>
      </x:c>
      <x:c r="E10" s="344" t="str">
        <x:v>TestFlight beta; no App Store yet</x:v>
      </x:c>
      <x:c r="F10" s="344" t="str">
        <x:v>App Store</x:v>
      </x:c>
      <x:c r="G10" s="344" t="str">
        <x:v>Varies by client</x:v>
      </x:c>
      <x:c r="H10" s="344" t="str">
        <x:v>Client-dependent</x:v>
      </x:c>
      <x:c r="I10" s="344" t="str">
        <x:v>Third-party clients</x:v>
      </x:c>
      <x:c r="J10" s="344" t="str">
        <x:v>App Store / availability varies</x:v>
      </x:c>
      <x:c r="K10" s="345" t="str">
        <x:v>App Store</x:v>
      </x:c>
      <x:c r="L10" s="346" t="str">
        <x:v>App Store / enterprise distribution</x:v>
      </x:c>
      <x:c r="M10" s="346" t="str">
        <x:v>App Store</x:v>
      </x:c>
      <x:c r="N10" s="346" t="str">
        <x:v>iOS app available</x:v>
      </x:c>
      <x:c r="O10" s="346" t="str">
        <x:v>No iOS app documented</x:v>
      </x:c>
      <x:c r="P10" s="346" t="str">
        <x:v>App Store</x:v>
      </x:c>
      <x:c r="Q10" s="346" t="str">
        <x:v>Planned</x:v>
      </x:c>
      <x:c r="R10" s="346" t="str">
        <x:v>U/K</x:v>
      </x:c>
      <x:c r="S10" s="346" t="str">
        <x:v>Native iOS</x:v>
      </x:c>
      <x:c r="T10" s="346" t="str">
        <x:v>U/K</x:v>
      </x:c>
      <x:c r="U10" s="346" t="str">
        <x:v>Mobile browser/app roadmap</x:v>
      </x:c>
      <x:c r="V10" s="346" t="str">
        <x:v>Web</x:v>
      </x:c>
      <x:c r="W10" s="346" t="str">
        <x:v>Web</x:v>
      </x:c>
      <x:c r="X10" s="346" t="str">
        <x:v>U/K</x:v>
      </x:c>
      <x:c r="Y10" s="346" t="str">
        <x:v>iOS TestFlight planned/coming</x:v>
      </x:c>
      <x:c r="Z10" s="346" t="str">
        <x:v>iOS U/K</x:v>
      </x:c>
      <x:c r="AA10" s="380" t="str">
        <x:v>U/K</x:v>
      </x:c>
      <x:c r="AB10" s="346" t="str">
        <x:v>iOS TestFlight beta</x:v>
      </x:c>
      <x:c r="AC10" s="346" t="str">
        <x:v>App Store</x:v>
      </x:c>
      <x:c r="AD10" s="346" t="str">
        <x:v>iOS U/K</x:v>
      </x:c>
      <x:c r="AE10" s="414" t="str">
        <x:v>Mobile in works</x:v>
      </x:c>
    </x:row>
    <x:row r="11" ht="36" customHeight="1">
      <x:c r="A11" s="397" t="str">
        <x:v>Push Notification Engine (FCM / APNs / UnifiedPush / Polling)</x:v>
      </x:c>
      <x:c r="B11" s="349" t="str">
        <x:v>U/K (underlying push-provider implementation is not publicly guaranteed)</x:v>
      </x:c>
      <x:c r="C11" s="349" t="str">
        <x:v>FCM used by backend; other push details U/K</x:v>
      </x:c>
      <x:c r="D11" s="349" t="str">
        <x:v>U/K</x:v>
      </x:c>
      <x:c r="E11" s="349" t="str">
        <x:v>FCM/APNs/relay details vary; exact stack U/K</x:v>
      </x:c>
      <x:c r="F11" s="349" t="str">
        <x:v>U/K</x:v>
      </x:c>
      <x:c r="G11" s="349" t="str">
        <x:v>Varies by client/server</x:v>
      </x:c>
      <x:c r="H11" s="349" t="str">
        <x:v>Operator/client-dependent</x:v>
      </x:c>
      <x:c r="I11" s="349" t="str">
        <x:v>Client-dependent</x:v>
      </x:c>
      <x:c r="J11" s="349" t="str">
        <x:v>U/K</x:v>
      </x:c>
      <x:c r="K11" s="395" t="str">
        <x:v>FCM/APNs typical; exact details U/K</x:v>
      </x:c>
      <x:c r="L11" s="349" t="str">
        <x:v>FCM/APNs; enterprise options vary</x:v>
      </x:c>
      <x:c r="M11" s="349" t="str">
        <x:v>FCM/APNs; deployment-specific</x:v>
      </x:c>
      <x:c r="N11" s="349" t="str">
        <x:v>U/K</x:v>
      </x:c>
      <x:c r="O11" s="349" t="str">
        <x:v>U/K</x:v>
      </x:c>
      <x:c r="P11" s="349" t="str">
        <x:v>Web app</x:v>
      </x:c>
      <x:c r="Q11" s="349" t="str">
        <x:v>Yes</x:v>
      </x:c>
      <x:c r="R11" s="349" t="str">
        <x:v>U/K</x:v>
      </x:c>
      <x:c r="S11" s="349" t="str">
        <x:v>Web</x:v>
      </x:c>
      <x:c r="T11" s="349" t="str">
        <x:v>Yes</x:v>
      </x:c>
      <x:c r="U11" s="349" t="str">
        <x:v>Yes</x:v>
      </x:c>
      <x:c r="V11" s="349" t="str">
        <x:v>Yes</x:v>
      </x:c>
      <x:c r="W11" s="349" t="str">
        <x:v>Yes</x:v>
      </x:c>
      <x:c r="X11" s="349" t="str">
        <x:v>U/K</x:v>
      </x:c>
      <x:c r="Y11" s="349" t="str">
        <x:v>No/limited web</x:v>
      </x:c>
      <x:c r="Z11" s="349" t="str">
        <x:v>Web</x:v>
      </x:c>
      <x:c r="AA11" s="381" t="str">
        <x:v>Web</x:v>
      </x:c>
      <x:c r="AB11" s="349" t="str">
        <x:v>Yes</x:v>
      </x:c>
      <x:c r="AC11" s="349" t="str">
        <x:v>PWA/add-to-home-screen</x:v>
      </x:c>
      <x:c r="AD11" s="349" t="str">
        <x:v>Yes</x:v>
      </x:c>
      <x:c r="AE11" s="415" t="str">
        <x:v>Web</x:v>
      </x:c>
    </x:row>
    <x:row r="12" ht="23" customHeight="1">
      <x:c r="A12" s="389" t="str">
        <x:v>Client Delivery &amp; Runtime</x:v>
      </x:c>
      <x:c r="B12" s="389"/>
      <x:c r="C12" s="389"/>
      <x:c r="D12" s="389"/>
      <x:c r="E12" s="389"/>
      <x:c r="F12" s="389"/>
      <x:c r="G12" s="389"/>
      <x:c r="H12" s="389"/>
      <x:c r="I12" s="389"/>
      <x:c r="J12" s="389"/>
      <x:c r="K12" s="389"/>
      <x:c r="L12" s="389"/>
      <x:c r="M12" s="389"/>
      <x:c r="N12" s="389"/>
      <x:c r="O12" s="389"/>
      <x:c r="P12" s="389"/>
      <x:c r="Q12" s="389"/>
      <x:c r="R12" s="389"/>
      <x:c r="S12" s="389"/>
      <x:c r="T12" s="389"/>
      <x:c r="U12" s="389"/>
      <x:c r="V12" s="389"/>
      <x:c r="W12" s="389"/>
      <x:c r="X12" s="389"/>
      <x:c r="Y12" s="389"/>
      <x:c r="Z12" s="389"/>
      <x:c r="AA12" s="389"/>
      <x:c r="AB12" s="389"/>
      <x:c r="AC12" s="389"/>
      <x:c r="AD12" s="389"/>
      <x:c r="AE12" s="389"/>
    </x:row>
    <x:row r="13" ht="36" customHeight="1">
      <x:c r="A13" s="378" t="str">
        <x:v>Web Client</x:v>
      </x:c>
      <x:c r="B13" s="346" t="str">
        <x:v>Yes</x:v>
      </x:c>
      <x:c r="C13" s="346" t="str">
        <x:v>Yes - Solid.js PWA</x:v>
      </x:c>
      <x:c r="D13" s="346" t="str">
        <x:v>Yes</x:v>
      </x:c>
      <x:c r="E13" s="346" t="str">
        <x:v>Yes</x:v>
      </x:c>
      <x:c r="F13" s="346" t="str">
        <x:v>Yes/desktop service surface</x:v>
      </x:c>
      <x:c r="G13" s="346" t="str">
        <x:v>Yes - depends on chosen client</x:v>
      </x:c>
      <x:c r="H13" s="346" t="str">
        <x:v>Spacebar client/web options</x:v>
      </x:c>
      <x:c r="I13" s="346" t="str">
        <x:v>No official web client core</x:v>
      </x:c>
      <x:c r="J13" s="346" t="str">
        <x:v>Web support/product-generation dependent</x:v>
      </x:c>
      <x:c r="K13" s="346" t="str">
        <x:v>Yes</x:v>
      </x:c>
      <x:c r="L13" s="346" t="str">
        <x:v>Yes</x:v>
      </x:c>
      <x:c r="M13" s="346" t="str">
        <x:v>Yes</x:v>
      </x:c>
      <x:c r="N13" s="346" t="str">
        <x:v>Yes</x:v>
      </x:c>
      <x:c r="O13" s="346" t="str">
        <x:v>Yes</x:v>
      </x:c>
      <x:c r="P13" s="346" t="str">
        <x:v>Yes</x:v>
      </x:c>
      <x:c r="Q13" s="346" t="str">
        <x:v>Yes</x:v>
      </x:c>
      <x:c r="R13" s="346" t="str">
        <x:v>U/K</x:v>
      </x:c>
      <x:c r="S13" s="346" t="str">
        <x:v>Yes</x:v>
      </x:c>
      <x:c r="T13" s="346" t="str">
        <x:v>Yes</x:v>
      </x:c>
      <x:c r="U13" s="346" t="str">
        <x:v>Yes</x:v>
      </x:c>
      <x:c r="V13" s="346" t="str">
        <x:v>Yes - Fermi</x:v>
      </x:c>
      <x:c r="W13" s="346" t="str">
        <x:v>Yes</x:v>
      </x:c>
      <x:c r="X13" s="346" t="str">
        <x:v>Yes</x:v>
      </x:c>
      <x:c r="Y13" s="346" t="str">
        <x:v>No web-first; native clients</x:v>
      </x:c>
      <x:c r="Z13" s="346" t="str">
        <x:v>Yes</x:v>
      </x:c>
      <x:c r="AA13" s="380" t="str">
        <x:v>Yes</x:v>
      </x:c>
      <x:c r="AB13" s="346" t="str">
        <x:v>Yes</x:v>
      </x:c>
      <x:c r="AC13" s="346" t="str">
        <x:v>Yes</x:v>
      </x:c>
      <x:c r="AD13" s="346" t="str">
        <x:v>Yes</x:v>
      </x:c>
      <x:c r="AE13" s="346" t="str">
        <x:v>Yes</x:v>
      </x:c>
    </x:row>
    <x:row r="14" ht="36" customHeight="1">
      <x:c r="A14" s="378" t="str">
        <x:v>PWA</x:v>
      </x:c>
      <x:c r="B14" s="346" t="str">
        <x:v>Web app; installability varies</x:v>
      </x:c>
      <x:c r="C14" s="346" t="str">
        <x:v>Yes</x:v>
      </x:c>
      <x:c r="D14" s="346" t="str">
        <x:v>Yes</x:v>
      </x:c>
      <x:c r="E14" s="346" t="str">
        <x:v>Yes</x:v>
      </x:c>
      <x:c r="F14" s="346" t="str">
        <x:v>U/K</x:v>
      </x:c>
      <x:c r="G14" s="346" t="str">
        <x:v>Many clients have PWAs</x:v>
      </x:c>
      <x:c r="H14" s="346" t="str">
        <x:v>U/K</x:v>
      </x:c>
      <x:c r="I14" s="346" t="str">
        <x:v>No</x:v>
      </x:c>
      <x:c r="J14" s="346" t="str">
        <x:v>U/K</x:v>
      </x:c>
      <x:c r="K14" s="346" t="str">
        <x:v>Yes</x:v>
      </x:c>
      <x:c r="L14" s="346" t="str">
        <x:v>Yes/web</x:v>
      </x:c>
      <x:c r="M14" s="346" t="str">
        <x:v>Yes</x:v>
      </x:c>
      <x:c r="N14" s="346" t="str">
        <x:v>Yes/web</x:v>
      </x:c>
      <x:c r="O14" s="346" t="str">
        <x:v>Web app</x:v>
      </x:c>
      <x:c r="P14" s="346" t="str">
        <x:v>Yes</x:v>
      </x:c>
      <x:c r="Q14" s="346" t="str">
        <x:v>Yes</x:v>
      </x:c>
      <x:c r="R14" s="346" t="str">
        <x:v>U/K</x:v>
      </x:c>
      <x:c r="S14" s="346" t="str">
        <x:v>Yes</x:v>
      </x:c>
      <x:c r="T14" s="346" t="str">
        <x:v>Yes</x:v>
      </x:c>
      <x:c r="U14" s="346" t="str">
        <x:v>Yes</x:v>
      </x:c>
      <x:c r="V14" s="346" t="str">
        <x:v>Yes</x:v>
      </x:c>
      <x:c r="W14" s="346" t="str">
        <x:v>Yes</x:v>
      </x:c>
      <x:c r="X14" s="346" t="str">
        <x:v>Yes/U/K</x:v>
      </x:c>
      <x:c r="Y14" s="346" t="str">
        <x:v>No</x:v>
      </x:c>
      <x:c r="Z14" s="346" t="str">
        <x:v>Yes</x:v>
      </x:c>
      <x:c r="AA14" s="380" t="str">
        <x:v>Yes</x:v>
      </x:c>
      <x:c r="AB14" s="346" t="str">
        <x:v>Yes</x:v>
      </x:c>
      <x:c r="AC14" s="346" t="str">
        <x:v>Yes</x:v>
      </x:c>
      <x:c r="AD14" s="346" t="str">
        <x:v>Yes</x:v>
      </x:c>
      <x:c r="AE14" s="346" t="str">
        <x:v>Yes</x:v>
      </x:c>
    </x:row>
    <x:row r="15" ht="36" customHeight="1">
      <x:c r="A15" s="378" t="str">
        <x:v>Third-Party Clients</x:v>
      </x:c>
      <x:c r="B15" s="346" t="str">
        <x:v>No supported third-party clients</x:v>
      </x:c>
      <x:c r="C15" s="346" t="str">
        <x:v>Community clients exist</x:v>
      </x:c>
      <x:c r="D15" s="346" t="str">
        <x:v>No established ecosystem</x:v>
      </x:c>
      <x:c r="E15" s="346" t="str">
        <x:v>Open source allows forks; mature third-party ecosystem U/K</x:v>
      </x:c>
      <x:c r="F15" s="346" t="str">
        <x:v>No</x:v>
      </x:c>
      <x:c r="G15" s="346" t="str">
        <x:v>Yes - many interchangeable clients</x:v>
      </x:c>
      <x:c r="H15" s="346" t="str">
        <x:v>Potential Discord-compatible clients/community clients</x:v>
      </x:c>
      <x:c r="I15" s="346" t="str">
        <x:v>Yes - third-party Mumble clients</x:v>
      </x:c>
      <x:c r="J15" s="346" t="str">
        <x:v>Limited</x:v>
      </x:c>
      <x:c r="K15" s="346" t="str">
        <x:v>Third-party/API clients possible</x:v>
      </x:c>
      <x:c r="L15" s="346" t="str">
        <x:v>Custom clients possible</x:v>
      </x:c>
      <x:c r="M15" s="346" t="str">
        <x:v>Custom clients possible</x:v>
      </x:c>
      <x:c r="N15" s="346" t="str">
        <x:v>No established third-party clients</x:v>
      </x:c>
      <x:c r="O15" s="346" t="str">
        <x:v>Community/forks possible</x:v>
      </x:c>
      <x:c r="P15" s="346" t="str">
        <x:v>No established third-party clients</x:v>
      </x:c>
      <x:c r="Q15" s="346" t="str">
        <x:v>U/K</x:v>
      </x:c>
      <x:c r="R15" s="346" t="str">
        <x:v>U/K</x:v>
      </x:c>
      <x:c r="S15" s="346" t="str">
        <x:v>Forks/custom possible</x:v>
      </x:c>
      <x:c r="T15" s="346" t="str">
        <x:v>No</x:v>
      </x:c>
      <x:c r="U15" s="346" t="str">
        <x:v>No</x:v>
      </x:c>
      <x:c r="V15" s="346" t="str">
        <x:v>Yes - API permits independent clients</x:v>
      </x:c>
      <x:c r="W15" s="346" t="str">
        <x:v>U/K</x:v>
      </x:c>
      <x:c r="X15" s="346" t="str">
        <x:v>Other clients can use Nostr but not necessarily Armada features</x:v>
      </x:c>
      <x:c r="Y15" s="346" t="str">
        <x:v>No mature third-party client ecosystem</x:v>
      </x:c>
      <x:c r="Z15" s="346" t="str">
        <x:v>Open source/custom possible</x:v>
      </x:c>
      <x:c r="AA15" s="380" t="str">
        <x:v>No</x:v>
      </x:c>
      <x:c r="AB15" s="346" t="str">
        <x:v>Open source</x:v>
      </x:c>
      <x:c r="AC15" s="346" t="str">
        <x:v>No</x:v>
      </x:c>
      <x:c r="AD15" s="346" t="str">
        <x:v>Open API/custom possible</x:v>
      </x:c>
      <x:c r="AE15" s="346" t="str">
        <x:v>No</x:v>
      </x:c>
    </x:row>
    <x:row r="16" ht="36" customHeight="1">
      <x:c r="A16" s="378" t="str">
        <x:v>Multi-Account UX</x:v>
      </x:c>
      <x:c r="B16" s="346" t="str">
        <x:v>Desktop Account Switcher up to 5 accounts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Client-dependent; some support multiple accounts</x:v>
      </x:c>
      <x:c r="H16" s="346" t="str">
        <x:v>U/K</x:v>
      </x:c>
      <x:c r="I16" s="346" t="str">
        <x:v>Server identity/bookmarks rather than cloud account switching</x:v>
      </x:c>
      <x:c r="J16" s="346" t="str">
        <x:v>U/K</x:v>
      </x:c>
      <x:c r="K16" s="346" t="str">
        <x:v>Multiple accounts/orgs</x:v>
      </x:c>
      <x:c r="L16" s="346" t="str">
        <x:v>Multiple servers</x:v>
      </x:c>
      <x:c r="M16" s="346" t="str">
        <x:v>Multiple workspaces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ATProto identity</x:v>
      </x:c>
      <x:c r="X16" s="346" t="str">
        <x:v>Key-based identity</x:v>
      </x:c>
      <x:c r="Y16" s="346" t="str">
        <x:v>Multi-device identity sync</x:v>
      </x:c>
      <x:c r="Z16" s="346" t="str">
        <x:v>U/K</x:v>
      </x:c>
      <x:c r="AA16" s="380" t="str">
        <x:v>U/K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78" t="str">
        <x:v>Auto-Update Delivery</x:v>
      </x:c>
      <x:c r="B17" s="346" t="str">
        <x:v>Yes</x:v>
      </x:c>
      <x:c r="C17" s="346" t="str">
        <x:v>Desktop/mobile dependent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Yes/U/K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78" t="str">
        <x:v>Hardware Acceleration Controls</x:v>
      </x:c>
      <x:c r="B18" s="346" t="str">
        <x:v>Yes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Client-dependent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>
      <x:c r="A19" s="24"/>
      <x:c r="B19" s="24"/>
      <x:c r="C19" s="24"/>
      <x:c r="D19" s="24"/>
      <x:c r="E19" s="24"/>
      <x:c r="F19" s="24"/>
      <x:c r="G19" s="24"/>
      <x:c r="H19" s="24"/>
      <x:c r="I19" s="24"/>
      <x:c r="J19" s="24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 s="24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 s="24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 s="24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 s="24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 s="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 s="24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 s="24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1">
    <x:cfRule type="expression" dxfId="42" priority="1">
      <x:formula>ISNUMBER(SEARCH("U/K",B3))</x:formula>
    </x:cfRule>
    <x:cfRule type="expression" dxfId="43" priority="2">
      <x:formula>OR(B3="N/A",LEFT(B3,4)="N/A ")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Accounts, Signup &amp; Identity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Signup Requirements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Username Required?</x:v>
      </x:c>
      <x:c r="B4" s="346" t="str">
        <x:v>Yes</x:v>
      </x:c>
      <x:c r="C4" s="346" t="str">
        <x:v>U/K</x:v>
      </x:c>
      <x:c r="D4" s="346" t="str">
        <x:v>U/K</x:v>
      </x:c>
      <x:c r="E4" s="346" t="str">
        <x:v>Yes</x:v>
      </x:c>
      <x:c r="F4" s="346" t="str">
        <x:v>Yes</x:v>
      </x:c>
      <x:c r="G4" s="346" t="str">
        <x:v>U/K</x:v>
      </x:c>
      <x:c r="H4" s="346" t="str">
        <x:v>U/K</x:v>
      </x:c>
      <x:c r="I4" s="346" t="str">
        <x:v>Yes</x:v>
      </x:c>
      <x:c r="J4" s="346" t="str">
        <x:v>U/K</x:v>
      </x:c>
      <x:c r="K4" s="346" t="str">
        <x:v>U/K</x:v>
      </x:c>
      <x:c r="L4" s="346" t="str">
        <x:v>U/K</x:v>
      </x:c>
      <x:c r="M4" s="346" t="str">
        <x:v>U/K</x:v>
      </x:c>
      <x:c r="N4" s="346" t="str">
        <x:v>Yes</x:v>
      </x:c>
      <x:c r="O4" s="346" t="str">
        <x:v>U/K</x:v>
      </x:c>
      <x:c r="P4" s="346" t="str">
        <x:v>Yes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Yes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9" t="str">
        <x:v>Password Required?</x:v>
      </x:c>
      <x:c r="B5" s="346" t="str">
        <x:v>Yes</x:v>
      </x:c>
      <x:c r="C5" s="346" t="str">
        <x:v>U/K</x:v>
      </x:c>
      <x:c r="D5" s="346" t="str">
        <x:v>U/K</x:v>
      </x:c>
      <x:c r="E5" s="346" t="str">
        <x:v>Yes</x:v>
      </x:c>
      <x:c r="F5" s="346" t="str">
        <x:v>Yes</x:v>
      </x:c>
      <x:c r="G5" s="346" t="str">
        <x:v>U/K</x:v>
      </x:c>
      <x:c r="H5" s="346" t="str">
        <x:v>U/K</x:v>
      </x:c>
      <x:c r="I5" s="346" t="str">
        <x:v>Yes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Yes</x:v>
      </x:c>
      <x:c r="O5" s="346" t="str">
        <x:v>U/K</x:v>
      </x:c>
      <x:c r="P5" s="346" t="str">
        <x:v>Yes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Yes</x:v>
      </x:c>
      <x:c r="V5" s="346" t="str">
        <x:v>Yes</x:v>
      </x:c>
      <x:c r="W5" s="346" t="str">
        <x:v>U/K</x:v>
      </x:c>
      <x:c r="X5" s="346" t="str">
        <x:v>No / key-based</x:v>
      </x:c>
      <x:c r="Y5" s="346" t="str">
        <x:v>No / key-based</x:v>
      </x:c>
      <x:c r="Z5" s="346" t="str">
        <x:v>U/K</x:v>
      </x:c>
      <x:c r="AA5" s="380" t="str">
        <x:v>Yes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Email Required?</x:v>
      </x:c>
      <x:c r="B6" s="346" t="str">
        <x:v>U/K</x:v>
      </x:c>
      <x:c r="C6" s="346" t="str">
        <x:v>Yes</x:v>
      </x:c>
      <x:c r="D6" s="346" t="str">
        <x:v>Yes</x:v>
      </x:c>
      <x:c r="E6" s="346" t="str">
        <x:v>U/K</x:v>
      </x:c>
      <x:c r="F6" s="346" t="str">
        <x:v>U/K</x:v>
      </x:c>
      <x:c r="G6" s="346" t="str">
        <x:v>Optional / provider-dependent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Yes</x:v>
      </x:c>
      <x:c r="L6" s="346" t="str">
        <x:v>Yes</x:v>
      </x:c>
      <x:c r="M6" s="346" t="str">
        <x:v>Yes</x:v>
      </x:c>
      <x:c r="N6" s="346" t="str">
        <x:v>No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No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No</x:v>
      </x:c>
      <x:c r="AB6" s="346" t="str">
        <x:v>U/K</x:v>
      </x:c>
      <x:c r="AC6" s="346" t="str">
        <x:v>U/K</x:v>
      </x:c>
      <x:c r="AD6" s="346" t="str">
        <x:v>Yes</x:v>
      </x:c>
      <x:c r="AE6" s="346" t="str">
        <x:v>U/K</x:v>
      </x:c>
    </x:row>
    <x:row r="7" ht="36" customHeight="1">
      <x:c r="A7" s="359" t="str">
        <x:v>Phone Required?</x:v>
      </x:c>
      <x:c r="B7" s="346" t="str">
        <x:v>May be required</x:v>
      </x:c>
      <x:c r="C7" s="346" t="str">
        <x:v>U/K</x:v>
      </x:c>
      <x:c r="D7" s="346" t="str">
        <x:v>U/K</x:v>
      </x:c>
      <x:c r="E7" s="346" t="str">
        <x:v>May be required</x:v>
      </x:c>
      <x:c r="F7" s="346" t="str">
        <x:v>U/K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No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No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No</x:v>
      </x:c>
      <x:c r="AB7" s="346" t="str">
        <x:v>U/K</x:v>
      </x:c>
      <x:c r="AC7" s="346" t="str">
        <x:v>U/K</x:v>
      </x:c>
      <x:c r="AD7" s="346" t="str">
        <x:v>No</x:v>
      </x:c>
      <x:c r="AE7" s="346" t="str">
        <x:v>U/K</x:v>
      </x:c>
    </x:row>
    <x:row r="8" ht="36" customHeight="1">
      <x:c r="A8" s="359" t="str">
        <x:v>Date of Birth Required?</x:v>
      </x:c>
      <x:c r="B8" s="346" t="str">
        <x:v>Yes</x:v>
      </x:c>
      <x:c r="C8" s="346" t="str">
        <x:v>U/K</x:v>
      </x:c>
      <x:c r="D8" s="346" t="str">
        <x:v>U/K</x:v>
      </x:c>
      <x:c r="E8" s="346" t="str">
        <x:v>Yes</x:v>
      </x:c>
      <x:c r="F8" s="346" t="str">
        <x:v>U/K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U/K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Government ID / Age Verification Possible?</x:v>
      </x:c>
      <x:c r="B9" s="346" t="str">
        <x:v>Possible in some regions / safety flows</x:v>
      </x:c>
      <x:c r="C9" s="346" t="str">
        <x:v>U/K</x:v>
      </x:c>
      <x:c r="D9" s="346" t="str">
        <x:v>U/K</x:v>
      </x:c>
      <x:c r="E9" s="346" t="str">
        <x:v>U/K</x:v>
      </x:c>
      <x:c r="F9" s="346" t="str">
        <x:v>U/K</x:v>
      </x:c>
      <x:c r="G9" s="346" t="str">
        <x:v>U/K</x:v>
      </x:c>
      <x:c r="H9" s="346" t="str">
        <x:v>U/K</x:v>
      </x:c>
      <x:c r="I9" s="346" t="str">
        <x:v>U/K</x:v>
      </x:c>
      <x:c r="J9" s="346" t="str">
        <x:v>U/K</x:v>
      </x:c>
      <x:c r="K9" s="346" t="str">
        <x:v>U/K</x:v>
      </x:c>
      <x:c r="L9" s="346" t="str">
        <x:v>U/K</x:v>
      </x:c>
      <x:c r="M9" s="346" t="str">
        <x:v>U/K</x:v>
      </x:c>
      <x:c r="N9" s="346" t="str">
        <x:v>No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No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No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59" t="str">
        <x:v>Cryptographic Keypair / Secret Required?</x:v>
      </x:c>
      <x:c r="B10" s="346" t="str">
        <x:v>No</x:v>
      </x:c>
      <x:c r="C10" s="346" t="str">
        <x:v>U/K</x:v>
      </x:c>
      <x:c r="D10" s="346" t="str">
        <x:v>U/K</x:v>
      </x:c>
      <x:c r="E10" s="346" t="str">
        <x:v>No</x:v>
      </x:c>
      <x:c r="F10" s="346" t="str">
        <x:v>No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No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Yes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Yes</x:v>
      </x:c>
      <x:c r="Y10" s="346" t="str">
        <x:v>Yes</x:v>
      </x:c>
      <x:c r="Z10" s="346" t="str">
        <x:v>Yes</x:v>
      </x:c>
      <x:c r="AA10" s="380" t="str">
        <x:v>No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23" customHeight="1">
      <x:c r="A11" s="427" t="str">
        <x:v>Access &amp; Recovery</x:v>
      </x:c>
      <x:c r="B11" s="427"/>
      <x:c r="C11" s="427"/>
      <x:c r="D11" s="427"/>
      <x:c r="E11" s="427"/>
      <x:c r="F11" s="427"/>
      <x:c r="G11" s="427"/>
      <x:c r="H11" s="427"/>
      <x:c r="I11" s="427"/>
      <x:c r="J11" s="427"/>
      <x:c r="K11" s="427"/>
      <x:c r="L11" s="427"/>
      <x:c r="M11" s="427"/>
      <x:c r="N11" s="427"/>
      <x:c r="O11" s="427"/>
      <x:c r="P11" s="427"/>
      <x:c r="Q11" s="427"/>
      <x:c r="R11" s="427"/>
      <x:c r="S11" s="427"/>
      <x:c r="T11" s="427"/>
      <x:c r="U11" s="427"/>
      <x:c r="V11" s="427"/>
      <x:c r="W11" s="427"/>
      <x:c r="X11" s="427"/>
      <x:c r="Y11" s="427"/>
      <x:c r="Z11" s="427"/>
      <x:c r="AA11" s="427"/>
      <x:c r="AB11" s="427"/>
      <x:c r="AC11" s="427"/>
      <x:c r="AD11" s="427"/>
      <x:c r="AE11" s="427"/>
    </x:row>
    <x:row r="12" ht="36" customHeight="1">
      <x:c r="A12" s="359" t="str">
        <x:v>Guest / No-Account Access?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Yes for some event/link flows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9" t="str">
        <x:v>Account Recovery Method</x:v>
      </x:c>
      <x:c r="B13" s="346" t="str">
        <x:v>Email reset</x:v>
      </x:c>
      <x:c r="C13" s="346" t="str">
        <x:v>U/K</x:v>
      </x:c>
      <x:c r="D13" s="346" t="str">
        <x:v>U/K</x:v>
      </x:c>
      <x:c r="E13" s="346" t="str">
        <x:v>Email reset</x:v>
      </x:c>
      <x:c r="F13" s="346" t="str">
        <x:v>Email reset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Recovery phrase / key material</x:v>
      </x:c>
      <x:c r="Z13" s="346" t="str">
        <x:v>U/K</x:v>
      </x:c>
      <x:c r="AA13" s="380" t="str">
        <x:v>12-word Rift Key / recovery key</x:v>
      </x:c>
      <x:c r="AB13" s="346" t="str">
        <x:v>U/K</x:v>
      </x:c>
      <x:c r="AC13" s="346" t="str">
        <x:v>U/K</x:v>
      </x:c>
      <x:c r="AD13" s="346" t="str">
        <x:v>Email reset</x:v>
      </x:c>
      <x:c r="AE13" s="346" t="str">
        <x:v>U/K</x:v>
      </x:c>
    </x:row>
    <x:row r="14" ht="36" customHeight="1">
      <x:c r="A14" s="359" t="str">
        <x:v>Password Reset Available?</x:v>
      </x:c>
      <x:c r="B14" s="346" t="str">
        <x:v>Yes</x:v>
      </x:c>
      <x:c r="C14" s="346" t="str">
        <x:v>U/K</x:v>
      </x:c>
      <x:c r="D14" s="346" t="str">
        <x:v>U/K</x:v>
      </x:c>
      <x:c r="E14" s="346" t="str">
        <x:v>Yes</x:v>
      </x:c>
      <x:c r="F14" s="346" t="str">
        <x:v>Yes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Yes</x:v>
      </x:c>
      <x:c r="AE14" s="346" t="str">
        <x:v>U/K</x:v>
      </x:c>
    </x:row>
    <x:row r="15" ht="36" customHeight="1">
      <x:c r="A15" s="359" t="str">
        <x:v>Recovery Without Email/Phone?</x:v>
      </x:c>
      <x:c r="B15" s="346" t="str">
        <x:v>U/K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Yes - recovery key</x:v>
      </x:c>
      <x:c r="Z15" s="346" t="str">
        <x:v>U/K</x:v>
      </x:c>
      <x:c r="AA15" s="380" t="str">
        <x:v>Yes - recovery key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23" customHeight="1">
      <x:c r="A16" s="427" t="str">
        <x:v>Identity Model</x:v>
      </x:c>
      <x:c r="B16" s="427"/>
      <x:c r="C16" s="427"/>
      <x:c r="D16" s="427"/>
      <x:c r="E16" s="427"/>
      <x:c r="F16" s="427"/>
      <x:c r="G16" s="427"/>
      <x:c r="H16" s="427"/>
      <x:c r="I16" s="427"/>
      <x:c r="J16" s="427"/>
      <x:c r="K16" s="427"/>
      <x:c r="L16" s="427"/>
      <x:c r="M16" s="427"/>
      <x:c r="N16" s="427"/>
      <x:c r="O16" s="427"/>
      <x:c r="P16" s="427"/>
      <x:c r="Q16" s="427"/>
      <x:c r="R16" s="427"/>
      <x:c r="S16" s="427"/>
      <x:c r="T16" s="427"/>
      <x:c r="U16" s="427"/>
      <x:c r="V16" s="427"/>
      <x:c r="W16" s="427"/>
      <x:c r="X16" s="427"/>
      <x:c r="Y16" s="427"/>
      <x:c r="Z16" s="427"/>
      <x:c r="AA16" s="427"/>
      <x:c r="AB16" s="427"/>
      <x:c r="AC16" s="427"/>
      <x:c r="AD16" s="427"/>
      <x:c r="AE16" s="427"/>
    </x:row>
    <x:row r="17" ht="36" customHeight="1">
      <x:c r="A17" s="359" t="str">
        <x:v>Global Unique Username?</x:v>
      </x:c>
      <x:c r="B17" s="346" t="str">
        <x:v>Yes / central namespace</x:v>
      </x:c>
      <x:c r="C17" s="346" t="str">
        <x:v>U/K</x:v>
      </x:c>
      <x:c r="D17" s="346" t="str">
        <x:v>U/K</x:v>
      </x:c>
      <x:c r="E17" s="346" t="str">
        <x:v>Yes / central namespace</x:v>
      </x:c>
      <x:c r="F17" s="346" t="str">
        <x:v>Yes / central namespace</x:v>
      </x:c>
      <x:c r="G17" s="346" t="str">
        <x:v>Homeserver-scoped Matrix ID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Yes / central namespace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Yes / central namespace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59" t="str">
        <x:v>Display Name Separate from Username?</x:v>
      </x:c>
      <x:c r="B18" s="346" t="str">
        <x:v>Yes</x:v>
      </x:c>
      <x:c r="C18" s="346" t="str">
        <x:v>U/K</x:v>
      </x:c>
      <x:c r="D18" s="346" t="str">
        <x:v>U/K</x:v>
      </x:c>
      <x:c r="E18" s="346" t="str">
        <x:v>Yes</x:v>
      </x:c>
      <x:c r="F18" s="346" t="str">
        <x:v>Yes</x:v>
      </x:c>
      <x:c r="G18" s="346" t="str">
        <x:v>Yes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Yes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Yes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59" t="str">
        <x:v>Per-Community Profile?</x:v>
      </x:c>
      <x:c r="B19" s="346" t="str">
        <x:v>Yes</x:v>
      </x:c>
      <x:c r="C19" s="346" t="str">
        <x:v>U/K</x:v>
      </x:c>
      <x:c r="D19" s="346" t="str">
        <x:v>U/K</x:v>
      </x:c>
      <x:c r="E19" s="346" t="str">
        <x:v>Yes</x:v>
      </x:c>
      <x:c r="F19" s="346" t="str">
        <x:v>U/K</x:v>
      </x:c>
      <x:c r="G19" s="346" t="str">
        <x:v>Client/provider-dependent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59" t="str">
        <x:v>Multiple Accounts Supported?</x:v>
      </x:c>
      <x:c r="B20" s="346" t="str">
        <x:v>Desktop Account Switcher up to 5 accounts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Client-dependent; some support multiple accounts</x:v>
      </x:c>
      <x:c r="H20" s="346" t="str">
        <x:v>U/K</x:v>
      </x:c>
      <x:c r="I20" s="346" t="str">
        <x:v>Server identity/bookmarks rather than cloud account switching</x:v>
      </x:c>
      <x:c r="J20" s="346" t="str">
        <x:v>U/K</x:v>
      </x:c>
      <x:c r="K20" s="346" t="str">
        <x:v>Multiple accounts/orgs</x:v>
      </x:c>
      <x:c r="L20" s="346" t="str">
        <x:v>Multiple servers</x:v>
      </x:c>
      <x:c r="M20" s="346" t="str">
        <x:v>Multiple workspaces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ATProto identity</x:v>
      </x:c>
      <x:c r="X20" s="346" t="str">
        <x:v>Key-based identity</x:v>
      </x:c>
      <x:c r="Y20" s="346" t="str">
        <x:v>Multi-device identity sync</x:v>
      </x:c>
      <x:c r="Z20" s="346" t="str">
        <x:v>U/K</x:v>
      </x:c>
      <x:c r="AA20" s="380" t="str">
        <x:v>U/K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59" t="str">
        <x:v>Account Switcher Max Accounts</x:v>
      </x:c>
      <x:c r="B21" s="346" t="str">
        <x:v>5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59" t="str">
        <x:v>Identity Portable Across Servers / Instances?</x:v>
      </x:c>
      <x:c r="B22" s="346" t="str">
        <x:v>U/K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23" customHeight="1">
      <x:c r="A23" s="427" t="str">
        <x:v>Account Lifecycle</x:v>
      </x:c>
      <x:c r="B23" s="427"/>
      <x:c r="C23" s="427"/>
      <x:c r="D23" s="427"/>
      <x:c r="E23" s="427"/>
      <x:c r="F23" s="427"/>
      <x:c r="G23" s="427"/>
      <x:c r="H23" s="427"/>
      <x:c r="I23" s="427"/>
      <x:c r="J23" s="427"/>
      <x:c r="K23" s="427"/>
      <x:c r="L23" s="427"/>
      <x:c r="M23" s="427"/>
      <x:c r="N23" s="427"/>
      <x:c r="O23" s="427"/>
      <x:c r="P23" s="427"/>
      <x:c r="Q23" s="427"/>
      <x:c r="R23" s="427"/>
      <x:c r="S23" s="427"/>
      <x:c r="T23" s="427"/>
      <x:c r="U23" s="427"/>
      <x:c r="V23" s="427"/>
      <x:c r="W23" s="427"/>
      <x:c r="X23" s="427"/>
      <x:c r="Y23" s="427"/>
      <x:c r="Z23" s="427"/>
      <x:c r="AA23" s="427"/>
      <x:c r="AB23" s="427"/>
      <x:c r="AC23" s="427"/>
      <x:c r="AD23" s="427"/>
      <x:c r="AE23" s="427"/>
    </x:row>
    <x:row r="24" ht="36" customHeight="1">
      <x:c r="A24" s="359" t="str">
        <x:v>Minimum Age</x:v>
      </x:c>
      <x:c r="B24" s="346" t="str">
        <x:v>Platform policy U/K</x:v>
      </x:c>
      <x:c r="C24" s="346" t="str">
        <x:v>Platform policy U/K</x:v>
      </x:c>
      <x:c r="D24" s="346" t="str">
        <x:v>Platform policy U/K</x:v>
      </x:c>
      <x:c r="E24" s="346" t="str">
        <x:v>Platform policy U/K</x:v>
      </x:c>
      <x:c r="F24" s="346" t="str">
        <x:v>Platform policy U/K</x:v>
      </x:c>
      <x:c r="G24" s="346" t="str">
        <x:v>Platform policy U/K</x:v>
      </x:c>
      <x:c r="H24" s="346" t="str">
        <x:v>Platform policy U/K</x:v>
      </x:c>
      <x:c r="I24" s="346" t="str">
        <x:v>Platform policy U/K</x:v>
      </x:c>
      <x:c r="J24" s="346" t="str">
        <x:v>Platform policy U/K</x:v>
      </x:c>
      <x:c r="K24" s="346" t="str">
        <x:v>Platform policy U/K</x:v>
      </x:c>
      <x:c r="L24" s="346" t="str">
        <x:v>Platform policy U/K</x:v>
      </x:c>
      <x:c r="M24" s="346" t="str">
        <x:v>Platform policy U/K</x:v>
      </x:c>
      <x:c r="N24" s="346" t="str">
        <x:v>Platform policy U/K</x:v>
      </x:c>
      <x:c r="O24" s="346" t="str">
        <x:v>Platform policy U/K</x:v>
      </x:c>
      <x:c r="P24" s="346" t="str">
        <x:v>Platform policy U/K</x:v>
      </x:c>
      <x:c r="Q24" s="346" t="str">
        <x:v>Platform policy U/K</x:v>
      </x:c>
      <x:c r="R24" s="346" t="str">
        <x:v>Platform policy U/K</x:v>
      </x:c>
      <x:c r="S24" s="346" t="str">
        <x:v>Platform policy U/K</x:v>
      </x:c>
      <x:c r="T24" s="346" t="str">
        <x:v>Platform policy U/K</x:v>
      </x:c>
      <x:c r="U24" s="346" t="str">
        <x:v>Platform policy U/K</x:v>
      </x:c>
      <x:c r="V24" s="346" t="str">
        <x:v>Platform policy U/K</x:v>
      </x:c>
      <x:c r="W24" s="346" t="str">
        <x:v>Platform policy U/K</x:v>
      </x:c>
      <x:c r="X24" s="346" t="str">
        <x:v>Platform policy U/K</x:v>
      </x:c>
      <x:c r="Y24" s="346" t="str">
        <x:v>Platform policy U/K</x:v>
      </x:c>
      <x:c r="Z24" s="346" t="str">
        <x:v>Platform policy U/K</x:v>
      </x:c>
      <x:c r="AA24" s="380" t="str">
        <x:v>18+</x:v>
      </x:c>
      <x:c r="AB24" s="346" t="str">
        <x:v>Platform policy U/K</x:v>
      </x:c>
      <x:c r="AC24" s="346" t="str">
        <x:v>Platform policy U/K</x:v>
      </x:c>
      <x:c r="AD24" s="346" t="str">
        <x:v>Platform policy U/K</x:v>
      </x:c>
      <x:c r="AE24" s="346" t="str">
        <x:v>Platform policy U/K</x:v>
      </x:c>
    </x:row>
    <x:row r="25" ht="36" customHeight="1">
      <x:c r="A25" s="359" t="str">
        <x:v>Self-Service Account Deletion?</x:v>
      </x:c>
      <x:c r="B25" s="346" t="str">
        <x:v>Yes</x:v>
      </x:c>
      <x:c r="C25" s="346" t="str">
        <x:v>U/K</x:v>
      </x:c>
      <x:c r="D25" s="346" t="str">
        <x:v>U/K</x:v>
      </x:c>
      <x:c r="E25" s="346" t="str">
        <x:v>Yes</x:v>
      </x:c>
      <x:c r="F25" s="346" t="str">
        <x:v>Yes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Yes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Yes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Account Deletion Retention</x:v>
      </x:c>
      <x:c r="B26" s="346" t="str">
        <x:v>Policy-specific / U/K</x:v>
      </x:c>
      <x:c r="C26" s="346" t="str">
        <x:v>Policy-specific / U/K</x:v>
      </x:c>
      <x:c r="D26" s="346" t="str">
        <x:v>Policy-specific / U/K</x:v>
      </x:c>
      <x:c r="E26" s="346" t="str">
        <x:v>Policy-specific / U/K</x:v>
      </x:c>
      <x:c r="F26" s="346" t="str">
        <x:v>Policy-specific / U/K</x:v>
      </x:c>
      <x:c r="G26" s="346" t="str">
        <x:v>Policy-specific / U/K</x:v>
      </x:c>
      <x:c r="H26" s="346" t="str">
        <x:v>Policy-specific / U/K</x:v>
      </x:c>
      <x:c r="I26" s="346" t="str">
        <x:v>Policy-specific / U/K</x:v>
      </x:c>
      <x:c r="J26" s="346" t="str">
        <x:v>Policy-specific / U/K</x:v>
      </x:c>
      <x:c r="K26" s="346" t="str">
        <x:v>Policy-specific / U/K</x:v>
      </x:c>
      <x:c r="L26" s="346" t="str">
        <x:v>Policy-specific / U/K</x:v>
      </x:c>
      <x:c r="M26" s="346" t="str">
        <x:v>Policy-specific / U/K</x:v>
      </x:c>
      <x:c r="N26" s="346" t="str">
        <x:v>Policy-specific / U/K</x:v>
      </x:c>
      <x:c r="O26" s="346" t="str">
        <x:v>Policy-specific / U/K</x:v>
      </x:c>
      <x:c r="P26" s="346" t="str">
        <x:v>Policy-specific / U/K</x:v>
      </x:c>
      <x:c r="Q26" s="346" t="str">
        <x:v>Policy-specific / U/K</x:v>
      </x:c>
      <x:c r="R26" s="346" t="str">
        <x:v>Policy-specific / U/K</x:v>
      </x:c>
      <x:c r="S26" s="346" t="str">
        <x:v>Policy-specific / U/K</x:v>
      </x:c>
      <x:c r="T26" s="346" t="str">
        <x:v>Policy-specific / U/K</x:v>
      </x:c>
      <x:c r="U26" s="346" t="str">
        <x:v>Policy-specific / U/K</x:v>
      </x:c>
      <x:c r="V26" s="346" t="str">
        <x:v>Policy-specific / U/K</x:v>
      </x:c>
      <x:c r="W26" s="346" t="str">
        <x:v>Policy-specific / U/K</x:v>
      </x:c>
      <x:c r="X26" s="346" t="str">
        <x:v>Policy-specific / U/K</x:v>
      </x:c>
      <x:c r="Y26" s="346" t="str">
        <x:v>Policy-specific / U/K</x:v>
      </x:c>
      <x:c r="Z26" s="346" t="str">
        <x:v>Policy-specific / U/K</x:v>
      </x:c>
      <x:c r="AA26" s="380" t="str">
        <x:v>Policy-specific / U/K</x:v>
      </x:c>
      <x:c r="AB26" s="346" t="str">
        <x:v>Policy-specific / U/K</x:v>
      </x:c>
      <x:c r="AC26" s="346" t="str">
        <x:v>Policy-specific / U/K</x:v>
      </x:c>
      <x:c r="AD26" s="346" t="str">
        <x:v>Policy-specific / U/K</x:v>
      </x:c>
      <x:c r="AE26" s="346" t="str">
        <x:v>Policy-specific / U/K</x:v>
      </x:c>
    </x:row>
    <x:row r="27" ht="36" customHeight="1">
      <x:c r="A27" s="359" t="str">
        <x:v>Inactive Account Deletion Policy</x:v>
      </x:c>
      <x:c r="B27" s="346" t="str">
        <x:v>May delete inactive accounts after 2 years</x:v>
      </x:c>
      <x:c r="C27" s="346" t="str">
        <x:v>U/K</x:v>
      </x:c>
      <x:c r="D27" s="346" t="str">
        <x:v>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U/K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23" customHeight="1">
      <x:c r="A28" s="427" t="str">
        <x:v>Source &amp; Notes</x:v>
      </x:c>
      <x:c r="B28" s="427"/>
      <x:c r="C28" s="427"/>
      <x:c r="D28" s="427"/>
      <x:c r="E28" s="427"/>
      <x:c r="F28" s="427"/>
      <x:c r="G28" s="427"/>
      <x:c r="H28" s="427"/>
      <x:c r="I28" s="427"/>
      <x:c r="J28" s="427"/>
      <x:c r="K28" s="427"/>
      <x:c r="L28" s="427"/>
      <x:c r="M28" s="427"/>
      <x:c r="N28" s="427"/>
      <x:c r="O28" s="427"/>
      <x:c r="P28" s="427"/>
      <x:c r="Q28" s="427"/>
      <x:c r="R28" s="427"/>
      <x:c r="S28" s="427"/>
      <x:c r="T28" s="427"/>
      <x:c r="U28" s="427"/>
      <x:c r="V28" s="427"/>
      <x:c r="W28" s="427"/>
      <x:c r="X28" s="427"/>
      <x:c r="Y28" s="427"/>
      <x:c r="Z28" s="427"/>
      <x:c r="AA28" s="427"/>
      <x:c r="AB28" s="427"/>
      <x:c r="AC28" s="427"/>
      <x:c r="AD28" s="427"/>
      <x:c r="AE28" s="427"/>
    </x:row>
    <x:row r="29" ht="36" customHeight="1">
      <x:c r="A29" s="359" t="str">
        <x:v>Account / Identity Source URL</x:v>
      </x:c>
      <x:c r="B29" s="346" t="str">
        <x:v>https://support.discord.com/hc/en-us/articles/31676852332439-Discord-Sign-Up-and-Registration-Guide</x:v>
      </x:c>
      <x:c r="C29" s="346" t="str">
        <x:v>See Research Sources</x:v>
      </x:c>
      <x:c r="D29" s="346" t="str">
        <x:v>See Research Sources</x:v>
      </x:c>
      <x:c r="E29" s="346" t="str">
        <x:v>See Research Sources</x:v>
      </x:c>
      <x:c r="F29" s="346" t="str">
        <x:v>See Research Sources</x:v>
      </x:c>
      <x:c r="G29" s="346" t="str">
        <x:v>See Research Sources</x:v>
      </x:c>
      <x:c r="H29" s="346" t="str">
        <x:v>See Research Sources</x:v>
      </x:c>
      <x:c r="I29" s="346" t="str">
        <x:v>See Research Sources</x:v>
      </x:c>
      <x:c r="J29" s="346" t="str">
        <x:v>See Research Sources</x:v>
      </x:c>
      <x:c r="K29" s="346" t="str">
        <x:v>See Research Sources</x:v>
      </x:c>
      <x:c r="L29" s="346" t="str">
        <x:v>See Research Sources</x:v>
      </x:c>
      <x:c r="M29" s="346" t="str">
        <x:v>See Research Sources</x:v>
      </x:c>
      <x:c r="N29" s="346" t="str">
        <x:v>See Research Sources</x:v>
      </x:c>
      <x:c r="O29" s="346" t="str">
        <x:v>See Research Sources</x:v>
      </x:c>
      <x:c r="P29" s="346" t="str">
        <x:v>See Research Sources</x:v>
      </x:c>
      <x:c r="Q29" s="346" t="str">
        <x:v>See Research Sources</x:v>
      </x:c>
      <x:c r="R29" s="346" t="str">
        <x:v>See Research Sources</x:v>
      </x:c>
      <x:c r="S29" s="346" t="str">
        <x:v>See Research Sources</x:v>
      </x:c>
      <x:c r="T29" s="346" t="str">
        <x:v>See Research Sources</x:v>
      </x:c>
      <x:c r="U29" s="346" t="str">
        <x:v>See Research Sources</x:v>
      </x:c>
      <x:c r="V29" s="346" t="str">
        <x:v>See Research Sources</x:v>
      </x:c>
      <x:c r="W29" s="346" t="str">
        <x:v>See Research Sources</x:v>
      </x:c>
      <x:c r="X29" s="346" t="str">
        <x:v>See Research Sources</x:v>
      </x:c>
      <x:c r="Y29" s="346" t="str">
        <x:v>See Research Sources</x:v>
      </x:c>
      <x:c r="Z29" s="346" t="str">
        <x:v>See Research Sources</x:v>
      </x:c>
      <x:c r="AA29" s="380" t="str">
        <x:v>https://therift.chat/about/</x:v>
      </x:c>
      <x:c r="AB29" s="346" t="str">
        <x:v>See Research Sources</x:v>
      </x:c>
      <x:c r="AC29" s="346" t="str">
        <x:v>See Research Sources</x:v>
      </x:c>
      <x:c r="AD29" s="346" t="str">
        <x:v>See Research Sources</x:v>
      </x:c>
      <x:c r="AE29" s="346" t="str">
        <x:v>See Research Sources</x:v>
      </x:c>
    </x:row>
    <x:row r="30" ht="36" customHeight="1">
      <x:c r="A30" s="360" t="str">
        <x:v>Account / Identity Notes</x:v>
      </x:c>
      <x:c r="B30" s="349" t="str">
        <x:v>Email + username + password + DOB on desktop; phone or email on mobile; verification may be required</x:v>
      </x:c>
      <x:c r="C30" s="349" t="str">
        <x:v>Email account; exact requirements U/K</x:v>
      </x:c>
      <x:c r="D30" s="349" t="str">
        <x:v>Account signup; email/credential details U/K</x:v>
      </x:c>
      <x:c r="E30" s="349" t="str">
        <x:v>Email + username + password + DOB; phone verification may be triggered</x:v>
      </x:c>
      <x:c r="F30" s="349" t="str">
        <x:v>Username/email/password</x:v>
      </x:c>
      <x:c r="G30" s="349" t="str">
        <x:v>Account on a homeserver; credential/SSO rules are server-dependent</x:v>
      </x:c>
      <x:c r="H30" s="349" t="str">
        <x:v>Operator-configurable account rules</x:v>
      </x:c>
      <x:c r="I30" s="349" t="str">
        <x:v>Username/certificate/password depending server</x:v>
      </x:c>
      <x:c r="J30" s="349" t="str">
        <x:v>Server/account identity model; exact TS6 signup U/K</x:v>
      </x:c>
      <x:c r="K30" s="349" t="str">
        <x:v>Email/SSO depending deployment</x:v>
      </x:c>
      <x:c r="L30" s="349" t="str">
        <x:v>Email/SSO/LDAP depending deployment</x:v>
      </x:c>
      <x:c r="M30" s="349" t="str">
        <x:v>Email/SSO/LDAP depending deployment</x:v>
      </x:c>
      <x:c r="N30" s="349" t="str">
        <x:v>Username + password; no email/phone/ID required</x:v>
      </x:c>
      <x:c r="O30" s="349" t="str">
        <x:v>Email verification required for messaging</x:v>
      </x:c>
      <x:c r="P30" s="349" t="str">
        <x:v>Email + username/password</x:v>
      </x:c>
      <x:c r="Q30" s="349" t="str">
        <x:v>Account details U/K</x:v>
      </x:c>
      <x:c r="R30" s="349" t="str">
        <x:v>Device/account registration</x:v>
      </x:c>
      <x:c r="S30" s="349" t="str">
        <x:v>Account model U/K</x:v>
      </x:c>
      <x:c r="T30" s="349" t="str">
        <x:v>No email/phone required; secret-key identity</x:v>
      </x:c>
      <x:c r="U30" s="349" t="str">
        <x:v>Email/password or account</x:v>
      </x:c>
      <x:c r="V30" s="349" t="str">
        <x:v>Email/password on Fermi hosted instance</x:v>
      </x:c>
      <x:c r="W30" s="349" t="str">
        <x:v>Bluesky/ATProto identity by default</x:v>
      </x:c>
      <x:c r="X30" s="349" t="str">
        <x:v>Keypair/secret-based Nostr identity</x:v>
      </x:c>
      <x:c r="Y30" s="349" t="str">
        <x:v>No traditional account; Ed25519 key + 24-word recovery phrase</x:v>
      </x:c>
      <x:c r="Z30" s="349" t="str">
        <x:v>Server account or key-based messenger identity</x:v>
      </x:c>
      <x:c r="AA30" s="381" t="str">
        <x:v>Username + password only; no email/phone/ID</x:v>
      </x:c>
      <x:c r="AB30" s="349" t="str">
        <x:v>Account; exact credential requirements U/K</x:v>
      </x:c>
      <x:c r="AC30" s="349" t="str">
        <x:v>Account signup; exact credential requirements U/K</x:v>
      </x:c>
      <x:c r="AD30" s="349" t="str">
        <x:v>Email only; no phone/ID</x:v>
      </x:c>
      <x:c r="AE30" s="349" t="str">
        <x:v>Account model U/K</x:v>
      </x:c>
    </x:row>
    <x:row r="31" ht="23" customHeight="1">
      <x:c r="A31" s="389" t="str">
        <x:v>Authentication &amp; Session Security</x:v>
      </x:c>
      <x:c r="B31" s="389"/>
      <x:c r="C31" s="389"/>
      <x:c r="D31" s="389"/>
      <x:c r="E31" s="389"/>
      <x:c r="F31" s="389"/>
      <x:c r="G31" s="389"/>
      <x:c r="H31" s="389"/>
      <x:c r="I31" s="389"/>
      <x:c r="J31" s="389"/>
      <x:c r="K31" s="389"/>
      <x:c r="L31" s="389"/>
      <x:c r="M31" s="389"/>
      <x:c r="N31" s="389"/>
      <x:c r="O31" s="389"/>
      <x:c r="P31" s="389"/>
      <x:c r="Q31" s="389"/>
      <x:c r="R31" s="389"/>
      <x:c r="S31" s="389"/>
      <x:c r="T31" s="389"/>
      <x:c r="U31" s="389"/>
      <x:c r="V31" s="389"/>
      <x:c r="W31" s="389"/>
      <x:c r="X31" s="389"/>
      <x:c r="Y31" s="389"/>
      <x:c r="Z31" s="389"/>
      <x:c r="AA31" s="389"/>
      <x:c r="AB31" s="389"/>
      <x:c r="AC31" s="389"/>
      <x:c r="AD31" s="389"/>
      <x:c r="AE31" s="389"/>
    </x:row>
    <x:row r="32" ht="36" customHeight="1">
      <x:c r="A32" s="378" t="str">
        <x:v>Two-Factor Authentication (TOTP)?</x:v>
      </x:c>
      <x:c r="B32" s="346" t="str">
        <x:v>Yes</x:v>
      </x:c>
      <x:c r="C32" s="346" t="str">
        <x:v>U/K</x:v>
      </x:c>
      <x:c r="D32" s="346" t="str">
        <x:v>U/K</x:v>
      </x:c>
      <x:c r="E32" s="346" t="str">
        <x:v>U/K</x:v>
      </x:c>
      <x:c r="F32" s="346" t="str">
        <x:v>U/K</x:v>
      </x:c>
      <x:c r="G32" s="346" t="str">
        <x:v>Provider/client dependent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Yes</x:v>
      </x:c>
      <x:c r="L32" s="346" t="str">
        <x:v>Yes</x:v>
      </x:c>
      <x:c r="M32" s="346" t="str">
        <x:v>Yes</x:v>
      </x:c>
      <x:c r="N32" s="346" t="str">
        <x:v>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U/K</x:v>
      </x:c>
      <x:c r="AB32" s="346" t="str">
        <x:v>U/K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78" t="str">
        <x:v>Passkeys / WebAuthn?</x:v>
      </x:c>
      <x:c r="B33" s="346" t="str">
        <x:v>Yes/U/K current account support</x:v>
      </x:c>
      <x:c r="C33" s="346" t="str">
        <x:v>U/K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U/K</x:v>
      </x:c>
      <x:c r="H33" s="346" t="str">
        <x:v>U/K</x:v>
      </x:c>
      <x:c r="I33" s="346" t="str">
        <x:v>U/K</x:v>
      </x:c>
      <x:c r="J33" s="346" t="str">
        <x:v>U/K</x:v>
      </x:c>
      <x:c r="K33" s="346" t="str">
        <x:v>U/K</x:v>
      </x:c>
      <x:c r="L33" s="346" t="str">
        <x:v>SSO/provider dependent</x:v>
      </x:c>
      <x:c r="M33" s="346" t="str">
        <x:v>U/K</x:v>
      </x:c>
      <x:c r="N33" s="346" t="str">
        <x:v>U/K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U/K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  <x:row r="34" ht="36" customHeight="1">
      <x:c r="A34" s="378" t="str">
        <x:v>SAML / Enterprise SSO?</x:v>
      </x:c>
      <x:c r="B34" s="346" t="str">
        <x:v>Enterprise/community limited/U/K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U/K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Yes - plans/deployment dependent</x:v>
      </x:c>
      <x:c r="L34" s="346" t="str">
        <x:v>Yes - paid editions</x:v>
      </x:c>
      <x:c r="M34" s="346" t="str">
        <x:v>Yes - enterprise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U/K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OIDC / OAuth Login?</x:v>
      </x:c>
      <x:c r="B35" s="346" t="str">
        <x:v>U/K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Provider-dependent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Yes</x:v>
      </x:c>
      <x:c r="L35" s="346" t="str">
        <x:v>Yes</x:v>
      </x:c>
      <x:c r="M35" s="346" t="str">
        <x:v>Yes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U/K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Active Session / Device Management?</x:v>
      </x:c>
      <x:c r="B36" s="346" t="str">
        <x:v>Yes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Client-dependent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Yes/U/K</x:v>
      </x:c>
      <x:c r="M36" s="346" t="str">
        <x:v>U/K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</x:sheetData>
  <x:mergeCells>
    <x:mergeCell ref="A1:AE1"/>
  </x:mergeCells>
  <x:conditionalFormatting sqref="B3:AE30">
    <x:cfRule type="expression" dxfId="72" priority="1">
      <x:formula>ISNUMBER(SEARCH("U/K",B3))</x:formula>
    </x:cfRule>
    <x:cfRule type="expression" dxfId="73" priority="2">
      <x:formula>OR(B3="N/A",LEFT(B3,4)="N/A ")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Portability &amp; Bridging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Discord Server Importer (Channels / Roles / Emotes)</x:v>
      </x:c>
      <x:c r="B3" s="344" t="str">
        <x:v>N/A - Discord is the source platform</x:v>
      </x:c>
      <x:c r="C3" s="344" t="str">
        <x:v>No first-party Discord importer verified</x:v>
      </x:c>
      <x:c r="D3" s="344" t="str">
        <x:v>Planned/advertised Discord server template import</x:v>
      </x:c>
      <x:c r="E3" s="344" t="str">
        <x:v>No full Discord importer verified</x:v>
      </x:c>
      <x:c r="F3" s="344" t="str">
        <x:v>Yes - Discord server template import (roles/channels/groups/permissions)</x:v>
      </x:c>
      <x:c r="G3" s="344" t="str">
        <x:v>No protocol-level Discord importer; tools/clients may provide migration</x:v>
      </x:c>
      <x:c r="H3" s="344" t="str">
        <x:v>Not an importer; aims for Discord client/bot API compatibility</x:v>
      </x:c>
      <x:c r="I3" s="344" t="str">
        <x:v>No</x:v>
      </x:c>
      <x:c r="J3" s="344" t="str">
        <x:v>No</x:v>
      </x:c>
      <x:c r="K3" s="345" t="str">
        <x:v>No Discord importer; imports Slack/Mattermost/Rocket.Chat supported</x:v>
      </x:c>
      <x:c r="L3" s="346" t="str">
        <x:v>No native Discord importer</x:v>
      </x:c>
      <x:c r="M3" s="346" t="str">
        <x:v>No first-party Discord importer verified</x:v>
      </x:c>
      <x:c r="N3" s="346" t="str">
        <x:v>Yes - channels/roles/permissions/emojis/soundboard/events/assets</x:v>
      </x:c>
      <x:c r="O3" s="346" t="str">
        <x:v>No importer verified</x:v>
      </x:c>
      <x:c r="P3" s="346" t="str">
        <x:v>Discord community template/friend migration features reported; exact importer scope U/K</x:v>
      </x:c>
      <x:c r="Q3" s="346" t="str">
        <x:v>Yes - full structure importer</x:v>
      </x:c>
      <x:c r="R3" s="346" t="str">
        <x:v>No Discord importer verified</x:v>
      </x:c>
      <x:c r="S3" s="346" t="str">
        <x:v>Discord importer U/K</x:v>
      </x:c>
      <x:c r="T3" s="346" t="str">
        <x:v>No importer verified</x:v>
      </x:c>
      <x:c r="U3" s="346" t="str">
        <x:v>No importer verified</x:v>
      </x:c>
      <x:c r="V3" s="346" t="str">
        <x:v>No importer verified</x:v>
      </x:c>
      <x:c r="W3" s="346" t="str">
        <x:v>Discord bridge/import component exists</x:v>
      </x:c>
      <x:c r="X3" s="346" t="str">
        <x:v>Built-in Discord bridging/copy workflow mentioned in subreddit/project ecosystem</x:v>
      </x:c>
      <x:c r="Y3" s="346" t="str">
        <x:v>No Discord importer verified</x:v>
      </x:c>
      <x:c r="Z3" s="346" t="str">
        <x:v>No template importer verified</x:v>
      </x:c>
      <x:c r="AA3" s="380" t="str">
        <x:v>Yes - Discord template structure import: categories, channels, forum tags, roles/order/colors, equivalent permissions; no messages/members</x:v>
      </x:c>
      <x:c r="AB3" s="346" t="str">
        <x:v>Yes - Discord template layout</x:v>
      </x:c>
      <x:c r="AC3" s="346" t="str">
        <x:v>No Discord importer verified</x:v>
      </x:c>
      <x:c r="AD3" s="346" t="str">
        <x:v>Yes - built-in Discord importer</x:v>
      </x:c>
      <x:c r="AE3" s="414" t="str">
        <x:v>No - design intentionally differs from Discord</x:v>
      </x:c>
    </x:row>
    <x:row r="4" ht="36" customHeight="1">
      <x:c r="A4" s="358" t="str">
        <x:v>Full Chat History Export (JSON / CSV / HTML)</x:v>
      </x:c>
      <x:c r="B4" s="344" t="str">
        <x:v>Yes - Data Package ZIP; messages/account data delivered primarily as JSON</x:v>
      </x:c>
      <x:c r="C4" s="344" t="str">
        <x:v>U/K</x:v>
      </x:c>
      <x:c r="D4" s="344" t="str">
        <x:v>U/K</x:v>
      </x:c>
      <x:c r="E4" s="344" t="str">
        <x:v>Data export available</x:v>
      </x:c>
      <x:c r="F4" s="344" t="str">
        <x:v>U/K</x:v>
      </x:c>
      <x:c r="G4" s="344" t="str">
        <x:v>Homeserver/client-dependent exports</x:v>
      </x:c>
      <x:c r="H4" s="344" t="str">
        <x:v>Operator/database-level; user export U/K</x:v>
      </x:c>
      <x:c r="I4" s="344" t="str">
        <x:v>Server/operator logs/config; no Discord-style chat export</x:v>
      </x:c>
      <x:c r="J4" s="344" t="str">
        <x:v>U/K</x:v>
      </x:c>
      <x:c r="K4" s="345" t="str">
        <x:v>Exports available</x:v>
      </x:c>
      <x:c r="L4" s="346" t="str">
        <x:v>Bulk export tools/admin export</x:v>
      </x:c>
      <x:c r="M4" s="346" t="str">
        <x:v>Admin export tools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Yes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Operator export 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Local archive export/import</x:v>
      </x:c>
      <x:c r="Z4" s="346" t="str">
        <x:v>Account export/re-import</x:v>
      </x:c>
      <x:c r="AA4" s="380" t="str">
        <x:v>U/K</x:v>
      </x:c>
      <x:c r="AB4" s="346" t="str">
        <x:v>Yes</x:v>
      </x:c>
      <x:c r="AC4" s="346" t="str">
        <x:v>U/K</x:v>
      </x:c>
      <x:c r="AD4" s="346" t="str">
        <x:v>U/K</x:v>
      </x:c>
      <x:c r="AE4" s="414" t="str">
        <x:v>No</x:v>
      </x:c>
    </x:row>
    <x:row r="5" ht="36" customHeight="1">
      <x:c r="A5" s="358" t="str">
        <x:v>Media / Attachment Backup &amp; Export</x:v>
      </x:c>
      <x:c r="B5" s="344" t="str">
        <x:v>Yes - Data Package can include uploaded attachments in their file formats</x:v>
      </x:c>
      <x:c r="C5" s="344" t="str">
        <x:v>U/K</x:v>
      </x:c>
      <x:c r="D5" s="344" t="str">
        <x:v>U/K</x:v>
      </x:c>
      <x:c r="E5" s="344" t="str">
        <x:v>Export/delete controls; exact attachment packaging U/K</x:v>
      </x:c>
      <x:c r="F5" s="344" t="str">
        <x:v>U/K</x:v>
      </x:c>
      <x:c r="G5" s="344" t="str">
        <x:v>Homeserver/client-dependent</x:v>
      </x:c>
      <x:c r="H5" s="344" t="str">
        <x:v>U/K</x:v>
      </x:c>
      <x:c r="I5" s="344" t="str">
        <x:v>N/A</x:v>
      </x:c>
      <x:c r="J5" s="344" t="str">
        <x:v>U/K</x:v>
      </x:c>
      <x:c r="K5" s="345" t="str">
        <x:v>Exports include realm data; attachment details deployment-dependent</x:v>
      </x:c>
      <x:c r="L5" s="346" t="str">
        <x:v>Export/backup supported admin-side</x:v>
      </x:c>
      <x:c r="M5" s="346" t="str">
        <x:v>Backup/export supported admin-side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Yes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Operator files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Local files/data export</x:v>
      </x:c>
      <x:c r="Z5" s="346" t="str">
        <x:v>Operator data</x:v>
      </x:c>
      <x:c r="AA5" s="380" t="str">
        <x:v>U/K</x:v>
      </x:c>
      <x:c r="AB5" s="346" t="str">
        <x:v>Main permissions/roles</x:v>
      </x:c>
      <x:c r="AC5" s="346" t="str">
        <x:v>U/K</x:v>
      </x:c>
      <x:c r="AD5" s="346" t="str">
        <x:v>U/K</x:v>
      </x:c>
      <x:c r="AE5" s="414" t="str">
        <x:v>No</x:v>
      </x:c>
    </x:row>
    <x:row r="6" ht="36" customHeight="1">
      <x:c r="A6" s="358" t="str">
        <x:v>Native Discord Bridge Support</x:v>
      </x:c>
      <x:c r="B6" s="344" t="str">
        <x:v>N/A - Discord is the source platform</x:v>
      </x:c>
      <x:c r="C6" s="344" t="str">
        <x:v>No native Discord bridge verified</x:v>
      </x:c>
      <x:c r="D6" s="344" t="str">
        <x:v>No native bridge verified</x:v>
      </x:c>
      <x:c r="E6" s="344" t="str">
        <x:v>No native Discord bridge verified</x:v>
      </x:c>
      <x:c r="F6" s="344" t="str">
        <x:v>No native live Discord bridge</x:v>
      </x:c>
      <x:c r="G6" s="344" t="str">
        <x:v>Yes - ecosystem bridges such as matrix-appservice-discord / mautrix-discord</x:v>
      </x:c>
      <x:c r="H6" s="344" t="str">
        <x:v>API compatibility enables some Discord bots/clients, not a live bridge</x:v>
      </x:c>
      <x:c r="I6" s="344" t="str">
        <x:v>No</x:v>
      </x:c>
      <x:c r="J6" s="344" t="str">
        <x:v>No native</x:v>
      </x:c>
      <x:c r="K6" s="345" t="str">
        <x:v>No native Discord bridge</x:v>
      </x:c>
      <x:c r="L6" s="346" t="str">
        <x:v>No native Discord bridge</x:v>
      </x:c>
      <x:c r="M6" s="346" t="str">
        <x:v>No native Discord bridge</x:v>
      </x:c>
      <x:c r="N6" s="346" t="str">
        <x:v>No native live bridge verified</x:v>
      </x:c>
      <x:c r="O6" s="346" t="str">
        <x:v>No</x:v>
      </x:c>
      <x:c r="P6" s="346" t="str">
        <x:v>Bridge U/K</x:v>
      </x:c>
      <x:c r="Q6" s="346" t="str">
        <x:v>No live bridge verified</x:v>
      </x:c>
      <x:c r="R6" s="346" t="str">
        <x:v>Bridge possible by protocol design; no native bridge verified</x:v>
      </x:c>
      <x:c r="S6" s="346" t="str">
        <x:v>No</x:v>
      </x:c>
      <x:c r="T6" s="346" t="str">
        <x:v>No</x:v>
      </x:c>
      <x:c r="U6" s="346" t="str">
        <x:v>No</x:v>
      </x:c>
      <x:c r="V6" s="346" t="str">
        <x:v>Discord bot/API compatibility can ease bot migration</x:v>
      </x:c>
      <x:c r="W6" s="346" t="str">
        <x:v>Yes - bidirectional Discord bridge package</x:v>
      </x:c>
      <x:c r="X6" s="346" t="str">
        <x:v>Yes - supported/self-hostable bridge direction</x:v>
      </x:c>
      <x:c r="Y6" s="346" t="str">
        <x:v>No Discord bridge verified</x:v>
      </x:c>
      <x:c r="Z6" s="346" t="str">
        <x:v>Discord bridge WIP</x:v>
      </x:c>
      <x:c r="AA6" s="380" t="str">
        <x:v>No</x:v>
      </x:c>
      <x:c r="AB6" s="346" t="str">
        <x:v>No message history</x:v>
      </x:c>
      <x:c r="AC6" s="346" t="str">
        <x:v>No</x:v>
      </x:c>
      <x:c r="AD6" s="346" t="str">
        <x:v>No live bridge verified</x:v>
      </x:c>
      <x:c r="AE6" s="414" t="str">
        <x:v>No</x:v>
      </x:c>
    </x:row>
    <x:row r="7" ht="36" customHeight="1">
      <x:c r="A7" s="358" t="str">
        <x:v>Matrix Bridge / Appservice Support</x:v>
      </x:c>
      <x:c r="B7" s="344" t="str">
        <x:v>No native official Matrix bridge/appservice</x:v>
      </x:c>
      <x:c r="C7" s="344" t="str">
        <x:v>No native Matrix bridge verified</x:v>
      </x:c>
      <x:c r="D7" s="344" t="str">
        <x:v>No native Matrix bridge verified</x:v>
      </x:c>
      <x:c r="E7" s="344" t="str">
        <x:v>No Matrix bridge verified</x:v>
      </x:c>
      <x:c r="F7" s="344" t="str">
        <x:v>No native Matrix bridge</x:v>
      </x:c>
      <x:c r="G7" s="344" t="str">
        <x:v>N/A - Matrix is itself the Matrix protocol</x:v>
      </x:c>
      <x:c r="H7" s="344" t="str">
        <x:v>No native Matrix bridge verified</x:v>
      </x:c>
      <x:c r="I7" s="344" t="str">
        <x:v>No native</x:v>
      </x:c>
      <x:c r="J7" s="344" t="str">
        <x:v>No native</x:v>
      </x:c>
      <x:c r="K7" s="345" t="str">
        <x:v>No native Matrix bridge</x:v>
      </x:c>
      <x:c r="L7" s="346" t="str">
        <x:v>Integrations possible; no native Matrix bridge core</x:v>
      </x:c>
      <x:c r="M7" s="346" t="str">
        <x:v>Federation uses Matrix protocol components; not the same as a generic Matrix bridge</x:v>
      </x:c>
      <x:c r="N7" s="346" t="str">
        <x:v>No native Matrix bridge verified</x:v>
      </x:c>
      <x:c r="O7" s="346" t="str">
        <x:v>No</x:v>
      </x:c>
      <x:c r="P7" s="346" t="str">
        <x:v>Matrix bridge U/K</x:v>
      </x:c>
      <x:c r="Q7" s="346" t="str">
        <x:v>No native Matrix bridge verified</x:v>
      </x:c>
      <x:c r="R7" s="346" t="str">
        <x:v>Bridge to Matrix possible in theory, not native</x:v>
      </x:c>
      <x:c r="S7" s="346" t="str">
        <x:v>No</x:v>
      </x:c>
      <x:c r="T7" s="346" t="str">
        <x:v>No</x:v>
      </x:c>
      <x:c r="U7" s="346" t="str">
        <x:v>No</x:v>
      </x:c>
      <x:c r="V7" s="346" t="str">
        <x:v>No Matrix bridge verified</x:v>
      </x:c>
      <x:c r="W7" s="346" t="str">
        <x:v>N/A</x:v>
      </x:c>
      <x:c r="X7" s="346" t="str">
        <x:v>N/A</x:v>
      </x:c>
      <x:c r="Y7" s="346" t="str">
        <x:v>No Matrix bridge verified</x:v>
      </x:c>
      <x:c r="Z7" s="346" t="str">
        <x:v>No Matrix bridge verified</x:v>
      </x:c>
      <x:c r="AA7" s="380" t="str">
        <x:v>No</x:v>
      </x:c>
      <x:c r="AB7" s="346" t="str">
        <x:v>No assets beyond template structure U/K</x:v>
      </x:c>
      <x:c r="AC7" s="346" t="str">
        <x:v>No</x:v>
      </x:c>
      <x:c r="AD7" s="346" t="str">
        <x:v>No</x:v>
      </x:c>
      <x:c r="AE7" s="414" t="str">
        <x:v>No</x:v>
      </x:c>
    </x:row>
    <x:row r="8" ht="36" customHeight="1">
      <x:c r="A8" s="358" t="str">
        <x:v>IRC Relay Bridge Support</x:v>
      </x:c>
      <x:c r="B8" s="344" t="str">
        <x:v>No native official IRC relay bridge</x:v>
      </x:c>
      <x:c r="C8" s="344" t="str">
        <x:v>No native IRC bridge verified</x:v>
      </x:c>
      <x:c r="D8" s="344" t="str">
        <x:v>No native IRC bridge verified</x:v>
      </x:c>
      <x:c r="E8" s="344" t="str">
        <x:v>No IRC bridge verified</x:v>
      </x:c>
      <x:c r="F8" s="344" t="str">
        <x:v>No native IRC bridge</x:v>
      </x:c>
      <x:c r="G8" s="344" t="str">
        <x:v>Yes - ecosystem IRC bridges</x:v>
      </x:c>
      <x:c r="H8" s="344" t="str">
        <x:v>No native IRC bridge verified</x:v>
      </x:c>
      <x:c r="I8" s="344" t="str">
        <x:v>No native</x:v>
      </x:c>
      <x:c r="J8" s="344" t="str">
        <x:v>No native</x:v>
      </x:c>
      <x:c r="K8" s="345" t="str">
        <x:v>IRC integration possible via bots; no native relay verified</x:v>
      </x:c>
      <x:c r="L8" s="346" t="str">
        <x:v>Integrations possible</x:v>
      </x:c>
      <x:c r="M8" s="346" t="str">
        <x:v>IRC bridges/integrations historically available; current native status U/K</x:v>
      </x:c>
      <x:c r="N8" s="346" t="str">
        <x:v>No native IRC bridge verified</x:v>
      </x:c>
      <x:c r="O8" s="346" t="str">
        <x:v>No</x:v>
      </x:c>
      <x:c r="P8" s="346" t="str">
        <x:v>IRC bridge U/K</x:v>
      </x:c>
      <x:c r="Q8" s="346" t="str">
        <x:v>No native IRC bridge verified</x:v>
      </x:c>
      <x:c r="R8" s="346" t="str">
        <x:v>U/K</x:v>
      </x:c>
      <x:c r="S8" s="346" t="str">
        <x:v>No</x:v>
      </x:c>
      <x:c r="T8" s="346" t="str">
        <x:v>No</x:v>
      </x:c>
      <x:c r="U8" s="346" t="str">
        <x:v>No</x:v>
      </x:c>
      <x:c r="V8" s="346" t="str">
        <x:v>Discord bridge via Bolt/community mentioned; not core verified</x:v>
      </x:c>
      <x:c r="W8" s="346" t="str">
        <x:v>No native IRC</x:v>
      </x:c>
      <x:c r="X8" s="346" t="str">
        <x:v>No native IRC U/K</x:v>
      </x:c>
      <x:c r="Y8" s="346" t="str">
        <x:v>No IRC bridge</x:v>
      </x:c>
      <x:c r="Z8" s="346" t="str">
        <x:v>No IRC bridge verified</x:v>
      </x:c>
      <x:c r="AA8" s="380" t="str">
        <x:v>No</x:v>
      </x:c>
      <x:c r="AB8" s="346" t="str">
        <x:v>No</x:v>
      </x:c>
      <x:c r="AC8" s="346" t="str">
        <x:v>No</x:v>
      </x:c>
      <x:c r="AD8" s="346" t="str">
        <x:v>No</x:v>
      </x:c>
      <x:c r="AE8" s="414" t="str">
        <x:v>No</x:v>
      </x:c>
    </x:row>
    <x:row r="9" ht="36" customHeight="1">
      <x:c r="A9" s="397" t="str">
        <x:v>Multi-Server / Account Switching UX</x:v>
      </x:c>
      <x:c r="B9" s="349" t="str">
        <x:v>Yes - server switching + desktop Account Switcher for up to 5 accounts</x:v>
      </x:c>
      <x:c r="C9" s="349" t="str">
        <x:v>Multiple servers/instances are not fully seamless in official clients</x:v>
      </x:c>
      <x:c r="D9" s="349" t="str">
        <x:v>U/K</x:v>
      </x:c>
      <x:c r="E9" s="349" t="str">
        <x:v>Self-host instances supported; federation/account portability not yet</x:v>
      </x:c>
      <x:c r="F9" s="349" t="str">
        <x:v>Multi-community navigation; multi-account U/K</x:v>
      </x:c>
      <x:c r="G9" s="349" t="str">
        <x:v>Client choice is a core feature; users can switch Matrix clients on the same account</x:v>
      </x:c>
      <x:c r="H9" s="349" t="str">
        <x:v>Instances are separate; no federation</x:v>
      </x:c>
      <x:c r="I9" s="349" t="str">
        <x:v>Multi-server bookmarks; account identity can use certificates</x:v>
      </x:c>
      <x:c r="J9" s="349" t="str">
        <x:v>Multi-server bookmarks/connections</x:v>
      </x:c>
      <x:c r="K9" s="395" t="str">
        <x:v>Multiple organizations/accounts supported</x:v>
      </x:c>
      <x:c r="L9" s="349" t="str">
        <x:v>Desktop supports multiple servers</x:v>
      </x:c>
      <x:c r="M9" s="349" t="str">
        <x:v>Multiple workspaces supported by clients</x:v>
      </x:c>
      <x:c r="N9" s="349" t="str">
        <x:v>Multi-server UX</x:v>
      </x:c>
      <x:c r="O9" s="349" t="str">
        <x:v>Single hosted service UX</x:v>
      </x:c>
      <x:c r="P9" s="349" t="str">
        <x:v>Multi-community</x:v>
      </x:c>
      <x:c r="Q9" s="349" t="str">
        <x:v>Self-host/federation design</x:v>
      </x:c>
      <x:c r="R9" s="349" t="str">
        <x:v>Federation target is single account across servers</x:v>
      </x:c>
      <x:c r="S9" s="349" t="str">
        <x:v>Multi-clan</x:v>
      </x:c>
      <x:c r="T9" s="349" t="str">
        <x:v>Single service</x:v>
      </x:c>
      <x:c r="U9" s="349" t="str">
        <x:v>Server selection</x:v>
      </x:c>
      <x:c r="V9" s="349" t="str">
        <x:v>Instance picker in Fermi</x:v>
      </x:c>
      <x:c r="W9" s="349" t="str">
        <x:v>ATProto identity/client model</x:v>
      </x:c>
      <x:c r="X9" s="349" t="str">
        <x:v>Nostr identity works across relays</x:v>
      </x:c>
      <x:c r="Y9" s="349" t="str">
        <x:v>Identity key works across relays</x:v>
      </x:c>
      <x:c r="Z9" s="349" t="str">
        <x:v>Accounts can export/import; messenger identity crosses home servers</x:v>
      </x:c>
      <x:c r="AA9" s="381" t="str">
        <x:v>Multi-community/portal UX</x:v>
      </x:c>
      <x:c r="AB9" s="349" t="str">
        <x:v>No</x:v>
      </x:c>
      <x:c r="AC9" s="349" t="str">
        <x:v>Multi-server</x:v>
      </x:c>
      <x:c r="AD9" s="349" t="str">
        <x:v>Self-host/node migration</x:v>
      </x:c>
      <x:c r="AE9" s="415" t="str">
        <x:v>Lobby-based UX</x:v>
      </x:c>
    </x:row>
    <x:row r="10" ht="23" customHeight="1">
      <x:c r="A10" s="389" t="str">
        <x:v>Migration Depth</x:v>
      </x:c>
      <x:c r="B10" s="389"/>
      <x:c r="C10" s="389"/>
      <x:c r="D10" s="389"/>
      <x:c r="E10" s="389"/>
      <x:c r="F10" s="389"/>
      <x:c r="G10" s="389"/>
      <x:c r="H10" s="389"/>
      <x:c r="I10" s="389"/>
      <x:c r="J10" s="389"/>
      <x:c r="K10" s="389"/>
      <x:c r="L10" s="389"/>
      <x:c r="M10" s="389"/>
      <x:c r="N10" s="389"/>
      <x:c r="O10" s="389"/>
      <x:c r="P10" s="389"/>
      <x:c r="Q10" s="389"/>
      <x:c r="R10" s="389"/>
      <x:c r="S10" s="389"/>
      <x:c r="T10" s="389"/>
      <x:c r="U10" s="389"/>
      <x:c r="V10" s="389"/>
      <x:c r="W10" s="389"/>
      <x:c r="X10" s="389"/>
      <x:c r="Y10" s="389"/>
      <x:c r="Z10" s="389"/>
      <x:c r="AA10" s="389"/>
      <x:c r="AB10" s="389"/>
      <x:c r="AC10" s="389"/>
      <x:c r="AD10" s="389"/>
      <x:c r="AE10" s="389"/>
    </x:row>
    <x:row r="11" ht="36" customHeight="1">
      <x:c r="A11" s="378" t="str">
        <x:v>Discord Permission Import</x:v>
      </x:c>
      <x:c r="B11" s="346" t="str">
        <x:v>N/A</x:v>
      </x:c>
      <x:c r="C11" s="346" t="str">
        <x:v>No verified</x:v>
      </x:c>
      <x:c r="D11" s="346" t="str">
        <x:v>Planned/advertised</x:v>
      </x:c>
      <x:c r="E11" s="346" t="str">
        <x:v>No full importer verified</x:v>
      </x:c>
      <x:c r="F11" s="346" t="str">
        <x:v>Yes</x:v>
      </x:c>
      <x:c r="G11" s="346" t="str">
        <x:v>Tool-dependent</x:v>
      </x:c>
      <x:c r="H11" s="346" t="str">
        <x:v>N/A/compatibility</x:v>
      </x:c>
      <x:c r="I11" s="346" t="str">
        <x:v>No</x:v>
      </x:c>
      <x:c r="J11" s="346" t="str">
        <x:v>No</x:v>
      </x:c>
      <x:c r="K11" s="346" t="str">
        <x:v>No</x:v>
      </x:c>
      <x:c r="L11" s="346" t="str">
        <x:v>No</x:v>
      </x:c>
      <x:c r="M11" s="346" t="str">
        <x:v>No verified</x:v>
      </x:c>
      <x:c r="N11" s="346" t="str">
        <x:v>Yes</x:v>
      </x:c>
      <x:c r="O11" s="346" t="str">
        <x:v>No</x:v>
      </x:c>
      <x:c r="P11" s="346" t="str">
        <x:v>U/K</x:v>
      </x:c>
      <x:c r="Q11" s="346" t="str">
        <x:v>Yes</x:v>
      </x:c>
      <x:c r="R11" s="346" t="str">
        <x:v>No</x:v>
      </x:c>
      <x:c r="S11" s="346" t="str">
        <x:v>U/K</x:v>
      </x:c>
      <x:c r="T11" s="346" t="str">
        <x:v>No</x:v>
      </x:c>
      <x:c r="U11" s="346" t="str">
        <x:v>No</x:v>
      </x:c>
      <x:c r="V11" s="346" t="str">
        <x:v>No</x:v>
      </x:c>
      <x:c r="W11" s="346" t="str">
        <x:v>U/K</x:v>
      </x:c>
      <x:c r="X11" s="346" t="str">
        <x:v>U/K</x:v>
      </x:c>
      <x:c r="Y11" s="346" t="str">
        <x:v>No</x:v>
      </x:c>
      <x:c r="Z11" s="346" t="str">
        <x:v>No</x:v>
      </x:c>
      <x:c r="AA11" s="380" t="str">
        <x:v>No</x:v>
      </x:c>
      <x:c r="AB11" s="346" t="str">
        <x:v>Yes/main permissions</x:v>
      </x:c>
      <x:c r="AC11" s="346" t="str">
        <x:v>No</x:v>
      </x:c>
      <x:c r="AD11" s="346" t="str">
        <x:v>Yes/U/K</x:v>
      </x:c>
      <x:c r="AE11" s="346" t="str">
        <x:v>No</x:v>
      </x:c>
    </x:row>
    <x:row r="12" ht="36" customHeight="1">
      <x:c r="A12" s="378" t="str">
        <x:v>Discord Emoji / Sticker Import</x:v>
      </x:c>
      <x:c r="B12" s="346" t="str">
        <x:v>N/A</x:v>
      </x:c>
      <x:c r="C12" s="346" t="str">
        <x:v>No verified</x:v>
      </x:c>
      <x:c r="D12" s="346" t="str">
        <x:v>U/K</x:v>
      </x:c>
      <x:c r="E12" s="346" t="str">
        <x:v>No</x:v>
      </x:c>
      <x:c r="F12" s="346" t="str">
        <x:v>No</x:v>
      </x:c>
      <x:c r="G12" s="346" t="str">
        <x:v>Tool-dependent</x:v>
      </x:c>
      <x:c r="H12" s="346" t="str">
        <x:v>N/A/compatibility</x:v>
      </x:c>
      <x:c r="I12" s="346" t="str">
        <x:v>No</x:v>
      </x:c>
      <x:c r="J12" s="346" t="str">
        <x:v>No</x:v>
      </x:c>
      <x:c r="K12" s="346" t="str">
        <x:v>No</x:v>
      </x:c>
      <x:c r="L12" s="346" t="str">
        <x:v>No</x:v>
      </x:c>
      <x:c r="M12" s="346" t="str">
        <x:v>No</x:v>
      </x:c>
      <x:c r="N12" s="346" t="str">
        <x:v>Yes</x:v>
      </x:c>
      <x:c r="O12" s="346" t="str">
        <x:v>No</x:v>
      </x:c>
      <x:c r="P12" s="346" t="str">
        <x:v>U/K</x:v>
      </x:c>
      <x:c r="Q12" s="346" t="str">
        <x:v>Yes</x:v>
      </x:c>
      <x:c r="R12" s="346" t="str">
        <x:v>No</x:v>
      </x:c>
      <x:c r="S12" s="346" t="str">
        <x:v>U/K</x:v>
      </x:c>
      <x:c r="T12" s="346" t="str">
        <x:v>No</x:v>
      </x:c>
      <x:c r="U12" s="346" t="str">
        <x:v>No</x:v>
      </x:c>
      <x:c r="V12" s="346" t="str">
        <x:v>No</x:v>
      </x:c>
      <x:c r="W12" s="346" t="str">
        <x:v>U/K</x:v>
      </x:c>
      <x:c r="X12" s="346" t="str">
        <x:v>U/K</x:v>
      </x:c>
      <x:c r="Y12" s="346" t="str">
        <x:v>No</x:v>
      </x:c>
      <x:c r="Z12" s="346" t="str">
        <x:v>No</x:v>
      </x:c>
      <x:c r="AA12" s="380" t="str">
        <x:v>No</x:v>
      </x:c>
      <x:c r="AB12" s="346" t="str">
        <x:v>U/K</x:v>
      </x:c>
      <x:c r="AC12" s="346" t="str">
        <x:v>No</x:v>
      </x:c>
      <x:c r="AD12" s="346" t="str">
        <x:v>Emoji/assets U/K</x:v>
      </x:c>
      <x:c r="AE12" s="346" t="str">
        <x:v>No</x:v>
      </x:c>
    </x:row>
    <x:row r="13" ht="36" customHeight="1">
      <x:c r="A13" s="378" t="str">
        <x:v>Discord Message History Import</x:v>
      </x:c>
      <x:c r="B13" s="346" t="str">
        <x:v>N/A</x:v>
      </x:c>
      <x:c r="C13" s="346" t="str">
        <x:v>No</x:v>
      </x:c>
      <x:c r="D13" s="346" t="str">
        <x:v>No</x:v>
      </x:c>
      <x:c r="E13" s="346" t="str">
        <x:v>No</x:v>
      </x:c>
      <x:c r="F13" s="346" t="str">
        <x:v>No</x:v>
      </x:c>
      <x:c r="G13" s="346" t="str">
        <x:v>Possible with bridge/import tooling</x:v>
      </x:c>
      <x:c r="H13" s="346" t="str">
        <x:v>No</x:v>
      </x:c>
      <x:c r="I13" s="346" t="str">
        <x:v>No</x:v>
      </x:c>
      <x:c r="J13" s="346" t="str">
        <x:v>No</x:v>
      </x:c>
      <x:c r="K13" s="346" t="str">
        <x:v>No</x:v>
      </x:c>
      <x:c r="L13" s="346" t="str">
        <x:v>No</x:v>
      </x:c>
      <x:c r="M13" s="346" t="str">
        <x:v>No</x:v>
      </x:c>
      <x:c r="N13" s="346" t="str">
        <x:v>No</x:v>
      </x:c>
      <x:c r="O13" s="346" t="str">
        <x:v>No</x:v>
      </x:c>
      <x:c r="P13" s="346" t="str">
        <x:v>No</x:v>
      </x:c>
      <x:c r="Q13" s="346" t="str">
        <x:v>No</x:v>
      </x:c>
      <x:c r="R13" s="346" t="str">
        <x:v>No</x:v>
      </x:c>
      <x:c r="S13" s="346" t="str">
        <x:v>U/K</x:v>
      </x:c>
      <x:c r="T13" s="346" t="str">
        <x:v>No</x:v>
      </x:c>
      <x:c r="U13" s="346" t="str">
        <x:v>No</x:v>
      </x:c>
      <x:c r="V13" s="346" t="str">
        <x:v>No</x:v>
      </x:c>
      <x:c r="W13" s="346" t="str">
        <x:v>U/K</x:v>
      </x:c>
      <x:c r="X13" s="346" t="str">
        <x:v>Bridge model can sync messages; exact importer U/K</x:v>
      </x:c>
      <x:c r="Y13" s="346" t="str">
        <x:v>No</x:v>
      </x:c>
      <x:c r="Z13" s="346" t="str">
        <x:v>No</x:v>
      </x:c>
      <x:c r="AA13" s="380" t="str">
        <x:v>No</x:v>
      </x:c>
      <x:c r="AB13" s="346" t="str">
        <x:v>No</x:v>
      </x:c>
      <x:c r="AC13" s="346" t="str">
        <x:v>No</x:v>
      </x:c>
      <x:c r="AD13" s="346" t="str">
        <x:v>No history U/K</x:v>
      </x:c>
      <x:c r="AE13" s="346" t="str">
        <x:v>No</x:v>
      </x:c>
    </x:row>
    <x:row r="14" ht="36" customHeight="1">
      <x:c r="A14" s="378" t="str">
        <x:v>Discord Attachment Import</x:v>
      </x:c>
      <x:c r="B14" s="346" t="str">
        <x:v>N/A</x:v>
      </x:c>
      <x:c r="C14" s="346" t="str">
        <x:v>No</x:v>
      </x:c>
      <x:c r="D14" s="346" t="str">
        <x:v>No</x:v>
      </x:c>
      <x:c r="E14" s="346" t="str">
        <x:v>No</x:v>
      </x:c>
      <x:c r="F14" s="346" t="str">
        <x:v>No</x:v>
      </x:c>
      <x:c r="G14" s="346" t="str">
        <x:v>Possible with tooling</x:v>
      </x:c>
      <x:c r="H14" s="346" t="str">
        <x:v>No</x:v>
      </x:c>
      <x:c r="I14" s="346" t="str">
        <x:v>No</x:v>
      </x:c>
      <x:c r="J14" s="346" t="str">
        <x:v>No</x:v>
      </x:c>
      <x:c r="K14" s="346" t="str">
        <x:v>No</x:v>
      </x:c>
      <x:c r="L14" s="346" t="str">
        <x:v>No</x:v>
      </x:c>
      <x:c r="M14" s="346" t="str">
        <x:v>No</x:v>
      </x:c>
      <x:c r="N14" s="346" t="str">
        <x:v>No</x:v>
      </x:c>
      <x:c r="O14" s="346" t="str">
        <x:v>No</x:v>
      </x:c>
      <x:c r="P14" s="346" t="str">
        <x:v>No</x:v>
      </x:c>
      <x:c r="Q14" s="346" t="str">
        <x:v>No</x:v>
      </x:c>
      <x:c r="R14" s="346" t="str">
        <x:v>No</x:v>
      </x:c>
      <x:c r="S14" s="346" t="str">
        <x:v>U/K</x:v>
      </x:c>
      <x:c r="T14" s="346" t="str">
        <x:v>No</x:v>
      </x:c>
      <x:c r="U14" s="346" t="str">
        <x:v>No</x:v>
      </x:c>
      <x:c r="V14" s="346" t="str">
        <x:v>No</x:v>
      </x:c>
      <x:c r="W14" s="346" t="str">
        <x:v>U/K</x:v>
      </x:c>
      <x:c r="X14" s="346" t="str">
        <x:v>U/K</x:v>
      </x:c>
      <x:c r="Y14" s="346" t="str">
        <x:v>No</x:v>
      </x:c>
      <x:c r="Z14" s="346" t="str">
        <x:v>No</x:v>
      </x:c>
      <x:c r="AA14" s="380" t="str">
        <x:v>No</x:v>
      </x:c>
      <x:c r="AB14" s="346" t="str">
        <x:v>No</x:v>
      </x:c>
      <x:c r="AC14" s="346" t="str">
        <x:v>No</x:v>
      </x:c>
      <x:c r="AD14" s="346" t="str">
        <x:v>U/K</x:v>
      </x:c>
      <x:c r="AE14" s="346" t="str">
        <x:v>No</x:v>
      </x:c>
    </x:row>
    <x:row r="15" ht="36" customHeight="1">
      <x:c r="A15" s="378" t="str">
        <x:v>Account Portability</x:v>
      </x:c>
      <x:c r="B15" s="346" t="str">
        <x:v>No</x:v>
      </x:c>
      <x:c r="C15" s="346" t="str">
        <x:v>No</x:v>
      </x:c>
      <x:c r="D15" s="346" t="str">
        <x:v>No</x:v>
      </x:c>
      <x:c r="E15" s="346" t="str">
        <x:v>No</x:v>
      </x:c>
      <x:c r="F15" s="346" t="str">
        <x:v>No</x:v>
      </x:c>
      <x:c r="G15" s="346" t="str">
        <x:v>Partial - ID is homeserver-scoped; migration is not universally seamless</x:v>
      </x:c>
      <x:c r="H15" s="346" t="str">
        <x:v>No</x:v>
      </x:c>
      <x:c r="I15" s="346" t="str">
        <x:v>Certificates/bookmarks manually portable</x:v>
      </x:c>
      <x:c r="J15" s="346" t="str">
        <x:v>Limited</x:v>
      </x:c>
      <x:c r="K15" s="346" t="str">
        <x:v>No cross-server account portability</x:v>
      </x:c>
      <x:c r="L15" s="346" t="str">
        <x:v>No</x:v>
      </x:c>
      <x:c r="M15" s="346" t="str">
        <x:v>Limited</x:v>
      </x:c>
      <x:c r="N15" s="346" t="str">
        <x:v>Limited</x:v>
      </x:c>
      <x:c r="O15" s="346" t="str">
        <x:v>No</x:v>
      </x:c>
      <x:c r="P15" s="346" t="str">
        <x:v>No</x:v>
      </x:c>
      <x:c r="Q15" s="346" t="str">
        <x:v>U/K</x:v>
      </x:c>
      <x:c r="R15" s="346" t="str">
        <x:v>Planned</x:v>
      </x:c>
      <x:c r="S15" s="346" t="str">
        <x:v>No</x:v>
      </x:c>
      <x:c r="T15" s="346" t="str">
        <x:v>No</x:v>
      </x:c>
      <x:c r="U15" s="346" t="str">
        <x:v>Server/operator migration</x:v>
      </x:c>
      <x:c r="V15" s="346" t="str">
        <x:v>Planned</x:v>
      </x:c>
      <x:c r="W15" s="346" t="str">
        <x:v>ATProto identity</x:v>
      </x:c>
      <x:c r="X15" s="346" t="str">
        <x:v>Yes - keypair identity</x:v>
      </x:c>
      <x:c r="Y15" s="346" t="str">
        <x:v>Yes - identity key portable</x:v>
      </x:c>
      <x:c r="Z15" s="346" t="str">
        <x:v>Yes</x:v>
      </x:c>
      <x:c r="AA15" s="380" t="str">
        <x:v>No</x:v>
      </x:c>
      <x:c r="AB15" s="346" t="str">
        <x:v>Export/self-host</x:v>
      </x:c>
      <x:c r="AC15" s="346" t="str">
        <x:v>No</x:v>
      </x:c>
      <x:c r="AD15" s="346" t="str">
        <x:v>Community data/node migration</x:v>
      </x:c>
      <x:c r="AE15" s="346" t="str">
        <x:v>No</x:v>
      </x:c>
    </x:row>
    <x:row r="16" ht="36" customHeight="1">
      <x:c r="A16" s="378" t="str">
        <x:v>Discord Webhook Compatibility</x:v>
      </x:c>
      <x:c r="B16" s="346" t="str">
        <x:v>N/A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Discord-compatible ecosystem / 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Yes - accepts Discord webhook format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>
      <x:c r="A17" s="24"/>
      <x:c r="B17" s="24"/>
      <x:c r="C17" s="24"/>
      <x:c r="D17" s="24"/>
      <x:c r="E17" s="24"/>
      <x:c r="F17" s="24"/>
      <x:c r="G17" s="24"/>
      <x:c r="H17" s="24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 s="24"/>
      <x:c r="H18" s="24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 s="24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 s="24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9">
    <x:cfRule type="expression" dxfId="44" priority="1">
      <x:formula>ISNUMBER(SEARCH("U/K",B3))</x:formula>
    </x:cfRule>
    <x:cfRule type="expression" dxfId="45" priority="2">
      <x:formula>OR(B3="N/A",LEFT(B3,4)="N/A ")</x:formula>
    </x:cfRule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Interop &amp; Portability Details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f>'At a Glance'!$B$2</x:f>
        <x:v>Discord</x:v>
      </x:c>
      <x:c r="C2" s="420" t="str">
        <x:f>'At a Glance'!$C$2</x:f>
        <x:v>Stoat</x:v>
      </x:c>
      <x:c r="D2" s="420" t="str">
        <x:f>'At a Glance'!$D$2</x:f>
        <x:v>Fenrid</x:v>
      </x:c>
      <x:c r="E2" s="420" t="str">
        <x:f>'At a Glance'!$E$2</x:f>
        <x:v>Fluxer</x:v>
      </x:c>
      <x:c r="F2" s="420" t="str">
        <x:f>'At a Glance'!$F$2</x:f>
        <x:v>Root</x:v>
      </x:c>
      <x:c r="G2" s="420" t="str">
        <x:f>'At a Glance'!$G$2</x:f>
        <x:v>Matrix</x:v>
      </x:c>
      <x:c r="H2" s="420" t="str">
        <x:f>'At a Glance'!$H$2</x:f>
        <x:v>Spacebar</x:v>
      </x:c>
      <x:c r="I2" s="420" t="str">
        <x:f>'At a Glance'!$I$2</x:f>
        <x:v>Mumble</x:v>
      </x:c>
      <x:c r="J2" s="420" t="str">
        <x:f>'At a Glance'!$J$2</x:f>
        <x:v>TeamSpeak</x:v>
      </x:c>
      <x:c r="K2" s="420" t="str">
        <x:f>'At a Glance'!$K$2</x:f>
        <x:v>Zulip</x:v>
      </x:c>
      <x:c r="L2" s="420" t="str">
        <x:f>'At a Glance'!$L$2</x:f>
        <x:v>Mattermost</x:v>
      </x:c>
      <x:c r="M2" s="420" t="str">
        <x:f>'At a Glance'!$M$2</x:f>
        <x:v>Rocket.Chat</x:v>
      </x:c>
      <x:c r="N2" s="420" t="str">
        <x:f>'At a Glance'!$N$2</x:f>
        <x:v>GameVox</x:v>
      </x:c>
      <x:c r="O2" s="420" t="str">
        <x:f>'At a Glance'!$O$2</x:f>
        <x:v>Nerimity</x:v>
      </x:c>
      <x:c r="P2" s="420" t="str">
        <x:f>'At a Glance'!$P$2</x:f>
        <x:v>Osmium</x:v>
      </x:c>
      <x:c r="Q2" s="420" t="str">
        <x:f>'At a Glance'!$Q$2</x:f>
        <x:v>Loqa</x:v>
      </x:c>
      <x:c r="R2" s="420" t="str">
        <x:f>'At a Glance'!$R$2</x:f>
        <x:v>Venta</x:v>
      </x:c>
      <x:c r="S2" s="420" t="str">
        <x:f>'At a Glance'!$S$2</x:f>
        <x:v>Mezon</x:v>
      </x:c>
      <x:c r="T2" s="420" t="str">
        <x:f>'At a Glance'!$T$2</x:f>
        <x:v>Kloak</x:v>
      </x:c>
      <x:c r="U2" s="420" t="str">
        <x:f>'At a Glance'!$U$2</x:f>
        <x:v>Yapper</x:v>
      </x:c>
      <x:c r="V2" s="420" t="str">
        <x:f>'At a Glance'!$V$2</x:f>
        <x:v>Harmony</x:v>
      </x:c>
      <x:c r="W2" s="420" t="str">
        <x:f>'At a Glance'!$W$2</x:f>
        <x:v>Roomy</x:v>
      </x:c>
      <x:c r="X2" s="420" t="str">
        <x:f>'At a Glance'!$X$2</x:f>
        <x:v>Armada</x:v>
      </x:c>
      <x:c r="Y2" s="420" t="str">
        <x:f>'At a Glance'!$Y$2</x:f>
        <x:v>Hollow</x:v>
      </x:c>
      <x:c r="Z2" s="420" t="str">
        <x:f>'At a Glance'!$Z$2</x:f>
        <x:v>DCTS</x:v>
      </x:c>
      <x:c r="AA2" s="421" t="str">
        <x:f>'At a Glance'!$AA$2</x:f>
        <x:v>Rift</x:v>
      </x:c>
      <x:c r="AB2" s="420" t="str">
        <x:f>'At a Glance'!$AB$2</x:f>
        <x:v>pqp.gg</x:v>
      </x:c>
      <x:c r="AC2" s="420" t="str">
        <x:f>'At a Glance'!$AC$2</x:f>
        <x:v>Echon</x:v>
      </x:c>
      <x:c r="AD2" s="420" t="str">
        <x:f>'At a Glance'!$AD$2</x:f>
        <x:v>Valour</x:v>
      </x:c>
      <x:c r="AE2" s="420" t="str">
        <x:f>'At a Glance'!$AE$2</x:f>
        <x:v>Weered</x:v>
      </x:c>
    </x:row>
    <x:row r="3" ht="36" customHeight="1">
      <x:c r="A3" s="359" t="str">
        <x:v>Discord Server Template Import</x:v>
      </x:c>
      <x:c r="B3" s="346" t="str">
        <x:v>N/A</x:v>
      </x:c>
      <x:c r="C3" s="346" t="str">
        <x:v>No verified</x:v>
      </x:c>
      <x:c r="D3" s="346" t="str">
        <x:v>Planned/advertised</x:v>
      </x:c>
      <x:c r="E3" s="346" t="str">
        <x:v>No full importer verified</x:v>
      </x:c>
      <x:c r="F3" s="346" t="str">
        <x:v>Yes</x:v>
      </x:c>
      <x:c r="G3" s="346" t="str">
        <x:v>Third-party/tool-dependent</x:v>
      </x:c>
      <x:c r="H3" s="346" t="str">
        <x:v>No - API compatibility approach instead</x:v>
      </x:c>
      <x:c r="I3" s="346" t="str">
        <x:v>No</x:v>
      </x:c>
      <x:c r="J3" s="346" t="str">
        <x:v>No</x:v>
      </x:c>
      <x:c r="K3" s="346" t="str">
        <x:v>No</x:v>
      </x:c>
      <x:c r="L3" s="346" t="str">
        <x:v>No</x:v>
      </x:c>
      <x:c r="M3" s="346" t="str">
        <x:v>No verified</x:v>
      </x:c>
      <x:c r="N3" s="346" t="str">
        <x:v>Yes</x:v>
      </x:c>
      <x:c r="O3" s="346" t="str">
        <x:v>No</x:v>
      </x:c>
      <x:c r="P3" s="346" t="str">
        <x:v>Template/import tools reported</x:v>
      </x:c>
      <x:c r="Q3" s="346" t="str">
        <x:v>Yes</x:v>
      </x:c>
      <x:c r="R3" s="346" t="str">
        <x:v>No</x:v>
      </x:c>
      <x:c r="S3" s="346" t="str">
        <x:v>U/K</x:v>
      </x:c>
      <x:c r="T3" s="346" t="str">
        <x:v>No</x:v>
      </x:c>
      <x:c r="U3" s="346" t="str">
        <x:v>No</x:v>
      </x:c>
      <x:c r="V3" s="346" t="str">
        <x:v>No</x:v>
      </x:c>
      <x:c r="W3" s="346" t="str">
        <x:v>Bridge-based rather than template importer</x:v>
      </x:c>
      <x:c r="X3" s="346" t="str">
        <x:v>Bridge/copy support reported</x:v>
      </x:c>
      <x:c r="Y3" s="346" t="str">
        <x:v>No</x:v>
      </x:c>
      <x:c r="Z3" s="346" t="str">
        <x:v>No</x:v>
      </x:c>
      <x:c r="AA3" s="380" t="str">
        <x:v>Yes - previewed structure import</x:v>
      </x:c>
      <x:c r="AB3" s="346" t="str">
        <x:v>Yes - template</x:v>
      </x:c>
      <x:c r="AC3" s="346" t="str">
        <x:v>No</x:v>
      </x:c>
      <x:c r="AD3" s="346" t="str">
        <x:v>Yes</x:v>
      </x:c>
      <x:c r="AE3" s="346" t="str">
        <x:v>No</x:v>
      </x:c>
    </x:row>
    <x:row r="4" ht="36" customHeight="1">
      <x:c r="A4" s="359" t="str">
        <x:v>Discord Channels Import</x:v>
      </x:c>
      <x:c r="B4" s="346" t="str">
        <x:v>N/A</x:v>
      </x:c>
      <x:c r="C4" s="346" t="str">
        <x:v>No verified</x:v>
      </x:c>
      <x:c r="D4" s="346" t="str">
        <x:v>Planned/advertised</x:v>
      </x:c>
      <x:c r="E4" s="346" t="str">
        <x:v>No full importer verified</x:v>
      </x:c>
      <x:c r="F4" s="346" t="str">
        <x:v>Yes</x:v>
      </x:c>
      <x:c r="G4" s="346" t="str">
        <x:v>Tool-dependent</x:v>
      </x:c>
      <x:c r="H4" s="346" t="str">
        <x:v>N/A/compatibility</x:v>
      </x:c>
      <x:c r="I4" s="346" t="str">
        <x:v>No</x:v>
      </x:c>
      <x:c r="J4" s="346" t="str">
        <x:v>No</x:v>
      </x:c>
      <x:c r="K4" s="346" t="str">
        <x:v>No</x:v>
      </x:c>
      <x:c r="L4" s="346" t="str">
        <x:v>No</x:v>
      </x:c>
      <x:c r="M4" s="346" t="str">
        <x:v>No verified</x:v>
      </x:c>
      <x:c r="N4" s="346" t="str">
        <x:v>Yes</x:v>
      </x:c>
      <x:c r="O4" s="346" t="str">
        <x:v>No</x:v>
      </x:c>
      <x:c r="P4" s="346" t="str">
        <x:v>U/K</x:v>
      </x:c>
      <x:c r="Q4" s="346" t="str">
        <x:v>Yes</x:v>
      </x:c>
      <x:c r="R4" s="346" t="str">
        <x:v>No</x:v>
      </x:c>
      <x:c r="S4" s="346" t="str">
        <x:v>U/K</x:v>
      </x:c>
      <x:c r="T4" s="346" t="str">
        <x:v>No</x:v>
      </x:c>
      <x:c r="U4" s="346" t="str">
        <x:v>No</x:v>
      </x:c>
      <x:c r="V4" s="346" t="str">
        <x:v>No</x:v>
      </x:c>
      <x:c r="W4" s="346" t="str">
        <x:v>U/K</x:v>
      </x:c>
      <x:c r="X4" s="346" t="str">
        <x:v>U/K</x:v>
      </x:c>
      <x:c r="Y4" s="346" t="str">
        <x:v>No</x:v>
      </x:c>
      <x:c r="Z4" s="346" t="str">
        <x:v>No</x:v>
      </x:c>
      <x:c r="AA4" s="380" t="str">
        <x:v>Yes - via template structure import</x:v>
      </x:c>
      <x:c r="AB4" s="346" t="str">
        <x:v>Yes</x:v>
      </x:c>
      <x:c r="AC4" s="346" t="str">
        <x:v>No</x:v>
      </x:c>
      <x:c r="AD4" s="346" t="str">
        <x:v>Yes/U/K</x:v>
      </x:c>
      <x:c r="AE4" s="346" t="str">
        <x:v>No</x:v>
      </x:c>
    </x:row>
    <x:row r="5" ht="36" customHeight="1">
      <x:c r="A5" s="359" t="str">
        <x:v>Discord Roles Import</x:v>
      </x:c>
      <x:c r="B5" s="346" t="str">
        <x:v>N/A</x:v>
      </x:c>
      <x:c r="C5" s="346" t="str">
        <x:v>No verified</x:v>
      </x:c>
      <x:c r="D5" s="346" t="str">
        <x:v>Planned/advertised</x:v>
      </x:c>
      <x:c r="E5" s="346" t="str">
        <x:v>No full importer verified</x:v>
      </x:c>
      <x:c r="F5" s="346" t="str">
        <x:v>Yes</x:v>
      </x:c>
      <x:c r="G5" s="346" t="str">
        <x:v>Tool-dependent</x:v>
      </x:c>
      <x:c r="H5" s="346" t="str">
        <x:v>N/A/compatibility</x:v>
      </x:c>
      <x:c r="I5" s="346" t="str">
        <x:v>No</x:v>
      </x:c>
      <x:c r="J5" s="346" t="str">
        <x:v>No</x:v>
      </x:c>
      <x:c r="K5" s="346" t="str">
        <x:v>No</x:v>
      </x:c>
      <x:c r="L5" s="346" t="str">
        <x:v>No</x:v>
      </x:c>
      <x:c r="M5" s="346" t="str">
        <x:v>No verified</x:v>
      </x:c>
      <x:c r="N5" s="346" t="str">
        <x:v>Yes</x:v>
      </x:c>
      <x:c r="O5" s="346" t="str">
        <x:v>No</x:v>
      </x:c>
      <x:c r="P5" s="346" t="str">
        <x:v>U/K</x:v>
      </x:c>
      <x:c r="Q5" s="346" t="str">
        <x:v>Yes</x:v>
      </x:c>
      <x:c r="R5" s="346" t="str">
        <x:v>No</x:v>
      </x:c>
      <x:c r="S5" s="346" t="str">
        <x:v>U/K</x:v>
      </x:c>
      <x:c r="T5" s="346" t="str">
        <x:v>No</x:v>
      </x:c>
      <x:c r="U5" s="346" t="str">
        <x:v>No</x:v>
      </x:c>
      <x:c r="V5" s="346" t="str">
        <x:v>No</x:v>
      </x:c>
      <x:c r="W5" s="346" t="str">
        <x:v>U/K</x:v>
      </x:c>
      <x:c r="X5" s="346" t="str">
        <x:v>U/K</x:v>
      </x:c>
      <x:c r="Y5" s="346" t="str">
        <x:v>No</x:v>
      </x:c>
      <x:c r="Z5" s="346" t="str">
        <x:v>No</x:v>
      </x:c>
      <x:c r="AA5" s="380" t="str">
        <x:v>Yes - roles, colors, order</x:v>
      </x:c>
      <x:c r="AB5" s="346" t="str">
        <x:v>Yes/main roles</x:v>
      </x:c>
      <x:c r="AC5" s="346" t="str">
        <x:v>No</x:v>
      </x:c>
      <x:c r="AD5" s="346" t="str">
        <x:v>Yes/U/K</x:v>
      </x:c>
      <x:c r="AE5" s="346" t="str">
        <x:v>No</x:v>
      </x:c>
    </x:row>
    <x:row r="6" ht="36" customHeight="1">
      <x:c r="A6" s="359" t="str">
        <x:v>Discord Permission Import</x:v>
      </x:c>
      <x:c r="B6" s="346" t="str">
        <x:v>N/A</x:v>
      </x:c>
      <x:c r="C6" s="346" t="str">
        <x:v>No verified</x:v>
      </x:c>
      <x:c r="D6" s="346" t="str">
        <x:v>Planned/advertised</x:v>
      </x:c>
      <x:c r="E6" s="346" t="str">
        <x:v>No full importer verified</x:v>
      </x:c>
      <x:c r="F6" s="346" t="str">
        <x:v>Yes</x:v>
      </x:c>
      <x:c r="G6" s="346" t="str">
        <x:v>Tool-dependent</x:v>
      </x:c>
      <x:c r="H6" s="346" t="str">
        <x:v>N/A/compatibility</x:v>
      </x:c>
      <x:c r="I6" s="346" t="str">
        <x:v>No</x:v>
      </x:c>
      <x:c r="J6" s="346" t="str">
        <x:v>No</x:v>
      </x:c>
      <x:c r="K6" s="346" t="str">
        <x:v>No</x:v>
      </x:c>
      <x:c r="L6" s="346" t="str">
        <x:v>No</x:v>
      </x:c>
      <x:c r="M6" s="346" t="str">
        <x:v>No verified</x:v>
      </x:c>
      <x:c r="N6" s="346" t="str">
        <x:v>Yes</x:v>
      </x:c>
      <x:c r="O6" s="346" t="str">
        <x:v>No</x:v>
      </x:c>
      <x:c r="P6" s="346" t="str">
        <x:v>U/K</x:v>
      </x:c>
      <x:c r="Q6" s="346" t="str">
        <x:v>Yes</x:v>
      </x:c>
      <x:c r="R6" s="346" t="str">
        <x:v>No</x:v>
      </x:c>
      <x:c r="S6" s="346" t="str">
        <x:v>U/K</x:v>
      </x:c>
      <x:c r="T6" s="346" t="str">
        <x:v>No</x:v>
      </x:c>
      <x:c r="U6" s="346" t="str">
        <x:v>No</x:v>
      </x:c>
      <x:c r="V6" s="346" t="str">
        <x:v>No</x:v>
      </x:c>
      <x:c r="W6" s="346" t="str">
        <x:v>U/K</x:v>
      </x:c>
      <x:c r="X6" s="346" t="str">
        <x:v>U/K</x:v>
      </x:c>
      <x:c r="Y6" s="346" t="str">
        <x:v>No</x:v>
      </x:c>
      <x:c r="Z6" s="346" t="str">
        <x:v>No</x:v>
      </x:c>
      <x:c r="AA6" s="380" t="str">
        <x:v>Yes - rules with Rift equivalents</x:v>
      </x:c>
      <x:c r="AB6" s="346" t="str">
        <x:v>Yes/main permissions</x:v>
      </x:c>
      <x:c r="AC6" s="346" t="str">
        <x:v>No</x:v>
      </x:c>
      <x:c r="AD6" s="346" t="str">
        <x:v>Yes/U/K</x:v>
      </x:c>
      <x:c r="AE6" s="346" t="str">
        <x:v>No</x:v>
      </x:c>
    </x:row>
    <x:row r="7" ht="36" customHeight="1">
      <x:c r="A7" s="359" t="str">
        <x:v>Discord Emoji / Sticker Import</x:v>
      </x:c>
      <x:c r="B7" s="346" t="str">
        <x:v>N/A</x:v>
      </x:c>
      <x:c r="C7" s="346" t="str">
        <x:v>No verified</x:v>
      </x:c>
      <x:c r="D7" s="346" t="str">
        <x:v>U/K</x:v>
      </x:c>
      <x:c r="E7" s="346" t="str">
        <x:v>No</x:v>
      </x:c>
      <x:c r="F7" s="346" t="str">
        <x:v>No</x:v>
      </x:c>
      <x:c r="G7" s="346" t="str">
        <x:v>Tool-dependent</x:v>
      </x:c>
      <x:c r="H7" s="346" t="str">
        <x:v>N/A/compatibility</x:v>
      </x:c>
      <x:c r="I7" s="346" t="str">
        <x:v>No</x:v>
      </x:c>
      <x:c r="J7" s="346" t="str">
        <x:v>No</x:v>
      </x:c>
      <x:c r="K7" s="346" t="str">
        <x:v>No</x:v>
      </x:c>
      <x:c r="L7" s="346" t="str">
        <x:v>No</x:v>
      </x:c>
      <x:c r="M7" s="346" t="str">
        <x:v>No</x:v>
      </x:c>
      <x:c r="N7" s="346" t="str">
        <x:v>Yes</x:v>
      </x:c>
      <x:c r="O7" s="346" t="str">
        <x:v>No</x:v>
      </x:c>
      <x:c r="P7" s="346" t="str">
        <x:v>U/K</x:v>
      </x:c>
      <x:c r="Q7" s="346" t="str">
        <x:v>Yes</x:v>
      </x:c>
      <x:c r="R7" s="346" t="str">
        <x:v>No</x:v>
      </x:c>
      <x:c r="S7" s="346" t="str">
        <x:v>U/K</x:v>
      </x:c>
      <x:c r="T7" s="346" t="str">
        <x:v>No</x:v>
      </x:c>
      <x:c r="U7" s="346" t="str">
        <x:v>No</x:v>
      </x:c>
      <x:c r="V7" s="346" t="str">
        <x:v>No</x:v>
      </x:c>
      <x:c r="W7" s="346" t="str">
        <x:v>U/K</x:v>
      </x:c>
      <x:c r="X7" s="346" t="str">
        <x:v>U/K</x:v>
      </x:c>
      <x:c r="Y7" s="346" t="str">
        <x:v>No</x:v>
      </x:c>
      <x:c r="Z7" s="346" t="str">
        <x:v>No</x:v>
      </x:c>
      <x:c r="AA7" s="380" t="str">
        <x:v>No / not documented</x:v>
      </x:c>
      <x:c r="AB7" s="346" t="str">
        <x:v>U/K</x:v>
      </x:c>
      <x:c r="AC7" s="346" t="str">
        <x:v>No</x:v>
      </x:c>
      <x:c r="AD7" s="346" t="str">
        <x:v>Emoji/assets U/K</x:v>
      </x:c>
      <x:c r="AE7" s="346" t="str">
        <x:v>No</x:v>
      </x:c>
    </x:row>
    <x:row r="8" ht="36" customHeight="1">
      <x:c r="A8" s="359" t="str">
        <x:v>Discord Message History Import</x:v>
      </x:c>
      <x:c r="B8" s="346" t="str">
        <x:v>N/A</x:v>
      </x:c>
      <x:c r="C8" s="346" t="str">
        <x:v>No</x:v>
      </x:c>
      <x:c r="D8" s="346" t="str">
        <x:v>No</x:v>
      </x:c>
      <x:c r="E8" s="346" t="str">
        <x:v>No</x:v>
      </x:c>
      <x:c r="F8" s="346" t="str">
        <x:v>No</x:v>
      </x:c>
      <x:c r="G8" s="346" t="str">
        <x:v>Possible with bridge/import tooling</x:v>
      </x:c>
      <x:c r="H8" s="346" t="str">
        <x:v>No</x:v>
      </x:c>
      <x:c r="I8" s="346" t="str">
        <x:v>No</x:v>
      </x:c>
      <x:c r="J8" s="346" t="str">
        <x:v>No</x:v>
      </x:c>
      <x:c r="K8" s="346" t="str">
        <x:v>No</x:v>
      </x:c>
      <x:c r="L8" s="346" t="str">
        <x:v>No</x:v>
      </x:c>
      <x:c r="M8" s="346" t="str">
        <x:v>No</x:v>
      </x:c>
      <x:c r="N8" s="346" t="str">
        <x:v>No</x:v>
      </x:c>
      <x:c r="O8" s="346" t="str">
        <x:v>No</x:v>
      </x:c>
      <x:c r="P8" s="346" t="str">
        <x:v>No</x:v>
      </x:c>
      <x:c r="Q8" s="346" t="str">
        <x:v>No</x:v>
      </x:c>
      <x:c r="R8" s="346" t="str">
        <x:v>No</x:v>
      </x:c>
      <x:c r="S8" s="346" t="str">
        <x:v>U/K</x:v>
      </x:c>
      <x:c r="T8" s="346" t="str">
        <x:v>No</x:v>
      </x:c>
      <x:c r="U8" s="346" t="str">
        <x:v>No</x:v>
      </x:c>
      <x:c r="V8" s="346" t="str">
        <x:v>No</x:v>
      </x:c>
      <x:c r="W8" s="346" t="str">
        <x:v>U/K</x:v>
      </x:c>
      <x:c r="X8" s="346" t="str">
        <x:v>Bridge model can sync messages; exact importer U/K</x:v>
      </x:c>
      <x:c r="Y8" s="346" t="str">
        <x:v>No</x:v>
      </x:c>
      <x:c r="Z8" s="346" t="str">
        <x:v>No</x:v>
      </x:c>
      <x:c r="AA8" s="380" t="str">
        <x:v>No</x:v>
      </x:c>
      <x:c r="AB8" s="346" t="str">
        <x:v>No</x:v>
      </x:c>
      <x:c r="AC8" s="346" t="str">
        <x:v>No</x:v>
      </x:c>
      <x:c r="AD8" s="346" t="str">
        <x:v>No history U/K</x:v>
      </x:c>
      <x:c r="AE8" s="346" t="str">
        <x:v>No</x:v>
      </x:c>
    </x:row>
    <x:row r="9" ht="36" customHeight="1">
      <x:c r="A9" s="359" t="str">
        <x:v>Discord Attachment Import</x:v>
      </x:c>
      <x:c r="B9" s="346" t="str">
        <x:v>N/A</x:v>
      </x:c>
      <x:c r="C9" s="346" t="str">
        <x:v>No</x:v>
      </x:c>
      <x:c r="D9" s="346" t="str">
        <x:v>No</x:v>
      </x:c>
      <x:c r="E9" s="346" t="str">
        <x:v>No</x:v>
      </x:c>
      <x:c r="F9" s="346" t="str">
        <x:v>No</x:v>
      </x:c>
      <x:c r="G9" s="346" t="str">
        <x:v>Possible with tooling</x:v>
      </x:c>
      <x:c r="H9" s="346" t="str">
        <x:v>No</x:v>
      </x:c>
      <x:c r="I9" s="346" t="str">
        <x:v>No</x:v>
      </x:c>
      <x:c r="J9" s="346" t="str">
        <x:v>No</x:v>
      </x:c>
      <x:c r="K9" s="346" t="str">
        <x:v>No</x:v>
      </x:c>
      <x:c r="L9" s="346" t="str">
        <x:v>No</x:v>
      </x:c>
      <x:c r="M9" s="346" t="str">
        <x:v>No</x:v>
      </x:c>
      <x:c r="N9" s="346" t="str">
        <x:v>No</x:v>
      </x:c>
      <x:c r="O9" s="346" t="str">
        <x:v>No</x:v>
      </x:c>
      <x:c r="P9" s="346" t="str">
        <x:v>No</x:v>
      </x:c>
      <x:c r="Q9" s="346" t="str">
        <x:v>No</x:v>
      </x:c>
      <x:c r="R9" s="346" t="str">
        <x:v>No</x:v>
      </x:c>
      <x:c r="S9" s="346" t="str">
        <x:v>U/K</x:v>
      </x:c>
      <x:c r="T9" s="346" t="str">
        <x:v>No</x:v>
      </x:c>
      <x:c r="U9" s="346" t="str">
        <x:v>No</x:v>
      </x:c>
      <x:c r="V9" s="346" t="str">
        <x:v>No</x:v>
      </x:c>
      <x:c r="W9" s="346" t="str">
        <x:v>U/K</x:v>
      </x:c>
      <x:c r="X9" s="346" t="str">
        <x:v>U/K</x:v>
      </x:c>
      <x:c r="Y9" s="346" t="str">
        <x:v>No</x:v>
      </x:c>
      <x:c r="Z9" s="346" t="str">
        <x:v>No</x:v>
      </x:c>
      <x:c r="AA9" s="380" t="str">
        <x:v>No</x:v>
      </x:c>
      <x:c r="AB9" s="346" t="str">
        <x:v>No</x:v>
      </x:c>
      <x:c r="AC9" s="346" t="str">
        <x:v>No</x:v>
      </x:c>
      <x:c r="AD9" s="346" t="str">
        <x:v>U/K</x:v>
      </x:c>
      <x:c r="AE9" s="346" t="str">
        <x:v>No</x:v>
      </x:c>
    </x:row>
    <x:row r="10" ht="36" customHeight="1">
      <x:c r="A10" s="359" t="str">
        <x:v>User Data Export</x:v>
      </x:c>
      <x:c r="B10" s="346" t="str">
        <x:v>Yes</x:v>
      </x:c>
      <x:c r="C10" s="346" t="str">
        <x:v>U/K</x:v>
      </x:c>
      <x:c r="D10" s="346" t="str">
        <x:v>U/K</x:v>
      </x:c>
      <x:c r="E10" s="346" t="str">
        <x:v>Yes</x:v>
      </x:c>
      <x:c r="F10" s="346" t="str">
        <x:v>U/K</x:v>
      </x:c>
      <x:c r="G10" s="346" t="str">
        <x:v>Client/homeserver-dependent</x:v>
      </x:c>
      <x:c r="H10" s="346" t="str">
        <x:v>Operator-defined/U/K</x:v>
      </x:c>
      <x:c r="I10" s="346" t="str">
        <x:v>Server logs/config only</x:v>
      </x:c>
      <x:c r="J10" s="346" t="str">
        <x:v>Server backup/export tools; user export U/K</x:v>
      </x:c>
      <x:c r="K10" s="346" t="str">
        <x:v>Yes</x:v>
      </x:c>
      <x:c r="L10" s="346" t="str">
        <x:v>Yes - admin/bulk export</x:v>
      </x:c>
      <x:c r="M10" s="346" t="str">
        <x:v>Yes/admin tools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Export coming soon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Operator-controlled</x:v>
      </x:c>
      <x:c r="V10" s="346" t="str">
        <x:v>Operator-defined</x:v>
      </x:c>
      <x:c r="W10" s="346" t="str">
        <x:v>ATProto data portability</x:v>
      </x:c>
      <x:c r="X10" s="346" t="str">
        <x:v>Nostr events/keys are portable</x:v>
      </x:c>
      <x:c r="Y10" s="346" t="str">
        <x:v>Yes - local archive export/import</x:v>
      </x:c>
      <x:c r="Z10" s="346" t="str">
        <x:v>Yes - account export/import</x:v>
      </x:c>
      <x:c r="AA10" s="380" t="str">
        <x:v>U/K</x:v>
      </x:c>
      <x:c r="AB10" s="346" t="str">
        <x:v>Yes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9" t="str">
        <x:v>Export Format</x:v>
      </x:c>
      <x:c r="B11" s="346" t="str">
        <x:v>ZIP / JSON-heavy Data Package</x:v>
      </x:c>
      <x:c r="C11" s="346" t="str">
        <x:v>U/K</x:v>
      </x:c>
      <x:c r="D11" s="346" t="str">
        <x:v>U/K</x:v>
      </x:c>
      <x:c r="E11" s="346" t="str">
        <x:v>Service export format U/K</x:v>
      </x:c>
      <x:c r="F11" s="346" t="str">
        <x:v>U/K</x:v>
      </x:c>
      <x:c r="G11" s="346" t="str">
        <x:v>Client/provider-dependent</x:v>
      </x:c>
      <x:c r="H11" s="346" t="str">
        <x:v>U/K</x:v>
      </x:c>
      <x:c r="I11" s="346" t="str">
        <x:v>N/A</x:v>
      </x:c>
      <x:c r="J11" s="346" t="str">
        <x:v>U/K</x:v>
      </x:c>
      <x:c r="K11" s="346" t="str">
        <x:v>Zulip export archives</x:v>
      </x:c>
      <x:c r="L11" s="346" t="str">
        <x:v>Bulk/export formats</x:v>
      </x:c>
      <x:c r="M11" s="346" t="str">
        <x:v>Export/backup deployment-dependent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ATProto records</x:v>
      </x:c>
      <x:c r="X11" s="346" t="str">
        <x:v>Nostr events</x:v>
      </x:c>
      <x:c r="Y11" s="346" t="str">
        <x:v>Encrypted .hollow/local formats</x:v>
      </x:c>
      <x:c r="Z11" s="346" t="str">
        <x:v>DCTS export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9" t="str">
        <x:v>Attachment Export</x:v>
      </x:c>
      <x:c r="B12" s="346" t="str">
        <x:v>Yes in data package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Client/provider-dependent</x:v>
      </x:c>
      <x:c r="H12" s="346" t="str">
        <x:v>U/K</x:v>
      </x:c>
      <x:c r="I12" s="346" t="str">
        <x:v>N/A</x:v>
      </x:c>
      <x:c r="J12" s="346" t="str">
        <x:v>U/K</x:v>
      </x:c>
      <x:c r="K12" s="346" t="str">
        <x:v>Yes/admin export</x:v>
      </x:c>
      <x:c r="L12" s="346" t="str">
        <x:v>Yes/admin backup/export</x:v>
      </x:c>
      <x:c r="M12" s="346" t="str">
        <x:v>Yes/admin backup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Export coming soon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Operator-controlled</x:v>
      </x:c>
      <x:c r="V12" s="346" t="str">
        <x:v>U/K</x:v>
      </x:c>
      <x:c r="W12" s="346" t="str">
        <x:v>U/K</x:v>
      </x:c>
      <x:c r="X12" s="346" t="str">
        <x:v>Relay dependent</x:v>
      </x:c>
      <x:c r="Y12" s="346" t="str">
        <x:v>Yes/local</x:v>
      </x:c>
      <x:c r="Z12" s="346" t="str">
        <x:v>U/K</x:v>
      </x:c>
      <x:c r="AA12" s="380" t="str">
        <x:v>U/K</x:v>
      </x:c>
      <x:c r="AB12" s="346" t="str">
        <x:v>Yes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9" t="str">
        <x:v>Native Bridge / Appservice Framework</x:v>
      </x:c>
      <x:c r="B13" s="346" t="str">
        <x:v>No general bridge framework</x:v>
      </x:c>
      <x:c r="C13" s="346" t="str">
        <x:v>No native appservice framework</x:v>
      </x:c>
      <x:c r="D13" s="346" t="str">
        <x:v>No public framework yet</x:v>
      </x:c>
      <x:c r="E13" s="346" t="str">
        <x:v>No federation bridge framework yet</x:v>
      </x:c>
      <x:c r="F13" s="346" t="str">
        <x:v>Apps/Bots can integrate external services</x:v>
      </x:c>
      <x:c r="G13" s="346" t="str">
        <x:v>Yes - Application Services/bridges are core ecosystem pattern</x:v>
      </x:c>
      <x:c r="H13" s="346" t="str">
        <x:v>Discord-compatible bot/client ecosystem rather than bridges</x:v>
      </x:c>
      <x:c r="I13" s="346" t="str">
        <x:v>No</x:v>
      </x:c>
      <x:c r="J13" s="346" t="str">
        <x:v>No general bridge framework</x:v>
      </x:c>
      <x:c r="K13" s="346" t="str">
        <x:v>Integrations/bots/webhooks</x:v>
      </x:c>
      <x:c r="L13" s="346" t="str">
        <x:v>Plugins/webhooks/integrations</x:v>
      </x:c>
      <x:c r="M13" s="346" t="str">
        <x:v>Apps/integrations + federation</x:v>
      </x:c>
      <x:c r="N13" s="346" t="str">
        <x:v>No general bridge framework</x:v>
      </x:c>
      <x:c r="O13" s="346" t="str">
        <x:v>No</x:v>
      </x:c>
      <x:c r="P13" s="346" t="str">
        <x:v>No general bridge framework</x:v>
      </x:c>
      <x:c r="Q13" s="346" t="str">
        <x:v>Discord-compatible bot/API surface</x:v>
      </x:c>
      <x:c r="R13" s="346" t="str">
        <x:v>Federation/bridge architecture in development</x:v>
      </x:c>
      <x:c r="S13" s="346" t="str">
        <x:v>API-first integrations</x:v>
      </x:c>
      <x:c r="T13" s="346" t="str">
        <x:v>No</x:v>
      </x:c>
      <x:c r="U13" s="346" t="str">
        <x:v>No</x:v>
      </x:c>
      <x:c r="V13" s="346" t="str">
        <x:v>Discord API compatibility</x:v>
      </x:c>
      <x:c r="W13" s="346" t="str">
        <x:v>Yes - bridge package</x:v>
      </x:c>
      <x:c r="X13" s="346" t="str">
        <x:v>Nostr/Concord relay framework</x:v>
      </x:c>
      <x:c r="Y13" s="346" t="str">
        <x:v>No general bridge framework</x:v>
      </x:c>
      <x:c r="Z13" s="346" t="str">
        <x:v>Custom decentralized messenger/server protocol</x:v>
      </x:c>
      <x:c r="AA13" s="380" t="str">
        <x:v>No general bridge framework</x:v>
      </x:c>
      <x:c r="AB13" s="346" t="str">
        <x:v>Webhooks</x:v>
      </x:c>
      <x:c r="AC13" s="346" t="str">
        <x:v>No</x:v>
      </x:c>
      <x:c r="AD13" s="346" t="str">
        <x:v>Open API/webhooks</x:v>
      </x:c>
      <x:c r="AE13" s="346" t="str">
        <x:v>Game APIs/integrations rather than bridges</x:v>
      </x:c>
    </x:row>
    <x:row r="14" ht="36" customHeight="1">
      <x:c r="A14" s="359" t="str">
        <x:v>Discord Bridge</x:v>
      </x:c>
      <x:c r="B14" s="346" t="str">
        <x:v>N/A</x:v>
      </x:c>
      <x:c r="C14" s="346" t="str">
        <x:v>No native</x:v>
      </x:c>
      <x:c r="D14" s="346" t="str">
        <x:v>No</x:v>
      </x:c>
      <x:c r="E14" s="346" t="str">
        <x:v>No native</x:v>
      </x:c>
      <x:c r="F14" s="346" t="str">
        <x:v>No live bridge</x:v>
      </x:c>
      <x:c r="G14" s="346" t="str">
        <x:v>Yes - matrix-appservice-discord / mautrix-discord</x:v>
      </x:c>
      <x:c r="H14" s="346" t="str">
        <x:v>Not live bridge; compatibility target</x:v>
      </x:c>
      <x:c r="I14" s="346" t="str">
        <x:v>No</x:v>
      </x:c>
      <x:c r="J14" s="346" t="str">
        <x:v>No</x:v>
      </x:c>
      <x:c r="K14" s="346" t="str">
        <x:v>No native</x:v>
      </x:c>
      <x:c r="L14" s="346" t="str">
        <x:v>No</x:v>
      </x:c>
      <x:c r="M14" s="346" t="str">
        <x:v>No native</x:v>
      </x:c>
      <x:c r="N14" s="346" t="str">
        <x:v>No live Discord bridge</x:v>
      </x:c>
      <x:c r="O14" s="346" t="str">
        <x:v>No</x:v>
      </x:c>
      <x:c r="P14" s="346" t="str">
        <x:v>No</x:v>
      </x:c>
      <x:c r="Q14" s="346" t="str">
        <x:v>No live bridge</x:v>
      </x:c>
      <x:c r="R14" s="346" t="str">
        <x:v>No</x:v>
      </x:c>
      <x:c r="S14" s="346" t="str">
        <x:v>No</x:v>
      </x:c>
      <x:c r="T14" s="346" t="str">
        <x:v>No</x:v>
      </x:c>
      <x:c r="U14" s="346" t="str">
        <x:v>No</x:v>
      </x:c>
      <x:c r="V14" s="346" t="str">
        <x:v>Community Discord bridge possible</x:v>
      </x:c>
      <x:c r="W14" s="346" t="str">
        <x:v>Yes - bidirectional Discord bridge</x:v>
      </x:c>
      <x:c r="X14" s="346" t="str">
        <x:v>Yes - Discord bridge supported/self-hostable per subreddit reports</x:v>
      </x:c>
      <x:c r="Y14" s="346" t="str">
        <x:v>No</x:v>
      </x:c>
      <x:c r="Z14" s="346" t="str">
        <x:v>Discord bridge WIP</x:v>
      </x:c>
      <x:c r="AA14" s="380" t="str">
        <x:v>No</x:v>
      </x:c>
      <x:c r="AB14" s="346" t="str">
        <x:v>No live bridge</x:v>
      </x:c>
      <x:c r="AC14" s="346" t="str">
        <x:v>No</x:v>
      </x:c>
      <x:c r="AD14" s="346" t="str">
        <x:v>No live bridge</x:v>
      </x:c>
      <x:c r="AE14" s="346" t="str">
        <x:v>No</x:v>
      </x:c>
    </x:row>
    <x:row r="15" ht="36" customHeight="1">
      <x:c r="A15" s="359" t="str">
        <x:v>Matrix Bridge</x:v>
      </x:c>
      <x:c r="B15" s="346" t="str">
        <x:v>Third-party Matrix bridges can connect to Discord; not native</x:v>
      </x:c>
      <x:c r="C15" s="346" t="str">
        <x:v>No native</x:v>
      </x:c>
      <x:c r="D15" s="346" t="str">
        <x:v>No</x:v>
      </x:c>
      <x:c r="E15" s="346" t="str">
        <x:v>No native</x:v>
      </x:c>
      <x:c r="F15" s="346" t="str">
        <x:v>No</x:v>
      </x:c>
      <x:c r="G15" s="346" t="str">
        <x:v>N/A</x:v>
      </x:c>
      <x:c r="H15" s="346" t="str">
        <x:v>No native</x:v>
      </x:c>
      <x:c r="I15" s="346" t="str">
        <x:v>No</x:v>
      </x:c>
      <x:c r="J15" s="346" t="str">
        <x:v>No</x:v>
      </x:c>
      <x:c r="K15" s="346" t="str">
        <x:v>No native</x:v>
      </x:c>
      <x:c r="L15" s="346" t="str">
        <x:v>Integration possible</x:v>
      </x:c>
      <x:c r="M15" s="346" t="str">
        <x:v>Federation uses Matrix-based technology but is not a generic Matrix client bridge</x:v>
      </x:c>
      <x:c r="N15" s="346" t="str">
        <x:v>No</x:v>
      </x:c>
      <x:c r="O15" s="346" t="str">
        <x:v>No</x:v>
      </x:c>
      <x:c r="P15" s="346" t="str">
        <x:v>No</x:v>
      </x:c>
      <x:c r="Q15" s="346" t="str">
        <x:v>No</x:v>
      </x:c>
      <x:c r="R15" s="346" t="str">
        <x:v>Possible in theory</x:v>
      </x:c>
      <x:c r="S15" s="346" t="str">
        <x:v>No</x:v>
      </x:c>
      <x:c r="T15" s="346" t="str">
        <x:v>No</x:v>
      </x:c>
      <x:c r="U15" s="346" t="str">
        <x:v>No</x:v>
      </x:c>
      <x:c r="V15" s="346" t="str">
        <x:v>No</x:v>
      </x:c>
      <x:c r="W15" s="346" t="str">
        <x:v>N/A</x:v>
      </x:c>
      <x:c r="X15" s="346" t="str">
        <x:v>No native Matrix bridge verified</x:v>
      </x:c>
      <x:c r="Y15" s="346" t="str">
        <x:v>No</x:v>
      </x:c>
      <x:c r="Z15" s="346" t="str">
        <x:v>No</x:v>
      </x:c>
      <x:c r="AA15" s="380" t="str">
        <x:v>No</x:v>
      </x:c>
      <x:c r="AB15" s="346" t="str">
        <x:v>No</x:v>
      </x:c>
      <x:c r="AC15" s="346" t="str">
        <x:v>No</x:v>
      </x:c>
      <x:c r="AD15" s="346" t="str">
        <x:v>No</x:v>
      </x:c>
      <x:c r="AE15" s="346" t="str">
        <x:v>No</x:v>
      </x:c>
    </x:row>
    <x:row r="16" ht="36" customHeight="1">
      <x:c r="A16" s="359" t="str">
        <x:v>IRC Bridge</x:v>
      </x:c>
      <x:c r="B16" s="346" t="str">
        <x:v>Third-party relays; not native</x:v>
      </x:c>
      <x:c r="C16" s="346" t="str">
        <x:v>No native</x:v>
      </x:c>
      <x:c r="D16" s="346" t="str">
        <x:v>No</x:v>
      </x:c>
      <x:c r="E16" s="346" t="str">
        <x:v>No native</x:v>
      </x:c>
      <x:c r="F16" s="346" t="str">
        <x:v>No</x:v>
      </x:c>
      <x:c r="G16" s="346" t="str">
        <x:v>Yes - IRC bridges</x:v>
      </x:c>
      <x:c r="H16" s="346" t="str">
        <x:v>No native</x:v>
      </x:c>
      <x:c r="I16" s="346" t="str">
        <x:v>No</x:v>
      </x:c>
      <x:c r="J16" s="346" t="str">
        <x:v>No</x:v>
      </x:c>
      <x:c r="K16" s="346" t="str">
        <x:v>Via integration possible</x:v>
      </x:c>
      <x:c r="L16" s="346" t="str">
        <x:v>Integration possible</x:v>
      </x:c>
      <x:c r="M16" s="346" t="str">
        <x:v>IRC integration possible</x:v>
      </x:c>
      <x:c r="N16" s="346" t="str">
        <x:v>No</x:v>
      </x:c>
      <x:c r="O16" s="346" t="str">
        <x:v>No</x:v>
      </x:c>
      <x:c r="P16" s="346" t="str">
        <x:v>No</x:v>
      </x:c>
      <x:c r="Q16" s="346" t="str">
        <x:v>No</x:v>
      </x:c>
      <x:c r="R16" s="346" t="str">
        <x:v>U/K</x:v>
      </x:c>
      <x:c r="S16" s="346" t="str">
        <x:v>No</x:v>
      </x:c>
      <x:c r="T16" s="346" t="str">
        <x:v>No</x:v>
      </x:c>
      <x:c r="U16" s="346" t="str">
        <x:v>No</x:v>
      </x:c>
      <x:c r="V16" s="346" t="str">
        <x:v>No</x:v>
      </x:c>
      <x:c r="W16" s="346" t="str">
        <x:v>U/K</x:v>
      </x:c>
      <x:c r="X16" s="346" t="str">
        <x:v>Nostr bridges possible</x:v>
      </x:c>
      <x:c r="Y16" s="346" t="str">
        <x:v>No</x:v>
      </x:c>
      <x:c r="Z16" s="346" t="str">
        <x:v>No</x:v>
      </x:c>
      <x:c r="AA16" s="380" t="str">
        <x:v>No</x:v>
      </x:c>
      <x:c r="AB16" s="346" t="str">
        <x:v>No</x:v>
      </x:c>
      <x:c r="AC16" s="346" t="str">
        <x:v>No</x:v>
      </x:c>
      <x:c r="AD16" s="346" t="str">
        <x:v>No</x:v>
      </x:c>
      <x:c r="AE16" s="346" t="str">
        <x:v>No</x:v>
      </x:c>
    </x:row>
    <x:row r="17" ht="36" customHeight="1">
      <x:c r="A17" s="359" t="str">
        <x:v>Federation / Cross-Instance Interop</x:v>
      </x:c>
      <x:c r="B17" s="346" t="str">
        <x:v>No</x:v>
      </x:c>
      <x:c r="C17" s="346" t="str">
        <x:v>No federation</x:v>
      </x:c>
      <x:c r="D17" s="346" t="str">
        <x:v>No</x:v>
      </x:c>
      <x:c r="E17" s="346" t="str">
        <x:v>Not yet</x:v>
      </x:c>
      <x:c r="F17" s="346" t="str">
        <x:v>No</x:v>
      </x:c>
      <x:c r="G17" s="346" t="str">
        <x:v>Yes - native federation</x:v>
      </x:c>
      <x:c r="H17" s="346" t="str">
        <x:v>No</x:v>
      </x:c>
      <x:c r="I17" s="346" t="str">
        <x:v>No</x:v>
      </x:c>
      <x:c r="J17" s="346" t="str">
        <x:v>No</x:v>
      </x:c>
      <x:c r="K17" s="346" t="str">
        <x:v>No</x:v>
      </x:c>
      <x:c r="L17" s="346" t="str">
        <x:v>No</x:v>
      </x:c>
      <x:c r="M17" s="346" t="str">
        <x:v>Yes - supported federation features</x:v>
      </x:c>
      <x:c r="N17" s="346" t="str">
        <x:v>No</x:v>
      </x:c>
      <x:c r="O17" s="346" t="str">
        <x:v>No</x:v>
      </x:c>
      <x:c r="P17" s="346" t="str">
        <x:v>No</x:v>
      </x:c>
      <x:c r="Q17" s="346" t="str">
        <x:v>Federation/self-hosting</x:v>
      </x:c>
      <x:c r="R17" s="346" t="str">
        <x:v>Planned federation</x:v>
      </x:c>
      <x:c r="S17" s="346" t="str">
        <x:v>No federation verified</x:v>
      </x:c>
      <x:c r="T17" s="346" t="str">
        <x:v>No</x:v>
      </x:c>
      <x:c r="U17" s="346" t="str">
        <x:v>No federation</x:v>
      </x:c>
      <x:c r="V17" s="346" t="str">
        <x:v>Federation planned</x:v>
      </x:c>
      <x:c r="W17" s="346" t="str">
        <x:v>ATProto federation</x:v>
      </x:c>
      <x:c r="X17" s="346" t="str">
        <x:v>Yes through relays/protocol</x:v>
      </x:c>
      <x:c r="Y17" s="346" t="str">
        <x:v>Relay-based interoperability</x:v>
      </x:c>
      <x:c r="Z17" s="346" t="str">
        <x:v>Yes - messenger cross-home-server</x:v>
      </x:c>
      <x:c r="AA17" s="380" t="str">
        <x:v>No</x:v>
      </x:c>
      <x:c r="AB17" s="346" t="str">
        <x:v>No</x:v>
      </x:c>
      <x:c r="AC17" s="346" t="str">
        <x:v>No</x:v>
      </x:c>
      <x:c r="AD17" s="346" t="str">
        <x:v>Node/federation migration</x:v>
      </x:c>
      <x:c r="AE17" s="346" t="str">
        <x:v>No</x:v>
      </x:c>
    </x:row>
    <x:row r="18" ht="36" customHeight="1">
      <x:c r="A18" s="359" t="str">
        <x:v>Account Portability</x:v>
      </x:c>
      <x:c r="B18" s="346" t="str">
        <x:v>No</x:v>
      </x:c>
      <x:c r="C18" s="346" t="str">
        <x:v>No</x:v>
      </x:c>
      <x:c r="D18" s="346" t="str">
        <x:v>No</x:v>
      </x:c>
      <x:c r="E18" s="346" t="str">
        <x:v>No</x:v>
      </x:c>
      <x:c r="F18" s="346" t="str">
        <x:v>No</x:v>
      </x:c>
      <x:c r="G18" s="346" t="str">
        <x:v>Partial - ID is homeserver-scoped; migration is not universally seamless</x:v>
      </x:c>
      <x:c r="H18" s="346" t="str">
        <x:v>No</x:v>
      </x:c>
      <x:c r="I18" s="346" t="str">
        <x:v>Certificates/bookmarks manually portable</x:v>
      </x:c>
      <x:c r="J18" s="346" t="str">
        <x:v>Limited</x:v>
      </x:c>
      <x:c r="K18" s="346" t="str">
        <x:v>No cross-server account portability</x:v>
      </x:c>
      <x:c r="L18" s="346" t="str">
        <x:v>No</x:v>
      </x:c>
      <x:c r="M18" s="346" t="str">
        <x:v>Limited</x:v>
      </x:c>
      <x:c r="N18" s="346" t="str">
        <x:v>Limited</x:v>
      </x:c>
      <x:c r="O18" s="346" t="str">
        <x:v>No</x:v>
      </x:c>
      <x:c r="P18" s="346" t="str">
        <x:v>No</x:v>
      </x:c>
      <x:c r="Q18" s="346" t="str">
        <x:v>U/K</x:v>
      </x:c>
      <x:c r="R18" s="346" t="str">
        <x:v>Planned</x:v>
      </x:c>
      <x:c r="S18" s="346" t="str">
        <x:v>No</x:v>
      </x:c>
      <x:c r="T18" s="346" t="str">
        <x:v>No</x:v>
      </x:c>
      <x:c r="U18" s="346" t="str">
        <x:v>Server/operator migration</x:v>
      </x:c>
      <x:c r="V18" s="346" t="str">
        <x:v>Planned</x:v>
      </x:c>
      <x:c r="W18" s="346" t="str">
        <x:v>ATProto identity</x:v>
      </x:c>
      <x:c r="X18" s="346" t="str">
        <x:v>Yes - keypair identity</x:v>
      </x:c>
      <x:c r="Y18" s="346" t="str">
        <x:v>Yes - identity key portable</x:v>
      </x:c>
      <x:c r="Z18" s="346" t="str">
        <x:v>Yes</x:v>
      </x:c>
      <x:c r="AA18" s="380" t="str">
        <x:v>No</x:v>
      </x:c>
      <x:c r="AB18" s="346" t="str">
        <x:v>Export/self-host</x:v>
      </x:c>
      <x:c r="AC18" s="346" t="str">
        <x:v>No</x:v>
      </x:c>
      <x:c r="AD18" s="346" t="str">
        <x:v>Community data/node migration</x:v>
      </x:c>
      <x:c r="AE18" s="346" t="str">
        <x:v>No</x:v>
      </x:c>
    </x:row>
    <x:row r="19" ht="36" customHeight="1">
      <x:c r="A19" s="359" t="str">
        <x:v>Client Portability</x:v>
      </x:c>
      <x:c r="B19" s="346" t="str">
        <x:v>Official clients only</x:v>
      </x:c>
      <x:c r="C19" s="346" t="str">
        <x:v>Limited - client custom-instance support is uneven</x:v>
      </x:c>
      <x:c r="D19" s="346" t="str">
        <x:v>Single first-party client/service</x:v>
      </x:c>
      <x:c r="E19" s="346" t="str">
        <x:v>Open clients/self-host but no federation</x:v>
      </x:c>
      <x:c r="F19" s="346" t="str">
        <x:v>First-party clients</x:v>
      </x:c>
      <x:c r="G19" s="346" t="str">
        <x:v>Yes - switch clients freely against same Matrix account</x:v>
      </x:c>
      <x:c r="H19" s="346" t="str">
        <x:v>Potentially compatible clients</x:v>
      </x:c>
      <x:c r="I19" s="346" t="str">
        <x:v>Yes across Mumble-compatible clients</x:v>
      </x:c>
      <x:c r="J19" s="346" t="str">
        <x:v>Official ecosystem</x:v>
      </x:c>
      <x:c r="K19" s="346" t="str">
        <x:v>Official clients can connect to custom servers</x:v>
      </x:c>
      <x:c r="L19" s="346" t="str">
        <x:v>Official clients can connect to custom servers</x:v>
      </x:c>
      <x:c r="M19" s="346" t="str">
        <x:v>Official clients can connect to custom servers</x:v>
      </x:c>
      <x:c r="N19" s="346" t="str">
        <x:v>Official clients</x:v>
      </x:c>
      <x:c r="O19" s="346" t="str">
        <x:v>Open-source clients possible</x:v>
      </x:c>
      <x:c r="P19" s="346" t="str">
        <x:v>Official clients</x:v>
      </x:c>
      <x:c r="Q19" s="346" t="str">
        <x:v>U/K</x:v>
      </x:c>
      <x:c r="R19" s="346" t="str">
        <x:v>U/K</x:v>
      </x:c>
      <x:c r="S19" s="346" t="str">
        <x:v>Open-source clients</x:v>
      </x:c>
      <x:c r="T19" s="346" t="str">
        <x:v>No</x:v>
      </x:c>
      <x:c r="U19" s="346" t="str">
        <x:v>Official client</x:v>
      </x:c>
      <x:c r="V19" s="346" t="str">
        <x:v>Yes - custom clients</x:v>
      </x:c>
      <x:c r="W19" s="346" t="str">
        <x:v>Potentially via open protocol</x:v>
      </x:c>
      <x:c r="X19" s="346" t="str">
        <x:v>Open client/protocol potential</x:v>
      </x:c>
      <x:c r="Y19" s="346" t="str">
        <x:v>Single open-source client currently</x:v>
      </x:c>
      <x:c r="Z19" s="346" t="str">
        <x:v>Open-source clients</x:v>
      </x:c>
      <x:c r="AA19" s="380" t="str">
        <x:v>Official client</x:v>
      </x:c>
      <x:c r="AB19" s="346" t="str">
        <x:v>Open source</x:v>
      </x:c>
      <x:c r="AC19" s="346" t="str">
        <x:v>Official clients</x:v>
      </x:c>
      <x:c r="AD19" s="346" t="str">
        <x:v>Open API/client</x:v>
      </x:c>
      <x:c r="AE19" s="346" t="str">
        <x:v>Official client</x:v>
      </x:c>
    </x:row>
    <x:row r="20" ht="36" customHeight="1">
      <x:c r="A20" s="360" t="str">
        <x:v>Interop Notes</x:v>
      </x:c>
      <x:c r="B20" s="349" t="str">
        <x:v>Discord is the source platform.</x:v>
      </x:c>
      <x:c r="C20" s="349" t="str">
        <x:v>Self-hosting exists but migration/interop tooling is still limited.</x:v>
      </x:c>
      <x:c r="D20" s="349" t="str">
        <x:v>Migration features are still alpha/roadmap.</x:v>
      </x:c>
      <x:c r="E20" s="349" t="str">
        <x:v>Roadmap includes federation; do not mark it available yet.</x:v>
      </x:c>
      <x:c r="F20" s="349" t="str">
        <x:v>Discord template import is structural only; it does not move messages, users, files, emojis, bots or webhooks.</x:v>
      </x:c>
      <x:c r="G20" s="349" t="str">
        <x:v>Matrix is strongest here because interoperability is part of the protocol model, not a single-vendor feature.</x:v>
      </x:c>
      <x:c r="H20" s="349" t="str">
        <x:v>Designed to make Discord clients/bots easier to reuse on a separate service.</x:v>
      </x:c>
      <x:c r="I20" s="349" t="str">
        <x:v>Voice protocol interoperability rather than social-platform migration.</x:v>
      </x:c>
      <x:c r="J20" s="349" t="str">
        <x:v>Independent servers are portable operationally, not federated socially.</x:v>
      </x:c>
      <x:c r="K20" s="349" t="str">
        <x:v>Native importers focus on Slack, Mattermost and Rocket.Chat rather than Discord.</x:v>
      </x:c>
      <x:c r="L20" s="349" t="str">
        <x:v>Strong admin migration/export tools, but not federation.</x:v>
      </x:c>
      <x:c r="M20" s="349" t="str">
        <x:v>Federation is real but has explicit limitations such as no E2EE/calls in federated rooms.</x:v>
      </x:c>
      <x:c r="N20" s="349" t="str">
        <x:v>Importer handles structural server migration, not message history.</x:v>
      </x:c>
      <x:c r="O20" s="349" t="str">
        <x:v>No built-in Discord migration/federation verified.</x:v>
      </x:c>
      <x:c r="P20" s="349" t="str">
        <x:v>Migration features exist, but exact data coverage is not comprehensively documented.</x:v>
      </x:c>
      <x:c r="Q20" s="349" t="str">
        <x:v>Importer handles channels/categories/roles/permissions/emoji/bans/icon.</x:v>
      </x:c>
      <x:c r="R20" s="349" t="str">
        <x:v>Open protocol direction should allow bridges, but current production interop is limited.</x:v>
      </x:c>
      <x:c r="S20" s="349" t="str">
        <x:v>Extensible API/integration focus rather than federation.</x:v>
      </x:c>
      <x:c r="T20" s="349" t="str">
        <x:v>No migration/interop framework verified.</x:v>
      </x:c>
      <x:c r="U20" s="349" t="str">
        <x:v>Self-host control rather than cross-platform bridging.</x:v>
      </x:c>
      <x:c r="V20" s="349" t="str">
        <x:v>API compatibility is currently more mature than federation.</x:v>
      </x:c>
      <x:c r="W20" s="349" t="str">
        <x:v>Discord bridge is first-class in the repo.</x:v>
      </x:c>
      <x:c r="X20" s="349" t="str">
        <x:v>Interop is architectural rather than tied to one central account service.</x:v>
      </x:c>
      <x:c r="Y20" s="349" t="str">
        <x:v>Local-first portability is stronger than migration from Discord.</x:v>
      </x:c>
      <x:c r="Z20" s="349" t="str">
        <x:v>Discord bridge is experimental/WIP; native cross-instance messenger is more mature.</x:v>
      </x:c>
      <x:c r="AA20" s="381" t="str">
        <x:v>No migration/bridge framework verified.</x:v>
      </x:c>
      <x:c r="AB20" s="349" t="str">
        <x:v>Discord template importer does not move messages or members.</x:v>
      </x:c>
      <x:c r="AC20" s="349" t="str">
        <x:v>No migration/federation framework verified.</x:v>
      </x:c>
      <x:c r="AD20" s="349" t="str">
        <x:v>Built-in importer is a major onboarding feature.</x:v>
      </x:c>
      <x:c r="AE20" s="349" t="str">
        <x:v>No Discord importer because product model intentionally differs.</x:v>
      </x:c>
    </x:row>
    <x:row r="21" ht="23" customHeight="1">
      <x:c r="A21" s="389" t="str">
        <x:v>Additional Migration Objects</x:v>
      </x:c>
      <x:c r="B21" s="389"/>
      <x:c r="C21" s="389"/>
      <x:c r="D21" s="389"/>
      <x:c r="E21" s="389"/>
      <x:c r="F21" s="389"/>
      <x:c r="G21" s="389"/>
      <x:c r="H21" s="389"/>
      <x:c r="I21" s="389"/>
      <x:c r="J21" s="389"/>
      <x:c r="K21" s="389"/>
      <x:c r="L21" s="389"/>
      <x:c r="M21" s="389"/>
      <x:c r="N21" s="389"/>
      <x:c r="O21" s="389"/>
      <x:c r="P21" s="389"/>
      <x:c r="Q21" s="389"/>
      <x:c r="R21" s="389"/>
      <x:c r="S21" s="389"/>
      <x:c r="T21" s="389"/>
      <x:c r="U21" s="389"/>
      <x:c r="V21" s="389"/>
      <x:c r="W21" s="389"/>
      <x:c r="X21" s="389"/>
      <x:c r="Y21" s="389"/>
      <x:c r="Z21" s="389"/>
      <x:c r="AA21" s="389"/>
      <x:c r="AB21" s="389"/>
      <x:c r="AC21" s="389"/>
      <x:c r="AD21" s="389"/>
      <x:c r="AE21" s="389"/>
    </x:row>
    <x:row r="22" ht="36" customHeight="1">
      <x:c r="A22" s="378" t="str">
        <x:v>Discord Categories Import</x:v>
      </x:c>
      <x:c r="B22" s="346" t="str">
        <x:v>N/A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Template import - categories supported/U/K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Yes - Discord template import preserves categories/order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78" t="str">
        <x:v>Discord Forum Tags Import</x:v>
      </x:c>
      <x:c r="B23" s="346" t="str">
        <x:v>N/A</x:v>
      </x:c>
      <x:c r="C23" s="346" t="str">
        <x:v>U/K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U/K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U/K</x:v>
      </x:c>
      <x:c r="AA23" s="380" t="str">
        <x:v>Yes - template import includes forum tags</x:v>
      </x:c>
      <x:c r="AB23" s="346" t="str">
        <x:v>U/K</x:v>
      </x:c>
      <x:c r="AC23" s="346" t="str">
        <x:v>U/K</x:v>
      </x:c>
      <x:c r="AD23" s="346" t="str">
        <x:v>U/K</x:v>
      </x:c>
      <x:c r="AE23" s="346" t="str">
        <x:v>U/K</x:v>
      </x:c>
    </x:row>
    <x:row r="24" ht="36" customHeight="1">
      <x:c r="A24" s="378" t="str">
        <x:v>Discord Webhook Format Compatibility</x:v>
      </x:c>
      <x:c r="B24" s="346" t="str">
        <x:v>N/A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U/K</x:v>
      </x:c>
      <x:c r="M24" s="346" t="str">
        <x:v>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Yes - incoming webhooks accept Discord format</x:v>
      </x:c>
      <x:c r="AB24" s="346" t="str">
        <x:v>U/K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78" t="str">
        <x:v>Self-Host to Hosted Migration Tooling</x:v>
      </x:c>
      <x:c r="B25" s="346" t="str">
        <x:v>U/K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Migration tooling exists/U/K</x:v>
      </x:c>
      <x:c r="L25" s="346" t="str">
        <x:v>Deployment-dependent/U/K</x:v>
      </x:c>
      <x:c r="M25" s="346" t="str">
        <x:v>Deployment-dependent/U/K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N/A - no public self-hosting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</x:sheetData>
  <x:mergeCells>
    <x:mergeCell ref="A1:AE1"/>
  </x:mergeCells>
  <x:conditionalFormatting sqref="B3:AE20">
    <x:cfRule type="expression" dxfId="64" priority="1">
      <x:formula>ISNUMBER(SEARCH("U/K",B3))</x:formula>
    </x:cfRule>
    <x:cfRule type="expression" dxfId="65" priority="2">
      <x:formula>OR(B3="N/A",LEFT(B3,4)="N/A ")</x:formula>
    </x:cfRule>
  </x:conditionalFormatting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Security &amp; Privacy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Encryption in Transit (TLS 1.3)</x:v>
      </x:c>
      <x:c r="B3" s="344" t="str">
        <x:v>TLS in transit; exact TLS 1.3 enforcement U/K</x:v>
      </x:c>
      <x:c r="C3" s="344" t="str">
        <x:v>TLS in transit</x:v>
      </x:c>
      <x:c r="D3" s="344" t="str">
        <x:v>TLS in transit</x:v>
      </x:c>
      <x:c r="E3" s="344" t="str">
        <x:v>Encrypted in transit; at rest for stored content</x:v>
      </x:c>
      <x:c r="F3" s="344" t="str">
        <x:v>TLS in transit</x:v>
      </x:c>
      <x:c r="G3" s="344" t="str">
        <x:v>HTTPS/TLS transport; implementation-dependent TLS configuration</x:v>
      </x:c>
      <x:c r="H3" s="344" t="str">
        <x:v>TLS when correctly deployed; operator-controlled</x:v>
      </x:c>
      <x:c r="I3" s="344" t="str">
        <x:v>TLS control channel + encrypted voice transport</x:v>
      </x:c>
      <x:c r="J3" s="344" t="str">
        <x:v>Encrypted transport</x:v>
      </x:c>
      <x:c r="K3" s="345" t="str">
        <x:v>TLS in transit</x:v>
      </x:c>
      <x:c r="L3" s="346" t="str">
        <x:v>TLS configurable; enterprise deployment-controlled</x:v>
      </x:c>
      <x:c r="M3" s="346" t="str">
        <x:v>TLS in transit configurable</x:v>
      </x:c>
      <x:c r="N3" s="346" t="str">
        <x:v>TLS in transit</x:v>
      </x:c>
      <x:c r="O3" s="346" t="str">
        <x:v>TLS in transit</x:v>
      </x:c>
      <x:c r="P3" s="346" t="str">
        <x:v>TLS/encrypted connections</x:v>
      </x:c>
      <x:c r="Q3" s="346" t="str">
        <x:v>TLS</x:v>
      </x:c>
      <x:c r="R3" s="346" t="str">
        <x:v>TLS</x:v>
      </x:c>
      <x:c r="S3" s="346" t="str">
        <x:v>TLS</x:v>
      </x:c>
      <x:c r="T3" s="346" t="str">
        <x:v>TLS</x:v>
      </x:c>
      <x:c r="U3" s="346" t="str">
        <x:v>TLS</x:v>
      </x:c>
      <x:c r="V3" s="346" t="str">
        <x:v>TLS when deployed</x:v>
      </x:c>
      <x:c r="W3" s="346" t="str">
        <x:v>TLS</x:v>
      </x:c>
      <x:c r="X3" s="346" t="str">
        <x:v>TLS + Nostr relay transport</x:v>
      </x:c>
      <x:c r="Y3" s="346" t="str">
        <x:v>TLS relays + end-to-end crypto</x:v>
      </x:c>
      <x:c r="Z3" s="346" t="str">
        <x:v>TLS required for network access</x:v>
      </x:c>
      <x:c r="AA3" s="380" t="str">
        <x:v>TLS</x:v>
      </x:c>
      <x:c r="AB3" s="346" t="str">
        <x:v>TLS</x:v>
      </x:c>
      <x:c r="AC3" s="346" t="str">
        <x:v>TLS</x:v>
      </x:c>
      <x:c r="AD3" s="346" t="str">
        <x:v>TLS</x:v>
      </x:c>
      <x:c r="AE3" s="414" t="str">
        <x:v>TLS</x:v>
      </x:c>
    </x:row>
    <x:row r="4" ht="36" customHeight="1">
      <x:c r="A4" s="358" t="str">
        <x:v>E2EE 1:1 DMs</x:v>
      </x:c>
      <x:c r="B4" s="344" t="str">
        <x:v>No for text DMs; DM voice/video calls are E2EE</x:v>
      </x:c>
      <x:c r="C4" s="344" t="str">
        <x:v>No default text E2EE verified</x:v>
      </x:c>
      <x:c r="D4" s="344" t="str">
        <x:v>Yes - DM text E2EE by default</x:v>
      </x:c>
      <x:c r="E4" s="344" t="str">
        <x:v>No - latest 2026 privacy policy says nothing is E2EE yet</x:v>
      </x:c>
      <x:c r="F4" s="344" t="str">
        <x:v>No text E2EE disclosed</x:v>
      </x:c>
      <x:c r="G4" s="344" t="str">
        <x:v>Supported by Matrix E2EE; default behavior is client-dependent</x:v>
      </x:c>
      <x:c r="H4" s="344" t="str">
        <x:v>No documented default text E2EE</x:v>
      </x:c>
      <x:c r="I4" s="344" t="str">
        <x:v>N/A - not a Discord-style persistent DM platform</x:v>
      </x:c>
      <x:c r="J4" s="344" t="str">
        <x:v>Text E2EE U/K</x:v>
      </x:c>
      <x:c r="K4" s="345" t="str">
        <x:v>No native E2EE for server-stored chat</x:v>
      </x:c>
      <x:c r="L4" s="346" t="str">
        <x:v>No native E2EE for server-stored messages</x:v>
      </x:c>
      <x:c r="M4" s="346" t="str">
        <x:v>E2EE available for certain conversations but deployment/client constraints apply</x:v>
      </x:c>
      <x:c r="N4" s="346" t="str">
        <x:v>No text E2EE claim</x:v>
      </x:c>
      <x:c r="O4" s="346" t="str">
        <x:v>No public default E2EE verified</x:v>
      </x:c>
      <x:c r="P4" s="346" t="str">
        <x:v>No E2EE text claim</x:v>
      </x:c>
      <x:c r="Q4" s="346" t="str">
        <x:v>E2EE for eligible content; exact default DM status U/K</x:v>
      </x:c>
      <x:c r="R4" s="346" t="str">
        <x:v>Default unencrypted; per-conversation E2EE planned/opt-in</x:v>
      </x:c>
      <x:c r="S4" s="346" t="str">
        <x:v>E2EE claimed</x:v>
      </x:c>
      <x:c r="T4" s="346" t="str">
        <x:v>E2EE not yet verified/currently WIP</x:v>
      </x:c>
      <x:c r="U4" s="346" t="str">
        <x:v>Server/operator controlled; E2EE not claimed</x:v>
      </x:c>
      <x:c r="V4" s="346" t="str">
        <x:v>No E2EE currently</x:v>
      </x:c>
      <x:c r="W4" s="346" t="str">
        <x:v>No E2EE chat claim verified</x:v>
      </x:c>
      <x:c r="X4" s="346" t="str">
        <x:v>Yes - E2EE community/DM design</x:v>
      </x:c>
      <x:c r="Y4" s="346" t="str">
        <x:v>Yes</x:v>
      </x:c>
      <x:c r="Z4" s="346" t="str">
        <x:v>Yes - desktop server DMs can be E2EE; decentralized messenger always E2EE</x:v>
      </x:c>
      <x:c r="AA4" s="380" t="str">
        <x:v>Yes - DM text E2EE (Signal-style X3DH/Double Ratchet)</x:v>
      </x:c>
      <x:c r="AB4" s="346" t="str">
        <x:v>No E2EE claim</x:v>
      </x:c>
      <x:c r="AC4" s="346" t="str">
        <x:v>No E2EE text claim</x:v>
      </x:c>
      <x:c r="AD4" s="346" t="str">
        <x:v>No default E2EE claim</x:v>
      </x:c>
      <x:c r="AE4" s="414" t="str">
        <x:v>No E2EE text claim</x:v>
      </x:c>
    </x:row>
    <x:row r="5" ht="36" customHeight="1">
      <x:c r="A5" s="358" t="str">
        <x:v>E2EE Group DMs</x:v>
      </x:c>
      <x:c r="B5" s="344" t="str">
        <x:v>No for text Group DMs; GDM voice/video calls are E2EE</x:v>
      </x:c>
      <x:c r="C5" s="344" t="str">
        <x:v>No default text E2EE verified</x:v>
      </x:c>
      <x:c r="D5" s="344" t="str">
        <x:v>Yes for private messaging scope; exact group-DM behavior U/K</x:v>
      </x:c>
      <x:c r="E5" s="344" t="str">
        <x:v>No</x:v>
      </x:c>
      <x:c r="F5" s="344" t="str">
        <x:v>No text E2EE disclosed</x:v>
      </x:c>
      <x:c r="G5" s="344" t="str">
        <x:v>Supported in encrypted rooms; default client behavior varies</x:v>
      </x:c>
      <x:c r="H5" s="344" t="str">
        <x:v>No documented default text E2EE</x:v>
      </x:c>
      <x:c r="I5" s="344" t="str">
        <x:v>N/A</x:v>
      </x:c>
      <x:c r="J5" s="344" t="str">
        <x:v>Text E2EE U/K</x:v>
      </x:c>
      <x:c r="K5" s="345" t="str">
        <x:v>No</x:v>
      </x:c>
      <x:c r="L5" s="346" t="str">
        <x:v>No</x:v>
      </x:c>
      <x:c r="M5" s="346" t="str">
        <x:v>E2EE support exists; exact group behavior/version-dependent</x:v>
      </x:c>
      <x:c r="N5" s="346" t="str">
        <x:v>No text E2EE claim</x:v>
      </x:c>
      <x:c r="O5" s="346" t="str">
        <x:v>No</x:v>
      </x:c>
      <x:c r="P5" s="346" t="str">
        <x:v>No</x:v>
      </x:c>
      <x:c r="Q5" s="346" t="str">
        <x:v>E2EE status U/K</x:v>
      </x:c>
      <x:c r="R5" s="346" t="str">
        <x:v>Same/U/K</x:v>
      </x:c>
      <x:c r="S5" s="346" t="str">
        <x:v>E2EE claimed</x:v>
      </x:c>
      <x:c r="T5" s="346" t="str">
        <x:v>E2EE WIP/U/K</x:v>
      </x:c>
      <x:c r="U5" s="346" t="str">
        <x:v>U/K</x:v>
      </x:c>
      <x:c r="V5" s="346" t="str">
        <x:v>No</x:v>
      </x:c>
      <x:c r="W5" s="346" t="str">
        <x:v>No</x:v>
      </x:c>
      <x:c r="X5" s="346" t="str">
        <x:v>Yes/U/K</x:v>
      </x:c>
      <x:c r="Y5" s="346" t="str">
        <x:v>Yes</x:v>
      </x:c>
      <x:c r="Z5" s="346" t="str">
        <x:v>Messenger/group scope U/K</x:v>
      </x:c>
      <x:c r="AA5" s="380" t="str">
        <x:v>No - group chats / Splinters are encrypted at rest, not E2EE</x:v>
      </x:c>
      <x:c r="AB5" s="346" t="str">
        <x:v>No</x:v>
      </x:c>
      <x:c r="AC5" s="346" t="str">
        <x:v>No</x:v>
      </x:c>
      <x:c r="AD5" s="346" t="str">
        <x:v>No</x:v>
      </x:c>
      <x:c r="AE5" s="414" t="str">
        <x:v>No</x:v>
      </x:c>
    </x:row>
    <x:row r="6" ht="36" customHeight="1">
      <x:c r="A6" s="358" t="str">
        <x:v>E2EE Channels / Rooms</x:v>
      </x:c>
      <x:c r="B6" s="344" t="str">
        <x:v>No for text channels/rooms; voice/video channels are E2EE except Stage</x:v>
      </x:c>
      <x:c r="C6" s="344" t="str">
        <x:v>No default channel E2EE</x:v>
      </x:c>
      <x:c r="D6" s="344" t="str">
        <x:v>No - server/community text channels are plaintext to server</x:v>
      </x:c>
      <x:c r="E6" s="344" t="str">
        <x:v>No</x:v>
      </x:c>
      <x:c r="F6" s="344" t="str">
        <x:v>No text E2EE disclosed</x:v>
      </x:c>
      <x:c r="G6" s="344" t="str">
        <x:v>Supported for encrypted rooms; not every room is encrypted</x:v>
      </x:c>
      <x:c r="H6" s="344" t="str">
        <x:v>No documented channel E2EE</x:v>
      </x:c>
      <x:c r="I6" s="344" t="str">
        <x:v>N/A</x:v>
      </x:c>
      <x:c r="J6" s="344" t="str">
        <x:v>Text E2EE U/K</x:v>
      </x:c>
      <x:c r="K6" s="345" t="str">
        <x:v>No</x:v>
      </x:c>
      <x:c r="L6" s="346" t="str">
        <x:v>No</x:v>
      </x:c>
      <x:c r="M6" s="346" t="str">
        <x:v>Encrypted rooms supported locally; federation docs note E2EE is not supported across federated servers</x:v>
      </x:c>
      <x:c r="N6" s="346" t="str">
        <x:v>No channel text E2EE claim</x:v>
      </x:c>
      <x:c r="O6" s="346" t="str">
        <x:v>No</x:v>
      </x:c>
      <x:c r="P6" s="346" t="str">
        <x:v>No</x:v>
      </x:c>
      <x:c r="Q6" s="346" t="str">
        <x:v>E2EE status U/K</x:v>
      </x:c>
      <x:c r="R6" s="346" t="str">
        <x:v>Same/U/K</x:v>
      </x:c>
      <x:c r="S6" s="346" t="str">
        <x:v>E2EE/zero-knowledge claims U/K by scope</x:v>
      </x:c>
      <x:c r="T6" s="346" t="str">
        <x:v>E2EE WIP/U/K</x:v>
      </x:c>
      <x:c r="U6" s="346" t="str">
        <x:v>U/K</x:v>
      </x:c>
      <x:c r="V6" s="346" t="str">
        <x:v>No</x:v>
      </x:c>
      <x:c r="W6" s="346" t="str">
        <x:v>No</x:v>
      </x:c>
      <x:c r="X6" s="346" t="str">
        <x:v>Yes - encrypted communities</x:v>
      </x:c>
      <x:c r="Y6" s="346" t="str">
        <x:v>Encrypted private channels; public channels intentionally unencrypted</x:v>
      </x:c>
      <x:c r="Z6" s="346" t="str">
        <x:v>Server channels generally not E2EE</x:v>
      </x:c>
      <x:c r="AA6" s="380" t="str">
        <x:v>No - Shard/community channel text is encrypted at rest, not E2EE</x:v>
      </x:c>
      <x:c r="AB6" s="346" t="str">
        <x:v>No</x:v>
      </x:c>
      <x:c r="AC6" s="346" t="str">
        <x:v>No</x:v>
      </x:c>
      <x:c r="AD6" s="346" t="str">
        <x:v>No</x:v>
      </x:c>
      <x:c r="AE6" s="414" t="str">
        <x:v>No</x:v>
      </x:c>
    </x:row>
    <x:row r="7" ht="36" customHeight="1">
      <x:c r="A7" s="358" t="str">
        <x:v>E2EE Voice &amp; Video</x:v>
      </x:c>
      <x:c r="B7" s="344" t="str">
        <x:v>Yes by default for voice/video calls and Go Live; Stage channels excepted</x:v>
      </x:c>
      <x:c r="C7" s="344" t="str">
        <x:v>U/K - LiveKit supports E2EE but Stoat deployment status not publicly guaranteed</x:v>
      </x:c>
      <x:c r="D7" s="344" t="str">
        <x:v>Voice/media encryption is an explicit direction; current exact default status U/K</x:v>
      </x:c>
      <x:c r="E7" s="344" t="str">
        <x:v>No currently; voice/video E2EE in development</x:v>
      </x:c>
      <x:c r="F7" s="344" t="str">
        <x:v>Calls transmitted in real time; E2EE not claimed in privacy policy</x:v>
      </x:c>
      <x:c r="G7" s="344" t="str">
        <x:v>MatrixRTC supports E2EE; client/media implementation matters</x:v>
      </x:c>
      <x:c r="H7" s="344" t="str">
        <x:v>WebRTC media; E2EE status depends implementation/U/K</x:v>
      </x:c>
      <x:c r="I7" s="344" t="str">
        <x:v>Voice encrypted in transit; not E2EE against server operator</x:v>
      </x:c>
      <x:c r="J7" s="344" t="str">
        <x:v>Transport encryption; true E2EE status U/K</x:v>
      </x:c>
      <x:c r="K7" s="345" t="str">
        <x:v>External provider-dependent</x:v>
      </x:c>
      <x:c r="L7" s="346" t="str">
        <x:v>Calls media encrypted in transit; E2EE against server U/K/not generally claimed</x:v>
      </x:c>
      <x:c r="M7" s="346" t="str">
        <x:v>Call-provider/deployment-dependent</x:v>
      </x:c>
      <x:c r="N7" s="346" t="str">
        <x:v>Voice E2EE claimed</x:v>
      </x:c>
      <x:c r="O7" s="346" t="str">
        <x:v>U/K</x:v>
      </x:c>
      <x:c r="P7" s="346" t="str">
        <x:v>Calls use encrypted connections; E2EE not claimed</x:v>
      </x:c>
      <x:c r="Q7" s="346" t="str">
        <x:v>Media E2EE U/K</x:v>
      </x:c>
      <x:c r="R7" s="346" t="str">
        <x:v>U/K</x:v>
      </x:c>
      <x:c r="S7" s="346" t="str">
        <x:v>E2EE claimed</x:v>
      </x:c>
      <x:c r="T7" s="346" t="str">
        <x:v>U/K</x:v>
      </x:c>
      <x:c r="U7" s="346" t="str">
        <x:v>Real-time media stays on self-host server; E2EE claim U/K</x:v>
      </x:c>
      <x:c r="V7" s="346" t="str">
        <x:v>No/U/K</x:v>
      </x:c>
      <x:c r="W7" s="346" t="str">
        <x:v>N/A/U/K</x:v>
      </x:c>
      <x:c r="X7" s="346" t="str">
        <x:v>Voice encryption claimed by project; exact crypto U/K</x:v>
      </x:c>
      <x:c r="Y7" s="346" t="str">
        <x:v>Olm+MLS+SFrame stated for media/messages</x:v>
      </x:c>
      <x:c r="Z7" s="346" t="str">
        <x:v>Encrypted messenger/media details U/K</x:v>
      </x:c>
      <x:c r="AA7" s="380" t="str">
        <x:v>Yes - direct voice/video/screen calls are documented as E2EE</x:v>
      </x:c>
      <x:c r="AB7" s="346" t="str">
        <x:v>U/K</x:v>
      </x:c>
      <x:c r="AC7" s="346" t="str">
        <x:v>U/K</x:v>
      </x:c>
      <x:c r="AD7" s="346" t="str">
        <x:v>U/K</x:v>
      </x:c>
      <x:c r="AE7" s="414" t="str">
        <x:v>U/K</x:v>
      </x:c>
    </x:row>
    <x:row r="8" ht="36" customHeight="1">
      <x:c r="A8" s="358" t="str">
        <x:v>Mandatory Signup Credentials (Phone / Email / Keypair)</x:v>
      </x:c>
      <x:c r="B8" s="344" t="str">
        <x:v>Email + username + password + DOB on desktop; phone or email on mobile; verification may be required</x:v>
      </x:c>
      <x:c r="C8" s="344" t="str">
        <x:v>Email account; exact requirements U/K</x:v>
      </x:c>
      <x:c r="D8" s="344" t="str">
        <x:v>Account signup; email/credential details U/K</x:v>
      </x:c>
      <x:c r="E8" s="344" t="str">
        <x:v>Email + username + password + DOB; phone verification may be triggered</x:v>
      </x:c>
      <x:c r="F8" s="344" t="str">
        <x:v>Username/email/password</x:v>
      </x:c>
      <x:c r="G8" s="344" t="str">
        <x:v>Account on a homeserver; credential/SSO rules are server-dependent</x:v>
      </x:c>
      <x:c r="H8" s="344" t="str">
        <x:v>Operator-configurable account rules</x:v>
      </x:c>
      <x:c r="I8" s="344" t="str">
        <x:v>Username/certificate/password depending server</x:v>
      </x:c>
      <x:c r="J8" s="344" t="str">
        <x:v>Server/account identity model; exact TS6 signup U/K</x:v>
      </x:c>
      <x:c r="K8" s="345" t="str">
        <x:v>Email/SSO depending deployment</x:v>
      </x:c>
      <x:c r="L8" s="346" t="str">
        <x:v>Email/SSO/LDAP depending deployment</x:v>
      </x:c>
      <x:c r="M8" s="346" t="str">
        <x:v>Email/SSO/LDAP depending deployment</x:v>
      </x:c>
      <x:c r="N8" s="346" t="str">
        <x:v>Username + password; no email/phone/ID required</x:v>
      </x:c>
      <x:c r="O8" s="346" t="str">
        <x:v>Email verification required for messaging</x:v>
      </x:c>
      <x:c r="P8" s="346" t="str">
        <x:v>Email + username/password</x:v>
      </x:c>
      <x:c r="Q8" s="346" t="str">
        <x:v>Account details U/K</x:v>
      </x:c>
      <x:c r="R8" s="346" t="str">
        <x:v>Device/account registration</x:v>
      </x:c>
      <x:c r="S8" s="346" t="str">
        <x:v>Account model U/K</x:v>
      </x:c>
      <x:c r="T8" s="346" t="str">
        <x:v>No email/phone required; secret-key identity</x:v>
      </x:c>
      <x:c r="U8" s="346" t="str">
        <x:v>Email/password or account</x:v>
      </x:c>
      <x:c r="V8" s="346" t="str">
        <x:v>Email/password on Fermi hosted instance</x:v>
      </x:c>
      <x:c r="W8" s="346" t="str">
        <x:v>Bluesky/ATProto identity by default</x:v>
      </x:c>
      <x:c r="X8" s="346" t="str">
        <x:v>Keypair/secret-based Nostr identity</x:v>
      </x:c>
      <x:c r="Y8" s="346" t="str">
        <x:v>No traditional account; Ed25519 key + 24-word recovery phrase</x:v>
      </x:c>
      <x:c r="Z8" s="346" t="str">
        <x:v>Server account or key-based messenger identity</x:v>
      </x:c>
      <x:c r="AA8" s="380" t="str">
        <x:v>Username + password only; no email/phone/ID</x:v>
      </x:c>
      <x:c r="AB8" s="346" t="str">
        <x:v>Account; exact credential requirements U/K</x:v>
      </x:c>
      <x:c r="AC8" s="346" t="str">
        <x:v>Account signup; exact credential requirements U/K</x:v>
      </x:c>
      <x:c r="AD8" s="346" t="str">
        <x:v>Email only; no phone/ID</x:v>
      </x:c>
      <x:c r="AE8" s="414" t="str">
        <x:v>Account model U/K</x:v>
      </x:c>
    </x:row>
    <x:row r="9" ht="36" customHeight="1">
      <x:c r="A9" s="358" t="str">
        <x:v>Metadata Retention Policy</x:v>
      </x:c>
      <x:c r="B9" s="344" t="str">
        <x:v>Generally retained while an account is active/as needed; some data has fixed legal/safety periods; inactive accounts may be deleted after 2 years</x:v>
      </x:c>
      <x:c r="C9" s="344" t="str">
        <x:v>U/K</x:v>
      </x:c>
      <x:c r="D9" s="344" t="str">
        <x:v>Privacy policy published; exact retention windows U/K</x:v>
      </x:c>
      <x:c r="E9" s="344" t="str">
        <x:v>Published retention policy</x:v>
      </x:c>
      <x:c r="F9" s="344" t="str">
        <x:v>Messages/files stored for delivery/history; exact deletion windows U/K</x:v>
      </x:c>
      <x:c r="G9" s="344" t="str">
        <x:v>Homeserver-dependent</x:v>
      </x:c>
      <x:c r="H9" s="344" t="str">
        <x:v>Operator-controlled</x:v>
      </x:c>
      <x:c r="I9" s="344" t="str">
        <x:v>Server/operator-controlled</x:v>
      </x:c>
      <x:c r="J9" s="344" t="str">
        <x:v>Operator/service-dependent</x:v>
      </x:c>
      <x:c r="K9" s="345" t="str">
        <x:v>Hosted/self-host policy-dependent</x:v>
      </x:c>
      <x:c r="L9" s="346" t="str">
        <x:v>Deployment/admin controlled</x:v>
      </x:c>
      <x:c r="M9" s="346" t="str">
        <x:v>Admin/deployment policy</x:v>
      </x:c>
      <x:c r="N9" s="346" t="str">
        <x:v>U/K</x:v>
      </x:c>
      <x:c r="O9" s="346" t="str">
        <x:v>U/K</x:v>
      </x:c>
      <x:c r="P9" s="346" t="str">
        <x:v>Published privacy policy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Published privacy policy</x:v>
      </x:c>
      <x:c r="U9" s="346" t="str">
        <x:v>Operator controlled</x:v>
      </x:c>
      <x:c r="V9" s="346" t="str">
        <x:v>Operator controlled</x:v>
      </x:c>
      <x:c r="W9" s="346" t="str">
        <x:v>ATProto/provider dependent</x:v>
      </x:c>
      <x:c r="X9" s="346" t="str">
        <x:v>Relay stores encrypted events</x:v>
      </x:c>
      <x:c r="Y9" s="346" t="str">
        <x:v>Data stored locally; relay stores no persistent content</x:v>
      </x:c>
      <x:c r="Z9" s="346" t="str">
        <x:v>Operator controlled; messenger relay stores encrypted messages temporarily</x:v>
      </x:c>
      <x:c r="AA9" s="380" t="str">
        <x:v>Deletion stated as hard delete</x:v>
      </x:c>
      <x:c r="AB9" s="346" t="str">
        <x:v>Message retention controls + export</x:v>
      </x:c>
      <x:c r="AC9" s="346" t="str">
        <x:v>U/K</x:v>
      </x:c>
      <x:c r="AD9" s="346" t="str">
        <x:v>U/K</x:v>
      </x:c>
      <x:c r="AE9" s="414" t="str">
        <x:v>U/K</x:v>
      </x:c>
    </x:row>
    <x:row r="10" ht="36" customHeight="1">
      <x:c r="A10" s="358" t="str">
        <x:v>IP Address Logging Policy</x:v>
      </x:c>
      <x:c r="B10" s="344" t="str">
        <x:v>Yes - IP address is collected as device/use information</x:v>
      </x:c>
      <x:c r="C10" s="344" t="str">
        <x:v>Server/operator receives network metadata; exact policy U/K</x:v>
      </x:c>
      <x:c r="D10" s="344" t="str">
        <x:v>IP/network data processed; policy details U/K</x:v>
      </x:c>
      <x:c r="E10" s="344" t="str">
        <x:v>IP/network data processed; approximate location derived</x:v>
      </x:c>
      <x:c r="F10" s="344" t="str">
        <x:v>Yes - device/network info incl. IP collected</x:v>
      </x:c>
      <x:c r="G10" s="344" t="str">
        <x:v>Homeserver/operator sees IP/network metadata; exact logging is operator-dependent</x:v>
      </x:c>
      <x:c r="H10" s="344" t="str">
        <x:v>Operator-controlled</x:v>
      </x:c>
      <x:c r="I10" s="344" t="str">
        <x:v>Server/operator-controlled</x:v>
      </x:c>
      <x:c r="J10" s="344" t="str">
        <x:v>Operator/service-dependent</x:v>
      </x:c>
      <x:c r="K10" s="345" t="str">
        <x:v>Hosted/operator dependent</x:v>
      </x:c>
      <x:c r="L10" s="346" t="str">
        <x:v>Deployment/admin controlled</x:v>
      </x:c>
      <x:c r="M10" s="346" t="str">
        <x:v>Admin/deployment policy</x:v>
      </x:c>
      <x:c r="N10" s="346" t="str">
        <x:v>Operator/service dependent</x:v>
      </x:c>
      <x:c r="O10" s="346" t="str">
        <x:v>Hosted service may log IP/network metadata; exact policy U/K</x:v>
      </x:c>
      <x:c r="P10" s="346" t="str">
        <x:v>Yes - IP/network data likely processed; exact retention 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Operator controlled</x:v>
      </x:c>
      <x:c r="V10" s="346" t="str">
        <x:v>Operator controlled</x:v>
      </x:c>
      <x:c r="W10" s="346" t="str">
        <x:v>Provider dependent</x:v>
      </x:c>
      <x:c r="X10" s="346" t="str">
        <x:v>Relay sees metadata; content encrypted</x:v>
      </x:c>
      <x:c r="Y10" s="346" t="str">
        <x:v>Official relay claims no IP logging; self-host operator could log metadata</x:v>
      </x:c>
      <x:c r="Z10" s="346" t="str">
        <x:v>Operator controlled; official messenger claims privacy model</x:v>
      </x:c>
      <x:c r="AA10" s="380" t="str">
        <x:v>Media proxying hides user IP from remote embeds; service IP logging policy U/K</x:v>
      </x:c>
      <x:c r="AB10" s="346" t="str">
        <x:v>Hosted in São Paulo; exact IP retention U/K</x:v>
      </x:c>
      <x:c r="AC10" s="346" t="str">
        <x:v>U/K</x:v>
      </x:c>
      <x:c r="AD10" s="346" t="str">
        <x:v>U/K</x:v>
      </x:c>
      <x:c r="AE10" s="414" t="str">
        <x:v>U/K</x:v>
      </x:c>
    </x:row>
    <x:row r="11" ht="36" customHeight="1">
      <x:c r="A11" s="358" t="str">
        <x:v>EXIF Scrubbing on Uploads</x:v>
      </x:c>
      <x:c r="B11" s="344" t="str">
        <x:v>U/K</x:v>
      </x:c>
      <x:c r="C11" s="344" t="str">
        <x:v>U/K</x:v>
      </x:c>
      <x:c r="D11" s="344" t="str">
        <x:v>U/K</x:v>
      </x:c>
      <x:c r="E11" s="344" t="str">
        <x:v>U/K</x:v>
      </x:c>
      <x:c r="F11" s="344" t="str">
        <x:v>U/K</x:v>
      </x:c>
      <x:c r="G11" s="344" t="str">
        <x:v>Client/server-dependent</x:v>
      </x:c>
      <x:c r="H11" s="344" t="str">
        <x:v>U/K</x:v>
      </x:c>
      <x:c r="I11" s="344" t="str">
        <x:v>N/A</x:v>
      </x:c>
      <x:c r="J11" s="344" t="str">
        <x:v>U/K</x:v>
      </x:c>
      <x:c r="K11" s="345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Yes - automatic EXIF stripping</x:v>
      </x:c>
      <x:c r="AB11" s="346" t="str">
        <x:v>U/K</x:v>
      </x:c>
      <x:c r="AC11" s="346" t="str">
        <x:v>U/K</x:v>
      </x:c>
      <x:c r="AD11" s="346" t="str">
        <x:v>U/K</x:v>
      </x:c>
      <x:c r="AE11" s="414" t="str">
        <x:v>U/K</x:v>
      </x:c>
    </x:row>
    <x:row r="12" ht="36" customHeight="1">
      <x:c r="A12" s="397" t="str">
        <x:v>Server Jurisdiction / Location</x:v>
      </x:c>
      <x:c r="B12" s="349" t="str">
        <x:v>Discord Inc. (US); Discord Netherlands BV is EEA controller; infrastructure is global; exact per-user storage location U/K</x:v>
      </x:c>
      <x:c r="C12" s="349" t="str">
        <x:v>Hosted service: Europe-oriented; self-host location is operator-controlled</x:v>
      </x:c>
      <x:c r="D12" s="349" t="str">
        <x:v>Fenrid LLC (New Mexico, US); global infrastructure</x:v>
      </x:c>
      <x:c r="E12" s="349" t="str">
        <x:v>Fluxer Platform AB (Sweden); most stored data hosted in New Jersey, US</x:v>
      </x:c>
      <x:c r="F12" s="349" t="str">
        <x:v>Root Communications, Inc., United States</x:v>
      </x:c>
      <x:c r="G12" s="349" t="str">
        <x:v>Federated - jurisdiction/location depends on homeserver(s) participating in a room</x:v>
      </x:c>
      <x:c r="H12" s="349" t="str">
        <x:v>Self-hosted - operator-selected jurisdiction</x:v>
      </x:c>
      <x:c r="I12" s="349" t="str">
        <x:v>Self-hosted - operator-selected jurisdiction</x:v>
      </x:c>
      <x:c r="J12" s="349" t="str">
        <x:v>Self-hosted/hosted - jurisdiction depends operator/provider</x:v>
      </x:c>
      <x:c r="K12" s="395" t="str">
        <x:v>Cloud jurisdiction/provider; self-host operator-controlled</x:v>
      </x:c>
      <x:c r="L12" s="349" t="str">
        <x:v>Cloud or self-host jurisdiction</x:v>
      </x:c>
      <x:c r="M12" s="349" t="str">
        <x:v>Cloud or self-host jurisdiction</x:v>
      </x:c>
      <x:c r="N12" s="349" t="str">
        <x:v>Hosted + self-host operator dependent</x:v>
      </x:c>
      <x:c r="O12" s="349" t="str">
        <x:v>Hosted service jurisdiction U/K</x:v>
      </x:c>
      <x:c r="P12" s="349" t="str">
        <x:v>Regional data storage by user/community region</x:v>
      </x:c>
      <x:c r="Q12" s="349" t="str">
        <x:v>Federated/self-host operator-dependent</x:v>
      </x:c>
      <x:c r="R12" s="349" t="str">
        <x:v>Hosted/self-host dependent</x:v>
      </x:c>
      <x:c r="S12" s="349" t="str">
        <x:v>Company/service jurisdiction U/K</x:v>
      </x:c>
      <x:c r="T12" s="349" t="str">
        <x:v>Centralized service jurisdiction U/K</x:v>
      </x:c>
      <x:c r="U12" s="349" t="str">
        <x:v>Self-host jurisdiction</x:v>
      </x:c>
      <x:c r="V12" s="349" t="str">
        <x:v>Self-host/operator jurisdiction</x:v>
      </x:c>
      <x:c r="W12" s="349" t="str">
        <x:v>ATProto/PDS-dependent</x:v>
      </x:c>
      <x:c r="X12" s="349" t="str">
        <x:v>Relay/operator/global</x:v>
      </x:c>
      <x:c r="Y12" s="349" t="str">
        <x:v>Local-first; relay jurisdiction replaceable</x:v>
      </x:c>
      <x:c r="Z12" s="349" t="str">
        <x:v>Self-host operator controlled</x:v>
      </x:c>
      <x:c r="AA12" s="381" t="str">
        <x:v>Rift Communications LLC / hosted service; exact data region U/K</x:v>
      </x:c>
      <x:c r="AB12" s="349" t="str">
        <x:v>Brazil (hosted service); self-host operator-controlled</x:v>
      </x:c>
      <x:c r="AC12" s="349" t="str">
        <x:v>Canada-based team; hosting region U/K</x:v>
      </x:c>
      <x:c r="AD12" s="349" t="str">
        <x:v>Hosted/self-host dependent</x:v>
      </x:c>
      <x:c r="AE12" s="415" t="str">
        <x:v>Canada/U/K hosting jurisdiction</x:v>
      </x:c>
    </x:row>
    <x:row r="13" ht="23" customHeight="1">
      <x:c r="A13" s="389" t="str">
        <x:v>Privacy Operations</x:v>
      </x:c>
      <x:c r="B13" s="389"/>
      <x:c r="C13" s="389"/>
      <x:c r="D13" s="389"/>
      <x:c r="E13" s="389"/>
      <x:c r="F13" s="389"/>
      <x:c r="G13" s="389"/>
      <x:c r="H13" s="389"/>
      <x:c r="I13" s="389"/>
      <x:c r="J13" s="389"/>
      <x:c r="K13" s="389"/>
      <x:c r="L13" s="389"/>
      <x:c r="M13" s="389"/>
      <x:c r="N13" s="389"/>
      <x:c r="O13" s="389"/>
      <x:c r="P13" s="389"/>
      <x:c r="Q13" s="389"/>
      <x:c r="R13" s="389"/>
      <x:c r="S13" s="389"/>
      <x:c r="T13" s="389"/>
      <x:c r="U13" s="389"/>
      <x:c r="V13" s="389"/>
      <x:c r="W13" s="389"/>
      <x:c r="X13" s="389"/>
      <x:c r="Y13" s="389"/>
      <x:c r="Z13" s="389"/>
      <x:c r="AA13" s="389"/>
      <x:c r="AB13" s="389"/>
      <x:c r="AC13" s="389"/>
      <x:c r="AD13" s="389"/>
      <x:c r="AE13" s="389"/>
    </x:row>
    <x:row r="14" ht="36" customHeight="1">
      <x:c r="A14" s="378" t="str">
        <x:v>Encryption at Rest?</x:v>
      </x:c>
      <x:c r="B14" s="346" t="str">
        <x:v>Yes</x:v>
      </x:c>
      <x:c r="C14" s="346" t="str">
        <x:v>U/K</x:v>
      </x:c>
      <x:c r="D14" s="346" t="str">
        <x:v>U/K</x:v>
      </x:c>
      <x:c r="E14" s="346" t="str">
        <x:v>Yes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Yes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78" t="str">
        <x:v>Can Service / Server Read Text?</x:v>
      </x:c>
      <x:c r="B15" s="346" t="str">
        <x:v>Yes for text</x:v>
      </x:c>
      <x:c r="C15" s="346" t="str">
        <x:v>Yes for normal text</x:v>
      </x:c>
      <x:c r="D15" s="346" t="str">
        <x:v>No for encrypted DM plaintext in normal flow; yes for community channels</x:v>
      </x:c>
      <x:c r="E15" s="346" t="str">
        <x:v>Yes</x:v>
      </x:c>
      <x:c r="F15" s="346" t="str">
        <x:v>Yes for stored text</x:v>
      </x:c>
      <x:c r="G15" s="346" t="str">
        <x:v>Not for correctly E2EE-encrypted events; homeserver still stores ciphertext and metadata</x:v>
      </x:c>
      <x:c r="H15" s="346" t="str">
        <x:v>Yes unless operator adds extra encryption</x:v>
      </x:c>
      <x:c r="I15" s="346" t="str">
        <x:v>N/A for persistent chat; server handles voice routing</x:v>
      </x:c>
      <x:c r="J15" s="346" t="str">
        <x:v>U/K</x:v>
      </x:c>
      <x:c r="K15" s="346" t="str">
        <x:v>Yes</x:v>
      </x:c>
      <x:c r="L15" s="346" t="str">
        <x:v>Yes</x:v>
      </x:c>
      <x:c r="M15" s="346" t="str">
        <x:v>Not for local E2EE message bodies when functioning; server still sees metadata</x:v>
      </x:c>
      <x:c r="N15" s="346" t="str">
        <x:v>Yes for text on hosted/self-host server</x:v>
      </x:c>
      <x:c r="O15" s="346" t="str">
        <x:v>Yes for hosted text</x:v>
      </x:c>
      <x:c r="P15" s="346" t="str">
        <x:v>Yes for text</x:v>
      </x:c>
      <x:c r="Q15" s="346" t="str">
        <x:v>Depends encrypted content type</x:v>
      </x:c>
      <x:c r="R15" s="346" t="str">
        <x:v>Yes for unencrypted content</x:v>
      </x:c>
      <x:c r="S15" s="346" t="str">
        <x:v>U/K</x:v>
      </x:c>
      <x:c r="T15" s="346" t="str">
        <x:v>Yes for current server-readable content</x:v>
      </x:c>
      <x:c r="U15" s="346" t="str">
        <x:v>Server operator may access text unless separate E2EE exists</x:v>
      </x:c>
      <x:c r="V15" s="346" t="str">
        <x:v>Yes</x:v>
      </x:c>
      <x:c r="W15" s="346" t="str">
        <x:v>Potentially visible to hosting services</x:v>
      </x:c>
      <x:c r="X15" s="346" t="str">
        <x:v>No for encrypted message bodies</x:v>
      </x:c>
      <x:c r="Y15" s="346" t="str">
        <x:v>No for private plaintext</x:v>
      </x:c>
      <x:c r="Z15" s="346" t="str">
        <x:v>Server can read normal channel text; encrypted DMs are ciphertext</x:v>
      </x:c>
      <x:c r="AA15" s="380" t="str">
        <x:v>Cannot read E2EE DM plaintext; can process Shard/community plaintext</x:v>
      </x:c>
      <x:c r="AB15" s="346" t="str">
        <x:v>Yes for hosted text</x:v>
      </x:c>
      <x:c r="AC15" s="346" t="str">
        <x:v>Yes for text</x:v>
      </x:c>
      <x:c r="AD15" s="346" t="str">
        <x:v>Yes</x:v>
      </x:c>
      <x:c r="AE15" s="346" t="str">
        <x:v>Yes</x:v>
      </x:c>
    </x:row>
    <x:row r="16" ht="36" customHeight="1">
      <x:c r="A16" s="378" t="str">
        <x:v>IP Address Collected?</x:v>
      </x:c>
      <x:c r="B16" s="346" t="str">
        <x:v>Yes - IP address is collected as device/use information</x:v>
      </x:c>
      <x:c r="C16" s="346" t="str">
        <x:v>Server/operator receives network metadata; exact policy U/K</x:v>
      </x:c>
      <x:c r="D16" s="346" t="str">
        <x:v>IP/network data processed; policy details U/K</x:v>
      </x:c>
      <x:c r="E16" s="346" t="str">
        <x:v>IP/network data processed; approximate location derived</x:v>
      </x:c>
      <x:c r="F16" s="346" t="str">
        <x:v>Yes - device/network info incl. IP collected</x:v>
      </x:c>
      <x:c r="G16" s="346" t="str">
        <x:v>Homeserver/operator sees IP/network metadata; exact logging is operator-dependent</x:v>
      </x:c>
      <x:c r="H16" s="346" t="str">
        <x:v>Operator-controlled</x:v>
      </x:c>
      <x:c r="I16" s="346" t="str">
        <x:v>Server/operator-controlled</x:v>
      </x:c>
      <x:c r="J16" s="346" t="str">
        <x:v>Operator/service-dependent</x:v>
      </x:c>
      <x:c r="K16" s="346" t="str">
        <x:v>Hosted/operator dependent</x:v>
      </x:c>
      <x:c r="L16" s="346" t="str">
        <x:v>Deployment/admin controlled</x:v>
      </x:c>
      <x:c r="M16" s="346" t="str">
        <x:v>Admin/deployment policy</x:v>
      </x:c>
      <x:c r="N16" s="346" t="str">
        <x:v>Operator/service dependent</x:v>
      </x:c>
      <x:c r="O16" s="346" t="str">
        <x:v>Hosted service may log IP/network metadata; exact policy U/K</x:v>
      </x:c>
      <x:c r="P16" s="346" t="str">
        <x:v>Yes - IP/network data likely processed; exact retention 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Operator controlled</x:v>
      </x:c>
      <x:c r="V16" s="346" t="str">
        <x:v>Operator controlled</x:v>
      </x:c>
      <x:c r="W16" s="346" t="str">
        <x:v>Provider dependent</x:v>
      </x:c>
      <x:c r="X16" s="346" t="str">
        <x:v>Relay sees metadata; content encrypted</x:v>
      </x:c>
      <x:c r="Y16" s="346" t="str">
        <x:v>Official relay claims no IP logging; self-host operator could log metadata</x:v>
      </x:c>
      <x:c r="Z16" s="346" t="str">
        <x:v>Operator controlled; official messenger claims privacy model</x:v>
      </x:c>
      <x:c r="AA16" s="380" t="str">
        <x:v>Media proxying hides user IP from remote embeds; service IP logging policy U/K</x:v>
      </x:c>
      <x:c r="AB16" s="346" t="str">
        <x:v>Hosted in São Paulo; exact IP retention 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78" t="str">
        <x:v>IP Retention Window</x:v>
      </x:c>
      <x:c r="B17" s="346" t="str">
        <x:v>U/K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48 hours / HMAC fingerprint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78" t="str">
        <x:v>EXIF Scrubbing?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Client/server-dependent</x:v>
      </x:c>
      <x:c r="H18" s="346" t="str">
        <x:v>U/K</x:v>
      </x:c>
      <x:c r="I18" s="346" t="str">
        <x:v>N/A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Yes - automatic EXIF stripping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78" t="str">
        <x:v>Data Region Selectable?</x:v>
      </x:c>
      <x:c r="B19" s="346" t="str">
        <x:v>U/K</x:v>
      </x:c>
      <x:c r="C19" s="346" t="str">
        <x:v>Operator-selected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Operator-selected</x:v>
      </x:c>
      <x:c r="I19" s="346" t="str">
        <x:v>Operator-selected</x:v>
      </x:c>
      <x:c r="J19" s="346" t="str">
        <x:v>Operator-selected</x:v>
      </x:c>
      <x:c r="K19" s="346" t="str">
        <x:v>Operator-selected</x:v>
      </x:c>
      <x:c r="L19" s="346" t="str">
        <x:v>Operator-selected</x:v>
      </x:c>
      <x:c r="M19" s="346" t="str">
        <x:v>Operator-selected</x:v>
      </x:c>
      <x:c r="N19" s="346" t="str">
        <x:v>Operator-selected</x:v>
      </x:c>
      <x:c r="O19" s="346" t="str">
        <x:v>U/K</x:v>
      </x:c>
      <x:c r="P19" s="346" t="str">
        <x:v>Yes</x:v>
      </x:c>
      <x:c r="Q19" s="346" t="str">
        <x:v>Operator-selected</x:v>
      </x:c>
      <x:c r="R19" s="346" t="str">
        <x:v>Operator-selected</x:v>
      </x:c>
      <x:c r="S19" s="346" t="str">
        <x:v>U/K</x:v>
      </x:c>
      <x:c r="T19" s="346" t="str">
        <x:v>U/K</x:v>
      </x:c>
      <x:c r="U19" s="346" t="str">
        <x:v>Operator-selected</x:v>
      </x:c>
      <x:c r="V19" s="346" t="str">
        <x:v>Operator-selected</x:v>
      </x:c>
      <x:c r="W19" s="346" t="str">
        <x:v>U/K</x:v>
      </x:c>
      <x:c r="X19" s="346" t="str">
        <x:v>Operator-selected</x:v>
      </x:c>
      <x:c r="Y19" s="346" t="str">
        <x:v>U/K</x:v>
      </x:c>
      <x:c r="Z19" s="346" t="str">
        <x:v>Operator-selected</x:v>
      </x:c>
      <x:c r="AA19" s="380" t="str">
        <x:v>U/K</x:v>
      </x:c>
      <x:c r="AB19" s="346" t="str">
        <x:v>Operator-selected</x:v>
      </x:c>
      <x:c r="AC19" s="346" t="str">
        <x:v>U/K</x:v>
      </x:c>
      <x:c r="AD19" s="346" t="str">
        <x:v>Operator-selected</x:v>
      </x:c>
      <x:c r="AE19" s="346" t="str">
        <x:v>U/K</x:v>
      </x:c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 s="24"/>
      <x:c r="K20" s="24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 s="24"/>
      <x:c r="K21" s="24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 s="24"/>
      <x:c r="K22" s="24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 s="24"/>
      <x:c r="K23" s="24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 s="24"/>
      <x:c r="K24" s="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 s="24"/>
      <x:c r="K25" s="24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 s="24"/>
      <x:c r="K26" s="24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 s="24"/>
      <x:c r="K27" s="24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2">
    <x:cfRule type="expression" dxfId="38" priority="1">
      <x:formula>ISNUMBER(SEARCH("U/K",B3))</x:formula>
    </x:cfRule>
    <x:cfRule type="expression" dxfId="39" priority="2">
      <x:formula>OR(B3="N/A",LEFT(B3,4)="N/A ")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Encryption Details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f>'At a Glance'!$B$2</x:f>
        <x:v>Discord</x:v>
      </x:c>
      <x:c r="C2" s="420" t="str">
        <x:f>'At a Glance'!$C$2</x:f>
        <x:v>Stoat</x:v>
      </x:c>
      <x:c r="D2" s="420" t="str">
        <x:f>'At a Glance'!$D$2</x:f>
        <x:v>Fenrid</x:v>
      </x:c>
      <x:c r="E2" s="420" t="str">
        <x:f>'At a Glance'!$E$2</x:f>
        <x:v>Fluxer</x:v>
      </x:c>
      <x:c r="F2" s="420" t="str">
        <x:f>'At a Glance'!$F$2</x:f>
        <x:v>Root</x:v>
      </x:c>
      <x:c r="G2" s="420" t="str">
        <x:f>'At a Glance'!$G$2</x:f>
        <x:v>Matrix</x:v>
      </x:c>
      <x:c r="H2" s="420" t="str">
        <x:f>'At a Glance'!$H$2</x:f>
        <x:v>Spacebar</x:v>
      </x:c>
      <x:c r="I2" s="420" t="str">
        <x:f>'At a Glance'!$I$2</x:f>
        <x:v>Mumble</x:v>
      </x:c>
      <x:c r="J2" s="420" t="str">
        <x:f>'At a Glance'!$J$2</x:f>
        <x:v>TeamSpeak</x:v>
      </x:c>
      <x:c r="K2" s="420" t="str">
        <x:f>'At a Glance'!$K$2</x:f>
        <x:v>Zulip</x:v>
      </x:c>
      <x:c r="L2" s="420" t="str">
        <x:f>'At a Glance'!$L$2</x:f>
        <x:v>Mattermost</x:v>
      </x:c>
      <x:c r="M2" s="420" t="str">
        <x:f>'At a Glance'!$M$2</x:f>
        <x:v>Rocket.Chat</x:v>
      </x:c>
      <x:c r="N2" s="420" t="str">
        <x:f>'At a Glance'!$N$2</x:f>
        <x:v>GameVox</x:v>
      </x:c>
      <x:c r="O2" s="420" t="str">
        <x:f>'At a Glance'!$O$2</x:f>
        <x:v>Nerimity</x:v>
      </x:c>
      <x:c r="P2" s="420" t="str">
        <x:f>'At a Glance'!$P$2</x:f>
        <x:v>Osmium</x:v>
      </x:c>
      <x:c r="Q2" s="420" t="str">
        <x:f>'At a Glance'!$Q$2</x:f>
        <x:v>Loqa</x:v>
      </x:c>
      <x:c r="R2" s="420" t="str">
        <x:f>'At a Glance'!$R$2</x:f>
        <x:v>Venta</x:v>
      </x:c>
      <x:c r="S2" s="420" t="str">
        <x:f>'At a Glance'!$S$2</x:f>
        <x:v>Mezon</x:v>
      </x:c>
      <x:c r="T2" s="420" t="str">
        <x:f>'At a Glance'!$T$2</x:f>
        <x:v>Kloak</x:v>
      </x:c>
      <x:c r="U2" s="420" t="str">
        <x:f>'At a Glance'!$U$2</x:f>
        <x:v>Yapper</x:v>
      </x:c>
      <x:c r="V2" s="420" t="str">
        <x:f>'At a Glance'!$V$2</x:f>
        <x:v>Harmony</x:v>
      </x:c>
      <x:c r="W2" s="420" t="str">
        <x:f>'At a Glance'!$W$2</x:f>
        <x:v>Roomy</x:v>
      </x:c>
      <x:c r="X2" s="420" t="str">
        <x:f>'At a Glance'!$X$2</x:f>
        <x:v>Armada</x:v>
      </x:c>
      <x:c r="Y2" s="420" t="str">
        <x:f>'At a Glance'!$Y$2</x:f>
        <x:v>Hollow</x:v>
      </x:c>
      <x:c r="Z2" s="420" t="str">
        <x:f>'At a Glance'!$Z$2</x:f>
        <x:v>DCTS</x:v>
      </x:c>
      <x:c r="AA2" s="421" t="str">
        <x:f>'At a Glance'!$AA$2</x:f>
        <x:v>Rift</x:v>
      </x:c>
      <x:c r="AB2" s="420" t="str">
        <x:f>'At a Glance'!$AB$2</x:f>
        <x:v>pqp.gg</x:v>
      </x:c>
      <x:c r="AC2" s="420" t="str">
        <x:f>'At a Glance'!$AC$2</x:f>
        <x:v>Echon</x:v>
      </x:c>
      <x:c r="AD2" s="420" t="str">
        <x:f>'At a Glance'!$AD$2</x:f>
        <x:v>Valour</x:v>
      </x:c>
      <x:c r="AE2" s="420" t="str">
        <x:f>'At a Glance'!$AE$2</x:f>
        <x:v>Weered</x:v>
      </x:c>
    </x:row>
    <x:row r="3" ht="36" customHeight="1">
      <x:c r="A3" s="359" t="str">
        <x:v>Text 1:1 DM E2EE</x:v>
      </x:c>
      <x:c r="B3" s="346" t="str">
        <x:v>No (text)</x:v>
      </x:c>
      <x:c r="C3" s="346" t="str">
        <x:v>No default E2EE verified</x:v>
      </x:c>
      <x:c r="D3" s="346" t="str">
        <x:v>Yes</x:v>
      </x:c>
      <x:c r="E3" s="346" t="str">
        <x:v>No</x:v>
      </x:c>
      <x:c r="F3" s="346" t="str">
        <x:v>No claim / treated as server-readable</x:v>
      </x:c>
      <x:c r="G3" s="346" t="str">
        <x:v>Supported; default depends on client/room</x:v>
      </x:c>
      <x:c r="H3" s="346" t="str">
        <x:v>No documented default</x:v>
      </x:c>
      <x:c r="I3" s="346" t="str">
        <x:v>N/A</x:v>
      </x:c>
      <x:c r="J3" s="346" t="str">
        <x:v>U/K</x:v>
      </x:c>
      <x:c r="K3" s="346" t="str">
        <x:v>No</x:v>
      </x:c>
      <x:c r="L3" s="346" t="str">
        <x:v>No</x:v>
      </x:c>
      <x:c r="M3" s="346" t="str">
        <x:v>Available in supported E2EE conversations</x:v>
      </x:c>
      <x:c r="N3" s="346" t="str">
        <x:v>No</x:v>
      </x:c>
      <x:c r="O3" s="346" t="str">
        <x:v>No default E2EE verified</x:v>
      </x:c>
      <x:c r="P3" s="346" t="str">
        <x:v>No</x:v>
      </x:c>
      <x:c r="Q3" s="346" t="str">
        <x:v>Eligible content E2EE; exact DM default U/K</x:v>
      </x:c>
      <x:c r="R3" s="346" t="str">
        <x:v>No by default</x:v>
      </x:c>
      <x:c r="S3" s="346" t="str">
        <x:v>E2EE claimed</x:v>
      </x:c>
      <x:c r="T3" s="346" t="str">
        <x:v>Not yet/default U/K</x:v>
      </x:c>
      <x:c r="U3" s="346" t="str">
        <x:v>U/K</x:v>
      </x:c>
      <x:c r="V3" s="346" t="str">
        <x:v>No</x:v>
      </x:c>
      <x:c r="W3" s="346" t="str">
        <x:v>No default E2EE verified</x:v>
      </x:c>
      <x:c r="X3" s="346" t="str">
        <x:v>Yes</x:v>
      </x:c>
      <x:c r="Y3" s="346" t="str">
        <x:v>Yes</x:v>
      </x:c>
      <x:c r="Z3" s="346" t="str">
        <x:v>Yes for desktop server DMs when enabled; messenger always yes</x:v>
      </x:c>
      <x:c r="AA3" s="380" t="str">
        <x:v>Yes</x:v>
      </x:c>
      <x:c r="AB3" s="346" t="str">
        <x:v>No E2EE claim</x:v>
      </x:c>
      <x:c r="AC3" s="346" t="str">
        <x:v>No default text E2EE verified</x:v>
      </x:c>
      <x:c r="AD3" s="346" t="str">
        <x:v>No default E2EE claim</x:v>
      </x:c>
      <x:c r="AE3" s="346" t="str">
        <x:v>No</x:v>
      </x:c>
    </x:row>
    <x:row r="4" ht="36" customHeight="1">
      <x:c r="A4" s="359" t="str">
        <x:v>Group DM E2EE</x:v>
      </x:c>
      <x:c r="B4" s="346" t="str">
        <x:v>No (text)</x:v>
      </x:c>
      <x:c r="C4" s="346" t="str">
        <x:v>No default E2EE verified</x:v>
      </x:c>
      <x:c r="D4" s="346" t="str">
        <x:v>U/K for multi-person DMs</x:v>
      </x:c>
      <x:c r="E4" s="346" t="str">
        <x:v>No</x:v>
      </x:c>
      <x:c r="F4" s="346" t="str">
        <x:v>No claim</x:v>
      </x:c>
      <x:c r="G4" s="346" t="str">
        <x:v>Supported in encrypted rooms</x:v>
      </x:c>
      <x:c r="H4" s="346" t="str">
        <x:v>No documented default</x:v>
      </x:c>
      <x:c r="I4" s="346" t="str">
        <x:v>N/A</x:v>
      </x:c>
      <x:c r="J4" s="346" t="str">
        <x:v>U/K</x:v>
      </x:c>
      <x:c r="K4" s="346" t="str">
        <x:v>No</x:v>
      </x:c>
      <x:c r="L4" s="346" t="str">
        <x:v>No</x:v>
      </x:c>
      <x:c r="M4" s="346" t="str">
        <x:v>Available with limitations/version-dependent</x:v>
      </x:c>
      <x:c r="N4" s="346" t="str">
        <x:v>No</x:v>
      </x:c>
      <x:c r="O4" s="346" t="str">
        <x:v>No</x:v>
      </x:c>
      <x:c r="P4" s="346" t="str">
        <x:v>No</x:v>
      </x:c>
      <x:c r="Q4" s="346" t="str">
        <x:v>U/K</x:v>
      </x:c>
      <x:c r="R4" s="346" t="str">
        <x:v>No by default/U/K</x:v>
      </x:c>
      <x:c r="S4" s="346" t="str">
        <x:v>E2EE claimed</x:v>
      </x:c>
      <x:c r="T4" s="346" t="str">
        <x:v>U/K</x:v>
      </x:c>
      <x:c r="U4" s="346" t="str">
        <x:v>U/K</x:v>
      </x:c>
      <x:c r="V4" s="346" t="str">
        <x:v>No</x:v>
      </x:c>
      <x:c r="W4" s="346" t="str">
        <x:v>No</x:v>
      </x:c>
      <x:c r="X4" s="346" t="str">
        <x:v>Yes</x:v>
      </x:c>
      <x:c r="Y4" s="346" t="str">
        <x:v>Yes</x:v>
      </x:c>
      <x:c r="Z4" s="346" t="str">
        <x:v>Messenger group scope U/K</x:v>
      </x:c>
      <x:c r="AA4" s="380" t="str">
        <x:v>No - Splinters/group chats are server-readable after decryption</x:v>
      </x:c>
      <x:c r="AB4" s="346" t="str">
        <x:v>No</x:v>
      </x:c>
      <x:c r="AC4" s="346" t="str">
        <x:v>No</x:v>
      </x:c>
      <x:c r="AD4" s="346" t="str">
        <x:v>No</x:v>
      </x:c>
      <x:c r="AE4" s="346" t="str">
        <x:v>No</x:v>
      </x:c>
    </x:row>
    <x:row r="5" ht="36" customHeight="1">
      <x:c r="A5" s="359" t="str">
        <x:v>Community / Channel Text E2EE</x:v>
      </x:c>
      <x:c r="B5" s="346" t="str">
        <x:v>No (text)</x:v>
      </x:c>
      <x:c r="C5" s="346" t="str">
        <x:v>No</x:v>
      </x:c>
      <x:c r="D5" s="346" t="str">
        <x:v>No</x:v>
      </x:c>
      <x:c r="E5" s="346" t="str">
        <x:v>No</x:v>
      </x:c>
      <x:c r="F5" s="346" t="str">
        <x:v>No claim</x:v>
      </x:c>
      <x:c r="G5" s="346" t="str">
        <x:v>Supported in encrypted rooms</x:v>
      </x:c>
      <x:c r="H5" s="346" t="str">
        <x:v>No documented default</x:v>
      </x:c>
      <x:c r="I5" s="346" t="str">
        <x:v>N/A</x:v>
      </x:c>
      <x:c r="J5" s="346" t="str">
        <x:v>U/K</x:v>
      </x:c>
      <x:c r="K5" s="346" t="str">
        <x:v>No</x:v>
      </x:c>
      <x:c r="L5" s="346" t="str">
        <x:v>No</x:v>
      </x:c>
      <x:c r="M5" s="346" t="str">
        <x:v>Available for encrypted rooms; federation has limitations</x:v>
      </x:c>
      <x:c r="N5" s="346" t="str">
        <x:v>No</x:v>
      </x:c>
      <x:c r="O5" s="346" t="str">
        <x:v>No</x:v>
      </x:c>
      <x:c r="P5" s="346" t="str">
        <x:v>No</x:v>
      </x:c>
      <x:c r="Q5" s="346" t="str">
        <x:v>U/K</x:v>
      </x:c>
      <x:c r="R5" s="346" t="str">
        <x:v>No by default</x:v>
      </x:c>
      <x:c r="S5" s="346" t="str">
        <x:v>Scope U/K</x:v>
      </x:c>
      <x:c r="T5" s="346" t="str">
        <x:v>U/K</x:v>
      </x:c>
      <x:c r="U5" s="346" t="str">
        <x:v>U/K</x:v>
      </x:c>
      <x:c r="V5" s="346" t="str">
        <x:v>No</x:v>
      </x:c>
      <x:c r="W5" s="346" t="str">
        <x:v>No</x:v>
      </x:c>
      <x:c r="X5" s="346" t="str">
        <x:v>Yes</x:v>
      </x:c>
      <x:c r="Y5" s="346" t="str">
        <x:v>Yes for private channels; public channels are intentionally plaintext/public</x:v>
      </x:c>
      <x:c r="Z5" s="346" t="str">
        <x:v>No for normal server channels</x:v>
      </x:c>
      <x:c r="AA5" s="380" t="str">
        <x:v>No - community channels are encrypted at rest, not E2EE</x:v>
      </x:c>
      <x:c r="AB5" s="346" t="str">
        <x:v>No</x:v>
      </x:c>
      <x:c r="AC5" s="346" t="str">
        <x:v>No</x:v>
      </x:c>
      <x:c r="AD5" s="346" t="str">
        <x:v>No</x:v>
      </x:c>
      <x:c r="AE5" s="346" t="str">
        <x:v>No</x:v>
      </x:c>
    </x:row>
    <x:row r="6" ht="36" customHeight="1">
      <x:c r="A6" s="359" t="str">
        <x:v>Voice E2EE</x:v>
      </x:c>
      <x:c r="B6" s="346" t="str">
        <x:v>Yes by default for calls/Go Live via DAVE</x:v>
      </x:c>
      <x:c r="C6" s="346" t="str">
        <x:v>U/K</x:v>
      </x:c>
      <x:c r="D6" s="346" t="str">
        <x:v>Direction/current feature claims include E2EE voice; exact alpha default U/K</x:v>
      </x:c>
      <x:c r="E6" s="346" t="str">
        <x:v>No currently</x:v>
      </x:c>
      <x:c r="F6" s="346" t="str">
        <x:v>No E2EE claim in privacy policy</x:v>
      </x:c>
      <x:c r="G6" s="346" t="str">
        <x:v>Supported by MatrixRTC/capable clients</x:v>
      </x:c>
      <x:c r="H6" s="346" t="str">
        <x:v>Implementation-dependent/U/K</x:v>
      </x:c>
      <x:c r="I6" s="346" t="str">
        <x:v>No - media is encrypted to server, not E2EE against server operator</x:v>
      </x:c>
      <x:c r="J6" s="346" t="str">
        <x:v>U/K / transport encryption not necessarily E2EE</x:v>
      </x:c>
      <x:c r="K6" s="346" t="str">
        <x:v>External provider-dependent</x:v>
      </x:c>
      <x:c r="L6" s="346" t="str">
        <x:v>Not generally E2EE against server; deployment media security applies</x:v>
      </x:c>
      <x:c r="M6" s="346" t="str">
        <x:v>Provider/deployment-dependent</x:v>
      </x:c>
      <x:c r="N6" s="346" t="str">
        <x:v>Yes - voice claimed E2EE</x:v>
      </x:c>
      <x:c r="O6" s="346" t="str">
        <x:v>U/K</x:v>
      </x:c>
      <x:c r="P6" s="346" t="str">
        <x:v>Encrypted transport; E2EE not claimed</x:v>
      </x:c>
      <x:c r="Q6" s="346" t="str">
        <x:v>U/K</x:v>
      </x:c>
      <x:c r="R6" s="346" t="str">
        <x:v>U/K</x:v>
      </x:c>
      <x:c r="S6" s="346" t="str">
        <x:v>E2EE claimed</x:v>
      </x:c>
      <x:c r="T6" s="346" t="str">
        <x:v>U/K</x:v>
      </x:c>
      <x:c r="U6" s="346" t="str">
        <x:v>U/K</x:v>
      </x:c>
      <x:c r="V6" s="346" t="str">
        <x:v>No currently</x:v>
      </x:c>
      <x:c r="W6" s="346" t="str">
        <x:v>N/A</x:v>
      </x:c>
      <x:c r="X6" s="346" t="str">
        <x:v>Project claims encrypted live voice; exact design U/K</x:v>
      </x:c>
      <x:c r="Y6" s="346" t="str">
        <x:v>Yes/SFrame claim</x:v>
      </x:c>
      <x:c r="Z6" s="346" t="str">
        <x:v>U/K</x:v>
      </x:c>
      <x:c r="AA6" s="380" t="str">
        <x:v>Yes - direct calls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9" t="str">
        <x:v>Video E2EE</x:v>
      </x:c>
      <x:c r="B7" s="346" t="str">
        <x:v>Yes by default for calls/Go Live via DAVE</x:v>
      </x:c>
      <x:c r="C7" s="346" t="str">
        <x:v>U/K</x:v>
      </x:c>
      <x:c r="D7" s="346" t="str">
        <x:v>U/K</x:v>
      </x:c>
      <x:c r="E7" s="346" t="str">
        <x:v>No currently</x:v>
      </x:c>
      <x:c r="F7" s="346" t="str">
        <x:v>No E2EE claim</x:v>
      </x:c>
      <x:c r="G7" s="346" t="str">
        <x:v>Supported by MatrixRTC/capable clients</x:v>
      </x:c>
      <x:c r="H7" s="346" t="str">
        <x:v>Implementation-dependent/U/K</x:v>
      </x:c>
      <x:c r="I7" s="346" t="str">
        <x:v>N/A</x:v>
      </x:c>
      <x:c r="J7" s="346" t="str">
        <x:v>U/K</x:v>
      </x:c>
      <x:c r="K7" s="346" t="str">
        <x:v>External provider-dependent</x:v>
      </x:c>
      <x:c r="L7" s="346" t="str">
        <x:v>Same</x:v>
      </x:c>
      <x:c r="M7" s="346" t="str">
        <x:v>Provider/deployment-dependent</x:v>
      </x:c>
      <x:c r="N7" s="346" t="str">
        <x:v>U/K</x:v>
      </x:c>
      <x:c r="O7" s="346" t="str">
        <x:v>U/K</x:v>
      </x:c>
      <x:c r="P7" s="346" t="str">
        <x:v>Encrypted transport; E2EE not claimed</x:v>
      </x:c>
      <x:c r="Q7" s="346" t="str">
        <x:v>U/K</x:v>
      </x:c>
      <x:c r="R7" s="346" t="str">
        <x:v>U/K</x:v>
      </x:c>
      <x:c r="S7" s="346" t="str">
        <x:v>E2EE claimed</x:v>
      </x:c>
      <x:c r="T7" s="346" t="str">
        <x:v>U/K</x:v>
      </x:c>
      <x:c r="U7" s="346" t="str">
        <x:v>U/K</x:v>
      </x:c>
      <x:c r="V7" s="346" t="str">
        <x:v>No currently</x:v>
      </x:c>
      <x:c r="W7" s="346" t="str">
        <x:v>N/A</x:v>
      </x:c>
      <x:c r="X7" s="346" t="str">
        <x:v>U/K</x:v>
      </x:c>
      <x:c r="Y7" s="346" t="str">
        <x:v>Yes/SFrame claim</x:v>
      </x:c>
      <x:c r="Z7" s="346" t="str">
        <x:v>U/K</x:v>
      </x:c>
      <x:c r="AA7" s="380" t="str">
        <x:v>Yes - direct calls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Screen Share E2EE</x:v>
      </x:c>
      <x:c r="B8" s="346" t="str">
        <x:v>Yes by default for Go Live; Stage exception</x:v>
      </x:c>
      <x:c r="C8" s="346" t="str">
        <x:v>U/K</x:v>
      </x:c>
      <x:c r="D8" s="346" t="str">
        <x:v>U/K</x:v>
      </x:c>
      <x:c r="E8" s="346" t="str">
        <x:v>No currently</x:v>
      </x:c>
      <x:c r="F8" s="346" t="str">
        <x:v>No E2EE claim</x:v>
      </x:c>
      <x:c r="G8" s="346" t="str">
        <x:v>Supported by MatrixRTC/capable clients</x:v>
      </x:c>
      <x:c r="H8" s="346" t="str">
        <x:v>Implementation-dependent/U/K</x:v>
      </x:c>
      <x:c r="I8" s="346" t="str">
        <x:v>N/A</x:v>
      </x:c>
      <x:c r="J8" s="346" t="str">
        <x:v>U/K</x:v>
      </x:c>
      <x:c r="K8" s="346" t="str">
        <x:v>External provider-dependent</x:v>
      </x:c>
      <x:c r="L8" s="346" t="str">
        <x:v>Same</x:v>
      </x:c>
      <x:c r="M8" s="346" t="str">
        <x:v>Provider/deployment-dependent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No currently</x:v>
      </x:c>
      <x:c r="W8" s="346" t="str">
        <x:v>N/A</x:v>
      </x:c>
      <x:c r="X8" s="346" t="str">
        <x:v>U/K</x:v>
      </x:c>
      <x:c r="Y8" s="346" t="str">
        <x:v>Yes/U/K</x:v>
      </x:c>
      <x:c r="Z8" s="346" t="str">
        <x:v>U/K</x:v>
      </x:c>
      <x:c r="AA8" s="380" t="str">
        <x:v>Yes - direct screen sharing/calls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Encryption Default / Optional</x:v>
      </x:c>
      <x:c r="B9" s="346" t="str">
        <x:v>Mandatory for supported voice/video; text not E2EE</x:v>
      </x:c>
      <x:c r="C9" s="346" t="str">
        <x:v>U/K</x:v>
      </x:c>
      <x:c r="D9" s="346" t="str">
        <x:v>DM encryption is intended/default; media status is evolving</x:v>
      </x:c>
      <x:c r="E9" s="346" t="str">
        <x:v>Not E2EE as of 2026-09-13 privacy policy</x:v>
      </x:c>
      <x:c r="F9" s="346" t="str">
        <x:v>Transport encryption only</x:v>
      </x:c>
      <x:c r="G9" s="346" t="str">
        <x:v>Optional at protocol level; many clients default private chats to encrypted</x:v>
      </x:c>
      <x:c r="H9" s="346" t="str">
        <x:v>No platform-wide E2EE guarantee</x:v>
      </x:c>
      <x:c r="I9" s="346" t="str">
        <x:v>Transport encryption</x:v>
      </x:c>
      <x:c r="J9" s="346" t="str">
        <x:v>U/K</x:v>
      </x:c>
      <x:c r="K9" s="346" t="str">
        <x:v>Server-stored chat, no native E2EE</x:v>
      </x:c>
      <x:c r="L9" s="346" t="str">
        <x:v>Server-side enterprise collaboration model</x:v>
      </x:c>
      <x:c r="M9" s="346" t="str">
        <x:v>Optional/room-dependent</x:v>
      </x:c>
      <x:c r="N9" s="346" t="str">
        <x:v>Voice only / text not claimed E2EE</x:v>
      </x:c>
      <x:c r="O9" s="346" t="str">
        <x:v>Transport encryption only/U/K</x:v>
      </x:c>
      <x:c r="P9" s="346" t="str">
        <x:v>Transport encryption</x:v>
      </x:c>
      <x:c r="Q9" s="346" t="str">
        <x:v>Mixed/eligible content</x:v>
      </x:c>
      <x:c r="R9" s="346" t="str">
        <x:v>Per-conversation opt-in planned; default unencrypted</x:v>
      </x:c>
      <x:c r="S9" s="346" t="str">
        <x:v>Claimed zero-knowledge/E2EE</x:v>
      </x:c>
      <x:c r="T9" s="346" t="str">
        <x:v>E2EE WIP; TLS today</x:v>
      </x:c>
      <x:c r="U9" s="346" t="str">
        <x:v>Transport/self-host privacy model</x:v>
      </x:c>
      <x:c r="V9" s="346" t="str">
        <x:v>No E2EE currently</x:v>
      </x:c>
      <x:c r="W9" s="346" t="str">
        <x:v>No E2EE verified</x:v>
      </x:c>
      <x:c r="X9" s="346" t="str">
        <x:v>E2EE by default for communities</x:v>
      </x:c>
      <x:c r="Y9" s="346" t="str">
        <x:v>Mandatory for private communication; public channels intentionally not</x:v>
      </x:c>
      <x:c r="Z9" s="346" t="str">
        <x:v>Messenger mandatory; server DM encryption optional</x:v>
      </x:c>
      <x:c r="AA9" s="380" t="str">
        <x:v>DM E2EE is default; Shard text is not E2EE</x:v>
      </x:c>
      <x:c r="AB9" s="346" t="str">
        <x:v>Transport encryption</x:v>
      </x:c>
      <x:c r="AC9" s="346" t="str">
        <x:v>Transport/security details U/K</x:v>
      </x:c>
      <x:c r="AD9" s="346" t="str">
        <x:v>Transport/server-side</x:v>
      </x:c>
      <x:c r="AE9" s="346" t="str">
        <x:v>Transport encryption</x:v>
      </x:c>
    </x:row>
    <x:row r="10" ht="36" customHeight="1">
      <x:c r="A10" s="359" t="str">
        <x:v>Can Hosted Server / Operator Read Text?</x:v>
      </x:c>
      <x:c r="B10" s="346" t="str">
        <x:v>Yes for text</x:v>
      </x:c>
      <x:c r="C10" s="346" t="str">
        <x:v>Yes for normal text</x:v>
      </x:c>
      <x:c r="D10" s="346" t="str">
        <x:v>No for encrypted DM plaintext in normal flow; yes for community channels</x:v>
      </x:c>
      <x:c r="E10" s="346" t="str">
        <x:v>Yes</x:v>
      </x:c>
      <x:c r="F10" s="346" t="str">
        <x:v>Yes for stored text</x:v>
      </x:c>
      <x:c r="G10" s="346" t="str">
        <x:v>Not for correctly E2EE-encrypted events; homeserver still stores ciphertext and metadata</x:v>
      </x:c>
      <x:c r="H10" s="346" t="str">
        <x:v>Yes unless operator adds extra encryption</x:v>
      </x:c>
      <x:c r="I10" s="346" t="str">
        <x:v>N/A for persistent chat; server handles voice routing</x:v>
      </x:c>
      <x:c r="J10" s="346" t="str">
        <x:v>U/K</x:v>
      </x:c>
      <x:c r="K10" s="346" t="str">
        <x:v>Yes</x:v>
      </x:c>
      <x:c r="L10" s="346" t="str">
        <x:v>Yes</x:v>
      </x:c>
      <x:c r="M10" s="346" t="str">
        <x:v>Not for local E2EE message bodies when functioning; server still sees metadata</x:v>
      </x:c>
      <x:c r="N10" s="346" t="str">
        <x:v>Yes for text on hosted/self-host server</x:v>
      </x:c>
      <x:c r="O10" s="346" t="str">
        <x:v>Yes for hosted text</x:v>
      </x:c>
      <x:c r="P10" s="346" t="str">
        <x:v>Yes for text</x:v>
      </x:c>
      <x:c r="Q10" s="346" t="str">
        <x:v>Depends encrypted content type</x:v>
      </x:c>
      <x:c r="R10" s="346" t="str">
        <x:v>Yes for unencrypted content</x:v>
      </x:c>
      <x:c r="S10" s="346" t="str">
        <x:v>U/K</x:v>
      </x:c>
      <x:c r="T10" s="346" t="str">
        <x:v>Yes for current server-readable content</x:v>
      </x:c>
      <x:c r="U10" s="346" t="str">
        <x:v>Server operator may access text unless separate E2EE exists</x:v>
      </x:c>
      <x:c r="V10" s="346" t="str">
        <x:v>Yes</x:v>
      </x:c>
      <x:c r="W10" s="346" t="str">
        <x:v>Potentially visible to hosting services</x:v>
      </x:c>
      <x:c r="X10" s="346" t="str">
        <x:v>No for encrypted message bodies</x:v>
      </x:c>
      <x:c r="Y10" s="346" t="str">
        <x:v>No for private plaintext</x:v>
      </x:c>
      <x:c r="Z10" s="346" t="str">
        <x:v>Server can read normal channel text; encrypted DMs are ciphertext</x:v>
      </x:c>
      <x:c r="AA10" s="380" t="str">
        <x:v>No for E2EE DM plaintext; yes for Shard/community channel plaintext</x:v>
      </x:c>
      <x:c r="AB10" s="346" t="str">
        <x:v>Yes for hosted text</x:v>
      </x:c>
      <x:c r="AC10" s="346" t="str">
        <x:v>Yes for text</x:v>
      </x:c>
      <x:c r="AD10" s="346" t="str">
        <x:v>Yes</x:v>
      </x:c>
      <x:c r="AE10" s="346" t="str">
        <x:v>Yes</x:v>
      </x:c>
    </x:row>
    <x:row r="11" ht="36" customHeight="1">
      <x:c r="A11" s="359" t="str">
        <x:v>Key Ownership / Storage</x:v>
      </x:c>
      <x:c r="B11" s="346" t="str">
        <x:v>DAVE keys negotiated by clients; text stored server-side</x:v>
      </x:c>
      <x:c r="C11" s="346" t="str">
        <x:v>Server-side account/content model; exact key model U/K</x:v>
      </x:c>
      <x:c r="D11" s="346" t="str">
        <x:v>Passphrase-derived account key + per-message encryption keys; server stores public key/ciphertext</x:v>
      </x:c>
      <x:c r="E11" s="346" t="str">
        <x:v>Server-side storage; transport/at-rest encryption</x:v>
      </x:c>
      <x:c r="F11" s="346" t="str">
        <x:v>Server-managed</x:v>
      </x:c>
      <x:c r="G11" s="346" t="str">
        <x:v>Client-held device keys; cross-signing/key backup implementations defined by Matrix</x:v>
      </x:c>
      <x:c r="H11" s="346" t="str">
        <x:v>Operator-controlled</x:v>
      </x:c>
      <x:c r="I11" s="346" t="str">
        <x:v>TLS/certificate/server session model</x:v>
      </x:c>
      <x:c r="J11" s="346" t="str">
        <x:v>Proprietary</x:v>
      </x:c>
      <x:c r="K11" s="346" t="str">
        <x:v>Server-side</x:v>
      </x:c>
      <x:c r="L11" s="346" t="str">
        <x:v>Server-side / deployment-controlled</x:v>
      </x:c>
      <x:c r="M11" s="346" t="str">
        <x:v>Client keys for E2EE; exact implementation/version-dependent</x:v>
      </x:c>
      <x:c r="N11" s="346" t="str">
        <x:v>U/K</x:v>
      </x:c>
      <x:c r="O11" s="346" t="str">
        <x:v>Server-side</x:v>
      </x:c>
      <x:c r="P11" s="346" t="str">
        <x:v>Server-side</x:v>
      </x:c>
      <x:c r="Q11" s="346" t="str">
        <x:v>U/K</x:v>
      </x:c>
      <x:c r="R11" s="346" t="str">
        <x:v>U/K</x:v>
      </x:c>
      <x:c r="S11" s="346" t="str">
        <x:v>Client/server design U/K</x:v>
      </x:c>
      <x:c r="T11" s="346" t="str">
        <x:v>Secret-key identity; message key architecture U/K</x:v>
      </x:c>
      <x:c r="U11" s="346" t="str">
        <x:v>U/K</x:v>
      </x:c>
      <x:c r="V11" s="346" t="str">
        <x:v>Server/operator</x:v>
      </x:c>
      <x:c r="W11" s="346" t="str">
        <x:v>ATProto/PDS</x:v>
      </x:c>
      <x:c r="X11" s="346" t="str">
        <x:v>User-held Nostr keys</x:v>
      </x:c>
      <x:c r="Y11" s="346" t="str">
        <x:v>User-held Ed25519/device keys</x:v>
      </x:c>
      <x:c r="Z11" s="346" t="str">
        <x:v>Device-generated key</x:v>
      </x:c>
      <x:c r="AA11" s="380" t="str">
        <x:v>User device / Rift Key roots the encryption keys</x:v>
      </x:c>
      <x:c r="AB11" s="346" t="str">
        <x:v>Server-side</x:v>
      </x:c>
      <x:c r="AC11" s="346" t="str">
        <x:v>Server-side</x:v>
      </x:c>
      <x:c r="AD11" s="346" t="str">
        <x:v>Server-side</x:v>
      </x:c>
      <x:c r="AE11" s="346" t="str">
        <x:v>Server-side</x:v>
      </x:c>
    </x:row>
    <x:row r="12" ht="36" customHeight="1">
      <x:c r="A12" s="359" t="str">
        <x:v>Forward Secrecy / Ratcheting</x:v>
      </x:c>
      <x:c r="B12" s="346" t="str">
        <x:v>DAVE design; exact ratchet properties depend spec</x:v>
      </x:c>
      <x:c r="C12" s="346" t="str">
        <x:v>U/K</x:v>
      </x:c>
      <x:c r="D12" s="346" t="str">
        <x:v>Not Signal Double Ratchet; founder explicitly says mature Signal-level forward secrecy is not claimed</x:v>
      </x:c>
      <x:c r="E12" s="346" t="str">
        <x:v>N/A currently</x:v>
      </x:c>
      <x:c r="F12" s="346" t="str">
        <x:v>N/A/U/K</x:v>
      </x:c>
      <x:c r="G12" s="346" t="str">
        <x:v>Megolm/Olm-era designs and newer crypto work; properties vary by room/media protocol</x:v>
      </x:c>
      <x:c r="H12" s="346" t="str">
        <x:v>U/K</x:v>
      </x:c>
      <x:c r="I12" s="346" t="str">
        <x:v>N/A</x:v>
      </x:c>
      <x:c r="J12" s="346" t="str">
        <x:v>U/K</x:v>
      </x:c>
      <x:c r="K12" s="346" t="str">
        <x:v>N/A</x:v>
      </x:c>
      <x:c r="L12" s="346" t="str">
        <x:v>N/A</x:v>
      </x:c>
      <x:c r="M12" s="346" t="str">
        <x:v>Version-dependent</x:v>
      </x:c>
      <x:c r="N12" s="346" t="str">
        <x:v>U/K</x:v>
      </x:c>
      <x:c r="O12" s="346" t="str">
        <x:v>N/A</x:v>
      </x:c>
      <x:c r="P12" s="346" t="str">
        <x:v>N/A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N/A</x:v>
      </x:c>
      <x:c r="W12" s="346" t="str">
        <x:v>N/A</x:v>
      </x:c>
      <x:c r="X12" s="346" t="str">
        <x:v>U/K</x:v>
      </x:c>
      <x:c r="Y12" s="346" t="str">
        <x:v>Olm/MLS/SFrame design</x:v>
      </x:c>
      <x:c r="Z12" s="346" t="str">
        <x:v>Custom design U/K</x:v>
      </x:c>
      <x:c r="AA12" s="380" t="str">
        <x:v>Yes - X3DH / Double Ratchet design</x:v>
      </x:c>
      <x:c r="AB12" s="346" t="str">
        <x:v>N/A</x:v>
      </x:c>
      <x:c r="AC12" s="346" t="str">
        <x:v>U/K</x:v>
      </x:c>
      <x:c r="AD12" s="346" t="str">
        <x:v>N/A</x:v>
      </x:c>
      <x:c r="AE12" s="346" t="str">
        <x:v>N/A</x:v>
      </x:c>
    </x:row>
    <x:row r="13" ht="36" customHeight="1">
      <x:c r="A13" s="359" t="str">
        <x:v>Multi-Device E2EE</x:v>
      </x:c>
      <x:c r="B13" s="346" t="str">
        <x:v>Yes for DAVE-compatible clients</x:v>
      </x:c>
      <x:c r="C13" s="346" t="str">
        <x:v>U/K</x:v>
      </x:c>
      <x:c r="D13" s="346" t="str">
        <x:v>Designed for trusted-device/passphrase recovery; exact multi-device behavior U/K</x:v>
      </x:c>
      <x:c r="E13" s="346" t="str">
        <x:v>N/A currently</x:v>
      </x:c>
      <x:c r="F13" s="346" t="str">
        <x:v>U/K</x:v>
      </x:c>
      <x:c r="G13" s="346" t="str">
        <x:v>Yes - designed for multi-device keys</x:v>
      </x:c>
      <x:c r="H13" s="346" t="str">
        <x:v>U/K</x:v>
      </x:c>
      <x:c r="I13" s="346" t="str">
        <x:v>N/A</x:v>
      </x:c>
      <x:c r="J13" s="346" t="str">
        <x:v>U/K</x:v>
      </x:c>
      <x:c r="K13" s="346" t="str">
        <x:v>N/A</x:v>
      </x:c>
      <x:c r="L13" s="346" t="str">
        <x:v>N/A</x:v>
      </x:c>
      <x:c r="M13" s="346" t="str">
        <x:v>Version-dependent</x:v>
      </x:c>
      <x:c r="N13" s="346" t="str">
        <x:v>U/K</x:v>
      </x:c>
      <x:c r="O13" s="346" t="str">
        <x:v>N/A</x:v>
      </x:c>
      <x:c r="P13" s="346" t="str">
        <x:v>N/A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N/A</x:v>
      </x:c>
      <x:c r="W13" s="346" t="str">
        <x:v>N/A</x:v>
      </x:c>
      <x:c r="X13" s="346" t="str">
        <x:v>Keypair works across devices via key management; exact UX U/K</x:v>
      </x:c>
      <x:c r="Y13" s="346" t="str">
        <x:v>Multi-device supported</x:v>
      </x:c>
      <x:c r="Z13" s="346" t="str">
        <x:v>Yes - multi-device sync described</x:v>
      </x:c>
      <x:c r="AA13" s="380" t="str">
        <x:v>U/K</x:v>
      </x:c>
      <x:c r="AB13" s="346" t="str">
        <x:v>N/A</x:v>
      </x:c>
      <x:c r="AC13" s="346" t="str">
        <x:v>U/K</x:v>
      </x:c>
      <x:c r="AD13" s="346" t="str">
        <x:v>N/A</x:v>
      </x:c>
      <x:c r="AE13" s="346" t="str">
        <x:v>N/A</x:v>
      </x:c>
    </x:row>
    <x:row r="14" ht="36" customHeight="1">
      <x:c r="A14" s="359" t="str">
        <x:v>Metadata Protected by E2EE?</x:v>
      </x:c>
      <x:c r="B14" s="346" t="str">
        <x:v>No - metadata remains visible</x:v>
      </x:c>
      <x:c r="C14" s="346" t="str">
        <x:v>No</x:v>
      </x:c>
      <x:c r="D14" s="346" t="str">
        <x:v>No - delivery/relationship metadata remains</x:v>
      </x:c>
      <x:c r="E14" s="346" t="str">
        <x:v>No</x:v>
      </x:c>
      <x:c r="F14" s="346" t="str">
        <x:v>No</x:v>
      </x:c>
      <x:c r="G14" s="346" t="str">
        <x:v>No - homeserver/federation metadata remains visible</x:v>
      </x:c>
      <x:c r="H14" s="346" t="str">
        <x:v>No</x:v>
      </x:c>
      <x:c r="I14" s="346" t="str">
        <x:v>No</x:v>
      </x:c>
      <x:c r="J14" s="346" t="str">
        <x:v>U/K</x:v>
      </x:c>
      <x:c r="K14" s="346" t="str">
        <x:v>No</x:v>
      </x:c>
      <x:c r="L14" s="346" t="str">
        <x:v>No</x:v>
      </x:c>
      <x:c r="M14" s="346" t="str">
        <x:v>No</x:v>
      </x:c>
      <x:c r="N14" s="346" t="str">
        <x:v>No</x:v>
      </x:c>
      <x:c r="O14" s="346" t="str">
        <x:v>No</x:v>
      </x:c>
      <x:c r="P14" s="346" t="str">
        <x:v>No</x:v>
      </x:c>
      <x:c r="Q14" s="346" t="str">
        <x:v>No</x:v>
      </x:c>
      <x:c r="R14" s="346" t="str">
        <x:v>No</x:v>
      </x:c>
      <x:c r="S14" s="346" t="str">
        <x:v>No</x:v>
      </x:c>
      <x:c r="T14" s="346" t="str">
        <x:v>No</x:v>
      </x:c>
      <x:c r="U14" s="346" t="str">
        <x:v>No</x:v>
      </x:c>
      <x:c r="V14" s="346" t="str">
        <x:v>No</x:v>
      </x:c>
      <x:c r="W14" s="346" t="str">
        <x:v>No</x:v>
      </x:c>
      <x:c r="X14" s="346" t="str">
        <x:v>No - relay metadata remains</x:v>
      </x:c>
      <x:c r="Y14" s="346" t="str">
        <x:v>No - relay metadata/timing can exist</x:v>
      </x:c>
      <x:c r="Z14" s="346" t="str">
        <x:v>No - home server sees routing metadata</x:v>
      </x:c>
      <x:c r="AA14" s="380" t="str">
        <x:v>No - metadata/routing information is not hidden by E2EE</x:v>
      </x:c>
      <x:c r="AB14" s="346" t="str">
        <x:v>No</x:v>
      </x:c>
      <x:c r="AC14" s="346" t="str">
        <x:v>No</x:v>
      </x:c>
      <x:c r="AD14" s="346" t="str">
        <x:v>No</x:v>
      </x:c>
      <x:c r="AE14" s="346" t="str">
        <x:v>No</x:v>
      </x:c>
    </x:row>
    <x:row r="15" ht="36" customHeight="1">
      <x:c r="A15" s="359" t="str">
        <x:v>Public Cryptographic Design</x:v>
      </x:c>
      <x:c r="B15" s="346" t="str">
        <x:v>Yes - DAVE design public</x:v>
      </x:c>
      <x:c r="C15" s="346" t="str">
        <x:v>No public text-E2EE design verified</x:v>
      </x:c>
      <x:c r="D15" s="346" t="str">
        <x:v>Yes - founder publishes design boundaries/primitives</x:v>
      </x:c>
      <x:c r="E15" s="346" t="str">
        <x:v>E2EE roadmap/design discussion public, but not deployed as policy baseline</x:v>
      </x:c>
      <x:c r="F15" s="346" t="str">
        <x:v>No public crypto protocol</x:v>
      </x:c>
      <x:c r="G15" s="346" t="str">
        <x:v>Yes - open specification/MSC process</x:v>
      </x:c>
      <x:c r="H15" s="346" t="str">
        <x:v>No mature platform-wide crypto design verified</x:v>
      </x:c>
      <x:c r="I15" s="346" t="str">
        <x:v>Public protocol/source</x:v>
      </x:c>
      <x:c r="J15" s="346" t="str">
        <x:v>Limited public details</x:v>
      </x:c>
      <x:c r="K15" s="346" t="str">
        <x:v>Open source but no E2EE protocol</x:v>
      </x:c>
      <x:c r="L15" s="346" t="str">
        <x:v>Open-source implementation for core messaging</x:v>
      </x:c>
      <x:c r="M15" s="346" t="str">
        <x:v>Public implementation/docs</x:v>
      </x:c>
      <x:c r="N15" s="346" t="str">
        <x:v>No public cryptographic design found</x:v>
      </x:c>
      <x:c r="O15" s="346" t="str">
        <x:v>No public E2EE design</x:v>
      </x:c>
      <x:c r="P15" s="346" t="str">
        <x:v>No public E2EE design</x:v>
      </x:c>
      <x:c r="Q15" s="346" t="str">
        <x:v>Signal/MLS claims appear in project material; current production coverage U/K</x:v>
      </x:c>
      <x:c r="R15" s="346" t="str">
        <x:v>Protocol work U/K</x:v>
      </x:c>
      <x:c r="S15" s="346" t="str">
        <x:v>Public implementation available; exact crypto design U/K</x:v>
      </x:c>
      <x:c r="T15" s="346" t="str">
        <x:v>No public mature E2EE design verified</x:v>
      </x:c>
      <x:c r="U15" s="346" t="str">
        <x:v>No public crypto design</x:v>
      </x:c>
      <x:c r="V15" s="346" t="str">
        <x:v>No public E2EE design</x:v>
      </x:c>
      <x:c r="W15" s="346" t="str">
        <x:v>No</x:v>
      </x:c>
      <x:c r="X15" s="346" t="str">
        <x:v>Open protocol/code</x:v>
      </x:c>
      <x:c r="Y15" s="346" t="str">
        <x:v>Whitepaper/source public</x:v>
      </x:c>
      <x:c r="Z15" s="346" t="str">
        <x:v>Public docs/source</x:v>
      </x:c>
      <x:c r="AA15" s="380" t="str">
        <x:v>Yes - protocol model publicly described</x:v>
      </x:c>
      <x:c r="AB15" s="346" t="str">
        <x:v>No</x:v>
      </x:c>
      <x:c r="AC15" s="346" t="str">
        <x:v>No public E2EE protocol</x:v>
      </x:c>
      <x:c r="AD15" s="346" t="str">
        <x:v>No public E2EE design</x:v>
      </x:c>
      <x:c r="AE15" s="346" t="str">
        <x:v>No public E2EE design</x:v>
      </x:c>
    </x:row>
    <x:row r="16" ht="36" customHeight="1">
      <x:c r="A16" s="359" t="str">
        <x:v>Independent Cryptographic Audit</x:v>
      </x:c>
      <x:c r="B16" s="346" t="str">
        <x:v>Trail of Bits reviews of DAVE (2024/2025)</x:v>
      </x:c>
      <x:c r="C16" s="346" t="str">
        <x:v>No comprehensive crypto audit verified</x:v>
      </x:c>
      <x:c r="D16" s="346" t="str">
        <x:v>No independent audit published</x:v>
      </x:c>
      <x:c r="E16" s="346" t="str">
        <x:v>No comprehensive audit verified</x:v>
      </x:c>
      <x:c r="F16" s="346" t="str">
        <x:v>No public audit verified</x:v>
      </x:c>
      <x:c r="G16" s="346" t="str">
        <x:v>Multiple implementation/protocol audits; no single universal client audit</x:v>
      </x:c>
      <x:c r="H16" s="346" t="str">
        <x:v>No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Security certifications/audits vary by offering</x:v>
      </x:c>
      <x:c r="M16" s="346" t="str">
        <x:v>Audit status 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No audit verified</x:v>
      </x:c>
      <x:c r="S16" s="346" t="str">
        <x:v>Audit U/K</x:v>
      </x:c>
      <x:c r="T16" s="346" t="str">
        <x:v>No independent audit verified</x:v>
      </x:c>
      <x:c r="U16" s="346" t="str">
        <x:v>U/K</x:v>
      </x:c>
      <x:c r="V16" s="346" t="str">
        <x:v>No</x:v>
      </x:c>
      <x:c r="W16" s="346" t="str">
        <x:v>U/K</x:v>
      </x:c>
      <x:c r="X16" s="346" t="str">
        <x:v>Audit U/K</x:v>
      </x:c>
      <x:c r="Y16" s="346" t="str">
        <x:v>Independent audit U/K</x:v>
      </x:c>
      <x:c r="Z16" s="346" t="str">
        <x:v>Audit U/K</x:v>
      </x:c>
      <x:c r="AA16" s="380" t="str">
        <x:v>No independent audit yet; Rift says audits are planned</x:v>
      </x:c>
      <x:c r="AB16" s="346" t="str">
        <x:v>U/K</x:v>
      </x:c>
      <x:c r="AC16" s="346" t="str">
        <x:v>No audit verified</x:v>
      </x:c>
      <x:c r="AD16" s="346" t="str">
        <x:v>U/K</x:v>
      </x:c>
      <x:c r="AE16" s="346" t="str">
        <x:v>U/K</x:v>
      </x:c>
    </x:row>
    <x:row r="17" ht="36" customHeight="1">
      <x:c r="A17" s="360" t="str">
        <x:v>Encryption Scope Notes</x:v>
      </x:c>
      <x:c r="B17" s="349" t="str">
        <x:v>Discord text chat remains server-readable even though voice/video is now E2EE.</x:v>
      </x:c>
      <x:c r="C17" s="349" t="str">
        <x:v>Do not infer LiveKit's E2EE capability means Stoat currently enables E2EE.</x:v>
      </x:c>
      <x:c r="D17" s="349" t="str">
        <x:v>Fenrid itself cautions that its home-grown design is not equivalent to Signal's mature ratchet protocol.</x:v>
      </x:c>
      <x:c r="E17" s="349" t="str">
        <x:v>Latest privacy policy explicitly says nothing on Fluxer is E2EE yet; voice/video E2EE is in development.</x:v>
      </x:c>
      <x:c r="F17" s="349" t="str">
        <x:v>Privacy policy says calls are real-time and not stored, but does not claim end-to-end encryption.</x:v>
      </x:c>
      <x:c r="G17" s="349" t="str">
        <x:v>Matrix supports E2EE, but whether a room is encrypted and how UX works is client/homeserver-dependent.</x:v>
      </x:c>
      <x:c r="H17" s="349" t="str">
        <x:v>Self-hosting changes who you trust; it does not automatically create end-to-end encryption.</x:v>
      </x:c>
      <x:c r="I17" s="349" t="str">
        <x:v>Strong encrypted transport is not the same as E2EE from client to client.</x:v>
      </x:c>
      <x:c r="J17" s="349" t="str">
        <x:v>Proprietary protocol makes fine-grained verification harder; unknowns are marked U/K.</x:v>
      </x:c>
      <x:c r="K17" s="349" t="str">
        <x:v>Zulip prioritizes searchable server-side team history rather than E2EE chat.</x:v>
      </x:c>
      <x:c r="L17" s="349" t="str">
        <x:v>Self-hosting can keep plaintext under your organization's control, but is not E2EE.</x:v>
      </x:c>
      <x:c r="M17" s="349" t="str">
        <x:v>Federation documentation explicitly says E2EE is not supported across federated servers.</x:v>
      </x:c>
      <x:c r="N17" s="349" t="str">
        <x:v>Voice E2EE is claimed; do not extend that claim to text messages.</x:v>
      </x:c>
      <x:c r="O17" s="349" t="str">
        <x:v>No default E2EE was verified.</x:v>
      </x:c>
      <x:c r="P17" s="349" t="str">
        <x:v>Privacy policy says calls use encrypted connections; that is not the same as E2EE.</x:v>
      </x:c>
      <x:c r="Q17" s="349" t="str">
        <x:v>Treat E2EE claims as feature-scope specific, not universal.</x:v>
      </x:c>
      <x:c r="R17" s="349" t="str">
        <x:v>Developer states E2EE is per-conversation opt-in and default is currently unencrypted.</x:v>
      </x:c>
      <x:c r="S17" s="349" t="str">
        <x:v>Marketing/repo claims E2EE; exact room-by-room defaults should be verified before high-stakes use.</x:v>
      </x:c>
      <x:c r="T17" s="349" t="str">
        <x:v>Do not treat privacy-first marketing as proof of deployed E2EE.</x:v>
      </x:c>
      <x:c r="U17" s="349" t="str">
        <x:v>Self-hosting/data sovereignty is the main privacy control, not verified E2EE.</x:v>
      </x:c>
      <x:c r="V17" s="349" t="str">
        <x:v>Project discussions explicitly say E2EE is not currently implemented.</x:v>
      </x:c>
      <x:c r="W17" s="349" t="str">
        <x:v>Privacy inherits ATProto/server design rather than E2EE.</x:v>
      </x:c>
      <x:c r="X17" s="349" t="str">
        <x:v>Strong privacy architecture, but independent audit status is U/K.</x:v>
      </x:c>
      <x:c r="Y17" s="349" t="str">
        <x:v>Crypto architecture is ambitious; independent audit status remains U/K.</x:v>
      </x:c>
      <x:c r="Z17" s="349" t="str">
        <x:v>Encryption depends on which DCTS messaging mode is used.</x:v>
      </x:c>
      <x:c r="AA17" s="381" t="str">
        <x:v>DM text and direct calls are E2EE; Shard/community text and Splinters are not.</x:v>
      </x:c>
      <x:c r="AB17" s="349" t="str">
        <x:v>No public E2EE design verified.</x:v>
      </x:c>
      <x:c r="AC17" s="349" t="str">
        <x:v>Security details are sparse; do not infer E2EE from WebRTC/LiveKit.</x:v>
      </x:c>
      <x:c r="AD17" s="349" t="str">
        <x:v>Privacy focus is data policy/open source/self-hosting rather than E2EE messaging.</x:v>
      </x:c>
      <x:c r="AE17" s="349" t="str">
        <x:v>Security model is typical hosted app; no E2EE claim verified.</x:v>
      </x:c>
    </x:row>
    <x:row r="18" ht="23" customHeight="1">
      <x:c r="A18" s="389" t="str">
        <x:v>Key Management &amp; Encrypted Content</x:v>
      </x:c>
      <x:c r="B18" s="389"/>
      <x:c r="C18" s="389"/>
      <x:c r="D18" s="389"/>
      <x:c r="E18" s="389"/>
      <x:c r="F18" s="389"/>
      <x:c r="G18" s="389"/>
      <x:c r="H18" s="389"/>
      <x:c r="I18" s="389"/>
      <x:c r="J18" s="389"/>
      <x:c r="K18" s="389"/>
      <x:c r="L18" s="389"/>
      <x:c r="M18" s="389"/>
      <x:c r="N18" s="389"/>
      <x:c r="O18" s="389"/>
      <x:c r="P18" s="389"/>
      <x:c r="Q18" s="389"/>
      <x:c r="R18" s="389"/>
      <x:c r="S18" s="389"/>
      <x:c r="T18" s="389"/>
      <x:c r="U18" s="389"/>
      <x:c r="V18" s="389"/>
      <x:c r="W18" s="389"/>
      <x:c r="X18" s="389"/>
      <x:c r="Y18" s="389"/>
      <x:c r="Z18" s="389"/>
      <x:c r="AA18" s="389"/>
      <x:c r="AB18" s="389"/>
      <x:c r="AC18" s="389"/>
      <x:c r="AD18" s="389"/>
      <x:c r="AE18" s="389"/>
    </x:row>
    <x:row r="19" ht="36" customHeight="1">
      <x:c r="A19" s="378" t="str">
        <x:v>Encrypted Attachments / Media with E2EE</x:v>
      </x:c>
      <x:c r="B19" s="346" t="str">
        <x:v>Voice/video media E2EE; text attachments not DM-text E2EE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Yes in encrypted rooms (client-dependent)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DM attachment behavior 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78" t="str">
        <x:v>Device Verification / Trust UX</x:v>
      </x:c>
      <x:c r="B20" s="346" t="str">
        <x:v>DAVE verification mechanisms exist for calls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Yes - client-dependent cross-signing/device verification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U/K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78" t="str">
        <x:v>Encrypted Backup / Key Recovery</x:v>
      </x:c>
      <x:c r="B21" s="346" t="str">
        <x:v>N/A for non-E2EE text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Client/provider dependent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78" t="str">
        <x:v>Server-Side Search Works on E2EE Text</x:v>
      </x:c>
      <x:c r="B22" s="346" t="str">
        <x:v>N/A - text not E2EE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Generally limited/client-side depending implementation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DM search model 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</x:sheetData>
  <x:mergeCells>
    <x:mergeCell ref="A1:AE1"/>
  </x:mergeCells>
  <x:conditionalFormatting sqref="B3:AE17">
    <x:cfRule type="expression" dxfId="58" priority="1">
      <x:formula>ISNUMBER(SEARCH("U/K",B3))</x:formula>
    </x:cfRule>
    <x:cfRule type="expression" dxfId="59" priority="2">
      <x:formula>OR(B3="N/A",LEFT(B3,4)="N/A ")</x:formula>
    </x:cfRule>
  </x:conditionalFormatting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Encryption &amp; Privacy - Atomic Matrix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Transport &amp; Storage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TLS in Transit?</x:v>
      </x:c>
      <x:c r="B4" s="346" t="str">
        <x:f>IF('Security &amp; Privacy'!$B$3="","U/K",'Security &amp; Privacy'!$B$3)</x:f>
        <x:v>TLS in transit; exact TLS 1.3 enforcement U/K</x:v>
      </x:c>
      <x:c r="C4" s="346" t="str">
        <x:f>IF('Security &amp; Privacy'!$C$3="","U/K",'Security &amp; Privacy'!$C$3)</x:f>
        <x:v>TLS in transit</x:v>
      </x:c>
      <x:c r="D4" s="346" t="str">
        <x:f>IF('Security &amp; Privacy'!$D$3="","U/K",'Security &amp; Privacy'!$D$3)</x:f>
        <x:v>TLS in transit</x:v>
      </x:c>
      <x:c r="E4" s="346" t="str">
        <x:f>IF('Security &amp; Privacy'!$E$3="","U/K",'Security &amp; Privacy'!$E$3)</x:f>
        <x:v>Encrypted in transit; at rest for stored content</x:v>
      </x:c>
      <x:c r="F4" s="346" t="str">
        <x:f>IF('Security &amp; Privacy'!$F$3="","U/K",'Security &amp; Privacy'!$F$3)</x:f>
        <x:v>TLS in transit</x:v>
      </x:c>
      <x:c r="G4" s="346" t="str">
        <x:f>IF('Security &amp; Privacy'!$G$3="","U/K",'Security &amp; Privacy'!$G$3)</x:f>
        <x:v>HTTPS/TLS transport; implementation-dependent TLS configuration</x:v>
      </x:c>
      <x:c r="H4" s="346" t="str">
        <x:f>IF('Security &amp; Privacy'!$H$3="","U/K",'Security &amp; Privacy'!$H$3)</x:f>
        <x:v>TLS when correctly deployed; operator-controlled</x:v>
      </x:c>
      <x:c r="I4" s="346" t="str">
        <x:f>IF('Security &amp; Privacy'!$I$3="","U/K",'Security &amp; Privacy'!$I$3)</x:f>
        <x:v>TLS control channel + encrypted voice transport</x:v>
      </x:c>
      <x:c r="J4" s="346" t="str">
        <x:f>IF('Security &amp; Privacy'!$J$3="","U/K",'Security &amp; Privacy'!$J$3)</x:f>
        <x:v>Encrypted transport</x:v>
      </x:c>
      <x:c r="K4" s="346" t="str">
        <x:f>IF('Security &amp; Privacy'!$K$3="","U/K",'Security &amp; Privacy'!$K$3)</x:f>
        <x:v>TLS in transit</x:v>
      </x:c>
      <x:c r="L4" s="346" t="str">
        <x:f>IF('Security &amp; Privacy'!$L$3="","U/K",'Security &amp; Privacy'!$L$3)</x:f>
        <x:v>TLS configurable; enterprise deployment-controlled</x:v>
      </x:c>
      <x:c r="M4" s="346" t="str">
        <x:f>IF('Security &amp; Privacy'!$M$3="","U/K",'Security &amp; Privacy'!$M$3)</x:f>
        <x:v>TLS in transit configurable</x:v>
      </x:c>
      <x:c r="N4" s="346" t="str">
        <x:f>IF('Security &amp; Privacy'!$N$3="","U/K",'Security &amp; Privacy'!$N$3)</x:f>
        <x:v>TLS in transit</x:v>
      </x:c>
      <x:c r="O4" s="346" t="str">
        <x:f>IF('Security &amp; Privacy'!$O$3="","U/K",'Security &amp; Privacy'!$O$3)</x:f>
        <x:v>TLS in transit</x:v>
      </x:c>
      <x:c r="P4" s="346" t="str">
        <x:f>IF('Security &amp; Privacy'!$P$3="","U/K",'Security &amp; Privacy'!$P$3)</x:f>
        <x:v>TLS/encrypted connections</x:v>
      </x:c>
      <x:c r="Q4" s="346" t="str">
        <x:f>IF('Security &amp; Privacy'!$Q$3="","U/K",'Security &amp; Privacy'!$Q$3)</x:f>
        <x:v>TLS</x:v>
      </x:c>
      <x:c r="R4" s="346" t="str">
        <x:f>IF('Security &amp; Privacy'!$R$3="","U/K",'Security &amp; Privacy'!$R$3)</x:f>
        <x:v>TLS</x:v>
      </x:c>
      <x:c r="S4" s="346" t="str">
        <x:f>IF('Security &amp; Privacy'!$S$3="","U/K",'Security &amp; Privacy'!$S$3)</x:f>
        <x:v>TLS</x:v>
      </x:c>
      <x:c r="T4" s="346" t="str">
        <x:f>IF('Security &amp; Privacy'!$T$3="","U/K",'Security &amp; Privacy'!$T$3)</x:f>
        <x:v>TLS</x:v>
      </x:c>
      <x:c r="U4" s="346" t="str">
        <x:f>IF('Security &amp; Privacy'!$U$3="","U/K",'Security &amp; Privacy'!$U$3)</x:f>
        <x:v>TLS</x:v>
      </x:c>
      <x:c r="V4" s="346" t="str">
        <x:f>IF('Security &amp; Privacy'!$V$3="","U/K",'Security &amp; Privacy'!$V$3)</x:f>
        <x:v>TLS when deployed</x:v>
      </x:c>
      <x:c r="W4" s="346" t="str">
        <x:f>IF('Security &amp; Privacy'!$W$3="","U/K",'Security &amp; Privacy'!$W$3)</x:f>
        <x:v>TLS</x:v>
      </x:c>
      <x:c r="X4" s="346" t="str">
        <x:f>IF('Security &amp; Privacy'!$X$3="","U/K",'Security &amp; Privacy'!$X$3)</x:f>
        <x:v>TLS + Nostr relay transport</x:v>
      </x:c>
      <x:c r="Y4" s="346" t="str">
        <x:f>IF('Security &amp; Privacy'!$Y$3="","U/K",'Security &amp; Privacy'!$Y$3)</x:f>
        <x:v>TLS relays + end-to-end crypto</x:v>
      </x:c>
      <x:c r="Z4" s="346" t="str">
        <x:f>IF('Security &amp; Privacy'!$Z$3="","U/K",'Security &amp; Privacy'!$Z$3)</x:f>
        <x:v>TLS required for network access</x:v>
      </x:c>
      <x:c r="AA4" s="380" t="str">
        <x:f>IF('Security &amp; Privacy'!$AA$3="","U/K",'Security &amp; Privacy'!$AA$3)</x:f>
        <x:v>TLS</x:v>
      </x:c>
      <x:c r="AB4" s="346" t="str">
        <x:f>IF('Security &amp; Privacy'!$AB$3="","U/K",'Security &amp; Privacy'!$AB$3)</x:f>
        <x:v>TLS</x:v>
      </x:c>
      <x:c r="AC4" s="346" t="str">
        <x:f>IF('Security &amp; Privacy'!$AC$3="","U/K",'Security &amp; Privacy'!$AC$3)</x:f>
        <x:v>TLS</x:v>
      </x:c>
      <x:c r="AD4" s="346" t="str">
        <x:f>IF('Security &amp; Privacy'!$AD$3="","U/K",'Security &amp; Privacy'!$AD$3)</x:f>
        <x:v>TLS</x:v>
      </x:c>
      <x:c r="AE4" s="346" t="str">
        <x:f>IF('Security &amp; Privacy'!$AE$3="","U/K",'Security &amp; Privacy'!$AE$3)</x:f>
        <x:v>TLS</x:v>
      </x:c>
    </x:row>
    <x:row r="5" ht="36" customHeight="1">
      <x:c r="A5" s="359" t="str">
        <x:v>TLS 1.3 Explicitly Documented?</x:v>
      </x:c>
      <x:c r="B5" s="346" t="str">
        <x:v>Yes</x:v>
      </x:c>
      <x:c r="C5" s="346" t="str">
        <x:v>U/K</x:v>
      </x:c>
      <x:c r="D5" s="346" t="str">
        <x:v>U/K</x:v>
      </x:c>
      <x:c r="E5" s="346" t="str">
        <x:v>U/K</x:v>
      </x:c>
      <x:c r="F5" s="346" t="str">
        <x:v>U/K</x:v>
      </x:c>
      <x:c r="G5" s="346" t="str">
        <x:v>U/K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U/K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Encryption at Rest?</x:v>
      </x:c>
      <x:c r="B6" s="346" t="str">
        <x:v>Yes</x:v>
      </x:c>
      <x:c r="C6" s="346" t="str">
        <x:v>U/K</x:v>
      </x:c>
      <x:c r="D6" s="346" t="str">
        <x:v>U/K</x:v>
      </x:c>
      <x:c r="E6" s="346" t="str">
        <x:v>Yes</x:v>
      </x:c>
      <x:c r="F6" s="346" t="str">
        <x:v>U/K</x:v>
      </x:c>
      <x:c r="G6" s="346" t="str">
        <x:v>U/K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Yes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23" customHeight="1">
      <x:c r="A7" s="427" t="str">
        <x:v>Text E2EE</x:v>
      </x:c>
      <x:c r="B7" s="427"/>
      <x:c r="C7" s="427"/>
      <x:c r="D7" s="427"/>
      <x:c r="E7" s="427"/>
      <x:c r="F7" s="427"/>
      <x:c r="G7" s="427"/>
      <x:c r="H7" s="427"/>
      <x:c r="I7" s="427"/>
      <x:c r="J7" s="427"/>
      <x:c r="K7" s="427"/>
      <x:c r="L7" s="427"/>
      <x:c r="M7" s="427"/>
      <x:c r="N7" s="427"/>
      <x:c r="O7" s="427"/>
      <x:c r="P7" s="427"/>
      <x:c r="Q7" s="427"/>
      <x:c r="R7" s="427"/>
      <x:c r="S7" s="427"/>
      <x:c r="T7" s="427"/>
      <x:c r="U7" s="427"/>
      <x:c r="V7" s="427"/>
      <x:c r="W7" s="427"/>
      <x:c r="X7" s="427"/>
      <x:c r="Y7" s="427"/>
      <x:c r="Z7" s="427"/>
      <x:c r="AA7" s="427"/>
      <x:c r="AB7" s="427"/>
      <x:c r="AC7" s="427"/>
      <x:c r="AD7" s="427"/>
      <x:c r="AE7" s="427"/>
    </x:row>
    <x:row r="8" ht="36" customHeight="1">
      <x:c r="A8" s="359" t="str">
        <x:v>1:1 DM Text E2EE?</x:v>
      </x:c>
      <x:c r="B8" s="346" t="str">
        <x:f>IF('Encryption Details'!$B$3="","U/K",'Encryption Details'!$B$3)</x:f>
        <x:v>No (text)</x:v>
      </x:c>
      <x:c r="C8" s="346" t="str">
        <x:f>IF('Encryption Details'!$C$3="","U/K",'Encryption Details'!$C$3)</x:f>
        <x:v>No default E2EE verified</x:v>
      </x:c>
      <x:c r="D8" s="346" t="str">
        <x:f>IF('Encryption Details'!$D$3="","U/K",'Encryption Details'!$D$3)</x:f>
        <x:v>Yes</x:v>
      </x:c>
      <x:c r="E8" s="346" t="str">
        <x:f>IF('Encryption Details'!$E$3="","U/K",'Encryption Details'!$E$3)</x:f>
        <x:v>No</x:v>
      </x:c>
      <x:c r="F8" s="346" t="str">
        <x:f>IF('Encryption Details'!$F$3="","U/K",'Encryption Details'!$F$3)</x:f>
        <x:v>No claim / treated as server-readable</x:v>
      </x:c>
      <x:c r="G8" s="346" t="str">
        <x:f>IF('Encryption Details'!$G$3="","U/K",'Encryption Details'!$G$3)</x:f>
        <x:v>Supported; default depends on client/room</x:v>
      </x:c>
      <x:c r="H8" s="346" t="str">
        <x:f>IF('Encryption Details'!$H$3="","U/K",'Encryption Details'!$H$3)</x:f>
        <x:v>No documented default</x:v>
      </x:c>
      <x:c r="I8" s="346" t="str">
        <x:f>IF('Encryption Details'!$I$3="","U/K",'Encryption Details'!$I$3)</x:f>
        <x:v>N/A</x:v>
      </x:c>
      <x:c r="J8" s="346" t="str">
        <x:f>IF('Encryption Details'!$J$3="","U/K",'Encryption Details'!$J$3)</x:f>
        <x:v>U/K</x:v>
      </x:c>
      <x:c r="K8" s="346" t="str">
        <x:f>IF('Encryption Details'!$K$3="","U/K",'Encryption Details'!$K$3)</x:f>
        <x:v>No</x:v>
      </x:c>
      <x:c r="L8" s="346" t="str">
        <x:f>IF('Encryption Details'!$L$3="","U/K",'Encryption Details'!$L$3)</x:f>
        <x:v>No</x:v>
      </x:c>
      <x:c r="M8" s="346" t="str">
        <x:f>IF('Encryption Details'!$M$3="","U/K",'Encryption Details'!$M$3)</x:f>
        <x:v>Available in supported E2EE conversations</x:v>
      </x:c>
      <x:c r="N8" s="346" t="str">
        <x:f>IF('Encryption Details'!$N$3="","U/K",'Encryption Details'!$N$3)</x:f>
        <x:v>No</x:v>
      </x:c>
      <x:c r="O8" s="346" t="str">
        <x:f>IF('Encryption Details'!$O$3="","U/K",'Encryption Details'!$O$3)</x:f>
        <x:v>No default E2EE verified</x:v>
      </x:c>
      <x:c r="P8" s="346" t="str">
        <x:f>IF('Encryption Details'!$P$3="","U/K",'Encryption Details'!$P$3)</x:f>
        <x:v>No</x:v>
      </x:c>
      <x:c r="Q8" s="346" t="str">
        <x:f>IF('Encryption Details'!$Q$3="","U/K",'Encryption Details'!$Q$3)</x:f>
        <x:v>Eligible content E2EE; exact DM default U/K</x:v>
      </x:c>
      <x:c r="R8" s="346" t="str">
        <x:f>IF('Encryption Details'!$R$3="","U/K",'Encryption Details'!$R$3)</x:f>
        <x:v>No by default</x:v>
      </x:c>
      <x:c r="S8" s="346" t="str">
        <x:f>IF('Encryption Details'!$S$3="","U/K",'Encryption Details'!$S$3)</x:f>
        <x:v>E2EE claimed</x:v>
      </x:c>
      <x:c r="T8" s="346" t="str">
        <x:f>IF('Encryption Details'!$T$3="","U/K",'Encryption Details'!$T$3)</x:f>
        <x:v>Not yet/default U/K</x:v>
      </x:c>
      <x:c r="U8" s="346" t="str">
        <x:f>IF('Encryption Details'!$U$3="","U/K",'Encryption Details'!$U$3)</x:f>
        <x:v>U/K</x:v>
      </x:c>
      <x:c r="V8" s="346" t="str">
        <x:f>IF('Encryption Details'!$V$3="","U/K",'Encryption Details'!$V$3)</x:f>
        <x:v>No</x:v>
      </x:c>
      <x:c r="W8" s="346" t="str">
        <x:f>IF('Encryption Details'!$W$3="","U/K",'Encryption Details'!$W$3)</x:f>
        <x:v>No default E2EE verified</x:v>
      </x:c>
      <x:c r="X8" s="346" t="str">
        <x:f>IF('Encryption Details'!$X$3="","U/K",'Encryption Details'!$X$3)</x:f>
        <x:v>Yes</x:v>
      </x:c>
      <x:c r="Y8" s="346" t="str">
        <x:f>IF('Encryption Details'!$Y$3="","U/K",'Encryption Details'!$Y$3)</x:f>
        <x:v>Yes</x:v>
      </x:c>
      <x:c r="Z8" s="346" t="str">
        <x:f>IF('Encryption Details'!$Z$3="","U/K",'Encryption Details'!$Z$3)</x:f>
        <x:v>Yes for desktop server DMs when enabled; messenger always yes</x:v>
      </x:c>
      <x:c r="AA8" s="380" t="str">
        <x:v>Yes - Signal-style X3DH/Double Ratchet</x:v>
      </x:c>
      <x:c r="AB8" s="346" t="str">
        <x:f>IF('Encryption Details'!$AB$3="","U/K",'Encryption Details'!$AB$3)</x:f>
        <x:v>No E2EE claim</x:v>
      </x:c>
      <x:c r="AC8" s="346" t="str">
        <x:f>IF('Encryption Details'!$AC$3="","U/K",'Encryption Details'!$AC$3)</x:f>
        <x:v>No default text E2EE verified</x:v>
      </x:c>
      <x:c r="AD8" s="346" t="str">
        <x:f>IF('Encryption Details'!$AD$3="","U/K",'Encryption Details'!$AD$3)</x:f>
        <x:v>No default E2EE claim</x:v>
      </x:c>
      <x:c r="AE8" s="346" t="str">
        <x:f>IF('Encryption Details'!$AE$3="","U/K",'Encryption Details'!$AE$3)</x:f>
        <x:v>No</x:v>
      </x:c>
    </x:row>
    <x:row r="9" ht="36" customHeight="1">
      <x:c r="A9" s="359" t="str">
        <x:v>Group DM Text E2EE?</x:v>
      </x:c>
      <x:c r="B9" s="346" t="str">
        <x:f>IF('Encryption Details'!$B$4="","U/K",'Encryption Details'!$B$4)</x:f>
        <x:v>No (text)</x:v>
      </x:c>
      <x:c r="C9" s="346" t="str">
        <x:f>IF('Encryption Details'!$C$4="","U/K",'Encryption Details'!$C$4)</x:f>
        <x:v>No default E2EE verified</x:v>
      </x:c>
      <x:c r="D9" s="346" t="str">
        <x:f>IF('Encryption Details'!$D$4="","U/K",'Encryption Details'!$D$4)</x:f>
        <x:v>U/K for multi-person DMs</x:v>
      </x:c>
      <x:c r="E9" s="346" t="str">
        <x:f>IF('Encryption Details'!$E$4="","U/K",'Encryption Details'!$E$4)</x:f>
        <x:v>No</x:v>
      </x:c>
      <x:c r="F9" s="346" t="str">
        <x:f>IF('Encryption Details'!$F$4="","U/K",'Encryption Details'!$F$4)</x:f>
        <x:v>No claim</x:v>
      </x:c>
      <x:c r="G9" s="346" t="str">
        <x:f>IF('Encryption Details'!$G$4="","U/K",'Encryption Details'!$G$4)</x:f>
        <x:v>Supported in encrypted rooms</x:v>
      </x:c>
      <x:c r="H9" s="346" t="str">
        <x:f>IF('Encryption Details'!$H$4="","U/K",'Encryption Details'!$H$4)</x:f>
        <x:v>No documented default</x:v>
      </x:c>
      <x:c r="I9" s="346" t="str">
        <x:f>IF('Encryption Details'!$I$4="","U/K",'Encryption Details'!$I$4)</x:f>
        <x:v>N/A</x:v>
      </x:c>
      <x:c r="J9" s="346" t="str">
        <x:f>IF('Encryption Details'!$J$4="","U/K",'Encryption Details'!$J$4)</x:f>
        <x:v>U/K</x:v>
      </x:c>
      <x:c r="K9" s="346" t="str">
        <x:f>IF('Encryption Details'!$K$4="","U/K",'Encryption Details'!$K$4)</x:f>
        <x:v>No</x:v>
      </x:c>
      <x:c r="L9" s="346" t="str">
        <x:f>IF('Encryption Details'!$L$4="","U/K",'Encryption Details'!$L$4)</x:f>
        <x:v>No</x:v>
      </x:c>
      <x:c r="M9" s="346" t="str">
        <x:f>IF('Encryption Details'!$M$4="","U/K",'Encryption Details'!$M$4)</x:f>
        <x:v>Available with limitations/version-dependent</x:v>
      </x:c>
      <x:c r="N9" s="346" t="str">
        <x:f>IF('Encryption Details'!$N$4="","U/K",'Encryption Details'!$N$4)</x:f>
        <x:v>No</x:v>
      </x:c>
      <x:c r="O9" s="346" t="str">
        <x:f>IF('Encryption Details'!$O$4="","U/K",'Encryption Details'!$O$4)</x:f>
        <x:v>No</x:v>
      </x:c>
      <x:c r="P9" s="346" t="str">
        <x:f>IF('Encryption Details'!$P$4="","U/K",'Encryption Details'!$P$4)</x:f>
        <x:v>No</x:v>
      </x:c>
      <x:c r="Q9" s="346" t="str">
        <x:f>IF('Encryption Details'!$Q$4="","U/K",'Encryption Details'!$Q$4)</x:f>
        <x:v>U/K</x:v>
      </x:c>
      <x:c r="R9" s="346" t="str">
        <x:f>IF('Encryption Details'!$R$4="","U/K",'Encryption Details'!$R$4)</x:f>
        <x:v>No by default/U/K</x:v>
      </x:c>
      <x:c r="S9" s="346" t="str">
        <x:f>IF('Encryption Details'!$S$4="","U/K",'Encryption Details'!$S$4)</x:f>
        <x:v>E2EE claimed</x:v>
      </x:c>
      <x:c r="T9" s="346" t="str">
        <x:f>IF('Encryption Details'!$T$4="","U/K",'Encryption Details'!$T$4)</x:f>
        <x:v>U/K</x:v>
      </x:c>
      <x:c r="U9" s="346" t="str">
        <x:f>IF('Encryption Details'!$U$4="","U/K",'Encryption Details'!$U$4)</x:f>
        <x:v>U/K</x:v>
      </x:c>
      <x:c r="V9" s="346" t="str">
        <x:f>IF('Encryption Details'!$V$4="","U/K",'Encryption Details'!$V$4)</x:f>
        <x:v>No</x:v>
      </x:c>
      <x:c r="W9" s="346" t="str">
        <x:f>IF('Encryption Details'!$W$4="","U/K",'Encryption Details'!$W$4)</x:f>
        <x:v>No</x:v>
      </x:c>
      <x:c r="X9" s="346" t="str">
        <x:f>IF('Encryption Details'!$X$4="","U/K",'Encryption Details'!$X$4)</x:f>
        <x:v>Yes</x:v>
      </x:c>
      <x:c r="Y9" s="346" t="str">
        <x:f>IF('Encryption Details'!$Y$4="","U/K",'Encryption Details'!$Y$4)</x:f>
        <x:v>Yes</x:v>
      </x:c>
      <x:c r="Z9" s="346" t="str">
        <x:f>IF('Encryption Details'!$Z$4="","U/K",'Encryption Details'!$Z$4)</x:f>
        <x:v>Messenger group scope U/K</x:v>
      </x:c>
      <x:c r="AA9" s="380" t="str">
        <x:v>No - Splinters encrypted at rest, not E2EE</x:v>
      </x:c>
      <x:c r="AB9" s="346" t="str">
        <x:f>IF('Encryption Details'!$AB$4="","U/K",'Encryption Details'!$AB$4)</x:f>
        <x:v>No</x:v>
      </x:c>
      <x:c r="AC9" s="346" t="str">
        <x:f>IF('Encryption Details'!$AC$4="","U/K",'Encryption Details'!$AC$4)</x:f>
        <x:v>No</x:v>
      </x:c>
      <x:c r="AD9" s="346" t="str">
        <x:f>IF('Encryption Details'!$AD$4="","U/K",'Encryption Details'!$AD$4)</x:f>
        <x:v>No</x:v>
      </x:c>
      <x:c r="AE9" s="346" t="str">
        <x:f>IF('Encryption Details'!$AE$4="","U/K",'Encryption Details'!$AE$4)</x:f>
        <x:v>No</x:v>
      </x:c>
    </x:row>
    <x:row r="10" ht="36" customHeight="1">
      <x:c r="A10" s="359" t="str">
        <x:v>Private Channel Text E2EE?</x:v>
      </x:c>
      <x:c r="B10" s="346" t="str">
        <x:f>IF('Encryption Details'!$B$5="","U/K",'Encryption Details'!$B$5)</x:f>
        <x:v>No (text)</x:v>
      </x:c>
      <x:c r="C10" s="346" t="str">
        <x:f>IF('Encryption Details'!$C$5="","U/K",'Encryption Details'!$C$5)</x:f>
        <x:v>No</x:v>
      </x:c>
      <x:c r="D10" s="346" t="str">
        <x:f>IF('Encryption Details'!$D$5="","U/K",'Encryption Details'!$D$5)</x:f>
        <x:v>No</x:v>
      </x:c>
      <x:c r="E10" s="346" t="str">
        <x:f>IF('Encryption Details'!$E$5="","U/K",'Encryption Details'!$E$5)</x:f>
        <x:v>No</x:v>
      </x:c>
      <x:c r="F10" s="346" t="str">
        <x:f>IF('Encryption Details'!$F$5="","U/K",'Encryption Details'!$F$5)</x:f>
        <x:v>No claim</x:v>
      </x:c>
      <x:c r="G10" s="346" t="str">
        <x:f>IF('Encryption Details'!$G$5="","U/K",'Encryption Details'!$G$5)</x:f>
        <x:v>Supported in encrypted rooms</x:v>
      </x:c>
      <x:c r="H10" s="346" t="str">
        <x:f>IF('Encryption Details'!$H$5="","U/K",'Encryption Details'!$H$5)</x:f>
        <x:v>No documented default</x:v>
      </x:c>
      <x:c r="I10" s="346" t="str">
        <x:f>IF('Encryption Details'!$I$5="","U/K",'Encryption Details'!$I$5)</x:f>
        <x:v>N/A</x:v>
      </x:c>
      <x:c r="J10" s="346" t="str">
        <x:f>IF('Encryption Details'!$J$5="","U/K",'Encryption Details'!$J$5)</x:f>
        <x:v>U/K</x:v>
      </x:c>
      <x:c r="K10" s="346" t="str">
        <x:f>IF('Encryption Details'!$K$5="","U/K",'Encryption Details'!$K$5)</x:f>
        <x:v>No</x:v>
      </x:c>
      <x:c r="L10" s="346" t="str">
        <x:f>IF('Encryption Details'!$L$5="","U/K",'Encryption Details'!$L$5)</x:f>
        <x:v>No</x:v>
      </x:c>
      <x:c r="M10" s="346" t="str">
        <x:f>IF('Encryption Details'!$M$5="","U/K",'Encryption Details'!$M$5)</x:f>
        <x:v>Available for encrypted rooms; federation has limitations</x:v>
      </x:c>
      <x:c r="N10" s="346" t="str">
        <x:f>IF('Encryption Details'!$N$5="","U/K",'Encryption Details'!$N$5)</x:f>
        <x:v>No</x:v>
      </x:c>
      <x:c r="O10" s="346" t="str">
        <x:f>IF('Encryption Details'!$O$5="","U/K",'Encryption Details'!$O$5)</x:f>
        <x:v>No</x:v>
      </x:c>
      <x:c r="P10" s="346" t="str">
        <x:f>IF('Encryption Details'!$P$5="","U/K",'Encryption Details'!$P$5)</x:f>
        <x:v>No</x:v>
      </x:c>
      <x:c r="Q10" s="346" t="str">
        <x:f>IF('Encryption Details'!$Q$5="","U/K",'Encryption Details'!$Q$5)</x:f>
        <x:v>U/K</x:v>
      </x:c>
      <x:c r="R10" s="346" t="str">
        <x:f>IF('Encryption Details'!$R$5="","U/K",'Encryption Details'!$R$5)</x:f>
        <x:v>No by default</x:v>
      </x:c>
      <x:c r="S10" s="346" t="str">
        <x:f>IF('Encryption Details'!$S$5="","U/K",'Encryption Details'!$S$5)</x:f>
        <x:v>Scope U/K</x:v>
      </x:c>
      <x:c r="T10" s="346" t="str">
        <x:f>IF('Encryption Details'!$T$5="","U/K",'Encryption Details'!$T$5)</x:f>
        <x:v>U/K</x:v>
      </x:c>
      <x:c r="U10" s="346" t="str">
        <x:f>IF('Encryption Details'!$U$5="","U/K",'Encryption Details'!$U$5)</x:f>
        <x:v>U/K</x:v>
      </x:c>
      <x:c r="V10" s="346" t="str">
        <x:f>IF('Encryption Details'!$V$5="","U/K",'Encryption Details'!$V$5)</x:f>
        <x:v>No</x:v>
      </x:c>
      <x:c r="W10" s="346" t="str">
        <x:f>IF('Encryption Details'!$W$5="","U/K",'Encryption Details'!$W$5)</x:f>
        <x:v>No</x:v>
      </x:c>
      <x:c r="X10" s="346" t="str">
        <x:f>IF('Encryption Details'!$X$5="","U/K",'Encryption Details'!$X$5)</x:f>
        <x:v>Yes</x:v>
      </x:c>
      <x:c r="Y10" s="346" t="str">
        <x:f>IF('Encryption Details'!$Y$5="","U/K",'Encryption Details'!$Y$5)</x:f>
        <x:v>Yes for private channels; public channels are intentionally plaintext/public</x:v>
      </x:c>
      <x:c r="Z10" s="346" t="str">
        <x:f>IF('Encryption Details'!$Z$5="","U/K",'Encryption Details'!$Z$5)</x:f>
        <x:v>No for normal server channels</x:v>
      </x:c>
      <x:c r="AA10" s="380" t="str">
        <x:v>No - Shard/community channels encrypted at rest</x:v>
      </x:c>
      <x:c r="AB10" s="346" t="str">
        <x:f>IF('Encryption Details'!$AB$5="","U/K",'Encryption Details'!$AB$5)</x:f>
        <x:v>No</x:v>
      </x:c>
      <x:c r="AC10" s="346" t="str">
        <x:f>IF('Encryption Details'!$AC$5="","U/K",'Encryption Details'!$AC$5)</x:f>
        <x:v>No</x:v>
      </x:c>
      <x:c r="AD10" s="346" t="str">
        <x:f>IF('Encryption Details'!$AD$5="","U/K",'Encryption Details'!$AD$5)</x:f>
        <x:v>No</x:v>
      </x:c>
      <x:c r="AE10" s="346" t="str">
        <x:f>IF('Encryption Details'!$AE$5="","U/K",'Encryption Details'!$AE$5)</x:f>
        <x:v>No</x:v>
      </x:c>
    </x:row>
    <x:row r="11" ht="36" customHeight="1">
      <x:c r="A11" s="359" t="str">
        <x:v>Public Channel Text E2EE?</x:v>
      </x:c>
      <x:c r="B11" s="346" t="str">
        <x:v>No</x:v>
      </x:c>
      <x:c r="C11" s="346" t="str">
        <x:v>U/K</x:v>
      </x:c>
      <x:c r="D11" s="346" t="str">
        <x:v>No</x:v>
      </x:c>
      <x:c r="E11" s="346" t="str">
        <x:v>No</x:v>
      </x:c>
      <x:c r="F11" s="346" t="str">
        <x:v>No</x:v>
      </x:c>
      <x:c r="G11" s="346" t="str">
        <x:v>Optional / room-dependent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No</x:v>
      </x:c>
      <x:c r="L11" s="346" t="str">
        <x:v>No</x:v>
      </x:c>
      <x:c r="M11" s="346" t="str">
        <x:v>Optional / room-dependent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Optional / room-dependent</x:v>
      </x:c>
      <x:c r="Z11" s="346" t="str">
        <x:v>U/K</x:v>
      </x:c>
      <x:c r="AA11" s="380" t="str">
        <x:v>No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9" t="str">
        <x:v>E2EE Default or Optional</x:v>
      </x:c>
      <x:c r="B12" s="346" t="str">
        <x:f>IF('Encryption Details'!$B$9="","U/K",'Encryption Details'!$B$9)</x:f>
        <x:v>Mandatory for supported voice/video; text not E2EE</x:v>
      </x:c>
      <x:c r="C12" s="346" t="str">
        <x:f>IF('Encryption Details'!$C$9="","U/K",'Encryption Details'!$C$9)</x:f>
        <x:v>U/K</x:v>
      </x:c>
      <x:c r="D12" s="346" t="str">
        <x:f>IF('Encryption Details'!$D$9="","U/K",'Encryption Details'!$D$9)</x:f>
        <x:v>DM encryption is intended/default; media status is evolving</x:v>
      </x:c>
      <x:c r="E12" s="346" t="str">
        <x:f>IF('Encryption Details'!$E$9="","U/K",'Encryption Details'!$E$9)</x:f>
        <x:v>Not E2EE as of 2026-09-13 privacy policy</x:v>
      </x:c>
      <x:c r="F12" s="346" t="str">
        <x:f>IF('Encryption Details'!$F$9="","U/K",'Encryption Details'!$F$9)</x:f>
        <x:v>Transport encryption only</x:v>
      </x:c>
      <x:c r="G12" s="346" t="str">
        <x:f>IF('Encryption Details'!$G$9="","U/K",'Encryption Details'!$G$9)</x:f>
        <x:v>Optional at protocol level; many clients default private chats to encrypted</x:v>
      </x:c>
      <x:c r="H12" s="346" t="str">
        <x:f>IF('Encryption Details'!$H$9="","U/K",'Encryption Details'!$H$9)</x:f>
        <x:v>No platform-wide E2EE guarantee</x:v>
      </x:c>
      <x:c r="I12" s="346" t="str">
        <x:f>IF('Encryption Details'!$I$9="","U/K",'Encryption Details'!$I$9)</x:f>
        <x:v>Transport encryption</x:v>
      </x:c>
      <x:c r="J12" s="346" t="str">
        <x:f>IF('Encryption Details'!$J$9="","U/K",'Encryption Details'!$J$9)</x:f>
        <x:v>U/K</x:v>
      </x:c>
      <x:c r="K12" s="346" t="str">
        <x:f>IF('Encryption Details'!$K$9="","U/K",'Encryption Details'!$K$9)</x:f>
        <x:v>Server-stored chat, no native E2EE</x:v>
      </x:c>
      <x:c r="L12" s="346" t="str">
        <x:f>IF('Encryption Details'!$L$9="","U/K",'Encryption Details'!$L$9)</x:f>
        <x:v>Server-side enterprise collaboration model</x:v>
      </x:c>
      <x:c r="M12" s="346" t="str">
        <x:f>IF('Encryption Details'!$M$9="","U/K",'Encryption Details'!$M$9)</x:f>
        <x:v>Optional/room-dependent</x:v>
      </x:c>
      <x:c r="N12" s="346" t="str">
        <x:f>IF('Encryption Details'!$N$9="","U/K",'Encryption Details'!$N$9)</x:f>
        <x:v>Voice only / text not claimed E2EE</x:v>
      </x:c>
      <x:c r="O12" s="346" t="str">
        <x:f>IF('Encryption Details'!$O$9="","U/K",'Encryption Details'!$O$9)</x:f>
        <x:v>Transport encryption only/U/K</x:v>
      </x:c>
      <x:c r="P12" s="346" t="str">
        <x:f>IF('Encryption Details'!$P$9="","U/K",'Encryption Details'!$P$9)</x:f>
        <x:v>Transport encryption</x:v>
      </x:c>
      <x:c r="Q12" s="346" t="str">
        <x:f>IF('Encryption Details'!$Q$9="","U/K",'Encryption Details'!$Q$9)</x:f>
        <x:v>Mixed/eligible content</x:v>
      </x:c>
      <x:c r="R12" s="346" t="str">
        <x:f>IF('Encryption Details'!$R$9="","U/K",'Encryption Details'!$R$9)</x:f>
        <x:v>Per-conversation opt-in planned; default unencrypted</x:v>
      </x:c>
      <x:c r="S12" s="346" t="str">
        <x:f>IF('Encryption Details'!$S$9="","U/K",'Encryption Details'!$S$9)</x:f>
        <x:v>Claimed zero-knowledge/E2EE</x:v>
      </x:c>
      <x:c r="T12" s="346" t="str">
        <x:f>IF('Encryption Details'!$T$9="","U/K",'Encryption Details'!$T$9)</x:f>
        <x:v>E2EE WIP; TLS today</x:v>
      </x:c>
      <x:c r="U12" s="346" t="str">
        <x:f>IF('Encryption Details'!$U$9="","U/K",'Encryption Details'!$U$9)</x:f>
        <x:v>Transport/self-host privacy model</x:v>
      </x:c>
      <x:c r="V12" s="346" t="str">
        <x:f>IF('Encryption Details'!$V$9="","U/K",'Encryption Details'!$V$9)</x:f>
        <x:v>No E2EE currently</x:v>
      </x:c>
      <x:c r="W12" s="346" t="str">
        <x:f>IF('Encryption Details'!$W$9="","U/K",'Encryption Details'!$W$9)</x:f>
        <x:v>No E2EE verified</x:v>
      </x:c>
      <x:c r="X12" s="346" t="str">
        <x:f>IF('Encryption Details'!$X$9="","U/K",'Encryption Details'!$X$9)</x:f>
        <x:v>E2EE by default for communities</x:v>
      </x:c>
      <x:c r="Y12" s="346" t="str">
        <x:f>IF('Encryption Details'!$Y$9="","U/K",'Encryption Details'!$Y$9)</x:f>
        <x:v>Mandatory for private communication; public channels intentionally not</x:v>
      </x:c>
      <x:c r="Z12" s="346" t="str">
        <x:f>IF('Encryption Details'!$Z$9="","U/K",'Encryption Details'!$Z$9)</x:f>
        <x:v>Messenger mandatory; server DM encryption optional</x:v>
      </x:c>
      <x:c r="AA12" s="380" t="str">
        <x:v>Default for DMs/direct calls; not used for Shard channels</x:v>
      </x:c>
      <x:c r="AB12" s="346" t="str">
        <x:f>IF('Encryption Details'!$AB$9="","U/K",'Encryption Details'!$AB$9)</x:f>
        <x:v>Transport encryption</x:v>
      </x:c>
      <x:c r="AC12" s="346" t="str">
        <x:f>IF('Encryption Details'!$AC$9="","U/K",'Encryption Details'!$AC$9)</x:f>
        <x:v>Transport/security details U/K</x:v>
      </x:c>
      <x:c r="AD12" s="346" t="str">
        <x:f>IF('Encryption Details'!$AD$9="","U/K",'Encryption Details'!$AD$9)</x:f>
        <x:v>Transport/server-side</x:v>
      </x:c>
      <x:c r="AE12" s="346" t="str">
        <x:f>IF('Encryption Details'!$AE$9="","U/K",'Encryption Details'!$AE$9)</x:f>
        <x:v>Transport encryption</x:v>
      </x:c>
    </x:row>
    <x:row r="13" ht="36" customHeight="1">
      <x:c r="A13" s="359" t="str">
        <x:v>Can Service / Server Read Text?</x:v>
      </x:c>
      <x:c r="B13" s="346" t="str">
        <x:f>IF('Encryption Details'!$B$10="","U/K",'Encryption Details'!$B$10)</x:f>
        <x:v>Yes for text</x:v>
      </x:c>
      <x:c r="C13" s="346" t="str">
        <x:f>IF('Encryption Details'!$C$10="","U/K",'Encryption Details'!$C$10)</x:f>
        <x:v>Yes for normal text</x:v>
      </x:c>
      <x:c r="D13" s="346" t="str">
        <x:f>IF('Encryption Details'!$D$10="","U/K",'Encryption Details'!$D$10)</x:f>
        <x:v>No for encrypted DM plaintext in normal flow; yes for community channels</x:v>
      </x:c>
      <x:c r="E13" s="346" t="str">
        <x:f>IF('Encryption Details'!$E$10="","U/K",'Encryption Details'!$E$10)</x:f>
        <x:v>Yes</x:v>
      </x:c>
      <x:c r="F13" s="346" t="str">
        <x:f>IF('Encryption Details'!$F$10="","U/K",'Encryption Details'!$F$10)</x:f>
        <x:v>Yes for stored text</x:v>
      </x:c>
      <x:c r="G13" s="346" t="str">
        <x:f>IF('Encryption Details'!$G$10="","U/K",'Encryption Details'!$G$10)</x:f>
        <x:v>Not for correctly E2EE-encrypted events; homeserver still stores ciphertext and metadata</x:v>
      </x:c>
      <x:c r="H13" s="346" t="str">
        <x:f>IF('Encryption Details'!$H$10="","U/K",'Encryption Details'!$H$10)</x:f>
        <x:v>Yes unless operator adds extra encryption</x:v>
      </x:c>
      <x:c r="I13" s="346" t="str">
        <x:f>IF('Encryption Details'!$I$10="","U/K",'Encryption Details'!$I$10)</x:f>
        <x:v>N/A for persistent chat; server handles voice routing</x:v>
      </x:c>
      <x:c r="J13" s="346" t="str">
        <x:f>IF('Encryption Details'!$J$10="","U/K",'Encryption Details'!$J$10)</x:f>
        <x:v>U/K</x:v>
      </x:c>
      <x:c r="K13" s="346" t="str">
        <x:f>IF('Encryption Details'!$K$10="","U/K",'Encryption Details'!$K$10)</x:f>
        <x:v>Yes</x:v>
      </x:c>
      <x:c r="L13" s="346" t="str">
        <x:f>IF('Encryption Details'!$L$10="","U/K",'Encryption Details'!$L$10)</x:f>
        <x:v>Yes</x:v>
      </x:c>
      <x:c r="M13" s="346" t="str">
        <x:f>IF('Encryption Details'!$M$10="","U/K",'Encryption Details'!$M$10)</x:f>
        <x:v>Not for local E2EE message bodies when functioning; server still sees metadata</x:v>
      </x:c>
      <x:c r="N13" s="346" t="str">
        <x:f>IF('Encryption Details'!$N$10="","U/K",'Encryption Details'!$N$10)</x:f>
        <x:v>Yes for text on hosted/self-host server</x:v>
      </x:c>
      <x:c r="O13" s="346" t="str">
        <x:f>IF('Encryption Details'!$O$10="","U/K",'Encryption Details'!$O$10)</x:f>
        <x:v>Yes for hosted text</x:v>
      </x:c>
      <x:c r="P13" s="346" t="str">
        <x:f>IF('Encryption Details'!$P$10="","U/K",'Encryption Details'!$P$10)</x:f>
        <x:v>Yes for text</x:v>
      </x:c>
      <x:c r="Q13" s="346" t="str">
        <x:f>IF('Encryption Details'!$Q$10="","U/K",'Encryption Details'!$Q$10)</x:f>
        <x:v>Depends encrypted content type</x:v>
      </x:c>
      <x:c r="R13" s="346" t="str">
        <x:f>IF('Encryption Details'!$R$10="","U/K",'Encryption Details'!$R$10)</x:f>
        <x:v>Yes for unencrypted content</x:v>
      </x:c>
      <x:c r="S13" s="346" t="str">
        <x:f>IF('Encryption Details'!$S$10="","U/K",'Encryption Details'!$S$10)</x:f>
        <x:v>U/K</x:v>
      </x:c>
      <x:c r="T13" s="346" t="str">
        <x:f>IF('Encryption Details'!$T$10="","U/K",'Encryption Details'!$T$10)</x:f>
        <x:v>Yes for current server-readable content</x:v>
      </x:c>
      <x:c r="U13" s="346" t="str">
        <x:f>IF('Encryption Details'!$U$10="","U/K",'Encryption Details'!$U$10)</x:f>
        <x:v>Server operator may access text unless separate E2EE exists</x:v>
      </x:c>
      <x:c r="V13" s="346" t="str">
        <x:f>IF('Encryption Details'!$V$10="","U/K",'Encryption Details'!$V$10)</x:f>
        <x:v>Yes</x:v>
      </x:c>
      <x:c r="W13" s="346" t="str">
        <x:f>IF('Encryption Details'!$W$10="","U/K",'Encryption Details'!$W$10)</x:f>
        <x:v>Potentially visible to hosting services</x:v>
      </x:c>
      <x:c r="X13" s="346" t="str">
        <x:f>IF('Encryption Details'!$X$10="","U/K",'Encryption Details'!$X$10)</x:f>
        <x:v>No for encrypted message bodies</x:v>
      </x:c>
      <x:c r="Y13" s="346" t="str">
        <x:f>IF('Encryption Details'!$Y$10="","U/K",'Encryption Details'!$Y$10)</x:f>
        <x:v>No for private plaintext</x:v>
      </x:c>
      <x:c r="Z13" s="346" t="str">
        <x:f>IF('Encryption Details'!$Z$10="","U/K",'Encryption Details'!$Z$10)</x:f>
        <x:v>Server can read normal channel text; encrypted DMs are ciphertext</x:v>
      </x:c>
      <x:c r="AA13" s="380" t="str">
        <x:v>Cannot read E2EE DM plaintext; can process Shard/community plaintext</x:v>
      </x:c>
      <x:c r="AB13" s="346" t="str">
        <x:f>IF('Encryption Details'!$AB$10="","U/K",'Encryption Details'!$AB$10)</x:f>
        <x:v>Yes for hosted text</x:v>
      </x:c>
      <x:c r="AC13" s="346" t="str">
        <x:f>IF('Encryption Details'!$AC$10="","U/K",'Encryption Details'!$AC$10)</x:f>
        <x:v>Yes for text</x:v>
      </x:c>
      <x:c r="AD13" s="346" t="str">
        <x:f>IF('Encryption Details'!$AD$10="","U/K",'Encryption Details'!$AD$10)</x:f>
        <x:v>Yes</x:v>
      </x:c>
      <x:c r="AE13" s="346" t="str">
        <x:f>IF('Encryption Details'!$AE$10="","U/K",'Encryption Details'!$AE$10)</x:f>
        <x:v>Yes</x:v>
      </x:c>
    </x:row>
    <x:row r="14" ht="23" customHeight="1">
      <x:c r="A14" s="427" t="str">
        <x:v>Media E2EE</x:v>
      </x:c>
      <x:c r="B14" s="427"/>
      <x:c r="C14" s="427"/>
      <x:c r="D14" s="427"/>
      <x:c r="E14" s="427"/>
      <x:c r="F14" s="427"/>
      <x:c r="G14" s="427"/>
      <x:c r="H14" s="427"/>
      <x:c r="I14" s="427"/>
      <x:c r="J14" s="427"/>
      <x:c r="K14" s="427"/>
      <x:c r="L14" s="427"/>
      <x:c r="M14" s="427"/>
      <x:c r="N14" s="427"/>
      <x:c r="O14" s="427"/>
      <x:c r="P14" s="427"/>
      <x:c r="Q14" s="427"/>
      <x:c r="R14" s="427"/>
      <x:c r="S14" s="427"/>
      <x:c r="T14" s="427"/>
      <x:c r="U14" s="427"/>
      <x:c r="V14" s="427"/>
      <x:c r="W14" s="427"/>
      <x:c r="X14" s="427"/>
      <x:c r="Y14" s="427"/>
      <x:c r="Z14" s="427"/>
      <x:c r="AA14" s="427"/>
      <x:c r="AB14" s="427"/>
      <x:c r="AC14" s="427"/>
      <x:c r="AD14" s="427"/>
      <x:c r="AE14" s="427"/>
    </x:row>
    <x:row r="15" ht="36" customHeight="1">
      <x:c r="A15" s="359" t="str">
        <x:v>Voice E2EE?</x:v>
      </x:c>
      <x:c r="B15" s="346" t="str">
        <x:f>IF('Encryption Details'!$B$6="","U/K",'Encryption Details'!$B$6)</x:f>
        <x:v>Yes by default for calls/Go Live via DAVE</x:v>
      </x:c>
      <x:c r="C15" s="346" t="str">
        <x:f>IF('Encryption Details'!$C$6="","U/K",'Encryption Details'!$C$6)</x:f>
        <x:v>U/K</x:v>
      </x:c>
      <x:c r="D15" s="346" t="str">
        <x:f>IF('Encryption Details'!$D$6="","U/K",'Encryption Details'!$D$6)</x:f>
        <x:v>Direction/current feature claims include E2EE voice; exact alpha default U/K</x:v>
      </x:c>
      <x:c r="E15" s="346" t="str">
        <x:f>IF('Encryption Details'!$E$6="","U/K",'Encryption Details'!$E$6)</x:f>
        <x:v>No currently</x:v>
      </x:c>
      <x:c r="F15" s="346" t="str">
        <x:f>IF('Encryption Details'!$F$6="","U/K",'Encryption Details'!$F$6)</x:f>
        <x:v>No E2EE claim in privacy policy</x:v>
      </x:c>
      <x:c r="G15" s="346" t="str">
        <x:f>IF('Encryption Details'!$G$6="","U/K",'Encryption Details'!$G$6)</x:f>
        <x:v>Supported by MatrixRTC/capable clients</x:v>
      </x:c>
      <x:c r="H15" s="346" t="str">
        <x:f>IF('Encryption Details'!$H$6="","U/K",'Encryption Details'!$H$6)</x:f>
        <x:v>Implementation-dependent/U/K</x:v>
      </x:c>
      <x:c r="I15" s="346" t="str">
        <x:f>IF('Encryption Details'!$I$6="","U/K",'Encryption Details'!$I$6)</x:f>
        <x:v>No - media is encrypted to server, not E2EE against server operator</x:v>
      </x:c>
      <x:c r="J15" s="346" t="str">
        <x:f>IF('Encryption Details'!$J$6="","U/K",'Encryption Details'!$J$6)</x:f>
        <x:v>U/K / transport encryption not necessarily E2EE</x:v>
      </x:c>
      <x:c r="K15" s="346" t="str">
        <x:f>IF('Encryption Details'!$K$6="","U/K",'Encryption Details'!$K$6)</x:f>
        <x:v>External provider-dependent</x:v>
      </x:c>
      <x:c r="L15" s="346" t="str">
        <x:f>IF('Encryption Details'!$L$6="","U/K",'Encryption Details'!$L$6)</x:f>
        <x:v>Not generally E2EE against server; deployment media security applies</x:v>
      </x:c>
      <x:c r="M15" s="346" t="str">
        <x:f>IF('Encryption Details'!$M$6="","U/K",'Encryption Details'!$M$6)</x:f>
        <x:v>Provider/deployment-dependent</x:v>
      </x:c>
      <x:c r="N15" s="346" t="str">
        <x:f>IF('Encryption Details'!$N$6="","U/K",'Encryption Details'!$N$6)</x:f>
        <x:v>Yes - voice claimed E2EE</x:v>
      </x:c>
      <x:c r="O15" s="346" t="str">
        <x:f>IF('Encryption Details'!$O$6="","U/K",'Encryption Details'!$O$6)</x:f>
        <x:v>U/K</x:v>
      </x:c>
      <x:c r="P15" s="346" t="str">
        <x:f>IF('Encryption Details'!$P$6="","U/K",'Encryption Details'!$P$6)</x:f>
        <x:v>Encrypted transport; E2EE not claimed</x:v>
      </x:c>
      <x:c r="Q15" s="346" t="str">
        <x:f>IF('Encryption Details'!$Q$6="","U/K",'Encryption Details'!$Q$6)</x:f>
        <x:v>U/K</x:v>
      </x:c>
      <x:c r="R15" s="346" t="str">
        <x:f>IF('Encryption Details'!$R$6="","U/K",'Encryption Details'!$R$6)</x:f>
        <x:v>U/K</x:v>
      </x:c>
      <x:c r="S15" s="346" t="str">
        <x:f>IF('Encryption Details'!$S$6="","U/K",'Encryption Details'!$S$6)</x:f>
        <x:v>E2EE claimed</x:v>
      </x:c>
      <x:c r="T15" s="346" t="str">
        <x:f>IF('Encryption Details'!$T$6="","U/K",'Encryption Details'!$T$6)</x:f>
        <x:v>U/K</x:v>
      </x:c>
      <x:c r="U15" s="346" t="str">
        <x:f>IF('Encryption Details'!$U$6="","U/K",'Encryption Details'!$U$6)</x:f>
        <x:v>U/K</x:v>
      </x:c>
      <x:c r="V15" s="346" t="str">
        <x:f>IF('Encryption Details'!$V$6="","U/K",'Encryption Details'!$V$6)</x:f>
        <x:v>No currently</x:v>
      </x:c>
      <x:c r="W15" s="346" t="str">
        <x:f>IF('Encryption Details'!$W$6="","U/K",'Encryption Details'!$W$6)</x:f>
        <x:v>N/A</x:v>
      </x:c>
      <x:c r="X15" s="346" t="str">
        <x:f>IF('Encryption Details'!$X$6="","U/K",'Encryption Details'!$X$6)</x:f>
        <x:v>Project claims encrypted live voice; exact design U/K</x:v>
      </x:c>
      <x:c r="Y15" s="346" t="str">
        <x:f>IF('Encryption Details'!$Y$6="","U/K",'Encryption Details'!$Y$6)</x:f>
        <x:v>Yes/SFrame claim</x:v>
      </x:c>
      <x:c r="Z15" s="346" t="str">
        <x:f>IF('Encryption Details'!$Z$6="","U/K",'Encryption Details'!$Z$6)</x:f>
        <x:v>U/K</x:v>
      </x:c>
      <x:c r="AA15" s="380" t="str">
        <x:v>Yes - direct calls</x:v>
      </x:c>
      <x:c r="AB15" s="346" t="str">
        <x:f>IF('Encryption Details'!$AB$6="","U/K",'Encryption Details'!$AB$6)</x:f>
        <x:v>U/K</x:v>
      </x:c>
      <x:c r="AC15" s="346" t="str">
        <x:f>IF('Encryption Details'!$AC$6="","U/K",'Encryption Details'!$AC$6)</x:f>
        <x:v>U/K</x:v>
      </x:c>
      <x:c r="AD15" s="346" t="str">
        <x:f>IF('Encryption Details'!$AD$6="","U/K",'Encryption Details'!$AD$6)</x:f>
        <x:v>U/K</x:v>
      </x:c>
      <x:c r="AE15" s="346" t="str">
        <x:f>IF('Encryption Details'!$AE$6="","U/K",'Encryption Details'!$AE$6)</x:f>
        <x:v>U/K</x:v>
      </x:c>
    </x:row>
    <x:row r="16" ht="36" customHeight="1">
      <x:c r="A16" s="359" t="str">
        <x:v>Video E2EE?</x:v>
      </x:c>
      <x:c r="B16" s="346" t="str">
        <x:f>IF('Encryption Details'!$B$7="","U/K",'Encryption Details'!$B$7)</x:f>
        <x:v>Yes by default for calls/Go Live via DAVE</x:v>
      </x:c>
      <x:c r="C16" s="346" t="str">
        <x:f>IF('Encryption Details'!$C$7="","U/K",'Encryption Details'!$C$7)</x:f>
        <x:v>U/K</x:v>
      </x:c>
      <x:c r="D16" s="346" t="str">
        <x:f>IF('Encryption Details'!$D$7="","U/K",'Encryption Details'!$D$7)</x:f>
        <x:v>U/K</x:v>
      </x:c>
      <x:c r="E16" s="346" t="str">
        <x:f>IF('Encryption Details'!$E$7="","U/K",'Encryption Details'!$E$7)</x:f>
        <x:v>No currently</x:v>
      </x:c>
      <x:c r="F16" s="346" t="str">
        <x:f>IF('Encryption Details'!$F$7="","U/K",'Encryption Details'!$F$7)</x:f>
        <x:v>No E2EE claim</x:v>
      </x:c>
      <x:c r="G16" s="346" t="str">
        <x:f>IF('Encryption Details'!$G$7="","U/K",'Encryption Details'!$G$7)</x:f>
        <x:v>Supported by MatrixRTC/capable clients</x:v>
      </x:c>
      <x:c r="H16" s="346" t="str">
        <x:f>IF('Encryption Details'!$H$7="","U/K",'Encryption Details'!$H$7)</x:f>
        <x:v>Implementation-dependent/U/K</x:v>
      </x:c>
      <x:c r="I16" s="346" t="str">
        <x:f>IF('Encryption Details'!$I$7="","U/K",'Encryption Details'!$I$7)</x:f>
        <x:v>N/A</x:v>
      </x:c>
      <x:c r="J16" s="346" t="str">
        <x:f>IF('Encryption Details'!$J$7="","U/K",'Encryption Details'!$J$7)</x:f>
        <x:v>U/K</x:v>
      </x:c>
      <x:c r="K16" s="346" t="str">
        <x:f>IF('Encryption Details'!$K$7="","U/K",'Encryption Details'!$K$7)</x:f>
        <x:v>External provider-dependent</x:v>
      </x:c>
      <x:c r="L16" s="346" t="str">
        <x:f>IF('Encryption Details'!$L$7="","U/K",'Encryption Details'!$L$7)</x:f>
        <x:v>Same</x:v>
      </x:c>
      <x:c r="M16" s="346" t="str">
        <x:f>IF('Encryption Details'!$M$7="","U/K",'Encryption Details'!$M$7)</x:f>
        <x:v>Provider/deployment-dependent</x:v>
      </x:c>
      <x:c r="N16" s="346" t="str">
        <x:f>IF('Encryption Details'!$N$7="","U/K",'Encryption Details'!$N$7)</x:f>
        <x:v>U/K</x:v>
      </x:c>
      <x:c r="O16" s="346" t="str">
        <x:f>IF('Encryption Details'!$O$7="","U/K",'Encryption Details'!$O$7)</x:f>
        <x:v>U/K</x:v>
      </x:c>
      <x:c r="P16" s="346" t="str">
        <x:f>IF('Encryption Details'!$P$7="","U/K",'Encryption Details'!$P$7)</x:f>
        <x:v>Encrypted transport; E2EE not claimed</x:v>
      </x:c>
      <x:c r="Q16" s="346" t="str">
        <x:f>IF('Encryption Details'!$Q$7="","U/K",'Encryption Details'!$Q$7)</x:f>
        <x:v>U/K</x:v>
      </x:c>
      <x:c r="R16" s="346" t="str">
        <x:f>IF('Encryption Details'!$R$7="","U/K",'Encryption Details'!$R$7)</x:f>
        <x:v>U/K</x:v>
      </x:c>
      <x:c r="S16" s="346" t="str">
        <x:f>IF('Encryption Details'!$S$7="","U/K",'Encryption Details'!$S$7)</x:f>
        <x:v>E2EE claimed</x:v>
      </x:c>
      <x:c r="T16" s="346" t="str">
        <x:f>IF('Encryption Details'!$T$7="","U/K",'Encryption Details'!$T$7)</x:f>
        <x:v>U/K</x:v>
      </x:c>
      <x:c r="U16" s="346" t="str">
        <x:f>IF('Encryption Details'!$U$7="","U/K",'Encryption Details'!$U$7)</x:f>
        <x:v>U/K</x:v>
      </x:c>
      <x:c r="V16" s="346" t="str">
        <x:f>IF('Encryption Details'!$V$7="","U/K",'Encryption Details'!$V$7)</x:f>
        <x:v>No currently</x:v>
      </x:c>
      <x:c r="W16" s="346" t="str">
        <x:f>IF('Encryption Details'!$W$7="","U/K",'Encryption Details'!$W$7)</x:f>
        <x:v>N/A</x:v>
      </x:c>
      <x:c r="X16" s="346" t="str">
        <x:f>IF('Encryption Details'!$X$7="","U/K",'Encryption Details'!$X$7)</x:f>
        <x:v>U/K</x:v>
      </x:c>
      <x:c r="Y16" s="346" t="str">
        <x:f>IF('Encryption Details'!$Y$7="","U/K",'Encryption Details'!$Y$7)</x:f>
        <x:v>Yes/SFrame claim</x:v>
      </x:c>
      <x:c r="Z16" s="346" t="str">
        <x:f>IF('Encryption Details'!$Z$7="","U/K",'Encryption Details'!$Z$7)</x:f>
        <x:v>U/K</x:v>
      </x:c>
      <x:c r="AA16" s="380" t="str">
        <x:v>Yes - direct calls</x:v>
      </x:c>
      <x:c r="AB16" s="346" t="str">
        <x:f>IF('Encryption Details'!$AB$7="","U/K",'Encryption Details'!$AB$7)</x:f>
        <x:v>U/K</x:v>
      </x:c>
      <x:c r="AC16" s="346" t="str">
        <x:f>IF('Encryption Details'!$AC$7="","U/K",'Encryption Details'!$AC$7)</x:f>
        <x:v>U/K</x:v>
      </x:c>
      <x:c r="AD16" s="346" t="str">
        <x:f>IF('Encryption Details'!$AD$7="","U/K",'Encryption Details'!$AD$7)</x:f>
        <x:v>U/K</x:v>
      </x:c>
      <x:c r="AE16" s="346" t="str">
        <x:f>IF('Encryption Details'!$AE$7="","U/K",'Encryption Details'!$AE$7)</x:f>
        <x:v>U/K</x:v>
      </x:c>
    </x:row>
    <x:row r="17" ht="36" customHeight="1">
      <x:c r="A17" s="359" t="str">
        <x:v>Screen Share E2EE?</x:v>
      </x:c>
      <x:c r="B17" s="346" t="str">
        <x:f>IF('Encryption Details'!$B$8="","U/K",'Encryption Details'!$B$8)</x:f>
        <x:v>Yes by default for Go Live; Stage exception</x:v>
      </x:c>
      <x:c r="C17" s="346" t="str">
        <x:f>IF('Encryption Details'!$C$8="","U/K",'Encryption Details'!$C$8)</x:f>
        <x:v>U/K</x:v>
      </x:c>
      <x:c r="D17" s="346" t="str">
        <x:f>IF('Encryption Details'!$D$8="","U/K",'Encryption Details'!$D$8)</x:f>
        <x:v>U/K</x:v>
      </x:c>
      <x:c r="E17" s="346" t="str">
        <x:f>IF('Encryption Details'!$E$8="","U/K",'Encryption Details'!$E$8)</x:f>
        <x:v>No currently</x:v>
      </x:c>
      <x:c r="F17" s="346" t="str">
        <x:f>IF('Encryption Details'!$F$8="","U/K",'Encryption Details'!$F$8)</x:f>
        <x:v>No E2EE claim</x:v>
      </x:c>
      <x:c r="G17" s="346" t="str">
        <x:f>IF('Encryption Details'!$G$8="","U/K",'Encryption Details'!$G$8)</x:f>
        <x:v>Supported by MatrixRTC/capable clients</x:v>
      </x:c>
      <x:c r="H17" s="346" t="str">
        <x:f>IF('Encryption Details'!$H$8="","U/K",'Encryption Details'!$H$8)</x:f>
        <x:v>Implementation-dependent/U/K</x:v>
      </x:c>
      <x:c r="I17" s="346" t="str">
        <x:f>IF('Encryption Details'!$I$8="","U/K",'Encryption Details'!$I$8)</x:f>
        <x:v>N/A</x:v>
      </x:c>
      <x:c r="J17" s="346" t="str">
        <x:f>IF('Encryption Details'!$J$8="","U/K",'Encryption Details'!$J$8)</x:f>
        <x:v>U/K</x:v>
      </x:c>
      <x:c r="K17" s="346" t="str">
        <x:f>IF('Encryption Details'!$K$8="","U/K",'Encryption Details'!$K$8)</x:f>
        <x:v>External provider-dependent</x:v>
      </x:c>
      <x:c r="L17" s="346" t="str">
        <x:f>IF('Encryption Details'!$L$8="","U/K",'Encryption Details'!$L$8)</x:f>
        <x:v>Same</x:v>
      </x:c>
      <x:c r="M17" s="346" t="str">
        <x:f>IF('Encryption Details'!$M$8="","U/K",'Encryption Details'!$M$8)</x:f>
        <x:v>Provider/deployment-dependent</x:v>
      </x:c>
      <x:c r="N17" s="346" t="str">
        <x:f>IF('Encryption Details'!$N$8="","U/K",'Encryption Details'!$N$8)</x:f>
        <x:v>U/K</x:v>
      </x:c>
      <x:c r="O17" s="346" t="str">
        <x:f>IF('Encryption Details'!$O$8="","U/K",'Encryption Details'!$O$8)</x:f>
        <x:v>U/K</x:v>
      </x:c>
      <x:c r="P17" s="346" t="str">
        <x:f>IF('Encryption Details'!$P$8="","U/K",'Encryption Details'!$P$8)</x:f>
        <x:v>U/K</x:v>
      </x:c>
      <x:c r="Q17" s="346" t="str">
        <x:f>IF('Encryption Details'!$Q$8="","U/K",'Encryption Details'!$Q$8)</x:f>
        <x:v>U/K</x:v>
      </x:c>
      <x:c r="R17" s="346" t="str">
        <x:f>IF('Encryption Details'!$R$8="","U/K",'Encryption Details'!$R$8)</x:f>
        <x:v>U/K</x:v>
      </x:c>
      <x:c r="S17" s="346" t="str">
        <x:f>IF('Encryption Details'!$S$8="","U/K",'Encryption Details'!$S$8)</x:f>
        <x:v>U/K</x:v>
      </x:c>
      <x:c r="T17" s="346" t="str">
        <x:f>IF('Encryption Details'!$T$8="","U/K",'Encryption Details'!$T$8)</x:f>
        <x:v>U/K</x:v>
      </x:c>
      <x:c r="U17" s="346" t="str">
        <x:f>IF('Encryption Details'!$U$8="","U/K",'Encryption Details'!$U$8)</x:f>
        <x:v>U/K</x:v>
      </x:c>
      <x:c r="V17" s="346" t="str">
        <x:f>IF('Encryption Details'!$V$8="","U/K",'Encryption Details'!$V$8)</x:f>
        <x:v>No currently</x:v>
      </x:c>
      <x:c r="W17" s="346" t="str">
        <x:f>IF('Encryption Details'!$W$8="","U/K",'Encryption Details'!$W$8)</x:f>
        <x:v>N/A</x:v>
      </x:c>
      <x:c r="X17" s="346" t="str">
        <x:f>IF('Encryption Details'!$X$8="","U/K",'Encryption Details'!$X$8)</x:f>
        <x:v>U/K</x:v>
      </x:c>
      <x:c r="Y17" s="346" t="str">
        <x:f>IF('Encryption Details'!$Y$8="","U/K",'Encryption Details'!$Y$8)</x:f>
        <x:v>Yes/U/K</x:v>
      </x:c>
      <x:c r="Z17" s="346" t="str">
        <x:f>IF('Encryption Details'!$Z$8="","U/K",'Encryption Details'!$Z$8)</x:f>
        <x:v>U/K</x:v>
      </x:c>
      <x:c r="AA17" s="380" t="str">
        <x:v>Yes - direct calls</x:v>
      </x:c>
      <x:c r="AB17" s="346" t="str">
        <x:f>IF('Encryption Details'!$AB$8="","U/K",'Encryption Details'!$AB$8)</x:f>
        <x:v>U/K</x:v>
      </x:c>
      <x:c r="AC17" s="346" t="str">
        <x:f>IF('Encryption Details'!$AC$8="","U/K",'Encryption Details'!$AC$8)</x:f>
        <x:v>U/K</x:v>
      </x:c>
      <x:c r="AD17" s="346" t="str">
        <x:f>IF('Encryption Details'!$AD$8="","U/K",'Encryption Details'!$AD$8)</x:f>
        <x:v>U/K</x:v>
      </x:c>
      <x:c r="AE17" s="346" t="str">
        <x:f>IF('Encryption Details'!$AE$8="","U/K",'Encryption Details'!$AE$8)</x:f>
        <x:v>U/K</x:v>
      </x:c>
    </x:row>
    <x:row r="18" ht="23" customHeight="1">
      <x:c r="A18" s="427" t="str">
        <x:v>Key &amp; Crypto Model</x:v>
      </x:c>
      <x:c r="B18" s="427"/>
      <x:c r="C18" s="427"/>
      <x:c r="D18" s="427"/>
      <x:c r="E18" s="427"/>
      <x:c r="F18" s="427"/>
      <x:c r="G18" s="427"/>
      <x:c r="H18" s="427"/>
      <x:c r="I18" s="427"/>
      <x:c r="J18" s="427"/>
      <x:c r="K18" s="427"/>
      <x:c r="L18" s="427"/>
      <x:c r="M18" s="427"/>
      <x:c r="N18" s="427"/>
      <x:c r="O18" s="427"/>
      <x:c r="P18" s="427"/>
      <x:c r="Q18" s="427"/>
      <x:c r="R18" s="427"/>
      <x:c r="S18" s="427"/>
      <x:c r="T18" s="427"/>
      <x:c r="U18" s="427"/>
      <x:c r="V18" s="427"/>
      <x:c r="W18" s="427"/>
      <x:c r="X18" s="427"/>
      <x:c r="Y18" s="427"/>
      <x:c r="Z18" s="427"/>
      <x:c r="AA18" s="427"/>
      <x:c r="AB18" s="427"/>
      <x:c r="AC18" s="427"/>
      <x:c r="AD18" s="427"/>
      <x:c r="AE18" s="427"/>
    </x:row>
    <x:row r="19" ht="36" customHeight="1">
      <x:c r="A19" s="359" t="str">
        <x:v>Client-Held Keys?</x:v>
      </x:c>
      <x:c r="B19" s="346" t="str">
        <x:v>No</x:v>
      </x:c>
      <x:c r="C19" s="346" t="str">
        <x:v>No</x:v>
      </x:c>
      <x:c r="D19" s="346" t="str">
        <x:v>Yes</x:v>
      </x:c>
      <x:c r="E19" s="346" t="str">
        <x:v>No</x:v>
      </x:c>
      <x:c r="F19" s="346" t="str">
        <x:v>No</x:v>
      </x:c>
      <x:c r="G19" s="346" t="str">
        <x:v>Yes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No</x:v>
      </x:c>
      <x:c r="L19" s="346" t="str">
        <x:v>No</x:v>
      </x:c>
      <x:c r="M19" s="346" t="str">
        <x:v>U/K</x:v>
      </x:c>
      <x:c r="N19" s="346" t="str">
        <x:v>U/K</x:v>
      </x:c>
      <x:c r="O19" s="346" t="str">
        <x:v>No</x:v>
      </x:c>
      <x:c r="P19" s="346" t="str">
        <x:v>No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Yes</x:v>
      </x:c>
      <x:c r="Y19" s="346" t="str">
        <x:v>Yes</x:v>
      </x:c>
      <x:c r="Z19" s="346" t="str">
        <x:v>Yes</x:v>
      </x:c>
      <x:c r="AA19" s="380" t="str">
        <x:v>Yes - Rift Key/device key model</x:v>
      </x:c>
      <x:c r="AB19" s="346" t="str">
        <x:v>No</x:v>
      </x:c>
      <x:c r="AC19" s="346" t="str">
        <x:v>No</x:v>
      </x:c>
      <x:c r="AD19" s="346" t="str">
        <x:v>No</x:v>
      </x:c>
      <x:c r="AE19" s="346" t="str">
        <x:v>No</x:v>
      </x:c>
    </x:row>
    <x:row r="20" ht="36" customHeight="1">
      <x:c r="A20" s="359" t="str">
        <x:v>Multi-Device E2EE?</x:v>
      </x:c>
      <x:c r="B20" s="346" t="str">
        <x:f>IF('Encryption Details'!$B$13="","U/K",'Encryption Details'!$B$13)</x:f>
        <x:v>Yes for DAVE-compatible clients</x:v>
      </x:c>
      <x:c r="C20" s="346" t="str">
        <x:f>IF('Encryption Details'!$C$13="","U/K",'Encryption Details'!$C$13)</x:f>
        <x:v>U/K</x:v>
      </x:c>
      <x:c r="D20" s="346" t="str">
        <x:f>IF('Encryption Details'!$D$13="","U/K",'Encryption Details'!$D$13)</x:f>
        <x:v>Designed for trusted-device/passphrase recovery; exact multi-device behavior U/K</x:v>
      </x:c>
      <x:c r="E20" s="346" t="str">
        <x:f>IF('Encryption Details'!$E$13="","U/K",'Encryption Details'!$E$13)</x:f>
        <x:v>N/A currently</x:v>
      </x:c>
      <x:c r="F20" s="346" t="str">
        <x:f>IF('Encryption Details'!$F$13="","U/K",'Encryption Details'!$F$13)</x:f>
        <x:v>U/K</x:v>
      </x:c>
      <x:c r="G20" s="346" t="str">
        <x:f>IF('Encryption Details'!$G$13="","U/K",'Encryption Details'!$G$13)</x:f>
        <x:v>Yes - designed for multi-device keys</x:v>
      </x:c>
      <x:c r="H20" s="346" t="str">
        <x:f>IF('Encryption Details'!$H$13="","U/K",'Encryption Details'!$H$13)</x:f>
        <x:v>U/K</x:v>
      </x:c>
      <x:c r="I20" s="346" t="str">
        <x:f>IF('Encryption Details'!$I$13="","U/K",'Encryption Details'!$I$13)</x:f>
        <x:v>N/A</x:v>
      </x:c>
      <x:c r="J20" s="346" t="str">
        <x:f>IF('Encryption Details'!$J$13="","U/K",'Encryption Details'!$J$13)</x:f>
        <x:v>U/K</x:v>
      </x:c>
      <x:c r="K20" s="346" t="str">
        <x:f>IF('Encryption Details'!$K$13="","U/K",'Encryption Details'!$K$13)</x:f>
        <x:v>N/A</x:v>
      </x:c>
      <x:c r="L20" s="346" t="str">
        <x:f>IF('Encryption Details'!$L$13="","U/K",'Encryption Details'!$L$13)</x:f>
        <x:v>N/A</x:v>
      </x:c>
      <x:c r="M20" s="346" t="str">
        <x:f>IF('Encryption Details'!$M$13="","U/K",'Encryption Details'!$M$13)</x:f>
        <x:v>Version-dependent</x:v>
      </x:c>
      <x:c r="N20" s="346" t="str">
        <x:f>IF('Encryption Details'!$N$13="","U/K",'Encryption Details'!$N$13)</x:f>
        <x:v>U/K</x:v>
      </x:c>
      <x:c r="O20" s="346" t="str">
        <x:f>IF('Encryption Details'!$O$13="","U/K",'Encryption Details'!$O$13)</x:f>
        <x:v>N/A</x:v>
      </x:c>
      <x:c r="P20" s="346" t="str">
        <x:f>IF('Encryption Details'!$P$13="","U/K",'Encryption Details'!$P$13)</x:f>
        <x:v>N/A</x:v>
      </x:c>
      <x:c r="Q20" s="346" t="str">
        <x:f>IF('Encryption Details'!$Q$13="","U/K",'Encryption Details'!$Q$13)</x:f>
        <x:v>U/K</x:v>
      </x:c>
      <x:c r="R20" s="346" t="str">
        <x:f>IF('Encryption Details'!$R$13="","U/K",'Encryption Details'!$R$13)</x:f>
        <x:v>U/K</x:v>
      </x:c>
      <x:c r="S20" s="346" t="str">
        <x:f>IF('Encryption Details'!$S$13="","U/K",'Encryption Details'!$S$13)</x:f>
        <x:v>U/K</x:v>
      </x:c>
      <x:c r="T20" s="346" t="str">
        <x:f>IF('Encryption Details'!$T$13="","U/K",'Encryption Details'!$T$13)</x:f>
        <x:v>U/K</x:v>
      </x:c>
      <x:c r="U20" s="346" t="str">
        <x:f>IF('Encryption Details'!$U$13="","U/K",'Encryption Details'!$U$13)</x:f>
        <x:v>U/K</x:v>
      </x:c>
      <x:c r="V20" s="346" t="str">
        <x:f>IF('Encryption Details'!$V$13="","U/K",'Encryption Details'!$V$13)</x:f>
        <x:v>N/A</x:v>
      </x:c>
      <x:c r="W20" s="346" t="str">
        <x:f>IF('Encryption Details'!$W$13="","U/K",'Encryption Details'!$W$13)</x:f>
        <x:v>N/A</x:v>
      </x:c>
      <x:c r="X20" s="346" t="str">
        <x:f>IF('Encryption Details'!$X$13="","U/K",'Encryption Details'!$X$13)</x:f>
        <x:v>Keypair works across devices via key management; exact UX U/K</x:v>
      </x:c>
      <x:c r="Y20" s="346" t="str">
        <x:f>IF('Encryption Details'!$Y$13="","U/K",'Encryption Details'!$Y$13)</x:f>
        <x:v>Multi-device supported</x:v>
      </x:c>
      <x:c r="Z20" s="346" t="str">
        <x:f>IF('Encryption Details'!$Z$13="","U/K",'Encryption Details'!$Z$13)</x:f>
        <x:v>Yes - multi-device sync described</x:v>
      </x:c>
      <x:c r="AA20" s="380" t="str">
        <x:f>IF('Encryption Details'!$AA$13="","U/K",'Encryption Details'!$AA$13)</x:f>
        <x:v>U/K</x:v>
      </x:c>
      <x:c r="AB20" s="346" t="str">
        <x:f>IF('Encryption Details'!$AB$13="","U/K",'Encryption Details'!$AB$13)</x:f>
        <x:v>N/A</x:v>
      </x:c>
      <x:c r="AC20" s="346" t="str">
        <x:f>IF('Encryption Details'!$AC$13="","U/K",'Encryption Details'!$AC$13)</x:f>
        <x:v>U/K</x:v>
      </x:c>
      <x:c r="AD20" s="346" t="str">
        <x:f>IF('Encryption Details'!$AD$13="","U/K",'Encryption Details'!$AD$13)</x:f>
        <x:v>N/A</x:v>
      </x:c>
      <x:c r="AE20" s="346" t="str">
        <x:f>IF('Encryption Details'!$AE$13="","U/K",'Encryption Details'!$AE$13)</x:f>
        <x:v>N/A</x:v>
      </x:c>
    </x:row>
    <x:row r="21" ht="36" customHeight="1">
      <x:c r="A21" s="359" t="str">
        <x:v>Forward Secrecy / Ratcheting?</x:v>
      </x:c>
      <x:c r="B21" s="346" t="str">
        <x:f>IF('Encryption Details'!$B$12="","U/K",'Encryption Details'!$B$12)</x:f>
        <x:v>DAVE design; exact ratchet properties depend spec</x:v>
      </x:c>
      <x:c r="C21" s="346" t="str">
        <x:f>IF('Encryption Details'!$C$12="","U/K",'Encryption Details'!$C$12)</x:f>
        <x:v>U/K</x:v>
      </x:c>
      <x:c r="D21" s="346" t="str">
        <x:f>IF('Encryption Details'!$D$12="","U/K",'Encryption Details'!$D$12)</x:f>
        <x:v>Not Signal Double Ratchet; founder explicitly says mature Signal-level forward secrecy is not claimed</x:v>
      </x:c>
      <x:c r="E21" s="346" t="str">
        <x:f>IF('Encryption Details'!$E$12="","U/K",'Encryption Details'!$E$12)</x:f>
        <x:v>N/A currently</x:v>
      </x:c>
      <x:c r="F21" s="346" t="str">
        <x:f>IF('Encryption Details'!$F$12="","U/K",'Encryption Details'!$F$12)</x:f>
        <x:v>N/A/U/K</x:v>
      </x:c>
      <x:c r="G21" s="346" t="str">
        <x:f>IF('Encryption Details'!$G$12="","U/K",'Encryption Details'!$G$12)</x:f>
        <x:v>Megolm/Olm-era designs and newer crypto work; properties vary by room/media protocol</x:v>
      </x:c>
      <x:c r="H21" s="346" t="str">
        <x:f>IF('Encryption Details'!$H$12="","U/K",'Encryption Details'!$H$12)</x:f>
        <x:v>U/K</x:v>
      </x:c>
      <x:c r="I21" s="346" t="str">
        <x:f>IF('Encryption Details'!$I$12="","U/K",'Encryption Details'!$I$12)</x:f>
        <x:v>N/A</x:v>
      </x:c>
      <x:c r="J21" s="346" t="str">
        <x:f>IF('Encryption Details'!$J$12="","U/K",'Encryption Details'!$J$12)</x:f>
        <x:v>U/K</x:v>
      </x:c>
      <x:c r="K21" s="346" t="str">
        <x:f>IF('Encryption Details'!$K$12="","U/K",'Encryption Details'!$K$12)</x:f>
        <x:v>N/A</x:v>
      </x:c>
      <x:c r="L21" s="346" t="str">
        <x:f>IF('Encryption Details'!$L$12="","U/K",'Encryption Details'!$L$12)</x:f>
        <x:v>N/A</x:v>
      </x:c>
      <x:c r="M21" s="346" t="str">
        <x:f>IF('Encryption Details'!$M$12="","U/K",'Encryption Details'!$M$12)</x:f>
        <x:v>Version-dependent</x:v>
      </x:c>
      <x:c r="N21" s="346" t="str">
        <x:f>IF('Encryption Details'!$N$12="","U/K",'Encryption Details'!$N$12)</x:f>
        <x:v>U/K</x:v>
      </x:c>
      <x:c r="O21" s="346" t="str">
        <x:f>IF('Encryption Details'!$O$12="","U/K",'Encryption Details'!$O$12)</x:f>
        <x:v>N/A</x:v>
      </x:c>
      <x:c r="P21" s="346" t="str">
        <x:f>IF('Encryption Details'!$P$12="","U/K",'Encryption Details'!$P$12)</x:f>
        <x:v>N/A</x:v>
      </x:c>
      <x:c r="Q21" s="346" t="str">
        <x:f>IF('Encryption Details'!$Q$12="","U/K",'Encryption Details'!$Q$12)</x:f>
        <x:v>U/K</x:v>
      </x:c>
      <x:c r="R21" s="346" t="str">
        <x:f>IF('Encryption Details'!$R$12="","U/K",'Encryption Details'!$R$12)</x:f>
        <x:v>U/K</x:v>
      </x:c>
      <x:c r="S21" s="346" t="str">
        <x:f>IF('Encryption Details'!$S$12="","U/K",'Encryption Details'!$S$12)</x:f>
        <x:v>U/K</x:v>
      </x:c>
      <x:c r="T21" s="346" t="str">
        <x:f>IF('Encryption Details'!$T$12="","U/K",'Encryption Details'!$T$12)</x:f>
        <x:v>U/K</x:v>
      </x:c>
      <x:c r="U21" s="346" t="str">
        <x:f>IF('Encryption Details'!$U$12="","U/K",'Encryption Details'!$U$12)</x:f>
        <x:v>U/K</x:v>
      </x:c>
      <x:c r="V21" s="346" t="str">
        <x:f>IF('Encryption Details'!$V$12="","U/K",'Encryption Details'!$V$12)</x:f>
        <x:v>N/A</x:v>
      </x:c>
      <x:c r="W21" s="346" t="str">
        <x:f>IF('Encryption Details'!$W$12="","U/K",'Encryption Details'!$W$12)</x:f>
        <x:v>N/A</x:v>
      </x:c>
      <x:c r="X21" s="346" t="str">
        <x:f>IF('Encryption Details'!$X$12="","U/K",'Encryption Details'!$X$12)</x:f>
        <x:v>U/K</x:v>
      </x:c>
      <x:c r="Y21" s="346" t="str">
        <x:f>IF('Encryption Details'!$Y$12="","U/K",'Encryption Details'!$Y$12)</x:f>
        <x:v>Olm/MLS/SFrame design</x:v>
      </x:c>
      <x:c r="Z21" s="346" t="str">
        <x:f>IF('Encryption Details'!$Z$12="","U/K",'Encryption Details'!$Z$12)</x:f>
        <x:v>Custom design U/K</x:v>
      </x:c>
      <x:c r="AA21" s="380" t="str">
        <x:v>Yes - X3DH / Double Ratchet</x:v>
      </x:c>
      <x:c r="AB21" s="346" t="str">
        <x:f>IF('Encryption Details'!$AB$12="","U/K",'Encryption Details'!$AB$12)</x:f>
        <x:v>N/A</x:v>
      </x:c>
      <x:c r="AC21" s="346" t="str">
        <x:f>IF('Encryption Details'!$AC$12="","U/K",'Encryption Details'!$AC$12)</x:f>
        <x:v>U/K</x:v>
      </x:c>
      <x:c r="AD21" s="346" t="str">
        <x:f>IF('Encryption Details'!$AD$12="","U/K",'Encryption Details'!$AD$12)</x:f>
        <x:v>N/A</x:v>
      </x:c>
      <x:c r="AE21" s="346" t="str">
        <x:f>IF('Encryption Details'!$AE$12="","U/K",'Encryption Details'!$AE$12)</x:f>
        <x:v>N/A</x:v>
      </x:c>
    </x:row>
    <x:row r="22" ht="36" customHeight="1">
      <x:c r="A22" s="359" t="str">
        <x:v>Metadata Hidden by E2EE?</x:v>
      </x:c>
      <x:c r="B22" s="346" t="str">
        <x:f>IF('Encryption Details'!$B$14="","U/K",'Encryption Details'!$B$14)</x:f>
        <x:v>No - metadata remains visible</x:v>
      </x:c>
      <x:c r="C22" s="346" t="str">
        <x:f>IF('Encryption Details'!$C$14="","U/K",'Encryption Details'!$C$14)</x:f>
        <x:v>No</x:v>
      </x:c>
      <x:c r="D22" s="346" t="str">
        <x:f>IF('Encryption Details'!$D$14="","U/K",'Encryption Details'!$D$14)</x:f>
        <x:v>No - delivery/relationship metadata remains</x:v>
      </x:c>
      <x:c r="E22" s="346" t="str">
        <x:f>IF('Encryption Details'!$E$14="","U/K",'Encryption Details'!$E$14)</x:f>
        <x:v>No</x:v>
      </x:c>
      <x:c r="F22" s="346" t="str">
        <x:f>IF('Encryption Details'!$F$14="","U/K",'Encryption Details'!$F$14)</x:f>
        <x:v>No</x:v>
      </x:c>
      <x:c r="G22" s="346" t="str">
        <x:f>IF('Encryption Details'!$G$14="","U/K",'Encryption Details'!$G$14)</x:f>
        <x:v>No - homeserver/federation metadata remains visible</x:v>
      </x:c>
      <x:c r="H22" s="346" t="str">
        <x:f>IF('Encryption Details'!$H$14="","U/K",'Encryption Details'!$H$14)</x:f>
        <x:v>No</x:v>
      </x:c>
      <x:c r="I22" s="346" t="str">
        <x:f>IF('Encryption Details'!$I$14="","U/K",'Encryption Details'!$I$14)</x:f>
        <x:v>No</x:v>
      </x:c>
      <x:c r="J22" s="346" t="str">
        <x:f>IF('Encryption Details'!$J$14="","U/K",'Encryption Details'!$J$14)</x:f>
        <x:v>U/K</x:v>
      </x:c>
      <x:c r="K22" s="346" t="str">
        <x:f>IF('Encryption Details'!$K$14="","U/K",'Encryption Details'!$K$14)</x:f>
        <x:v>No</x:v>
      </x:c>
      <x:c r="L22" s="346" t="str">
        <x:f>IF('Encryption Details'!$L$14="","U/K",'Encryption Details'!$L$14)</x:f>
        <x:v>No</x:v>
      </x:c>
      <x:c r="M22" s="346" t="str">
        <x:f>IF('Encryption Details'!$M$14="","U/K",'Encryption Details'!$M$14)</x:f>
        <x:v>No</x:v>
      </x:c>
      <x:c r="N22" s="346" t="str">
        <x:f>IF('Encryption Details'!$N$14="","U/K",'Encryption Details'!$N$14)</x:f>
        <x:v>No</x:v>
      </x:c>
      <x:c r="O22" s="346" t="str">
        <x:f>IF('Encryption Details'!$O$14="","U/K",'Encryption Details'!$O$14)</x:f>
        <x:v>No</x:v>
      </x:c>
      <x:c r="P22" s="346" t="str">
        <x:f>IF('Encryption Details'!$P$14="","U/K",'Encryption Details'!$P$14)</x:f>
        <x:v>No</x:v>
      </x:c>
      <x:c r="Q22" s="346" t="str">
        <x:f>IF('Encryption Details'!$Q$14="","U/K",'Encryption Details'!$Q$14)</x:f>
        <x:v>No</x:v>
      </x:c>
      <x:c r="R22" s="346" t="str">
        <x:f>IF('Encryption Details'!$R$14="","U/K",'Encryption Details'!$R$14)</x:f>
        <x:v>No</x:v>
      </x:c>
      <x:c r="S22" s="346" t="str">
        <x:f>IF('Encryption Details'!$S$14="","U/K",'Encryption Details'!$S$14)</x:f>
        <x:v>No</x:v>
      </x:c>
      <x:c r="T22" s="346" t="str">
        <x:f>IF('Encryption Details'!$T$14="","U/K",'Encryption Details'!$T$14)</x:f>
        <x:v>No</x:v>
      </x:c>
      <x:c r="U22" s="346" t="str">
        <x:f>IF('Encryption Details'!$U$14="","U/K",'Encryption Details'!$U$14)</x:f>
        <x:v>No</x:v>
      </x:c>
      <x:c r="V22" s="346" t="str">
        <x:f>IF('Encryption Details'!$V$14="","U/K",'Encryption Details'!$V$14)</x:f>
        <x:v>No</x:v>
      </x:c>
      <x:c r="W22" s="346" t="str">
        <x:f>IF('Encryption Details'!$W$14="","U/K",'Encryption Details'!$W$14)</x:f>
        <x:v>No</x:v>
      </x:c>
      <x:c r="X22" s="346" t="str">
        <x:f>IF('Encryption Details'!$X$14="","U/K",'Encryption Details'!$X$14)</x:f>
        <x:v>No - relay metadata remains</x:v>
      </x:c>
      <x:c r="Y22" s="346" t="str">
        <x:f>IF('Encryption Details'!$Y$14="","U/K",'Encryption Details'!$Y$14)</x:f>
        <x:v>No - relay metadata/timing can exist</x:v>
      </x:c>
      <x:c r="Z22" s="346" t="str">
        <x:f>IF('Encryption Details'!$Z$14="","U/K",'Encryption Details'!$Z$14)</x:f>
        <x:v>No - home server sees routing metadata</x:v>
      </x:c>
      <x:c r="AA22" s="380" t="str">
        <x:f>IF('Encryption Details'!$AA$14="","U/K",'Encryption Details'!$AA$14)</x:f>
        <x:v>No - metadata/routing information is not hidden by E2EE</x:v>
      </x:c>
      <x:c r="AB22" s="346" t="str">
        <x:f>IF('Encryption Details'!$AB$14="","U/K",'Encryption Details'!$AB$14)</x:f>
        <x:v>No</x:v>
      </x:c>
      <x:c r="AC22" s="346" t="str">
        <x:f>IF('Encryption Details'!$AC$14="","U/K",'Encryption Details'!$AC$14)</x:f>
        <x:v>No</x:v>
      </x:c>
      <x:c r="AD22" s="346" t="str">
        <x:f>IF('Encryption Details'!$AD$14="","U/K",'Encryption Details'!$AD$14)</x:f>
        <x:v>No</x:v>
      </x:c>
      <x:c r="AE22" s="346" t="str">
        <x:f>IF('Encryption Details'!$AE$14="","U/K",'Encryption Details'!$AE$14)</x:f>
        <x:v>No</x:v>
      </x:c>
    </x:row>
    <x:row r="23" ht="36" customHeight="1">
      <x:c r="A23" s="359" t="str">
        <x:v>Public Crypto Design?</x:v>
      </x:c>
      <x:c r="B23" s="346" t="str">
        <x:f>IF('Encryption Details'!$B$15="","U/K",'Encryption Details'!$B$15)</x:f>
        <x:v>Yes - DAVE design public</x:v>
      </x:c>
      <x:c r="C23" s="346" t="str">
        <x:f>IF('Encryption Details'!$C$15="","U/K",'Encryption Details'!$C$15)</x:f>
        <x:v>No public text-E2EE design verified</x:v>
      </x:c>
      <x:c r="D23" s="346" t="str">
        <x:f>IF('Encryption Details'!$D$15="","U/K",'Encryption Details'!$D$15)</x:f>
        <x:v>Yes - founder publishes design boundaries/primitives</x:v>
      </x:c>
      <x:c r="E23" s="346" t="str">
        <x:f>IF('Encryption Details'!$E$15="","U/K",'Encryption Details'!$E$15)</x:f>
        <x:v>E2EE roadmap/design discussion public, but not deployed as policy baseline</x:v>
      </x:c>
      <x:c r="F23" s="346" t="str">
        <x:f>IF('Encryption Details'!$F$15="","U/K",'Encryption Details'!$F$15)</x:f>
        <x:v>No public crypto protocol</x:v>
      </x:c>
      <x:c r="G23" s="346" t="str">
        <x:f>IF('Encryption Details'!$G$15="","U/K",'Encryption Details'!$G$15)</x:f>
        <x:v>Yes - open specification/MSC process</x:v>
      </x:c>
      <x:c r="H23" s="346" t="str">
        <x:f>IF('Encryption Details'!$H$15="","U/K",'Encryption Details'!$H$15)</x:f>
        <x:v>No mature platform-wide crypto design verified</x:v>
      </x:c>
      <x:c r="I23" s="346" t="str">
        <x:f>IF('Encryption Details'!$I$15="","U/K",'Encryption Details'!$I$15)</x:f>
        <x:v>Public protocol/source</x:v>
      </x:c>
      <x:c r="J23" s="346" t="str">
        <x:f>IF('Encryption Details'!$J$15="","U/K",'Encryption Details'!$J$15)</x:f>
        <x:v>Limited public details</x:v>
      </x:c>
      <x:c r="K23" s="346" t="str">
        <x:f>IF('Encryption Details'!$K$15="","U/K",'Encryption Details'!$K$15)</x:f>
        <x:v>Open source but no E2EE protocol</x:v>
      </x:c>
      <x:c r="L23" s="346" t="str">
        <x:f>IF('Encryption Details'!$L$15="","U/K",'Encryption Details'!$L$15)</x:f>
        <x:v>Open-source implementation for core messaging</x:v>
      </x:c>
      <x:c r="M23" s="346" t="str">
        <x:f>IF('Encryption Details'!$M$15="","U/K",'Encryption Details'!$M$15)</x:f>
        <x:v>Public implementation/docs</x:v>
      </x:c>
      <x:c r="N23" s="346" t="str">
        <x:f>IF('Encryption Details'!$N$15="","U/K",'Encryption Details'!$N$15)</x:f>
        <x:v>No public cryptographic design found</x:v>
      </x:c>
      <x:c r="O23" s="346" t="str">
        <x:f>IF('Encryption Details'!$O$15="","U/K",'Encryption Details'!$O$15)</x:f>
        <x:v>No public E2EE design</x:v>
      </x:c>
      <x:c r="P23" s="346" t="str">
        <x:f>IF('Encryption Details'!$P$15="","U/K",'Encryption Details'!$P$15)</x:f>
        <x:v>No public E2EE design</x:v>
      </x:c>
      <x:c r="Q23" s="346" t="str">
        <x:f>IF('Encryption Details'!$Q$15="","U/K",'Encryption Details'!$Q$15)</x:f>
        <x:v>Signal/MLS claims appear in project material; current production coverage U/K</x:v>
      </x:c>
      <x:c r="R23" s="346" t="str">
        <x:f>IF('Encryption Details'!$R$15="","U/K",'Encryption Details'!$R$15)</x:f>
        <x:v>Protocol work U/K</x:v>
      </x:c>
      <x:c r="S23" s="346" t="str">
        <x:f>IF('Encryption Details'!$S$15="","U/K",'Encryption Details'!$S$15)</x:f>
        <x:v>Public implementation available; exact crypto design U/K</x:v>
      </x:c>
      <x:c r="T23" s="346" t="str">
        <x:f>IF('Encryption Details'!$T$15="","U/K",'Encryption Details'!$T$15)</x:f>
        <x:v>No public mature E2EE design verified</x:v>
      </x:c>
      <x:c r="U23" s="346" t="str">
        <x:f>IF('Encryption Details'!$U$15="","U/K",'Encryption Details'!$U$15)</x:f>
        <x:v>No public crypto design</x:v>
      </x:c>
      <x:c r="V23" s="346" t="str">
        <x:f>IF('Encryption Details'!$V$15="","U/K",'Encryption Details'!$V$15)</x:f>
        <x:v>No public E2EE design</x:v>
      </x:c>
      <x:c r="W23" s="346" t="str">
        <x:f>IF('Encryption Details'!$W$15="","U/K",'Encryption Details'!$W$15)</x:f>
        <x:v>No</x:v>
      </x:c>
      <x:c r="X23" s="346" t="str">
        <x:f>IF('Encryption Details'!$X$15="","U/K",'Encryption Details'!$X$15)</x:f>
        <x:v>Open protocol/code</x:v>
      </x:c>
      <x:c r="Y23" s="346" t="str">
        <x:f>IF('Encryption Details'!$Y$15="","U/K",'Encryption Details'!$Y$15)</x:f>
        <x:v>Whitepaper/source public</x:v>
      </x:c>
      <x:c r="Z23" s="346" t="str">
        <x:f>IF('Encryption Details'!$Z$15="","U/K",'Encryption Details'!$Z$15)</x:f>
        <x:v>Public docs/source</x:v>
      </x:c>
      <x:c r="AA23" s="380" t="str">
        <x:v>Yes - protocol model described publicly</x:v>
      </x:c>
      <x:c r="AB23" s="346" t="str">
        <x:f>IF('Encryption Details'!$AB$15="","U/K",'Encryption Details'!$AB$15)</x:f>
        <x:v>No</x:v>
      </x:c>
      <x:c r="AC23" s="346" t="str">
        <x:f>IF('Encryption Details'!$AC$15="","U/K",'Encryption Details'!$AC$15)</x:f>
        <x:v>No public E2EE protocol</x:v>
      </x:c>
      <x:c r="AD23" s="346" t="str">
        <x:f>IF('Encryption Details'!$AD$15="","U/K",'Encryption Details'!$AD$15)</x:f>
        <x:v>No public E2EE design</x:v>
      </x:c>
      <x:c r="AE23" s="346" t="str">
        <x:f>IF('Encryption Details'!$AE$15="","U/K",'Encryption Details'!$AE$15)</x:f>
        <x:v>No public E2EE design</x:v>
      </x:c>
    </x:row>
    <x:row r="24" ht="36" customHeight="1">
      <x:c r="A24" s="359" t="str">
        <x:v>Independent Crypto Audit?</x:v>
      </x:c>
      <x:c r="B24" s="346" t="str">
        <x:f>IF('Encryption Details'!$B$16="","U/K",'Encryption Details'!$B$16)</x:f>
        <x:v>Trail of Bits reviews of DAVE (2024/2025)</x:v>
      </x:c>
      <x:c r="C24" s="346" t="str">
        <x:f>IF('Encryption Details'!$C$16="","U/K",'Encryption Details'!$C$16)</x:f>
        <x:v>No comprehensive crypto audit verified</x:v>
      </x:c>
      <x:c r="D24" s="346" t="str">
        <x:f>IF('Encryption Details'!$D$16="","U/K",'Encryption Details'!$D$16)</x:f>
        <x:v>No independent audit published</x:v>
      </x:c>
      <x:c r="E24" s="346" t="str">
        <x:f>IF('Encryption Details'!$E$16="","U/K",'Encryption Details'!$E$16)</x:f>
        <x:v>No comprehensive audit verified</x:v>
      </x:c>
      <x:c r="F24" s="346" t="str">
        <x:f>IF('Encryption Details'!$F$16="","U/K",'Encryption Details'!$F$16)</x:f>
        <x:v>No public audit verified</x:v>
      </x:c>
      <x:c r="G24" s="346" t="str">
        <x:f>IF('Encryption Details'!$G$16="","U/K",'Encryption Details'!$G$16)</x:f>
        <x:v>Multiple implementation/protocol audits; no single universal client audit</x:v>
      </x:c>
      <x:c r="H24" s="346" t="str">
        <x:f>IF('Encryption Details'!$H$16="","U/K",'Encryption Details'!$H$16)</x:f>
        <x:v>No</x:v>
      </x:c>
      <x:c r="I24" s="346" t="str">
        <x:f>IF('Encryption Details'!$I$16="","U/K",'Encryption Details'!$I$16)</x:f>
        <x:v>U/K</x:v>
      </x:c>
      <x:c r="J24" s="346" t="str">
        <x:f>IF('Encryption Details'!$J$16="","U/K",'Encryption Details'!$J$16)</x:f>
        <x:v>U/K</x:v>
      </x:c>
      <x:c r="K24" s="346" t="str">
        <x:f>IF('Encryption Details'!$K$16="","U/K",'Encryption Details'!$K$16)</x:f>
        <x:v>U/K</x:v>
      </x:c>
      <x:c r="L24" s="346" t="str">
        <x:f>IF('Encryption Details'!$L$16="","U/K",'Encryption Details'!$L$16)</x:f>
        <x:v>Security certifications/audits vary by offering</x:v>
      </x:c>
      <x:c r="M24" s="346" t="str">
        <x:f>IF('Encryption Details'!$M$16="","U/K",'Encryption Details'!$M$16)</x:f>
        <x:v>Audit status U/K</x:v>
      </x:c>
      <x:c r="N24" s="346" t="str">
        <x:f>IF('Encryption Details'!$N$16="","U/K",'Encryption Details'!$N$16)</x:f>
        <x:v>U/K</x:v>
      </x:c>
      <x:c r="O24" s="346" t="str">
        <x:f>IF('Encryption Details'!$O$16="","U/K",'Encryption Details'!$O$16)</x:f>
        <x:v>U/K</x:v>
      </x:c>
      <x:c r="P24" s="346" t="str">
        <x:f>IF('Encryption Details'!$P$16="","U/K",'Encryption Details'!$P$16)</x:f>
        <x:v>U/K</x:v>
      </x:c>
      <x:c r="Q24" s="346" t="str">
        <x:f>IF('Encryption Details'!$Q$16="","U/K",'Encryption Details'!$Q$16)</x:f>
        <x:v>U/K</x:v>
      </x:c>
      <x:c r="R24" s="346" t="str">
        <x:f>IF('Encryption Details'!$R$16="","U/K",'Encryption Details'!$R$16)</x:f>
        <x:v>No audit verified</x:v>
      </x:c>
      <x:c r="S24" s="346" t="str">
        <x:f>IF('Encryption Details'!$S$16="","U/K",'Encryption Details'!$S$16)</x:f>
        <x:v>Audit U/K</x:v>
      </x:c>
      <x:c r="T24" s="346" t="str">
        <x:f>IF('Encryption Details'!$T$16="","U/K",'Encryption Details'!$T$16)</x:f>
        <x:v>No independent audit verified</x:v>
      </x:c>
      <x:c r="U24" s="346" t="str">
        <x:f>IF('Encryption Details'!$U$16="","U/K",'Encryption Details'!$U$16)</x:f>
        <x:v>U/K</x:v>
      </x:c>
      <x:c r="V24" s="346" t="str">
        <x:f>IF('Encryption Details'!$V$16="","U/K",'Encryption Details'!$V$16)</x:f>
        <x:v>No</x:v>
      </x:c>
      <x:c r="W24" s="346" t="str">
        <x:f>IF('Encryption Details'!$W$16="","U/K",'Encryption Details'!$W$16)</x:f>
        <x:v>U/K</x:v>
      </x:c>
      <x:c r="X24" s="346" t="str">
        <x:f>IF('Encryption Details'!$X$16="","U/K",'Encryption Details'!$X$16)</x:f>
        <x:v>Audit U/K</x:v>
      </x:c>
      <x:c r="Y24" s="346" t="str">
        <x:f>IF('Encryption Details'!$Y$16="","U/K",'Encryption Details'!$Y$16)</x:f>
        <x:v>Independent audit U/K</x:v>
      </x:c>
      <x:c r="Z24" s="346" t="str">
        <x:f>IF('Encryption Details'!$Z$16="","U/K",'Encryption Details'!$Z$16)</x:f>
        <x:v>Audit U/K</x:v>
      </x:c>
      <x:c r="AA24" s="380" t="str">
        <x:v>No - audits listed as future work</x:v>
      </x:c>
      <x:c r="AB24" s="346" t="str">
        <x:f>IF('Encryption Details'!$AB$16="","U/K",'Encryption Details'!$AB$16)</x:f>
        <x:v>U/K</x:v>
      </x:c>
      <x:c r="AC24" s="346" t="str">
        <x:f>IF('Encryption Details'!$AC$16="","U/K",'Encryption Details'!$AC$16)</x:f>
        <x:v>No audit verified</x:v>
      </x:c>
      <x:c r="AD24" s="346" t="str">
        <x:f>IF('Encryption Details'!$AD$16="","U/K",'Encryption Details'!$AD$16)</x:f>
        <x:v>U/K</x:v>
      </x:c>
      <x:c r="AE24" s="346" t="str">
        <x:f>IF('Encryption Details'!$AE$16="","U/K",'Encryption Details'!$AE$16)</x:f>
        <x:v>U/K</x:v>
      </x:c>
    </x:row>
    <x:row r="25" ht="23" customHeight="1">
      <x:c r="A25" s="427" t="str">
        <x:v>Privacy Operations</x:v>
      </x:c>
      <x:c r="B25" s="427"/>
      <x:c r="C25" s="427"/>
      <x:c r="D25" s="427"/>
      <x:c r="E25" s="427"/>
      <x:c r="F25" s="427"/>
      <x:c r="G25" s="427"/>
      <x:c r="H25" s="427"/>
      <x:c r="I25" s="427"/>
      <x:c r="J25" s="427"/>
      <x:c r="K25" s="427"/>
      <x:c r="L25" s="427"/>
      <x:c r="M25" s="427"/>
      <x:c r="N25" s="427"/>
      <x:c r="O25" s="427"/>
      <x:c r="P25" s="427"/>
      <x:c r="Q25" s="427"/>
      <x:c r="R25" s="427"/>
      <x:c r="S25" s="427"/>
      <x:c r="T25" s="427"/>
      <x:c r="U25" s="427"/>
      <x:c r="V25" s="427"/>
      <x:c r="W25" s="427"/>
      <x:c r="X25" s="427"/>
      <x:c r="Y25" s="427"/>
      <x:c r="Z25" s="427"/>
      <x:c r="AA25" s="427"/>
      <x:c r="AB25" s="427"/>
      <x:c r="AC25" s="427"/>
      <x:c r="AD25" s="427"/>
      <x:c r="AE25" s="427"/>
    </x:row>
    <x:row r="26" ht="36" customHeight="1">
      <x:c r="A26" s="359" t="str">
        <x:v>IP Address Collected?</x:v>
      </x:c>
      <x:c r="B26" s="346" t="str">
        <x:f>IF('Security &amp; Privacy'!$B$10="","U/K",'Security &amp; Privacy'!$B$10)</x:f>
        <x:v>Yes - IP address is collected as device/use information</x:v>
      </x:c>
      <x:c r="C26" s="346" t="str">
        <x:f>IF('Security &amp; Privacy'!$C$10="","U/K",'Security &amp; Privacy'!$C$10)</x:f>
        <x:v>Server/operator receives network metadata; exact policy U/K</x:v>
      </x:c>
      <x:c r="D26" s="346" t="str">
        <x:f>IF('Security &amp; Privacy'!$D$10="","U/K",'Security &amp; Privacy'!$D$10)</x:f>
        <x:v>IP/network data processed; policy details U/K</x:v>
      </x:c>
      <x:c r="E26" s="346" t="str">
        <x:f>IF('Security &amp; Privacy'!$E$10="","U/K",'Security &amp; Privacy'!$E$10)</x:f>
        <x:v>IP/network data processed; approximate location derived</x:v>
      </x:c>
      <x:c r="F26" s="346" t="str">
        <x:f>IF('Security &amp; Privacy'!$F$10="","U/K",'Security &amp; Privacy'!$F$10)</x:f>
        <x:v>Yes - device/network info incl. IP collected</x:v>
      </x:c>
      <x:c r="G26" s="346" t="str">
        <x:f>IF('Security &amp; Privacy'!$G$10="","U/K",'Security &amp; Privacy'!$G$10)</x:f>
        <x:v>Homeserver/operator sees IP/network metadata; exact logging is operator-dependent</x:v>
      </x:c>
      <x:c r="H26" s="346" t="str">
        <x:f>IF('Security &amp; Privacy'!$H$10="","U/K",'Security &amp; Privacy'!$H$10)</x:f>
        <x:v>Operator-controlled</x:v>
      </x:c>
      <x:c r="I26" s="346" t="str">
        <x:f>IF('Security &amp; Privacy'!$I$10="","U/K",'Security &amp; Privacy'!$I$10)</x:f>
        <x:v>Server/operator-controlled</x:v>
      </x:c>
      <x:c r="J26" s="346" t="str">
        <x:f>IF('Security &amp; Privacy'!$J$10="","U/K",'Security &amp; Privacy'!$J$10)</x:f>
        <x:v>Operator/service-dependent</x:v>
      </x:c>
      <x:c r="K26" s="346" t="str">
        <x:f>IF('Security &amp; Privacy'!$K$10="","U/K",'Security &amp; Privacy'!$K$10)</x:f>
        <x:v>Hosted/operator dependent</x:v>
      </x:c>
      <x:c r="L26" s="346" t="str">
        <x:f>IF('Security &amp; Privacy'!$L$10="","U/K",'Security &amp; Privacy'!$L$10)</x:f>
        <x:v>Deployment/admin controlled</x:v>
      </x:c>
      <x:c r="M26" s="346" t="str">
        <x:f>IF('Security &amp; Privacy'!$M$10="","U/K",'Security &amp; Privacy'!$M$10)</x:f>
        <x:v>Admin/deployment policy</x:v>
      </x:c>
      <x:c r="N26" s="346" t="str">
        <x:f>IF('Security &amp; Privacy'!$N$10="","U/K",'Security &amp; Privacy'!$N$10)</x:f>
        <x:v>Operator/service dependent</x:v>
      </x:c>
      <x:c r="O26" s="346" t="str">
        <x:f>IF('Security &amp; Privacy'!$O$10="","U/K",'Security &amp; Privacy'!$O$10)</x:f>
        <x:v>Hosted service may log IP/network metadata; exact policy U/K</x:v>
      </x:c>
      <x:c r="P26" s="346" t="str">
        <x:f>IF('Security &amp; Privacy'!$P$10="","U/K",'Security &amp; Privacy'!$P$10)</x:f>
        <x:v>Yes - IP/network data likely processed; exact retention U/K</x:v>
      </x:c>
      <x:c r="Q26" s="346" t="str">
        <x:f>IF('Security &amp; Privacy'!$Q$10="","U/K",'Security &amp; Privacy'!$Q$10)</x:f>
        <x:v>U/K</x:v>
      </x:c>
      <x:c r="R26" s="346" t="str">
        <x:f>IF('Security &amp; Privacy'!$R$10="","U/K",'Security &amp; Privacy'!$R$10)</x:f>
        <x:v>U/K</x:v>
      </x:c>
      <x:c r="S26" s="346" t="str">
        <x:f>IF('Security &amp; Privacy'!$S$10="","U/K",'Security &amp; Privacy'!$S$10)</x:f>
        <x:v>U/K</x:v>
      </x:c>
      <x:c r="T26" s="346" t="str">
        <x:f>IF('Security &amp; Privacy'!$T$10="","U/K",'Security &amp; Privacy'!$T$10)</x:f>
        <x:v>U/K</x:v>
      </x:c>
      <x:c r="U26" s="346" t="str">
        <x:f>IF('Security &amp; Privacy'!$U$10="","U/K",'Security &amp; Privacy'!$U$10)</x:f>
        <x:v>Operator controlled</x:v>
      </x:c>
      <x:c r="V26" s="346" t="str">
        <x:f>IF('Security &amp; Privacy'!$V$10="","U/K",'Security &amp; Privacy'!$V$10)</x:f>
        <x:v>Operator controlled</x:v>
      </x:c>
      <x:c r="W26" s="346" t="str">
        <x:f>IF('Security &amp; Privacy'!$W$10="","U/K",'Security &amp; Privacy'!$W$10)</x:f>
        <x:v>Provider dependent</x:v>
      </x:c>
      <x:c r="X26" s="346" t="str">
        <x:f>IF('Security &amp; Privacy'!$X$10="","U/K",'Security &amp; Privacy'!$X$10)</x:f>
        <x:v>Relay sees metadata; content encrypted</x:v>
      </x:c>
      <x:c r="Y26" s="346" t="str">
        <x:f>IF('Security &amp; Privacy'!$Y$10="","U/K",'Security &amp; Privacy'!$Y$10)</x:f>
        <x:v>Official relay claims no IP logging; self-host operator could log metadata</x:v>
      </x:c>
      <x:c r="Z26" s="346" t="str">
        <x:f>IF('Security &amp; Privacy'!$Z$10="","U/K",'Security &amp; Privacy'!$Z$10)</x:f>
        <x:v>Operator controlled; official messenger claims privacy model</x:v>
      </x:c>
      <x:c r="AA26" s="380" t="str">
        <x:f>IF('Security &amp; Privacy'!$AA$10="","U/K",'Security &amp; Privacy'!$AA$10)</x:f>
        <x:v>Media proxying hides user IP from remote embeds; service IP logging policy U/K</x:v>
      </x:c>
      <x:c r="AB26" s="346" t="str">
        <x:f>IF('Security &amp; Privacy'!$AB$10="","U/K",'Security &amp; Privacy'!$AB$10)</x:f>
        <x:v>Hosted in São Paulo; exact IP retention U/K</x:v>
      </x:c>
      <x:c r="AC26" s="346" t="str">
        <x:f>IF('Security &amp; Privacy'!$AC$10="","U/K",'Security &amp; Privacy'!$AC$10)</x:f>
        <x:v>U/K</x:v>
      </x:c>
      <x:c r="AD26" s="346" t="str">
        <x:f>IF('Security &amp; Privacy'!$AD$10="","U/K",'Security &amp; Privacy'!$AD$10)</x:f>
        <x:v>U/K</x:v>
      </x:c>
      <x:c r="AE26" s="346" t="str">
        <x:f>IF('Security &amp; Privacy'!$AE$10="","U/K",'Security &amp; Privacy'!$AE$10)</x:f>
        <x:v>U/K</x:v>
      </x:c>
    </x:row>
    <x:row r="27" ht="36" customHeight="1">
      <x:c r="A27" s="359" t="str">
        <x:v>IP Retention Window</x:v>
      </x:c>
      <x:c r="B27" s="346" t="str">
        <x:v>U/K</x:v>
      </x:c>
      <x:c r="C27" s="346" t="str">
        <x:v>U/K</x:v>
      </x:c>
      <x:c r="D27" s="346" t="str">
        <x:v>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48 hours / HMAC fingerprint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59" t="str">
        <x:v>EXIF Scrubbing?</x:v>
      </x:c>
      <x:c r="B28" s="346" t="str">
        <x:f>IF('Security &amp; Privacy'!$B$11="","U/K",'Security &amp; Privacy'!$B$11)</x:f>
        <x:v>U/K</x:v>
      </x:c>
      <x:c r="C28" s="346" t="str">
        <x:f>IF('Security &amp; Privacy'!$C$11="","U/K",'Security &amp; Privacy'!$C$11)</x:f>
        <x:v>U/K</x:v>
      </x:c>
      <x:c r="D28" s="346" t="str">
        <x:f>IF('Security &amp; Privacy'!$D$11="","U/K",'Security &amp; Privacy'!$D$11)</x:f>
        <x:v>U/K</x:v>
      </x:c>
      <x:c r="E28" s="346" t="str">
        <x:f>IF('Security &amp; Privacy'!$E$11="","U/K",'Security &amp; Privacy'!$E$11)</x:f>
        <x:v>U/K</x:v>
      </x:c>
      <x:c r="F28" s="346" t="str">
        <x:f>IF('Security &amp; Privacy'!$F$11="","U/K",'Security &amp; Privacy'!$F$11)</x:f>
        <x:v>U/K</x:v>
      </x:c>
      <x:c r="G28" s="346" t="str">
        <x:f>IF('Security &amp; Privacy'!$G$11="","U/K",'Security &amp; Privacy'!$G$11)</x:f>
        <x:v>Client/server-dependent</x:v>
      </x:c>
      <x:c r="H28" s="346" t="str">
        <x:f>IF('Security &amp; Privacy'!$H$11="","U/K",'Security &amp; Privacy'!$H$11)</x:f>
        <x:v>U/K</x:v>
      </x:c>
      <x:c r="I28" s="346" t="str">
        <x:f>IF('Security &amp; Privacy'!$I$11="","U/K",'Security &amp; Privacy'!$I$11)</x:f>
        <x:v>N/A</x:v>
      </x:c>
      <x:c r="J28" s="346" t="str">
        <x:f>IF('Security &amp; Privacy'!$J$11="","U/K",'Security &amp; Privacy'!$J$11)</x:f>
        <x:v>U/K</x:v>
      </x:c>
      <x:c r="K28" s="346" t="str">
        <x:f>IF('Security &amp; Privacy'!$K$11="","U/K",'Security &amp; Privacy'!$K$11)</x:f>
        <x:v>U/K</x:v>
      </x:c>
      <x:c r="L28" s="346" t="str">
        <x:f>IF('Security &amp; Privacy'!$L$11="","U/K",'Security &amp; Privacy'!$L$11)</x:f>
        <x:v>U/K</x:v>
      </x:c>
      <x:c r="M28" s="346" t="str">
        <x:f>IF('Security &amp; Privacy'!$M$11="","U/K",'Security &amp; Privacy'!$M$11)</x:f>
        <x:v>U/K</x:v>
      </x:c>
      <x:c r="N28" s="346" t="str">
        <x:f>IF('Security &amp; Privacy'!$N$11="","U/K",'Security &amp; Privacy'!$N$11)</x:f>
        <x:v>U/K</x:v>
      </x:c>
      <x:c r="O28" s="346" t="str">
        <x:f>IF('Security &amp; Privacy'!$O$11="","U/K",'Security &amp; Privacy'!$O$11)</x:f>
        <x:v>U/K</x:v>
      </x:c>
      <x:c r="P28" s="346" t="str">
        <x:f>IF('Security &amp; Privacy'!$P$11="","U/K",'Security &amp; Privacy'!$P$11)</x:f>
        <x:v>U/K</x:v>
      </x:c>
      <x:c r="Q28" s="346" t="str">
        <x:f>IF('Security &amp; Privacy'!$Q$11="","U/K",'Security &amp; Privacy'!$Q$11)</x:f>
        <x:v>U/K</x:v>
      </x:c>
      <x:c r="R28" s="346" t="str">
        <x:f>IF('Security &amp; Privacy'!$R$11="","U/K",'Security &amp; Privacy'!$R$11)</x:f>
        <x:v>U/K</x:v>
      </x:c>
      <x:c r="S28" s="346" t="str">
        <x:f>IF('Security &amp; Privacy'!$S$11="","U/K",'Security &amp; Privacy'!$S$11)</x:f>
        <x:v>U/K</x:v>
      </x:c>
      <x:c r="T28" s="346" t="str">
        <x:f>IF('Security &amp; Privacy'!$T$11="","U/K",'Security &amp; Privacy'!$T$11)</x:f>
        <x:v>U/K</x:v>
      </x:c>
      <x:c r="U28" s="346" t="str">
        <x:f>IF('Security &amp; Privacy'!$U$11="","U/K",'Security &amp; Privacy'!$U$11)</x:f>
        <x:v>U/K</x:v>
      </x:c>
      <x:c r="V28" s="346" t="str">
        <x:f>IF('Security &amp; Privacy'!$V$11="","U/K",'Security &amp; Privacy'!$V$11)</x:f>
        <x:v>U/K</x:v>
      </x:c>
      <x:c r="W28" s="346" t="str">
        <x:f>IF('Security &amp; Privacy'!$W$11="","U/K",'Security &amp; Privacy'!$W$11)</x:f>
        <x:v>U/K</x:v>
      </x:c>
      <x:c r="X28" s="346" t="str">
        <x:f>IF('Security &amp; Privacy'!$X$11="","U/K",'Security &amp; Privacy'!$X$11)</x:f>
        <x:v>U/K</x:v>
      </x:c>
      <x:c r="Y28" s="346" t="str">
        <x:f>IF('Security &amp; Privacy'!$Y$11="","U/K",'Security &amp; Privacy'!$Y$11)</x:f>
        <x:v>U/K</x:v>
      </x:c>
      <x:c r="Z28" s="346" t="str">
        <x:f>IF('Security &amp; Privacy'!$Z$11="","U/K",'Security &amp; Privacy'!$Z$11)</x:f>
        <x:v>U/K</x:v>
      </x:c>
      <x:c r="AA28" s="380" t="str">
        <x:f>IF('Security &amp; Privacy'!$AA$11="","U/K",'Security &amp; Privacy'!$AA$11)</x:f>
        <x:v>Yes - automatic EXIF stripping</x:v>
      </x:c>
      <x:c r="AB28" s="346" t="str">
        <x:f>IF('Security &amp; Privacy'!$AB$11="","U/K",'Security &amp; Privacy'!$AB$11)</x:f>
        <x:v>U/K</x:v>
      </x:c>
      <x:c r="AC28" s="346" t="str">
        <x:f>IF('Security &amp; Privacy'!$AC$11="","U/K",'Security &amp; Privacy'!$AC$11)</x:f>
        <x:v>U/K</x:v>
      </x:c>
      <x:c r="AD28" s="346" t="str">
        <x:f>IF('Security &amp; Privacy'!$AD$11="","U/K",'Security &amp; Privacy'!$AD$11)</x:f>
        <x:v>U/K</x:v>
      </x:c>
      <x:c r="AE28" s="346" t="str">
        <x:f>IF('Security &amp; Privacy'!$AE$11="","U/K",'Security &amp; Privacy'!$AE$11)</x:f>
        <x:v>U/K</x:v>
      </x:c>
    </x:row>
    <x:row r="29" ht="36" customHeight="1">
      <x:c r="A29" s="359" t="str">
        <x:v>Voice Stored?</x:v>
      </x:c>
      <x:c r="B29" s="346" t="str">
        <x:v>Generally no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Generally no</x:v>
      </x:c>
      <x:c r="G29" s="346" t="str">
        <x:v>U/K</x:v>
      </x:c>
      <x:c r="H29" s="346" t="str">
        <x:v>U/K</x:v>
      </x:c>
      <x:c r="I29" s="346" t="str">
        <x:v>Generally no</x:v>
      </x:c>
      <x:c r="J29" s="346" t="str">
        <x:v>U/K</x:v>
      </x:c>
      <x:c r="K29" s="346" t="str">
        <x:v>U/K</x:v>
      </x:c>
      <x:c r="L29" s="346" t="str">
        <x:v>U/K</x:v>
      </x:c>
      <x:c r="M29" s="346" t="str">
        <x:v>U/K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Generally no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36" customHeight="1">
      <x:c r="A30" s="359" t="str">
        <x:v>Video Stored?</x:v>
      </x:c>
      <x:c r="B30" s="346" t="str">
        <x:v>Generally no</x:v>
      </x:c>
      <x:c r="C30" s="346" t="str">
        <x:v>U/K</x:v>
      </x:c>
      <x:c r="D30" s="346" t="str">
        <x:v>U/K</x:v>
      </x:c>
      <x:c r="E30" s="346" t="str">
        <x:v>U/K</x:v>
      </x:c>
      <x:c r="F30" s="346" t="str">
        <x:v>Generally no</x:v>
      </x:c>
      <x:c r="G30" s="346" t="str">
        <x:v>U/K</x:v>
      </x:c>
      <x:c r="H30" s="346" t="str">
        <x:v>U/K</x:v>
      </x:c>
      <x:c r="I30" s="346" t="str">
        <x:v>U/K</x:v>
      </x:c>
      <x:c r="J30" s="346" t="str">
        <x:v>U/K</x:v>
      </x:c>
      <x:c r="K30" s="346" t="str">
        <x:v>U/K</x:v>
      </x:c>
      <x:c r="L30" s="346" t="str">
        <x:v>U/K</x:v>
      </x:c>
      <x:c r="M30" s="346" t="str">
        <x:v>U/K</x:v>
      </x:c>
      <x:c r="N30" s="346" t="str">
        <x:v>U/K</x:v>
      </x:c>
      <x:c r="O30" s="346" t="str">
        <x:v>U/K</x:v>
      </x:c>
      <x:c r="P30" s="346" t="str">
        <x:v>U/K</x:v>
      </x:c>
      <x:c r="Q30" s="346" t="str">
        <x:v>U/K</x:v>
      </x:c>
      <x:c r="R30" s="346" t="str">
        <x:v>U/K</x:v>
      </x:c>
      <x:c r="S30" s="346" t="str">
        <x:v>U/K</x:v>
      </x:c>
      <x:c r="T30" s="346" t="str">
        <x:v>U/K</x:v>
      </x:c>
      <x:c r="U30" s="346" t="str">
        <x:v>U/K</x:v>
      </x:c>
      <x:c r="V30" s="346" t="str">
        <x:v>U/K</x:v>
      </x:c>
      <x:c r="W30" s="346" t="str">
        <x:v>U/K</x:v>
      </x:c>
      <x:c r="X30" s="346" t="str">
        <x:v>U/K</x:v>
      </x:c>
      <x:c r="Y30" s="346" t="str">
        <x:v>U/K</x:v>
      </x:c>
      <x:c r="Z30" s="346" t="str">
        <x:v>U/K</x:v>
      </x:c>
      <x:c r="AA30" s="380" t="str">
        <x:v>Generally no</x:v>
      </x:c>
      <x:c r="AB30" s="346" t="str">
        <x:v>U/K</x:v>
      </x:c>
      <x:c r="AC30" s="346" t="str">
        <x:v>U/K</x:v>
      </x:c>
      <x:c r="AD30" s="346" t="str">
        <x:v>U/K</x:v>
      </x:c>
      <x:c r="AE30" s="346" t="str">
        <x:v>U/K</x:v>
      </x:c>
    </x:row>
    <x:row r="31" ht="36" customHeight="1">
      <x:c r="A31" s="359" t="str">
        <x:v>Message Retention Default</x:v>
      </x:c>
      <x:c r="B31" s="346" t="str">
        <x:f>IF('Security &amp; Privacy'!$B$9="","U/K",'Security &amp; Privacy'!$B$9)</x:f>
        <x:v>Generally retained while an account is active/as needed; some data has fixed legal/safety periods; inactive accounts may be deleted after 2 years</x:v>
      </x:c>
      <x:c r="C31" s="346" t="str">
        <x:f>IF('Security &amp; Privacy'!$C$9="","U/K",'Security &amp; Privacy'!$C$9)</x:f>
        <x:v>U/K</x:v>
      </x:c>
      <x:c r="D31" s="346" t="str">
        <x:f>IF('Security &amp; Privacy'!$D$9="","U/K",'Security &amp; Privacy'!$D$9)</x:f>
        <x:v>Privacy policy published; exact retention windows U/K</x:v>
      </x:c>
      <x:c r="E31" s="346" t="str">
        <x:f>IF('Security &amp; Privacy'!$E$9="","U/K",'Security &amp; Privacy'!$E$9)</x:f>
        <x:v>Published retention policy</x:v>
      </x:c>
      <x:c r="F31" s="346" t="str">
        <x:f>IF('Security &amp; Privacy'!$F$9="","U/K",'Security &amp; Privacy'!$F$9)</x:f>
        <x:v>Messages/files stored for delivery/history; exact deletion windows U/K</x:v>
      </x:c>
      <x:c r="G31" s="346" t="str">
        <x:f>IF('Security &amp; Privacy'!$G$9="","U/K",'Security &amp; Privacy'!$G$9)</x:f>
        <x:v>Homeserver-dependent</x:v>
      </x:c>
      <x:c r="H31" s="346" t="str">
        <x:f>IF('Security &amp; Privacy'!$H$9="","U/K",'Security &amp; Privacy'!$H$9)</x:f>
        <x:v>Operator-controlled</x:v>
      </x:c>
      <x:c r="I31" s="346" t="str">
        <x:f>IF('Security &amp; Privacy'!$I$9="","U/K",'Security &amp; Privacy'!$I$9)</x:f>
        <x:v>Server/operator-controlled</x:v>
      </x:c>
      <x:c r="J31" s="346" t="str">
        <x:f>IF('Security &amp; Privacy'!$J$9="","U/K",'Security &amp; Privacy'!$J$9)</x:f>
        <x:v>Operator/service-dependent</x:v>
      </x:c>
      <x:c r="K31" s="346" t="str">
        <x:f>IF('Security &amp; Privacy'!$K$9="","U/K",'Security &amp; Privacy'!$K$9)</x:f>
        <x:v>Hosted/self-host policy-dependent</x:v>
      </x:c>
      <x:c r="L31" s="346" t="str">
        <x:f>IF('Security &amp; Privacy'!$L$9="","U/K",'Security &amp; Privacy'!$L$9)</x:f>
        <x:v>Deployment/admin controlled</x:v>
      </x:c>
      <x:c r="M31" s="346" t="str">
        <x:f>IF('Security &amp; Privacy'!$M$9="","U/K",'Security &amp; Privacy'!$M$9)</x:f>
        <x:v>Admin/deployment policy</x:v>
      </x:c>
      <x:c r="N31" s="346" t="str">
        <x:f>IF('Security &amp; Privacy'!$N$9="","U/K",'Security &amp; Privacy'!$N$9)</x:f>
        <x:v>U/K</x:v>
      </x:c>
      <x:c r="O31" s="346" t="str">
        <x:f>IF('Security &amp; Privacy'!$O$9="","U/K",'Security &amp; Privacy'!$O$9)</x:f>
        <x:v>U/K</x:v>
      </x:c>
      <x:c r="P31" s="346" t="str">
        <x:f>IF('Security &amp; Privacy'!$P$9="","U/K",'Security &amp; Privacy'!$P$9)</x:f>
        <x:v>Published privacy policy</x:v>
      </x:c>
      <x:c r="Q31" s="346" t="str">
        <x:f>IF('Security &amp; Privacy'!$Q$9="","U/K",'Security &amp; Privacy'!$Q$9)</x:f>
        <x:v>U/K</x:v>
      </x:c>
      <x:c r="R31" s="346" t="str">
        <x:f>IF('Security &amp; Privacy'!$R$9="","U/K",'Security &amp; Privacy'!$R$9)</x:f>
        <x:v>U/K</x:v>
      </x:c>
      <x:c r="S31" s="346" t="str">
        <x:f>IF('Security &amp; Privacy'!$S$9="","U/K",'Security &amp; Privacy'!$S$9)</x:f>
        <x:v>U/K</x:v>
      </x:c>
      <x:c r="T31" s="346" t="str">
        <x:f>IF('Security &amp; Privacy'!$T$9="","U/K",'Security &amp; Privacy'!$T$9)</x:f>
        <x:v>Published privacy policy</x:v>
      </x:c>
      <x:c r="U31" s="346" t="str">
        <x:f>IF('Security &amp; Privacy'!$U$9="","U/K",'Security &amp; Privacy'!$U$9)</x:f>
        <x:v>Operator controlled</x:v>
      </x:c>
      <x:c r="V31" s="346" t="str">
        <x:f>IF('Security &amp; Privacy'!$V$9="","U/K",'Security &amp; Privacy'!$V$9)</x:f>
        <x:v>Operator controlled</x:v>
      </x:c>
      <x:c r="W31" s="346" t="str">
        <x:f>IF('Security &amp; Privacy'!$W$9="","U/K",'Security &amp; Privacy'!$W$9)</x:f>
        <x:v>ATProto/provider dependent</x:v>
      </x:c>
      <x:c r="X31" s="346" t="str">
        <x:f>IF('Security &amp; Privacy'!$X$9="","U/K",'Security &amp; Privacy'!$X$9)</x:f>
        <x:v>Relay stores encrypted events</x:v>
      </x:c>
      <x:c r="Y31" s="346" t="str">
        <x:f>IF('Security &amp; Privacy'!$Y$9="","U/K",'Security &amp; Privacy'!$Y$9)</x:f>
        <x:v>Data stored locally; relay stores no persistent content</x:v>
      </x:c>
      <x:c r="Z31" s="346" t="str">
        <x:f>IF('Security &amp; Privacy'!$Z$9="","U/K",'Security &amp; Privacy'!$Z$9)</x:f>
        <x:v>Operator controlled; messenger relay stores encrypted messages temporarily</x:v>
      </x:c>
      <x:c r="AA31" s="380" t="str">
        <x:f>IF('Security &amp; Privacy'!$AA$9="","U/K",'Security &amp; Privacy'!$AA$9)</x:f>
        <x:v>Deletion stated as hard delete</x:v>
      </x:c>
      <x:c r="AB31" s="346" t="str">
        <x:f>IF('Security &amp; Privacy'!$AB$9="","U/K",'Security &amp; Privacy'!$AB$9)</x:f>
        <x:v>Message retention controls + export</x:v>
      </x:c>
      <x:c r="AC31" s="346" t="str">
        <x:f>IF('Security &amp; Privacy'!$AC$9="","U/K",'Security &amp; Privacy'!$AC$9)</x:f>
        <x:v>U/K</x:v>
      </x:c>
      <x:c r="AD31" s="346" t="str">
        <x:f>IF('Security &amp; Privacy'!$AD$9="","U/K",'Security &amp; Privacy'!$AD$9)</x:f>
        <x:v>U/K</x:v>
      </x:c>
      <x:c r="AE31" s="346" t="str">
        <x:f>IF('Security &amp; Privacy'!$AE$9="","U/K",'Security &amp; Privacy'!$AE$9)</x:f>
        <x:v>U/K</x:v>
      </x:c>
    </x:row>
    <x:row r="32" ht="36" customHeight="1">
      <x:c r="A32" s="359" t="str">
        <x:v>Deleted Message Retention</x:v>
      </x:c>
      <x:c r="B32" s="346" t="str">
        <x:v>U/K</x:v>
      </x:c>
      <x:c r="C32" s="346" t="str">
        <x:v>U/K</x:v>
      </x:c>
      <x:c r="D32" s="346" t="str">
        <x:v>U/K</x:v>
      </x:c>
      <x:c r="E32" s="346" t="str">
        <x:v>U/K</x:v>
      </x:c>
      <x:c r="F32" s="346" t="str">
        <x:v>U/K</x:v>
      </x:c>
      <x:c r="G32" s="346" t="str">
        <x:v>U/K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U/K</x:v>
      </x:c>
      <x:c r="L32" s="346" t="str">
        <x:v>U/K</x:v>
      </x:c>
      <x:c r="M32" s="346" t="str">
        <x:v>U/K</x:v>
      </x:c>
      <x:c r="N32" s="346" t="str">
        <x:v>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Immediate hard delete claimed</x:v>
      </x:c>
      <x:c r="AB32" s="346" t="str">
        <x:v>U/K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59" t="str">
        <x:v>Data Region Selectable?</x:v>
      </x:c>
      <x:c r="B33" s="346" t="str">
        <x:v>U/K</x:v>
      </x:c>
      <x:c r="C33" s="346" t="str">
        <x:v>Operator-selected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U/K</x:v>
      </x:c>
      <x:c r="H33" s="346" t="str">
        <x:v>Operator-selected</x:v>
      </x:c>
      <x:c r="I33" s="346" t="str">
        <x:v>Operator-selected</x:v>
      </x:c>
      <x:c r="J33" s="346" t="str">
        <x:v>Operator-selected</x:v>
      </x:c>
      <x:c r="K33" s="346" t="str">
        <x:v>Operator-selected</x:v>
      </x:c>
      <x:c r="L33" s="346" t="str">
        <x:v>Operator-selected</x:v>
      </x:c>
      <x:c r="M33" s="346" t="str">
        <x:v>Operator-selected</x:v>
      </x:c>
      <x:c r="N33" s="346" t="str">
        <x:v>Operator-selected</x:v>
      </x:c>
      <x:c r="O33" s="346" t="str">
        <x:v>U/K</x:v>
      </x:c>
      <x:c r="P33" s="346" t="str">
        <x:v>Yes</x:v>
      </x:c>
      <x:c r="Q33" s="346" t="str">
        <x:v>Operator-selected</x:v>
      </x:c>
      <x:c r="R33" s="346" t="str">
        <x:v>Operator-selected</x:v>
      </x:c>
      <x:c r="S33" s="346" t="str">
        <x:v>U/K</x:v>
      </x:c>
      <x:c r="T33" s="346" t="str">
        <x:v>U/K</x:v>
      </x:c>
      <x:c r="U33" s="346" t="str">
        <x:v>Operator-selected</x:v>
      </x:c>
      <x:c r="V33" s="346" t="str">
        <x:v>Operator-selected</x:v>
      </x:c>
      <x:c r="W33" s="346" t="str">
        <x:v>U/K</x:v>
      </x:c>
      <x:c r="X33" s="346" t="str">
        <x:v>Operator-selected</x:v>
      </x:c>
      <x:c r="Y33" s="346" t="str">
        <x:v>U/K</x:v>
      </x:c>
      <x:c r="Z33" s="346" t="str">
        <x:v>Operator-selected</x:v>
      </x:c>
      <x:c r="AA33" s="380" t="str">
        <x:v>U/K</x:v>
      </x:c>
      <x:c r="AB33" s="346" t="str">
        <x:v>Operator-selected</x:v>
      </x:c>
      <x:c r="AC33" s="346" t="str">
        <x:v>U/K</x:v>
      </x:c>
      <x:c r="AD33" s="346" t="str">
        <x:v>Operator-selected</x:v>
      </x:c>
      <x:c r="AE33" s="346" t="str">
        <x:v>U/K</x:v>
      </x:c>
    </x:row>
    <x:row r="34" ht="23" customHeight="1">
      <x:c r="A34" s="427" t="str">
        <x:v>Source &amp; Notes</x:v>
      </x:c>
      <x:c r="B34" s="427"/>
      <x:c r="C34" s="427"/>
      <x:c r="D34" s="427"/>
      <x:c r="E34" s="427"/>
      <x:c r="F34" s="427"/>
      <x:c r="G34" s="427"/>
      <x:c r="H34" s="427"/>
      <x:c r="I34" s="427"/>
      <x:c r="J34" s="427"/>
      <x:c r="K34" s="427"/>
      <x:c r="L34" s="427"/>
      <x:c r="M34" s="427"/>
      <x:c r="N34" s="427"/>
      <x:c r="O34" s="427"/>
      <x:c r="P34" s="427"/>
      <x:c r="Q34" s="427"/>
      <x:c r="R34" s="427"/>
      <x:c r="S34" s="427"/>
      <x:c r="T34" s="427"/>
      <x:c r="U34" s="427"/>
      <x:c r="V34" s="427"/>
      <x:c r="W34" s="427"/>
      <x:c r="X34" s="427"/>
      <x:c r="Y34" s="427"/>
      <x:c r="Z34" s="427"/>
      <x:c r="AA34" s="427"/>
      <x:c r="AB34" s="427"/>
      <x:c r="AC34" s="427"/>
      <x:c r="AD34" s="427"/>
      <x:c r="AE34" s="427"/>
    </x:row>
    <x:row r="35" ht="36" customHeight="1">
      <x:c r="A35" s="360" t="str">
        <x:v>Security / Privacy Notes</x:v>
      </x:c>
      <x:c r="B35" s="349" t="str">
        <x:f>IF('Encryption Details'!$B$17="","U/K",'Encryption Details'!$B$17)</x:f>
        <x:v>Discord text chat remains server-readable even though voice/video is now E2EE.</x:v>
      </x:c>
      <x:c r="C35" s="349" t="str">
        <x:f>IF('Encryption Details'!$C$17="","U/K",'Encryption Details'!$C$17)</x:f>
        <x:v>Do not infer LiveKit's E2EE capability means Stoat currently enables E2EE.</x:v>
      </x:c>
      <x:c r="D35" s="349" t="str">
        <x:f>IF('Encryption Details'!$D$17="","U/K",'Encryption Details'!$D$17)</x:f>
        <x:v>Fenrid itself cautions that its home-grown design is not equivalent to Signal's mature ratchet protocol.</x:v>
      </x:c>
      <x:c r="E35" s="349" t="str">
        <x:f>IF('Encryption Details'!$E$17="","U/K",'Encryption Details'!$E$17)</x:f>
        <x:v>Latest privacy policy explicitly says nothing on Fluxer is E2EE yet; voice/video E2EE is in development.</x:v>
      </x:c>
      <x:c r="F35" s="349" t="str">
        <x:f>IF('Encryption Details'!$F$17="","U/K",'Encryption Details'!$F$17)</x:f>
        <x:v>Privacy policy says calls are real-time and not stored, but does not claim end-to-end encryption.</x:v>
      </x:c>
      <x:c r="G35" s="349" t="str">
        <x:f>IF('Encryption Details'!$G$17="","U/K",'Encryption Details'!$G$17)</x:f>
        <x:v>Matrix supports E2EE, but whether a room is encrypted and how UX works is client/homeserver-dependent.</x:v>
      </x:c>
      <x:c r="H35" s="349" t="str">
        <x:f>IF('Encryption Details'!$H$17="","U/K",'Encryption Details'!$H$17)</x:f>
        <x:v>Self-hosting changes who you trust; it does not automatically create end-to-end encryption.</x:v>
      </x:c>
      <x:c r="I35" s="349" t="str">
        <x:f>IF('Encryption Details'!$I$17="","U/K",'Encryption Details'!$I$17)</x:f>
        <x:v>Strong encrypted transport is not the same as E2EE from client to client.</x:v>
      </x:c>
      <x:c r="J35" s="349" t="str">
        <x:f>IF('Encryption Details'!$J$17="","U/K",'Encryption Details'!$J$17)</x:f>
        <x:v>Proprietary protocol makes fine-grained verification harder; unknowns are marked U/K.</x:v>
      </x:c>
      <x:c r="K35" s="349" t="str">
        <x:f>IF('Encryption Details'!$K$17="","U/K",'Encryption Details'!$K$17)</x:f>
        <x:v>Zulip prioritizes searchable server-side team history rather than E2EE chat.</x:v>
      </x:c>
      <x:c r="L35" s="349" t="str">
        <x:f>IF('Encryption Details'!$L$17="","U/K",'Encryption Details'!$L$17)</x:f>
        <x:v>Self-hosting can keep plaintext under your organization's control, but is not E2EE.</x:v>
      </x:c>
      <x:c r="M35" s="349" t="str">
        <x:f>IF('Encryption Details'!$M$17="","U/K",'Encryption Details'!$M$17)</x:f>
        <x:v>Federation documentation explicitly says E2EE is not supported across federated servers.</x:v>
      </x:c>
      <x:c r="N35" s="349" t="str">
        <x:f>IF('Encryption Details'!$N$17="","U/K",'Encryption Details'!$N$17)</x:f>
        <x:v>Voice E2EE is claimed; do not extend that claim to text messages.</x:v>
      </x:c>
      <x:c r="O35" s="349" t="str">
        <x:f>IF('Encryption Details'!$O$17="","U/K",'Encryption Details'!$O$17)</x:f>
        <x:v>No default E2EE was verified.</x:v>
      </x:c>
      <x:c r="P35" s="349" t="str">
        <x:f>IF('Encryption Details'!$P$17="","U/K",'Encryption Details'!$P$17)</x:f>
        <x:v>Privacy policy says calls use encrypted connections; that is not the same as E2EE.</x:v>
      </x:c>
      <x:c r="Q35" s="349" t="str">
        <x:f>IF('Encryption Details'!$Q$17="","U/K",'Encryption Details'!$Q$17)</x:f>
        <x:v>Treat E2EE claims as feature-scope specific, not universal.</x:v>
      </x:c>
      <x:c r="R35" s="349" t="str">
        <x:f>IF('Encryption Details'!$R$17="","U/K",'Encryption Details'!$R$17)</x:f>
        <x:v>Developer states E2EE is per-conversation opt-in and default is currently unencrypted.</x:v>
      </x:c>
      <x:c r="S35" s="349" t="str">
        <x:f>IF('Encryption Details'!$S$17="","U/K",'Encryption Details'!$S$17)</x:f>
        <x:v>Marketing/repo claims E2EE; exact room-by-room defaults should be verified before high-stakes use.</x:v>
      </x:c>
      <x:c r="T35" s="349" t="str">
        <x:f>IF('Encryption Details'!$T$17="","U/K",'Encryption Details'!$T$17)</x:f>
        <x:v>Do not treat privacy-first marketing as proof of deployed E2EE.</x:v>
      </x:c>
      <x:c r="U35" s="349" t="str">
        <x:f>IF('Encryption Details'!$U$17="","U/K",'Encryption Details'!$U$17)</x:f>
        <x:v>Self-hosting/data sovereignty is the main privacy control, not verified E2EE.</x:v>
      </x:c>
      <x:c r="V35" s="349" t="str">
        <x:f>IF('Encryption Details'!$V$17="","U/K",'Encryption Details'!$V$17)</x:f>
        <x:v>Project discussions explicitly say E2EE is not currently implemented.</x:v>
      </x:c>
      <x:c r="W35" s="349" t="str">
        <x:f>IF('Encryption Details'!$W$17="","U/K",'Encryption Details'!$W$17)</x:f>
        <x:v>Privacy inherits ATProto/server design rather than E2EE.</x:v>
      </x:c>
      <x:c r="X35" s="349" t="str">
        <x:f>IF('Encryption Details'!$X$17="","U/K",'Encryption Details'!$X$17)</x:f>
        <x:v>Strong privacy architecture, but independent audit status is U/K.</x:v>
      </x:c>
      <x:c r="Y35" s="349" t="str">
        <x:f>IF('Encryption Details'!$Y$17="","U/K",'Encryption Details'!$Y$17)</x:f>
        <x:v>Crypto architecture is ambitious; independent audit status remains U/K.</x:v>
      </x:c>
      <x:c r="Z35" s="349" t="str">
        <x:f>IF('Encryption Details'!$Z$17="","U/K",'Encryption Details'!$Z$17)</x:f>
        <x:v>Encryption depends on which DCTS messaging mode is used.</x:v>
      </x:c>
      <x:c r="AA35" s="381" t="str">
        <x:v>DM text uses client-side Signal-style X3DH/Double Ratchet (AES-256-GCM); Shard messages are encrypted at rest but not E2EE.</x:v>
      </x:c>
      <x:c r="AB35" s="349" t="str">
        <x:f>IF('Encryption Details'!$AB$17="","U/K",'Encryption Details'!$AB$17)</x:f>
        <x:v>No public E2EE design verified.</x:v>
      </x:c>
      <x:c r="AC35" s="349" t="str">
        <x:f>IF('Encryption Details'!$AC$17="","U/K",'Encryption Details'!$AC$17)</x:f>
        <x:v>Security details are sparse; do not infer E2EE from WebRTC/LiveKit.</x:v>
      </x:c>
      <x:c r="AD35" s="349" t="str">
        <x:f>IF('Encryption Details'!$AD$17="","U/K",'Encryption Details'!$AD$17)</x:f>
        <x:v>Privacy focus is data policy/open source/self-hosting rather than E2EE messaging.</x:v>
      </x:c>
      <x:c r="AE35" s="349" t="str">
        <x:f>IF('Encryption Details'!$AE$17="","U/K",'Encryption Details'!$AE$17)</x:f>
        <x:v>Security model is typical hosted app; no E2EE claim verified.</x:v>
      </x:c>
    </x:row>
    <x:row r="36" ht="23" customHeight="1">
      <x:c r="A36" s="389" t="str">
        <x:v>Account &amp; Platform Security</x:v>
      </x:c>
      <x:c r="B36" s="389"/>
      <x:c r="C36" s="389"/>
      <x:c r="D36" s="389"/>
      <x:c r="E36" s="389"/>
      <x:c r="F36" s="389"/>
      <x:c r="G36" s="389"/>
      <x:c r="H36" s="389"/>
      <x:c r="I36" s="389"/>
      <x:c r="J36" s="389"/>
      <x:c r="K36" s="389"/>
      <x:c r="L36" s="389"/>
      <x:c r="M36" s="389"/>
      <x:c r="N36" s="389"/>
      <x:c r="O36" s="389"/>
      <x:c r="P36" s="389"/>
      <x:c r="Q36" s="389"/>
      <x:c r="R36" s="389"/>
      <x:c r="S36" s="389"/>
      <x:c r="T36" s="389"/>
      <x:c r="U36" s="389"/>
      <x:c r="V36" s="389"/>
      <x:c r="W36" s="389"/>
      <x:c r="X36" s="389"/>
      <x:c r="Y36" s="389"/>
      <x:c r="Z36" s="389"/>
      <x:c r="AA36" s="389"/>
      <x:c r="AB36" s="389"/>
      <x:c r="AC36" s="389"/>
      <x:c r="AD36" s="389"/>
      <x:c r="AE36" s="389"/>
    </x:row>
    <x:row r="37" ht="36" customHeight="1">
      <x:c r="A37" s="378" t="str">
        <x:v>2FA / TOTP Available?</x:v>
      </x:c>
      <x:c r="B37" s="346" t="str">
        <x:v>Yes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Yes</x:v>
      </x:c>
      <x:c r="L37" s="346" t="str">
        <x:v>Yes</x:v>
      </x:c>
      <x:c r="M37" s="346" t="str">
        <x:v>Yes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U/K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  <x:row r="38" ht="36" customHeight="1">
      <x:c r="A38" s="378" t="str">
        <x:v>SSO / Enterprise Identity?</x:v>
      </x:c>
      <x:c r="B38" s="346" t="str">
        <x:v>U/K</x:v>
      </x:c>
      <x:c r="C38" s="346" t="str">
        <x:v>U/K</x:v>
      </x:c>
      <x:c r="D38" s="346" t="str">
        <x:v>U/K</x:v>
      </x:c>
      <x:c r="E38" s="346" t="str">
        <x:v>U/K</x:v>
      </x:c>
      <x:c r="F38" s="346" t="str">
        <x:v>U/K</x:v>
      </x:c>
      <x:c r="G38" s="346" t="str">
        <x:v>Provider-dependent</x:v>
      </x:c>
      <x:c r="H38" s="346" t="str">
        <x:v>U/K</x:v>
      </x:c>
      <x:c r="I38" s="346" t="str">
        <x:v>U/K</x:v>
      </x:c>
      <x:c r="J38" s="346" t="str">
        <x:v>U/K</x:v>
      </x:c>
      <x:c r="K38" s="346" t="str">
        <x:v>Yes</x:v>
      </x:c>
      <x:c r="L38" s="346" t="str">
        <x:v>Yes</x:v>
      </x:c>
      <x:c r="M38" s="346" t="str">
        <x:v>Yes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U/K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U/K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U/K</x:v>
      </x:c>
      <x:c r="AB38" s="346" t="str">
        <x:v>U/K</x:v>
      </x:c>
      <x:c r="AC38" s="346" t="str">
        <x:v>U/K</x:v>
      </x:c>
      <x:c r="AD38" s="346" t="str">
        <x:v>U/K</x:v>
      </x:c>
      <x:c r="AE38" s="346" t="str">
        <x:v>U/K</x:v>
      </x:c>
    </x:row>
    <x:row r="39" ht="36" customHeight="1">
      <x:c r="A39" s="378" t="str">
        <x:v>Public Vulnerability Disclosure Policy?</x:v>
      </x:c>
      <x:c r="B39" s="346" t="str">
        <x:v>Yes</x:v>
      </x:c>
      <x:c r="C39" s="346" t="str">
        <x:v>U/K</x:v>
      </x:c>
      <x:c r="D39" s="346" t="str">
        <x:v>U/K</x:v>
      </x:c>
      <x:c r="E39" s="346" t="str">
        <x:v>U/K</x:v>
      </x:c>
      <x:c r="F39" s="346" t="str">
        <x:v>U/K</x:v>
      </x:c>
      <x:c r="G39" s="346" t="str">
        <x:v>U/K</x:v>
      </x:c>
      <x:c r="H39" s="346" t="str">
        <x:v>U/K</x:v>
      </x:c>
      <x:c r="I39" s="346" t="str">
        <x:v>U/K</x:v>
      </x:c>
      <x:c r="J39" s="346" t="str">
        <x:v>U/K</x:v>
      </x:c>
      <x:c r="K39" s="346" t="str">
        <x:v>U/K</x:v>
      </x:c>
      <x:c r="L39" s="346" t="str">
        <x:v>Yes/U/K</x:v>
      </x:c>
      <x:c r="M39" s="346" t="str">
        <x:v>Yes/U/K</x:v>
      </x:c>
      <x:c r="N39" s="346" t="str">
        <x:v>U/K</x:v>
      </x:c>
      <x:c r="O39" s="346" t="str">
        <x:v>U/K</x:v>
      </x:c>
      <x:c r="P39" s="346" t="str">
        <x:v>U/K</x:v>
      </x:c>
      <x:c r="Q39" s="346" t="str">
        <x:v>U/K</x:v>
      </x:c>
      <x:c r="R39" s="346" t="str">
        <x:v>U/K</x:v>
      </x:c>
      <x:c r="S39" s="346" t="str">
        <x:v>U/K</x:v>
      </x:c>
      <x:c r="T39" s="346" t="str">
        <x:v>U/K</x:v>
      </x:c>
      <x:c r="U39" s="346" t="str">
        <x:v>U/K</x:v>
      </x:c>
      <x:c r="V39" s="346" t="str">
        <x:v>U/K</x:v>
      </x:c>
      <x:c r="W39" s="346" t="str">
        <x:v>U/K</x:v>
      </x:c>
      <x:c r="X39" s="346" t="str">
        <x:v>U/K</x:v>
      </x:c>
      <x:c r="Y39" s="346" t="str">
        <x:v>U/K</x:v>
      </x:c>
      <x:c r="Z39" s="346" t="str">
        <x:v>U/K</x:v>
      </x:c>
      <x:c r="AA39" s="380" t="str">
        <x:v>U/K</x:v>
      </x:c>
      <x:c r="AB39" s="346" t="str">
        <x:v>U/K</x:v>
      </x:c>
      <x:c r="AC39" s="346" t="str">
        <x:v>U/K</x:v>
      </x:c>
      <x:c r="AD39" s="346" t="str">
        <x:v>U/K</x:v>
      </x:c>
      <x:c r="AE39" s="346" t="str">
        <x:v>U/K</x:v>
      </x:c>
    </x:row>
    <x:row r="40" ht="36" customHeight="1">
      <x:c r="A40" s="378" t="str">
        <x:v>Security Advisories Published?</x:v>
      </x:c>
      <x:c r="B40" s="346" t="str">
        <x:v>Yes</x:v>
      </x:c>
      <x:c r="C40" s="346" t="str">
        <x:v>U/K</x:v>
      </x:c>
      <x:c r="D40" s="346" t="str">
        <x:v>U/K</x:v>
      </x:c>
      <x:c r="E40" s="346" t="str">
        <x:v>U/K</x:v>
      </x:c>
      <x:c r="F40" s="346" t="str">
        <x:v>U/K</x:v>
      </x:c>
      <x:c r="G40" s="346" t="str">
        <x:v>Yes</x:v>
      </x:c>
      <x:c r="H40" s="346" t="str">
        <x:v>U/K</x:v>
      </x:c>
      <x:c r="I40" s="346" t="str">
        <x:v>Yes</x:v>
      </x:c>
      <x:c r="J40" s="346" t="str">
        <x:v>U/K</x:v>
      </x:c>
      <x:c r="K40" s="346" t="str">
        <x:v>U/K</x:v>
      </x:c>
      <x:c r="L40" s="346" t="str">
        <x:v>Yes</x:v>
      </x:c>
      <x:c r="M40" s="346" t="str">
        <x:v>Yes</x:v>
      </x:c>
      <x:c r="N40" s="346" t="str">
        <x:v>U/K</x:v>
      </x:c>
      <x:c r="O40" s="346" t="str">
        <x:v>U/K</x:v>
      </x:c>
      <x:c r="P40" s="346" t="str">
        <x:v>U/K</x:v>
      </x:c>
      <x:c r="Q40" s="346" t="str">
        <x:v>U/K</x:v>
      </x:c>
      <x:c r="R40" s="346" t="str">
        <x:v>U/K</x:v>
      </x:c>
      <x:c r="S40" s="346" t="str">
        <x:v>U/K</x:v>
      </x:c>
      <x:c r="T40" s="346" t="str">
        <x:v>U/K</x:v>
      </x:c>
      <x:c r="U40" s="346" t="str">
        <x:v>U/K</x:v>
      </x:c>
      <x:c r="V40" s="346" t="str">
        <x:v>U/K</x:v>
      </x:c>
      <x:c r="W40" s="346" t="str">
        <x:v>U/K</x:v>
      </x:c>
      <x:c r="X40" s="346" t="str">
        <x:v>U/K</x:v>
      </x:c>
      <x:c r="Y40" s="346" t="str">
        <x:v>U/K</x:v>
      </x:c>
      <x:c r="Z40" s="346" t="str">
        <x:v>U/K</x:v>
      </x:c>
      <x:c r="AA40" s="380" t="str">
        <x:v>U/K</x:v>
      </x:c>
      <x:c r="AB40" s="346" t="str">
        <x:v>U/K</x:v>
      </x:c>
      <x:c r="AC40" s="346" t="str">
        <x:v>U/K</x:v>
      </x:c>
      <x:c r="AD40" s="346" t="str">
        <x:v>U/K</x:v>
      </x:c>
      <x:c r="AE40" s="346" t="str">
        <x:v>U/K</x:v>
      </x:c>
    </x:row>
  </x:sheetData>
  <x:mergeCells>
    <x:mergeCell ref="A1:AE1"/>
  </x:mergeCells>
  <x:conditionalFormatting sqref="B3:AE35">
    <x:cfRule type="expression" dxfId="78" priority="1">
      <x:formula>ISNUMBER(SEARCH("U/K",B3))</x:formula>
    </x:cfRule>
    <x:cfRule type="expression" dxfId="79" priority="2">
      <x:formula>OR(B3="N/A",LEFT(B3,4)="N/A ")</x:formula>
    </x:cfRule>
  </x:conditionalFormatting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Security History &amp; Audits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Known Past CVEs / Exploits</x:v>
      </x:c>
      <x:c r="B3" s="344" t="str">
        <x:v>U/K (no authoritative public first-party CVE inventory for the core Discord service located)</x:v>
      </x:c>
      <x:c r="C3" s="344" t="str">
        <x:v>Public advisories exist in self-host repo; exhaustive CVE list U/K</x:v>
      </x:c>
      <x:c r="D3" s="344" t="str">
        <x:v>U/K</x:v>
      </x:c>
      <x:c r="E3" s="344" t="str">
        <x:v>U/K</x:v>
      </x:c>
      <x:c r="F3" s="344" t="str">
        <x:v>U/K</x:v>
      </x:c>
      <x:c r="G3" s="344" t="str">
        <x:v>Implementation-specific; protocol/clients/servers have had CVEs</x:v>
      </x:c>
      <x:c r="H3" s="344" t="str">
        <x:v>Public GitHub security/issues; exhaustive CVE list U/K</x:v>
      </x:c>
      <x:c r="I3" s="344" t="str">
        <x:v>Public CVEs/advisories exist over long project history</x:v>
      </x:c>
      <x:c r="J3" s="344" t="str">
        <x:v>Past client/server vulnerabilities exist; current exhaustive list U/K</x:v>
      </x:c>
      <x:c r="K3" s="345" t="str">
        <x:v>Public advisories possible; exhaustive list U/K</x:v>
      </x:c>
      <x:c r="L3" s="346" t="str">
        <x:v>Public CVEs/security advisories</x:v>
      </x:c>
      <x:c r="M3" s="346" t="str">
        <x:v>Public CVEs/security advisories</x:v>
      </x:c>
      <x:c r="N3" s="346" t="str">
        <x:v>U/K - no comprehensive authoritative public CVE inventory verified</x:v>
      </x:c>
      <x:c r="O3" s="346" t="str">
        <x:v>U/K - no comprehensive authoritative public CVE inventory verified</x:v>
      </x:c>
      <x:c r="P3" s="346" t="str">
        <x:v>U/K - no comprehensive authoritative public CVE inventory verified</x:v>
      </x:c>
      <x:c r="Q3" s="346" t="str">
        <x:v>U/K - no comprehensive authoritative public CVE inventory verified</x:v>
      </x:c>
      <x:c r="R3" s="346" t="str">
        <x:v>U/K - no comprehensive authoritative public CVE inventory verified</x:v>
      </x:c>
      <x:c r="S3" s="346" t="str">
        <x:v>U/K - no comprehensive authoritative public CVE inventory verified</x:v>
      </x:c>
      <x:c r="T3" s="346" t="str">
        <x:v>U/K - no comprehensive authoritative public CVE inventory verified</x:v>
      </x:c>
      <x:c r="U3" s="346" t="str">
        <x:v>U/K - no comprehensive authoritative public CVE inventory verified</x:v>
      </x:c>
      <x:c r="V3" s="346" t="str">
        <x:v>U/K - no comprehensive authoritative public CVE inventory verified</x:v>
      </x:c>
      <x:c r="W3" s="346" t="str">
        <x:v>U/K - no comprehensive authoritative public CVE inventory verified</x:v>
      </x:c>
      <x:c r="X3" s="346" t="str">
        <x:v>U/K - no comprehensive authoritative public CVE inventory verified</x:v>
      </x:c>
      <x:c r="Y3" s="346" t="str">
        <x:v>U/K - no comprehensive authoritative public CVE inventory verified</x:v>
      </x:c>
      <x:c r="Z3" s="346" t="str">
        <x:v>U/K - no comprehensive authoritative public CVE inventory verified</x:v>
      </x:c>
      <x:c r="AA3" s="380" t="str">
        <x:v>U/K - no comprehensive authoritative public CVE inventory verified</x:v>
      </x:c>
      <x:c r="AB3" s="346" t="str">
        <x:v>U/K - no comprehensive authoritative public CVE inventory verified</x:v>
      </x:c>
      <x:c r="AC3" s="346" t="str">
        <x:v>U/K - no comprehensive authoritative public CVE inventory verified</x:v>
      </x:c>
      <x:c r="AD3" s="346" t="str">
        <x:v>U/K - no comprehensive authoritative public CVE inventory verified</x:v>
      </x:c>
      <x:c r="AE3" s="414" t="str">
        <x:v>U/K - no comprehensive authoritative public CVE inventory verified</x:v>
      </x:c>
    </x:row>
    <x:row r="4" ht="36" customHeight="1">
      <x:c r="A4" s="358" t="str">
        <x:v>Data Breach / Leak History</x:v>
      </x:c>
      <x:c r="B4" s="344" t="str">
        <x:v>Yes - 2025 third-party customer-support vendor incident; ~70,000 users may have had government-ID photos exposed; core Discord service was not breached</x:v>
      </x:c>
      <x:c r="C4" s="344" t="str">
        <x:v>No major public hosted-service breach verified</x:v>
      </x:c>
      <x:c r="D4" s="344" t="str">
        <x:v>No public breach verified</x:v>
      </x:c>
      <x:c r="E4" s="344" t="str">
        <x:v>No major public breach verified</x:v>
      </x:c>
      <x:c r="F4" s="344" t="str">
        <x:v>No public breach verified</x:v>
      </x:c>
      <x:c r="G4" s="344" t="str">
        <x:v>Incidents are provider/implementation-specific</x:v>
      </x:c>
      <x:c r="H4" s="344" t="str">
        <x:v>No major public breach verified</x:v>
      </x:c>
      <x:c r="I4" s="344" t="str">
        <x:v>No central hosted data breach model</x:v>
      </x:c>
      <x:c r="J4" s="344" t="str">
        <x:v>No recent major breach verified here</x:v>
      </x:c>
      <x:c r="K4" s="345" t="str">
        <x:v>No major current breach verified</x:v>
      </x:c>
      <x:c r="L4" s="346" t="str">
        <x:v>Past vulnerabilities; major breach of vendor service not verified</x:v>
      </x:c>
      <x:c r="M4" s="346" t="str">
        <x:v>Past vulnerabilities; major current breach U/K</x:v>
      </x:c>
      <x:c r="N4" s="346" t="str">
        <x:v>No major verified breach added here; U/K unless project publishes one</x:v>
      </x:c>
      <x:c r="O4" s="346" t="str">
        <x:v>No major verified breach added here; U/K unless project publishes one</x:v>
      </x:c>
      <x:c r="P4" s="346" t="str">
        <x:v>No major verified breach added here; U/K unless project publishes one</x:v>
      </x:c>
      <x:c r="Q4" s="346" t="str">
        <x:v>No major verified breach added here; U/K unless project publishes one</x:v>
      </x:c>
      <x:c r="R4" s="346" t="str">
        <x:v>No major verified breach added here; U/K unless project publishes one</x:v>
      </x:c>
      <x:c r="S4" s="346" t="str">
        <x:v>No major verified breach added here; U/K unless project publishes one</x:v>
      </x:c>
      <x:c r="T4" s="346" t="str">
        <x:v>No major verified breach added here; U/K unless project publishes one</x:v>
      </x:c>
      <x:c r="U4" s="346" t="str">
        <x:v>No major verified breach added here; U/K unless project publishes one</x:v>
      </x:c>
      <x:c r="V4" s="346" t="str">
        <x:v>No major verified breach added here; U/K unless project publishes one</x:v>
      </x:c>
      <x:c r="W4" s="346" t="str">
        <x:v>No major verified breach added here; U/K unless project publishes one</x:v>
      </x:c>
      <x:c r="X4" s="346" t="str">
        <x:v>No major verified breach added here; U/K unless project publishes one</x:v>
      </x:c>
      <x:c r="Y4" s="346" t="str">
        <x:v>No major verified breach added here; U/K unless project publishes one</x:v>
      </x:c>
      <x:c r="Z4" s="346" t="str">
        <x:v>No major verified breach added here; U/K unless project publishes one</x:v>
      </x:c>
      <x:c r="AA4" s="380" t="str">
        <x:v>No major verified breach added here; U/K unless project publishes one</x:v>
      </x:c>
      <x:c r="AB4" s="346" t="str">
        <x:v>No major verified breach added here; U/K unless project publishes one</x:v>
      </x:c>
      <x:c r="AC4" s="346" t="str">
        <x:v>No major verified breach added here; U/K unless project publishes one</x:v>
      </x:c>
      <x:c r="AD4" s="346" t="str">
        <x:v>No major verified breach added here; U/K unless project publishes one</x:v>
      </x:c>
      <x:c r="AE4" s="414" t="str">
        <x:v>No major verified breach added here; U/K unless project publishes one</x:v>
      </x:c>
    </x:row>
    <x:row r="5" ht="36" customHeight="1">
      <x:c r="A5" s="358" t="str">
        <x:v>Independent Security Audits (Public / Private / None)</x:v>
      </x:c>
      <x:c r="B5" s="344" t="str">
        <x:v>Public targeted audits of DAVE E2EE; no comprehensive public whole-platform audit verified</x:v>
      </x:c>
      <x:c r="C5" s="344" t="str">
        <x:v>No comprehensive independent audit verified</x:v>
      </x:c>
      <x:c r="D5" s="344" t="str">
        <x:v>No independent audit published</x:v>
      </x:c>
      <x:c r="E5" s="344" t="str">
        <x:v>No comprehensive independent audit verified</x:v>
      </x:c>
      <x:c r="F5" s="344" t="str">
        <x:v>No independent audit published</x:v>
      </x:c>
      <x:c r="G5" s="344" t="str">
        <x:v>Multiple independent audits across implementations; no single Matrix-wide audit</x:v>
      </x:c>
      <x:c r="H5" s="344" t="str">
        <x:v>No independent audit published</x:v>
      </x:c>
      <x:c r="I5" s="344" t="str">
        <x:v>Open-source review; formal audit U/K</x:v>
      </x:c>
      <x:c r="J5" s="344" t="str">
        <x:v>Independent audit status U/K</x:v>
      </x:c>
      <x:c r="K5" s="345" t="str">
        <x:v>Security review/audit status U/K</x:v>
      </x:c>
      <x:c r="L5" s="346" t="str">
        <x:v>Enterprise/security audits/certifications exist; exact latest audit U/K</x:v>
      </x:c>
      <x:c r="M5" s="346" t="str">
        <x:v>Security audits/certifications vary by offering</x:v>
      </x:c>
      <x:c r="N5" s="346" t="str">
        <x:v>No comprehensive independent security audit verified</x:v>
      </x:c>
      <x:c r="O5" s="346" t="str">
        <x:v>No comprehensive independent security audit verified</x:v>
      </x:c>
      <x:c r="P5" s="346" t="str">
        <x:v>No comprehensive independent security audit verified</x:v>
      </x:c>
      <x:c r="Q5" s="346" t="str">
        <x:v>No comprehensive independent security audit verified</x:v>
      </x:c>
      <x:c r="R5" s="346" t="str">
        <x:v>No comprehensive independent security audit verified</x:v>
      </x:c>
      <x:c r="S5" s="346" t="str">
        <x:v>No comprehensive independent security audit verified</x:v>
      </x:c>
      <x:c r="T5" s="346" t="str">
        <x:v>No comprehensive independent security audit verified</x:v>
      </x:c>
      <x:c r="U5" s="346" t="str">
        <x:v>No comprehensive independent security audit verified</x:v>
      </x:c>
      <x:c r="V5" s="346" t="str">
        <x:v>No comprehensive independent security audit verified</x:v>
      </x:c>
      <x:c r="W5" s="346" t="str">
        <x:v>No comprehensive independent security audit verified</x:v>
      </x:c>
      <x:c r="X5" s="346" t="str">
        <x:v>No comprehensive independent security audit verified</x:v>
      </x:c>
      <x:c r="Y5" s="346" t="str">
        <x:v>No comprehensive independent security audit verified</x:v>
      </x:c>
      <x:c r="Z5" s="346" t="str">
        <x:v>No comprehensive independent security audit verified</x:v>
      </x:c>
      <x:c r="AA5" s="380" t="str">
        <x:v>No comprehensive independent security audit verified</x:v>
      </x:c>
      <x:c r="AB5" s="346" t="str">
        <x:v>No comprehensive independent security audit verified</x:v>
      </x:c>
      <x:c r="AC5" s="346" t="str">
        <x:v>No comprehensive independent security audit verified</x:v>
      </x:c>
      <x:c r="AD5" s="346" t="str">
        <x:v>No comprehensive independent security audit verified</x:v>
      </x:c>
      <x:c r="AE5" s="414" t="str">
        <x:v>No comprehensive independent security audit verified</x:v>
      </x:c>
    </x:row>
    <x:row r="6" ht="36" customHeight="1">
      <x:c r="A6" s="358" t="str">
        <x:v>Auditing Firm &amp; Date of Last Audit</x:v>
      </x:c>
      <x:c r="B6" s="344" t="str">
        <x:v>Trail of Bits - DAVE design/implementation review (2024) and follow-up audit (2025)</x:v>
      </x:c>
      <x:c r="C6" s="344" t="str">
        <x:v>U/K</x:v>
      </x:c>
      <x:c r="D6" s="344" t="str">
        <x:v>U/K</x:v>
      </x:c>
      <x:c r="E6" s="344" t="str">
        <x:v>U/K</x:v>
      </x:c>
      <x:c r="F6" s="344" t="str">
        <x:v>U/K</x:v>
      </x:c>
      <x:c r="G6" s="344" t="str">
        <x:v>Implementation-specific</x:v>
      </x:c>
      <x:c r="H6" s="344" t="str">
        <x:v>U/K</x:v>
      </x:c>
      <x:c r="I6" s="344" t="str">
        <x:v>U/K</x:v>
      </x:c>
      <x:c r="J6" s="344" t="str">
        <x:v>U/K</x:v>
      </x:c>
      <x:c r="K6" s="345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U/K</x:v>
      </x:c>
      <x:c r="AB6" s="346" t="str">
        <x:v>U/K</x:v>
      </x:c>
      <x:c r="AC6" s="346" t="str">
        <x:v>U/K</x:v>
      </x:c>
      <x:c r="AD6" s="346" t="str">
        <x:v>U/K</x:v>
      </x:c>
      <x:c r="AE6" s="414" t="str">
        <x:v>U/K</x:v>
      </x:c>
    </x:row>
    <x:row r="7" ht="36" customHeight="1">
      <x:c r="A7" s="358" t="str">
        <x:v>Active Bug Bounty Program</x:v>
      </x:c>
      <x:c r="B7" s="344" t="str">
        <x:v>Yes - private Bugcrowd program with cash bounties; DAVE is in scope</x:v>
      </x:c>
      <x:c r="C7" s="344" t="str">
        <x:v>Public security reporting process/GitHub; bounty U/K</x:v>
      </x:c>
      <x:c r="D7" s="344" t="str">
        <x:v>No public bug bounty verified</x:v>
      </x:c>
      <x:c r="E7" s="344" t="str">
        <x:v>Security reporting channel; formal bounty U/K</x:v>
      </x:c>
      <x:c r="F7" s="344" t="str">
        <x:v>No public bug bounty verified</x:v>
      </x:c>
      <x:c r="G7" s="344" t="str">
        <x:v>Implementation-specific</x:v>
      </x:c>
      <x:c r="H7" s="344" t="str">
        <x:v>No formal bounty verified</x:v>
      </x:c>
      <x:c r="I7" s="344" t="str">
        <x:v>No formal bounty verified</x:v>
      </x:c>
      <x:c r="J7" s="344" t="str">
        <x:v>Security contact/bounty U/K</x:v>
      </x:c>
      <x:c r="K7" s="345" t="str">
        <x:v>Security disclosure program; bounty status U/K</x:v>
      </x:c>
      <x:c r="L7" s="346" t="str">
        <x:v>Security disclosure/bounty program</x:v>
      </x:c>
      <x:c r="M7" s="346" t="str">
        <x:v>Bug bounty/security program U/K</x:v>
      </x:c>
      <x:c r="N7" s="346" t="str">
        <x:v>Formal bug bounty U/K</x:v>
      </x:c>
      <x:c r="O7" s="346" t="str">
        <x:v>Formal bug bounty U/K</x:v>
      </x:c>
      <x:c r="P7" s="346" t="str">
        <x:v>Formal bug bounty U/K</x:v>
      </x:c>
      <x:c r="Q7" s="346" t="str">
        <x:v>Formal bug bounty U/K</x:v>
      </x:c>
      <x:c r="R7" s="346" t="str">
        <x:v>Formal bug bounty U/K</x:v>
      </x:c>
      <x:c r="S7" s="346" t="str">
        <x:v>Formal bug bounty U/K</x:v>
      </x:c>
      <x:c r="T7" s="346" t="str">
        <x:v>Formal bug bounty U/K</x:v>
      </x:c>
      <x:c r="U7" s="346" t="str">
        <x:v>Formal bug bounty U/K</x:v>
      </x:c>
      <x:c r="V7" s="346" t="str">
        <x:v>Formal bug bounty U/K</x:v>
      </x:c>
      <x:c r="W7" s="346" t="str">
        <x:v>Formal bug bounty U/K</x:v>
      </x:c>
      <x:c r="X7" s="346" t="str">
        <x:v>Formal bug bounty U/K</x:v>
      </x:c>
      <x:c r="Y7" s="346" t="str">
        <x:v>Formal bug bounty U/K</x:v>
      </x:c>
      <x:c r="Z7" s="346" t="str">
        <x:v>Formal bug bounty U/K</x:v>
      </x:c>
      <x:c r="AA7" s="380" t="str">
        <x:v>Formal bug bounty U/K</x:v>
      </x:c>
      <x:c r="AB7" s="346" t="str">
        <x:v>Formal bug bounty U/K</x:v>
      </x:c>
      <x:c r="AC7" s="346" t="str">
        <x:v>Formal bug bounty U/K</x:v>
      </x:c>
      <x:c r="AD7" s="346" t="str">
        <x:v>Formal bug bounty U/K</x:v>
      </x:c>
      <x:c r="AE7" s="414" t="str">
        <x:v>Formal bug bounty U/K</x:v>
      </x:c>
    </x:row>
    <x:row r="8" ht="36" customHeight="1">
      <x:c r="A8" s="397" t="str">
        <x:v>Vulnerability Disclosure Responsiveness</x:v>
      </x:c>
      <x:c r="B8" s="349" t="str">
        <x:v>Reports are usually answered within ~24 hours, per Discord's security page</x:v>
      </x:c>
      <x:c r="C8" s="349" t="str">
        <x:v>Public issues/security advisories</x:v>
      </x:c>
      <x:c r="D8" s="349" t="str">
        <x:v>U/K</x:v>
      </x:c>
      <x:c r="E8" s="349" t="str">
        <x:v>Public security/privacy documentation</x:v>
      </x:c>
      <x:c r="F8" s="349" t="str">
        <x:v>Support/security disclosure route U/K</x:v>
      </x:c>
      <x:c r="G8" s="349" t="str">
        <x:v>Public security advisories across ecosystem</x:v>
      </x:c>
      <x:c r="H8" s="349" t="str">
        <x:v>Public GitHub</x:v>
      </x:c>
      <x:c r="I8" s="349" t="str">
        <x:v>Public GitHub/security channels</x:v>
      </x:c>
      <x:c r="J8" s="349" t="str">
        <x:v>U/K</x:v>
      </x:c>
      <x:c r="K8" s="395" t="str">
        <x:v>Public security process</x:v>
      </x:c>
      <x:c r="L8" s="349" t="str">
        <x:v>Public advisories/responsive security process</x:v>
      </x:c>
      <x:c r="M8" s="349" t="str">
        <x:v>Public security advisories</x:v>
      </x:c>
      <x:c r="N8" s="349" t="str">
        <x:v>Public disclosure responsiveness U/K</x:v>
      </x:c>
      <x:c r="O8" s="349" t="str">
        <x:v>Public disclosure responsiveness U/K</x:v>
      </x:c>
      <x:c r="P8" s="349" t="str">
        <x:v>Public disclosure responsiveness U/K</x:v>
      </x:c>
      <x:c r="Q8" s="349" t="str">
        <x:v>Public disclosure responsiveness U/K</x:v>
      </x:c>
      <x:c r="R8" s="349" t="str">
        <x:v>Public disclosure responsiveness U/K</x:v>
      </x:c>
      <x:c r="S8" s="349" t="str">
        <x:v>Public disclosure responsiveness U/K</x:v>
      </x:c>
      <x:c r="T8" s="349" t="str">
        <x:v>Public disclosure responsiveness U/K</x:v>
      </x:c>
      <x:c r="U8" s="349" t="str">
        <x:v>Public disclosure responsiveness U/K</x:v>
      </x:c>
      <x:c r="V8" s="349" t="str">
        <x:v>Public disclosure responsiveness U/K</x:v>
      </x:c>
      <x:c r="W8" s="349" t="str">
        <x:v>Public disclosure responsiveness U/K</x:v>
      </x:c>
      <x:c r="X8" s="349" t="str">
        <x:v>Public disclosure responsiveness U/K</x:v>
      </x:c>
      <x:c r="Y8" s="349" t="str">
        <x:v>Public disclosure responsiveness U/K</x:v>
      </x:c>
      <x:c r="Z8" s="349" t="str">
        <x:v>Public disclosure responsiveness U/K</x:v>
      </x:c>
      <x:c r="AA8" s="381" t="str">
        <x:v>Public disclosure responsiveness U/K</x:v>
      </x:c>
      <x:c r="AB8" s="349" t="str">
        <x:v>Public disclosure responsiveness U/K</x:v>
      </x:c>
      <x:c r="AC8" s="349" t="str">
        <x:v>Public disclosure responsiveness U/K</x:v>
      </x:c>
      <x:c r="AD8" s="349" t="str">
        <x:v>Public disclosure responsiveness U/K</x:v>
      </x:c>
      <x:c r="AE8" s="415" t="str">
        <x:v>Public disclosure responsiveness U/K</x:v>
      </x:c>
    </x:row>
    <x:row r="9" ht="23" customHeight="1">
      <x:c r="A9" s="389" t="str">
        <x:v>Security Program Maturity</x:v>
      </x:c>
      <x:c r="B9" s="389"/>
      <x:c r="C9" s="389"/>
      <x:c r="D9" s="389"/>
      <x:c r="E9" s="389"/>
      <x:c r="F9" s="389"/>
      <x:c r="G9" s="389"/>
      <x:c r="H9" s="389"/>
      <x:c r="I9" s="389"/>
      <x:c r="J9" s="389"/>
      <x:c r="K9" s="389"/>
      <x:c r="L9" s="389"/>
      <x:c r="M9" s="389"/>
      <x:c r="N9" s="389"/>
      <x:c r="O9" s="389"/>
      <x:c r="P9" s="389"/>
      <x:c r="Q9" s="389"/>
      <x:c r="R9" s="389"/>
      <x:c r="S9" s="389"/>
      <x:c r="T9" s="389"/>
      <x:c r="U9" s="389"/>
      <x:c r="V9" s="389"/>
      <x:c r="W9" s="389"/>
      <x:c r="X9" s="389"/>
      <x:c r="Y9" s="389"/>
      <x:c r="Z9" s="389"/>
      <x:c r="AA9" s="389"/>
      <x:c r="AB9" s="389"/>
      <x:c r="AC9" s="389"/>
      <x:c r="AD9" s="389"/>
      <x:c r="AE9" s="389"/>
    </x:row>
    <x:row r="10" ht="36" customHeight="1">
      <x:c r="A10" s="378" t="str">
        <x:v>Public Security Advisory / CVE Process</x:v>
      </x:c>
      <x:c r="B10" s="346" t="str">
        <x:v>Yes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Yes</x:v>
      </x:c>
      <x:c r="H10" s="346" t="str">
        <x:v>U/K</x:v>
      </x:c>
      <x:c r="I10" s="346" t="str">
        <x:v>Yes</x:v>
      </x:c>
      <x:c r="J10" s="346" t="str">
        <x:v>U/K</x:v>
      </x:c>
      <x:c r="K10" s="346" t="str">
        <x:v>U/K</x:v>
      </x:c>
      <x:c r="L10" s="346" t="str">
        <x:v>Yes</x:v>
      </x:c>
      <x:c r="M10" s="346" t="str">
        <x:v>Yes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78" t="str">
        <x:v>Independent Penetration Tests Published</x:v>
      </x:c>
      <x:c r="B11" s="346" t="str">
        <x:v>Security/audit details vary; DAVE cryptographic audits published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78" t="str">
        <x:v>Release / Artifact Signing Documented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SBOM / Supply-Chain Transparency</x:v>
      </x:c>
      <x:c r="B13" s="346" t="str">
        <x:v>U/K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>
      <x:c r="A14" s="24"/>
      <x:c r="B14" s="24"/>
      <x:c r="C14" s="24"/>
      <x:c r="D14" s="24"/>
      <x:c r="E14" s="24"/>
      <x:c r="F14" s="24"/>
      <x:c r="G14" s="2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</x:row>
    <x:row r="15">
      <x:c r="A15" s="24"/>
      <x:c r="B15" s="24"/>
      <x:c r="C15" s="24"/>
      <x:c r="D15" s="24"/>
      <x:c r="E15" s="24"/>
      <x:c r="F15" s="24"/>
      <x:c r="G15" s="24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 s="24"/>
      <x:c r="B16" s="24"/>
      <x:c r="C16" s="24"/>
      <x:c r="D16" s="24"/>
      <x:c r="E16" s="24"/>
      <x:c r="F16" s="24"/>
      <x:c r="G16" s="24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 s="24"/>
      <x:c r="B17" s="24"/>
      <x:c r="C17" s="24"/>
      <x:c r="D17" s="24"/>
      <x:c r="E17" s="24"/>
      <x:c r="F17" s="24"/>
      <x:c r="G17" s="24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 s="24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8">
    <x:cfRule type="expression" dxfId="40" priority="1">
      <x:formula>ISNUMBER(SEARCH("U/K",B3))</x:formula>
    </x:cfRule>
    <x:cfRule type="expression" dxfId="41" priority="2">
      <x:formula>OR(B3="N/A",LEFT(B3,4)="N/A 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Moderation &amp; Safety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Native AutoMod Engine</x:v>
      </x:c>
      <x:c r="B3" s="344" t="str">
        <x:v>Yes - AutoMod</x:v>
      </x:c>
      <x:c r="C3" s="344" t="str">
        <x:v>Partial/native moderation controls</x:v>
      </x:c>
      <x:c r="D3" s="344" t="str">
        <x:v>Native moderation</x:v>
      </x:c>
      <x:c r="E3" s="344" t="str">
        <x:v>Native moderation</x:v>
      </x:c>
      <x:c r="F3" s="344" t="str">
        <x:v>Yes - Moderation App + native controls</x:v>
      </x:c>
      <x:c r="G3" s="344" t="str">
        <x:v>Protocol supports room permissions/power levels; tooling varies by client/server</x:v>
      </x:c>
      <x:c r="H3" s="344" t="str">
        <x:v>Discord-compatible moderation target</x:v>
      </x:c>
      <x:c r="I3" s="344" t="str">
        <x:v>ACLs/permissions rather than AutoMod</x:v>
      </x:c>
      <x:c r="J3" s="344" t="str">
        <x:v>Permissions/admin tools</x:v>
      </x:c>
      <x:c r="K3" s="345" t="str">
        <x:v>Moderation/admin controls; no Discord-style AutoMod core</x:v>
      </x:c>
      <x:c r="L3" s="346" t="str">
        <x:v>Moderation/admin/retention/compliance tools</x:v>
      </x:c>
      <x:c r="M3" s="346" t="str">
        <x:v>Moderation/admin tools</x:v>
      </x:c>
      <x:c r="N3" s="346" t="str">
        <x:v>U/K</x:v>
      </x:c>
      <x:c r="O3" s="346" t="str">
        <x:v>U/K</x:v>
      </x:c>
      <x:c r="P3" s="346" t="str">
        <x:v>U/K</x:v>
      </x:c>
      <x:c r="Q3" s="346" t="str">
        <x:v>U/K</x:v>
      </x:c>
      <x:c r="R3" s="346" t="str">
        <x:v>U/K</x:v>
      </x:c>
      <x:c r="S3" s="346" t="str">
        <x:v>U/K</x:v>
      </x:c>
      <x:c r="T3" s="346" t="str">
        <x:v>Native moderation</x:v>
      </x:c>
      <x:c r="U3" s="346" t="str">
        <x:v>U/K</x:v>
      </x:c>
      <x:c r="V3" s="346" t="str">
        <x:v>U/K</x:v>
      </x:c>
      <x:c r="W3" s="346" t="str">
        <x:v>U/K</x:v>
      </x:c>
      <x:c r="X3" s="346" t="str">
        <x:v>U/K</x:v>
      </x:c>
      <x:c r="Y3" s="346" t="str">
        <x:v>U/K</x:v>
      </x:c>
      <x:c r="Z3" s="346" t="str">
        <x:v>Server/operator moderation</x:v>
      </x:c>
      <x:c r="AA3" s="380" t="str">
        <x:v>Yes - built-in AutoMod</x:v>
      </x:c>
      <x:c r="AB3" s="346" t="str">
        <x:v>Native moderation</x:v>
      </x:c>
      <x:c r="AC3" s="346" t="str">
        <x:v>U/K</x:v>
      </x:c>
      <x:c r="AD3" s="346" t="str">
        <x:v>Built-in automod</x:v>
      </x:c>
      <x:c r="AE3" s="414" t="str">
        <x:v>U/K</x:v>
      </x:c>
    </x:row>
    <x:row r="4" ht="36" customHeight="1">
      <x:c r="A4" s="358" t="str">
        <x:v>Custom Keyword &amp; Regex Blocklists</x:v>
      </x:c>
      <x:c r="B4" s="344" t="str">
        <x:v>Yes - custom keywords + Rust-flavor regex</x:v>
      </x:c>
      <x:c r="C4" s="344" t="str">
        <x:v>Keyword/regex specifics U/K</x:v>
      </x:c>
      <x:c r="D4" s="344" t="str">
        <x:v>U/K</x:v>
      </x:c>
      <x:c r="E4" s="344" t="str">
        <x:v>U/K</x:v>
      </x:c>
      <x:c r="F4" s="344" t="str">
        <x:v>Yes - built-in/custom word filters; regex U/K</x:v>
      </x:c>
      <x:c r="G4" s="344" t="str">
        <x:v>Client/server/bot-dependent</x:v>
      </x:c>
      <x:c r="H4" s="344" t="str">
        <x:v>U/K</x:v>
      </x:c>
      <x:c r="I4" s="344" t="str">
        <x:v>No text AutoMod focus</x:v>
      </x:c>
      <x:c r="J4" s="344" t="str">
        <x:v>Text filter specifics U/K</x:v>
      </x:c>
      <x:c r="K4" s="345" t="str">
        <x:v>U/K</x:v>
      </x:c>
      <x:c r="L4" s="346" t="str">
        <x:v>Keyword automation via plugins/integrations; exact native regex U/K</x:v>
      </x:c>
      <x:c r="M4" s="346" t="str">
        <x:v>Keyword/moderation apps; exact native regex U/K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Advanced anti-spam advertised</x:v>
      </x:c>
      <x:c r="AA4" s="380" t="str">
        <x:v>Keyword filters yes; regex U/K</x:v>
      </x:c>
      <x:c r="AB4" s="346" t="str">
        <x:v>U/K</x:v>
      </x:c>
      <x:c r="AC4" s="346" t="str">
        <x:v>U/K</x:v>
      </x:c>
      <x:c r="AD4" s="346" t="str">
        <x:v>Blocklists/automod</x:v>
      </x:c>
      <x:c r="AE4" s="414" t="str">
        <x:v>U/K</x:v>
      </x:c>
    </x:row>
    <x:row r="5" ht="36" customHeight="1">
      <x:c r="A5" s="358" t="str">
        <x:v>Anti-Spam &amp; Rate Limiting</x:v>
      </x:c>
      <x:c r="B5" s="344" t="str">
        <x:v>Yes - AutoMod spam filter, platform/API rate limits, verification levels, and slowmode</x:v>
      </x:c>
      <x:c r="C5" s="344" t="str">
        <x:v>Rate limiting + moderation controls</x:v>
      </x:c>
      <x:c r="D5" s="344" t="str">
        <x:v>Yes / planned native</x:v>
      </x:c>
      <x:c r="E5" s="344" t="str">
        <x:v>Rate limits + moderation tools</x:v>
      </x:c>
      <x:c r="F5" s="344" t="str">
        <x:v>Yes - spam rules</x:v>
      </x:c>
      <x:c r="G5" s="344" t="str">
        <x:v>Homeserver and bot-dependent</x:v>
      </x:c>
      <x:c r="H5" s="344" t="str">
        <x:v>Configurable rate limiting</x:v>
      </x:c>
      <x:c r="I5" s="344" t="str">
        <x:v>Server ACLs/rate controls</x:v>
      </x:c>
      <x:c r="J5" s="344" t="str">
        <x:v>Anti-spam/flood controls</x:v>
      </x:c>
      <x:c r="K5" s="345" t="str">
        <x:v>Rate limiting/admin controls</x:v>
      </x:c>
      <x:c r="L5" s="346" t="str">
        <x:v>Rate limits + admin controls</x:v>
      </x:c>
      <x:c r="M5" s="346" t="str">
        <x:v>Rate limiting + moderation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Advanced anti-spam/rate controls</x:v>
      </x:c>
      <x:c r="AA5" s="380" t="str">
        <x:v>Yes - spam protection + slowmode</x:v>
      </x:c>
      <x:c r="AB5" s="346" t="str">
        <x:v>Rate controls</x:v>
      </x:c>
      <x:c r="AC5" s="346" t="str">
        <x:v>U/K</x:v>
      </x:c>
      <x:c r="AD5" s="346" t="str">
        <x:v>Spam/raid tools</x:v>
      </x:c>
      <x:c r="AE5" s="414" t="str">
        <x:v>U/K</x:v>
      </x:c>
    </x:row>
    <x:row r="6" ht="36" customHeight="1">
      <x:c r="A6" s="358" t="str">
        <x:v>Anti-Raid / Mass Join Mitigation</x:v>
      </x:c>
      <x:c r="B6" s="344" t="str">
        <x:v>Yes - Raid Protection uses ML signals and can require CAPTCHA; verification/security controls also available</x:v>
      </x:c>
      <x:c r="C6" s="344" t="str">
        <x:v>U/K</x:v>
      </x:c>
      <x:c r="D6" s="344" t="str">
        <x:v>U/K</x:v>
      </x:c>
      <x:c r="E6" s="344" t="str">
        <x:v>Moderation improvements active; exact anti-raid controls U/K</x:v>
      </x:c>
      <x:c r="F6" s="344" t="str">
        <x:v>U/K</x:v>
      </x:c>
      <x:c r="G6" s="344" t="str">
        <x:v>Homeserver/operator-dependent</x:v>
      </x:c>
      <x:c r="H6" s="344" t="str">
        <x:v>U/K</x:v>
      </x:c>
      <x:c r="I6" s="344" t="str">
        <x:v>N/A</x:v>
      </x:c>
      <x:c r="J6" s="344" t="str">
        <x:v>U/K</x:v>
      </x:c>
      <x:c r="K6" s="345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Federated ban-sharing planned</x:v>
      </x:c>
      <x:c r="AA6" s="380" t="str">
        <x:v>Yes - join-spike detection, account-age gate, raid mode</x:v>
      </x:c>
      <x:c r="AB6" s="346" t="str">
        <x:v>U/K</x:v>
      </x:c>
      <x:c r="AC6" s="346" t="str">
        <x:v>U/K</x:v>
      </x:c>
      <x:c r="AD6" s="346" t="str">
        <x:v>Automod raid protection</x:v>
      </x:c>
      <x:c r="AE6" s="414" t="str">
        <x:v>U/K</x:v>
      </x:c>
    </x:row>
    <x:row r="7" ht="36" customHeight="1">
      <x:c r="A7" s="358" t="str">
        <x:v>Audit Log Retention Period</x:v>
      </x:c>
      <x:c r="B7" s="344" t="str">
        <x:v>45 days</x:v>
      </x:c>
      <x:c r="C7" s="344" t="str">
        <x:v>U/K</x:v>
      </x:c>
      <x:c r="D7" s="344" t="str">
        <x:v>U/K</x:v>
      </x:c>
      <x:c r="E7" s="344" t="str">
        <x:v>U/K</x:v>
      </x:c>
      <x:c r="F7" s="344" t="str">
        <x:v>U/K</x:v>
      </x:c>
      <x:c r="G7" s="344" t="str">
        <x:v>Homeserver-dependent</x:v>
      </x:c>
      <x:c r="H7" s="344" t="str">
        <x:v>U/K</x:v>
      </x:c>
      <x:c r="I7" s="344" t="str">
        <x:v>Server logs operator-controlled</x:v>
      </x:c>
      <x:c r="J7" s="344" t="str">
        <x:v>Server logs/operator-controlled</x:v>
      </x:c>
      <x:c r="K7" s="345" t="str">
        <x:v>Audit/admin logs deployment-dependent</x:v>
      </x:c>
      <x:c r="L7" s="346" t="str">
        <x:v>Audit logs enterprise/deployment-dependent</x:v>
      </x:c>
      <x:c r="M7" s="346" t="str">
        <x:v>Audit logs enterprise/admin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Operator controlled</x:v>
      </x:c>
      <x:c r="AA7" s="380" t="str">
        <x:v>U/K</x:v>
      </x:c>
      <x:c r="AB7" s="346" t="str">
        <x:v>Audit log</x:v>
      </x:c>
      <x:c r="AC7" s="346" t="str">
        <x:v>U/K</x:v>
      </x:c>
      <x:c r="AD7" s="346" t="str">
        <x:v>U/K</x:v>
      </x:c>
      <x:c r="AE7" s="414" t="str">
        <x:v>U/K</x:v>
      </x:c>
    </x:row>
    <x:row r="8" ht="36" customHeight="1">
      <x:c r="A8" s="358" t="str">
        <x:v>Audit Log Granularity &amp; Filtering</x:v>
      </x:c>
      <x:c r="B8" s="344" t="str">
        <x:v>Granular administrative actions with actor/target/changes/reason; available in client and API</x:v>
      </x:c>
      <x:c r="C8" s="344" t="str">
        <x:v>U/K</x:v>
      </x:c>
      <x:c r="D8" s="344" t="str">
        <x:v>U/K</x:v>
      </x:c>
      <x:c r="E8" s="344" t="str">
        <x:v>U/K</x:v>
      </x:c>
      <x:c r="F8" s="344" t="str">
        <x:v>U/K</x:v>
      </x:c>
      <x:c r="G8" s="344" t="str">
        <x:v>Homeserver-dependent</x:v>
      </x:c>
      <x:c r="H8" s="344" t="str">
        <x:v>U/K</x:v>
      </x:c>
      <x:c r="I8" s="344" t="str">
        <x:v>ACL/log tools</x:v>
      </x:c>
      <x:c r="J8" s="344" t="str">
        <x:v>Detailed permissions/logging</x:v>
      </x:c>
      <x:c r="K8" s="345" t="str">
        <x:v>Admin tooling</x:v>
      </x:c>
      <x:c r="L8" s="346" t="str">
        <x:v>Detailed audit/compliance tooling</x:v>
      </x:c>
      <x:c r="M8" s="346" t="str">
        <x:v>Detailed enterprise audit tools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Operator tools</x:v>
      </x:c>
      <x:c r="AA8" s="380" t="str">
        <x:v>Yes - searchable mod feed by user/date/action</x:v>
      </x:c>
      <x:c r="AB8" s="346" t="str">
        <x:v>Staff actions logged</x:v>
      </x:c>
      <x:c r="AC8" s="346" t="str">
        <x:v>U/K</x:v>
      </x:c>
      <x:c r="AD8" s="346" t="str">
        <x:v>Moderation tooling</x:v>
      </x:c>
      <x:c r="AE8" s="414" t="str">
        <x:v>U/K</x:v>
      </x:c>
    </x:row>
    <x:row r="9" ht="36" customHeight="1">
      <x:c r="A9" s="358" t="str">
        <x:v>New Member Screening / Gate</x:v>
      </x:c>
      <x:c r="B9" s="344" t="str">
        <x:v>Yes - Rules Screening + verification levels; Server Member Applications are available/rolling out</x:v>
      </x:c>
      <x:c r="C9" s="344" t="str">
        <x:v>U/K</x:v>
      </x:c>
      <x:c r="D9" s="344" t="str">
        <x:v>U/K</x:v>
      </x:c>
      <x:c r="E9" s="344" t="str">
        <x:v>U/K</x:v>
      </x:c>
      <x:c r="F9" s="344" t="str">
        <x:v>U/K</x:v>
      </x:c>
      <x:c r="G9" s="344" t="str">
        <x:v>Client/server-dependent</x:v>
      </x:c>
      <x:c r="H9" s="344" t="str">
        <x:v>U/K</x:v>
      </x:c>
      <x:c r="I9" s="344" t="str">
        <x:v>Password/cert/ACL gates</x:v>
      </x:c>
      <x:c r="J9" s="344" t="str">
        <x:v>Password/permissions</x:v>
      </x:c>
      <x:c r="K9" s="345" t="str">
        <x:v>Invite/SSO/domain controls</x:v>
      </x:c>
      <x:c r="L9" s="346" t="str">
        <x:v>Invite/SSO/admin restrictions</x:v>
      </x:c>
      <x:c r="M9" s="346" t="str">
        <x:v>Invite/SSO/approval options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Instance controls</x:v>
      </x:c>
      <x:c r="AA9" s="380" t="str">
        <x:v>U/K</x:v>
      </x:c>
      <x:c r="AB9" s="346" t="str">
        <x:v>U/K</x:v>
      </x:c>
      <x:c r="AC9" s="346" t="str">
        <x:v>U/K</x:v>
      </x:c>
      <x:c r="AD9" s="346" t="str">
        <x:v>U/K</x:v>
      </x:c>
      <x:c r="AE9" s="414" t="str">
        <x:v>U/K</x:v>
      </x:c>
    </x:row>
    <x:row r="10" ht="36" customHeight="1">
      <x:c r="A10" s="397" t="str">
        <x:v>Report Management Queue &amp; Mod Dashboard</x:v>
      </x:c>
      <x:c r="B10" s="349" t="str">
        <x:v>U/K (member/application management and AutoMod alerts exist; a universal native report-case queue/dashboard was not verified)</x:v>
      </x:c>
      <x:c r="C10" s="349" t="str">
        <x:v>U/K</x:v>
      </x:c>
      <x:c r="D10" s="349" t="str">
        <x:v>Native moderation controls</x:v>
      </x:c>
      <x:c r="E10" s="349" t="str">
        <x:v>U/K</x:v>
      </x:c>
      <x:c r="F10" s="349" t="str">
        <x:v>Moderation App dashboards/analytics</x:v>
      </x:c>
      <x:c r="G10" s="349" t="str">
        <x:v>Client/server-dependent</x:v>
      </x:c>
      <x:c r="H10" s="349" t="str">
        <x:v>U/K</x:v>
      </x:c>
      <x:c r="I10" s="349" t="str">
        <x:v>Admin tools</x:v>
      </x:c>
      <x:c r="J10" s="349" t="str">
        <x:v>Admin tools</x:v>
      </x:c>
      <x:c r="K10" s="395" t="str">
        <x:v>Admin UI</x:v>
      </x:c>
      <x:c r="L10" s="349" t="str">
        <x:v>Admin console</x:v>
      </x:c>
      <x:c r="M10" s="349" t="str">
        <x:v>Admin console</x:v>
      </x:c>
      <x:c r="N10" s="349" t="str">
        <x:v>U/K</x:v>
      </x:c>
      <x:c r="O10" s="349" t="str">
        <x:v>U/K</x:v>
      </x:c>
      <x:c r="P10" s="349" t="str">
        <x:v>U/K</x:v>
      </x:c>
      <x:c r="Q10" s="349" t="str">
        <x:v>U/K</x:v>
      </x:c>
      <x:c r="R10" s="349" t="str">
        <x:v>U/K</x:v>
      </x:c>
      <x:c r="S10" s="349" t="str">
        <x:v>U/K</x:v>
      </x:c>
      <x:c r="T10" s="349" t="str">
        <x:v>U/K</x:v>
      </x:c>
      <x:c r="U10" s="349" t="str">
        <x:v>U/K</x:v>
      </x:c>
      <x:c r="V10" s="349" t="str">
        <x:v>U/K</x:v>
      </x:c>
      <x:c r="W10" s="349" t="str">
        <x:v>U/K</x:v>
      </x:c>
      <x:c r="X10" s="349" t="str">
        <x:v>U/K</x:v>
      </x:c>
      <x:c r="Y10" s="349" t="str">
        <x:v>U/K</x:v>
      </x:c>
      <x:c r="Z10" s="349" t="str">
        <x:v>Operator responsibility</x:v>
      </x:c>
      <x:c r="AA10" s="381" t="str">
        <x:v>Yes - structured reports + Shard Command Center</x:v>
      </x:c>
      <x:c r="AB10" s="349" t="str">
        <x:v>Reports in-app</x:v>
      </x:c>
      <x:c r="AC10" s="349" t="str">
        <x:v>U/K</x:v>
      </x:c>
      <x:c r="AD10" s="349" t="str">
        <x:v>Admin/mod tools</x:v>
      </x:c>
      <x:c r="AE10" s="415" t="str">
        <x:v>U/K</x:v>
      </x:c>
    </x:row>
    <x:row r="11" ht="23" customHeight="1">
      <x:c r="A11" s="389" t="str">
        <x:v>Moderator Workflow &amp; Enforcement</x:v>
      </x:c>
      <x:c r="B11" s="389"/>
      <x:c r="C11" s="389"/>
      <x:c r="D11" s="389"/>
      <x:c r="E11" s="389"/>
      <x:c r="F11" s="389"/>
      <x:c r="G11" s="389"/>
      <x:c r="H11" s="389"/>
      <x:c r="I11" s="389"/>
      <x:c r="J11" s="389"/>
      <x:c r="K11" s="389"/>
      <x:c r="L11" s="389"/>
      <x:c r="M11" s="389"/>
      <x:c r="N11" s="389"/>
      <x:c r="O11" s="389"/>
      <x:c r="P11" s="389"/>
      <x:c r="Q11" s="389"/>
      <x:c r="R11" s="389"/>
      <x:c r="S11" s="389"/>
      <x:c r="T11" s="389"/>
      <x:c r="U11" s="389"/>
      <x:c r="V11" s="389"/>
      <x:c r="W11" s="389"/>
      <x:c r="X11" s="389"/>
      <x:c r="Y11" s="389"/>
      <x:c r="Z11" s="389"/>
      <x:c r="AA11" s="389"/>
      <x:c r="AB11" s="389"/>
      <x:c r="AC11" s="389"/>
      <x:c r="AD11" s="389"/>
      <x:c r="AE11" s="389"/>
    </x:row>
    <x:row r="12" ht="36" customHeight="1">
      <x:c r="A12" s="378" t="str">
        <x:v>Slowmode?</x:v>
      </x:c>
      <x:c r="B12" s="346" t="str">
        <x:v>Yes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Yes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Mention Spam Protection?</x:v>
      </x:c>
      <x:c r="B13" s="346" t="str">
        <x:v>Yes / included in anti-spam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Yes / included in anti-spam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Yes / included in anti-spam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Yes / included in anti-spam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Yes / included in anti-spam</x:v>
      </x:c>
      <x:c r="AE13" s="346" t="str">
        <x:v>U/K</x:v>
      </x:c>
    </x:row>
    <x:row r="14" ht="36" customHeight="1">
      <x:c r="A14" s="378" t="str">
        <x:v>Verification Levels?</x:v>
      </x:c>
      <x:c r="B14" s="346" t="str">
        <x:v>Yes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78" t="str">
        <x:v>Rules Screening?</x:v>
      </x:c>
      <x:c r="B15" s="346" t="str">
        <x:v>Yes - Rules Screening + verification levels; Server Member Applications are available/rolling out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Client/server-dependent</x:v>
      </x:c>
      <x:c r="H15" s="346" t="str">
        <x:v>U/K</x:v>
      </x:c>
      <x:c r="I15" s="346" t="str">
        <x:v>Password/cert/ACL gates</x:v>
      </x:c>
      <x:c r="J15" s="346" t="str">
        <x:v>Password/permissions</x:v>
      </x:c>
      <x:c r="K15" s="346" t="str">
        <x:v>Invite/SSO/domain controls</x:v>
      </x:c>
      <x:c r="L15" s="346" t="str">
        <x:v>Invite/SSO/admin restrictions</x:v>
      </x:c>
      <x:c r="M15" s="346" t="str">
        <x:v>Invite/SSO/approval options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Instance controls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Join Questions / Application?</x:v>
      </x:c>
      <x:c r="B16" s="346" t="str">
        <x:v>Yes - Rules Screening + verification levels; Server Member Applications are available/rolling out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Client/server-dependent</x:v>
      </x:c>
      <x:c r="H16" s="346" t="str">
        <x:v>U/K</x:v>
      </x:c>
      <x:c r="I16" s="346" t="str">
        <x:v>Password/cert/ACL gates</x:v>
      </x:c>
      <x:c r="J16" s="346" t="str">
        <x:v>Password/permissions</x:v>
      </x:c>
      <x:c r="K16" s="346" t="str">
        <x:v>Invite/SSO/domain controls</x:v>
      </x:c>
      <x:c r="L16" s="346" t="str">
        <x:v>Invite/SSO/admin restrictions</x:v>
      </x:c>
      <x:c r="M16" s="346" t="str">
        <x:v>Invite/SSO/approval options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Instance controls</x:v>
      </x:c>
      <x:c r="AA16" s="380" t="str">
        <x:v>U/K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78" t="str">
        <x:v>Ban?</x:v>
      </x:c>
      <x:c r="B17" s="346" t="str">
        <x:v>Yes</x:v>
      </x:c>
      <x:c r="C17" s="346" t="str">
        <x:v>Yes</x:v>
      </x:c>
      <x:c r="D17" s="346" t="str">
        <x:v>Yes</x:v>
      </x:c>
      <x:c r="E17" s="346" t="str">
        <x:v>Yes</x:v>
      </x:c>
      <x:c r="F17" s="346" t="str">
        <x:v>Yes</x:v>
      </x:c>
      <x:c r="G17" s="346" t="str">
        <x:v>Yes</x:v>
      </x:c>
      <x:c r="H17" s="346" t="str">
        <x:v>Yes</x:v>
      </x:c>
      <x:c r="I17" s="346" t="str">
        <x:v>Yes</x:v>
      </x:c>
      <x:c r="J17" s="346" t="str">
        <x:v>Yes</x:v>
      </x:c>
      <x:c r="K17" s="346" t="str">
        <x:v>Yes</x:v>
      </x:c>
      <x:c r="L17" s="346" t="str">
        <x:v>Yes</x:v>
      </x:c>
      <x:c r="M17" s="346" t="str">
        <x:v>Yes</x:v>
      </x:c>
      <x:c r="N17" s="346" t="str">
        <x:v>Yes</x:v>
      </x:c>
      <x:c r="O17" s="346" t="str">
        <x:v>Yes</x:v>
      </x:c>
      <x:c r="P17" s="346" t="str">
        <x:v>Yes</x:v>
      </x:c>
      <x:c r="Q17" s="346" t="str">
        <x:v>Yes</x:v>
      </x:c>
      <x:c r="R17" s="346" t="str">
        <x:v>Yes</x:v>
      </x:c>
      <x:c r="S17" s="346" t="str">
        <x:v>Yes</x:v>
      </x:c>
      <x:c r="T17" s="346" t="str">
        <x:v>Yes</x:v>
      </x:c>
      <x:c r="U17" s="346" t="str">
        <x:v>Yes</x:v>
      </x:c>
      <x:c r="V17" s="346" t="str">
        <x:v>Yes</x:v>
      </x:c>
      <x:c r="W17" s="346" t="str">
        <x:v>Yes</x:v>
      </x:c>
      <x:c r="X17" s="346" t="str">
        <x:v>Yes</x:v>
      </x:c>
      <x:c r="Y17" s="346" t="str">
        <x:v>Yes</x:v>
      </x:c>
      <x:c r="Z17" s="346" t="str">
        <x:v>Yes</x:v>
      </x:c>
      <x:c r="AA17" s="380" t="str">
        <x:v>Yes</x:v>
      </x:c>
      <x:c r="AB17" s="346" t="str">
        <x:v>Yes</x:v>
      </x:c>
      <x:c r="AC17" s="346" t="str">
        <x:v>Yes</x:v>
      </x:c>
      <x:c r="AD17" s="346" t="str">
        <x:v>Yes</x:v>
      </x:c>
      <x:c r="AE17" s="346" t="str">
        <x:v>Yes</x:v>
      </x:c>
    </x:row>
    <x:row r="18" ht="36" customHeight="1">
      <x:c r="A18" s="378" t="str">
        <x:v>Kick?</x:v>
      </x:c>
      <x:c r="B18" s="346" t="str">
        <x:v>Yes</x:v>
      </x:c>
      <x:c r="C18" s="346" t="str">
        <x:v>Yes</x:v>
      </x:c>
      <x:c r="D18" s="346" t="str">
        <x:v>Yes</x:v>
      </x:c>
      <x:c r="E18" s="346" t="str">
        <x:v>Yes</x:v>
      </x:c>
      <x:c r="F18" s="346" t="str">
        <x:v>Yes</x:v>
      </x:c>
      <x:c r="G18" s="346" t="str">
        <x:v>Yes</x:v>
      </x:c>
      <x:c r="H18" s="346" t="str">
        <x:v>Yes</x:v>
      </x:c>
      <x:c r="I18" s="346" t="str">
        <x:v>Yes</x:v>
      </x:c>
      <x:c r="J18" s="346" t="str">
        <x:v>Yes</x:v>
      </x:c>
      <x:c r="K18" s="346" t="str">
        <x:v>Yes</x:v>
      </x:c>
      <x:c r="L18" s="346" t="str">
        <x:v>Yes</x:v>
      </x:c>
      <x:c r="M18" s="346" t="str">
        <x:v>Yes</x:v>
      </x:c>
      <x:c r="N18" s="346" t="str">
        <x:v>Yes</x:v>
      </x:c>
      <x:c r="O18" s="346" t="str">
        <x:v>Yes</x:v>
      </x:c>
      <x:c r="P18" s="346" t="str">
        <x:v>Yes</x:v>
      </x:c>
      <x:c r="Q18" s="346" t="str">
        <x:v>Yes</x:v>
      </x:c>
      <x:c r="R18" s="346" t="str">
        <x:v>Yes</x:v>
      </x:c>
      <x:c r="S18" s="346" t="str">
        <x:v>Yes</x:v>
      </x:c>
      <x:c r="T18" s="346" t="str">
        <x:v>Yes</x:v>
      </x:c>
      <x:c r="U18" s="346" t="str">
        <x:v>Yes</x:v>
      </x:c>
      <x:c r="V18" s="346" t="str">
        <x:v>Yes</x:v>
      </x:c>
      <x:c r="W18" s="346" t="str">
        <x:v>Yes</x:v>
      </x:c>
      <x:c r="X18" s="346" t="str">
        <x:v>Yes</x:v>
      </x:c>
      <x:c r="Y18" s="346" t="str">
        <x:v>Yes</x:v>
      </x:c>
      <x:c r="Z18" s="346" t="str">
        <x:v>Yes</x:v>
      </x:c>
      <x:c r="AA18" s="380" t="str">
        <x:v>Yes</x:v>
      </x:c>
      <x:c r="AB18" s="346" t="str">
        <x:v>Yes</x:v>
      </x:c>
      <x:c r="AC18" s="346" t="str">
        <x:v>Yes</x:v>
      </x:c>
      <x:c r="AD18" s="346" t="str">
        <x:v>Yes</x:v>
      </x:c>
      <x:c r="AE18" s="346" t="str">
        <x:v>Yes</x:v>
      </x:c>
    </x:row>
    <x:row r="19" ht="36" customHeight="1">
      <x:c r="A19" s="378" t="str">
        <x:v>Timeout / Mute?</x:v>
      </x:c>
      <x:c r="B19" s="346" t="str">
        <x:v>Yes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Yes</x:v>
      </x:c>
      <x:c r="J19" s="346" t="str">
        <x:v>Yes</x:v>
      </x:c>
      <x:c r="K19" s="346" t="str">
        <x:v>U/K</x:v>
      </x:c>
      <x:c r="L19" s="346" t="str">
        <x:v>Yes</x:v>
      </x:c>
      <x:c r="M19" s="346" t="str">
        <x:v>Yes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Yes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>
      <x:c r="A20" s="24"/>
      <x:c r="B20" s="24"/>
      <x:c r="C20" s="24"/>
      <x:c r="D20" s="24"/>
      <x:c r="E20" s="24"/>
      <x:c r="F20" s="24"/>
      <x:c r="G20" s="24"/>
      <x:c r="H20" s="24"/>
      <x:c r="I20" s="24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 s="24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 s="24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 s="24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 s="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 s="24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 s="24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 s="24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10">
    <x:cfRule type="expression" dxfId="48" priority="1">
      <x:formula>ISNUMBER(SEARCH("U/K",B3))</x:formula>
    </x:cfRule>
    <x:cfRule type="expression" dxfId="49" priority="2">
      <x:formula>OR(B3="N/A",LEFT(B3,4)="N/A ")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Moderation, Anti-Spam &amp; Safety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Automated Moderation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Native AutoMod?</x:v>
      </x:c>
      <x:c r="B4" s="346" t="str">
        <x:v>Yes - AutoMod</x:v>
      </x:c>
      <x:c r="C4" s="346" t="str">
        <x:v>Partial/native moderation controls</x:v>
      </x:c>
      <x:c r="D4" s="346" t="str">
        <x:v>Native moderation</x:v>
      </x:c>
      <x:c r="E4" s="346" t="str">
        <x:v>Native moderation</x:v>
      </x:c>
      <x:c r="F4" s="346" t="str">
        <x:v>Yes - Moderation App + native controls</x:v>
      </x:c>
      <x:c r="G4" s="346" t="str">
        <x:v>Protocol supports room permissions/power levels; tooling varies by client/server</x:v>
      </x:c>
      <x:c r="H4" s="346" t="str">
        <x:v>Discord-compatible moderation target</x:v>
      </x:c>
      <x:c r="I4" s="346" t="str">
        <x:v>ACLs/permissions rather than AutoMod</x:v>
      </x:c>
      <x:c r="J4" s="346" t="str">
        <x:v>Permissions/admin tools</x:v>
      </x:c>
      <x:c r="K4" s="346" t="str">
        <x:v>Moderation/admin controls; no Discord-style AutoMod core</x:v>
      </x:c>
      <x:c r="L4" s="346" t="str">
        <x:v>Moderation/admin/retention/compliance tools</x:v>
      </x:c>
      <x:c r="M4" s="346" t="str">
        <x:v>Moderation/admin tools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Native moderation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Server/operator moderation</x:v>
      </x:c>
      <x:c r="AA4" s="380" t="str">
        <x:v>Yes</x:v>
      </x:c>
      <x:c r="AB4" s="346" t="str">
        <x:v>Native moderation</x:v>
      </x:c>
      <x:c r="AC4" s="346" t="str">
        <x:v>U/K</x:v>
      </x:c>
      <x:c r="AD4" s="346" t="str">
        <x:v>Built-in automod</x:v>
      </x:c>
      <x:c r="AE4" s="346" t="str">
        <x:v>U/K</x:v>
      </x:c>
    </x:row>
    <x:row r="5" ht="36" customHeight="1">
      <x:c r="A5" s="359" t="str">
        <x:v>Custom Keyword Blocklist?</x:v>
      </x:c>
      <x:c r="B5" s="346" t="str">
        <x:v>Yes - custom keywords + Rust-flavor regex</x:v>
      </x:c>
      <x:c r="C5" s="346" t="str">
        <x:v>Keyword/regex specifics U/K</x:v>
      </x:c>
      <x:c r="D5" s="346" t="str">
        <x:v>U/K</x:v>
      </x:c>
      <x:c r="E5" s="346" t="str">
        <x:v>U/K</x:v>
      </x:c>
      <x:c r="F5" s="346" t="str">
        <x:v>Yes - built-in/custom word filters; regex U/K</x:v>
      </x:c>
      <x:c r="G5" s="346" t="str">
        <x:v>Client/server/bot-dependent</x:v>
      </x:c>
      <x:c r="H5" s="346" t="str">
        <x:v>U/K</x:v>
      </x:c>
      <x:c r="I5" s="346" t="str">
        <x:v>No text AutoMod focus</x:v>
      </x:c>
      <x:c r="J5" s="346" t="str">
        <x:v>Text filter specifics U/K</x:v>
      </x:c>
      <x:c r="K5" s="346" t="str">
        <x:v>U/K</x:v>
      </x:c>
      <x:c r="L5" s="346" t="str">
        <x:v>Keyword automation via plugins/integrations; exact native regex U/K</x:v>
      </x:c>
      <x:c r="M5" s="346" t="str">
        <x:v>Keyword/moderation apps; exact native regex 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Advanced anti-spam advertised</x:v>
      </x:c>
      <x:c r="AA5" s="380" t="str">
        <x:v>Yes</x:v>
      </x:c>
      <x:c r="AB5" s="346" t="str">
        <x:v>U/K</x:v>
      </x:c>
      <x:c r="AC5" s="346" t="str">
        <x:v>U/K</x:v>
      </x:c>
      <x:c r="AD5" s="346" t="str">
        <x:v>Blocklists/automod</x:v>
      </x:c>
      <x:c r="AE5" s="346" t="str">
        <x:v>U/K</x:v>
      </x:c>
    </x:row>
    <x:row r="6" ht="36" customHeight="1">
      <x:c r="A6" s="359" t="str">
        <x:v>Regex Blocklist?</x:v>
      </x:c>
      <x:c r="B6" s="346" t="str">
        <x:v>Yes</x:v>
      </x:c>
      <x:c r="C6" s="346" t="str">
        <x:v>Yes</x:v>
      </x:c>
      <x:c r="D6" s="346" t="str">
        <x:v>U/K</x:v>
      </x:c>
      <x:c r="E6" s="346" t="str">
        <x:v>U/K</x:v>
      </x:c>
      <x:c r="F6" s="346" t="str">
        <x:v>Yes</x:v>
      </x:c>
      <x:c r="G6" s="346" t="str">
        <x:v>U/K</x:v>
      </x:c>
      <x:c r="H6" s="346" t="str">
        <x:v>U/K</x:v>
      </x:c>
      <x:c r="I6" s="346" t="str">
        <x:v>No</x:v>
      </x:c>
      <x:c r="J6" s="346" t="str">
        <x:v>U/K</x:v>
      </x:c>
      <x:c r="K6" s="346" t="str">
        <x:v>U/K</x:v>
      </x:c>
      <x:c r="L6" s="346" t="str">
        <x:v>Yes</x:v>
      </x:c>
      <x:c r="M6" s="346" t="str">
        <x:v>Yes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U/K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9" t="str">
        <x:v>Link Filter?</x:v>
      </x:c>
      <x:c r="B7" s="346" t="str">
        <x:v>U/K</x:v>
      </x:c>
      <x:c r="C7" s="346" t="str">
        <x:v>U/K</x:v>
      </x:c>
      <x:c r="D7" s="346" t="str">
        <x:v>U/K</x:v>
      </x:c>
      <x:c r="E7" s="346" t="str">
        <x:v>U/K</x:v>
      </x:c>
      <x:c r="F7" s="346" t="str">
        <x:v>U/K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Yes - invite blocking; broader URL filtering U/K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Mention Spam Protection?</x:v>
      </x:c>
      <x:c r="B8" s="346" t="str">
        <x:v>Yes / included in anti-spam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Yes / included in anti-spam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Yes / included in anti-spam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Yes / included in anti-spam</x:v>
      </x:c>
      <x:c r="AA8" s="380" t="str">
        <x:v>U/K</x:v>
      </x:c>
      <x:c r="AB8" s="346" t="str">
        <x:v>U/K</x:v>
      </x:c>
      <x:c r="AC8" s="346" t="str">
        <x:v>U/K</x:v>
      </x:c>
      <x:c r="AD8" s="346" t="str">
        <x:v>Yes / included in anti-spam</x:v>
      </x:c>
      <x:c r="AE8" s="346" t="str">
        <x:v>U/K</x:v>
      </x:c>
    </x:row>
    <x:row r="9" ht="36" customHeight="1">
      <x:c r="A9" s="359" t="str">
        <x:v>Message Spam Detection?</x:v>
      </x:c>
      <x:c r="B9" s="346" t="str">
        <x:v>Yes - AutoMod spam filter, platform/API rate limits, verification levels, and slowmode</x:v>
      </x:c>
      <x:c r="C9" s="346" t="str">
        <x:v>Rate limiting + moderation controls</x:v>
      </x:c>
      <x:c r="D9" s="346" t="str">
        <x:v>Yes / planned native</x:v>
      </x:c>
      <x:c r="E9" s="346" t="str">
        <x:v>Rate limits + moderation tools</x:v>
      </x:c>
      <x:c r="F9" s="346" t="str">
        <x:v>Yes - spam rules</x:v>
      </x:c>
      <x:c r="G9" s="346" t="str">
        <x:v>Homeserver and bot-dependent</x:v>
      </x:c>
      <x:c r="H9" s="346" t="str">
        <x:v>Configurable rate limiting</x:v>
      </x:c>
      <x:c r="I9" s="346" t="str">
        <x:v>Server ACLs/rate controls</x:v>
      </x:c>
      <x:c r="J9" s="346" t="str">
        <x:v>Anti-spam/flood controls</x:v>
      </x:c>
      <x:c r="K9" s="346" t="str">
        <x:v>Rate limiting/admin controls</x:v>
      </x:c>
      <x:c r="L9" s="346" t="str">
        <x:v>Rate limits + admin controls</x:v>
      </x:c>
      <x:c r="M9" s="346" t="str">
        <x:v>Rate limiting + moderation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Advanced anti-spam/rate controls</x:v>
      </x:c>
      <x:c r="AA9" s="380" t="str">
        <x:v>Yes</x:v>
      </x:c>
      <x:c r="AB9" s="346" t="str">
        <x:v>Rate controls</x:v>
      </x:c>
      <x:c r="AC9" s="346" t="str">
        <x:v>U/K</x:v>
      </x:c>
      <x:c r="AD9" s="346" t="str">
        <x:v>Spam/raid tools</x:v>
      </x:c>
      <x:c r="AE9" s="346" t="str">
        <x:v>U/K</x:v>
      </x:c>
    </x:row>
    <x:row r="10" ht="36" customHeight="1">
      <x:c r="A10" s="359" t="str">
        <x:v>Rate Limits?</x:v>
      </x:c>
      <x:c r="B10" s="346" t="str">
        <x:v>Yes - AutoMod spam filter, platform/API rate limits, verification levels, and slowmode</x:v>
      </x:c>
      <x:c r="C10" s="346" t="str">
        <x:v>Rate limiting + moderation controls</x:v>
      </x:c>
      <x:c r="D10" s="346" t="str">
        <x:v>Yes / planned native</x:v>
      </x:c>
      <x:c r="E10" s="346" t="str">
        <x:v>Rate limits + moderation tools</x:v>
      </x:c>
      <x:c r="F10" s="346" t="str">
        <x:v>Yes - spam rules</x:v>
      </x:c>
      <x:c r="G10" s="346" t="str">
        <x:v>Homeserver and bot-dependent</x:v>
      </x:c>
      <x:c r="H10" s="346" t="str">
        <x:v>Configurable rate limiting</x:v>
      </x:c>
      <x:c r="I10" s="346" t="str">
        <x:v>Server ACLs/rate controls</x:v>
      </x:c>
      <x:c r="J10" s="346" t="str">
        <x:v>Anti-spam/flood controls</x:v>
      </x:c>
      <x:c r="K10" s="346" t="str">
        <x:v>Rate limiting/admin controls</x:v>
      </x:c>
      <x:c r="L10" s="346" t="str">
        <x:v>Rate limits + admin controls</x:v>
      </x:c>
      <x:c r="M10" s="346" t="str">
        <x:v>Rate limiting + moderation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Advanced anti-spam/rate controls</x:v>
      </x:c>
      <x:c r="AA10" s="380" t="str">
        <x:v>Yes / slowmode</x:v>
      </x:c>
      <x:c r="AB10" s="346" t="str">
        <x:v>Rate controls</x:v>
      </x:c>
      <x:c r="AC10" s="346" t="str">
        <x:v>U/K</x:v>
      </x:c>
      <x:c r="AD10" s="346" t="str">
        <x:v>Spam/raid tools</x:v>
      </x:c>
      <x:c r="AE10" s="346" t="str">
        <x:v>U/K</x:v>
      </x:c>
    </x:row>
    <x:row r="11" ht="36" customHeight="1">
      <x:c r="A11" s="359" t="str">
        <x:v>Slowmode?</x:v>
      </x:c>
      <x:c r="B11" s="346" t="str">
        <x:v>Yes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Yes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23" customHeight="1">
      <x:c r="A12" s="427" t="str">
        <x:v>Raid / Join Protection</x:v>
      </x:c>
      <x:c r="B12" s="427"/>
      <x:c r="C12" s="427"/>
      <x:c r="D12" s="427"/>
      <x:c r="E12" s="427"/>
      <x:c r="F12" s="427"/>
      <x:c r="G12" s="427"/>
      <x:c r="H12" s="427"/>
      <x:c r="I12" s="427"/>
      <x:c r="J12" s="427"/>
      <x:c r="K12" s="427"/>
      <x:c r="L12" s="427"/>
      <x:c r="M12" s="427"/>
      <x:c r="N12" s="427"/>
      <x:c r="O12" s="427"/>
      <x:c r="P12" s="427"/>
      <x:c r="Q12" s="427"/>
      <x:c r="R12" s="427"/>
      <x:c r="S12" s="427"/>
      <x:c r="T12" s="427"/>
      <x:c r="U12" s="427"/>
      <x:c r="V12" s="427"/>
      <x:c r="W12" s="427"/>
      <x:c r="X12" s="427"/>
      <x:c r="Y12" s="427"/>
      <x:c r="Z12" s="427"/>
      <x:c r="AA12" s="427"/>
      <x:c r="AB12" s="427"/>
      <x:c r="AC12" s="427"/>
      <x:c r="AD12" s="427"/>
      <x:c r="AE12" s="427"/>
    </x:row>
    <x:row r="13" ht="36" customHeight="1">
      <x:c r="A13" s="359" t="str">
        <x:v>Raid Detection?</x:v>
      </x:c>
      <x:c r="B13" s="346" t="str">
        <x:v>Yes - Raid Protection uses ML signals and can require CAPTCHA; verification/security controls also available</x:v>
      </x:c>
      <x:c r="C13" s="346" t="str">
        <x:v>U/K</x:v>
      </x:c>
      <x:c r="D13" s="346" t="str">
        <x:v>U/K</x:v>
      </x:c>
      <x:c r="E13" s="346" t="str">
        <x:v>Moderation improvements active; exact anti-raid controls U/K</x:v>
      </x:c>
      <x:c r="F13" s="346" t="str">
        <x:v>U/K</x:v>
      </x:c>
      <x:c r="G13" s="346" t="str">
        <x:v>Homeserver/operator-dependent</x:v>
      </x:c>
      <x:c r="H13" s="346" t="str">
        <x:v>U/K</x:v>
      </x:c>
      <x:c r="I13" s="346" t="str">
        <x:v>N/A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Federated ban-sharing planned</x:v>
      </x:c>
      <x:c r="AA13" s="380" t="str">
        <x:v>Yes</x:v>
      </x:c>
      <x:c r="AB13" s="346" t="str">
        <x:v>U/K</x:v>
      </x:c>
      <x:c r="AC13" s="346" t="str">
        <x:v>U/K</x:v>
      </x:c>
      <x:c r="AD13" s="346" t="str">
        <x:v>Automod raid protection</x:v>
      </x:c>
      <x:c r="AE13" s="346" t="str">
        <x:v>U/K</x:v>
      </x:c>
    </x:row>
    <x:row r="14" ht="36" customHeight="1">
      <x:c r="A14" s="359" t="str">
        <x:v>Mass-Join Protection?</x:v>
      </x:c>
      <x:c r="B14" s="346" t="str">
        <x:v>Yes - Raid Protection uses ML signals and can require CAPTCHA; verification/security controls also available</x:v>
      </x:c>
      <x:c r="C14" s="346" t="str">
        <x:v>U/K</x:v>
      </x:c>
      <x:c r="D14" s="346" t="str">
        <x:v>U/K</x:v>
      </x:c>
      <x:c r="E14" s="346" t="str">
        <x:v>Moderation improvements active; exact anti-raid controls U/K</x:v>
      </x:c>
      <x:c r="F14" s="346" t="str">
        <x:v>U/K</x:v>
      </x:c>
      <x:c r="G14" s="346" t="str">
        <x:v>Homeserver/operator-dependent</x:v>
      </x:c>
      <x:c r="H14" s="346" t="str">
        <x:v>U/K</x:v>
      </x:c>
      <x:c r="I14" s="346" t="str">
        <x:v>N/A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Federated ban-sharing planned</x:v>
      </x:c>
      <x:c r="AA14" s="380" t="str">
        <x:v>Yes</x:v>
      </x:c>
      <x:c r="AB14" s="346" t="str">
        <x:v>U/K</x:v>
      </x:c>
      <x:c r="AC14" s="346" t="str">
        <x:v>U/K</x:v>
      </x:c>
      <x:c r="AD14" s="346" t="str">
        <x:v>Automod raid protection</x:v>
      </x:c>
      <x:c r="AE14" s="346" t="str">
        <x:v>U/K</x:v>
      </x:c>
    </x:row>
    <x:row r="15" ht="36" customHeight="1">
      <x:c r="A15" s="359" t="str">
        <x:v>CAPTCHA / Challenge?</x:v>
      </x:c>
      <x:c r="B15" s="346" t="str">
        <x:v>Yes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Verification Levels?</x:v>
      </x:c>
      <x:c r="B16" s="346" t="str">
        <x:v>Yes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U/K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59" t="str">
        <x:v>Rules Screening?</x:v>
      </x:c>
      <x:c r="B17" s="346" t="str">
        <x:v>Yes - Rules Screening + verification levels; Server Member Applications are available/rolling out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Client/server-dependent</x:v>
      </x:c>
      <x:c r="H17" s="346" t="str">
        <x:v>U/K</x:v>
      </x:c>
      <x:c r="I17" s="346" t="str">
        <x:v>Password/cert/ACL gates</x:v>
      </x:c>
      <x:c r="J17" s="346" t="str">
        <x:v>Password/permissions</x:v>
      </x:c>
      <x:c r="K17" s="346" t="str">
        <x:v>Invite/SSO/domain controls</x:v>
      </x:c>
      <x:c r="L17" s="346" t="str">
        <x:v>Invite/SSO/admin restrictions</x:v>
      </x:c>
      <x:c r="M17" s="346" t="str">
        <x:v>Invite/SSO/approval options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Instance controls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59" t="str">
        <x:v>Join Questions / Application?</x:v>
      </x:c>
      <x:c r="B18" s="346" t="str">
        <x:v>Yes - Rules Screening + verification levels; Server Member Applications are available/rolling out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Client/server-dependent</x:v>
      </x:c>
      <x:c r="H18" s="346" t="str">
        <x:v>U/K</x:v>
      </x:c>
      <x:c r="I18" s="346" t="str">
        <x:v>Password/cert/ACL gates</x:v>
      </x:c>
      <x:c r="J18" s="346" t="str">
        <x:v>Password/permissions</x:v>
      </x:c>
      <x:c r="K18" s="346" t="str">
        <x:v>Invite/SSO/domain controls</x:v>
      </x:c>
      <x:c r="L18" s="346" t="str">
        <x:v>Invite/SSO/admin restrictions</x:v>
      </x:c>
      <x:c r="M18" s="346" t="str">
        <x:v>Invite/SSO/approval options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Instance controls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23" customHeight="1">
      <x:c r="A19" s="427" t="str">
        <x:v>Moderator Workflow</x:v>
      </x:c>
      <x:c r="B19" s="427"/>
      <x:c r="C19" s="427"/>
      <x:c r="D19" s="427"/>
      <x:c r="E19" s="427"/>
      <x:c r="F19" s="427"/>
      <x:c r="G19" s="427"/>
      <x:c r="H19" s="427"/>
      <x:c r="I19" s="427"/>
      <x:c r="J19" s="427"/>
      <x:c r="K19" s="427"/>
      <x:c r="L19" s="427"/>
      <x:c r="M19" s="427"/>
      <x:c r="N19" s="427"/>
      <x:c r="O19" s="427"/>
      <x:c r="P19" s="427"/>
      <x:c r="Q19" s="427"/>
      <x:c r="R19" s="427"/>
      <x:c r="S19" s="427"/>
      <x:c r="T19" s="427"/>
      <x:c r="U19" s="427"/>
      <x:c r="V19" s="427"/>
      <x:c r="W19" s="427"/>
      <x:c r="X19" s="427"/>
      <x:c r="Y19" s="427"/>
      <x:c r="Z19" s="427"/>
      <x:c r="AA19" s="427"/>
      <x:c r="AB19" s="427"/>
      <x:c r="AC19" s="427"/>
      <x:c r="AD19" s="427"/>
      <x:c r="AE19" s="427"/>
    </x:row>
    <x:row r="20" ht="36" customHeight="1">
      <x:c r="A20" s="359" t="str">
        <x:v>Mod Queue?</x:v>
      </x:c>
      <x:c r="B20" s="346" t="str">
        <x:v>U/K (member/application management and AutoMod alerts exist; a universal native report-case queue/dashboard was not verified)</x:v>
      </x:c>
      <x:c r="C20" s="346" t="str">
        <x:v>U/K</x:v>
      </x:c>
      <x:c r="D20" s="346" t="str">
        <x:v>Native moderation controls</x:v>
      </x:c>
      <x:c r="E20" s="346" t="str">
        <x:v>U/K</x:v>
      </x:c>
      <x:c r="F20" s="346" t="str">
        <x:v>Moderation App dashboards/analytics</x:v>
      </x:c>
      <x:c r="G20" s="346" t="str">
        <x:v>Client/server-dependent</x:v>
      </x:c>
      <x:c r="H20" s="346" t="str">
        <x:v>U/K</x:v>
      </x:c>
      <x:c r="I20" s="346" t="str">
        <x:v>Admin tools</x:v>
      </x:c>
      <x:c r="J20" s="346" t="str">
        <x:v>Admin tools</x:v>
      </x:c>
      <x:c r="K20" s="346" t="str">
        <x:v>Admin UI</x:v>
      </x:c>
      <x:c r="L20" s="346" t="str">
        <x:v>Admin console</x:v>
      </x:c>
      <x:c r="M20" s="346" t="str">
        <x:v>Admin console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Operator responsibility</x:v>
      </x:c>
      <x:c r="AA20" s="380" t="str">
        <x:v>Yes - Shard Command Center/mod feed</x:v>
      </x:c>
      <x:c r="AB20" s="346" t="str">
        <x:v>Reports in-app</x:v>
      </x:c>
      <x:c r="AC20" s="346" t="str">
        <x:v>U/K</x:v>
      </x:c>
      <x:c r="AD20" s="346" t="str">
        <x:v>Admin/mod tools</x:v>
      </x:c>
      <x:c r="AE20" s="346" t="str">
        <x:v>U/K</x:v>
      </x:c>
    </x:row>
    <x:row r="21" ht="36" customHeight="1">
      <x:c r="A21" s="359" t="str">
        <x:v>User Report Queue?</x:v>
      </x:c>
      <x:c r="B21" s="346" t="str">
        <x:v>U/K (member/application management and AutoMod alerts exist; a universal native report-case queue/dashboard was not verified)</x:v>
      </x:c>
      <x:c r="C21" s="346" t="str">
        <x:v>U/K</x:v>
      </x:c>
      <x:c r="D21" s="346" t="str">
        <x:v>Native moderation controls</x:v>
      </x:c>
      <x:c r="E21" s="346" t="str">
        <x:v>U/K</x:v>
      </x:c>
      <x:c r="F21" s="346" t="str">
        <x:v>Moderation App dashboards/analytics</x:v>
      </x:c>
      <x:c r="G21" s="346" t="str">
        <x:v>Client/server-dependent</x:v>
      </x:c>
      <x:c r="H21" s="346" t="str">
        <x:v>U/K</x:v>
      </x:c>
      <x:c r="I21" s="346" t="str">
        <x:v>Admin tools</x:v>
      </x:c>
      <x:c r="J21" s="346" t="str">
        <x:v>Admin tools</x:v>
      </x:c>
      <x:c r="K21" s="346" t="str">
        <x:v>Admin UI</x:v>
      </x:c>
      <x:c r="L21" s="346" t="str">
        <x:v>Admin console</x:v>
      </x:c>
      <x:c r="M21" s="346" t="str">
        <x:v>Admin console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Operator responsibility</x:v>
      </x:c>
      <x:c r="AA21" s="380" t="str">
        <x:v>Yes - structured reports/status</x:v>
      </x:c>
      <x:c r="AB21" s="346" t="str">
        <x:v>Reports in-app</x:v>
      </x:c>
      <x:c r="AC21" s="346" t="str">
        <x:v>U/K</x:v>
      </x:c>
      <x:c r="AD21" s="346" t="str">
        <x:v>Admin/mod tools</x:v>
      </x:c>
      <x:c r="AE21" s="346" t="str">
        <x:v>U/K</x:v>
      </x:c>
    </x:row>
    <x:row r="22" ht="36" customHeight="1">
      <x:c r="A22" s="359" t="str">
        <x:v>AutoMod Alert Channel?</x:v>
      </x:c>
      <x:c r="B22" s="346" t="str">
        <x:v>Yes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Mod feed / alerts; exact channel model 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59" t="str">
        <x:v>Audit Log?</x:v>
      </x:c>
      <x:c r="B23" s="346" t="str">
        <x:v>Granular administrative actions with actor/target/changes/reason; available in client and API</x:v>
      </x:c>
      <x:c r="C23" s="346" t="str">
        <x:v>U/K</x:v>
      </x:c>
      <x:c r="D23" s="346" t="str">
        <x:v>U/K</x:v>
      </x:c>
      <x:c r="E23" s="346" t="str">
        <x:v>U/K</x:v>
      </x:c>
      <x:c r="F23" s="346" t="str">
        <x:v>U/K</x:v>
      </x:c>
      <x:c r="G23" s="346" t="str">
        <x:v>Homeserver-dependent</x:v>
      </x:c>
      <x:c r="H23" s="346" t="str">
        <x:v>U/K</x:v>
      </x:c>
      <x:c r="I23" s="346" t="str">
        <x:v>ACL/log tools</x:v>
      </x:c>
      <x:c r="J23" s="346" t="str">
        <x:v>Detailed permissions/logging</x:v>
      </x:c>
      <x:c r="K23" s="346" t="str">
        <x:v>Admin tooling</x:v>
      </x:c>
      <x:c r="L23" s="346" t="str">
        <x:v>Detailed audit/compliance tooling</x:v>
      </x:c>
      <x:c r="M23" s="346" t="str">
        <x:v>Detailed enterprise audit tools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U/K</x:v>
      </x:c>
      <x:c r="W23" s="346" t="str">
        <x:v>U/K</x:v>
      </x:c>
      <x:c r="X23" s="346" t="str">
        <x:v>U/K</x:v>
      </x:c>
      <x:c r="Y23" s="346" t="str">
        <x:v>U/K</x:v>
      </x:c>
      <x:c r="Z23" s="346" t="str">
        <x:v>Operator tools</x:v>
      </x:c>
      <x:c r="AA23" s="380" t="str">
        <x:v>Yes</x:v>
      </x:c>
      <x:c r="AB23" s="346" t="str">
        <x:v>Staff actions logged</x:v>
      </x:c>
      <x:c r="AC23" s="346" t="str">
        <x:v>U/K</x:v>
      </x:c>
      <x:c r="AD23" s="346" t="str">
        <x:v>Moderation tooling</x:v>
      </x:c>
      <x:c r="AE23" s="346" t="str">
        <x:v>U/K</x:v>
      </x:c>
    </x:row>
    <x:row r="24" ht="36" customHeight="1">
      <x:c r="A24" s="359" t="str">
        <x:v>Audit Retention Days</x:v>
      </x:c>
      <x:c r="B24" s="346" t="str">
        <x:v>45 days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Homeserver-dependent</x:v>
      </x:c>
      <x:c r="H24" s="346" t="str">
        <x:v>U/K</x:v>
      </x:c>
      <x:c r="I24" s="346" t="str">
        <x:v>Server logs operator-controlled</x:v>
      </x:c>
      <x:c r="J24" s="346" t="str">
        <x:v>Server logs/operator-controlled</x:v>
      </x:c>
      <x:c r="K24" s="346" t="str">
        <x:v>Audit/admin logs deployment-dependent</x:v>
      </x:c>
      <x:c r="L24" s="346" t="str">
        <x:v>Audit logs enterprise/deployment-dependent</x:v>
      </x:c>
      <x:c r="M24" s="346" t="str">
        <x:v>Audit logs enterprise/admin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Operator controlled</x:v>
      </x:c>
      <x:c r="AA24" s="380" t="str">
        <x:v>U/K</x:v>
      </x:c>
      <x:c r="AB24" s="346" t="str">
        <x:v>Audit log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59" t="str">
        <x:v>Audit Search / Filtering?</x:v>
      </x:c>
      <x:c r="B25" s="346" t="str">
        <x:v>Granular administrative actions with actor/target/changes/reason; available in client and API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Homeserver-dependent</x:v>
      </x:c>
      <x:c r="H25" s="346" t="str">
        <x:v>U/K</x:v>
      </x:c>
      <x:c r="I25" s="346" t="str">
        <x:v>ACL/log tools</x:v>
      </x:c>
      <x:c r="J25" s="346" t="str">
        <x:v>Detailed permissions/logging</x:v>
      </x:c>
      <x:c r="K25" s="346" t="str">
        <x:v>Admin tooling</x:v>
      </x:c>
      <x:c r="L25" s="346" t="str">
        <x:v>Detailed audit/compliance tooling</x:v>
      </x:c>
      <x:c r="M25" s="346" t="str">
        <x:v>Detailed enterprise audit tools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Operator tools</x:v>
      </x:c>
      <x:c r="AA25" s="380" t="str">
        <x:v>Yes</x:v>
      </x:c>
      <x:c r="AB25" s="346" t="str">
        <x:v>Staff actions logged</x:v>
      </x:c>
      <x:c r="AC25" s="346" t="str">
        <x:v>U/K</x:v>
      </x:c>
      <x:c r="AD25" s="346" t="str">
        <x:v>Moderation tooling</x:v>
      </x:c>
      <x:c r="AE25" s="346" t="str">
        <x:v>U/K</x:v>
      </x:c>
    </x:row>
    <x:row r="26" ht="23" customHeight="1">
      <x:c r="A26" s="427" t="str">
        <x:v>Core Actions</x:v>
      </x:c>
      <x:c r="B26" s="427"/>
      <x:c r="C26" s="427"/>
      <x:c r="D26" s="427"/>
      <x:c r="E26" s="427"/>
      <x:c r="F26" s="427"/>
      <x:c r="G26" s="427"/>
      <x:c r="H26" s="427"/>
      <x:c r="I26" s="427"/>
      <x:c r="J26" s="427"/>
      <x:c r="K26" s="427"/>
      <x:c r="L26" s="427"/>
      <x:c r="M26" s="427"/>
      <x:c r="N26" s="427"/>
      <x:c r="O26" s="427"/>
      <x:c r="P26" s="427"/>
      <x:c r="Q26" s="427"/>
      <x:c r="R26" s="427"/>
      <x:c r="S26" s="427"/>
      <x:c r="T26" s="427"/>
      <x:c r="U26" s="427"/>
      <x:c r="V26" s="427"/>
      <x:c r="W26" s="427"/>
      <x:c r="X26" s="427"/>
      <x:c r="Y26" s="427"/>
      <x:c r="Z26" s="427"/>
      <x:c r="AA26" s="427"/>
      <x:c r="AB26" s="427"/>
      <x:c r="AC26" s="427"/>
      <x:c r="AD26" s="427"/>
      <x:c r="AE26" s="427"/>
    </x:row>
    <x:row r="27" ht="36" customHeight="1">
      <x:c r="A27" s="359" t="str">
        <x:v>Ban?</x:v>
      </x:c>
      <x:c r="B27" s="346" t="str">
        <x:v>Yes</x:v>
      </x:c>
      <x:c r="C27" s="346" t="str">
        <x:v>Yes</x:v>
      </x:c>
      <x:c r="D27" s="346" t="str">
        <x:v>Yes</x:v>
      </x:c>
      <x:c r="E27" s="346" t="str">
        <x:v>Yes</x:v>
      </x:c>
      <x:c r="F27" s="346" t="str">
        <x:v>Yes</x:v>
      </x:c>
      <x:c r="G27" s="346" t="str">
        <x:v>Yes</x:v>
      </x:c>
      <x:c r="H27" s="346" t="str">
        <x:v>Yes</x:v>
      </x:c>
      <x:c r="I27" s="346" t="str">
        <x:v>Yes</x:v>
      </x:c>
      <x:c r="J27" s="346" t="str">
        <x:v>Yes</x:v>
      </x:c>
      <x:c r="K27" s="346" t="str">
        <x:v>Yes</x:v>
      </x:c>
      <x:c r="L27" s="346" t="str">
        <x:v>Yes</x:v>
      </x:c>
      <x:c r="M27" s="346" t="str">
        <x:v>Yes</x:v>
      </x:c>
      <x:c r="N27" s="346" t="str">
        <x:v>Yes</x:v>
      </x:c>
      <x:c r="O27" s="346" t="str">
        <x:v>Yes</x:v>
      </x:c>
      <x:c r="P27" s="346" t="str">
        <x:v>Yes</x:v>
      </x:c>
      <x:c r="Q27" s="346" t="str">
        <x:v>Yes</x:v>
      </x:c>
      <x:c r="R27" s="346" t="str">
        <x:v>Yes</x:v>
      </x:c>
      <x:c r="S27" s="346" t="str">
        <x:v>Yes</x:v>
      </x:c>
      <x:c r="T27" s="346" t="str">
        <x:v>Yes</x:v>
      </x:c>
      <x:c r="U27" s="346" t="str">
        <x:v>Yes</x:v>
      </x:c>
      <x:c r="V27" s="346" t="str">
        <x:v>Yes</x:v>
      </x:c>
      <x:c r="W27" s="346" t="str">
        <x:v>Yes</x:v>
      </x:c>
      <x:c r="X27" s="346" t="str">
        <x:v>Yes</x:v>
      </x:c>
      <x:c r="Y27" s="346" t="str">
        <x:v>Yes</x:v>
      </x:c>
      <x:c r="Z27" s="346" t="str">
        <x:v>Yes</x:v>
      </x:c>
      <x:c r="AA27" s="380" t="str">
        <x:v>Yes</x:v>
      </x:c>
      <x:c r="AB27" s="346" t="str">
        <x:v>Yes</x:v>
      </x:c>
      <x:c r="AC27" s="346" t="str">
        <x:v>Yes</x:v>
      </x:c>
      <x:c r="AD27" s="346" t="str">
        <x:v>Yes</x:v>
      </x:c>
      <x:c r="AE27" s="346" t="str">
        <x:v>Yes</x:v>
      </x:c>
    </x:row>
    <x:row r="28" ht="36" customHeight="1">
      <x:c r="A28" s="359" t="str">
        <x:v>Kick?</x:v>
      </x:c>
      <x:c r="B28" s="346" t="str">
        <x:v>Yes</x:v>
      </x:c>
      <x:c r="C28" s="346" t="str">
        <x:v>Yes</x:v>
      </x:c>
      <x:c r="D28" s="346" t="str">
        <x:v>Yes</x:v>
      </x:c>
      <x:c r="E28" s="346" t="str">
        <x:v>Yes</x:v>
      </x:c>
      <x:c r="F28" s="346" t="str">
        <x:v>Yes</x:v>
      </x:c>
      <x:c r="G28" s="346" t="str">
        <x:v>Yes</x:v>
      </x:c>
      <x:c r="H28" s="346" t="str">
        <x:v>Yes</x:v>
      </x:c>
      <x:c r="I28" s="346" t="str">
        <x:v>Yes</x:v>
      </x:c>
      <x:c r="J28" s="346" t="str">
        <x:v>Yes</x:v>
      </x:c>
      <x:c r="K28" s="346" t="str">
        <x:v>Yes</x:v>
      </x:c>
      <x:c r="L28" s="346" t="str">
        <x:v>Yes</x:v>
      </x:c>
      <x:c r="M28" s="346" t="str">
        <x:v>Yes</x:v>
      </x:c>
      <x:c r="N28" s="346" t="str">
        <x:v>Yes</x:v>
      </x:c>
      <x:c r="O28" s="346" t="str">
        <x:v>Yes</x:v>
      </x:c>
      <x:c r="P28" s="346" t="str">
        <x:v>Yes</x:v>
      </x:c>
      <x:c r="Q28" s="346" t="str">
        <x:v>Yes</x:v>
      </x:c>
      <x:c r="R28" s="346" t="str">
        <x:v>Yes</x:v>
      </x:c>
      <x:c r="S28" s="346" t="str">
        <x:v>Yes</x:v>
      </x:c>
      <x:c r="T28" s="346" t="str">
        <x:v>Yes</x:v>
      </x:c>
      <x:c r="U28" s="346" t="str">
        <x:v>Yes</x:v>
      </x:c>
      <x:c r="V28" s="346" t="str">
        <x:v>Yes</x:v>
      </x:c>
      <x:c r="W28" s="346" t="str">
        <x:v>Yes</x:v>
      </x:c>
      <x:c r="X28" s="346" t="str">
        <x:v>Yes</x:v>
      </x:c>
      <x:c r="Y28" s="346" t="str">
        <x:v>Yes</x:v>
      </x:c>
      <x:c r="Z28" s="346" t="str">
        <x:v>Yes</x:v>
      </x:c>
      <x:c r="AA28" s="380" t="str">
        <x:v>Yes</x:v>
      </x:c>
      <x:c r="AB28" s="346" t="str">
        <x:v>Yes</x:v>
      </x:c>
      <x:c r="AC28" s="346" t="str">
        <x:v>Yes</x:v>
      </x:c>
      <x:c r="AD28" s="346" t="str">
        <x:v>Yes</x:v>
      </x:c>
      <x:c r="AE28" s="346" t="str">
        <x:v>Yes</x:v>
      </x:c>
    </x:row>
    <x:row r="29" ht="36" customHeight="1">
      <x:c r="A29" s="359" t="str">
        <x:v>Timeout / Mute?</x:v>
      </x:c>
      <x:c r="B29" s="346" t="str">
        <x:v>Yes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Yes</x:v>
      </x:c>
      <x:c r="J29" s="346" t="str">
        <x:v>Yes</x:v>
      </x:c>
      <x:c r="K29" s="346" t="str">
        <x:v>U/K</x:v>
      </x:c>
      <x:c r="L29" s="346" t="str">
        <x:v>Yes</x:v>
      </x:c>
      <x:c r="M29" s="346" t="str">
        <x:v>Yes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Yes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  <x:row r="30" ht="36" customHeight="1">
      <x:c r="A30" s="359" t="str">
        <x:v>Role-Based Moderation?</x:v>
      </x:c>
      <x:c r="B30" s="346" t="str">
        <x:v>Yes</x:v>
      </x:c>
      <x:c r="C30" s="346" t="str">
        <x:v>Yes</x:v>
      </x:c>
      <x:c r="D30" s="346" t="str">
        <x:v>Yes</x:v>
      </x:c>
      <x:c r="E30" s="346" t="str">
        <x:v>Yes</x:v>
      </x:c>
      <x:c r="F30" s="346" t="str">
        <x:v>Yes</x:v>
      </x:c>
      <x:c r="G30" s="346" t="str">
        <x:v>Yes</x:v>
      </x:c>
      <x:c r="H30" s="346" t="str">
        <x:v>Yes</x:v>
      </x:c>
      <x:c r="I30" s="346" t="str">
        <x:v>ACL-based</x:v>
      </x:c>
      <x:c r="J30" s="346" t="str">
        <x:v>Yes</x:v>
      </x:c>
      <x:c r="K30" s="346" t="str">
        <x:v>Yes</x:v>
      </x:c>
      <x:c r="L30" s="346" t="str">
        <x:v>Yes</x:v>
      </x:c>
      <x:c r="M30" s="346" t="str">
        <x:v>Yes</x:v>
      </x:c>
      <x:c r="N30" s="346" t="str">
        <x:v>Yes</x:v>
      </x:c>
      <x:c r="O30" s="346" t="str">
        <x:v>Yes</x:v>
      </x:c>
      <x:c r="P30" s="346" t="str">
        <x:v>Yes</x:v>
      </x:c>
      <x:c r="Q30" s="346" t="str">
        <x:v>Yes</x:v>
      </x:c>
      <x:c r="R30" s="346" t="str">
        <x:v>Yes</x:v>
      </x:c>
      <x:c r="S30" s="346" t="str">
        <x:v>Yes</x:v>
      </x:c>
      <x:c r="T30" s="346" t="str">
        <x:v>Yes</x:v>
      </x:c>
      <x:c r="U30" s="346" t="str">
        <x:v>Yes</x:v>
      </x:c>
      <x:c r="V30" s="346" t="str">
        <x:v>Yes</x:v>
      </x:c>
      <x:c r="W30" s="346" t="str">
        <x:v>Yes</x:v>
      </x:c>
      <x:c r="X30" s="346" t="str">
        <x:v>Yes</x:v>
      </x:c>
      <x:c r="Y30" s="346" t="str">
        <x:v>Yes</x:v>
      </x:c>
      <x:c r="Z30" s="346" t="str">
        <x:v>Yes</x:v>
      </x:c>
      <x:c r="AA30" s="380" t="str">
        <x:v>Yes</x:v>
      </x:c>
      <x:c r="AB30" s="346" t="str">
        <x:v>Yes</x:v>
      </x:c>
      <x:c r="AC30" s="346" t="str">
        <x:v>Yes</x:v>
      </x:c>
      <x:c r="AD30" s="346" t="str">
        <x:v>Yes</x:v>
      </x:c>
      <x:c r="AE30" s="346" t="str">
        <x:v>Yes</x:v>
      </x:c>
    </x:row>
    <x:row r="31" ht="36" customHeight="1">
      <x:c r="A31" s="359" t="str">
        <x:v>Federated Ban Sharing?</x:v>
      </x:c>
      <x:c r="B31" s="346" t="str">
        <x:v>No / U/K</x:v>
      </x:c>
      <x:c r="C31" s="346" t="str">
        <x:v>No / U/K</x:v>
      </x:c>
      <x:c r="D31" s="346" t="str">
        <x:v>No / U/K</x:v>
      </x:c>
      <x:c r="E31" s="346" t="str">
        <x:v>No / U/K</x:v>
      </x:c>
      <x:c r="F31" s="346" t="str">
        <x:v>No / U/K</x:v>
      </x:c>
      <x:c r="G31" s="346" t="str">
        <x:v>Planned / U/K</x:v>
      </x:c>
      <x:c r="H31" s="346" t="str">
        <x:v>No / U/K</x:v>
      </x:c>
      <x:c r="I31" s="346" t="str">
        <x:v>No / U/K</x:v>
      </x:c>
      <x:c r="J31" s="346" t="str">
        <x:v>No / U/K</x:v>
      </x:c>
      <x:c r="K31" s="346" t="str">
        <x:v>No / U/K</x:v>
      </x:c>
      <x:c r="L31" s="346" t="str">
        <x:v>No / U/K</x:v>
      </x:c>
      <x:c r="M31" s="346" t="str">
        <x:v>No / U/K</x:v>
      </x:c>
      <x:c r="N31" s="346" t="str">
        <x:v>No / U/K</x:v>
      </x:c>
      <x:c r="O31" s="346" t="str">
        <x:v>No / U/K</x:v>
      </x:c>
      <x:c r="P31" s="346" t="str">
        <x:v>No / U/K</x:v>
      </x:c>
      <x:c r="Q31" s="346" t="str">
        <x:v>No / U/K</x:v>
      </x:c>
      <x:c r="R31" s="346" t="str">
        <x:v>No / U/K</x:v>
      </x:c>
      <x:c r="S31" s="346" t="str">
        <x:v>No / U/K</x:v>
      </x:c>
      <x:c r="T31" s="346" t="str">
        <x:v>No / U/K</x:v>
      </x:c>
      <x:c r="U31" s="346" t="str">
        <x:v>No / U/K</x:v>
      </x:c>
      <x:c r="V31" s="346" t="str">
        <x:v>No / U/K</x:v>
      </x:c>
      <x:c r="W31" s="346" t="str">
        <x:v>No / U/K</x:v>
      </x:c>
      <x:c r="X31" s="346" t="str">
        <x:v>Planned / U/K</x:v>
      </x:c>
      <x:c r="Y31" s="346" t="str">
        <x:v>No / U/K</x:v>
      </x:c>
      <x:c r="Z31" s="346" t="str">
        <x:v>Planned / U/K</x:v>
      </x:c>
      <x:c r="AA31" s="380" t="str">
        <x:v>No / U/K</x:v>
      </x:c>
      <x:c r="AB31" s="346" t="str">
        <x:v>No / U/K</x:v>
      </x:c>
      <x:c r="AC31" s="346" t="str">
        <x:v>No / U/K</x:v>
      </x:c>
      <x:c r="AD31" s="346" t="str">
        <x:v>No / U/K</x:v>
      </x:c>
      <x:c r="AE31" s="346" t="str">
        <x:v>No / U/K</x:v>
      </x:c>
    </x:row>
    <x:row r="32" ht="23" customHeight="1">
      <x:c r="A32" s="427" t="str">
        <x:v>Source &amp; Notes</x:v>
      </x:c>
      <x:c r="B32" s="427"/>
      <x:c r="C32" s="427"/>
      <x:c r="D32" s="427"/>
      <x:c r="E32" s="427"/>
      <x:c r="F32" s="427"/>
      <x:c r="G32" s="427"/>
      <x:c r="H32" s="427"/>
      <x:c r="I32" s="427"/>
      <x:c r="J32" s="427"/>
      <x:c r="K32" s="427"/>
      <x:c r="L32" s="427"/>
      <x:c r="M32" s="427"/>
      <x:c r="N32" s="427"/>
      <x:c r="O32" s="427"/>
      <x:c r="P32" s="427"/>
      <x:c r="Q32" s="427"/>
      <x:c r="R32" s="427"/>
      <x:c r="S32" s="427"/>
      <x:c r="T32" s="427"/>
      <x:c r="U32" s="427"/>
      <x:c r="V32" s="427"/>
      <x:c r="W32" s="427"/>
      <x:c r="X32" s="427"/>
      <x:c r="Y32" s="427"/>
      <x:c r="Z32" s="427"/>
      <x:c r="AA32" s="427"/>
      <x:c r="AB32" s="427"/>
      <x:c r="AC32" s="427"/>
      <x:c r="AD32" s="427"/>
      <x:c r="AE32" s="427"/>
    </x:row>
    <x:row r="33" ht="36" customHeight="1">
      <x:c r="A33" s="360" t="str">
        <x:v>Moderation Notes</x:v>
      </x:c>
      <x:c r="B33" s="349" t="str">
        <x:v>Yes - AutoMod; Yes - Raid Protection uses ML signals and can require CAPTCHA; verification/security controls also available; U/K (member/application management and AutoMod alerts exist; a universal native report-case queue/dashboard was not verified)</x:v>
      </x:c>
      <x:c r="C33" s="349" t="str">
        <x:v>Partial/native moderation controls; U/K; U/K</x:v>
      </x:c>
      <x:c r="D33" s="349" t="str">
        <x:v>Native moderation; U/K; Native moderation controls</x:v>
      </x:c>
      <x:c r="E33" s="349" t="str">
        <x:v>Native moderation; Moderation improvements active; exact anti-raid controls U/K; U/K</x:v>
      </x:c>
      <x:c r="F33" s="349" t="str">
        <x:v>Yes - Moderation App + native controls; U/K; Moderation App dashboards/analytics</x:v>
      </x:c>
      <x:c r="G33" s="349" t="str">
        <x:v>Protocol supports room permissions/power levels; tooling varies by client/server; Homeserver/operator-dependent; Client/server-dependent</x:v>
      </x:c>
      <x:c r="H33" s="349" t="str">
        <x:v>Discord-compatible moderation target; U/K; U/K</x:v>
      </x:c>
      <x:c r="I33" s="349" t="str">
        <x:v>ACLs/permissions rather than AutoMod; N/A; Admin tools</x:v>
      </x:c>
      <x:c r="J33" s="349" t="str">
        <x:v>Permissions/admin tools; U/K; Admin tools</x:v>
      </x:c>
      <x:c r="K33" s="349" t="str">
        <x:v>Moderation/admin controls; no Discord-style AutoMod core; U/K; Admin UI</x:v>
      </x:c>
      <x:c r="L33" s="349" t="str">
        <x:v>Moderation/admin/retention/compliance tools; U/K; Admin console</x:v>
      </x:c>
      <x:c r="M33" s="349" t="str">
        <x:v>Moderation/admin tools; U/K; Admin console</x:v>
      </x:c>
      <x:c r="N33" s="349" t="str">
        <x:v>U/K; U/K; U/K</x:v>
      </x:c>
      <x:c r="O33" s="349" t="str">
        <x:v>U/K; U/K; U/K</x:v>
      </x:c>
      <x:c r="P33" s="349" t="str">
        <x:v>U/K; U/K; U/K</x:v>
      </x:c>
      <x:c r="Q33" s="349" t="str">
        <x:v>U/K; U/K; U/K</x:v>
      </x:c>
      <x:c r="R33" s="349" t="str">
        <x:v>U/K; U/K; U/K</x:v>
      </x:c>
      <x:c r="S33" s="349" t="str">
        <x:v>U/K; U/K; U/K</x:v>
      </x:c>
      <x:c r="T33" s="349" t="str">
        <x:v>Native moderation; U/K; U/K</x:v>
      </x:c>
      <x:c r="U33" s="349" t="str">
        <x:v>U/K; U/K; U/K</x:v>
      </x:c>
      <x:c r="V33" s="349" t="str">
        <x:v>U/K; U/K; U/K</x:v>
      </x:c>
      <x:c r="W33" s="349" t="str">
        <x:v>U/K; U/K; U/K</x:v>
      </x:c>
      <x:c r="X33" s="349" t="str">
        <x:v>U/K; U/K; U/K</x:v>
      </x:c>
      <x:c r="Y33" s="349" t="str">
        <x:v>U/K; U/K; U/K</x:v>
      </x:c>
      <x:c r="Z33" s="349" t="str">
        <x:v>Server/operator moderation; Federated ban-sharing planned; Operator responsibility</x:v>
      </x:c>
      <x:c r="AA33" s="381" t="str">
        <x:v>Native moderation; U/K; U/K</x:v>
      </x:c>
      <x:c r="AB33" s="349" t="str">
        <x:v>Native moderation; U/K; Reports in-app</x:v>
      </x:c>
      <x:c r="AC33" s="349" t="str">
        <x:v>U/K; U/K; U/K</x:v>
      </x:c>
      <x:c r="AD33" s="349" t="str">
        <x:v>Built-in automod; Automod raid protection; Admin/mod tools</x:v>
      </x:c>
      <x:c r="AE33" s="349" t="str">
        <x:v>U/K; U/K; U/K</x:v>
      </x:c>
    </x:row>
    <x:row r="34" ht="23" customHeight="1">
      <x:c r="A34" s="389" t="str">
        <x:v>Moderator Operations</x:v>
      </x:c>
      <x:c r="B34" s="389"/>
      <x:c r="C34" s="389"/>
      <x:c r="D34" s="389"/>
      <x:c r="E34" s="389"/>
      <x:c r="F34" s="389"/>
      <x:c r="G34" s="389"/>
      <x:c r="H34" s="389"/>
      <x:c r="I34" s="389"/>
      <x:c r="J34" s="389"/>
      <x:c r="K34" s="389"/>
      <x:c r="L34" s="389"/>
      <x:c r="M34" s="389"/>
      <x:c r="N34" s="389"/>
      <x:c r="O34" s="389"/>
      <x:c r="P34" s="389"/>
      <x:c r="Q34" s="389"/>
      <x:c r="R34" s="389"/>
      <x:c r="S34" s="389"/>
      <x:c r="T34" s="389"/>
      <x:c r="U34" s="389"/>
      <x:c r="V34" s="389"/>
      <x:c r="W34" s="389"/>
      <x:c r="X34" s="389"/>
      <x:c r="Y34" s="389"/>
      <x:c r="Z34" s="389"/>
      <x:c r="AA34" s="389"/>
      <x:c r="AB34" s="389"/>
      <x:c r="AC34" s="389"/>
      <x:c r="AD34" s="389"/>
      <x:c r="AE34" s="389"/>
    </x:row>
    <x:row r="35" ht="36" customHeight="1">
      <x:c r="A35" s="378" t="str">
        <x:v>Bulk Moderation Actions?</x:v>
      </x:c>
      <x:c r="B35" s="346" t="str">
        <x:v>Limited/native + bots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U/K</x:v>
      </x:c>
      <x:c r="M35" s="346" t="str">
        <x:v>U/K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Yes - searchable member table + bulk kick/ban/unban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Deleted-Message Log?</x:v>
      </x:c>
      <x:c r="B36" s="346" t="str">
        <x:v>Audit log action metadata; deleted content generally not preserved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U/K</x:v>
      </x:c>
      <x:c r="M36" s="346" t="str">
        <x:v>U/K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Yes - 12h self-delete / 14d mod-removal log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  <x:row r="37" ht="36" customHeight="1">
      <x:c r="A37" s="378" t="str">
        <x:v>Edit History Lookup?</x:v>
      </x:c>
      <x:c r="B37" s="346" t="str">
        <x:v>No general native mod edit-history view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U/K</x:v>
      </x:c>
      <x:c r="L37" s="346" t="str">
        <x:v>U/K</x:v>
      </x:c>
      <x:c r="M37" s="346" t="str">
        <x:v>U/K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Yes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  <x:row r="38" ht="36" customHeight="1">
      <x:c r="A38" s="378" t="str">
        <x:v>Permission Audit Trail / Revert?</x:v>
      </x:c>
      <x:c r="B38" s="346" t="str">
        <x:v>Audit log records permission changes</x:v>
      </x:c>
      <x:c r="C38" s="346" t="str">
        <x:v>U/K</x:v>
      </x:c>
      <x:c r="D38" s="346" t="str">
        <x:v>U/K</x:v>
      </x:c>
      <x:c r="E38" s="346" t="str">
        <x:v>U/K</x:v>
      </x:c>
      <x:c r="F38" s="346" t="str">
        <x:v>U/K</x:v>
      </x:c>
      <x:c r="G38" s="346" t="str">
        <x:v>U/K</x:v>
      </x:c>
      <x:c r="H38" s="346" t="str">
        <x:v>U/K</x:v>
      </x:c>
      <x:c r="I38" s="346" t="str">
        <x:v>U/K</x:v>
      </x:c>
      <x:c r="J38" s="346" t="str">
        <x:v>U/K</x:v>
      </x:c>
      <x:c r="K38" s="346" t="str">
        <x:v>U/K</x:v>
      </x:c>
      <x:c r="L38" s="346" t="str">
        <x:v>U/K</x:v>
      </x:c>
      <x:c r="M38" s="346" t="str">
        <x:v>U/K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U/K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U/K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Yes - audit trail + one-click revert</x:v>
      </x:c>
      <x:c r="AB38" s="346" t="str">
        <x:v>U/K</x:v>
      </x:c>
      <x:c r="AC38" s="346" t="str">
        <x:v>U/K</x:v>
      </x:c>
      <x:c r="AD38" s="346" t="str">
        <x:v>U/K</x:v>
      </x:c>
      <x:c r="AE38" s="346" t="str">
        <x:v>U/K</x:v>
      </x:c>
    </x:row>
    <x:row r="39" ht="36" customHeight="1">
      <x:c r="A39" s="378" t="str">
        <x:v>Giveaway Abuse / Entry Controls?</x:v>
      </x:c>
      <x:c r="B39" s="346" t="str">
        <x:v>Apps/bots</x:v>
      </x:c>
      <x:c r="C39" s="346" t="str">
        <x:v>U/K</x:v>
      </x:c>
      <x:c r="D39" s="346" t="str">
        <x:v>U/K</x:v>
      </x:c>
      <x:c r="E39" s="346" t="str">
        <x:v>U/K</x:v>
      </x:c>
      <x:c r="F39" s="346" t="str">
        <x:v>U/K</x:v>
      </x:c>
      <x:c r="G39" s="346" t="str">
        <x:v>U/K</x:v>
      </x:c>
      <x:c r="H39" s="346" t="str">
        <x:v>U/K</x:v>
      </x:c>
      <x:c r="I39" s="346" t="str">
        <x:v>U/K</x:v>
      </x:c>
      <x:c r="J39" s="346" t="str">
        <x:v>U/K</x:v>
      </x:c>
      <x:c r="K39" s="346" t="str">
        <x:v>U/K</x:v>
      </x:c>
      <x:c r="L39" s="346" t="str">
        <x:v>U/K</x:v>
      </x:c>
      <x:c r="M39" s="346" t="str">
        <x:v>U/K</x:v>
      </x:c>
      <x:c r="N39" s="346" t="str">
        <x:v>U/K</x:v>
      </x:c>
      <x:c r="O39" s="346" t="str">
        <x:v>U/K</x:v>
      </x:c>
      <x:c r="P39" s="346" t="str">
        <x:v>U/K</x:v>
      </x:c>
      <x:c r="Q39" s="346" t="str">
        <x:v>U/K</x:v>
      </x:c>
      <x:c r="R39" s="346" t="str">
        <x:v>U/K</x:v>
      </x:c>
      <x:c r="S39" s="346" t="str">
        <x:v>U/K</x:v>
      </x:c>
      <x:c r="T39" s="346" t="str">
        <x:v>U/K</x:v>
      </x:c>
      <x:c r="U39" s="346" t="str">
        <x:v>U/K</x:v>
      </x:c>
      <x:c r="V39" s="346" t="str">
        <x:v>U/K</x:v>
      </x:c>
      <x:c r="W39" s="346" t="str">
        <x:v>U/K</x:v>
      </x:c>
      <x:c r="X39" s="346" t="str">
        <x:v>U/K</x:v>
      </x:c>
      <x:c r="Y39" s="346" t="str">
        <x:v>U/K</x:v>
      </x:c>
      <x:c r="Z39" s="346" t="str">
        <x:v>U/K</x:v>
      </x:c>
      <x:c r="AA39" s="380" t="str">
        <x:v>Yes - entry rules + verifiable draw</x:v>
      </x:c>
      <x:c r="AB39" s="346" t="str">
        <x:v>U/K</x:v>
      </x:c>
      <x:c r="AC39" s="346" t="str">
        <x:v>U/K</x:v>
      </x:c>
      <x:c r="AD39" s="346" t="str">
        <x:v>U/K</x:v>
      </x:c>
      <x:c r="AE39" s="346" t="str">
        <x:v>U/K</x:v>
      </x:c>
    </x:row>
  </x:sheetData>
  <x:mergeCells>
    <x:mergeCell ref="A1:AE1"/>
  </x:mergeCells>
  <x:conditionalFormatting sqref="B3:AE33">
    <x:cfRule type="expression" dxfId="80" priority="1">
      <x:formula>ISNUMBER(SEARCH("U/K",B3))</x:formula>
    </x:cfRule>
    <x:cfRule type="expression" dxfId="81" priority="2">
      <x:formula>OR(B3="N/A",LEFT(B3,4)="N/A ")</x:formula>
    </x:cfRule>
  </x:conditionalFormatting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Project Origin &amp; Longevity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Inception Date</x:v>
      </x:c>
      <x:c r="B3" s="344" t="str">
        <x:v>May 2015</x:v>
      </x:c>
      <x:c r="C3" s="344" t="str">
        <x:v>2021 (as Revolt; rebranded Stoat in 2025)</x:v>
      </x:c>
      <x:c r="D3" s="344" t="str">
        <x:v>November 2025</x:v>
      </x:c>
      <x:c r="E3" s="344" t="str">
        <x:v>2020</x:v>
      </x:c>
      <x:c r="F3" s="344" t="str">
        <x:v>U/K (public activity visible by 2025)</x:v>
      </x:c>
      <x:c r="G3" s="344" t="str">
        <x:v>2014</x:v>
      </x:c>
      <x:c r="H3" s="344" t="str">
        <x:v>2021 (as Fosscord/Spacebar project era)</x:v>
      </x:c>
      <x:c r="I3" s="344" t="str">
        <x:v>2005</x:v>
      </x:c>
      <x:c r="J3" s="344" t="str">
        <x:v>1999 project origin</x:v>
      </x:c>
      <x:c r="K3" s="345" t="str">
        <x:v>2012</x:v>
      </x:c>
      <x:c r="L3" s="346" t="str">
        <x:v>2015</x:v>
      </x:c>
      <x:c r="M3" s="346" t="str">
        <x:v>2015</x:v>
      </x:c>
      <x:c r="N3" s="346" t="str">
        <x:v>2026 ground-up rebuild</x:v>
      </x:c>
      <x:c r="O3" s="346" t="str">
        <x:v>U/K</x:v>
      </x:c>
      <x:c r="P3" s="346" t="str">
        <x:v>Summer 2024</x:v>
      </x:c>
      <x:c r="Q3" s="346" t="str">
        <x:v>2026-era project</x:v>
      </x:c>
      <x:c r="R3" s="346" t="str">
        <x:v>Early 2026</x:v>
      </x:c>
      <x:c r="S3" s="346" t="str">
        <x:v>U/K</x:v>
      </x:c>
      <x:c r="T3" s="346" t="str">
        <x:v>2025-era project/U/K</x:v>
      </x:c>
      <x:c r="U3" s="346" t="str">
        <x:v>2026-era project</x:v>
      </x:c>
      <x:c r="V3" s="346" t="str">
        <x:v>2026 fork era</x:v>
      </x:c>
      <x:c r="W3" s="346" t="str">
        <x:v>2024/2025-era project U/K</x:v>
      </x:c>
      <x:c r="X3" s="346" t="str">
        <x:v>2026-era project</x:v>
      </x:c>
      <x:c r="Y3" s="346" t="str">
        <x:v>2026-era public project</x:v>
      </x:c>
      <x:c r="Z3" s="346" t="str">
        <x:v>2023</x:v>
      </x:c>
      <x:c r="AA3" s="380" t="str">
        <x:v>2026</x:v>
      </x:c>
      <x:c r="AB3" s="346" t="str">
        <x:v>2026</x:v>
      </x:c>
      <x:c r="AC3" s="346" t="str">
        <x:v>2026</x:v>
      </x:c>
      <x:c r="AD3" s="346" t="str">
        <x:v>Project predates 2026; exact inception U/K</x:v>
      </x:c>
      <x:c r="AE3" s="414" t="str">
        <x:v>~2025</x:v>
      </x:c>
    </x:row>
    <x:row r="4" ht="36" customHeight="1">
      <x:c r="A4" s="358" t="str">
        <x:v>Public Release Date</x:v>
      </x:c>
      <x:c r="B4" s="344" t="str">
        <x:v>2015-05-13</x:v>
      </x:c>
      <x:c r="C4" s="344" t="str">
        <x:v>2021 (exact date U/K)</x:v>
      </x:c>
      <x:c r="D4" s="344" t="str">
        <x:v>Alpha access in 2026; public v1 release not yet</x:v>
      </x:c>
      <x:c r="E4" s="344" t="str">
        <x:v>2026-01-02 public release</x:v>
      </x:c>
      <x:c r="F4" s="344" t="str">
        <x:v>Public beta / broad access by 2026; exact launch date U/K</x:v>
      </x:c>
      <x:c r="G4" s="344" t="str">
        <x:v>2014-09-03 (first public alpha)</x:v>
      </x:c>
      <x:c r="H4" s="344" t="str">
        <x:v>U/K</x:v>
      </x:c>
      <x:c r="I4" s="344" t="str">
        <x:v>2005 (exact public date U/K)</x:v>
      </x:c>
      <x:c r="J4" s="344" t="str">
        <x:v>2001 first public release</x:v>
      </x:c>
      <x:c r="K4" s="345" t="str">
        <x:v>2012 hosted; open-sourced 2015</x:v>
      </x:c>
      <x:c r="L4" s="346" t="str">
        <x:v>2015</x:v>
      </x:c>
      <x:c r="M4" s="346" t="str">
        <x:v>2015</x:v>
      </x:c>
      <x:c r="N4" s="346" t="str">
        <x:v>2026 open beta</x:v>
      </x:c>
      <x:c r="O4" s="346" t="str">
        <x:v>Public before 2025; exact date U/K</x:v>
      </x:c>
      <x:c r="P4" s="346" t="str">
        <x:v>Public beta in 2026</x:v>
      </x:c>
      <x:c r="Q4" s="346" t="str">
        <x:v>Open beta 2026</x:v>
      </x:c>
      <x:c r="R4" s="346" t="str">
        <x:v>Alpha/beta 2026</x:v>
      </x:c>
      <x:c r="S4" s="346" t="str">
        <x:v>Public by 2025/2026; exact date U/K</x:v>
      </x:c>
      <x:c r="T4" s="346" t="str">
        <x:v>Alpha/public 2026</x:v>
      </x:c>
      <x:c r="U4" s="346" t="str">
        <x:v>Public beta/service 2026</x:v>
      </x:c>
      <x:c r="V4" s="346" t="str">
        <x:v>Early public 2026</x:v>
      </x:c>
      <x:c r="W4" s="346" t="str">
        <x:v>Early public project</x:v>
      </x:c>
      <x:c r="X4" s="346" t="str">
        <x:v>Public beta/dev 2026</x:v>
      </x:c>
      <x:c r="Y4" s="346" t="str">
        <x:v>Public alpha/beta 2026</x:v>
      </x:c>
      <x:c r="Z4" s="346" t="str">
        <x:v>Public project by 2024</x:v>
      </x:c>
      <x:c r="AA4" s="380" t="str">
        <x:v>Public 2026</x:v>
      </x:c>
      <x:c r="AB4" s="346" t="str">
        <x:v>Public beta 2026</x:v>
      </x:c>
      <x:c r="AC4" s="346" t="str">
        <x:v>Public 2026</x:v>
      </x:c>
      <x:c r="AD4" s="346" t="str">
        <x:v>Alpha/public before 2026</x:v>
      </x:c>
      <x:c r="AE4" s="414" t="str">
        <x:v>Public beta 2026</x:v>
      </x:c>
    </x:row>
    <x:row r="5" ht="36" customHeight="1">
      <x:c r="A5" s="358" t="str">
        <x:v>Project Age (Years / Months)</x:v>
      </x:c>
      <x:c r="B5" s="344" t="str">
        <x:v>11 years 4 months (as of 2026-09-15)</x:v>
      </x:c>
      <x:c r="C5" s="344" t="str">
        <x:v>~5 years</x:v>
      </x:c>
      <x:c r="D5" s="344" t="str">
        <x:v>10 months</x:v>
      </x:c>
      <x:c r="E5" s="344" t="str">
        <x:v>~6 years</x:v>
      </x:c>
      <x:c r="F5" s="344" t="str">
        <x:v>U/K</x:v>
      </x:c>
      <x:c r="G5" s="344" t="str">
        <x:v>~12 years</x:v>
      </x:c>
      <x:c r="H5" s="344" t="str">
        <x:v>~5 years</x:v>
      </x:c>
      <x:c r="I5" s="344" t="str">
        <x:v>~21 years</x:v>
      </x:c>
      <x:c r="J5" s="344" t="str">
        <x:v>~27 years project / ~25 years public</x:v>
      </x:c>
      <x:c r="K5" s="345" t="str">
        <x:v>~14 years</x:v>
      </x:c>
      <x:c r="L5" s="346" t="str">
        <x:v>~11 years</x:v>
      </x:c>
      <x:c r="M5" s="346" t="str">
        <x:v>~11 years</x:v>
      </x:c>
      <x:c r="N5" s="346" t="str">
        <x:v>&lt;1 year</x:v>
      </x:c>
      <x:c r="O5" s="346" t="str">
        <x:v>U/K</x:v>
      </x:c>
      <x:c r="P5" s="346" t="str">
        <x:v>~2 years</x:v>
      </x:c>
      <x:c r="Q5" s="346" t="str">
        <x:v>&lt;1 year</x:v>
      </x:c>
      <x:c r="R5" s="346" t="str">
        <x:v>&lt;1 year</x:v>
      </x:c>
      <x:c r="S5" s="346" t="str">
        <x:v>U/K</x:v>
      </x:c>
      <x:c r="T5" s="346" t="str">
        <x:v>~1 year/U/K</x:v>
      </x:c>
      <x:c r="U5" s="346" t="str">
        <x:v>&lt;1 year</x:v>
      </x:c>
      <x:c r="V5" s="346" t="str">
        <x:v>&lt;1 year</x:v>
      </x:c>
      <x:c r="W5" s="346" t="str">
        <x:v>U/K</x:v>
      </x:c>
      <x:c r="X5" s="346" t="str">
        <x:v>&lt;1 year</x:v>
      </x:c>
      <x:c r="Y5" s="346" t="str">
        <x:v>&lt;1 year</x:v>
      </x:c>
      <x:c r="Z5" s="346" t="str">
        <x:v>~3 years</x:v>
      </x:c>
      <x:c r="AA5" s="380" t="str">
        <x:v>&lt;1 year</x:v>
      </x:c>
      <x:c r="AB5" s="346" t="str">
        <x:v>&lt;1 year</x:v>
      </x:c>
      <x:c r="AC5" s="346" t="str">
        <x:v>&lt;1 year</x:v>
      </x:c>
      <x:c r="AD5" s="346" t="str">
        <x:v>U/K</x:v>
      </x:c>
      <x:c r="AE5" s="414" t="str">
        <x:v>~1 year</x:v>
      </x:c>
    </x:row>
    <x:row r="6" ht="36" customHeight="1">
      <x:c r="A6" s="358" t="str">
        <x:v>Current State (α / β / final)</x:v>
      </x:c>
      <x:c r="B6" s="344" t="str">
        <x:v>Stable</x:v>
      </x:c>
      <x:c r="C6" s="344" t="str">
        <x:v>Beta / pre-1.0</x:v>
      </x:c>
      <x:c r="D6" s="344" t="str">
        <x:v>Alpha</x:v>
      </x:c>
      <x:c r="E6" s="344" t="str">
        <x:v>Public Beta</x:v>
      </x:c>
      <x:c r="F6" s="344" t="str">
        <x:v>Beta</x:v>
      </x:c>
      <x:c r="G6" s="344" t="str">
        <x:v>Stable open standard (spec v1.x)</x:v>
      </x:c>
      <x:c r="H6" s="344" t="str">
        <x:v>Alpha / WIP</x:v>
      </x:c>
      <x:c r="I6" s="344" t="str">
        <x:v>Stable</x:v>
      </x:c>
      <x:c r="J6" s="344" t="str">
        <x:v>TS6 Beta; TS3 stable</x:v>
      </x:c>
      <x:c r="K6" s="345" t="str">
        <x:v>Stable</x:v>
      </x:c>
      <x:c r="L6" s="346" t="str">
        <x:v>Stable</x:v>
      </x:c>
      <x:c r="M6" s="346" t="str">
        <x:v>Stable</x:v>
      </x:c>
      <x:c r="N6" s="346" t="str">
        <x:v>Open Beta</x:v>
      </x:c>
      <x:c r="O6" s="346" t="str">
        <x:v>Stable/public</x:v>
      </x:c>
      <x:c r="P6" s="346" t="str">
        <x:v>Public Beta</x:v>
      </x:c>
      <x:c r="Q6" s="346" t="str">
        <x:v>Open Beta</x:v>
      </x:c>
      <x:c r="R6" s="346" t="str">
        <x:v>Alpha / Beta</x:v>
      </x:c>
      <x:c r="S6" s="346" t="str">
        <x:v>Stable/public</x:v>
      </x:c>
      <x:c r="T6" s="346" t="str">
        <x:v>Alpha</x:v>
      </x:c>
      <x:c r="U6" s="346" t="str">
        <x:v>Beta</x:v>
      </x:c>
      <x:c r="V6" s="346" t="str">
        <x:v>Early Alpha</x:v>
      </x:c>
      <x:c r="W6" s="346" t="str">
        <x:v>Alpha / experimental</x:v>
      </x:c>
      <x:c r="X6" s="346" t="str">
        <x:v>Beta / active development</x:v>
      </x:c>
      <x:c r="Y6" s="346" t="str">
        <x:v>Alpha / Beta</x:v>
      </x:c>
      <x:c r="Z6" s="346" t="str">
        <x:v>Beta / active development</x:v>
      </x:c>
      <x:c r="AA6" s="380" t="str">
        <x:v>Stable/public</x:v>
      </x:c>
      <x:c r="AB6" s="346" t="str">
        <x:v>Beta</x:v>
      </x:c>
      <x:c r="AC6" s="346" t="str">
        <x:v>Beta / public</x:v>
      </x:c>
      <x:c r="AD6" s="346" t="str">
        <x:v>Alpha</x:v>
      </x:c>
      <x:c r="AE6" s="414" t="str">
        <x:v>Public Beta</x:v>
      </x:c>
    </x:row>
    <x:row r="7" ht="36" customHeight="1">
      <x:c r="A7" s="358" t="str">
        <x:v>Development State</x:v>
      </x:c>
      <x:c r="B7" s="344" t="str">
        <x:v>Active development</x:v>
      </x:c>
      <x:c r="C7" s="344" t="str">
        <x:v>Active</x:v>
      </x:c>
      <x:c r="D7" s="344" t="str">
        <x:v>Active alpha</x:v>
      </x:c>
      <x:c r="E7" s="344" t="str">
        <x:v>Active</x:v>
      </x:c>
      <x:c r="F7" s="344" t="str">
        <x:v>Active</x:v>
      </x:c>
      <x:c r="G7" s="344" t="str">
        <x:v>Active standard + ecosystem</x:v>
      </x:c>
      <x:c r="H7" s="344" t="str">
        <x:v>Active</x:v>
      </x:c>
      <x:c r="I7" s="344" t="str">
        <x:v>Active</x:v>
      </x:c>
      <x:c r="J7" s="344" t="str">
        <x:v>Active</x:v>
      </x:c>
      <x:c r="K7" s="345" t="str">
        <x:v>Active</x:v>
      </x:c>
      <x:c r="L7" s="346" t="str">
        <x:v>Active</x:v>
      </x:c>
      <x:c r="M7" s="346" t="str">
        <x:v>Active</x:v>
      </x:c>
      <x:c r="N7" s="346" t="str">
        <x:v>Active</x:v>
      </x:c>
      <x:c r="O7" s="346" t="str">
        <x:v>Active</x:v>
      </x:c>
      <x:c r="P7" s="346" t="str">
        <x:v>Active</x:v>
      </x:c>
      <x:c r="Q7" s="346" t="str">
        <x:v>Active</x:v>
      </x:c>
      <x:c r="R7" s="346" t="str">
        <x:v>Active experimental</x:v>
      </x:c>
      <x:c r="S7" s="346" t="str">
        <x:v>Active</x:v>
      </x:c>
      <x:c r="T7" s="346" t="str">
        <x:v>Active</x:v>
      </x:c>
      <x:c r="U7" s="346" t="str">
        <x:v>Active</x:v>
      </x:c>
      <x:c r="V7" s="346" t="str">
        <x:v>Active</x:v>
      </x:c>
      <x:c r="W7" s="346" t="str">
        <x:v>Active</x:v>
      </x:c>
      <x:c r="X7" s="346" t="str">
        <x:v>Active</x:v>
      </x:c>
      <x:c r="Y7" s="346" t="str">
        <x:v>Active</x:v>
      </x:c>
      <x:c r="Z7" s="346" t="str">
        <x:v>Active</x:v>
      </x:c>
      <x:c r="AA7" s="380" t="str">
        <x:v>Active</x:v>
      </x:c>
      <x:c r="AB7" s="346" t="str">
        <x:v>Active</x:v>
      </x:c>
      <x:c r="AC7" s="346" t="str">
        <x:v>Active</x:v>
      </x:c>
      <x:c r="AD7" s="346" t="str">
        <x:v>Active</x:v>
      </x:c>
      <x:c r="AE7" s="414" t="str">
        <x:v>Active</x:v>
      </x:c>
    </x:row>
    <x:row r="8" ht="36" customHeight="1">
      <x:c r="A8" s="358" t="str">
        <x:v>Developer Team Size</x:v>
      </x:c>
      <x:c r="B8" s="344" t="str">
        <x:v>U/K (Discord company size is 501–1,000 employees; developer-team subset is not public)</x:v>
      </x:c>
      <x:c r="C8" s="344" t="str">
        <x:v>Small open-source team; exact size U/K</x:v>
      </x:c>
      <x:c r="D8" s="344" t="str">
        <x:v>Solo founder-led / very small team</x:v>
      </x:c>
      <x:c r="E8" s="344" t="str">
        <x:v>Small team; founder-led; exact size U/K</x:v>
      </x:c>
      <x:c r="F8" s="344" t="str">
        <x:v>Company team; exact developer count U/K</x:v>
      </x:c>
      <x:c r="G8" s="344" t="str">
        <x:v>Matrix.org Foundation + many independent implementers</x:v>
      </x:c>
      <x:c r="H8" s="344" t="str">
        <x:v>Volunteer open-source project; exact size U/K</x:v>
      </x:c>
      <x:c r="I8" s="344" t="str">
        <x:v>Community open-source project</x:v>
      </x:c>
      <x:c r="J8" s="344" t="str">
        <x:v>Commercial company</x:v>
      </x:c>
      <x:c r="K8" s="345" t="str">
        <x:v>Independent company + open-source community</x:v>
      </x:c>
      <x:c r="L8" s="346" t="str">
        <x:v>Mattermost, Inc. + open-source community</x:v>
      </x:c>
      <x:c r="M8" s="346" t="str">
        <x:v>Rocket.Chat company + open-source community</x:v>
      </x:c>
      <x:c r="N8" s="346" t="str">
        <x:v>Founder-led / small team</x:v>
      </x:c>
      <x:c r="O8" s="346" t="str">
        <x:v>Small hobby/community project</x:v>
      </x:c>
      <x:c r="P8" s="346" t="str">
        <x:v>Small startup team</x:v>
      </x:c>
      <x:c r="Q8" s="346" t="str">
        <x:v>Small team</x:v>
      </x:c>
      <x:c r="R8" s="346" t="str">
        <x:v>Small team / founder-led</x:v>
      </x:c>
      <x:c r="S8" s="346" t="str">
        <x:v>Company/open-source team</x:v>
      </x:c>
      <x:c r="T8" s="346" t="str">
        <x:v>Small team</x:v>
      </x:c>
      <x:c r="U8" s="346" t="str">
        <x:v>Small team/founder-led</x:v>
      </x:c>
      <x:c r="V8" s="346" t="str">
        <x:v>Small volunteer team</x:v>
      </x:c>
      <x:c r="W8" s="346" t="str">
        <x:v>Small open-source team</x:v>
      </x:c>
      <x:c r="X8" s="346" t="str">
        <x:v>Small open-source team</x:v>
      </x:c>
      <x:c r="Y8" s="346" t="str">
        <x:v>Solo developer</x:v>
      </x:c>
      <x:c r="Z8" s="346" t="str">
        <x:v>Solo/very small contributor group</x:v>
      </x:c>
      <x:c r="AA8" s="380" t="str">
        <x:v>Small company/team</x:v>
      </x:c>
      <x:c r="AB8" s="346" t="str">
        <x:v>Solo/small open-source team</x:v>
      </x:c>
      <x:c r="AC8" s="346" t="str">
        <x:v>Tiny Canadian team</x:v>
      </x:c>
      <x:c r="AD8" s="346" t="str">
        <x:v>Volunteer/open-source team</x:v>
      </x:c>
      <x:c r="AE8" s="414" t="str">
        <x:v>Solo developer</x:v>
      </x:c>
    </x:row>
    <x:row r="9" ht="36" customHeight="1">
      <x:c r="A9" s="397" t="str">
        <x:v>Codebase Continuity (Original / Fork / Revived)</x:v>
      </x:c>
      <x:c r="B9" s="349" t="str">
        <x:v>Original</x:v>
      </x:c>
      <x:c r="C9" s="349" t="str">
        <x:v>Original; Revolt → Stoat rebrand</x:v>
      </x:c>
      <x:c r="D9" s="349" t="str">
        <x:v>Original</x:v>
      </x:c>
      <x:c r="E9" s="349" t="str">
        <x:v>Original</x:v>
      </x:c>
      <x:c r="F9" s="349" t="str">
        <x:v>Original</x:v>
      </x:c>
      <x:c r="G9" s="349" t="str">
        <x:v>Original open protocol</x:v>
      </x:c>
      <x:c r="H9" s="349" t="str">
        <x:v>Reimplementation; Fosscord → Spacebar</x:v>
      </x:c>
      <x:c r="I9" s="349" t="str">
        <x:v>Original</x:v>
      </x:c>
      <x:c r="J9" s="349" t="str">
        <x:v>Original</x:v>
      </x:c>
      <x:c r="K9" s="395" t="str">
        <x:v>Original</x:v>
      </x:c>
      <x:c r="L9" s="349" t="str">
        <x:v>Original</x:v>
      </x:c>
      <x:c r="M9" s="349" t="str">
        <x:v>Original</x:v>
      </x:c>
      <x:c r="N9" s="349" t="str">
        <x:v>Original ground-up rebuild</x:v>
      </x:c>
      <x:c r="O9" s="349" t="str">
        <x:v>Original</x:v>
      </x:c>
      <x:c r="P9" s="349" t="str">
        <x:v>Original</x:v>
      </x:c>
      <x:c r="Q9" s="349" t="str">
        <x:v>Original</x:v>
      </x:c>
      <x:c r="R9" s="349" t="str">
        <x:v>Original</x:v>
      </x:c>
      <x:c r="S9" s="349" t="str">
        <x:v>Original</x:v>
      </x:c>
      <x:c r="T9" s="349" t="str">
        <x:v>Original</x:v>
      </x:c>
      <x:c r="U9" s="349" t="str">
        <x:v>Original</x:v>
      </x:c>
      <x:c r="V9" s="349" t="str">
        <x:v>Fork/rework of Spacebar-compatible stack</x:v>
      </x:c>
      <x:c r="W9" s="349" t="str">
        <x:v>Original</x:v>
      </x:c>
      <x:c r="X9" s="349" t="str">
        <x:v>Original</x:v>
      </x:c>
      <x:c r="Y9" s="349" t="str">
        <x:v>Original</x:v>
      </x:c>
      <x:c r="Z9" s="349" t="str">
        <x:v>Original</x:v>
      </x:c>
      <x:c r="AA9" s="381" t="str">
        <x:v>Original</x:v>
      </x:c>
      <x:c r="AB9" s="349" t="str">
        <x:v>Original</x:v>
      </x:c>
      <x:c r="AC9" s="349" t="str">
        <x:v>Original</x:v>
      </x:c>
      <x:c r="AD9" s="349" t="str">
        <x:v>Original</x:v>
      </x:c>
      <x:c r="AE9" s="415" t="str">
        <x:v>Original</x:v>
      </x:c>
    </x:row>
    <x:row r="10" ht="23" customHeight="1">
      <x:c r="A10" s="389" t="str">
        <x:v>Additional Project Health</x:v>
      </x:c>
      <x:c r="B10" s="389"/>
      <x:c r="C10" s="389"/>
      <x:c r="D10" s="389"/>
      <x:c r="E10" s="389"/>
      <x:c r="F10" s="389"/>
      <x:c r="G10" s="389"/>
      <x:c r="H10" s="389"/>
      <x:c r="I10" s="389"/>
      <x:c r="J10" s="389"/>
      <x:c r="K10" s="389"/>
      <x:c r="L10" s="389"/>
      <x:c r="M10" s="389"/>
      <x:c r="N10" s="389"/>
      <x:c r="O10" s="389"/>
      <x:c r="P10" s="389"/>
      <x:c r="Q10" s="389"/>
      <x:c r="R10" s="389"/>
      <x:c r="S10" s="389"/>
      <x:c r="T10" s="389"/>
      <x:c r="U10" s="389"/>
      <x:c r="V10" s="389"/>
      <x:c r="W10" s="389"/>
      <x:c r="X10" s="389"/>
      <x:c r="Y10" s="389"/>
      <x:c r="Z10" s="389"/>
      <x:c r="AA10" s="389"/>
      <x:c r="AB10" s="389"/>
      <x:c r="AC10" s="389"/>
      <x:c r="AD10" s="389"/>
      <x:c r="AE10" s="389"/>
    </x:row>
    <x:row r="11" ht="36" customHeight="1">
      <x:c r="A11" s="378" t="str">
        <x:v>Former Name / Predecessor</x:v>
      </x:c>
      <x:c r="B11" s="346" t="str">
        <x:v>N/A / none known</x:v>
      </x:c>
      <x:c r="C11" s="346" t="str">
        <x:v>Revolt</x:v>
      </x:c>
      <x:c r="D11" s="346" t="str">
        <x:v>N/A / none known</x:v>
      </x:c>
      <x:c r="E11" s="346" t="str">
        <x:v>N/A / none known</x:v>
      </x:c>
      <x:c r="F11" s="346" t="str">
        <x:v>N/A / none known</x:v>
      </x:c>
      <x:c r="G11" s="346" t="str">
        <x:v>N/A / none known</x:v>
      </x:c>
      <x:c r="H11" s="346" t="str">
        <x:v>Fosscord</x:v>
      </x:c>
      <x:c r="I11" s="346" t="str">
        <x:v>N/A / none known</x:v>
      </x:c>
      <x:c r="J11" s="346" t="str">
        <x:v>N/A / none known</x:v>
      </x:c>
      <x:c r="K11" s="346" t="str">
        <x:v>N/A / none known</x:v>
      </x:c>
      <x:c r="L11" s="346" t="str">
        <x:v>N/A / none known</x:v>
      </x:c>
      <x:c r="M11" s="346" t="str">
        <x:v>N/A / none known</x:v>
      </x:c>
      <x:c r="N11" s="346" t="str">
        <x:v>N/A / none known</x:v>
      </x:c>
      <x:c r="O11" s="346" t="str">
        <x:v>N/A / none known</x:v>
      </x:c>
      <x:c r="P11" s="346" t="str">
        <x:v>N/A / none known</x:v>
      </x:c>
      <x:c r="Q11" s="346" t="str">
        <x:v>N/A / none known</x:v>
      </x:c>
      <x:c r="R11" s="346" t="str">
        <x:v>N/A / none known</x:v>
      </x:c>
      <x:c r="S11" s="346" t="str">
        <x:v>N/A / none known</x:v>
      </x:c>
      <x:c r="T11" s="346" t="str">
        <x:v>N/A / none known</x:v>
      </x:c>
      <x:c r="U11" s="346" t="str">
        <x:v>N/A / none known</x:v>
      </x:c>
      <x:c r="V11" s="346" t="str">
        <x:v>Harmony platform; Fermi client</x:v>
      </x:c>
      <x:c r="W11" s="346" t="str">
        <x:v>N/A / none known</x:v>
      </x:c>
      <x:c r="X11" s="346" t="str">
        <x:v>N/A / none known</x:v>
      </x:c>
      <x:c r="Y11" s="346" t="str">
        <x:v>N/A / none known</x:v>
      </x:c>
      <x:c r="Z11" s="346" t="str">
        <x:v>N/A / none known</x:v>
      </x:c>
      <x:c r="AA11" s="380" t="str">
        <x:v>N/A / none known</x:v>
      </x:c>
      <x:c r="AB11" s="346" t="str">
        <x:v>N/A / none known</x:v>
      </x:c>
      <x:c r="AC11" s="346" t="str">
        <x:v>N/A / none known</x:v>
      </x:c>
      <x:c r="AD11" s="346" t="str">
        <x:v>N/A / none known</x:v>
      </x:c>
      <x:c r="AE11" s="346" t="str">
        <x:v>N/A / none known</x:v>
      </x:c>
    </x:row>
    <x:row r="12" ht="36" customHeight="1">
      <x:c r="A12" s="378" t="str">
        <x:v>Governance Model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Last Major Release Date</x:v>
      </x:c>
      <x:c r="B13" s="346" t="str">
        <x:v>U/K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78" t="str">
        <x:v>Public Roadmap?</x:v>
      </x:c>
      <x:c r="B14" s="346" t="str">
        <x:v>Limited - no comprehensive public product roadmap; blogs/changelogs announce plans and releases</x:v>
      </x:c>
      <x:c r="C14" s="346" t="str">
        <x:v>Public GitHub issues/projects + update posts</x:v>
      </x:c>
      <x:c r="D14" s="346" t="str">
        <x:v>Public roadmap/story posts</x:v>
      </x:c>
      <x:c r="E14" s="346" t="str">
        <x:v>Public 2026 roadmap</x:v>
      </x:c>
      <x:c r="F14" s="346" t="str">
        <x:v>Public help/docs + product updates; full roadmap U/K</x:v>
      </x:c>
      <x:c r="G14" s="346" t="str">
        <x:v>Public spec roadmap/MSC process</x:v>
      </x:c>
      <x:c r="H14" s="346" t="str">
        <x:v>Public GitHub roadmap/issues</x:v>
      </x:c>
      <x:c r="I14" s="346" t="str">
        <x:v>Public GitHub milestones/issues</x:v>
      </x:c>
      <x:c r="J14" s="346" t="str">
        <x:v>Product roadmap/announcements</x:v>
      </x:c>
      <x:c r="K14" s="346" t="str">
        <x:v>Public roadmap/issues</x:v>
      </x:c>
      <x:c r="L14" s="346" t="str">
        <x:v>Public product roadmap/release docs</x:v>
      </x:c>
      <x:c r="M14" s="346" t="str">
        <x:v>Public roadmap/release docs</x:v>
      </x:c>
      <x:c r="N14" s="346" t="str">
        <x:v>Public site/press</x:v>
      </x:c>
      <x:c r="O14" s="346" t="str">
        <x:v>Public GitHub</x:v>
      </x:c>
      <x:c r="P14" s="346" t="str">
        <x:v>Public updates</x:v>
      </x:c>
      <x:c r="Q14" s="346" t="str">
        <x:v>Public feature tracker</x:v>
      </x:c>
      <x:c r="R14" s="346" t="str">
        <x:v>Public subreddit/GitHub</x:v>
      </x:c>
      <x:c r="S14" s="346" t="str">
        <x:v>Public docs/blog</x:v>
      </x:c>
      <x:c r="T14" s="346" t="str">
        <x:v>Public site</x:v>
      </x:c>
      <x:c r="U14" s="346" t="str">
        <x:v>Public roadmap</x:v>
      </x:c>
      <x:c r="V14" s="346" t="str">
        <x:v>Public roadmap</x:v>
      </x:c>
      <x:c r="W14" s="346" t="str">
        <x:v>Public GitHub</x:v>
      </x:c>
      <x:c r="X14" s="346" t="str">
        <x:v>Public repos</x:v>
      </x:c>
      <x:c r="Y14" s="346" t="str">
        <x:v>Public roadmap/issues</x:v>
      </x:c>
      <x:c r="Z14" s="346" t="str">
        <x:v>Public docs/GitHub</x:v>
      </x:c>
      <x:c r="AA14" s="380" t="str">
        <x:v>Public site/updates</x:v>
      </x:c>
      <x:c r="AB14" s="346" t="str">
        <x:v>Public site/GitHub</x:v>
      </x:c>
      <x:c r="AC14" s="346" t="str">
        <x:v>Public site</x:v>
      </x:c>
      <x:c r="AD14" s="346" t="str">
        <x:v>Public roadmap/issues</x:v>
      </x:c>
      <x:c r="AE14" s="346" t="str">
        <x:v>Public site</x:v>
      </x:c>
    </x:row>
    <x:row r="15" ht="36" customHeight="1">
      <x:c r="A15" s="378" t="str">
        <x:v>Security Advisories?</x:v>
      </x:c>
      <x:c r="B15" s="346" t="str">
        <x:v>Yes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Yes</x:v>
      </x:c>
      <x:c r="H15" s="346" t="str">
        <x:v>U/K</x:v>
      </x:c>
      <x:c r="I15" s="346" t="str">
        <x:v>Yes</x:v>
      </x:c>
      <x:c r="J15" s="346" t="str">
        <x:v>U/K</x:v>
      </x:c>
      <x:c r="K15" s="346" t="str">
        <x:v>U/K</x:v>
      </x:c>
      <x:c r="L15" s="346" t="str">
        <x:v>Yes</x:v>
      </x:c>
      <x:c r="M15" s="346" t="str">
        <x:v>Yes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>
      <x:c r="A16" s="24"/>
      <x:c r="B16" s="24"/>
      <x:c r="C16" s="24"/>
      <x:c r="D16" s="24"/>
      <x:c r="E16" s="24"/>
      <x:c r="F16" s="24"/>
      <x:c r="G16" s="24"/>
      <x:c r="H16" s="24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 s="24"/>
      <x:c r="B17" s="24"/>
      <x:c r="C17" s="24"/>
      <x:c r="D17" s="24"/>
      <x:c r="E17" s="24"/>
      <x:c r="F17" s="24"/>
      <x:c r="G17" s="24"/>
      <x:c r="H17" s="24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 s="24"/>
      <x:c r="H18" s="24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 s="24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 s="24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9">
    <x:cfRule type="expression" dxfId="30" priority="1">
      <x:formula>ISNUMBER(SEARCH("U/K",B3))</x:formula>
    </x:cfRule>
    <x:cfRule type="expression" dxfId="31" priority="2">
      <x:formula>OR(B3="N/A",LEFT(B3,4)="N/A ")</x:formula>
    </x:cfRule>
  </x:conditionalFormatting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Project History, Team &amp; Maintenance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Timeline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Inception Year</x:v>
      </x:c>
      <x:c r="B4" s="346" t="str">
        <x:v>2015</x:v>
      </x:c>
      <x:c r="C4" s="346" t="str">
        <x:v>2021</x:v>
      </x:c>
      <x:c r="D4" s="346" t="str">
        <x:v>2025</x:v>
      </x:c>
      <x:c r="E4" s="346" t="str">
        <x:v>2020</x:v>
      </x:c>
      <x:c r="F4" s="346" t="str">
        <x:v>2025</x:v>
      </x:c>
      <x:c r="G4" s="346" t="str">
        <x:v>2014</x:v>
      </x:c>
      <x:c r="H4" s="346" t="str">
        <x:v>2021</x:v>
      </x:c>
      <x:c r="I4" s="346" t="str">
        <x:v>2005</x:v>
      </x:c>
      <x:c r="J4" s="346" t="str">
        <x:v>1999</x:v>
      </x:c>
      <x:c r="K4" s="346" t="str">
        <x:v>2012</x:v>
      </x:c>
      <x:c r="L4" s="346" t="str">
        <x:v>2015</x:v>
      </x:c>
      <x:c r="M4" s="346" t="str">
        <x:v>2015</x:v>
      </x:c>
      <x:c r="N4" s="346" t="str">
        <x:v>2026</x:v>
      </x:c>
      <x:c r="O4" s="346" t="str">
        <x:v>U/K</x:v>
      </x:c>
      <x:c r="P4" s="346" t="str">
        <x:v>2024</x:v>
      </x:c>
      <x:c r="Q4" s="346" t="str">
        <x:v>2026</x:v>
      </x:c>
      <x:c r="R4" s="346" t="str">
        <x:v>2026</x:v>
      </x:c>
      <x:c r="S4" s="346" t="str">
        <x:v>U/K</x:v>
      </x:c>
      <x:c r="T4" s="346" t="str">
        <x:v>2025</x:v>
      </x:c>
      <x:c r="U4" s="346" t="str">
        <x:v>2026</x:v>
      </x:c>
      <x:c r="V4" s="346" t="str">
        <x:v>2026</x:v>
      </x:c>
      <x:c r="W4" s="346" t="str">
        <x:v>2024</x:v>
      </x:c>
      <x:c r="X4" s="346" t="str">
        <x:v>2026</x:v>
      </x:c>
      <x:c r="Y4" s="346" t="str">
        <x:v>2026</x:v>
      </x:c>
      <x:c r="Z4" s="346" t="str">
        <x:v>2023</x:v>
      </x:c>
      <x:c r="AA4" s="380" t="str">
        <x:v>2026</x:v>
      </x:c>
      <x:c r="AB4" s="346" t="str">
        <x:v>2026</x:v>
      </x:c>
      <x:c r="AC4" s="346" t="str">
        <x:v>2026</x:v>
      </x:c>
      <x:c r="AD4" s="346" t="str">
        <x:v>2026</x:v>
      </x:c>
      <x:c r="AE4" s="346" t="str">
        <x:v>2025</x:v>
      </x:c>
    </x:row>
    <x:row r="5" ht="36" customHeight="1">
      <x:c r="A5" s="359" t="str">
        <x:v>Inception Month</x:v>
      </x:c>
      <x:c r="B5" s="346" t="str">
        <x:v>May</x:v>
      </x:c>
      <x:c r="C5" s="346" t="str">
        <x:v>U/K</x:v>
      </x:c>
      <x:c r="D5" s="346" t="str">
        <x:v>November</x:v>
      </x:c>
      <x:c r="E5" s="346" t="str">
        <x:v>U/K</x:v>
      </x:c>
      <x:c r="F5" s="346" t="str">
        <x:v>U/K</x:v>
      </x:c>
      <x:c r="G5" s="346" t="str">
        <x:v>U/K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U/K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Exact Inception Date Known?</x:v>
      </x:c>
      <x:c r="B6" s="346" t="str">
        <x:v>Yes</x:v>
      </x:c>
      <x:c r="C6" s="346" t="str">
        <x:v>No / U/K</x:v>
      </x:c>
      <x:c r="D6" s="346" t="str">
        <x:v>No / U/K</x:v>
      </x:c>
      <x:c r="E6" s="346" t="str">
        <x:v>Yes</x:v>
      </x:c>
      <x:c r="F6" s="346" t="str">
        <x:v>No / U/K</x:v>
      </x:c>
      <x:c r="G6" s="346" t="str">
        <x:v>Yes</x:v>
      </x:c>
      <x:c r="H6" s="346" t="str">
        <x:v>No / U/K</x:v>
      </x:c>
      <x:c r="I6" s="346" t="str">
        <x:v>No / U/K</x:v>
      </x:c>
      <x:c r="J6" s="346" t="str">
        <x:v>No / U/K</x:v>
      </x:c>
      <x:c r="K6" s="346" t="str">
        <x:v>No / U/K</x:v>
      </x:c>
      <x:c r="L6" s="346" t="str">
        <x:v>No / U/K</x:v>
      </x:c>
      <x:c r="M6" s="346" t="str">
        <x:v>No / U/K</x:v>
      </x:c>
      <x:c r="N6" s="346" t="str">
        <x:v>No / U/K</x:v>
      </x:c>
      <x:c r="O6" s="346" t="str">
        <x:v>No / U/K</x:v>
      </x:c>
      <x:c r="P6" s="346" t="str">
        <x:v>No / U/K</x:v>
      </x:c>
      <x:c r="Q6" s="346" t="str">
        <x:v>No / U/K</x:v>
      </x:c>
      <x:c r="R6" s="346" t="str">
        <x:v>No / U/K</x:v>
      </x:c>
      <x:c r="S6" s="346" t="str">
        <x:v>No / U/K</x:v>
      </x:c>
      <x:c r="T6" s="346" t="str">
        <x:v>No / U/K</x:v>
      </x:c>
      <x:c r="U6" s="346" t="str">
        <x:v>No / U/K</x:v>
      </x:c>
      <x:c r="V6" s="346" t="str">
        <x:v>No / U/K</x:v>
      </x:c>
      <x:c r="W6" s="346" t="str">
        <x:v>No / U/K</x:v>
      </x:c>
      <x:c r="X6" s="346" t="str">
        <x:v>No / U/K</x:v>
      </x:c>
      <x:c r="Y6" s="346" t="str">
        <x:v>No / U/K</x:v>
      </x:c>
      <x:c r="Z6" s="346" t="str">
        <x:v>No / U/K</x:v>
      </x:c>
      <x:c r="AA6" s="380" t="str">
        <x:v>No / U/K</x:v>
      </x:c>
      <x:c r="AB6" s="346" t="str">
        <x:v>No / U/K</x:v>
      </x:c>
      <x:c r="AC6" s="346" t="str">
        <x:v>No / U/K</x:v>
      </x:c>
      <x:c r="AD6" s="346" t="str">
        <x:v>No / U/K</x:v>
      </x:c>
      <x:c r="AE6" s="346" t="str">
        <x:v>No / U/K</x:v>
      </x:c>
    </x:row>
    <x:row r="7" ht="36" customHeight="1">
      <x:c r="A7" s="359" t="str">
        <x:v>Public Alpha Date</x:v>
      </x:c>
      <x:c r="B7" s="346" t="str">
        <x:v>U/K</x:v>
      </x:c>
      <x:c r="C7" s="346" t="str">
        <x:v>U/K</x:v>
      </x:c>
      <x:c r="D7" s="346" t="str">
        <x:v>Alpha access in 2026; public v1 release not yet</x:v>
      </x:c>
      <x:c r="E7" s="346" t="str">
        <x:v>U/K</x:v>
      </x:c>
      <x:c r="F7" s="346" t="str">
        <x:v>U/K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Alpha/beta 2026</x:v>
      </x:c>
      <x:c r="S7" s="346" t="str">
        <x:v>U/K</x:v>
      </x:c>
      <x:c r="T7" s="346" t="str">
        <x:v>Alpha/public 2026</x:v>
      </x:c>
      <x:c r="U7" s="346" t="str">
        <x:v>U/K</x:v>
      </x:c>
      <x:c r="V7" s="346" t="str">
        <x:v>Early public 2026</x:v>
      </x:c>
      <x:c r="W7" s="346" t="str">
        <x:v>Early public project</x:v>
      </x:c>
      <x:c r="X7" s="346" t="str">
        <x:v>U/K</x:v>
      </x:c>
      <x:c r="Y7" s="346" t="str">
        <x:v>Public alpha/beta 2026</x:v>
      </x:c>
      <x:c r="Z7" s="346" t="str">
        <x:v>U/K</x:v>
      </x:c>
      <x:c r="AA7" s="380" t="str">
        <x:v>U/K</x:v>
      </x:c>
      <x:c r="AB7" s="346" t="str">
        <x:v>U/K</x:v>
      </x:c>
      <x:c r="AC7" s="346" t="str">
        <x:v>U/K</x:v>
      </x:c>
      <x:c r="AD7" s="346" t="str">
        <x:v>Alpha/public before 2026</x:v>
      </x:c>
      <x:c r="AE7" s="346" t="str">
        <x:v>U/K</x:v>
      </x:c>
    </x:row>
    <x:row r="8" ht="36" customHeight="1">
      <x:c r="A8" s="359" t="str">
        <x:v>Public Beta Date</x:v>
      </x:c>
      <x:c r="B8" s="346" t="str">
        <x:v>U/K</x:v>
      </x:c>
      <x:c r="C8" s="346" t="str">
        <x:v>2021 (exact date U/K)</x:v>
      </x:c>
      <x:c r="D8" s="346" t="str">
        <x:v>U/K</x:v>
      </x:c>
      <x:c r="E8" s="346" t="str">
        <x:v>2026-01-02 public release</x:v>
      </x:c>
      <x:c r="F8" s="346" t="str">
        <x:v>Public beta / broad access by 2026; exact launch date U/K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2001 first public release</x:v>
      </x:c>
      <x:c r="K8" s="346" t="str">
        <x:v>U/K</x:v>
      </x:c>
      <x:c r="L8" s="346" t="str">
        <x:v>U/K</x:v>
      </x:c>
      <x:c r="M8" s="346" t="str">
        <x:v>U/K</x:v>
      </x:c>
      <x:c r="N8" s="346" t="str">
        <x:v>2026 open beta</x:v>
      </x:c>
      <x:c r="O8" s="346" t="str">
        <x:v>U/K</x:v>
      </x:c>
      <x:c r="P8" s="346" t="str">
        <x:v>Public beta in 2026</x:v>
      </x:c>
      <x:c r="Q8" s="346" t="str">
        <x:v>Open beta 2026</x:v>
      </x:c>
      <x:c r="R8" s="346" t="str">
        <x:v>Alpha/beta 2026</x:v>
      </x:c>
      <x:c r="S8" s="346" t="str">
        <x:v>U/K</x:v>
      </x:c>
      <x:c r="T8" s="346" t="str">
        <x:v>U/K</x:v>
      </x:c>
      <x:c r="U8" s="346" t="str">
        <x:v>Public beta/service 2026</x:v>
      </x:c>
      <x:c r="V8" s="346" t="str">
        <x:v>U/K</x:v>
      </x:c>
      <x:c r="W8" s="346" t="str">
        <x:v>U/K</x:v>
      </x:c>
      <x:c r="X8" s="346" t="str">
        <x:v>Public beta/dev 2026</x:v>
      </x:c>
      <x:c r="Y8" s="346" t="str">
        <x:v>Public alpha/beta 2026</x:v>
      </x:c>
      <x:c r="Z8" s="346" t="str">
        <x:v>Public project by 2024</x:v>
      </x:c>
      <x:c r="AA8" s="380" t="str">
        <x:v>U/K</x:v>
      </x:c>
      <x:c r="AB8" s="346" t="str">
        <x:v>Public beta 2026</x:v>
      </x:c>
      <x:c r="AC8" s="346" t="str">
        <x:v>Public 2026</x:v>
      </x:c>
      <x:c r="AD8" s="346" t="str">
        <x:v>U/K</x:v>
      </x:c>
      <x:c r="AE8" s="346" t="str">
        <x:v>Public beta 2026</x:v>
      </x:c>
    </x:row>
    <x:row r="9" ht="36" customHeight="1">
      <x:c r="A9" s="359" t="str">
        <x:v>Stable / 1.0 Date</x:v>
      </x:c>
      <x:c r="B9" s="346" t="str">
        <x:v>2015-05-13</x:v>
      </x:c>
      <x:c r="C9" s="346" t="str">
        <x:v>U/K</x:v>
      </x:c>
      <x:c r="D9" s="346" t="str">
        <x:v>U/K</x:v>
      </x:c>
      <x:c r="E9" s="346" t="str">
        <x:v>U/K</x:v>
      </x:c>
      <x:c r="F9" s="346" t="str">
        <x:v>U/K</x:v>
      </x:c>
      <x:c r="G9" s="346" t="str">
        <x:v>2014-09-03 (first public alpha)</x:v>
      </x:c>
      <x:c r="H9" s="346" t="str">
        <x:v>U/K</x:v>
      </x:c>
      <x:c r="I9" s="346" t="str">
        <x:v>2005 (exact public date U/K)</x:v>
      </x:c>
      <x:c r="J9" s="346" t="str">
        <x:v>2001 first public release</x:v>
      </x:c>
      <x:c r="K9" s="346" t="str">
        <x:v>2012 hosted; open-sourced 2015</x:v>
      </x:c>
      <x:c r="L9" s="346" t="str">
        <x:v>2015</x:v>
      </x:c>
      <x:c r="M9" s="346" t="str">
        <x:v>2015</x:v>
      </x:c>
      <x:c r="N9" s="346" t="str">
        <x:v>U/K</x:v>
      </x:c>
      <x:c r="O9" s="346" t="str">
        <x:v>Public before 2025; exact date 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Public by 2025/2026; exact date U/K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Public 2026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23" customHeight="1">
      <x:c r="A10" s="427" t="str">
        <x:v>Current State</x:v>
      </x:c>
      <x:c r="B10" s="427"/>
      <x:c r="C10" s="427"/>
      <x:c r="D10" s="427"/>
      <x:c r="E10" s="427"/>
      <x:c r="F10" s="427"/>
      <x:c r="G10" s="427"/>
      <x:c r="H10" s="427"/>
      <x:c r="I10" s="427"/>
      <x:c r="J10" s="427"/>
      <x:c r="K10" s="427"/>
      <x:c r="L10" s="427"/>
      <x:c r="M10" s="427"/>
      <x:c r="N10" s="427"/>
      <x:c r="O10" s="427"/>
      <x:c r="P10" s="427"/>
      <x:c r="Q10" s="427"/>
      <x:c r="R10" s="427"/>
      <x:c r="S10" s="427"/>
      <x:c r="T10" s="427"/>
      <x:c r="U10" s="427"/>
      <x:c r="V10" s="427"/>
      <x:c r="W10" s="427"/>
      <x:c r="X10" s="427"/>
      <x:c r="Y10" s="427"/>
      <x:c r="Z10" s="427"/>
      <x:c r="AA10" s="427"/>
      <x:c r="AB10" s="427"/>
      <x:c r="AC10" s="427"/>
      <x:c r="AD10" s="427"/>
      <x:c r="AE10" s="427"/>
    </x:row>
    <x:row r="11" ht="36" customHeight="1">
      <x:c r="A11" s="359" t="str">
        <x:v>Current Lifecycle Stage</x:v>
      </x:c>
      <x:c r="B11" s="346" t="str">
        <x:f>IF('Project Origin &amp; Longevity'!$B$6="","U/K",'Project Origin &amp; Longevity'!$B$6)</x:f>
        <x:v>Stable</x:v>
      </x:c>
      <x:c r="C11" s="346" t="str">
        <x:f>IF('Project Origin &amp; Longevity'!$C$6="","U/K",'Project Origin &amp; Longevity'!$C$6)</x:f>
        <x:v>Beta / pre-1.0</x:v>
      </x:c>
      <x:c r="D11" s="346" t="str">
        <x:f>IF('Project Origin &amp; Longevity'!$D$6="","U/K",'Project Origin &amp; Longevity'!$D$6)</x:f>
        <x:v>Alpha</x:v>
      </x:c>
      <x:c r="E11" s="346" t="str">
        <x:f>IF('Project Origin &amp; Longevity'!$E$6="","U/K",'Project Origin &amp; Longevity'!$E$6)</x:f>
        <x:v>Public Beta</x:v>
      </x:c>
      <x:c r="F11" s="346" t="str">
        <x:f>IF('Project Origin &amp; Longevity'!$F$6="","U/K",'Project Origin &amp; Longevity'!$F$6)</x:f>
        <x:v>Beta</x:v>
      </x:c>
      <x:c r="G11" s="346" t="str">
        <x:f>IF('Project Origin &amp; Longevity'!$G$6="","U/K",'Project Origin &amp; Longevity'!$G$6)</x:f>
        <x:v>Stable open standard (spec v1.x)</x:v>
      </x:c>
      <x:c r="H11" s="346" t="str">
        <x:f>IF('Project Origin &amp; Longevity'!$H$6="","U/K",'Project Origin &amp; Longevity'!$H$6)</x:f>
        <x:v>Alpha / WIP</x:v>
      </x:c>
      <x:c r="I11" s="346" t="str">
        <x:f>IF('Project Origin &amp; Longevity'!$I$6="","U/K",'Project Origin &amp; Longevity'!$I$6)</x:f>
        <x:v>Stable</x:v>
      </x:c>
      <x:c r="J11" s="346" t="str">
        <x:f>IF('Project Origin &amp; Longevity'!$J$6="","U/K",'Project Origin &amp; Longevity'!$J$6)</x:f>
        <x:v>TS6 Beta; TS3 stable</x:v>
      </x:c>
      <x:c r="K11" s="346" t="str">
        <x:f>IF('Project Origin &amp; Longevity'!$K$6="","U/K",'Project Origin &amp; Longevity'!$K$6)</x:f>
        <x:v>Stable</x:v>
      </x:c>
      <x:c r="L11" s="346" t="str">
        <x:f>IF('Project Origin &amp; Longevity'!$L$6="","U/K",'Project Origin &amp; Longevity'!$L$6)</x:f>
        <x:v>Stable</x:v>
      </x:c>
      <x:c r="M11" s="346" t="str">
        <x:f>IF('Project Origin &amp; Longevity'!$M$6="","U/K",'Project Origin &amp; Longevity'!$M$6)</x:f>
        <x:v>Stable</x:v>
      </x:c>
      <x:c r="N11" s="346" t="str">
        <x:f>IF('Project Origin &amp; Longevity'!$N$6="","U/K",'Project Origin &amp; Longevity'!$N$6)</x:f>
        <x:v>Open Beta</x:v>
      </x:c>
      <x:c r="O11" s="346" t="str">
        <x:f>IF('Project Origin &amp; Longevity'!$O$6="","U/K",'Project Origin &amp; Longevity'!$O$6)</x:f>
        <x:v>Stable/public</x:v>
      </x:c>
      <x:c r="P11" s="346" t="str">
        <x:f>IF('Project Origin &amp; Longevity'!$P$6="","U/K",'Project Origin &amp; Longevity'!$P$6)</x:f>
        <x:v>Public Beta</x:v>
      </x:c>
      <x:c r="Q11" s="346" t="str">
        <x:f>IF('Project Origin &amp; Longevity'!$Q$6="","U/K",'Project Origin &amp; Longevity'!$Q$6)</x:f>
        <x:v>Open Beta</x:v>
      </x:c>
      <x:c r="R11" s="346" t="str">
        <x:f>IF('Project Origin &amp; Longevity'!$R$6="","U/K",'Project Origin &amp; Longevity'!$R$6)</x:f>
        <x:v>Alpha / Beta</x:v>
      </x:c>
      <x:c r="S11" s="346" t="str">
        <x:f>IF('Project Origin &amp; Longevity'!$S$6="","U/K",'Project Origin &amp; Longevity'!$S$6)</x:f>
        <x:v>Stable/public</x:v>
      </x:c>
      <x:c r="T11" s="346" t="str">
        <x:f>IF('Project Origin &amp; Longevity'!$T$6="","U/K",'Project Origin &amp; Longevity'!$T$6)</x:f>
        <x:v>Alpha</x:v>
      </x:c>
      <x:c r="U11" s="346" t="str">
        <x:f>IF('Project Origin &amp; Longevity'!$U$6="","U/K",'Project Origin &amp; Longevity'!$U$6)</x:f>
        <x:v>Beta</x:v>
      </x:c>
      <x:c r="V11" s="346" t="str">
        <x:f>IF('Project Origin &amp; Longevity'!$V$6="","U/K",'Project Origin &amp; Longevity'!$V$6)</x:f>
        <x:v>Early Alpha</x:v>
      </x:c>
      <x:c r="W11" s="346" t="str">
        <x:f>IF('Project Origin &amp; Longevity'!$W$6="","U/K",'Project Origin &amp; Longevity'!$W$6)</x:f>
        <x:v>Alpha / experimental</x:v>
      </x:c>
      <x:c r="X11" s="346" t="str">
        <x:f>IF('Project Origin &amp; Longevity'!$X$6="","U/K",'Project Origin &amp; Longevity'!$X$6)</x:f>
        <x:v>Beta / active development</x:v>
      </x:c>
      <x:c r="Y11" s="346" t="str">
        <x:f>IF('Project Origin &amp; Longevity'!$Y$6="","U/K",'Project Origin &amp; Longevity'!$Y$6)</x:f>
        <x:v>Alpha / Beta</x:v>
      </x:c>
      <x:c r="Z11" s="346" t="str">
        <x:f>IF('Project Origin &amp; Longevity'!$Z$6="","U/K",'Project Origin &amp; Longevity'!$Z$6)</x:f>
        <x:v>Beta / active development</x:v>
      </x:c>
      <x:c r="AA11" s="380" t="str">
        <x:f>IF('Project Origin &amp; Longevity'!$AA$6="","U/K",'Project Origin &amp; Longevity'!$AA$6)</x:f>
        <x:v>Stable/public</x:v>
      </x:c>
      <x:c r="AB11" s="346" t="str">
        <x:f>IF('Project Origin &amp; Longevity'!$AB$6="","U/K",'Project Origin &amp; Longevity'!$AB$6)</x:f>
        <x:v>Beta</x:v>
      </x:c>
      <x:c r="AC11" s="346" t="str">
        <x:f>IF('Project Origin &amp; Longevity'!$AC$6="","U/K",'Project Origin &amp; Longevity'!$AC$6)</x:f>
        <x:v>Beta / public</x:v>
      </x:c>
      <x:c r="AD11" s="346" t="str">
        <x:f>IF('Project Origin &amp; Longevity'!$AD$6="","U/K",'Project Origin &amp; Longevity'!$AD$6)</x:f>
        <x:v>Alpha</x:v>
      </x:c>
      <x:c r="AE11" s="346" t="str">
        <x:f>IF('Project Origin &amp; Longevity'!$AE$6="","U/K",'Project Origin &amp; Longevity'!$AE$6)</x:f>
        <x:v>Public Beta</x:v>
      </x:c>
    </x:row>
    <x:row r="12" ht="36" customHeight="1">
      <x:c r="A12" s="359" t="str">
        <x:v>Actively Developed?</x:v>
      </x:c>
      <x:c r="B12" s="346" t="str">
        <x:v>Yes</x:v>
      </x:c>
      <x:c r="C12" s="346" t="str">
        <x:v>Yes</x:v>
      </x:c>
      <x:c r="D12" s="346" t="str">
        <x:v>Yes</x:v>
      </x:c>
      <x:c r="E12" s="346" t="str">
        <x:v>Yes</x:v>
      </x:c>
      <x:c r="F12" s="346" t="str">
        <x:v>Yes</x:v>
      </x:c>
      <x:c r="G12" s="346" t="str">
        <x:v>Yes</x:v>
      </x:c>
      <x:c r="H12" s="346" t="str">
        <x:v>Yes</x:v>
      </x:c>
      <x:c r="I12" s="346" t="str">
        <x:v>Yes</x:v>
      </x:c>
      <x:c r="J12" s="346" t="str">
        <x:v>Yes</x:v>
      </x:c>
      <x:c r="K12" s="346" t="str">
        <x:v>Yes</x:v>
      </x:c>
      <x:c r="L12" s="346" t="str">
        <x:v>Yes</x:v>
      </x:c>
      <x:c r="M12" s="346" t="str">
        <x:v>Yes</x:v>
      </x:c>
      <x:c r="N12" s="346" t="str">
        <x:v>Yes</x:v>
      </x:c>
      <x:c r="O12" s="346" t="str">
        <x:v>Yes</x:v>
      </x:c>
      <x:c r="P12" s="346" t="str">
        <x:v>Yes</x:v>
      </x:c>
      <x:c r="Q12" s="346" t="str">
        <x:v>Yes</x:v>
      </x:c>
      <x:c r="R12" s="346" t="str">
        <x:v>Yes</x:v>
      </x:c>
      <x:c r="S12" s="346" t="str">
        <x:v>Yes</x:v>
      </x:c>
      <x:c r="T12" s="346" t="str">
        <x:v>Yes</x:v>
      </x:c>
      <x:c r="U12" s="346" t="str">
        <x:v>Yes</x:v>
      </x:c>
      <x:c r="V12" s="346" t="str">
        <x:v>Yes</x:v>
      </x:c>
      <x:c r="W12" s="346" t="str">
        <x:v>Yes</x:v>
      </x:c>
      <x:c r="X12" s="346" t="str">
        <x:v>Yes</x:v>
      </x:c>
      <x:c r="Y12" s="346" t="str">
        <x:v>Yes</x:v>
      </x:c>
      <x:c r="Z12" s="346" t="str">
        <x:v>Yes</x:v>
      </x:c>
      <x:c r="AA12" s="380" t="str">
        <x:v>Yes</x:v>
      </x:c>
      <x:c r="AB12" s="346" t="str">
        <x:v>Yes</x:v>
      </x:c>
      <x:c r="AC12" s="346" t="str">
        <x:v>Yes</x:v>
      </x:c>
      <x:c r="AD12" s="346" t="str">
        <x:v>Yes</x:v>
      </x:c>
      <x:c r="AE12" s="346" t="str">
        <x:v>Yes</x:v>
      </x:c>
    </x:row>
    <x:row r="13" ht="36" customHeight="1">
      <x:c r="A13" s="359" t="str">
        <x:v>Development State</x:v>
      </x:c>
      <x:c r="B13" s="346" t="str">
        <x:f>IF('Project Origin &amp; Longevity'!$B$7="","U/K",'Project Origin &amp; Longevity'!$B$7)</x:f>
        <x:v>Active development</x:v>
      </x:c>
      <x:c r="C13" s="346" t="str">
        <x:f>IF('Project Origin &amp; Longevity'!$C$7="","U/K",'Project Origin &amp; Longevity'!$C$7)</x:f>
        <x:v>Active</x:v>
      </x:c>
      <x:c r="D13" s="346" t="str">
        <x:f>IF('Project Origin &amp; Longevity'!$D$7="","U/K",'Project Origin &amp; Longevity'!$D$7)</x:f>
        <x:v>Active alpha</x:v>
      </x:c>
      <x:c r="E13" s="346" t="str">
        <x:f>IF('Project Origin &amp; Longevity'!$E$7="","U/K",'Project Origin &amp; Longevity'!$E$7)</x:f>
        <x:v>Active</x:v>
      </x:c>
      <x:c r="F13" s="346" t="str">
        <x:f>IF('Project Origin &amp; Longevity'!$F$7="","U/K",'Project Origin &amp; Longevity'!$F$7)</x:f>
        <x:v>Active</x:v>
      </x:c>
      <x:c r="G13" s="346" t="str">
        <x:f>IF('Project Origin &amp; Longevity'!$G$7="","U/K",'Project Origin &amp; Longevity'!$G$7)</x:f>
        <x:v>Active standard + ecosystem</x:v>
      </x:c>
      <x:c r="H13" s="346" t="str">
        <x:f>IF('Project Origin &amp; Longevity'!$H$7="","U/K",'Project Origin &amp; Longevity'!$H$7)</x:f>
        <x:v>Active</x:v>
      </x:c>
      <x:c r="I13" s="346" t="str">
        <x:f>IF('Project Origin &amp; Longevity'!$I$7="","U/K",'Project Origin &amp; Longevity'!$I$7)</x:f>
        <x:v>Active</x:v>
      </x:c>
      <x:c r="J13" s="346" t="str">
        <x:f>IF('Project Origin &amp; Longevity'!$J$7="","U/K",'Project Origin &amp; Longevity'!$J$7)</x:f>
        <x:v>Active</x:v>
      </x:c>
      <x:c r="K13" s="346" t="str">
        <x:f>IF('Project Origin &amp; Longevity'!$K$7="","U/K",'Project Origin &amp; Longevity'!$K$7)</x:f>
        <x:v>Active</x:v>
      </x:c>
      <x:c r="L13" s="346" t="str">
        <x:f>IF('Project Origin &amp; Longevity'!$L$7="","U/K",'Project Origin &amp; Longevity'!$L$7)</x:f>
        <x:v>Active</x:v>
      </x:c>
      <x:c r="M13" s="346" t="str">
        <x:f>IF('Project Origin &amp; Longevity'!$M$7="","U/K",'Project Origin &amp; Longevity'!$M$7)</x:f>
        <x:v>Active</x:v>
      </x:c>
      <x:c r="N13" s="346" t="str">
        <x:f>IF('Project Origin &amp; Longevity'!$N$7="","U/K",'Project Origin &amp; Longevity'!$N$7)</x:f>
        <x:v>Active</x:v>
      </x:c>
      <x:c r="O13" s="346" t="str">
        <x:f>IF('Project Origin &amp; Longevity'!$O$7="","U/K",'Project Origin &amp; Longevity'!$O$7)</x:f>
        <x:v>Active</x:v>
      </x:c>
      <x:c r="P13" s="346" t="str">
        <x:f>IF('Project Origin &amp; Longevity'!$P$7="","U/K",'Project Origin &amp; Longevity'!$P$7)</x:f>
        <x:v>Active</x:v>
      </x:c>
      <x:c r="Q13" s="346" t="str">
        <x:f>IF('Project Origin &amp; Longevity'!$Q$7="","U/K",'Project Origin &amp; Longevity'!$Q$7)</x:f>
        <x:v>Active</x:v>
      </x:c>
      <x:c r="R13" s="346" t="str">
        <x:f>IF('Project Origin &amp; Longevity'!$R$7="","U/K",'Project Origin &amp; Longevity'!$R$7)</x:f>
        <x:v>Active experimental</x:v>
      </x:c>
      <x:c r="S13" s="346" t="str">
        <x:f>IF('Project Origin &amp; Longevity'!$S$7="","U/K",'Project Origin &amp; Longevity'!$S$7)</x:f>
        <x:v>Active</x:v>
      </x:c>
      <x:c r="T13" s="346" t="str">
        <x:f>IF('Project Origin &amp; Longevity'!$T$7="","U/K",'Project Origin &amp; Longevity'!$T$7)</x:f>
        <x:v>Active</x:v>
      </x:c>
      <x:c r="U13" s="346" t="str">
        <x:f>IF('Project Origin &amp; Longevity'!$U$7="","U/K",'Project Origin &amp; Longevity'!$U$7)</x:f>
        <x:v>Active</x:v>
      </x:c>
      <x:c r="V13" s="346" t="str">
        <x:f>IF('Project Origin &amp; Longevity'!$V$7="","U/K",'Project Origin &amp; Longevity'!$V$7)</x:f>
        <x:v>Active</x:v>
      </x:c>
      <x:c r="W13" s="346" t="str">
        <x:f>IF('Project Origin &amp; Longevity'!$W$7="","U/K",'Project Origin &amp; Longevity'!$W$7)</x:f>
        <x:v>Active</x:v>
      </x:c>
      <x:c r="X13" s="346" t="str">
        <x:f>IF('Project Origin &amp; Longevity'!$X$7="","U/K",'Project Origin &amp; Longevity'!$X$7)</x:f>
        <x:v>Active</x:v>
      </x:c>
      <x:c r="Y13" s="346" t="str">
        <x:f>IF('Project Origin &amp; Longevity'!$Y$7="","U/K",'Project Origin &amp; Longevity'!$Y$7)</x:f>
        <x:v>Active</x:v>
      </x:c>
      <x:c r="Z13" s="346" t="str">
        <x:f>IF('Project Origin &amp; Longevity'!$Z$7="","U/K",'Project Origin &amp; Longevity'!$Z$7)</x:f>
        <x:v>Active</x:v>
      </x:c>
      <x:c r="AA13" s="380" t="str">
        <x:f>IF('Project Origin &amp; Longevity'!$AA$7="","U/K",'Project Origin &amp; Longevity'!$AA$7)</x:f>
        <x:v>Active</x:v>
      </x:c>
      <x:c r="AB13" s="346" t="str">
        <x:f>IF('Project Origin &amp; Longevity'!$AB$7="","U/K",'Project Origin &amp; Longevity'!$AB$7)</x:f>
        <x:v>Active</x:v>
      </x:c>
      <x:c r="AC13" s="346" t="str">
        <x:f>IF('Project Origin &amp; Longevity'!$AC$7="","U/K",'Project Origin &amp; Longevity'!$AC$7)</x:f>
        <x:v>Active</x:v>
      </x:c>
      <x:c r="AD13" s="346" t="str">
        <x:f>IF('Project Origin &amp; Longevity'!$AD$7="","U/K",'Project Origin &amp; Longevity'!$AD$7)</x:f>
        <x:v>Active</x:v>
      </x:c>
      <x:c r="AE13" s="346" t="str">
        <x:f>IF('Project Origin &amp; Longevity'!$AE$7="","U/K",'Project Origin &amp; Longevity'!$AE$7)</x:f>
        <x:v>Active</x:v>
      </x:c>
    </x:row>
    <x:row r="14" ht="36" customHeight="1">
      <x:c r="A14" s="359" t="str">
        <x:v>Last Major Release Date</x:v>
      </x:c>
      <x:c r="B14" s="346" t="str">
        <x:v>U/K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23" customHeight="1">
      <x:c r="A15" s="427" t="str">
        <x:v>Organization</x:v>
      </x:c>
      <x:c r="B15" s="427"/>
      <x:c r="C15" s="427"/>
      <x:c r="D15" s="427"/>
      <x:c r="E15" s="427"/>
      <x:c r="F15" s="427"/>
      <x:c r="G15" s="427"/>
      <x:c r="H15" s="427"/>
      <x:c r="I15" s="427"/>
      <x:c r="J15" s="427"/>
      <x:c r="K15" s="427"/>
      <x:c r="L15" s="427"/>
      <x:c r="M15" s="427"/>
      <x:c r="N15" s="427"/>
      <x:c r="O15" s="427"/>
      <x:c r="P15" s="427"/>
      <x:c r="Q15" s="427"/>
      <x:c r="R15" s="427"/>
      <x:c r="S15" s="427"/>
      <x:c r="T15" s="427"/>
      <x:c r="U15" s="427"/>
      <x:c r="V15" s="427"/>
      <x:c r="W15" s="427"/>
      <x:c r="X15" s="427"/>
      <x:c r="Y15" s="427"/>
      <x:c r="Z15" s="427"/>
      <x:c r="AA15" s="427"/>
      <x:c r="AB15" s="427"/>
      <x:c r="AC15" s="427"/>
      <x:c r="AD15" s="427"/>
      <x:c r="AE15" s="427"/>
    </x:row>
    <x:row r="16" ht="36" customHeight="1">
      <x:c r="A16" s="359" t="str">
        <x:v>Maintainer Structure</x:v>
      </x:c>
      <x:c r="B16" s="346" t="str">
        <x:f>IF('Maitenence &amp; Updates'!$B$5="","U/K",'Maitenence &amp; Updates'!$B$5)</x:f>
        <x:v>Corp (Discord Inc.)</x:v>
      </x:c>
      <x:c r="C16" s="346" t="str">
        <x:f>IF('Maitenence &amp; Updates'!$C$5="","U/K",'Maitenence &amp; Updates'!$C$5)</x:f>
        <x:v>Small open-source collective</x:v>
      </x:c>
      <x:c r="D16" s="346" t="str">
        <x:f>IF('Maitenence &amp; Updates'!$D$5="","U/K",'Maitenence &amp; Updates'!$D$5)</x:f>
        <x:v>Solo founder / tiny team</x:v>
      </x:c>
      <x:c r="E16" s="346" t="str">
        <x:f>IF('Maitenence &amp; Updates'!$E$5="","U/K",'Maitenence &amp; Updates'!$E$5)</x:f>
        <x:v>Small company/open-source team</x:v>
      </x:c>
      <x:c r="F16" s="346" t="str">
        <x:f>IF('Maitenence &amp; Updates'!$F$5="","U/K",'Maitenence &amp; Updates'!$F$5)</x:f>
        <x:v>Corp</x:v>
      </x:c>
      <x:c r="G16" s="346" t="str">
        <x:f>IF('Maitenence &amp; Updates'!$G$5="","U/K",'Maitenence &amp; Updates'!$G$5)</x:f>
        <x:v>Nonprofit foundation + ecosystem companies/projects</x:v>
      </x:c>
      <x:c r="H16" s="346" t="str">
        <x:f>IF('Maitenence &amp; Updates'!$H$5="","U/K",'Maitenence &amp; Updates'!$H$5)</x:f>
        <x:v>Volunteer project</x:v>
      </x:c>
      <x:c r="I16" s="346" t="str">
        <x:f>IF('Maitenence &amp; Updates'!$I$5="","U/K",'Maitenence &amp; Updates'!$I$5)</x:f>
        <x:v>Community project</x:v>
      </x:c>
      <x:c r="J16" s="346" t="str">
        <x:f>IF('Maitenence &amp; Updates'!$J$5="","U/K",'Maitenence &amp; Updates'!$J$5)</x:f>
        <x:v>Corp</x:v>
      </x:c>
      <x:c r="K16" s="346" t="str">
        <x:f>IF('Maitenence &amp; Updates'!$K$5="","U/K",'Maitenence &amp; Updates'!$K$5)</x:f>
        <x:v>Independent company + community</x:v>
      </x:c>
      <x:c r="L16" s="346" t="str">
        <x:f>IF('Maitenence &amp; Updates'!$L$5="","U/K",'Maitenence &amp; Updates'!$L$5)</x:f>
        <x:v>Corp + open-source community</x:v>
      </x:c>
      <x:c r="M16" s="346" t="str">
        <x:f>IF('Maitenence &amp; Updates'!$M$5="","U/K",'Maitenence &amp; Updates'!$M$5)</x:f>
        <x:v>Corp + community</x:v>
      </x:c>
      <x:c r="N16" s="346" t="str">
        <x:f>IF('Maitenence &amp; Updates'!$N$5="","U/K",'Maitenence &amp; Updates'!$N$5)</x:f>
        <x:v>Founder-led company</x:v>
      </x:c>
      <x:c r="O16" s="346" t="str">
        <x:f>IF('Maitenence &amp; Updates'!$O$5="","U/K",'Maitenence &amp; Updates'!$O$5)</x:f>
        <x:v>Solo/small community</x:v>
      </x:c>
      <x:c r="P16" s="346" t="str">
        <x:f>IF('Maitenence &amp; Updates'!$P$5="","U/K",'Maitenence &amp; Updates'!$P$5)</x:f>
        <x:v>Small startup team</x:v>
      </x:c>
      <x:c r="Q16" s="346" t="str">
        <x:f>IF('Maitenence &amp; Updates'!$Q$5="","U/K",'Maitenence &amp; Updates'!$Q$5)</x:f>
        <x:v>Small team</x:v>
      </x:c>
      <x:c r="R16" s="346" t="str">
        <x:f>IF('Maitenence &amp; Updates'!$R$5="","U/K",'Maitenence &amp; Updates'!$R$5)</x:f>
        <x:v>Small founder-led team</x:v>
      </x:c>
      <x:c r="S16" s="346" t="str">
        <x:f>IF('Maitenence &amp; Updates'!$S$5="","U/K",'Maitenence &amp; Updates'!$S$5)</x:f>
        <x:v>Company/open-source team</x:v>
      </x:c>
      <x:c r="T16" s="346" t="str">
        <x:f>IF('Maitenence &amp; Updates'!$T$5="","U/K",'Maitenence &amp; Updates'!$T$5)</x:f>
        <x:v>Small team</x:v>
      </x:c>
      <x:c r="U16" s="346" t="str">
        <x:f>IF('Maitenence &amp; Updates'!$U$5="","U/K",'Maitenence &amp; Updates'!$U$5)</x:f>
        <x:v>Small team</x:v>
      </x:c>
      <x:c r="V16" s="346" t="str">
        <x:f>IF('Maitenence &amp; Updates'!$V$5="","U/K",'Maitenence &amp; Updates'!$V$5)</x:f>
        <x:v>Volunteer project</x:v>
      </x:c>
      <x:c r="W16" s="346" t="str">
        <x:f>IF('Maitenence &amp; Updates'!$W$5="","U/K",'Maitenence &amp; Updates'!$W$5)</x:f>
        <x:v>Open-source community</x:v>
      </x:c>
      <x:c r="X16" s="346" t="str">
        <x:f>IF('Maitenence &amp; Updates'!$X$5="","U/K",'Maitenence &amp; Updates'!$X$5)</x:f>
        <x:v>Open-source team</x:v>
      </x:c>
      <x:c r="Y16" s="346" t="str">
        <x:f>IF('Maitenence &amp; Updates'!$Y$5="","U/K",'Maitenence &amp; Updates'!$Y$5)</x:f>
        <x:v>Solo dev</x:v>
      </x:c>
      <x:c r="Z16" s="346" t="str">
        <x:f>IF('Maitenence &amp; Updates'!$Z$5="","U/K",'Maitenence &amp; Updates'!$Z$5)</x:f>
        <x:v>Solo-led + contributors</x:v>
      </x:c>
      <x:c r="AA16" s="380" t="str">
        <x:f>IF('Maitenence &amp; Updates'!$AA$5="","U/K",'Maitenence &amp; Updates'!$AA$5)</x:f>
        <x:v>Small private company</x:v>
      </x:c>
      <x:c r="AB16" s="346" t="str">
        <x:f>IF('Maitenence &amp; Updates'!$AB$5="","U/K",'Maitenence &amp; Updates'!$AB$5)</x:f>
        <x:v>Solo/small OSS</x:v>
      </x:c>
      <x:c r="AC16" s="346" t="str">
        <x:f>IF('Maitenence &amp; Updates'!$AC$5="","U/K",'Maitenence &amp; Updates'!$AC$5)</x:f>
        <x:v>Tiny Canadian team</x:v>
      </x:c>
      <x:c r="AD16" s="346" t="str">
        <x:f>IF('Maitenence &amp; Updates'!$AD$5="","U/K",'Maitenence &amp; Updates'!$AD$5)</x:f>
        <x:v>Volunteer/open-source team</x:v>
      </x:c>
      <x:c r="AE16" s="346" t="str">
        <x:f>IF('Maitenence &amp; Updates'!$AE$5="","U/K",'Maitenence &amp; Updates'!$AE$5)</x:f>
        <x:v>Solo developer</x:v>
      </x:c>
    </x:row>
    <x:row r="17" ht="36" customHeight="1">
      <x:c r="A17" s="359" t="str">
        <x:v>Developer Team Size</x:v>
      </x:c>
      <x:c r="B17" s="346" t="str">
        <x:f>IF('Project Origin &amp; Longevity'!$B$8="","U/K",'Project Origin &amp; Longevity'!$B$8)</x:f>
        <x:v>U/K (Discord company size is 501–1,000 employees; developer-team subset is not public)</x:v>
      </x:c>
      <x:c r="C17" s="346" t="str">
        <x:f>IF('Project Origin &amp; Longevity'!$C$8="","U/K",'Project Origin &amp; Longevity'!$C$8)</x:f>
        <x:v>Small open-source team; exact size U/K</x:v>
      </x:c>
      <x:c r="D17" s="346" t="str">
        <x:f>IF('Project Origin &amp; Longevity'!$D$8="","U/K",'Project Origin &amp; Longevity'!$D$8)</x:f>
        <x:v>Solo founder-led / very small team</x:v>
      </x:c>
      <x:c r="E17" s="346" t="str">
        <x:f>IF('Project Origin &amp; Longevity'!$E$8="","U/K",'Project Origin &amp; Longevity'!$E$8)</x:f>
        <x:v>Small team; founder-led; exact size U/K</x:v>
      </x:c>
      <x:c r="F17" s="346" t="str">
        <x:f>IF('Project Origin &amp; Longevity'!$F$8="","U/K",'Project Origin &amp; Longevity'!$F$8)</x:f>
        <x:v>Company team; exact developer count U/K</x:v>
      </x:c>
      <x:c r="G17" s="346" t="str">
        <x:f>IF('Project Origin &amp; Longevity'!$G$8="","U/K",'Project Origin &amp; Longevity'!$G$8)</x:f>
        <x:v>Matrix.org Foundation + many independent implementers</x:v>
      </x:c>
      <x:c r="H17" s="346" t="str">
        <x:f>IF('Project Origin &amp; Longevity'!$H$8="","U/K",'Project Origin &amp; Longevity'!$H$8)</x:f>
        <x:v>Volunteer open-source project; exact size U/K</x:v>
      </x:c>
      <x:c r="I17" s="346" t="str">
        <x:f>IF('Project Origin &amp; Longevity'!$I$8="","U/K",'Project Origin &amp; Longevity'!$I$8)</x:f>
        <x:v>Community open-source project</x:v>
      </x:c>
      <x:c r="J17" s="346" t="str">
        <x:f>IF('Project Origin &amp; Longevity'!$J$8="","U/K",'Project Origin &amp; Longevity'!$J$8)</x:f>
        <x:v>Commercial company</x:v>
      </x:c>
      <x:c r="K17" s="346" t="str">
        <x:f>IF('Project Origin &amp; Longevity'!$K$8="","U/K",'Project Origin &amp; Longevity'!$K$8)</x:f>
        <x:v>Independent company + open-source community</x:v>
      </x:c>
      <x:c r="L17" s="346" t="str">
        <x:f>IF('Project Origin &amp; Longevity'!$L$8="","U/K",'Project Origin &amp; Longevity'!$L$8)</x:f>
        <x:v>Mattermost, Inc. + open-source community</x:v>
      </x:c>
      <x:c r="M17" s="346" t="str">
        <x:f>IF('Project Origin &amp; Longevity'!$M$8="","U/K",'Project Origin &amp; Longevity'!$M$8)</x:f>
        <x:v>Rocket.Chat company + open-source community</x:v>
      </x:c>
      <x:c r="N17" s="346" t="str">
        <x:f>IF('Project Origin &amp; Longevity'!$N$8="","U/K",'Project Origin &amp; Longevity'!$N$8)</x:f>
        <x:v>Founder-led / small team</x:v>
      </x:c>
      <x:c r="O17" s="346" t="str">
        <x:f>IF('Project Origin &amp; Longevity'!$O$8="","U/K",'Project Origin &amp; Longevity'!$O$8)</x:f>
        <x:v>Small hobby/community project</x:v>
      </x:c>
      <x:c r="P17" s="346" t="str">
        <x:f>IF('Project Origin &amp; Longevity'!$P$8="","U/K",'Project Origin &amp; Longevity'!$P$8)</x:f>
        <x:v>Small startup team</x:v>
      </x:c>
      <x:c r="Q17" s="346" t="str">
        <x:f>IF('Project Origin &amp; Longevity'!$Q$8="","U/K",'Project Origin &amp; Longevity'!$Q$8)</x:f>
        <x:v>Small team</x:v>
      </x:c>
      <x:c r="R17" s="346" t="str">
        <x:f>IF('Project Origin &amp; Longevity'!$R$8="","U/K",'Project Origin &amp; Longevity'!$R$8)</x:f>
        <x:v>Small team / founder-led</x:v>
      </x:c>
      <x:c r="S17" s="346" t="str">
        <x:f>IF('Project Origin &amp; Longevity'!$S$8="","U/K",'Project Origin &amp; Longevity'!$S$8)</x:f>
        <x:v>Company/open-source team</x:v>
      </x:c>
      <x:c r="T17" s="346" t="str">
        <x:f>IF('Project Origin &amp; Longevity'!$T$8="","U/K",'Project Origin &amp; Longevity'!$T$8)</x:f>
        <x:v>Small team</x:v>
      </x:c>
      <x:c r="U17" s="346" t="str">
        <x:f>IF('Project Origin &amp; Longevity'!$U$8="","U/K",'Project Origin &amp; Longevity'!$U$8)</x:f>
        <x:v>Small team/founder-led</x:v>
      </x:c>
      <x:c r="V17" s="346" t="str">
        <x:f>IF('Project Origin &amp; Longevity'!$V$8="","U/K",'Project Origin &amp; Longevity'!$V$8)</x:f>
        <x:v>Small volunteer team</x:v>
      </x:c>
      <x:c r="W17" s="346" t="str">
        <x:f>IF('Project Origin &amp; Longevity'!$W$8="","U/K",'Project Origin &amp; Longevity'!$W$8)</x:f>
        <x:v>Small open-source team</x:v>
      </x:c>
      <x:c r="X17" s="346" t="str">
        <x:f>IF('Project Origin &amp; Longevity'!$X$8="","U/K",'Project Origin &amp; Longevity'!$X$8)</x:f>
        <x:v>Small open-source team</x:v>
      </x:c>
      <x:c r="Y17" s="346" t="str">
        <x:f>IF('Project Origin &amp; Longevity'!$Y$8="","U/K",'Project Origin &amp; Longevity'!$Y$8)</x:f>
        <x:v>Solo developer</x:v>
      </x:c>
      <x:c r="Z17" s="346" t="str">
        <x:f>IF('Project Origin &amp; Longevity'!$Z$8="","U/K",'Project Origin &amp; Longevity'!$Z$8)</x:f>
        <x:v>Solo/very small contributor group</x:v>
      </x:c>
      <x:c r="AA17" s="380" t="str">
        <x:f>IF('Project Origin &amp; Longevity'!$AA$8="","U/K",'Project Origin &amp; Longevity'!$AA$8)</x:f>
        <x:v>Small company/team</x:v>
      </x:c>
      <x:c r="AB17" s="346" t="str">
        <x:f>IF('Project Origin &amp; Longevity'!$AB$8="","U/K",'Project Origin &amp; Longevity'!$AB$8)</x:f>
        <x:v>Solo/small open-source team</x:v>
      </x:c>
      <x:c r="AC17" s="346" t="str">
        <x:f>IF('Project Origin &amp; Longevity'!$AC$8="","U/K",'Project Origin &amp; Longevity'!$AC$8)</x:f>
        <x:v>Tiny Canadian team</x:v>
      </x:c>
      <x:c r="AD17" s="346" t="str">
        <x:f>IF('Project Origin &amp; Longevity'!$AD$8="","U/K",'Project Origin &amp; Longevity'!$AD$8)</x:f>
        <x:v>Volunteer/open-source team</x:v>
      </x:c>
      <x:c r="AE17" s="346" t="str">
        <x:f>IF('Project Origin &amp; Longevity'!$AE$8="","U/K",'Project Origin &amp; Longevity'!$AE$8)</x:f>
        <x:v>Solo developer</x:v>
      </x:c>
    </x:row>
    <x:row r="18" ht="36" customHeight="1">
      <x:c r="A18" s="359" t="str">
        <x:v>Company Employee Count</x:v>
      </x:c>
      <x:c r="B18" s="346" t="str">
        <x:v>501–1,000 company employees; developer subset U/K</x:v>
      </x:c>
      <x:c r="C18" s="346" t="str">
        <x:v>U/K</x:v>
      </x:c>
      <x:c r="D18" s="346" t="str">
        <x:v>U/K</x:v>
      </x:c>
      <x:c r="E18" s="346" t="str">
        <x:v>U/K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59" t="str">
        <x:v>Original / Fork / Reimplementation</x:v>
      </x:c>
      <x:c r="B19" s="346" t="str">
        <x:f>IF('Project Origin &amp; Longevity'!$B$9="","U/K",'Project Origin &amp; Longevity'!$B$9)</x:f>
        <x:v>Original</x:v>
      </x:c>
      <x:c r="C19" s="346" t="str">
        <x:f>IF('Project Origin &amp; Longevity'!$C$9="","U/K",'Project Origin &amp; Longevity'!$C$9)</x:f>
        <x:v>Original; Revolt → Stoat rebrand</x:v>
      </x:c>
      <x:c r="D19" s="346" t="str">
        <x:f>IF('Project Origin &amp; Longevity'!$D$9="","U/K",'Project Origin &amp; Longevity'!$D$9)</x:f>
        <x:v>Original</x:v>
      </x:c>
      <x:c r="E19" s="346" t="str">
        <x:f>IF('Project Origin &amp; Longevity'!$E$9="","U/K",'Project Origin &amp; Longevity'!$E$9)</x:f>
        <x:v>Original</x:v>
      </x:c>
      <x:c r="F19" s="346" t="str">
        <x:f>IF('Project Origin &amp; Longevity'!$F$9="","U/K",'Project Origin &amp; Longevity'!$F$9)</x:f>
        <x:v>Original</x:v>
      </x:c>
      <x:c r="G19" s="346" t="str">
        <x:f>IF('Project Origin &amp; Longevity'!$G$9="","U/K",'Project Origin &amp; Longevity'!$G$9)</x:f>
        <x:v>Original open protocol</x:v>
      </x:c>
      <x:c r="H19" s="346" t="str">
        <x:f>IF('Project Origin &amp; Longevity'!$H$9="","U/K",'Project Origin &amp; Longevity'!$H$9)</x:f>
        <x:v>Reimplementation; Fosscord → Spacebar</x:v>
      </x:c>
      <x:c r="I19" s="346" t="str">
        <x:f>IF('Project Origin &amp; Longevity'!$I$9="","U/K",'Project Origin &amp; Longevity'!$I$9)</x:f>
        <x:v>Original</x:v>
      </x:c>
      <x:c r="J19" s="346" t="str">
        <x:f>IF('Project Origin &amp; Longevity'!$J$9="","U/K",'Project Origin &amp; Longevity'!$J$9)</x:f>
        <x:v>Original</x:v>
      </x:c>
      <x:c r="K19" s="346" t="str">
        <x:f>IF('Project Origin &amp; Longevity'!$K$9="","U/K",'Project Origin &amp; Longevity'!$K$9)</x:f>
        <x:v>Original</x:v>
      </x:c>
      <x:c r="L19" s="346" t="str">
        <x:f>IF('Project Origin &amp; Longevity'!$L$9="","U/K",'Project Origin &amp; Longevity'!$L$9)</x:f>
        <x:v>Original</x:v>
      </x:c>
      <x:c r="M19" s="346" t="str">
        <x:f>IF('Project Origin &amp; Longevity'!$M$9="","U/K",'Project Origin &amp; Longevity'!$M$9)</x:f>
        <x:v>Original</x:v>
      </x:c>
      <x:c r="N19" s="346" t="str">
        <x:f>IF('Project Origin &amp; Longevity'!$N$9="","U/K",'Project Origin &amp; Longevity'!$N$9)</x:f>
        <x:v>Original ground-up rebuild</x:v>
      </x:c>
      <x:c r="O19" s="346" t="str">
        <x:f>IF('Project Origin &amp; Longevity'!$O$9="","U/K",'Project Origin &amp; Longevity'!$O$9)</x:f>
        <x:v>Original</x:v>
      </x:c>
      <x:c r="P19" s="346" t="str">
        <x:f>IF('Project Origin &amp; Longevity'!$P$9="","U/K",'Project Origin &amp; Longevity'!$P$9)</x:f>
        <x:v>Original</x:v>
      </x:c>
      <x:c r="Q19" s="346" t="str">
        <x:f>IF('Project Origin &amp; Longevity'!$Q$9="","U/K",'Project Origin &amp; Longevity'!$Q$9)</x:f>
        <x:v>Original</x:v>
      </x:c>
      <x:c r="R19" s="346" t="str">
        <x:f>IF('Project Origin &amp; Longevity'!$R$9="","U/K",'Project Origin &amp; Longevity'!$R$9)</x:f>
        <x:v>Original</x:v>
      </x:c>
      <x:c r="S19" s="346" t="str">
        <x:f>IF('Project Origin &amp; Longevity'!$S$9="","U/K",'Project Origin &amp; Longevity'!$S$9)</x:f>
        <x:v>Original</x:v>
      </x:c>
      <x:c r="T19" s="346" t="str">
        <x:f>IF('Project Origin &amp; Longevity'!$T$9="","U/K",'Project Origin &amp; Longevity'!$T$9)</x:f>
        <x:v>Original</x:v>
      </x:c>
      <x:c r="U19" s="346" t="str">
        <x:f>IF('Project Origin &amp; Longevity'!$U$9="","U/K",'Project Origin &amp; Longevity'!$U$9)</x:f>
        <x:v>Original</x:v>
      </x:c>
      <x:c r="V19" s="346" t="str">
        <x:f>IF('Project Origin &amp; Longevity'!$V$9="","U/K",'Project Origin &amp; Longevity'!$V$9)</x:f>
        <x:v>Fork/rework of Spacebar-compatible stack</x:v>
      </x:c>
      <x:c r="W19" s="346" t="str">
        <x:f>IF('Project Origin &amp; Longevity'!$W$9="","U/K",'Project Origin &amp; Longevity'!$W$9)</x:f>
        <x:v>Original</x:v>
      </x:c>
      <x:c r="X19" s="346" t="str">
        <x:f>IF('Project Origin &amp; Longevity'!$X$9="","U/K",'Project Origin &amp; Longevity'!$X$9)</x:f>
        <x:v>Original</x:v>
      </x:c>
      <x:c r="Y19" s="346" t="str">
        <x:f>IF('Project Origin &amp; Longevity'!$Y$9="","U/K",'Project Origin &amp; Longevity'!$Y$9)</x:f>
        <x:v>Original</x:v>
      </x:c>
      <x:c r="Z19" s="346" t="str">
        <x:f>IF('Project Origin &amp; Longevity'!$Z$9="","U/K",'Project Origin &amp; Longevity'!$Z$9)</x:f>
        <x:v>Original</x:v>
      </x:c>
      <x:c r="AA19" s="380" t="str">
        <x:f>IF('Project Origin &amp; Longevity'!$AA$9="","U/K",'Project Origin &amp; Longevity'!$AA$9)</x:f>
        <x:v>Original</x:v>
      </x:c>
      <x:c r="AB19" s="346" t="str">
        <x:f>IF('Project Origin &amp; Longevity'!$AB$9="","U/K",'Project Origin &amp; Longevity'!$AB$9)</x:f>
        <x:v>Original</x:v>
      </x:c>
      <x:c r="AC19" s="346" t="str">
        <x:f>IF('Project Origin &amp; Longevity'!$AC$9="","U/K",'Project Origin &amp; Longevity'!$AC$9)</x:f>
        <x:v>Original</x:v>
      </x:c>
      <x:c r="AD19" s="346" t="str">
        <x:f>IF('Project Origin &amp; Longevity'!$AD$9="","U/K",'Project Origin &amp; Longevity'!$AD$9)</x:f>
        <x:v>Original</x:v>
      </x:c>
      <x:c r="AE19" s="346" t="str">
        <x:f>IF('Project Origin &amp; Longevity'!$AE$9="","U/K",'Project Origin &amp; Longevity'!$AE$9)</x:f>
        <x:v>Original</x:v>
      </x:c>
    </x:row>
    <x:row r="20" ht="36" customHeight="1">
      <x:c r="A20" s="359" t="str">
        <x:v>Former Name / Predecessor</x:v>
      </x:c>
      <x:c r="B20" s="346" t="str">
        <x:v>N/A / none known</x:v>
      </x:c>
      <x:c r="C20" s="346" t="str">
        <x:v>Revolt</x:v>
      </x:c>
      <x:c r="D20" s="346" t="str">
        <x:v>N/A / none known</x:v>
      </x:c>
      <x:c r="E20" s="346" t="str">
        <x:v>N/A / none known</x:v>
      </x:c>
      <x:c r="F20" s="346" t="str">
        <x:v>N/A / none known</x:v>
      </x:c>
      <x:c r="G20" s="346" t="str">
        <x:v>N/A / none known</x:v>
      </x:c>
      <x:c r="H20" s="346" t="str">
        <x:v>Fosscord</x:v>
      </x:c>
      <x:c r="I20" s="346" t="str">
        <x:v>N/A / none known</x:v>
      </x:c>
      <x:c r="J20" s="346" t="str">
        <x:v>N/A / none known</x:v>
      </x:c>
      <x:c r="K20" s="346" t="str">
        <x:v>N/A / none known</x:v>
      </x:c>
      <x:c r="L20" s="346" t="str">
        <x:v>N/A / none known</x:v>
      </x:c>
      <x:c r="M20" s="346" t="str">
        <x:v>N/A / none known</x:v>
      </x:c>
      <x:c r="N20" s="346" t="str">
        <x:v>N/A / none known</x:v>
      </x:c>
      <x:c r="O20" s="346" t="str">
        <x:v>N/A / none known</x:v>
      </x:c>
      <x:c r="P20" s="346" t="str">
        <x:v>N/A / none known</x:v>
      </x:c>
      <x:c r="Q20" s="346" t="str">
        <x:v>N/A / none known</x:v>
      </x:c>
      <x:c r="R20" s="346" t="str">
        <x:v>N/A / none known</x:v>
      </x:c>
      <x:c r="S20" s="346" t="str">
        <x:v>N/A / none known</x:v>
      </x:c>
      <x:c r="T20" s="346" t="str">
        <x:v>N/A / none known</x:v>
      </x:c>
      <x:c r="U20" s="346" t="str">
        <x:v>N/A / none known</x:v>
      </x:c>
      <x:c r="V20" s="346" t="str">
        <x:v>Harmony platform; Fermi client</x:v>
      </x:c>
      <x:c r="W20" s="346" t="str">
        <x:v>N/A / none known</x:v>
      </x:c>
      <x:c r="X20" s="346" t="str">
        <x:v>N/A / none known</x:v>
      </x:c>
      <x:c r="Y20" s="346" t="str">
        <x:v>N/A / none known</x:v>
      </x:c>
      <x:c r="Z20" s="346" t="str">
        <x:v>N/A / none known</x:v>
      </x:c>
      <x:c r="AA20" s="380" t="str">
        <x:v>N/A / none known</x:v>
      </x:c>
      <x:c r="AB20" s="346" t="str">
        <x:v>N/A / none known</x:v>
      </x:c>
      <x:c r="AC20" s="346" t="str">
        <x:v>N/A / none known</x:v>
      </x:c>
      <x:c r="AD20" s="346" t="str">
        <x:v>N/A / none known</x:v>
      </x:c>
      <x:c r="AE20" s="346" t="str">
        <x:v>N/A / none known</x:v>
      </x:c>
    </x:row>
    <x:row r="21" ht="36" customHeight="1">
      <x:c r="A21" s="359" t="str">
        <x:v>Governance Model</x:v>
      </x:c>
      <x:c r="B21" s="346" t="str">
        <x:v>U/K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23" customHeight="1">
      <x:c r="A22" s="427" t="str">
        <x:v>Maintenance Signals</x:v>
      </x:c>
      <x:c r="B22" s="427"/>
      <x:c r="C22" s="427"/>
      <x:c r="D22" s="427"/>
      <x:c r="E22" s="427"/>
      <x:c r="F22" s="427"/>
      <x:c r="G22" s="427"/>
      <x:c r="H22" s="427"/>
      <x:c r="I22" s="427"/>
      <x:c r="J22" s="427"/>
      <x:c r="K22" s="427"/>
      <x:c r="L22" s="427"/>
      <x:c r="M22" s="427"/>
      <x:c r="N22" s="427"/>
      <x:c r="O22" s="427"/>
      <x:c r="P22" s="427"/>
      <x:c r="Q22" s="427"/>
      <x:c r="R22" s="427"/>
      <x:c r="S22" s="427"/>
      <x:c r="T22" s="427"/>
      <x:c r="U22" s="427"/>
      <x:c r="V22" s="427"/>
      <x:c r="W22" s="427"/>
      <x:c r="X22" s="427"/>
      <x:c r="Y22" s="427"/>
      <x:c r="Z22" s="427"/>
      <x:c r="AA22" s="427"/>
      <x:c r="AB22" s="427"/>
      <x:c r="AC22" s="427"/>
      <x:c r="AD22" s="427"/>
      <x:c r="AE22" s="427"/>
    </x:row>
    <x:row r="23" ht="36" customHeight="1">
      <x:c r="A23" s="359" t="str">
        <x:v>Release Cadence</x:v>
      </x:c>
      <x:c r="B23" s="346" t="str">
        <x:f>IF('Maitenence &amp; Updates'!$B$3="","U/K",'Maitenence &amp; Updates'!$B$3)</x:f>
        <x:v>Stable + PTB/Beta + Canary</x:v>
      </x:c>
      <x:c r="C23" s="346" t="str">
        <x:f>IF('Maitenence &amp; Updates'!$C$3="","U/K",'Maitenence &amp; Updates'!$C$3)</x:f>
        <x:v>Rolling web/backend releases</x:v>
      </x:c>
      <x:c r="D23" s="346" t="str">
        <x:f>IF('Maitenence &amp; Updates'!$D$3="","U/K",'Maitenence &amp; Updates'!$D$3)</x:f>
        <x:v>Alpha continuous deployment</x:v>
      </x:c>
      <x:c r="E23" s="346" t="str">
        <x:f>IF('Maitenence &amp; Updates'!$E$3="","U/K",'Maitenence &amp; Updates'!$E$3)</x:f>
        <x:v>Stable/canary + beta mobile</x:v>
      </x:c>
      <x:c r="F23" s="346" t="str">
        <x:f>IF('Maitenence &amp; Updates'!$F$3="","U/K",'Maitenence &amp; Updates'!$F$3)</x:f>
        <x:v>Frequent product updates</x:v>
      </x:c>
      <x:c r="G23" s="346" t="str">
        <x:f>IF('Maitenence &amp; Updates'!$G$3="","U/K",'Maitenence &amp; Updates'!$G$3)</x:f>
        <x:v>Matrix spec releases + independent client/server release cadences</x:v>
      </x:c>
      <x:c r="H23" s="346" t="str">
        <x:f>IF('Maitenence &amp; Updates'!$H$3="","U/K",'Maitenence &amp; Updates'!$H$3)</x:f>
        <x:v>Rolling alpha/dev</x:v>
      </x:c>
      <x:c r="I23" s="346" t="str">
        <x:f>IF('Maitenence &amp; Updates'!$I$3="","U/K",'Maitenence &amp; Updates'!$I$3)</x:f>
        <x:v>Stable releases</x:v>
      </x:c>
      <x:c r="J23" s="346" t="str">
        <x:f>IF('Maitenence &amp; Updates'!$J$3="","U/K",'Maitenence &amp; Updates'!$J$3)</x:f>
        <x:v>TS6 Beta + TS3 stable maintenance</x:v>
      </x:c>
      <x:c r="K23" s="346" t="str">
        <x:f>IF('Maitenence &amp; Updates'!$K$3="","U/K",'Maitenence &amp; Updates'!$K$3)</x:f>
        <x:v>Frequent stable releases</x:v>
      </x:c>
      <x:c r="L23" s="346" t="str">
        <x:f>IF('Maitenence &amp; Updates'!$L$3="","U/K",'Maitenence &amp; Updates'!$L$3)</x:f>
        <x:v>Monthly releases + ESR</x:v>
      </x:c>
      <x:c r="M23" s="346" t="str">
        <x:f>IF('Maitenence &amp; Updates'!$M$3="","U/K",'Maitenence &amp; Updates'!$M$3)</x:f>
        <x:v>Frequent stable/enterprise releases</x:v>
      </x:c>
      <x:c r="N23" s="346" t="str">
        <x:f>IF('Maitenence &amp; Updates'!$N$3="","U/K",'Maitenence &amp; Updates'!$N$3)</x:f>
        <x:v>Open beta rolling releases</x:v>
      </x:c>
      <x:c r="O23" s="346" t="str">
        <x:f>IF('Maitenence &amp; Updates'!$O$3="","U/K",'Maitenence &amp; Updates'!$O$3)</x:f>
        <x:v>Frequent GitHub releases</x:v>
      </x:c>
      <x:c r="P23" s="346" t="str">
        <x:f>IF('Maitenence &amp; Updates'!$P$3="","U/K",'Maitenence &amp; Updates'!$P$3)</x:f>
        <x:v>Frequent beta updates</x:v>
      </x:c>
      <x:c r="Q23" s="346" t="str">
        <x:f>IF('Maitenence &amp; Updates'!$Q$3="","U/K",'Maitenence &amp; Updates'!$Q$3)</x:f>
        <x:v>Open-beta rolling</x:v>
      </x:c>
      <x:c r="R23" s="346" t="str">
        <x:f>IF('Maitenence &amp; Updates'!$R$3="","U/K",'Maitenence &amp; Updates'!$R$3)</x:f>
        <x:v>Alpha rolling</x:v>
      </x:c>
      <x:c r="S23" s="346" t="str">
        <x:f>IF('Maitenence &amp; Updates'!$S$3="","U/K",'Maitenence &amp; Updates'!$S$3)</x:f>
        <x:v>Active releases</x:v>
      </x:c>
      <x:c r="T23" s="346" t="str">
        <x:f>IF('Maitenence &amp; Updates'!$T$3="","U/K",'Maitenence &amp; Updates'!$T$3)</x:f>
        <x:v>Alpha rolling</x:v>
      </x:c>
      <x:c r="U23" s="346" t="str">
        <x:f>IF('Maitenence &amp; Updates'!$U$3="","U/K",'Maitenence &amp; Updates'!$U$3)</x:f>
        <x:v>Active beta</x:v>
      </x:c>
      <x:c r="V23" s="346" t="str">
        <x:f>IF('Maitenence &amp; Updates'!$V$3="","U/K",'Maitenence &amp; Updates'!$V$3)</x:f>
        <x:v>Early rolling</x:v>
      </x:c>
      <x:c r="W23" s="346" t="str">
        <x:f>IF('Maitenence &amp; Updates'!$W$3="","U/K",'Maitenence &amp; Updates'!$W$3)</x:f>
        <x:v>Experimental rolling</x:v>
      </x:c>
      <x:c r="X23" s="346" t="str">
        <x:f>IF('Maitenence &amp; Updates'!$X$3="","U/K",'Maitenence &amp; Updates'!$X$3)</x:f>
        <x:v>Beta rolling</x:v>
      </x:c>
      <x:c r="Y23" s="346" t="str">
        <x:f>IF('Maitenence &amp; Updates'!$Y$3="","U/K",'Maitenence &amp; Updates'!$Y$3)</x:f>
        <x:v>Rapid alpha/beta releases</x:v>
      </x:c>
      <x:c r="Z23" s="346" t="str">
        <x:f>IF('Maitenence &amp; Updates'!$Z$3="","U/K",'Maitenence &amp; Updates'!$Z$3)</x:f>
        <x:v>Frequent beta releases</x:v>
      </x:c>
      <x:c r="AA23" s="380" t="str">
        <x:f>IF('Maitenence &amp; Updates'!$AA$3="","U/K",'Maitenence &amp; Updates'!$AA$3)</x:f>
        <x:v>Active 2026 releases</x:v>
      </x:c>
      <x:c r="AB23" s="346" t="str">
        <x:f>IF('Maitenence &amp; Updates'!$AB$3="","U/K",'Maitenence &amp; Updates'!$AB$3)</x:f>
        <x:v>Beta rolling</x:v>
      </x:c>
      <x:c r="AC23" s="346" t="str">
        <x:f>IF('Maitenence &amp; Updates'!$AC$3="","U/K",'Maitenence &amp; Updates'!$AC$3)</x:f>
        <x:v>Frequent product updates</x:v>
      </x:c>
      <x:c r="AD23" s="346" t="str">
        <x:f>IF('Maitenence &amp; Updates'!$AD$3="","U/K",'Maitenence &amp; Updates'!$AD$3)</x:f>
        <x:v>Alpha rolling</x:v>
      </x:c>
      <x:c r="AE23" s="346" t="str">
        <x:f>IF('Maitenence &amp; Updates'!$AE$3="","U/K",'Maitenence &amp; Updates'!$AE$3)</x:f>
        <x:v>Ships frequently/public beta</x:v>
      </x:c>
    </x:row>
    <x:row r="24" ht="36" customHeight="1">
      <x:c r="A24" s="359" t="str">
        <x:v>Public Commit Activity</x:v>
      </x:c>
      <x:c r="B24" s="346" t="str">
        <x:f>IF('Maitenence &amp; Updates'!$B$4="","U/K",'Maitenence &amp; Updates'!$B$4)</x:f>
        <x:v>N/A for core proprietary code; selected open-source components/SDKs have public activity</x:v>
      </x:c>
      <x:c r="C24" s="346" t="str">
        <x:f>IF('Maitenence &amp; Updates'!$C$4="","U/K",'Maitenence &amp; Updates'!$C$4)</x:f>
        <x:v>High - active GitHub development in 2026</x:v>
      </x:c>
      <x:c r="D24" s="346" t="str">
        <x:f>IF('Maitenence &amp; Updates'!$D$4="","U/K",'Maitenence &amp; Updates'!$D$4)</x:f>
        <x:v>Private codebase; public commit velocity unavailable</x:v>
      </x:c>
      <x:c r="E24" s="346" t="str">
        <x:f>IF('Maitenence &amp; Updates'!$E$4="","U/K",'Maitenence &amp; Updates'!$E$4)</x:f>
        <x:v>High public GitHub activity</x:v>
      </x:c>
      <x:c r="F24" s="346" t="str">
        <x:f>IF('Maitenence &amp; Updates'!$F$4="","U/K",'Maitenence &amp; Updates'!$F$4)</x:f>
        <x:v>Closed source - commit velocity not public</x:v>
      </x:c>
      <x:c r="G24" s="346" t="str">
        <x:f>IF('Maitenence &amp; Updates'!$G$4="","U/K",'Maitenence &amp; Updates'!$G$4)</x:f>
        <x:v>High across spec and ecosystem repos</x:v>
      </x:c>
      <x:c r="H24" s="346" t="str">
        <x:f>IF('Maitenence &amp; Updates'!$H$4="","U/K",'Maitenence &amp; Updates'!$H$4)</x:f>
        <x:v>Active GitHub development</x:v>
      </x:c>
      <x:c r="I24" s="346" t="str">
        <x:f>IF('Maitenence &amp; Updates'!$I$4="","U/K",'Maitenence &amp; Updates'!$I$4)</x:f>
        <x:v>Active public GitHub</x:v>
      </x:c>
      <x:c r="J24" s="346" t="str">
        <x:f>IF('Maitenence &amp; Updates'!$J$4="","U/K",'Maitenence &amp; Updates'!$J$4)</x:f>
        <x:v>Closed source; public commit velocity N/A</x:v>
      </x:c>
      <x:c r="K24" s="346" t="str">
        <x:f>IF('Maitenence &amp; Updates'!$K$4="","U/K",'Maitenence &amp; Updates'!$K$4)</x:f>
        <x:v>High public GitHub activity</x:v>
      </x:c>
      <x:c r="L24" s="346" t="str">
        <x:f>IF('Maitenence &amp; Updates'!$L$4="","U/K",'Maitenence &amp; Updates'!$L$4)</x:f>
        <x:v>High public GitHub activity</x:v>
      </x:c>
      <x:c r="M24" s="346" t="str">
        <x:f>IF('Maitenence &amp; Updates'!$M$4="","U/K",'Maitenence &amp; Updates'!$M$4)</x:f>
        <x:v>High public GitHub activity</x:v>
      </x:c>
      <x:c r="N24" s="346" t="str">
        <x:f>IF('Maitenence &amp; Updates'!$N$4="","U/K",'Maitenence &amp; Updates'!$N$4)</x:f>
        <x:v>Active 2026 development</x:v>
      </x:c>
      <x:c r="O24" s="346" t="str">
        <x:f>IF('Maitenence &amp; Updates'!$O$4="","U/K",'Maitenence &amp; Updates'!$O$4)</x:f>
        <x:v>Active GitHub</x:v>
      </x:c>
      <x:c r="P24" s="346" t="str">
        <x:f>IF('Maitenence &amp; Updates'!$P$4="","U/K",'Maitenence &amp; Updates'!$P$4)</x:f>
        <x:v>Active development</x:v>
      </x:c>
      <x:c r="Q24" s="346" t="str">
        <x:f>IF('Maitenence &amp; Updates'!$Q$4="","U/K",'Maitenence &amp; Updates'!$Q$4)</x:f>
        <x:v>Active</x:v>
      </x:c>
      <x:c r="R24" s="346" t="str">
        <x:f>IF('Maitenence &amp; Updates'!$R$4="","U/K",'Maitenence &amp; Updates'!$R$4)</x:f>
        <x:v>Active GitHub backend</x:v>
      </x:c>
      <x:c r="S24" s="346" t="str">
        <x:f>IF('Maitenence &amp; Updates'!$S$4="","U/K",'Maitenence &amp; Updates'!$S$4)</x:f>
        <x:v>Active GitHub</x:v>
      </x:c>
      <x:c r="T24" s="346" t="str">
        <x:f>IF('Maitenence &amp; Updates'!$T$4="","U/K",'Maitenence &amp; Updates'!$T$4)</x:f>
        <x:v>Active</x:v>
      </x:c>
      <x:c r="U24" s="346" t="str">
        <x:f>IF('Maitenence &amp; Updates'!$U$4="","U/K",'Maitenence &amp; Updates'!$U$4)</x:f>
        <x:v>Active</x:v>
      </x:c>
      <x:c r="V24" s="346" t="str">
        <x:f>IF('Maitenence &amp; Updates'!$V$4="","U/K",'Maitenence &amp; Updates'!$V$4)</x:f>
        <x:v>Active Codeberg/GitHub</x:v>
      </x:c>
      <x:c r="W24" s="346" t="str">
        <x:f>IF('Maitenence &amp; Updates'!$W$4="","U/K",'Maitenence &amp; Updates'!$W$4)</x:f>
        <x:v>Active GitHub</x:v>
      </x:c>
      <x:c r="X24" s="346" t="str">
        <x:f>IF('Maitenence &amp; Updates'!$X$4="","U/K",'Maitenence &amp; Updates'!$X$4)</x:f>
        <x:v>Active GitHub</x:v>
      </x:c>
      <x:c r="Y24" s="346" t="str">
        <x:f>IF('Maitenence &amp; Updates'!$Y$4="","U/K",'Maitenence &amp; Updates'!$Y$4)</x:f>
        <x:v>High solo commit velocity</x:v>
      </x:c>
      <x:c r="Z24" s="346" t="str">
        <x:f>IF('Maitenence &amp; Updates'!$Z$4="","U/K",'Maitenence &amp; Updates'!$Z$4)</x:f>
        <x:v>High public GitHub activity</x:v>
      </x:c>
      <x:c r="AA24" s="380" t="str">
        <x:f>IF('Maitenence &amp; Updates'!$AA$4="","U/K",'Maitenence &amp; Updates'!$AA$4)</x:f>
        <x:v>Closed source</x:v>
      </x:c>
      <x:c r="AB24" s="346" t="str">
        <x:f>IF('Maitenence &amp; Updates'!$AB$4="","U/K",'Maitenence &amp; Updates'!$AB$4)</x:f>
        <x:v>Active GitHub</x:v>
      </x:c>
      <x:c r="AC24" s="346" t="str">
        <x:f>IF('Maitenence &amp; Updates'!$AC$4="","U/K",'Maitenence &amp; Updates'!$AC$4)</x:f>
        <x:v>Closed/private code</x:v>
      </x:c>
      <x:c r="AD24" s="346" t="str">
        <x:f>IF('Maitenence &amp; Updates'!$AD$4="","U/K",'Maitenence &amp; Updates'!$AD$4)</x:f>
        <x:v>Active GitHub</x:v>
      </x:c>
      <x:c r="AE24" s="346" t="str">
        <x:f>IF('Maitenence &amp; Updates'!$AE$4="","U/K",'Maitenence &amp; Updates'!$AE$4)</x:f>
        <x:v>Source-available active repo</x:v>
      </x:c>
    </x:row>
    <x:row r="25" ht="36" customHeight="1">
      <x:c r="A25" s="359" t="str">
        <x:v>Public Roadmap?</x:v>
      </x:c>
      <x:c r="B25" s="346" t="str">
        <x:f>IF('Maitenence &amp; Updates'!$B$6="","U/K",'Maitenence &amp; Updates'!$B$6)</x:f>
        <x:v>Limited - no comprehensive public product roadmap; blogs/changelogs announce plans and releases</x:v>
      </x:c>
      <x:c r="C25" s="346" t="str">
        <x:f>IF('Maitenence &amp; Updates'!$C$6="","U/K",'Maitenence &amp; Updates'!$C$6)</x:f>
        <x:v>Public GitHub issues/projects + update posts</x:v>
      </x:c>
      <x:c r="D25" s="346" t="str">
        <x:f>IF('Maitenence &amp; Updates'!$D$6="","U/K",'Maitenence &amp; Updates'!$D$6)</x:f>
        <x:v>Public roadmap/story posts</x:v>
      </x:c>
      <x:c r="E25" s="346" t="str">
        <x:f>IF('Maitenence &amp; Updates'!$E$6="","U/K",'Maitenence &amp; Updates'!$E$6)</x:f>
        <x:v>Public 2026 roadmap</x:v>
      </x:c>
      <x:c r="F25" s="346" t="str">
        <x:f>IF('Maitenence &amp; Updates'!$F$6="","U/K",'Maitenence &amp; Updates'!$F$6)</x:f>
        <x:v>Public help/docs + product updates; full roadmap U/K</x:v>
      </x:c>
      <x:c r="G25" s="346" t="str">
        <x:f>IF('Maitenence &amp; Updates'!$G$6="","U/K",'Maitenence &amp; Updates'!$G$6)</x:f>
        <x:v>Public spec roadmap/MSC process</x:v>
      </x:c>
      <x:c r="H25" s="346" t="str">
        <x:f>IF('Maitenence &amp; Updates'!$H$6="","U/K",'Maitenence &amp; Updates'!$H$6)</x:f>
        <x:v>Public GitHub roadmap/issues</x:v>
      </x:c>
      <x:c r="I25" s="346" t="str">
        <x:f>IF('Maitenence &amp; Updates'!$I$6="","U/K",'Maitenence &amp; Updates'!$I$6)</x:f>
        <x:v>Public GitHub milestones/issues</x:v>
      </x:c>
      <x:c r="J25" s="346" t="str">
        <x:f>IF('Maitenence &amp; Updates'!$J$6="","U/K",'Maitenence &amp; Updates'!$J$6)</x:f>
        <x:v>Product roadmap/announcements</x:v>
      </x:c>
      <x:c r="K25" s="346" t="str">
        <x:f>IF('Maitenence &amp; Updates'!$K$6="","U/K",'Maitenence &amp; Updates'!$K$6)</x:f>
        <x:v>Public roadmap/issues</x:v>
      </x:c>
      <x:c r="L25" s="346" t="str">
        <x:f>IF('Maitenence &amp; Updates'!$L$6="","U/K",'Maitenence &amp; Updates'!$L$6)</x:f>
        <x:v>Public product roadmap/release docs</x:v>
      </x:c>
      <x:c r="M25" s="346" t="str">
        <x:f>IF('Maitenence &amp; Updates'!$M$6="","U/K",'Maitenence &amp; Updates'!$M$6)</x:f>
        <x:v>Public roadmap/release docs</x:v>
      </x:c>
      <x:c r="N25" s="346" t="str">
        <x:f>IF('Maitenence &amp; Updates'!$N$6="","U/K",'Maitenence &amp; Updates'!$N$6)</x:f>
        <x:v>Public site/press</x:v>
      </x:c>
      <x:c r="O25" s="346" t="str">
        <x:f>IF('Maitenence &amp; Updates'!$O$6="","U/K",'Maitenence &amp; Updates'!$O$6)</x:f>
        <x:v>Public GitHub</x:v>
      </x:c>
      <x:c r="P25" s="346" t="str">
        <x:f>IF('Maitenence &amp; Updates'!$P$6="","U/K",'Maitenence &amp; Updates'!$P$6)</x:f>
        <x:v>Public updates</x:v>
      </x:c>
      <x:c r="Q25" s="346" t="str">
        <x:f>IF('Maitenence &amp; Updates'!$Q$6="","U/K",'Maitenence &amp; Updates'!$Q$6)</x:f>
        <x:v>Public feature tracker</x:v>
      </x:c>
      <x:c r="R25" s="346" t="str">
        <x:f>IF('Maitenence &amp; Updates'!$R$6="","U/K",'Maitenence &amp; Updates'!$R$6)</x:f>
        <x:v>Public subreddit/GitHub</x:v>
      </x:c>
      <x:c r="S25" s="346" t="str">
        <x:f>IF('Maitenence &amp; Updates'!$S$6="","U/K",'Maitenence &amp; Updates'!$S$6)</x:f>
        <x:v>Public docs/blog</x:v>
      </x:c>
      <x:c r="T25" s="346" t="str">
        <x:f>IF('Maitenence &amp; Updates'!$T$6="","U/K",'Maitenence &amp; Updates'!$T$6)</x:f>
        <x:v>Public site</x:v>
      </x:c>
      <x:c r="U25" s="346" t="str">
        <x:f>IF('Maitenence &amp; Updates'!$U$6="","U/K",'Maitenence &amp; Updates'!$U$6)</x:f>
        <x:v>Public roadmap</x:v>
      </x:c>
      <x:c r="V25" s="346" t="str">
        <x:f>IF('Maitenence &amp; Updates'!$V$6="","U/K",'Maitenence &amp; Updates'!$V$6)</x:f>
        <x:v>Public roadmap</x:v>
      </x:c>
      <x:c r="W25" s="346" t="str">
        <x:f>IF('Maitenence &amp; Updates'!$W$6="","U/K",'Maitenence &amp; Updates'!$W$6)</x:f>
        <x:v>Public GitHub</x:v>
      </x:c>
      <x:c r="X25" s="346" t="str">
        <x:f>IF('Maitenence &amp; Updates'!$X$6="","U/K",'Maitenence &amp; Updates'!$X$6)</x:f>
        <x:v>Public repos</x:v>
      </x:c>
      <x:c r="Y25" s="346" t="str">
        <x:f>IF('Maitenence &amp; Updates'!$Y$6="","U/K",'Maitenence &amp; Updates'!$Y$6)</x:f>
        <x:v>Public roadmap/issues</x:v>
      </x:c>
      <x:c r="Z25" s="346" t="str">
        <x:f>IF('Maitenence &amp; Updates'!$Z$6="","U/K",'Maitenence &amp; Updates'!$Z$6)</x:f>
        <x:v>Public docs/GitHub</x:v>
      </x:c>
      <x:c r="AA25" s="380" t="str">
        <x:f>IF('Maitenence &amp; Updates'!$AA$6="","U/K",'Maitenence &amp; Updates'!$AA$6)</x:f>
        <x:v>Public site/updates</x:v>
      </x:c>
      <x:c r="AB25" s="346" t="str">
        <x:f>IF('Maitenence &amp; Updates'!$AB$6="","U/K",'Maitenence &amp; Updates'!$AB$6)</x:f>
        <x:v>Public site/GitHub</x:v>
      </x:c>
      <x:c r="AC25" s="346" t="str">
        <x:f>IF('Maitenence &amp; Updates'!$AC$6="","U/K",'Maitenence &amp; Updates'!$AC$6)</x:f>
        <x:v>Public site</x:v>
      </x:c>
      <x:c r="AD25" s="346" t="str">
        <x:f>IF('Maitenence &amp; Updates'!$AD$6="","U/K",'Maitenence &amp; Updates'!$AD$6)</x:f>
        <x:v>Public roadmap/issues</x:v>
      </x:c>
      <x:c r="AE25" s="346" t="str">
        <x:f>IF('Maitenence &amp; Updates'!$AE$6="","U/K",'Maitenence &amp; Updates'!$AE$6)</x:f>
        <x:v>Public site</x:v>
      </x:c>
    </x:row>
    <x:row r="26" ht="36" customHeight="1">
      <x:c r="A26" s="359" t="str">
        <x:v>Public Issue Tracker?</x:v>
      </x:c>
      <x:c r="B26" s="346" t="str">
        <x:f>IF('Maitenence &amp; Updates'!$B$7="","U/K",'Maitenence &amp; Updates'!$B$7)</x:f>
        <x:v>N/A for core product - no public core GitHub issue tracker; support/feedback channels are used</x:v>
      </x:c>
      <x:c r="C26" s="346" t="str">
        <x:f>IF('Maitenence &amp; Updates'!$C$7="","U/K",'Maitenence &amp; Updates'!$C$7)</x:f>
        <x:v>Public issue trackers</x:v>
      </x:c>
      <x:c r="D26" s="346" t="str">
        <x:f>IF('Maitenence &amp; Updates'!$D$7="","U/K",'Maitenence &amp; Updates'!$D$7)</x:f>
        <x:v>Feedback via community/support; public issue tracker U/K</x:v>
      </x:c>
      <x:c r="E26" s="346" t="str">
        <x:f>IF('Maitenence &amp; Updates'!$E$7="","U/K",'Maitenence &amp; Updates'!$E$7)</x:f>
        <x:v>Public GitHub issues</x:v>
      </x:c>
      <x:c r="F26" s="346" t="str">
        <x:f>IF('Maitenence &amp; Updates'!$F$7="","U/K",'Maitenence &amp; Updates'!$F$7)</x:f>
        <x:v>Private issue process/support</x:v>
      </x:c>
      <x:c r="G26" s="346" t="str">
        <x:f>IF('Maitenence &amp; Updates'!$G$7="","U/K",'Maitenence &amp; Updates'!$G$7)</x:f>
        <x:v>Public GitHub issue/MSC processes</x:v>
      </x:c>
      <x:c r="H26" s="346" t="str">
        <x:f>IF('Maitenence &amp; Updates'!$H$7="","U/K",'Maitenence &amp; Updates'!$H$7)</x:f>
        <x:v>Public GitHub issues</x:v>
      </x:c>
      <x:c r="I26" s="346" t="str">
        <x:f>IF('Maitenence &amp; Updates'!$I$7="","U/K",'Maitenence &amp; Updates'!$I$7)</x:f>
        <x:v>Public issues</x:v>
      </x:c>
      <x:c r="J26" s="346" t="str">
        <x:f>IF('Maitenence &amp; Updates'!$J$7="","U/K",'Maitenence &amp; Updates'!$J$7)</x:f>
        <x:v>Support/feedback</x:v>
      </x:c>
      <x:c r="K26" s="346" t="str">
        <x:f>IF('Maitenence &amp; Updates'!$K$7="","U/K",'Maitenence &amp; Updates'!$K$7)</x:f>
        <x:v>Public GitHub issues</x:v>
      </x:c>
      <x:c r="L26" s="346" t="str">
        <x:f>IF('Maitenence &amp; Updates'!$L$7="","U/K",'Maitenence &amp; Updates'!$L$7)</x:f>
        <x:v>Public GitHub issues/support</x:v>
      </x:c>
      <x:c r="M26" s="346" t="str">
        <x:f>IF('Maitenence &amp; Updates'!$M$7="","U/K",'Maitenence &amp; Updates'!$M$7)</x:f>
        <x:v>Public GitHub issues</x:v>
      </x:c>
      <x:c r="N26" s="346" t="str">
        <x:f>IF('Maitenence &amp; Updates'!$N$7="","U/K",'Maitenence &amp; Updates'!$N$7)</x:f>
        <x:v>Support/community feedback</x:v>
      </x:c>
      <x:c r="O26" s="346" t="str">
        <x:f>IF('Maitenence &amp; Updates'!$O$7="","U/K",'Maitenence &amp; Updates'!$O$7)</x:f>
        <x:v>Public issues</x:v>
      </x:c>
      <x:c r="P26" s="346" t="str">
        <x:f>IF('Maitenence &amp; Updates'!$P$7="","U/K",'Maitenence &amp; Updates'!$P$7)</x:f>
        <x:v>Community support</x:v>
      </x:c>
      <x:c r="Q26" s="346" t="str">
        <x:f>IF('Maitenence &amp; Updates'!$Q$7="","U/K",'Maitenence &amp; Updates'!$Q$7)</x:f>
        <x:v>Community feedback</x:v>
      </x:c>
      <x:c r="R26" s="346" t="str">
        <x:f>IF('Maitenence &amp; Updates'!$R$7="","U/K",'Maitenence &amp; Updates'!$R$7)</x:f>
        <x:v>GitHub issues</x:v>
      </x:c>
      <x:c r="S26" s="346" t="str">
        <x:f>IF('Maitenence &amp; Updates'!$S$7="","U/K",'Maitenence &amp; Updates'!$S$7)</x:f>
        <x:v>GitHub issues</x:v>
      </x:c>
      <x:c r="T26" s="346" t="str">
        <x:f>IF('Maitenence &amp; Updates'!$T$7="","U/K",'Maitenence &amp; Updates'!$T$7)</x:f>
        <x:v>Support/community</x:v>
      </x:c>
      <x:c r="U26" s="346" t="str">
        <x:f>IF('Maitenence &amp; Updates'!$U$7="","U/K",'Maitenence &amp; Updates'!$U$7)</x:f>
        <x:v>Support</x:v>
      </x:c>
      <x:c r="V26" s="346" t="str">
        <x:f>IF('Maitenence &amp; Updates'!$V$7="","U/K",'Maitenence &amp; Updates'!$V$7)</x:f>
        <x:v>Public issues</x:v>
      </x:c>
      <x:c r="W26" s="346" t="str">
        <x:f>IF('Maitenence &amp; Updates'!$W$7="","U/K",'Maitenence &amp; Updates'!$W$7)</x:f>
        <x:v>Public issues</x:v>
      </x:c>
      <x:c r="X26" s="346" t="str">
        <x:f>IF('Maitenence &amp; Updates'!$X$7="","U/K",'Maitenence &amp; Updates'!$X$7)</x:f>
        <x:v>Public issues</x:v>
      </x:c>
      <x:c r="Y26" s="346" t="str">
        <x:f>IF('Maitenence &amp; Updates'!$Y$7="","U/K",'Maitenence &amp; Updates'!$Y$7)</x:f>
        <x:v>GitHub</x:v>
      </x:c>
      <x:c r="Z26" s="346" t="str">
        <x:f>IF('Maitenence &amp; Updates'!$Z$7="","U/K",'Maitenence &amp; Updates'!$Z$7)</x:f>
        <x:v>Public issues</x:v>
      </x:c>
      <x:c r="AA26" s="380" t="str">
        <x:f>IF('Maitenence &amp; Updates'!$AA$7="","U/K",'Maitenence &amp; Updates'!$AA$7)</x:f>
        <x:v>Support</x:v>
      </x:c>
      <x:c r="AB26" s="346" t="str">
        <x:f>IF('Maitenence &amp; Updates'!$AB$7="","U/K",'Maitenence &amp; Updates'!$AB$7)</x:f>
        <x:v>GitHub/support</x:v>
      </x:c>
      <x:c r="AC26" s="346" t="str">
        <x:f>IF('Maitenence &amp; Updates'!$AC$7="","U/K",'Maitenence &amp; Updates'!$AC$7)</x:f>
        <x:v>Feedback/support</x:v>
      </x:c>
      <x:c r="AD26" s="346" t="str">
        <x:f>IF('Maitenence &amp; Updates'!$AD$7="","U/K",'Maitenence &amp; Updates'!$AD$7)</x:f>
        <x:v>GitHub issues</x:v>
      </x:c>
      <x:c r="AE26" s="346" t="str">
        <x:f>IF('Maitenence &amp; Updates'!$AE$7="","U/K",'Maitenence &amp; Updates'!$AE$7)</x:f>
        <x:v>Support</x:v>
      </x:c>
    </x:row>
    <x:row r="27" ht="36" customHeight="1">
      <x:c r="A27" s="359" t="str">
        <x:v>Public Changelog?</x:v>
      </x:c>
      <x:c r="B27" s="346" t="str">
        <x:f>IF('Maitenence &amp; Updates'!$B$8="","U/K",'Maitenence &amp; Updates'!$B$8)</x:f>
        <x:v>Yes - public changelogs, patch notes, support updates, and developer changelog</x:v>
      </x:c>
      <x:c r="C27" s="346" t="str">
        <x:f>IF('Maitenence &amp; Updates'!$C$8="","U/K",'Maitenence &amp; Updates'!$C$8)</x:f>
        <x:v>Yes - GitHub changelogs/releases and Stoat updates</x:v>
      </x:c>
      <x:c r="D27" s="346" t="str">
        <x:f>IF('Maitenence &amp; Updates'!$D$8="","U/K",'Maitenence &amp; Updates'!$D$8)</x:f>
        <x:v>Public blog/roadmap; formal changelog U/K</x:v>
      </x:c>
      <x:c r="E27" s="346" t="str">
        <x:f>IF('Maitenence &amp; Updates'!$E$8="","U/K",'Maitenence &amp; Updates'!$E$8)</x:f>
        <x:v>Public blog/changelog</x:v>
      </x:c>
      <x:c r="F27" s="346" t="str">
        <x:f>IF('Maitenence &amp; Updates'!$F$8="","U/K",'Maitenence &amp; Updates'!$F$8)</x:f>
        <x:v>Public changelog/help docs</x:v>
      </x:c>
      <x:c r="G27" s="346" t="str">
        <x:f>IF('Maitenence &amp; Updates'!$G$8="","U/K",'Maitenence &amp; Updates'!$G$8)</x:f>
        <x:v>Public specification changelogs and project release notes</x:v>
      </x:c>
      <x:c r="H27" s="346" t="str">
        <x:f>IF('Maitenence &amp; Updates'!$H$8="","U/K",'Maitenence &amp; Updates'!$H$8)</x:f>
        <x:v>GitHub releases/commits</x:v>
      </x:c>
      <x:c r="I27" s="346" t="str">
        <x:f>IF('Maitenence &amp; Updates'!$I$8="","U/K",'Maitenence &amp; Updates'!$I$8)</x:f>
        <x:v>Public releases/changelog</x:v>
      </x:c>
      <x:c r="J27" s="346" t="str">
        <x:f>IF('Maitenence &amp; Updates'!$J$8="","U/K",'Maitenence &amp; Updates'!$J$8)</x:f>
        <x:v>Public news/release notes</x:v>
      </x:c>
      <x:c r="K27" s="346" t="str">
        <x:f>IF('Maitenence &amp; Updates'!$K$8="","U/K",'Maitenence &amp; Updates'!$K$8)</x:f>
        <x:v>Public release notes</x:v>
      </x:c>
      <x:c r="L27" s="346" t="str">
        <x:f>IF('Maitenence &amp; Updates'!$L$8="","U/K",'Maitenence &amp; Updates'!$L$8)</x:f>
        <x:v>Public release notes</x:v>
      </x:c>
      <x:c r="M27" s="346" t="str">
        <x:f>IF('Maitenence &amp; Updates'!$M$8="","U/K",'Maitenence &amp; Updates'!$M$8)</x:f>
        <x:v>Public release notes</x:v>
      </x:c>
      <x:c r="N27" s="346" t="str">
        <x:f>IF('Maitenence &amp; Updates'!$N$8="","U/K",'Maitenence &amp; Updates'!$N$8)</x:f>
        <x:v>Public updates/press</x:v>
      </x:c>
      <x:c r="O27" s="346" t="str">
        <x:f>IF('Maitenence &amp; Updates'!$O$8="","U/K",'Maitenence &amp; Updates'!$O$8)</x:f>
        <x:v>GitHub releases</x:v>
      </x:c>
      <x:c r="P27" s="346" t="str">
        <x:f>IF('Maitenence &amp; Updates'!$P$8="","U/K",'Maitenence &amp; Updates'!$P$8)</x:f>
        <x:v>Public changelog/blog</x:v>
      </x:c>
      <x:c r="Q27" s="346" t="str">
        <x:f>IF('Maitenence &amp; Updates'!$Q$8="","U/K",'Maitenence &amp; Updates'!$Q$8)</x:f>
        <x:v>Public site updates</x:v>
      </x:c>
      <x:c r="R27" s="346" t="str">
        <x:f>IF('Maitenence &amp; Updates'!$R$8="","U/K",'Maitenence &amp; Updates'!$R$8)</x:f>
        <x:v>Public updates</x:v>
      </x:c>
      <x:c r="S27" s="346" t="str">
        <x:f>IF('Maitenence &amp; Updates'!$S$8="","U/K",'Maitenence &amp; Updates'!$S$8)</x:f>
        <x:v>Public docs/blog</x:v>
      </x:c>
      <x:c r="T27" s="346" t="str">
        <x:f>IF('Maitenence &amp; Updates'!$T$8="","U/K",'Maitenence &amp; Updates'!$T$8)</x:f>
        <x:v>Public updates</x:v>
      </x:c>
      <x:c r="U27" s="346" t="str">
        <x:f>IF('Maitenence &amp; Updates'!$U$8="","U/K",'Maitenence &amp; Updates'!$U$8)</x:f>
        <x:v>Public roadmap/updates</x:v>
      </x:c>
      <x:c r="V27" s="346" t="str">
        <x:f>IF('Maitenence &amp; Updates'!$V$8="","U/K",'Maitenence &amp; Updates'!$V$8)</x:f>
        <x:v>Public commits</x:v>
      </x:c>
      <x:c r="W27" s="346" t="str">
        <x:f>IF('Maitenence &amp; Updates'!$W$8="","U/K",'Maitenence &amp; Updates'!$W$8)</x:f>
        <x:v>GitHub commits</x:v>
      </x:c>
      <x:c r="X27" s="346" t="str">
        <x:f>IF('Maitenence &amp; Updates'!$X$8="","U/K",'Maitenence &amp; Updates'!$X$8)</x:f>
        <x:v>Git history</x:v>
      </x:c>
      <x:c r="Y27" s="346" t="str">
        <x:f>IF('Maitenence &amp; Updates'!$Y$8="","U/K",'Maitenence &amp; Updates'!$Y$8)</x:f>
        <x:v>GitHub releases</x:v>
      </x:c>
      <x:c r="Z27" s="346" t="str">
        <x:f>IF('Maitenence &amp; Updates'!$Z$8="","U/K",'Maitenence &amp; Updates'!$Z$8)</x:f>
        <x:v>Many GitHub releases</x:v>
      </x:c>
      <x:c r="AA27" s="380" t="str">
        <x:f>IF('Maitenence &amp; Updates'!$AA$8="","U/K",'Maitenence &amp; Updates'!$AA$8)</x:f>
        <x:v>Public site updates</x:v>
      </x:c>
      <x:c r="AB27" s="346" t="str">
        <x:f>IF('Maitenence &amp; Updates'!$AB$8="","U/K",'Maitenence &amp; Updates'!$AB$8)</x:f>
        <x:v>Public updates</x:v>
      </x:c>
      <x:c r="AC27" s="346" t="str">
        <x:f>IF('Maitenence &amp; Updates'!$AC$8="","U/K",'Maitenence &amp; Updates'!$AC$8)</x:f>
        <x:v>App release notes</x:v>
      </x:c>
      <x:c r="AD27" s="346" t="str">
        <x:f>IF('Maitenence &amp; Updates'!$AD$8="","U/K",'Maitenence &amp; Updates'!$AD$8)</x:f>
        <x:v>GitHub releases</x:v>
      </x:c>
      <x:c r="AE27" s="346" t="str">
        <x:f>IF('Maitenence &amp; Updates'!$AE$8="","U/K",'Maitenence &amp; Updates'!$AE$8)</x:f>
        <x:v>Public site/repo</x:v>
      </x:c>
    </x:row>
    <x:row r="28" ht="36" customHeight="1">
      <x:c r="A28" s="359" t="str">
        <x:v>Security Advisories?</x:v>
      </x:c>
      <x:c r="B28" s="346" t="str">
        <x:v>Yes</x:v>
      </x:c>
      <x:c r="C28" s="346" t="str">
        <x:v>U/K</x:v>
      </x:c>
      <x:c r="D28" s="346" t="str">
        <x:v>U/K</x:v>
      </x:c>
      <x:c r="E28" s="346" t="str">
        <x:v>U/K</x:v>
      </x:c>
      <x:c r="F28" s="346" t="str">
        <x:v>U/K</x:v>
      </x:c>
      <x:c r="G28" s="346" t="str">
        <x:v>Yes</x:v>
      </x:c>
      <x:c r="H28" s="346" t="str">
        <x:v>U/K</x:v>
      </x:c>
      <x:c r="I28" s="346" t="str">
        <x:v>Yes</x:v>
      </x:c>
      <x:c r="J28" s="346" t="str">
        <x:v>U/K</x:v>
      </x:c>
      <x:c r="K28" s="346" t="str">
        <x:v>U/K</x:v>
      </x:c>
      <x:c r="L28" s="346" t="str">
        <x:v>Yes</x:v>
      </x:c>
      <x:c r="M28" s="346" t="str">
        <x:v>Yes</x:v>
      </x:c>
      <x:c r="N28" s="346" t="str">
        <x:v>U/K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U/K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23" customHeight="1">
      <x:c r="A29" s="427" t="str">
        <x:v>Source &amp; Notes</x:v>
      </x:c>
      <x:c r="B29" s="427"/>
      <x:c r="C29" s="427"/>
      <x:c r="D29" s="427"/>
      <x:c r="E29" s="427"/>
      <x:c r="F29" s="427"/>
      <x:c r="G29" s="427"/>
      <x:c r="H29" s="427"/>
      <x:c r="I29" s="427"/>
      <x:c r="J29" s="427"/>
      <x:c r="K29" s="427"/>
      <x:c r="L29" s="427"/>
      <x:c r="M29" s="427"/>
      <x:c r="N29" s="427"/>
      <x:c r="O29" s="427"/>
      <x:c r="P29" s="427"/>
      <x:c r="Q29" s="427"/>
      <x:c r="R29" s="427"/>
      <x:c r="S29" s="427"/>
      <x:c r="T29" s="427"/>
      <x:c r="U29" s="427"/>
      <x:c r="V29" s="427"/>
      <x:c r="W29" s="427"/>
      <x:c r="X29" s="427"/>
      <x:c r="Y29" s="427"/>
      <x:c r="Z29" s="427"/>
      <x:c r="AA29" s="427"/>
      <x:c r="AB29" s="427"/>
      <x:c r="AC29" s="427"/>
      <x:c r="AD29" s="427"/>
      <x:c r="AE29" s="427"/>
    </x:row>
    <x:row r="30" ht="36" customHeight="1">
      <x:c r="A30" s="360" t="str">
        <x:v>Project / Maintenance Notes</x:v>
      </x:c>
      <x:c r="B30" s="349" t="str">
        <x:v>11 years 4 months (as of 2026-09-15); Stable + PTB/Beta + Canary</x:v>
      </x:c>
      <x:c r="C30" s="349" t="str">
        <x:v>~5 years; Rolling web/backend releases</x:v>
      </x:c>
      <x:c r="D30" s="349" t="str">
        <x:v>10 months; Alpha continuous deployment</x:v>
      </x:c>
      <x:c r="E30" s="349" t="str">
        <x:v>~6 years; Stable/canary + beta mobile</x:v>
      </x:c>
      <x:c r="F30" s="349" t="str">
        <x:v>U/K; Frequent product updates</x:v>
      </x:c>
      <x:c r="G30" s="349" t="str">
        <x:v>~12 years; Matrix spec releases + independent client/server release cadences</x:v>
      </x:c>
      <x:c r="H30" s="349" t="str">
        <x:v>~5 years; Rolling alpha/dev</x:v>
      </x:c>
      <x:c r="I30" s="349" t="str">
        <x:v>~21 years; Stable releases</x:v>
      </x:c>
      <x:c r="J30" s="349" t="str">
        <x:v>~27 years project / ~25 years public; TS6 Beta + TS3 stable maintenance</x:v>
      </x:c>
      <x:c r="K30" s="349" t="str">
        <x:v>~14 years; Frequent stable releases</x:v>
      </x:c>
      <x:c r="L30" s="349" t="str">
        <x:v>~11 years; Monthly releases + ESR</x:v>
      </x:c>
      <x:c r="M30" s="349" t="str">
        <x:v>~11 years; Frequent stable/enterprise releases</x:v>
      </x:c>
      <x:c r="N30" s="349" t="str">
        <x:v>&lt;1 year; Open beta rolling releases</x:v>
      </x:c>
      <x:c r="O30" s="349" t="str">
        <x:v>U/K; Frequent GitHub releases</x:v>
      </x:c>
      <x:c r="P30" s="349" t="str">
        <x:v>~2 years; Frequent beta updates</x:v>
      </x:c>
      <x:c r="Q30" s="349" t="str">
        <x:v>&lt;1 year; Open-beta rolling</x:v>
      </x:c>
      <x:c r="R30" s="349" t="str">
        <x:v>&lt;1 year; Alpha rolling</x:v>
      </x:c>
      <x:c r="S30" s="349" t="str">
        <x:v>U/K; Active releases</x:v>
      </x:c>
      <x:c r="T30" s="349" t="str">
        <x:v>~1 year/U/K; Alpha rolling</x:v>
      </x:c>
      <x:c r="U30" s="349" t="str">
        <x:v>&lt;1 year; Active beta</x:v>
      </x:c>
      <x:c r="V30" s="349" t="str">
        <x:v>&lt;1 year; Early rolling</x:v>
      </x:c>
      <x:c r="W30" s="349" t="str">
        <x:v>U/K; Experimental rolling</x:v>
      </x:c>
      <x:c r="X30" s="349" t="str">
        <x:v>&lt;1 year; Beta rolling</x:v>
      </x:c>
      <x:c r="Y30" s="349" t="str">
        <x:v>&lt;1 year; Rapid alpha/beta releases</x:v>
      </x:c>
      <x:c r="Z30" s="349" t="str">
        <x:v>~3 years; Frequent beta releases</x:v>
      </x:c>
      <x:c r="AA30" s="381" t="str">
        <x:v>&lt;1 year; Active 2026 releases</x:v>
      </x:c>
      <x:c r="AB30" s="349" t="str">
        <x:v>&lt;1 year; Beta rolling</x:v>
      </x:c>
      <x:c r="AC30" s="349" t="str">
        <x:v>&lt;1 year; Frequent product updates</x:v>
      </x:c>
      <x:c r="AD30" s="349" t="str">
        <x:v>U/K; Alpha rolling</x:v>
      </x:c>
      <x:c r="AE30" s="349" t="str">
        <x:v>~1 year; Ships frequently/public beta</x:v>
      </x:c>
    </x:row>
    <x:row r="31" ht="23" customHeight="1">
      <x:c r="A31" s="389" t="str">
        <x:v>Engineering Health</x:v>
      </x:c>
      <x:c r="B31" s="389"/>
      <x:c r="C31" s="389"/>
      <x:c r="D31" s="389"/>
      <x:c r="E31" s="389"/>
      <x:c r="F31" s="389"/>
      <x:c r="G31" s="389"/>
      <x:c r="H31" s="389"/>
      <x:c r="I31" s="389"/>
      <x:c r="J31" s="389"/>
      <x:c r="K31" s="389"/>
      <x:c r="L31" s="389"/>
      <x:c r="M31" s="389"/>
      <x:c r="N31" s="389"/>
      <x:c r="O31" s="389"/>
      <x:c r="P31" s="389"/>
      <x:c r="Q31" s="389"/>
      <x:c r="R31" s="389"/>
      <x:c r="S31" s="389"/>
      <x:c r="T31" s="389"/>
      <x:c r="U31" s="389"/>
      <x:c r="V31" s="389"/>
      <x:c r="W31" s="389"/>
      <x:c r="X31" s="389"/>
      <x:c r="Y31" s="389"/>
      <x:c r="Z31" s="389"/>
      <x:c r="AA31" s="389"/>
      <x:c r="AB31" s="389"/>
      <x:c r="AC31" s="389"/>
      <x:c r="AD31" s="389"/>
      <x:c r="AE31" s="389"/>
    </x:row>
    <x:row r="32" ht="36" customHeight="1">
      <x:c r="A32" s="378" t="str">
        <x:v>Automated CI / Build Status Public?</x:v>
      </x:c>
      <x:c r="B32" s="346" t="str">
        <x:v>Closed source</x:v>
      </x:c>
      <x:c r="C32" s="346" t="str">
        <x:v>Public repos/CI U/K</x:v>
      </x:c>
      <x:c r="D32" s="346" t="str">
        <x:v>U/K</x:v>
      </x:c>
      <x:c r="E32" s="346" t="str">
        <x:v>U/K</x:v>
      </x:c>
      <x:c r="F32" s="346" t="str">
        <x:v>U/K</x:v>
      </x:c>
      <x:c r="G32" s="346" t="str">
        <x:v>Public repos/CI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U/K</x:v>
      </x:c>
      <x:c r="L32" s="346" t="str">
        <x:v>U/K</x:v>
      </x:c>
      <x:c r="M32" s="346" t="str">
        <x:v>U/K</x:v>
      </x:c>
      <x:c r="N32" s="346" t="str">
        <x:v>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U/K</x:v>
      </x:c>
      <x:c r="AB32" s="346" t="str">
        <x:v>U/K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78" t="str">
        <x:v>Automated Dependency Updates?</x:v>
      </x:c>
      <x:c r="B33" s="346" t="str">
        <x:v>U/K</x:v>
      </x:c>
      <x:c r="C33" s="346" t="str">
        <x:v>U/K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U/K</x:v>
      </x:c>
      <x:c r="H33" s="346" t="str">
        <x:v>U/K</x:v>
      </x:c>
      <x:c r="I33" s="346" t="str">
        <x:v>U/K</x:v>
      </x:c>
      <x:c r="J33" s="346" t="str">
        <x:v>U/K</x:v>
      </x:c>
      <x:c r="K33" s="346" t="str">
        <x:v>U/K</x:v>
      </x:c>
      <x:c r="L33" s="346" t="str">
        <x:v>Public repo/U/K</x:v>
      </x:c>
      <x:c r="M33" s="346" t="str">
        <x:v>Public repo/U/K</x:v>
      </x:c>
      <x:c r="N33" s="346" t="str">
        <x:v>U/K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U/K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  <x:row r="34" ht="36" customHeight="1">
      <x:c r="A34" s="378" t="str">
        <x:v>Release Artifact Signing / Provenance?</x:v>
      </x:c>
      <x:c r="B34" s="346" t="str">
        <x:v>U/K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U/K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U/K</x:v>
      </x:c>
      <x:c r="L34" s="346" t="str">
        <x:v>U/K</x:v>
      </x:c>
      <x:c r="M34" s="346" t="str">
        <x:v>U/K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U/K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Public Contributor Count / Bus Factor Signal</x:v>
      </x:c>
      <x:c r="B35" s="346" t="str">
        <x:v>Company development</x:v>
      </x:c>
      <x:c r="C35" s="346" t="str">
        <x:v>Open-source contributors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U/K</x:v>
      </x:c>
      <x:c r="M35" s="346" t="str">
        <x:v>U/K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Small team; exact contributor/bus factor U/K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Version Support / EOL Policy</x:v>
      </x:c>
      <x:c r="B36" s="346" t="str">
        <x:v>SaaS continuous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Yes - ESR/support lifecycle</x:v>
      </x:c>
      <x:c r="M36" s="346" t="str">
        <x:v>Yes - documented support window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Continuous beta/public updates/U/K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</x:sheetData>
  <x:mergeCells>
    <x:mergeCell ref="A1:AE1"/>
  </x:mergeCells>
  <x:conditionalFormatting sqref="B3:AE30">
    <x:cfRule type="expression" dxfId="84" priority="1">
      <x:formula>ISNUMBER(SEARCH("U/K",B3))</x:formula>
    </x:cfRule>
    <x:cfRule type="expression" dxfId="85" priority="2">
      <x:formula>OR(B3="N/A",LEFT(B3,4)="N/A ")</x:formula>
    </x:cfRule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Maintenance &amp; Updates - release cadence, project health, and support lifecycle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Release Cadence (Nightly / Canary / Stable)</x:v>
      </x:c>
      <x:c r="B3" s="344" t="str">
        <x:v>Stable + PTB/Beta + Canary</x:v>
      </x:c>
      <x:c r="C3" s="344" t="str">
        <x:v>Rolling web/backend releases</x:v>
      </x:c>
      <x:c r="D3" s="344" t="str">
        <x:v>Alpha continuous deployment</x:v>
      </x:c>
      <x:c r="E3" s="344" t="str">
        <x:v>Stable/canary + beta mobile</x:v>
      </x:c>
      <x:c r="F3" s="344" t="str">
        <x:v>Frequent product updates</x:v>
      </x:c>
      <x:c r="G3" s="344" t="str">
        <x:v>Matrix spec releases + independent client/server release cadences</x:v>
      </x:c>
      <x:c r="H3" s="344" t="str">
        <x:v>Rolling alpha/dev</x:v>
      </x:c>
      <x:c r="I3" s="344" t="str">
        <x:v>Stable releases</x:v>
      </x:c>
      <x:c r="J3" s="344" t="str">
        <x:v>TS6 Beta + TS3 stable maintenance</x:v>
      </x:c>
      <x:c r="K3" s="345" t="str">
        <x:v>Frequent stable releases</x:v>
      </x:c>
      <x:c r="L3" s="346" t="str">
        <x:v>Monthly releases + ESR</x:v>
      </x:c>
      <x:c r="M3" s="346" t="str">
        <x:v>Frequent stable/enterprise releases</x:v>
      </x:c>
      <x:c r="N3" s="346" t="str">
        <x:v>Open beta rolling releases</x:v>
      </x:c>
      <x:c r="O3" s="346" t="str">
        <x:v>Frequent GitHub releases</x:v>
      </x:c>
      <x:c r="P3" s="346" t="str">
        <x:v>Frequent beta updates</x:v>
      </x:c>
      <x:c r="Q3" s="346" t="str">
        <x:v>Open-beta rolling</x:v>
      </x:c>
      <x:c r="R3" s="346" t="str">
        <x:v>Alpha rolling</x:v>
      </x:c>
      <x:c r="S3" s="346" t="str">
        <x:v>Active releases</x:v>
      </x:c>
      <x:c r="T3" s="346" t="str">
        <x:v>Alpha rolling</x:v>
      </x:c>
      <x:c r="U3" s="346" t="str">
        <x:v>Active beta</x:v>
      </x:c>
      <x:c r="V3" s="346" t="str">
        <x:v>Early rolling</x:v>
      </x:c>
      <x:c r="W3" s="346" t="str">
        <x:v>Experimental rolling</x:v>
      </x:c>
      <x:c r="X3" s="346" t="str">
        <x:v>Beta rolling</x:v>
      </x:c>
      <x:c r="Y3" s="346" t="str">
        <x:v>Rapid alpha/beta releases</x:v>
      </x:c>
      <x:c r="Z3" s="346" t="str">
        <x:v>Frequent beta releases</x:v>
      </x:c>
      <x:c r="AA3" s="380" t="str">
        <x:v>Active 2026 releases</x:v>
      </x:c>
      <x:c r="AB3" s="346" t="str">
        <x:v>Beta rolling</x:v>
      </x:c>
      <x:c r="AC3" s="346" t="str">
        <x:v>Frequent product updates</x:v>
      </x:c>
      <x:c r="AD3" s="346" t="str">
        <x:v>Alpha rolling</x:v>
      </x:c>
      <x:c r="AE3" s="414" t="str">
        <x:v>Ships frequently/public beta</x:v>
      </x:c>
    </x:row>
    <x:row r="4" ht="36" customHeight="1">
      <x:c r="A4" s="358" t="str">
        <x:v>Commit Velocity / GitHub Activity</x:v>
      </x:c>
      <x:c r="B4" s="344" t="str">
        <x:v>N/A for core proprietary code; selected open-source components/SDKs have public activity</x:v>
      </x:c>
      <x:c r="C4" s="344" t="str">
        <x:v>High - active GitHub development in 2026</x:v>
      </x:c>
      <x:c r="D4" s="344" t="str">
        <x:v>Private codebase; public commit velocity unavailable</x:v>
      </x:c>
      <x:c r="E4" s="344" t="str">
        <x:v>High public GitHub activity</x:v>
      </x:c>
      <x:c r="F4" s="344" t="str">
        <x:v>Closed source - commit velocity not public</x:v>
      </x:c>
      <x:c r="G4" s="344" t="str">
        <x:v>High across spec and ecosystem repos</x:v>
      </x:c>
      <x:c r="H4" s="344" t="str">
        <x:v>Active GitHub development</x:v>
      </x:c>
      <x:c r="I4" s="344" t="str">
        <x:v>Active public GitHub</x:v>
      </x:c>
      <x:c r="J4" s="344" t="str">
        <x:v>Closed source; public commit velocity N/A</x:v>
      </x:c>
      <x:c r="K4" s="345" t="str">
        <x:v>High public GitHub activity</x:v>
      </x:c>
      <x:c r="L4" s="346" t="str">
        <x:v>High public GitHub activity</x:v>
      </x:c>
      <x:c r="M4" s="346" t="str">
        <x:v>High public GitHub activity</x:v>
      </x:c>
      <x:c r="N4" s="346" t="str">
        <x:v>Active 2026 development</x:v>
      </x:c>
      <x:c r="O4" s="346" t="str">
        <x:v>Active GitHub</x:v>
      </x:c>
      <x:c r="P4" s="346" t="str">
        <x:v>Active development</x:v>
      </x:c>
      <x:c r="Q4" s="346" t="str">
        <x:v>Active</x:v>
      </x:c>
      <x:c r="R4" s="346" t="str">
        <x:v>Active GitHub backend</x:v>
      </x:c>
      <x:c r="S4" s="346" t="str">
        <x:v>Active GitHub</x:v>
      </x:c>
      <x:c r="T4" s="346" t="str">
        <x:v>Active</x:v>
      </x:c>
      <x:c r="U4" s="346" t="str">
        <x:v>Active</x:v>
      </x:c>
      <x:c r="V4" s="346" t="str">
        <x:v>Active Codeberg/GitHub</x:v>
      </x:c>
      <x:c r="W4" s="346" t="str">
        <x:v>Active GitHub</x:v>
      </x:c>
      <x:c r="X4" s="346" t="str">
        <x:v>Active GitHub</x:v>
      </x:c>
      <x:c r="Y4" s="346" t="str">
        <x:v>High solo commit velocity</x:v>
      </x:c>
      <x:c r="Z4" s="346" t="str">
        <x:v>High public GitHub activity</x:v>
      </x:c>
      <x:c r="AA4" s="380" t="str">
        <x:v>Closed source</x:v>
      </x:c>
      <x:c r="AB4" s="346" t="str">
        <x:v>Active GitHub</x:v>
      </x:c>
      <x:c r="AC4" s="346" t="str">
        <x:v>Closed/private code</x:v>
      </x:c>
      <x:c r="AD4" s="346" t="str">
        <x:v>Active GitHub</x:v>
      </x:c>
      <x:c r="AE4" s="414" t="str">
        <x:v>Source-available active repo</x:v>
      </x:c>
    </x:row>
    <x:row r="5" ht="36" customHeight="1">
      <x:c r="A5" s="358" t="str">
        <x:v>Maintainer Structure (Solo Dev / Small Collective / Foundation / Corp)</x:v>
      </x:c>
      <x:c r="B5" s="344" t="str">
        <x:v>Corp (Discord Inc.)</x:v>
      </x:c>
      <x:c r="C5" s="344" t="str">
        <x:v>Small open-source collective</x:v>
      </x:c>
      <x:c r="D5" s="344" t="str">
        <x:v>Solo founder / tiny team</x:v>
      </x:c>
      <x:c r="E5" s="344" t="str">
        <x:v>Small company/open-source team</x:v>
      </x:c>
      <x:c r="F5" s="344" t="str">
        <x:v>Corp</x:v>
      </x:c>
      <x:c r="G5" s="344" t="str">
        <x:v>Nonprofit foundation + ecosystem companies/projects</x:v>
      </x:c>
      <x:c r="H5" s="344" t="str">
        <x:v>Volunteer project</x:v>
      </x:c>
      <x:c r="I5" s="344" t="str">
        <x:v>Community project</x:v>
      </x:c>
      <x:c r="J5" s="344" t="str">
        <x:v>Corp</x:v>
      </x:c>
      <x:c r="K5" s="345" t="str">
        <x:v>Independent company + community</x:v>
      </x:c>
      <x:c r="L5" s="346" t="str">
        <x:v>Corp + open-source community</x:v>
      </x:c>
      <x:c r="M5" s="346" t="str">
        <x:v>Corp + community</x:v>
      </x:c>
      <x:c r="N5" s="346" t="str">
        <x:v>Founder-led company</x:v>
      </x:c>
      <x:c r="O5" s="346" t="str">
        <x:v>Solo/small community</x:v>
      </x:c>
      <x:c r="P5" s="346" t="str">
        <x:v>Small startup team</x:v>
      </x:c>
      <x:c r="Q5" s="346" t="str">
        <x:v>Small team</x:v>
      </x:c>
      <x:c r="R5" s="346" t="str">
        <x:v>Small founder-led team</x:v>
      </x:c>
      <x:c r="S5" s="346" t="str">
        <x:v>Company/open-source team</x:v>
      </x:c>
      <x:c r="T5" s="346" t="str">
        <x:v>Small team</x:v>
      </x:c>
      <x:c r="U5" s="346" t="str">
        <x:v>Small team</x:v>
      </x:c>
      <x:c r="V5" s="346" t="str">
        <x:v>Volunteer project</x:v>
      </x:c>
      <x:c r="W5" s="346" t="str">
        <x:v>Open-source community</x:v>
      </x:c>
      <x:c r="X5" s="346" t="str">
        <x:v>Open-source team</x:v>
      </x:c>
      <x:c r="Y5" s="346" t="str">
        <x:v>Solo dev</x:v>
      </x:c>
      <x:c r="Z5" s="346" t="str">
        <x:v>Solo-led + contributors</x:v>
      </x:c>
      <x:c r="AA5" s="380" t="str">
        <x:v>Small private company</x:v>
      </x:c>
      <x:c r="AB5" s="346" t="str">
        <x:v>Solo/small OSS</x:v>
      </x:c>
      <x:c r="AC5" s="346" t="str">
        <x:v>Tiny Canadian team</x:v>
      </x:c>
      <x:c r="AD5" s="346" t="str">
        <x:v>Volunteer/open-source team</x:v>
      </x:c>
      <x:c r="AE5" s="414" t="str">
        <x:v>Solo developer</x:v>
      </x:c>
    </x:row>
    <x:row r="6" ht="36" customHeight="1">
      <x:c r="A6" s="358" t="str">
        <x:v>Public Roadmap Availability</x:v>
      </x:c>
      <x:c r="B6" s="344" t="str">
        <x:v>Limited - no comprehensive public product roadmap; blogs/changelogs announce plans and releases</x:v>
      </x:c>
      <x:c r="C6" s="344" t="str">
        <x:v>Public GitHub issues/projects + update posts</x:v>
      </x:c>
      <x:c r="D6" s="344" t="str">
        <x:v>Public roadmap/story posts</x:v>
      </x:c>
      <x:c r="E6" s="344" t="str">
        <x:v>Public 2026 roadmap</x:v>
      </x:c>
      <x:c r="F6" s="344" t="str">
        <x:v>Public help/docs + product updates; full roadmap U/K</x:v>
      </x:c>
      <x:c r="G6" s="344" t="str">
        <x:v>Public spec roadmap/MSC process</x:v>
      </x:c>
      <x:c r="H6" s="344" t="str">
        <x:v>Public GitHub roadmap/issues</x:v>
      </x:c>
      <x:c r="I6" s="344" t="str">
        <x:v>Public GitHub milestones/issues</x:v>
      </x:c>
      <x:c r="J6" s="344" t="str">
        <x:v>Product roadmap/announcements</x:v>
      </x:c>
      <x:c r="K6" s="345" t="str">
        <x:v>Public roadmap/issues</x:v>
      </x:c>
      <x:c r="L6" s="346" t="str">
        <x:v>Public product roadmap/release docs</x:v>
      </x:c>
      <x:c r="M6" s="346" t="str">
        <x:v>Public roadmap/release docs</x:v>
      </x:c>
      <x:c r="N6" s="346" t="str">
        <x:v>Public site/press</x:v>
      </x:c>
      <x:c r="O6" s="346" t="str">
        <x:v>Public GitHub</x:v>
      </x:c>
      <x:c r="P6" s="346" t="str">
        <x:v>Public updates</x:v>
      </x:c>
      <x:c r="Q6" s="346" t="str">
        <x:v>Public feature tracker</x:v>
      </x:c>
      <x:c r="R6" s="346" t="str">
        <x:v>Public subreddit/GitHub</x:v>
      </x:c>
      <x:c r="S6" s="346" t="str">
        <x:v>Public docs/blog</x:v>
      </x:c>
      <x:c r="T6" s="346" t="str">
        <x:v>Public site</x:v>
      </x:c>
      <x:c r="U6" s="346" t="str">
        <x:v>Public roadmap</x:v>
      </x:c>
      <x:c r="V6" s="346" t="str">
        <x:v>Public roadmap</x:v>
      </x:c>
      <x:c r="W6" s="346" t="str">
        <x:v>Public GitHub</x:v>
      </x:c>
      <x:c r="X6" s="346" t="str">
        <x:v>Public repos</x:v>
      </x:c>
      <x:c r="Y6" s="346" t="str">
        <x:v>Public roadmap/issues</x:v>
      </x:c>
      <x:c r="Z6" s="346" t="str">
        <x:v>Public docs/GitHub</x:v>
      </x:c>
      <x:c r="AA6" s="380" t="str">
        <x:v>Public site/updates</x:v>
      </x:c>
      <x:c r="AB6" s="346" t="str">
        <x:v>Public site/GitHub</x:v>
      </x:c>
      <x:c r="AC6" s="346" t="str">
        <x:v>Public site</x:v>
      </x:c>
      <x:c r="AD6" s="346" t="str">
        <x:v>Public roadmap/issues</x:v>
      </x:c>
      <x:c r="AE6" s="414" t="str">
        <x:v>Public site</x:v>
      </x:c>
    </x:row>
    <x:row r="7" ht="36" customHeight="1">
      <x:c r="A7" s="358" t="str">
        <x:v>Issue Tracker Responsiveness</x:v>
      </x:c>
      <x:c r="B7" s="344" t="str">
        <x:v>N/A for core product - no public core GitHub issue tracker; support/feedback channels are used</x:v>
      </x:c>
      <x:c r="C7" s="344" t="str">
        <x:v>Public issue trackers</x:v>
      </x:c>
      <x:c r="D7" s="344" t="str">
        <x:v>Feedback via community/support; public issue tracker U/K</x:v>
      </x:c>
      <x:c r="E7" s="344" t="str">
        <x:v>Public GitHub issues</x:v>
      </x:c>
      <x:c r="F7" s="344" t="str">
        <x:v>Private issue process/support</x:v>
      </x:c>
      <x:c r="G7" s="344" t="str">
        <x:v>Public GitHub issue/MSC processes</x:v>
      </x:c>
      <x:c r="H7" s="344" t="str">
        <x:v>Public GitHub issues</x:v>
      </x:c>
      <x:c r="I7" s="344" t="str">
        <x:v>Public issues</x:v>
      </x:c>
      <x:c r="J7" s="344" t="str">
        <x:v>Support/feedback</x:v>
      </x:c>
      <x:c r="K7" s="345" t="str">
        <x:v>Public GitHub issues</x:v>
      </x:c>
      <x:c r="L7" s="346" t="str">
        <x:v>Public GitHub issues/support</x:v>
      </x:c>
      <x:c r="M7" s="346" t="str">
        <x:v>Public GitHub issues</x:v>
      </x:c>
      <x:c r="N7" s="346" t="str">
        <x:v>Support/community feedback</x:v>
      </x:c>
      <x:c r="O7" s="346" t="str">
        <x:v>Public issues</x:v>
      </x:c>
      <x:c r="P7" s="346" t="str">
        <x:v>Community support</x:v>
      </x:c>
      <x:c r="Q7" s="346" t="str">
        <x:v>Community feedback</x:v>
      </x:c>
      <x:c r="R7" s="346" t="str">
        <x:v>GitHub issues</x:v>
      </x:c>
      <x:c r="S7" s="346" t="str">
        <x:v>GitHub issues</x:v>
      </x:c>
      <x:c r="T7" s="346" t="str">
        <x:v>Support/community</x:v>
      </x:c>
      <x:c r="U7" s="346" t="str">
        <x:v>Support</x:v>
      </x:c>
      <x:c r="V7" s="346" t="str">
        <x:v>Public issues</x:v>
      </x:c>
      <x:c r="W7" s="346" t="str">
        <x:v>Public issues</x:v>
      </x:c>
      <x:c r="X7" s="346" t="str">
        <x:v>Public issues</x:v>
      </x:c>
      <x:c r="Y7" s="346" t="str">
        <x:v>GitHub</x:v>
      </x:c>
      <x:c r="Z7" s="346" t="str">
        <x:v>Public issues</x:v>
      </x:c>
      <x:c r="AA7" s="380" t="str">
        <x:v>Support</x:v>
      </x:c>
      <x:c r="AB7" s="346" t="str">
        <x:v>GitHub/support</x:v>
      </x:c>
      <x:c r="AC7" s="346" t="str">
        <x:v>Feedback/support</x:v>
      </x:c>
      <x:c r="AD7" s="346" t="str">
        <x:v>GitHub issues</x:v>
      </x:c>
      <x:c r="AE7" s="414" t="str">
        <x:v>Support</x:v>
      </x:c>
    </x:row>
    <x:row r="8" ht="36" customHeight="1">
      <x:c r="A8" s="397" t="str">
        <x:v>Public Changelog &amp; Release Notes</x:v>
      </x:c>
      <x:c r="B8" s="349" t="str">
        <x:v>Yes - public changelogs, patch notes, support updates, and developer changelog</x:v>
      </x:c>
      <x:c r="C8" s="349" t="str">
        <x:v>Yes - GitHub changelogs/releases and Stoat updates</x:v>
      </x:c>
      <x:c r="D8" s="349" t="str">
        <x:v>Public blog/roadmap; formal changelog U/K</x:v>
      </x:c>
      <x:c r="E8" s="349" t="str">
        <x:v>Public blog/changelog</x:v>
      </x:c>
      <x:c r="F8" s="349" t="str">
        <x:v>Public changelog/help docs</x:v>
      </x:c>
      <x:c r="G8" s="349" t="str">
        <x:v>Public specification changelogs and project release notes</x:v>
      </x:c>
      <x:c r="H8" s="349" t="str">
        <x:v>GitHub releases/commits</x:v>
      </x:c>
      <x:c r="I8" s="349" t="str">
        <x:v>Public releases/changelog</x:v>
      </x:c>
      <x:c r="J8" s="349" t="str">
        <x:v>Public news/release notes</x:v>
      </x:c>
      <x:c r="K8" s="395" t="str">
        <x:v>Public release notes</x:v>
      </x:c>
      <x:c r="L8" s="349" t="str">
        <x:v>Public release notes</x:v>
      </x:c>
      <x:c r="M8" s="349" t="str">
        <x:v>Public release notes</x:v>
      </x:c>
      <x:c r="N8" s="349" t="str">
        <x:v>Public updates/press</x:v>
      </x:c>
      <x:c r="O8" s="349" t="str">
        <x:v>GitHub releases</x:v>
      </x:c>
      <x:c r="P8" s="349" t="str">
        <x:v>Public changelog/blog</x:v>
      </x:c>
      <x:c r="Q8" s="349" t="str">
        <x:v>Public site updates</x:v>
      </x:c>
      <x:c r="R8" s="349" t="str">
        <x:v>Public updates</x:v>
      </x:c>
      <x:c r="S8" s="349" t="str">
        <x:v>Public docs/blog</x:v>
      </x:c>
      <x:c r="T8" s="349" t="str">
        <x:v>Public updates</x:v>
      </x:c>
      <x:c r="U8" s="349" t="str">
        <x:v>Public roadmap/updates</x:v>
      </x:c>
      <x:c r="V8" s="349" t="str">
        <x:v>Public commits</x:v>
      </x:c>
      <x:c r="W8" s="349" t="str">
        <x:v>GitHub commits</x:v>
      </x:c>
      <x:c r="X8" s="349" t="str">
        <x:v>Git history</x:v>
      </x:c>
      <x:c r="Y8" s="349" t="str">
        <x:v>GitHub releases</x:v>
      </x:c>
      <x:c r="Z8" s="349" t="str">
        <x:v>Many GitHub releases</x:v>
      </x:c>
      <x:c r="AA8" s="381" t="str">
        <x:v>Public site updates</x:v>
      </x:c>
      <x:c r="AB8" s="349" t="str">
        <x:v>Public updates</x:v>
      </x:c>
      <x:c r="AC8" s="349" t="str">
        <x:v>App release notes</x:v>
      </x:c>
      <x:c r="AD8" s="349" t="str">
        <x:v>GitHub releases</x:v>
      </x:c>
      <x:c r="AE8" s="415" t="str">
        <x:v>Public site/repo</x:v>
      </x:c>
    </x:row>
    <x:row r="9" ht="23" customHeight="1">
      <x:c r="A9" s="389" t="str">
        <x:v>Release Engineering</x:v>
      </x:c>
      <x:c r="B9" s="389"/>
      <x:c r="C9" s="389"/>
      <x:c r="D9" s="389"/>
      <x:c r="E9" s="389"/>
      <x:c r="F9" s="389"/>
      <x:c r="G9" s="389"/>
      <x:c r="H9" s="389"/>
      <x:c r="I9" s="389"/>
      <x:c r="J9" s="389"/>
      <x:c r="K9" s="389"/>
      <x:c r="L9" s="389"/>
      <x:c r="M9" s="389"/>
      <x:c r="N9" s="389"/>
      <x:c r="O9" s="389"/>
      <x:c r="P9" s="389"/>
      <x:c r="Q9" s="389"/>
      <x:c r="R9" s="389"/>
      <x:c r="S9" s="389"/>
      <x:c r="T9" s="389"/>
      <x:c r="U9" s="389"/>
      <x:c r="V9" s="389"/>
      <x:c r="W9" s="389"/>
      <x:c r="X9" s="389"/>
      <x:c r="Y9" s="389"/>
      <x:c r="Z9" s="389"/>
      <x:c r="AA9" s="389"/>
      <x:c r="AB9" s="389"/>
      <x:c r="AC9" s="389"/>
      <x:c r="AD9" s="389"/>
      <x:c r="AE9" s="389"/>
    </x:row>
    <x:row r="10" ht="36" customHeight="1">
      <x:c r="A10" s="378" t="str">
        <x:v>Last Major Release Date</x:v>
      </x:c>
      <x:c r="B10" s="346" t="str">
        <x:v>U/K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78" t="str">
        <x:v>Security Advisories?</x:v>
      </x:c>
      <x:c r="B11" s="346" t="str">
        <x:v>Yes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Yes</x:v>
      </x:c>
      <x:c r="H11" s="346" t="str">
        <x:v>U/K</x:v>
      </x:c>
      <x:c r="I11" s="346" t="str">
        <x:v>Yes</x:v>
      </x:c>
      <x:c r="J11" s="346" t="str">
        <x:v>U/K</x:v>
      </x:c>
      <x:c r="K11" s="346" t="str">
        <x:v>U/K</x:v>
      </x:c>
      <x:c r="L11" s="346" t="str">
        <x:v>Yes</x:v>
      </x:c>
      <x:c r="M11" s="346" t="str">
        <x:v>Yes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78" t="str">
        <x:v>Published Support / EOL Window</x:v>
      </x:c>
      <x:c r="B12" s="346" t="str">
        <x:v>Service continuously updated / no version EOL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Yes - version support window documented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Automated Dependency Update Policy</x:v>
      </x:c>
      <x:c r="B13" s="346" t="str">
        <x:v>U/K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78" t="str">
        <x:v>Release Signing / Provenance</x:v>
      </x:c>
      <x:c r="B14" s="346" t="str">
        <x:v>U/K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>
      <x:c r="A15" s="24"/>
      <x:c r="B15" s="24"/>
      <x:c r="C15" s="24"/>
      <x:c r="D15" s="24"/>
      <x:c r="E15" s="24"/>
      <x:c r="F15" s="24"/>
      <x:c r="G15" s="24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</x:row>
    <x:row r="16">
      <x:c r="A16" s="24"/>
      <x:c r="B16" s="24"/>
      <x:c r="C16" s="24"/>
      <x:c r="D16" s="24"/>
      <x:c r="E16" s="24"/>
      <x:c r="F16" s="24"/>
      <x:c r="G16" s="24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 s="24"/>
      <x:c r="B17" s="24"/>
      <x:c r="C17" s="24"/>
      <x:c r="D17" s="24"/>
      <x:c r="E17" s="24"/>
      <x:c r="F17" s="24"/>
      <x:c r="G17" s="24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 s="24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8">
    <x:cfRule type="expression" dxfId="46" priority="1">
      <x:formula>ISNUMBER(SEARCH("U/K",B3))</x:formula>
    </x:cfRule>
    <x:cfRule type="expression" dxfId="47" priority="2">
      <x:formula>OR(B3="N/A",LEFT(B3,4)="N/A ")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Developer Extensibility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Bot / Gateway API Type (REST / WebSockets / Gateway)</x:v>
      </x:c>
      <x:c r="B3" s="344" t="str">
        <x:v>REST/HTTP API + Gateway WebSocket</x:v>
      </x:c>
      <x:c r="C3" s="344" t="str">
        <x:v>REST + WebSocket event API</x:v>
      </x:c>
      <x:c r="D3" s="344" t="str">
        <x:v>Bot API planned after public release</x:v>
      </x:c>
      <x:c r="E3" s="344" t="str">
        <x:v>REST + Gateway/WebSocket, deliberately Discord-like</x:v>
      </x:c>
      <x:c r="F3" s="344" t="str">
        <x:v>Root Community API + hosted app/bot runtime</x:v>
      </x:c>
      <x:c r="G3" s="344" t="str">
        <x:v>Open Client-Server, Server-Server, Application Service APIs; WebSocket-like sync transports depending spec version</x:v>
      </x:c>
      <x:c r="H3" s="344" t="str">
        <x:v>Discord-compatible REST + Gateway</x:v>
      </x:c>
      <x:c r="I3" s="344" t="str">
        <x:v>Server RPC/API (Ice) + protocol libraries</x:v>
      </x:c>
      <x:c r="J3" s="344" t="str">
        <x:v>ServerQuery / SDK APIs; exact TS6 developer stack U/K</x:v>
      </x:c>
      <x:c r="K3" s="345" t="str">
        <x:v>REST + realtime event queues</x:v>
      </x:c>
      <x:c r="L3" s="346" t="str">
        <x:v>REST + WebSocket API</x:v>
      </x:c>
      <x:c r="M3" s="346" t="str">
        <x:v>REST + realtime/WebSocket/DDP + Apps engine</x:v>
      </x:c>
      <x:c r="N3" s="346" t="str">
        <x:v>U/K</x:v>
      </x:c>
      <x:c r="O3" s="346" t="str">
        <x:v>REST/realtime API U/K</x:v>
      </x:c>
      <x:c r="P3" s="346" t="str">
        <x:v>U/K</x:v>
      </x:c>
      <x:c r="Q3" s="346" t="str">
        <x:v>Discord-compatible API</x:v>
      </x:c>
      <x:c r="R3" s="346" t="str">
        <x:v>Custom API/federation</x:v>
      </x:c>
      <x:c r="S3" s="346" t="str">
        <x:v>API-first design</x:v>
      </x:c>
      <x:c r="T3" s="346" t="str">
        <x:v>U/K</x:v>
      </x:c>
      <x:c r="U3" s="346" t="str">
        <x:v>U/K</x:v>
      </x:c>
      <x:c r="V3" s="346" t="str">
        <x:v>Discord-compatible API</x:v>
      </x:c>
      <x:c r="W3" s="346" t="str">
        <x:v>ATProto + Roomy SDK</x:v>
      </x:c>
      <x:c r="X3" s="346" t="str">
        <x:v>Nostr/Concord protocols</x:v>
      </x:c>
      <x:c r="Y3" s="346" t="str">
        <x:v>Custom protocol; no HTTP API emphasis</x:v>
      </x:c>
      <x:c r="Z3" s="346" t="str">
        <x:v>Custom server/WebSocket APIs</x:v>
      </x:c>
      <x:c r="AA3" s="380" t="str">
        <x:v>U/K</x:v>
      </x:c>
      <x:c r="AB3" s="346" t="str">
        <x:v>Application API U/K</x:v>
      </x:c>
      <x:c r="AC3" s="346" t="str">
        <x:v>U/K</x:v>
      </x:c>
      <x:c r="AD3" s="346" t="str">
        <x:v>Official API used by client</x:v>
      </x:c>
      <x:c r="AE3" s="414" t="str">
        <x:v>Game/service APIs; bot API U/K</x:v>
      </x:c>
    </x:row>
    <x:row r="4" ht="36" customHeight="1">
      <x:c r="A4" s="358" t="str">
        <x:v>Inbound Webhooks</x:v>
      </x:c>
      <x:c r="B4" s="344" t="str">
        <x:v>Yes</x:v>
      </x:c>
      <x:c r="C4" s="344" t="str">
        <x:v>U/K</x:v>
      </x:c>
      <x:c r="D4" s="344" t="str">
        <x:v>No current public webhook API verified</x:v>
      </x:c>
      <x:c r="E4" s="344" t="str">
        <x:v>Webhooks/API support; exact inbound semantics U/K</x:v>
      </x:c>
      <x:c r="F4" s="344" t="str">
        <x:v>U/K</x:v>
      </x:c>
      <x:c r="G4" s="344" t="str">
        <x:v>Application services/webhooks via integrations</x:v>
      </x:c>
      <x:c r="H4" s="344" t="str">
        <x:v>Discord-compatible webhooks target</x:v>
      </x:c>
      <x:c r="I4" s="344" t="str">
        <x:v>No Discord-style incoming webhooks</x:v>
      </x:c>
      <x:c r="J4" s="344" t="str">
        <x:v>U/K</x:v>
      </x:c>
      <x:c r="K4" s="345" t="str">
        <x:v>Yes - incoming webhooks/integrations</x:v>
      </x:c>
      <x:c r="L4" s="346" t="str">
        <x:v>Yes</x:v>
      </x:c>
      <x:c r="M4" s="346" t="str">
        <x:v>Yes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Webhooks supported</x:v>
      </x:c>
      <x:c r="R4" s="346" t="str">
        <x:v>U/K</x:v>
      </x:c>
      <x:c r="S4" s="346" t="str">
        <x:v>Integrations</x:v>
      </x:c>
      <x:c r="T4" s="346" t="str">
        <x:v>U/K</x:v>
      </x:c>
      <x:c r="U4" s="346" t="str">
        <x:v>U/K</x:v>
      </x:c>
      <x:c r="V4" s="346" t="str">
        <x:v>Discord-compatible target</x:v>
      </x:c>
      <x:c r="W4" s="346" t="str">
        <x:v>Bridge/integrations</x:v>
      </x:c>
      <x:c r="X4" s="346" t="str">
        <x:v>Nostr relays/integrations</x:v>
      </x:c>
      <x:c r="Y4" s="346" t="str">
        <x:v>No</x:v>
      </x:c>
      <x:c r="Z4" s="346" t="str">
        <x:v>Plugins</x:v>
      </x:c>
      <x:c r="AA4" s="380" t="str">
        <x:v>Yes - Discord, GitHub and Slack-compatible incoming webhooks</x:v>
      </x:c>
      <x:c r="AB4" s="346" t="str">
        <x:v>Discord-compatible webhooks</x:v>
      </x:c>
      <x:c r="AC4" s="346" t="str">
        <x:v>U/K</x:v>
      </x:c>
      <x:c r="AD4" s="346" t="str">
        <x:v>Incoming webhooks</x:v>
      </x:c>
      <x:c r="AE4" s="414" t="str">
        <x:v>U/K</x:v>
      </x:c>
    </x:row>
    <x:row r="5" ht="36" customHeight="1">
      <x:c r="A5" s="358" t="str">
        <x:v>Outbound Webhooks</x:v>
      </x:c>
      <x:c r="B5" s="344" t="str">
        <x:v>Yes - webhook events and interaction endpoints</x:v>
      </x:c>
      <x:c r="C5" s="344" t="str">
        <x:v>U/K</x:v>
      </x:c>
      <x:c r="D5" s="344" t="str">
        <x:v>No current public event webhook API verified</x:v>
      </x:c>
      <x:c r="E5" s="344" t="str">
        <x:v>Gateway events/webhooks</x:v>
      </x:c>
      <x:c r="F5" s="344" t="str">
        <x:v>Event subscriptions in hosted runtime</x:v>
      </x:c>
      <x:c r="G5" s="344" t="str">
        <x:v>Application Service transactions/events</x:v>
      </x:c>
      <x:c r="H5" s="344" t="str">
        <x:v>Gateway events</x:v>
      </x:c>
      <x:c r="I5" s="344" t="str">
        <x:v>No Discord-style outbound webhooks</x:v>
      </x:c>
      <x:c r="J5" s="344" t="str">
        <x:v>U/K</x:v>
      </x:c>
      <x:c r="K5" s="345" t="str">
        <x:v>Yes - bots/webhooks/event queues</x:v>
      </x:c>
      <x:c r="L5" s="346" t="str">
        <x:v>Yes</x:v>
      </x:c>
      <x:c r="M5" s="346" t="str">
        <x:v>Yes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Events/interactions</x:v>
      </x:c>
      <x:c r="R5" s="346" t="str">
        <x:v>Federation events/webhooks planned</x:v>
      </x:c>
      <x:c r="S5" s="346" t="str">
        <x:v>Integrations</x:v>
      </x:c>
      <x:c r="T5" s="346" t="str">
        <x:v>U/K</x:v>
      </x:c>
      <x:c r="U5" s="346" t="str">
        <x:v>U/K</x:v>
      </x:c>
      <x:c r="V5" s="346" t="str">
        <x:v>Gateway/events</x:v>
      </x:c>
      <x:c r="W5" s="346" t="str">
        <x:v>ATProto events</x:v>
      </x:c>
      <x:c r="X5" s="346" t="str">
        <x:v>Nostr events</x:v>
      </x:c>
      <x:c r="Y5" s="346" t="str">
        <x:v>No</x:v>
      </x:c>
      <x:c r="Z5" s="346" t="str">
        <x:v>Events/plugins</x:v>
      </x:c>
      <x:c r="AA5" s="380" t="str">
        <x:v>U/K</x:v>
      </x:c>
      <x:c r="AB5" s="346" t="str">
        <x:v>Webhooks/events</x:v>
      </x:c>
      <x:c r="AC5" s="346" t="str">
        <x:v>U/K</x:v>
      </x:c>
      <x:c r="AD5" s="346" t="str">
        <x:v>API/events</x:v>
      </x:c>
      <x:c r="AE5" s="414" t="str">
        <x:v>U/K</x:v>
      </x:c>
    </x:row>
    <x:row r="6" ht="36" customHeight="1">
      <x:c r="A6" s="358" t="str">
        <x:v>Official SDKs &amp; Libraries (JS / Python / Rust / Go)</x:v>
      </x:c>
      <x:c r="B6" s="344" t="str">
        <x:v>JS/TS: official Embedded App SDK; no official general bot SDKs for Python/Rust/Go; Social SDK targets C++/Unity/Unreal</x:v>
      </x:c>
      <x:c r="C6" s="344" t="str">
        <x:v>Official TypeScript client SDK; community libraries</x:v>
      </x:c>
      <x:c r="D6" s="344" t="str">
        <x:v>No public SDKs yet</x:v>
      </x:c>
      <x:c r="E6" s="344" t="str">
        <x:v>Open-source SDK ecosystem; official language coverage U/K</x:v>
      </x:c>
      <x:c r="F6" s="344" t="str">
        <x:v>Official TypeScript SDK / Node runtime</x:v>
      </x:c>
      <x:c r="G6" s="344" t="str">
        <x:v>Many SDKs incl JS/TS, Rust, Python, Go/community</x:v>
      </x:c>
      <x:c r="H6" s="344" t="str">
        <x:v>Discord ecosystem compatibility; Spacebar docs</x:v>
      </x:c>
      <x:c r="I6" s="344" t="str">
        <x:v>Community libraries</x:v>
      </x:c>
      <x:c r="J6" s="344" t="str">
        <x:v>SDKs available; language coverage U/K</x:v>
      </x:c>
      <x:c r="K6" s="345" t="str">
        <x:v>Official/community libraries incl Python; broad API</x:v>
      </x:c>
      <x:c r="L6" s="346" t="str">
        <x:v>Client/server APIs; Go/JS ecosystem</x:v>
      </x:c>
      <x:c r="M6" s="346" t="str">
        <x:v>SDKs/APIs + Apps framework</x:v>
      </x:c>
      <x:c r="N6" s="346" t="str">
        <x:v>U/K</x:v>
      </x:c>
      <x:c r="O6" s="346" t="str">
        <x:v>Official Nerimity.js</x:v>
      </x:c>
      <x:c r="P6" s="346" t="str">
        <x:v>U/K</x:v>
      </x:c>
      <x:c r="Q6" s="346" t="str">
        <x:v>discord.py/discord.js compatibility</x:v>
      </x:c>
      <x:c r="R6" s="346" t="str">
        <x:v>U/K</x:v>
      </x:c>
      <x:c r="S6" s="346" t="str">
        <x:v>SDK/integration ecosystem</x:v>
      </x:c>
      <x:c r="T6" s="346" t="str">
        <x:v>U/K</x:v>
      </x:c>
      <x:c r="U6" s="346" t="str">
        <x:v>U/K</x:v>
      </x:c>
      <x:c r="V6" s="346" t="str">
        <x:v>Discord bot libraries largely reusable</x:v>
      </x:c>
      <x:c r="W6" s="346" t="str">
        <x:v>Roomy SDK</x:v>
      </x:c>
      <x:c r="X6" s="346" t="str">
        <x:v>Nostr libraries</x:v>
      </x:c>
      <x:c r="Y6" s="346" t="str">
        <x:v>Open source</x:v>
      </x:c>
      <x:c r="Z6" s="346" t="str">
        <x:v>Custom/open-source ecosystem</x:v>
      </x:c>
      <x:c r="AA6" s="380" t="str">
        <x:v>U/K</x:v>
      </x:c>
      <x:c r="AB6" s="346" t="str">
        <x:v>U/K</x:v>
      </x:c>
      <x:c r="AC6" s="346" t="str">
        <x:v>U/K</x:v>
      </x:c>
      <x:c r="AD6" s="346" t="str">
        <x:v>Official .NET SDK</x:v>
      </x:c>
      <x:c r="AE6" s="414" t="str">
        <x:v>U/K</x:v>
      </x:c>
    </x:row>
    <x:row r="7" ht="36" customHeight="1">
      <x:c r="A7" s="358" t="str">
        <x:v>Custom Slash / Interaction Commands</x:v>
      </x:c>
      <x:c r="B7" s="344" t="str">
        <x:v>Yes - slash commands, components, modals, interactions</x:v>
      </x:c>
      <x:c r="C7" s="344" t="str">
        <x:v>Bots/API support; slash-interaction parity U/K</x:v>
      </x:c>
      <x:c r="D7" s="344" t="str">
        <x:v>Native slash commands exist; developer interaction API planned</x:v>
      </x:c>
      <x:c r="E7" s="344" t="str">
        <x:v>Discord-like interactions; exact slash-command status U/K</x:v>
      </x:c>
      <x:c r="F7" s="344" t="str">
        <x:v>Bots/commands + full GUI Apps</x:v>
      </x:c>
      <x:c r="G7" s="344" t="str">
        <x:v>Client extensions/bots; interaction UX client-dependent</x:v>
      </x:c>
      <x:c r="H7" s="344" t="str">
        <x:v>Discord interaction compatibility target</x:v>
      </x:c>
      <x:c r="I7" s="344" t="str">
        <x:v>N/A</x:v>
      </x:c>
      <x:c r="J7" s="344" t="str">
        <x:v>U/K</x:v>
      </x:c>
      <x:c r="K7" s="345" t="str">
        <x:v>Slash-command-style integrations/bots</x:v>
      </x:c>
      <x:c r="L7" s="346" t="str">
        <x:v>Slash commands + interactive messages</x:v>
      </x:c>
      <x:c r="M7" s="346" t="str">
        <x:v>Slash commands/apps</x:v>
      </x:c>
      <x:c r="N7" s="346" t="str">
        <x:v>U/K</x:v>
      </x:c>
      <x:c r="O7" s="346" t="str">
        <x:v>Bots/API</x:v>
      </x:c>
      <x:c r="P7" s="346" t="str">
        <x:v>U/K</x:v>
      </x:c>
      <x:c r="Q7" s="346" t="str">
        <x:v>Slash commands/buttons/modals</x:v>
      </x:c>
      <x:c r="R7" s="346" t="str">
        <x:v>U/K</x:v>
      </x:c>
      <x:c r="S7" s="346" t="str">
        <x:v>Bots</x:v>
      </x:c>
      <x:c r="T7" s="346" t="str">
        <x:v>U/K</x:v>
      </x:c>
      <x:c r="U7" s="346" t="str">
        <x:v>U/K</x:v>
      </x:c>
      <x:c r="V7" s="346" t="str">
        <x:v>Interactions target</x:v>
      </x:c>
      <x:c r="W7" s="346" t="str">
        <x:v>U/K</x:v>
      </x:c>
      <x:c r="X7" s="346" t="str">
        <x:v>Protocol-driven</x:v>
      </x:c>
      <x:c r="Y7" s="346" t="str">
        <x:v>No bot ecosystem yet</x:v>
      </x:c>
      <x:c r="Z7" s="346" t="str">
        <x:v>Plugin system</x:v>
      </x:c>
      <x:c r="AA7" s="380" t="str">
        <x:v>U/K</x:v>
      </x:c>
      <x:c r="AB7" s="346" t="str">
        <x:v>U/K</x:v>
      </x:c>
      <x:c r="AC7" s="346" t="str">
        <x:v>U/K</x:v>
      </x:c>
      <x:c r="AD7" s="346" t="str">
        <x:v>Bots/OAuth apps</x:v>
      </x:c>
      <x:c r="AE7" s="414" t="str">
        <x:v>Native modules rather than bot-first</x:v>
      </x:c>
    </x:row>
    <x:row r="8" ht="36" customHeight="1">
      <x:c r="A8" s="358" t="str">
        <x:v>Client Plugin / Modding Architecture</x:v>
      </x:c>
      <x:c r="B8" s="344" t="str">
        <x:v>No official client plugin/modding architecture</x:v>
      </x:c>
      <x:c r="C8" s="344" t="str">
        <x:v>Community clients/themes; no stable official plugin architecture verified</x:v>
      </x:c>
      <x:c r="D8" s="344" t="str">
        <x:v>No</x:v>
      </x:c>
      <x:c r="E8" s="344" t="str">
        <x:v>No official client-plugin architecture verified</x:v>
      </x:c>
      <x:c r="F8" s="344" t="str">
        <x:v>No client modding</x:v>
      </x:c>
      <x:c r="G8" s="344" t="str">
        <x:v>Multiple independent clients rather than plugins to one official client</x:v>
      </x:c>
      <x:c r="H8" s="344" t="str">
        <x:v>Spacebar-aware client theming/plugin goals</x:v>
      </x:c>
      <x:c r="I8" s="344" t="str">
        <x:v>Plugins supported</x:v>
      </x:c>
      <x:c r="J8" s="344" t="str">
        <x:v>Plugins/addons ecosystem</x:v>
      </x:c>
      <x:c r="K8" s="345" t="str">
        <x:v>No client plugin architecture</x:v>
      </x:c>
      <x:c r="L8" s="346" t="str">
        <x:v>Plugin architecture (server/webapp)</x:v>
      </x:c>
      <x:c r="M8" s="346" t="str">
        <x:v>Apps/plugin framework</x:v>
      </x:c>
      <x:c r="N8" s="346" t="str">
        <x:v>No client plugins verified</x:v>
      </x:c>
      <x:c r="O8" s="346" t="str">
        <x:v>Themes/RPC</x:v>
      </x:c>
      <x:c r="P8" s="346" t="str">
        <x:v>U/K</x:v>
      </x:c>
      <x:c r="Q8" s="346" t="str">
        <x:v>No client plugins verified</x:v>
      </x:c>
      <x:c r="R8" s="346" t="str">
        <x:v>No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Independent clients encouraged</x:v>
      </x:c>
      <x:c r="W8" s="346" t="str">
        <x:v>Open protocol client ecosystem</x:v>
      </x:c>
      <x:c r="X8" s="346" t="str">
        <x:v>Independent clients possible</x:v>
      </x:c>
      <x:c r="Y8" s="346" t="str">
        <x:v>No plugin ecosystem</x:v>
      </x:c>
      <x:c r="Z8" s="346" t="str">
        <x:v>Plugin system</x:v>
      </x:c>
      <x:c r="AA8" s="380" t="str">
        <x:v>U/K</x:v>
      </x:c>
      <x:c r="AB8" s="346" t="str">
        <x:v>Open source</x:v>
      </x:c>
      <x:c r="AC8" s="346" t="str">
        <x:v>U/K</x:v>
      </x:c>
      <x:c r="AD8" s="346" t="str">
        <x:v>Themes rather than client mods</x:v>
      </x:c>
      <x:c r="AE8" s="414" t="str">
        <x:v>No</x:v>
      </x:c>
    </x:row>
    <x:row r="9" ht="36" customHeight="1">
      <x:c r="A9" s="397" t="str">
        <x:v>API Rate Limits &amp; Developer Portal</x:v>
      </x:c>
      <x:c r="B9" s="349" t="str">
        <x:v>Yes - Developer Portal + per-route/global REST limits; Gateway 120 events/60s/connection</x:v>
      </x:c>
      <x:c r="C9" s="349" t="str">
        <x:v>Documented API; exact rate limits configurable/U/K</x:v>
      </x:c>
      <x:c r="D9" s="349" t="str">
        <x:v>No public developer portal/API limits yet</x:v>
      </x:c>
      <x:c r="E9" s="349" t="str">
        <x:v>API rate limits documented/Discord-inspired; exact values U/K</x:v>
      </x:c>
      <x:c r="F9" s="349" t="str">
        <x:v>Developer Portal; hosted runtime; rate-limit details U/K</x:v>
      </x:c>
      <x:c r="G9" s="349" t="str">
        <x:v>Public spec/API; rate limits homeserver-dependent</x:v>
      </x:c>
      <x:c r="H9" s="349" t="str">
        <x:v>Documented API; operator-configurable</x:v>
      </x:c>
      <x:c r="I9" s="349" t="str">
        <x:v>Public protocol/docs; limits server-controlled</x:v>
      </x:c>
      <x:c r="J9" s="349" t="str">
        <x:v>Documented APIs; limits U/K</x:v>
      </x:c>
      <x:c r="K9" s="395" t="str">
        <x:v>Public API docs/rate behavior</x:v>
      </x:c>
      <x:c r="L9" s="349" t="str">
        <x:v>Documented APIs/rate limits</x:v>
      </x:c>
      <x:c r="M9" s="349" t="str">
        <x:v>Public API docs/rate limits</x:v>
      </x:c>
      <x:c r="N9" s="349" t="str">
        <x:v>U/K</x:v>
      </x:c>
      <x:c r="O9" s="349" t="str">
        <x:v>Public API docs</x:v>
      </x:c>
      <x:c r="P9" s="349" t="str">
        <x:v>U/K</x:v>
      </x:c>
      <x:c r="Q9" s="349" t="str">
        <x:v>U/K</x:v>
      </x:c>
      <x:c r="R9" s="349" t="str">
        <x:v>U/K</x:v>
      </x:c>
      <x:c r="S9" s="349" t="str">
        <x:v>Public API/docs</x:v>
      </x:c>
      <x:c r="T9" s="349" t="str">
        <x:v>U/K</x:v>
      </x:c>
      <x:c r="U9" s="349" t="str">
        <x:v>U/K</x:v>
      </x:c>
      <x:c r="V9" s="349" t="str">
        <x:v>Public source/API</x:v>
      </x:c>
      <x:c r="W9" s="349" t="str">
        <x:v>Public code</x:v>
      </x:c>
      <x:c r="X9" s="349" t="str">
        <x:v>Open source</x:v>
      </x:c>
      <x:c r="Y9" s="349" t="str">
        <x:v>Source/whitepaper</x:v>
      </x:c>
      <x:c r="Z9" s="349" t="str">
        <x:v>Operator configured</x:v>
      </x:c>
      <x:c r="AA9" s="381" t="str">
        <x:v>U/K</x:v>
      </x:c>
      <x:c r="AB9" s="349" t="str">
        <x:v>U/K</x:v>
      </x:c>
      <x:c r="AC9" s="349" t="str">
        <x:v>U/K</x:v>
      </x:c>
      <x:c r="AD9" s="349" t="str">
        <x:v>Public API</x:v>
      </x:c>
      <x:c r="AE9" s="415" t="str">
        <x:v>U/K</x:v>
      </x:c>
    </x:row>
    <x:row r="10" ht="23" customHeight="1">
      <x:c r="A10" s="389" t="str">
        <x:v>Apps &amp; Distribution</x:v>
      </x:c>
      <x:c r="B10" s="389"/>
      <x:c r="C10" s="389"/>
      <x:c r="D10" s="389"/>
      <x:c r="E10" s="389"/>
      <x:c r="F10" s="389"/>
      <x:c r="G10" s="389"/>
      <x:c r="H10" s="389"/>
      <x:c r="I10" s="389"/>
      <x:c r="J10" s="389"/>
      <x:c r="K10" s="389"/>
      <x:c r="L10" s="389"/>
      <x:c r="M10" s="389"/>
      <x:c r="N10" s="389"/>
      <x:c r="O10" s="389"/>
      <x:c r="P10" s="389"/>
      <x:c r="Q10" s="389"/>
      <x:c r="R10" s="389"/>
      <x:c r="S10" s="389"/>
      <x:c r="T10" s="389"/>
      <x:c r="U10" s="389"/>
      <x:c r="V10" s="389"/>
      <x:c r="W10" s="389"/>
      <x:c r="X10" s="389"/>
      <x:c r="Y10" s="389"/>
      <x:c r="Z10" s="389"/>
      <x:c r="AA10" s="389"/>
      <x:c r="AB10" s="389"/>
      <x:c r="AC10" s="389"/>
      <x:c r="AD10" s="389"/>
      <x:c r="AE10" s="389"/>
    </x:row>
    <x:row r="11" ht="36" customHeight="1">
      <x:c r="A11" s="378" t="str">
        <x:v>Bot Accounts?</x:v>
      </x:c>
      <x:c r="B11" s="346" t="str">
        <x:v>Yes</x:v>
      </x:c>
      <x:c r="C11" s="346" t="str">
        <x:v>Yes</x:v>
      </x:c>
      <x:c r="D11" s="346" t="str">
        <x:v>Yes</x:v>
      </x:c>
      <x:c r="E11" s="346" t="str">
        <x:v>Yes</x:v>
      </x:c>
      <x:c r="F11" s="346" t="str">
        <x:v>Yes</x:v>
      </x:c>
      <x:c r="G11" s="346" t="str">
        <x:v>Yes</x:v>
      </x:c>
      <x:c r="H11" s="346" t="str">
        <x:v>Yes</x:v>
      </x:c>
      <x:c r="I11" s="346" t="str">
        <x:v>U/K</x:v>
      </x:c>
      <x:c r="J11" s="346" t="str">
        <x:v>U/K</x:v>
      </x:c>
      <x:c r="K11" s="346" t="str">
        <x:v>Yes</x:v>
      </x:c>
      <x:c r="L11" s="346" t="str">
        <x:v>Yes</x:v>
      </x:c>
      <x:c r="M11" s="346" t="str">
        <x:v>Yes</x:v>
      </x:c>
      <x:c r="N11" s="346" t="str">
        <x:v>U/K</x:v>
      </x:c>
      <x:c r="O11" s="346" t="str">
        <x:v>Yes</x:v>
      </x:c>
      <x:c r="P11" s="346" t="str">
        <x:v>U/K</x:v>
      </x:c>
      <x:c r="Q11" s="346" t="str">
        <x:v>Yes</x:v>
      </x:c>
      <x:c r="R11" s="346" t="str">
        <x:v>U/K</x:v>
      </x:c>
      <x:c r="S11" s="346" t="str">
        <x:v>Yes</x:v>
      </x:c>
      <x:c r="T11" s="346" t="str">
        <x:v>U/K</x:v>
      </x:c>
      <x:c r="U11" s="346" t="str">
        <x:v>U/K</x:v>
      </x:c>
      <x:c r="V11" s="346" t="str">
        <x:v>Yes</x:v>
      </x:c>
      <x:c r="W11" s="346" t="str">
        <x:v>U/K</x:v>
      </x:c>
      <x:c r="X11" s="346" t="str">
        <x:v>U/K</x:v>
      </x:c>
      <x:c r="Y11" s="346" t="str">
        <x:v>Yes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Yes</x:v>
      </x:c>
      <x:c r="AE11" s="346" t="str">
        <x:v>Yes</x:v>
      </x:c>
    </x:row>
    <x:row r="12" ht="36" customHeight="1">
      <x:c r="A12" s="378" t="str">
        <x:v>OAuth2?</x:v>
      </x:c>
      <x:c r="B12" s="346" t="str">
        <x:v>Yes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Yes</x:v>
      </x:c>
      <x:c r="M12" s="346" t="str">
        <x:v>Yes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Yes</x:v>
      </x:c>
      <x:c r="AE12" s="346" t="str">
        <x:v>U/K</x:v>
      </x:c>
    </x:row>
    <x:row r="13" ht="36" customHeight="1">
      <x:c r="A13" s="378" t="str">
        <x:v>Developer Portal?</x:v>
      </x:c>
      <x:c r="B13" s="346" t="str">
        <x:v>Yes - Developer Portal + per-route/global REST limits; Gateway 120 events/60s/connection</x:v>
      </x:c>
      <x:c r="C13" s="346" t="str">
        <x:v>Documented API; exact rate limits configurable/U/K</x:v>
      </x:c>
      <x:c r="D13" s="346" t="str">
        <x:v>No public developer portal/API limits yet</x:v>
      </x:c>
      <x:c r="E13" s="346" t="str">
        <x:v>API rate limits documented/Discord-inspired; exact values U/K</x:v>
      </x:c>
      <x:c r="F13" s="346" t="str">
        <x:v>Developer Portal; hosted runtime; rate-limit details U/K</x:v>
      </x:c>
      <x:c r="G13" s="346" t="str">
        <x:v>Public spec/API; rate limits homeserver-dependent</x:v>
      </x:c>
      <x:c r="H13" s="346" t="str">
        <x:v>Documented API; operator-configurable</x:v>
      </x:c>
      <x:c r="I13" s="346" t="str">
        <x:v>Public protocol/docs; limits server-controlled</x:v>
      </x:c>
      <x:c r="J13" s="346" t="str">
        <x:v>Documented APIs; limits U/K</x:v>
      </x:c>
      <x:c r="K13" s="346" t="str">
        <x:v>Public API docs/rate behavior</x:v>
      </x:c>
      <x:c r="L13" s="346" t="str">
        <x:v>Documented APIs/rate limits</x:v>
      </x:c>
      <x:c r="M13" s="346" t="str">
        <x:v>Public API docs/rate limits</x:v>
      </x:c>
      <x:c r="N13" s="346" t="str">
        <x:v>U/K</x:v>
      </x:c>
      <x:c r="O13" s="346" t="str">
        <x:v>Public API docs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Public API/docs</x:v>
      </x:c>
      <x:c r="T13" s="346" t="str">
        <x:v>U/K</x:v>
      </x:c>
      <x:c r="U13" s="346" t="str">
        <x:v>U/K</x:v>
      </x:c>
      <x:c r="V13" s="346" t="str">
        <x:v>Public source/API</x:v>
      </x:c>
      <x:c r="W13" s="346" t="str">
        <x:v>Public code</x:v>
      </x:c>
      <x:c r="X13" s="346" t="str">
        <x:v>Open source</x:v>
      </x:c>
      <x:c r="Y13" s="346" t="str">
        <x:v>Source/whitepaper</x:v>
      </x:c>
      <x:c r="Z13" s="346" t="str">
        <x:v>Operator configured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Public API</x:v>
      </x:c>
      <x:c r="AE13" s="346" t="str">
        <x:v>U/K</x:v>
      </x:c>
    </x:row>
    <x:row r="14" ht="36" customHeight="1">
      <x:c r="A14" s="378" t="str">
        <x:v>Embedded Apps?</x:v>
      </x:c>
      <x:c r="B14" s="346" t="str">
        <x:v>Yes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Yes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Yes</x:v>
      </x:c>
      <x:c r="M14" s="346" t="str">
        <x:v>Yes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Yes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78" t="str">
        <x:v>App Marketplace / Directory</x:v>
      </x:c>
      <x:c r="B15" s="346" t="str">
        <x:v>Yes - App Directory / platform apps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Integration directory</x:v>
      </x:c>
      <x:c r="L15" s="346" t="str">
        <x:v>Plugin marketplace/ecosystem</x:v>
      </x:c>
      <x:c r="M15" s="346" t="str">
        <x:v>Yes - Marketplace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First-party Portals; third-party marketplace 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User-Installed Apps</x:v>
      </x:c>
      <x:c r="B16" s="346" t="str">
        <x:v>Yes - user-installable apps supported</x:v>
      </x:c>
      <x:c r="C16" s="346" t="str">
        <x:v>U/K</x:v>
      </x:c>
      <x:c r="D16" s="346" t="str">
        <x:v>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Workspace-admin app install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U/K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>
      <x:c r="A17" s="24"/>
      <x:c r="B17" s="24"/>
      <x:c r="C17" s="24"/>
      <x:c r="D17" s="24"/>
      <x:c r="E17" s="24"/>
      <x:c r="F17" s="24"/>
      <x:c r="G17" s="24"/>
      <x:c r="H17" s="24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 s="24"/>
      <x:c r="H18" s="24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 s="24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 s="24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 s="24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 s="24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 s="24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 s="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 s="24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 s="24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 s="24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9">
    <x:cfRule type="expression" dxfId="50" priority="1">
      <x:formula>ISNUMBER(SEARCH("U/K",B3))</x:formula>
    </x:cfRule>
    <x:cfRule type="expression" dxfId="51" priority="2">
      <x:formula>OR(B3="N/A",LEFT(B3,4)="N/A ")</x:formula>
    </x:cfRule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Developer APIs, Bots &amp; Extensibility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API Surfaces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Public REST API?</x:v>
      </x:c>
      <x:c r="B4" s="346" t="str">
        <x:v>Yes</x:v>
      </x:c>
      <x:c r="C4" s="346" t="str">
        <x:v>Yes</x:v>
      </x:c>
      <x:c r="D4" s="346" t="str">
        <x:v>U/K</x:v>
      </x:c>
      <x:c r="E4" s="346" t="str">
        <x:v>Yes</x:v>
      </x:c>
      <x:c r="F4" s="346" t="str">
        <x:v>U/K</x:v>
      </x:c>
      <x:c r="G4" s="346" t="str">
        <x:v>U/K</x:v>
      </x:c>
      <x:c r="H4" s="346" t="str">
        <x:v>Yes</x:v>
      </x:c>
      <x:c r="I4" s="346" t="str">
        <x:v>U/K</x:v>
      </x:c>
      <x:c r="J4" s="346" t="str">
        <x:v>U/K</x:v>
      </x:c>
      <x:c r="K4" s="346" t="str">
        <x:v>Yes</x:v>
      </x:c>
      <x:c r="L4" s="346" t="str">
        <x:v>Yes</x:v>
      </x:c>
      <x:c r="M4" s="346" t="str">
        <x:v>Yes</x:v>
      </x:c>
      <x:c r="N4" s="346" t="str">
        <x:v>U/K</x:v>
      </x:c>
      <x:c r="O4" s="346" t="str">
        <x:v>Yes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No</x:v>
      </x:c>
      <x:c r="Y4" s="346" t="str">
        <x:v>Yes</x:v>
      </x:c>
      <x:c r="Z4" s="346" t="str">
        <x:v>U/K</x:v>
      </x:c>
      <x:c r="AA4" s="380" t="str">
        <x:v>U/K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9" t="str">
        <x:v>Gateway / WebSocket API?</x:v>
      </x:c>
      <x:c r="B5" s="346" t="str">
        <x:v>Yes</x:v>
      </x:c>
      <x:c r="C5" s="346" t="str">
        <x:v>Yes</x:v>
      </x:c>
      <x:c r="D5" s="346" t="str">
        <x:v>U/K</x:v>
      </x:c>
      <x:c r="E5" s="346" t="str">
        <x:v>Yes</x:v>
      </x:c>
      <x:c r="F5" s="346" t="str">
        <x:v>U/K</x:v>
      </x:c>
      <x:c r="G5" s="346" t="str">
        <x:v>Yes</x:v>
      </x:c>
      <x:c r="H5" s="346" t="str">
        <x:v>Yes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Yes</x:v>
      </x:c>
      <x:c r="M5" s="346" t="str">
        <x:v>Yes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Yes</x:v>
      </x:c>
      <x:c r="AA5" s="380" t="str">
        <x:v>U/K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Realtime Event API?</x:v>
      </x:c>
      <x:c r="B6" s="346" t="str">
        <x:v>Yes</x:v>
      </x:c>
      <x:c r="C6" s="346" t="str">
        <x:v>Yes</x:v>
      </x:c>
      <x:c r="D6" s="346" t="str">
        <x:v>U/K</x:v>
      </x:c>
      <x:c r="E6" s="346" t="str">
        <x:v>Yes</x:v>
      </x:c>
      <x:c r="F6" s="346" t="str">
        <x:v>U/K</x:v>
      </x:c>
      <x:c r="G6" s="346" t="str">
        <x:v>Yes</x:v>
      </x:c>
      <x:c r="H6" s="346" t="str">
        <x:v>Yes</x:v>
      </x:c>
      <x:c r="I6" s="346" t="str">
        <x:v>U/K</x:v>
      </x:c>
      <x:c r="J6" s="346" t="str">
        <x:v>U/K</x:v>
      </x:c>
      <x:c r="K6" s="346" t="str">
        <x:v>Yes</x:v>
      </x:c>
      <x:c r="L6" s="346" t="str">
        <x:v>Yes</x:v>
      </x:c>
      <x:c r="M6" s="346" t="str">
        <x:v>Yes</x:v>
      </x:c>
      <x:c r="N6" s="346" t="str">
        <x:v>U/K</x:v>
      </x:c>
      <x:c r="O6" s="346" t="str">
        <x:v>Yes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Yes</x:v>
      </x:c>
      <x:c r="AA6" s="380" t="str">
        <x:v>U/K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9" t="str">
        <x:v>Inbound Webhooks?</x:v>
      </x:c>
      <x:c r="B7" s="346" t="str">
        <x:v>Yes</x:v>
      </x:c>
      <x:c r="C7" s="346" t="str">
        <x:v>U/K</x:v>
      </x:c>
      <x:c r="D7" s="346" t="str">
        <x:v>No current public webhook API verified</x:v>
      </x:c>
      <x:c r="E7" s="346" t="str">
        <x:v>Webhooks/API support; exact inbound semantics U/K</x:v>
      </x:c>
      <x:c r="F7" s="346" t="str">
        <x:v>U/K</x:v>
      </x:c>
      <x:c r="G7" s="346" t="str">
        <x:v>Application services/webhooks via integrations</x:v>
      </x:c>
      <x:c r="H7" s="346" t="str">
        <x:v>Discord-compatible webhooks target</x:v>
      </x:c>
      <x:c r="I7" s="346" t="str">
        <x:v>No Discord-style incoming webhooks</x:v>
      </x:c>
      <x:c r="J7" s="346" t="str">
        <x:v>U/K</x:v>
      </x:c>
      <x:c r="K7" s="346" t="str">
        <x:v>Yes - incoming webhooks/integrations</x:v>
      </x:c>
      <x:c r="L7" s="346" t="str">
        <x:v>Yes</x:v>
      </x:c>
      <x:c r="M7" s="346" t="str">
        <x:v>Yes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Webhooks supported</x:v>
      </x:c>
      <x:c r="R7" s="346" t="str">
        <x:v>U/K</x:v>
      </x:c>
      <x:c r="S7" s="346" t="str">
        <x:v>Integrations</x:v>
      </x:c>
      <x:c r="T7" s="346" t="str">
        <x:v>U/K</x:v>
      </x:c>
      <x:c r="U7" s="346" t="str">
        <x:v>U/K</x:v>
      </x:c>
      <x:c r="V7" s="346" t="str">
        <x:v>Discord-compatible target</x:v>
      </x:c>
      <x:c r="W7" s="346" t="str">
        <x:v>Bridge/integrations</x:v>
      </x:c>
      <x:c r="X7" s="346" t="str">
        <x:v>Nostr relays/integrations</x:v>
      </x:c>
      <x:c r="Y7" s="346" t="str">
        <x:v>No</x:v>
      </x:c>
      <x:c r="Z7" s="346" t="str">
        <x:v>Plugins</x:v>
      </x:c>
      <x:c r="AA7" s="380" t="str">
        <x:v>Yes - Discord/GitHub/Slack-compatible</x:v>
      </x:c>
      <x:c r="AB7" s="346" t="str">
        <x:v>Discord-compatible webhooks</x:v>
      </x:c>
      <x:c r="AC7" s="346" t="str">
        <x:v>U/K</x:v>
      </x:c>
      <x:c r="AD7" s="346" t="str">
        <x:v>Incoming webhooks</x:v>
      </x:c>
      <x:c r="AE7" s="346" t="str">
        <x:v>U/K</x:v>
      </x:c>
    </x:row>
    <x:row r="8" ht="36" customHeight="1">
      <x:c r="A8" s="359" t="str">
        <x:v>Outbound / Event Webhooks?</x:v>
      </x:c>
      <x:c r="B8" s="346" t="str">
        <x:v>Yes - webhook events and interaction endpoints</x:v>
      </x:c>
      <x:c r="C8" s="346" t="str">
        <x:v>U/K</x:v>
      </x:c>
      <x:c r="D8" s="346" t="str">
        <x:v>No current public event webhook API verified</x:v>
      </x:c>
      <x:c r="E8" s="346" t="str">
        <x:v>Gateway events/webhooks</x:v>
      </x:c>
      <x:c r="F8" s="346" t="str">
        <x:v>Event subscriptions in hosted runtime</x:v>
      </x:c>
      <x:c r="G8" s="346" t="str">
        <x:v>Application Service transactions/events</x:v>
      </x:c>
      <x:c r="H8" s="346" t="str">
        <x:v>Gateway events</x:v>
      </x:c>
      <x:c r="I8" s="346" t="str">
        <x:v>No Discord-style outbound webhooks</x:v>
      </x:c>
      <x:c r="J8" s="346" t="str">
        <x:v>U/K</x:v>
      </x:c>
      <x:c r="K8" s="346" t="str">
        <x:v>Yes - bots/webhooks/event queues</x:v>
      </x:c>
      <x:c r="L8" s="346" t="str">
        <x:v>Yes</x:v>
      </x:c>
      <x:c r="M8" s="346" t="str">
        <x:v>Yes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Events/interactions</x:v>
      </x:c>
      <x:c r="R8" s="346" t="str">
        <x:v>Federation events/webhooks planned</x:v>
      </x:c>
      <x:c r="S8" s="346" t="str">
        <x:v>Integrations</x:v>
      </x:c>
      <x:c r="T8" s="346" t="str">
        <x:v>U/K</x:v>
      </x:c>
      <x:c r="U8" s="346" t="str">
        <x:v>U/K</x:v>
      </x:c>
      <x:c r="V8" s="346" t="str">
        <x:v>Gateway/events</x:v>
      </x:c>
      <x:c r="W8" s="346" t="str">
        <x:v>ATProto events</x:v>
      </x:c>
      <x:c r="X8" s="346" t="str">
        <x:v>Nostr events</x:v>
      </x:c>
      <x:c r="Y8" s="346" t="str">
        <x:v>No</x:v>
      </x:c>
      <x:c r="Z8" s="346" t="str">
        <x:v>Events/plugins</x:v>
      </x:c>
      <x:c r="AA8" s="380" t="str">
        <x:v>U/K</x:v>
      </x:c>
      <x:c r="AB8" s="346" t="str">
        <x:v>Webhooks/events</x:v>
      </x:c>
      <x:c r="AC8" s="346" t="str">
        <x:v>U/K</x:v>
      </x:c>
      <x:c r="AD8" s="346" t="str">
        <x:v>API/events</x:v>
      </x:c>
      <x:c r="AE8" s="346" t="str">
        <x:v>U/K</x:v>
      </x:c>
    </x:row>
    <x:row r="9" ht="36" customHeight="1">
      <x:c r="A9" s="359" t="str">
        <x:v>Bot Accounts?</x:v>
      </x:c>
      <x:c r="B9" s="346" t="str">
        <x:v>Yes</x:v>
      </x:c>
      <x:c r="C9" s="346" t="str">
        <x:v>Yes</x:v>
      </x:c>
      <x:c r="D9" s="346" t="str">
        <x:v>Yes</x:v>
      </x:c>
      <x:c r="E9" s="346" t="str">
        <x:v>Yes</x:v>
      </x:c>
      <x:c r="F9" s="346" t="str">
        <x:v>Yes</x:v>
      </x:c>
      <x:c r="G9" s="346" t="str">
        <x:v>Yes</x:v>
      </x:c>
      <x:c r="H9" s="346" t="str">
        <x:v>Yes</x:v>
      </x:c>
      <x:c r="I9" s="346" t="str">
        <x:v>U/K</x:v>
      </x:c>
      <x:c r="J9" s="346" t="str">
        <x:v>U/K</x:v>
      </x:c>
      <x:c r="K9" s="346" t="str">
        <x:v>Yes</x:v>
      </x:c>
      <x:c r="L9" s="346" t="str">
        <x:v>Yes</x:v>
      </x:c>
      <x:c r="M9" s="346" t="str">
        <x:v>Yes</x:v>
      </x:c>
      <x:c r="N9" s="346" t="str">
        <x:v>U/K</x:v>
      </x:c>
      <x:c r="O9" s="346" t="str">
        <x:v>Yes</x:v>
      </x:c>
      <x:c r="P9" s="346" t="str">
        <x:v>U/K</x:v>
      </x:c>
      <x:c r="Q9" s="346" t="str">
        <x:v>Yes</x:v>
      </x:c>
      <x:c r="R9" s="346" t="str">
        <x:v>U/K</x:v>
      </x:c>
      <x:c r="S9" s="346" t="str">
        <x:v>Yes</x:v>
      </x:c>
      <x:c r="T9" s="346" t="str">
        <x:v>U/K</x:v>
      </x:c>
      <x:c r="U9" s="346" t="str">
        <x:v>U/K</x:v>
      </x:c>
      <x:c r="V9" s="346" t="str">
        <x:v>Yes</x:v>
      </x:c>
      <x:c r="W9" s="346" t="str">
        <x:v>U/K</x:v>
      </x:c>
      <x:c r="X9" s="346" t="str">
        <x:v>U/K</x:v>
      </x:c>
      <x:c r="Y9" s="346" t="str">
        <x:v>Yes</x:v>
      </x:c>
      <x:c r="Z9" s="346" t="str">
        <x:v>U/K</x:v>
      </x:c>
      <x:c r="AA9" s="380" t="str">
        <x:v>U/K</x:v>
      </x:c>
      <x:c r="AB9" s="346" t="str">
        <x:v>U/K</x:v>
      </x:c>
      <x:c r="AC9" s="346" t="str">
        <x:v>U/K</x:v>
      </x:c>
      <x:c r="AD9" s="346" t="str">
        <x:v>Yes</x:v>
      </x:c>
      <x:c r="AE9" s="346" t="str">
        <x:v>Yes</x:v>
      </x:c>
    </x:row>
    <x:row r="10" ht="23" customHeight="1">
      <x:c r="A10" s="427" t="str">
        <x:v>SDKs</x:v>
      </x:c>
      <x:c r="B10" s="427"/>
      <x:c r="C10" s="427"/>
      <x:c r="D10" s="427"/>
      <x:c r="E10" s="427"/>
      <x:c r="F10" s="427"/>
      <x:c r="G10" s="427"/>
      <x:c r="H10" s="427"/>
      <x:c r="I10" s="427"/>
      <x:c r="J10" s="427"/>
      <x:c r="K10" s="427"/>
      <x:c r="L10" s="427"/>
      <x:c r="M10" s="427"/>
      <x:c r="N10" s="427"/>
      <x:c r="O10" s="427"/>
      <x:c r="P10" s="427"/>
      <x:c r="Q10" s="427"/>
      <x:c r="R10" s="427"/>
      <x:c r="S10" s="427"/>
      <x:c r="T10" s="427"/>
      <x:c r="U10" s="427"/>
      <x:c r="V10" s="427"/>
      <x:c r="W10" s="427"/>
      <x:c r="X10" s="427"/>
      <x:c r="Y10" s="427"/>
      <x:c r="Z10" s="427"/>
      <x:c r="AA10" s="427"/>
      <x:c r="AB10" s="427"/>
      <x:c r="AC10" s="427"/>
      <x:c r="AD10" s="427"/>
      <x:c r="AE10" s="427"/>
    </x:row>
    <x:row r="11" ht="36" customHeight="1">
      <x:c r="A11" s="359" t="str">
        <x:v>Official JS / TS SDK?</x:v>
      </x:c>
      <x:c r="B11" s="346" t="str">
        <x:v>Yes</x:v>
      </x:c>
      <x:c r="C11" s="346" t="str">
        <x:v>Yes</x:v>
      </x:c>
      <x:c r="D11" s="346" t="str">
        <x:v>U/K</x:v>
      </x:c>
      <x:c r="E11" s="346" t="str">
        <x:v>U/K</x:v>
      </x:c>
      <x:c r="F11" s="346" t="str">
        <x:v>Yes</x:v>
      </x:c>
      <x:c r="G11" s="346" t="str">
        <x:v>Yes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Yes</x:v>
      </x:c>
      <x:c r="M11" s="346" t="str">
        <x:v>U/K</x:v>
      </x:c>
      <x:c r="N11" s="346" t="str">
        <x:v>U/K</x:v>
      </x:c>
      <x:c r="O11" s="346" t="str">
        <x:v>Yes</x:v>
      </x:c>
      <x:c r="P11" s="346" t="str">
        <x:v>U/K</x:v>
      </x:c>
      <x:c r="Q11" s="346" t="str">
        <x:v>Yes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59" t="str">
        <x:v>Official Python SDK?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Yes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Yes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U/K</x:v>
      </x:c>
      <x:c r="R12" s="346" t="str">
        <x:v>U/K</x:v>
      </x:c>
      <x:c r="S12" s="346" t="str">
        <x:v>U/K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59" t="str">
        <x:v>Official Rust SDK?</x:v>
      </x:c>
      <x:c r="B13" s="346" t="str">
        <x:v>U/K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Yes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59" t="str">
        <x:v>Official Go SDK?</x:v>
      </x:c>
      <x:c r="B14" s="346" t="str">
        <x:v>U/K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Yes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Yes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59" t="str">
        <x:v>Community SDK Ecosystem?</x:v>
      </x:c>
      <x:c r="B15" s="346" t="str">
        <x:v>JS/TS: official Embedded App SDK; no official general bot SDKs for Python/Rust/Go; Social SDK targets C++/Unity/Unreal</x:v>
      </x:c>
      <x:c r="C15" s="346" t="str">
        <x:v>Official TypeScript client SDK; community libraries</x:v>
      </x:c>
      <x:c r="D15" s="346" t="str">
        <x:v>No public SDKs yet</x:v>
      </x:c>
      <x:c r="E15" s="346" t="str">
        <x:v>Open-source SDK ecosystem; official language coverage U/K</x:v>
      </x:c>
      <x:c r="F15" s="346" t="str">
        <x:v>Official TypeScript SDK / Node runtime</x:v>
      </x:c>
      <x:c r="G15" s="346" t="str">
        <x:v>Many SDKs incl JS/TS, Rust, Python, Go/community</x:v>
      </x:c>
      <x:c r="H15" s="346" t="str">
        <x:v>Discord ecosystem compatibility; Spacebar docs</x:v>
      </x:c>
      <x:c r="I15" s="346" t="str">
        <x:v>Community libraries</x:v>
      </x:c>
      <x:c r="J15" s="346" t="str">
        <x:v>SDKs available; language coverage U/K</x:v>
      </x:c>
      <x:c r="K15" s="346" t="str">
        <x:v>Official/community libraries incl Python; broad API</x:v>
      </x:c>
      <x:c r="L15" s="346" t="str">
        <x:v>Client/server APIs; Go/JS ecosystem</x:v>
      </x:c>
      <x:c r="M15" s="346" t="str">
        <x:v>SDKs/APIs + Apps framework</x:v>
      </x:c>
      <x:c r="N15" s="346" t="str">
        <x:v>U/K</x:v>
      </x:c>
      <x:c r="O15" s="346" t="str">
        <x:v>Official Nerimity.js</x:v>
      </x:c>
      <x:c r="P15" s="346" t="str">
        <x:v>U/K</x:v>
      </x:c>
      <x:c r="Q15" s="346" t="str">
        <x:v>discord.py/discord.js compatibility</x:v>
      </x:c>
      <x:c r="R15" s="346" t="str">
        <x:v>U/K</x:v>
      </x:c>
      <x:c r="S15" s="346" t="str">
        <x:v>SDK/integration ecosystem</x:v>
      </x:c>
      <x:c r="T15" s="346" t="str">
        <x:v>U/K</x:v>
      </x:c>
      <x:c r="U15" s="346" t="str">
        <x:v>U/K</x:v>
      </x:c>
      <x:c r="V15" s="346" t="str">
        <x:v>Discord bot libraries largely reusable</x:v>
      </x:c>
      <x:c r="W15" s="346" t="str">
        <x:v>Roomy SDK</x:v>
      </x:c>
      <x:c r="X15" s="346" t="str">
        <x:v>Nostr libraries</x:v>
      </x:c>
      <x:c r="Y15" s="346" t="str">
        <x:v>Open source</x:v>
      </x:c>
      <x:c r="Z15" s="346" t="str">
        <x:v>Custom/open-source ecosystem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Official .NET SDK</x:v>
      </x:c>
      <x:c r="AE15" s="346" t="str">
        <x:v>U/K</x:v>
      </x:c>
    </x:row>
    <x:row r="16" ht="23" customHeight="1">
      <x:c r="A16" s="427" t="str">
        <x:v>Interactions</x:v>
      </x:c>
      <x:c r="B16" s="427"/>
      <x:c r="C16" s="427"/>
      <x:c r="D16" s="427"/>
      <x:c r="E16" s="427"/>
      <x:c r="F16" s="427"/>
      <x:c r="G16" s="427"/>
      <x:c r="H16" s="427"/>
      <x:c r="I16" s="427"/>
      <x:c r="J16" s="427"/>
      <x:c r="K16" s="427"/>
      <x:c r="L16" s="427"/>
      <x:c r="M16" s="427"/>
      <x:c r="N16" s="427"/>
      <x:c r="O16" s="427"/>
      <x:c r="P16" s="427"/>
      <x:c r="Q16" s="427"/>
      <x:c r="R16" s="427"/>
      <x:c r="S16" s="427"/>
      <x:c r="T16" s="427"/>
      <x:c r="U16" s="427"/>
      <x:c r="V16" s="427"/>
      <x:c r="W16" s="427"/>
      <x:c r="X16" s="427"/>
      <x:c r="Y16" s="427"/>
      <x:c r="Z16" s="427"/>
      <x:c r="AA16" s="427"/>
      <x:c r="AB16" s="427"/>
      <x:c r="AC16" s="427"/>
      <x:c r="AD16" s="427"/>
      <x:c r="AE16" s="427"/>
    </x:row>
    <x:row r="17" ht="36" customHeight="1">
      <x:c r="A17" s="359" t="str">
        <x:v>Slash Commands?</x:v>
      </x:c>
      <x:c r="B17" s="346" t="str">
        <x:v>Yes - slash commands, components, modals, interactions</x:v>
      </x:c>
      <x:c r="C17" s="346" t="str">
        <x:v>Bots/API support; slash-interaction parity U/K</x:v>
      </x:c>
      <x:c r="D17" s="346" t="str">
        <x:v>Native slash commands exist; developer interaction API planned</x:v>
      </x:c>
      <x:c r="E17" s="346" t="str">
        <x:v>Discord-like interactions; exact slash-command status U/K</x:v>
      </x:c>
      <x:c r="F17" s="346" t="str">
        <x:v>Bots/commands + full GUI Apps</x:v>
      </x:c>
      <x:c r="G17" s="346" t="str">
        <x:v>Client extensions/bots; interaction UX client-dependent</x:v>
      </x:c>
      <x:c r="H17" s="346" t="str">
        <x:v>Discord interaction compatibility target</x:v>
      </x:c>
      <x:c r="I17" s="346" t="str">
        <x:v>N/A</x:v>
      </x:c>
      <x:c r="J17" s="346" t="str">
        <x:v>U/K</x:v>
      </x:c>
      <x:c r="K17" s="346" t="str">
        <x:v>Slash-command-style integrations/bots</x:v>
      </x:c>
      <x:c r="L17" s="346" t="str">
        <x:v>Slash commands + interactive messages</x:v>
      </x:c>
      <x:c r="M17" s="346" t="str">
        <x:v>Slash commands/apps</x:v>
      </x:c>
      <x:c r="N17" s="346" t="str">
        <x:v>U/K</x:v>
      </x:c>
      <x:c r="O17" s="346" t="str">
        <x:v>Bots/API</x:v>
      </x:c>
      <x:c r="P17" s="346" t="str">
        <x:v>U/K</x:v>
      </x:c>
      <x:c r="Q17" s="346" t="str">
        <x:v>Slash commands/buttons/modals</x:v>
      </x:c>
      <x:c r="R17" s="346" t="str">
        <x:v>U/K</x:v>
      </x:c>
      <x:c r="S17" s="346" t="str">
        <x:v>Bots</x:v>
      </x:c>
      <x:c r="T17" s="346" t="str">
        <x:v>U/K</x:v>
      </x:c>
      <x:c r="U17" s="346" t="str">
        <x:v>U/K</x:v>
      </x:c>
      <x:c r="V17" s="346" t="str">
        <x:v>Interactions target</x:v>
      </x:c>
      <x:c r="W17" s="346" t="str">
        <x:v>U/K</x:v>
      </x:c>
      <x:c r="X17" s="346" t="str">
        <x:v>Protocol-driven</x:v>
      </x:c>
      <x:c r="Y17" s="346" t="str">
        <x:v>No bot ecosystem yet</x:v>
      </x:c>
      <x:c r="Z17" s="346" t="str">
        <x:v>Plugin system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Bots/OAuth apps</x:v>
      </x:c>
      <x:c r="AE17" s="346" t="str">
        <x:v>Native modules rather than bot-first</x:v>
      </x:c>
    </x:row>
    <x:row r="18" ht="36" customHeight="1">
      <x:c r="A18" s="359" t="str">
        <x:v>Buttons / Components?</x:v>
      </x:c>
      <x:c r="B18" s="346" t="str">
        <x:v>Yes - slash commands, components, modals, interactions</x:v>
      </x:c>
      <x:c r="C18" s="346" t="str">
        <x:v>Bots/API support; slash-interaction parity U/K</x:v>
      </x:c>
      <x:c r="D18" s="346" t="str">
        <x:v>Native slash commands exist; developer interaction API planned</x:v>
      </x:c>
      <x:c r="E18" s="346" t="str">
        <x:v>Discord-like interactions; exact slash-command status U/K</x:v>
      </x:c>
      <x:c r="F18" s="346" t="str">
        <x:v>Bots/commands + full GUI Apps</x:v>
      </x:c>
      <x:c r="G18" s="346" t="str">
        <x:v>Client extensions/bots; interaction UX client-dependent</x:v>
      </x:c>
      <x:c r="H18" s="346" t="str">
        <x:v>Discord interaction compatibility target</x:v>
      </x:c>
      <x:c r="I18" s="346" t="str">
        <x:v>N/A</x:v>
      </x:c>
      <x:c r="J18" s="346" t="str">
        <x:v>U/K</x:v>
      </x:c>
      <x:c r="K18" s="346" t="str">
        <x:v>Slash-command-style integrations/bots</x:v>
      </x:c>
      <x:c r="L18" s="346" t="str">
        <x:v>Slash commands + interactive messages</x:v>
      </x:c>
      <x:c r="M18" s="346" t="str">
        <x:v>Slash commands/apps</x:v>
      </x:c>
      <x:c r="N18" s="346" t="str">
        <x:v>U/K</x:v>
      </x:c>
      <x:c r="O18" s="346" t="str">
        <x:v>Bots/API</x:v>
      </x:c>
      <x:c r="P18" s="346" t="str">
        <x:v>U/K</x:v>
      </x:c>
      <x:c r="Q18" s="346" t="str">
        <x:v>Slash commands/buttons/modals</x:v>
      </x:c>
      <x:c r="R18" s="346" t="str">
        <x:v>U/K</x:v>
      </x:c>
      <x:c r="S18" s="346" t="str">
        <x:v>Bots</x:v>
      </x:c>
      <x:c r="T18" s="346" t="str">
        <x:v>U/K</x:v>
      </x:c>
      <x:c r="U18" s="346" t="str">
        <x:v>U/K</x:v>
      </x:c>
      <x:c r="V18" s="346" t="str">
        <x:v>Interactions target</x:v>
      </x:c>
      <x:c r="W18" s="346" t="str">
        <x:v>U/K</x:v>
      </x:c>
      <x:c r="X18" s="346" t="str">
        <x:v>Protocol-driven</x:v>
      </x:c>
      <x:c r="Y18" s="346" t="str">
        <x:v>No bot ecosystem yet</x:v>
      </x:c>
      <x:c r="Z18" s="346" t="str">
        <x:v>Plugin system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Bots/OAuth apps</x:v>
      </x:c>
      <x:c r="AE18" s="346" t="str">
        <x:v>Native modules rather than bot-first</x:v>
      </x:c>
    </x:row>
    <x:row r="19" ht="36" customHeight="1">
      <x:c r="A19" s="359" t="str">
        <x:v>Modals / Forms?</x:v>
      </x:c>
      <x:c r="B19" s="346" t="str">
        <x:v>Yes - slash commands, components, modals, interactions</x:v>
      </x:c>
      <x:c r="C19" s="346" t="str">
        <x:v>Bots/API support; slash-interaction parity U/K</x:v>
      </x:c>
      <x:c r="D19" s="346" t="str">
        <x:v>Native slash commands exist; developer interaction API planned</x:v>
      </x:c>
      <x:c r="E19" s="346" t="str">
        <x:v>Discord-like interactions; exact slash-command status U/K</x:v>
      </x:c>
      <x:c r="F19" s="346" t="str">
        <x:v>Bots/commands + full GUI Apps</x:v>
      </x:c>
      <x:c r="G19" s="346" t="str">
        <x:v>Client extensions/bots; interaction UX client-dependent</x:v>
      </x:c>
      <x:c r="H19" s="346" t="str">
        <x:v>Discord interaction compatibility target</x:v>
      </x:c>
      <x:c r="I19" s="346" t="str">
        <x:v>N/A</x:v>
      </x:c>
      <x:c r="J19" s="346" t="str">
        <x:v>U/K</x:v>
      </x:c>
      <x:c r="K19" s="346" t="str">
        <x:v>Slash-command-style integrations/bots</x:v>
      </x:c>
      <x:c r="L19" s="346" t="str">
        <x:v>Slash commands + interactive messages</x:v>
      </x:c>
      <x:c r="M19" s="346" t="str">
        <x:v>Slash commands/apps</x:v>
      </x:c>
      <x:c r="N19" s="346" t="str">
        <x:v>U/K</x:v>
      </x:c>
      <x:c r="O19" s="346" t="str">
        <x:v>Bots/API</x:v>
      </x:c>
      <x:c r="P19" s="346" t="str">
        <x:v>U/K</x:v>
      </x:c>
      <x:c r="Q19" s="346" t="str">
        <x:v>Slash commands/buttons/modals</x:v>
      </x:c>
      <x:c r="R19" s="346" t="str">
        <x:v>U/K</x:v>
      </x:c>
      <x:c r="S19" s="346" t="str">
        <x:v>Bots</x:v>
      </x:c>
      <x:c r="T19" s="346" t="str">
        <x:v>U/K</x:v>
      </x:c>
      <x:c r="U19" s="346" t="str">
        <x:v>U/K</x:v>
      </x:c>
      <x:c r="V19" s="346" t="str">
        <x:v>Interactions target</x:v>
      </x:c>
      <x:c r="W19" s="346" t="str">
        <x:v>U/K</x:v>
      </x:c>
      <x:c r="X19" s="346" t="str">
        <x:v>Protocol-driven</x:v>
      </x:c>
      <x:c r="Y19" s="346" t="str">
        <x:v>No bot ecosystem yet</x:v>
      </x:c>
      <x:c r="Z19" s="346" t="str">
        <x:v>Plugin system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Bots/OAuth apps</x:v>
      </x:c>
      <x:c r="AE19" s="346" t="str">
        <x:v>Native modules rather than bot-first</x:v>
      </x:c>
    </x:row>
    <x:row r="20" ht="36" customHeight="1">
      <x:c r="A20" s="359" t="str">
        <x:v>Embedded Apps?</x:v>
      </x:c>
      <x:c r="B20" s="346" t="str">
        <x:v>Yes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Yes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Yes</x:v>
      </x:c>
      <x:c r="M20" s="346" t="str">
        <x:v>Yes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Yes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Yes - Portals / embedded workspaces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23" customHeight="1">
      <x:c r="A21" s="427" t="str">
        <x:v>Extensibility</x:v>
      </x:c>
      <x:c r="B21" s="427"/>
      <x:c r="C21" s="427"/>
      <x:c r="D21" s="427"/>
      <x:c r="E21" s="427"/>
      <x:c r="F21" s="427"/>
      <x:c r="G21" s="427"/>
      <x:c r="H21" s="427"/>
      <x:c r="I21" s="427"/>
      <x:c r="J21" s="427"/>
      <x:c r="K21" s="427"/>
      <x:c r="L21" s="427"/>
      <x:c r="M21" s="427"/>
      <x:c r="N21" s="427"/>
      <x:c r="O21" s="427"/>
      <x:c r="P21" s="427"/>
      <x:c r="Q21" s="427"/>
      <x:c r="R21" s="427"/>
      <x:c r="S21" s="427"/>
      <x:c r="T21" s="427"/>
      <x:c r="U21" s="427"/>
      <x:c r="V21" s="427"/>
      <x:c r="W21" s="427"/>
      <x:c r="X21" s="427"/>
      <x:c r="Y21" s="427"/>
      <x:c r="Z21" s="427"/>
      <x:c r="AA21" s="427"/>
      <x:c r="AB21" s="427"/>
      <x:c r="AC21" s="427"/>
      <x:c r="AD21" s="427"/>
      <x:c r="AE21" s="427"/>
    </x:row>
    <x:row r="22" ht="36" customHeight="1">
      <x:c r="A22" s="359" t="str">
        <x:v>Server Plugins?</x:v>
      </x:c>
      <x:c r="B22" s="346" t="str">
        <x:v>U/K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</x:v>
      </x:c>
      <x:c r="H22" s="346" t="str">
        <x:v>U/K</x:v>
      </x:c>
      <x:c r="I22" s="346" t="str">
        <x:v>Yes</x:v>
      </x:c>
      <x:c r="J22" s="346" t="str">
        <x:v>Yes</x:v>
      </x:c>
      <x:c r="K22" s="346" t="str">
        <x:v>U/K</x:v>
      </x:c>
      <x:c r="L22" s="346" t="str">
        <x:v>Yes</x:v>
      </x:c>
      <x:c r="M22" s="346" t="str">
        <x:v>Yes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Yes</x:v>
      </x:c>
      <x:c r="AA22" s="380" t="str">
        <x:v>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36" customHeight="1">
      <x:c r="A23" s="359" t="str">
        <x:v>Client Plugins?</x:v>
      </x:c>
      <x:c r="B23" s="346" t="str">
        <x:v>No official client plugin/modding architecture</x:v>
      </x:c>
      <x:c r="C23" s="346" t="str">
        <x:v>Community clients/themes; no stable official plugin architecture verified</x:v>
      </x:c>
      <x:c r="D23" s="346" t="str">
        <x:v>No</x:v>
      </x:c>
      <x:c r="E23" s="346" t="str">
        <x:v>No official client-plugin architecture verified</x:v>
      </x:c>
      <x:c r="F23" s="346" t="str">
        <x:v>No client modding</x:v>
      </x:c>
      <x:c r="G23" s="346" t="str">
        <x:v>Multiple independent clients rather than plugins to one official client</x:v>
      </x:c>
      <x:c r="H23" s="346" t="str">
        <x:v>Spacebar-aware client theming/plugin goals</x:v>
      </x:c>
      <x:c r="I23" s="346" t="str">
        <x:v>Plugins supported</x:v>
      </x:c>
      <x:c r="J23" s="346" t="str">
        <x:v>Plugins/addons ecosystem</x:v>
      </x:c>
      <x:c r="K23" s="346" t="str">
        <x:v>No client plugin architecture</x:v>
      </x:c>
      <x:c r="L23" s="346" t="str">
        <x:v>Plugin architecture (server/webapp)</x:v>
      </x:c>
      <x:c r="M23" s="346" t="str">
        <x:v>Apps/plugin framework</x:v>
      </x:c>
      <x:c r="N23" s="346" t="str">
        <x:v>No client plugins verified</x:v>
      </x:c>
      <x:c r="O23" s="346" t="str">
        <x:v>Themes/RPC</x:v>
      </x:c>
      <x:c r="P23" s="346" t="str">
        <x:v>U/K</x:v>
      </x:c>
      <x:c r="Q23" s="346" t="str">
        <x:v>No client plugins verified</x:v>
      </x:c>
      <x:c r="R23" s="346" t="str">
        <x:v>No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Independent clients encouraged</x:v>
      </x:c>
      <x:c r="W23" s="346" t="str">
        <x:v>Open protocol client ecosystem</x:v>
      </x:c>
      <x:c r="X23" s="346" t="str">
        <x:v>Independent clients possible</x:v>
      </x:c>
      <x:c r="Y23" s="346" t="str">
        <x:v>No plugin ecosystem</x:v>
      </x:c>
      <x:c r="Z23" s="346" t="str">
        <x:v>Plugin system</x:v>
      </x:c>
      <x:c r="AA23" s="380" t="str">
        <x:v>U/K</x:v>
      </x:c>
      <x:c r="AB23" s="346" t="str">
        <x:v>Open source</x:v>
      </x:c>
      <x:c r="AC23" s="346" t="str">
        <x:v>U/K</x:v>
      </x:c>
      <x:c r="AD23" s="346" t="str">
        <x:v>Themes rather than client mods</x:v>
      </x:c>
      <x:c r="AE23" s="346" t="str">
        <x:v>No</x:v>
      </x:c>
    </x:row>
    <x:row r="24" ht="36" customHeight="1">
      <x:c r="A24" s="359" t="str">
        <x:v>OAuth2?</x:v>
      </x:c>
      <x:c r="B24" s="346" t="str">
        <x:v>Yes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Yes</x:v>
      </x:c>
      <x:c r="M24" s="346" t="str">
        <x:v>Yes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U/K</x:v>
      </x:c>
      <x:c r="AB24" s="346" t="str">
        <x:v>U/K</x:v>
      </x:c>
      <x:c r="AC24" s="346" t="str">
        <x:v>U/K</x:v>
      </x:c>
      <x:c r="AD24" s="346" t="str">
        <x:v>Yes</x:v>
      </x:c>
      <x:c r="AE24" s="346" t="str">
        <x:v>U/K</x:v>
      </x:c>
    </x:row>
    <x:row r="25" ht="36" customHeight="1">
      <x:c r="A25" s="359" t="str">
        <x:v>Developer Portal?</x:v>
      </x:c>
      <x:c r="B25" s="346" t="str">
        <x:v>Yes - Developer Portal + per-route/global REST limits; Gateway 120 events/60s/connection</x:v>
      </x:c>
      <x:c r="C25" s="346" t="str">
        <x:v>Documented API; exact rate limits configurable/U/K</x:v>
      </x:c>
      <x:c r="D25" s="346" t="str">
        <x:v>No public developer portal/API limits yet</x:v>
      </x:c>
      <x:c r="E25" s="346" t="str">
        <x:v>API rate limits documented/Discord-inspired; exact values U/K</x:v>
      </x:c>
      <x:c r="F25" s="346" t="str">
        <x:v>Developer Portal; hosted runtime; rate-limit details U/K</x:v>
      </x:c>
      <x:c r="G25" s="346" t="str">
        <x:v>Public spec/API; rate limits homeserver-dependent</x:v>
      </x:c>
      <x:c r="H25" s="346" t="str">
        <x:v>Documented API; operator-configurable</x:v>
      </x:c>
      <x:c r="I25" s="346" t="str">
        <x:v>Public protocol/docs; limits server-controlled</x:v>
      </x:c>
      <x:c r="J25" s="346" t="str">
        <x:v>Documented APIs; limits U/K</x:v>
      </x:c>
      <x:c r="K25" s="346" t="str">
        <x:v>Public API docs/rate behavior</x:v>
      </x:c>
      <x:c r="L25" s="346" t="str">
        <x:v>Documented APIs/rate limits</x:v>
      </x:c>
      <x:c r="M25" s="346" t="str">
        <x:v>Public API docs/rate limits</x:v>
      </x:c>
      <x:c r="N25" s="346" t="str">
        <x:v>U/K</x:v>
      </x:c>
      <x:c r="O25" s="346" t="str">
        <x:v>Public API docs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Public API/docs</x:v>
      </x:c>
      <x:c r="T25" s="346" t="str">
        <x:v>U/K</x:v>
      </x:c>
      <x:c r="U25" s="346" t="str">
        <x:v>U/K</x:v>
      </x:c>
      <x:c r="V25" s="346" t="str">
        <x:v>Public source/API</x:v>
      </x:c>
      <x:c r="W25" s="346" t="str">
        <x:v>Public code</x:v>
      </x:c>
      <x:c r="X25" s="346" t="str">
        <x:v>Open source</x:v>
      </x:c>
      <x:c r="Y25" s="346" t="str">
        <x:v>Source/whitepaper</x:v>
      </x:c>
      <x:c r="Z25" s="346" t="str">
        <x:v>Operator configured</x:v>
      </x:c>
      <x:c r="AA25" s="380" t="str">
        <x:v>U/K</x:v>
      </x:c>
      <x:c r="AB25" s="346" t="str">
        <x:v>U/K</x:v>
      </x:c>
      <x:c r="AC25" s="346" t="str">
        <x:v>U/K</x:v>
      </x:c>
      <x:c r="AD25" s="346" t="str">
        <x:v>Public API</x:v>
      </x:c>
      <x:c r="AE25" s="346" t="str">
        <x:v>U/K</x:v>
      </x:c>
    </x:row>
    <x:row r="26" ht="36" customHeight="1">
      <x:c r="A26" s="359" t="str">
        <x:v>API Rate Limits Published?</x:v>
      </x:c>
      <x:c r="B26" s="346" t="str">
        <x:v>Yes - Developer Portal + per-route/global REST limits; Gateway 120 events/60s/connection</x:v>
      </x:c>
      <x:c r="C26" s="346" t="str">
        <x:v>Documented API; exact rate limits configurable/U/K</x:v>
      </x:c>
      <x:c r="D26" s="346" t="str">
        <x:v>No public developer portal/API limits yet</x:v>
      </x:c>
      <x:c r="E26" s="346" t="str">
        <x:v>API rate limits documented/Discord-inspired; exact values U/K</x:v>
      </x:c>
      <x:c r="F26" s="346" t="str">
        <x:v>Developer Portal; hosted runtime; rate-limit details U/K</x:v>
      </x:c>
      <x:c r="G26" s="346" t="str">
        <x:v>Public spec/API; rate limits homeserver-dependent</x:v>
      </x:c>
      <x:c r="H26" s="346" t="str">
        <x:v>Documented API; operator-configurable</x:v>
      </x:c>
      <x:c r="I26" s="346" t="str">
        <x:v>Public protocol/docs; limits server-controlled</x:v>
      </x:c>
      <x:c r="J26" s="346" t="str">
        <x:v>Documented APIs; limits U/K</x:v>
      </x:c>
      <x:c r="K26" s="346" t="str">
        <x:v>Public API docs/rate behavior</x:v>
      </x:c>
      <x:c r="L26" s="346" t="str">
        <x:v>Documented APIs/rate limits</x:v>
      </x:c>
      <x:c r="M26" s="346" t="str">
        <x:v>Public API docs/rate limits</x:v>
      </x:c>
      <x:c r="N26" s="346" t="str">
        <x:v>U/K</x:v>
      </x:c>
      <x:c r="O26" s="346" t="str">
        <x:v>Public API docs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Public API/docs</x:v>
      </x:c>
      <x:c r="T26" s="346" t="str">
        <x:v>U/K</x:v>
      </x:c>
      <x:c r="U26" s="346" t="str">
        <x:v>U/K</x:v>
      </x:c>
      <x:c r="V26" s="346" t="str">
        <x:v>Public source/API</x:v>
      </x:c>
      <x:c r="W26" s="346" t="str">
        <x:v>Public code</x:v>
      </x:c>
      <x:c r="X26" s="346" t="str">
        <x:v>Open source</x:v>
      </x:c>
      <x:c r="Y26" s="346" t="str">
        <x:v>Source/whitepaper</x:v>
      </x:c>
      <x:c r="Z26" s="346" t="str">
        <x:v>Operator configured</x:v>
      </x:c>
      <x:c r="AA26" s="380" t="str">
        <x:v>U/K</x:v>
      </x:c>
      <x:c r="AB26" s="346" t="str">
        <x:v>U/K</x:v>
      </x:c>
      <x:c r="AC26" s="346" t="str">
        <x:v>U/K</x:v>
      </x:c>
      <x:c r="AD26" s="346" t="str">
        <x:v>Public API</x:v>
      </x:c>
      <x:c r="AE26" s="346" t="str">
        <x:v>U/K</x:v>
      </x:c>
    </x:row>
    <x:row r="27" ht="36" customHeight="1">
      <x:c r="A27" s="359" t="str">
        <x:v>Bot Hosting Included?</x:v>
      </x:c>
      <x:c r="B27" s="346" t="str">
        <x:v>No / U/K</x:v>
      </x:c>
      <x:c r="C27" s="346" t="str">
        <x:v>No / U/K</x:v>
      </x:c>
      <x:c r="D27" s="346" t="str">
        <x:v>No / U/K</x:v>
      </x:c>
      <x:c r="E27" s="346" t="str">
        <x:v>No / U/K</x:v>
      </x:c>
      <x:c r="F27" s="346" t="str">
        <x:v>Yes - hosted app runtime</x:v>
      </x:c>
      <x:c r="G27" s="346" t="str">
        <x:v>No / U/K</x:v>
      </x:c>
      <x:c r="H27" s="346" t="str">
        <x:v>No / U/K</x:v>
      </x:c>
      <x:c r="I27" s="346" t="str">
        <x:v>No / U/K</x:v>
      </x:c>
      <x:c r="J27" s="346" t="str">
        <x:v>No / U/K</x:v>
      </x:c>
      <x:c r="K27" s="346" t="str">
        <x:v>No / U/K</x:v>
      </x:c>
      <x:c r="L27" s="346" t="str">
        <x:v>No / U/K</x:v>
      </x:c>
      <x:c r="M27" s="346" t="str">
        <x:v>No / U/K</x:v>
      </x:c>
      <x:c r="N27" s="346" t="str">
        <x:v>No / U/K</x:v>
      </x:c>
      <x:c r="O27" s="346" t="str">
        <x:v>No / U/K</x:v>
      </x:c>
      <x:c r="P27" s="346" t="str">
        <x:v>No / U/K</x:v>
      </x:c>
      <x:c r="Q27" s="346" t="str">
        <x:v>No / U/K</x:v>
      </x:c>
      <x:c r="R27" s="346" t="str">
        <x:v>No / U/K</x:v>
      </x:c>
      <x:c r="S27" s="346" t="str">
        <x:v>No / U/K</x:v>
      </x:c>
      <x:c r="T27" s="346" t="str">
        <x:v>No / U/K</x:v>
      </x:c>
      <x:c r="U27" s="346" t="str">
        <x:v>No / U/K</x:v>
      </x:c>
      <x:c r="V27" s="346" t="str">
        <x:v>No / U/K</x:v>
      </x:c>
      <x:c r="W27" s="346" t="str">
        <x:v>No / U/K</x:v>
      </x:c>
      <x:c r="X27" s="346" t="str">
        <x:v>No / U/K</x:v>
      </x:c>
      <x:c r="Y27" s="346" t="str">
        <x:v>No / U/K</x:v>
      </x:c>
      <x:c r="Z27" s="346" t="str">
        <x:v>No / U/K</x:v>
      </x:c>
      <x:c r="AA27" s="380" t="str">
        <x:v>No / U/K</x:v>
      </x:c>
      <x:c r="AB27" s="346" t="str">
        <x:v>No / U/K</x:v>
      </x:c>
      <x:c r="AC27" s="346" t="str">
        <x:v>No / U/K</x:v>
      </x:c>
      <x:c r="AD27" s="346" t="str">
        <x:v>No / U/K</x:v>
      </x:c>
      <x:c r="AE27" s="346" t="str">
        <x:v>No / U/K</x:v>
      </x:c>
    </x:row>
    <x:row r="28" ht="36" customHeight="1">
      <x:c r="A28" s="359" t="str">
        <x:v>Paid Developer Features?</x:v>
      </x:c>
      <x:c r="B28" s="346" t="str">
        <x:v>Developer monetization planned/supported</x:v>
      </x:c>
      <x:c r="C28" s="346" t="str">
        <x:v>U/K</x:v>
      </x:c>
      <x:c r="D28" s="346" t="str">
        <x:v>U/K</x:v>
      </x:c>
      <x:c r="E28" s="346" t="str">
        <x:v>U/K</x:v>
      </x:c>
      <x:c r="F28" s="346" t="str">
        <x:v>Developer monetization planned/supported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U/K</x:v>
      </x:c>
      <x:c r="L28" s="346" t="str">
        <x:v>U/K</x:v>
      </x:c>
      <x:c r="M28" s="346" t="str">
        <x:v>U/K</x:v>
      </x:c>
      <x:c r="N28" s="346" t="str">
        <x:v>U/K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U/K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23" customHeight="1">
      <x:c r="A29" s="427" t="str">
        <x:v>Source &amp; Notes</x:v>
      </x:c>
      <x:c r="B29" s="427"/>
      <x:c r="C29" s="427"/>
      <x:c r="D29" s="427"/>
      <x:c r="E29" s="427"/>
      <x:c r="F29" s="427"/>
      <x:c r="G29" s="427"/>
      <x:c r="H29" s="427"/>
      <x:c r="I29" s="427"/>
      <x:c r="J29" s="427"/>
      <x:c r="K29" s="427"/>
      <x:c r="L29" s="427"/>
      <x:c r="M29" s="427"/>
      <x:c r="N29" s="427"/>
      <x:c r="O29" s="427"/>
      <x:c r="P29" s="427"/>
      <x:c r="Q29" s="427"/>
      <x:c r="R29" s="427"/>
      <x:c r="S29" s="427"/>
      <x:c r="T29" s="427"/>
      <x:c r="U29" s="427"/>
      <x:c r="V29" s="427"/>
      <x:c r="W29" s="427"/>
      <x:c r="X29" s="427"/>
      <x:c r="Y29" s="427"/>
      <x:c r="Z29" s="427"/>
      <x:c r="AA29" s="427"/>
      <x:c r="AB29" s="427"/>
      <x:c r="AC29" s="427"/>
      <x:c r="AD29" s="427"/>
      <x:c r="AE29" s="427"/>
    </x:row>
    <x:row r="30" ht="36" customHeight="1">
      <x:c r="A30" s="360" t="str">
        <x:v>Developer Notes</x:v>
      </x:c>
      <x:c r="B30" s="349" t="str">
        <x:v>REST/HTTP API + Gateway WebSocket; JS/TS: official Embedded App SDK; no official general bot SDKs for Python/Rust/Go; Social SDK targets C++/Unity/Unreal; Yes - slash commands, components, modals, interactions</x:v>
      </x:c>
      <x:c r="C30" s="349" t="str">
        <x:v>REST + WebSocket event API; Official TypeScript client SDK; community libraries; Bots/API support; slash-interaction parity U/K</x:v>
      </x:c>
      <x:c r="D30" s="349" t="str">
        <x:v>Bot API planned after public release; No public SDKs yet; Native slash commands exist; developer interaction API planned</x:v>
      </x:c>
      <x:c r="E30" s="349" t="str">
        <x:v>REST + Gateway/WebSocket, deliberately Discord-like; Open-source SDK ecosystem; official language coverage U/K; Discord-like interactions; exact slash-command status U/K</x:v>
      </x:c>
      <x:c r="F30" s="349" t="str">
        <x:v>Root Community API + hosted app/bot runtime; Official TypeScript SDK / Node runtime; Bots/commands + full GUI Apps</x:v>
      </x:c>
      <x:c r="G30" s="349" t="str">
        <x:v>Open Client-Server, Server-Server, Application Service APIs; WebSocket-like sync transports depending spec version; Many SDKs incl JS/TS, Rust, Python, Go/community; Client extensions/bots; interaction UX client-dependent</x:v>
      </x:c>
      <x:c r="H30" s="349" t="str">
        <x:v>Discord-compatible REST + Gateway; Discord ecosystem compatibility; Spacebar docs; Discord interaction compatibility target</x:v>
      </x:c>
      <x:c r="I30" s="349" t="str">
        <x:v>Server RPC/API (Ice) + protocol libraries; Community libraries; N/A</x:v>
      </x:c>
      <x:c r="J30" s="349" t="str">
        <x:v>ServerQuery / SDK APIs; exact TS6 developer stack U/K; SDKs available; language coverage U/K; U/K</x:v>
      </x:c>
      <x:c r="K30" s="349" t="str">
        <x:v>REST + realtime event queues; Official/community libraries incl Python; broad API; Slash-command-style integrations/bots</x:v>
      </x:c>
      <x:c r="L30" s="349" t="str">
        <x:v>REST + WebSocket API; Client/server APIs; Go/JS ecosystem; Slash commands + interactive messages</x:v>
      </x:c>
      <x:c r="M30" s="349" t="str">
        <x:v>REST + realtime/WebSocket/DDP + Apps engine; SDKs/APIs + Apps framework; Slash commands/apps</x:v>
      </x:c>
      <x:c r="N30" s="349" t="str">
        <x:v>U/K; U/K; U/K</x:v>
      </x:c>
      <x:c r="O30" s="349" t="str">
        <x:v>REST/realtime API U/K; Official Nerimity.js; Bots/API</x:v>
      </x:c>
      <x:c r="P30" s="349" t="str">
        <x:v>U/K; U/K; U/K</x:v>
      </x:c>
      <x:c r="Q30" s="349" t="str">
        <x:v>Discord-compatible API; discord.py/discord.js compatibility; Slash commands/buttons/modals</x:v>
      </x:c>
      <x:c r="R30" s="349" t="str">
        <x:v>Custom API/federation; U/K; U/K</x:v>
      </x:c>
      <x:c r="S30" s="349" t="str">
        <x:v>API-first design; SDK/integration ecosystem; Bots</x:v>
      </x:c>
      <x:c r="T30" s="349" t="str">
        <x:v>U/K; U/K; U/K</x:v>
      </x:c>
      <x:c r="U30" s="349" t="str">
        <x:v>U/K; U/K; U/K</x:v>
      </x:c>
      <x:c r="V30" s="349" t="str">
        <x:v>Discord-compatible API; Discord bot libraries largely reusable; Interactions target</x:v>
      </x:c>
      <x:c r="W30" s="349" t="str">
        <x:v>ATProto + Roomy SDK; Roomy SDK; U/K</x:v>
      </x:c>
      <x:c r="X30" s="349" t="str">
        <x:v>Nostr/Concord protocols; Nostr libraries; Protocol-driven</x:v>
      </x:c>
      <x:c r="Y30" s="349" t="str">
        <x:v>Custom protocol; no HTTP API emphasis; Open source; No bot ecosystem yet</x:v>
      </x:c>
      <x:c r="Z30" s="349" t="str">
        <x:v>Custom server/WebSocket APIs; Custom/open-source ecosystem; Plugin system</x:v>
      </x:c>
      <x:c r="AA30" s="381" t="str">
        <x:v>U/K; U/K; U/K</x:v>
      </x:c>
      <x:c r="AB30" s="349" t="str">
        <x:v>Application API U/K; U/K; U/K</x:v>
      </x:c>
      <x:c r="AC30" s="349" t="str">
        <x:v>U/K; U/K; U/K</x:v>
      </x:c>
      <x:c r="AD30" s="349" t="str">
        <x:v>Official API used by client; Official .NET SDK; Bots/OAuth apps</x:v>
      </x:c>
      <x:c r="AE30" s="349" t="str">
        <x:v>Game/service APIs; bot API U/K; U/K; Native modules rather than bot-first</x:v>
      </x:c>
    </x:row>
    <x:row r="31" ht="23" customHeight="1">
      <x:c r="A31" s="389" t="str">
        <x:v>Embedded App Platform</x:v>
      </x:c>
      <x:c r="B31" s="389"/>
      <x:c r="C31" s="389"/>
      <x:c r="D31" s="389"/>
      <x:c r="E31" s="389"/>
      <x:c r="F31" s="389"/>
      <x:c r="G31" s="389"/>
      <x:c r="H31" s="389"/>
      <x:c r="I31" s="389"/>
      <x:c r="J31" s="389"/>
      <x:c r="K31" s="389"/>
      <x:c r="L31" s="389"/>
      <x:c r="M31" s="389"/>
      <x:c r="N31" s="389"/>
      <x:c r="O31" s="389"/>
      <x:c r="P31" s="389"/>
      <x:c r="Q31" s="389"/>
      <x:c r="R31" s="389"/>
      <x:c r="S31" s="389"/>
      <x:c r="T31" s="389"/>
      <x:c r="U31" s="389"/>
      <x:c r="V31" s="389"/>
      <x:c r="W31" s="389"/>
      <x:c r="X31" s="389"/>
      <x:c r="Y31" s="389"/>
      <x:c r="Z31" s="389"/>
      <x:c r="AA31" s="389"/>
      <x:c r="AB31" s="389"/>
      <x:c r="AC31" s="389"/>
      <x:c r="AD31" s="389"/>
      <x:c r="AE31" s="389"/>
    </x:row>
    <x:row r="32" ht="36" customHeight="1">
      <x:c r="A32" s="378" t="str">
        <x:v>App Marketplace / Directory?</x:v>
      </x:c>
      <x:c r="B32" s="346" t="str">
        <x:v>Yes - App Directory</x:v>
      </x:c>
      <x:c r="C32" s="346" t="str">
        <x:v>U/K</x:v>
      </x:c>
      <x:c r="D32" s="346" t="str">
        <x:v>U/K</x:v>
      </x:c>
      <x:c r="E32" s="346" t="str">
        <x:v>U/K</x:v>
      </x:c>
      <x:c r="F32" s="346" t="str">
        <x:v>U/K</x:v>
      </x:c>
      <x:c r="G32" s="346" t="str">
        <x:v>U/K</x:v>
      </x:c>
      <x:c r="H32" s="346" t="str">
        <x:v>U/K</x:v>
      </x:c>
      <x:c r="I32" s="346" t="str">
        <x:v>U/K</x:v>
      </x:c>
      <x:c r="J32" s="346" t="str">
        <x:v>U/K</x:v>
      </x:c>
      <x:c r="K32" s="346" t="str">
        <x:v>Integration directory</x:v>
      </x:c>
      <x:c r="L32" s="346" t="str">
        <x:v>Plugin marketplace/ecosystem</x:v>
      </x:c>
      <x:c r="M32" s="346" t="str">
        <x:v>Yes - Marketplace</x:v>
      </x:c>
      <x:c r="N32" s="346" t="str">
        <x:v>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U/K</x:v>
      </x:c>
      <x:c r="S32" s="346" t="str">
        <x:v>U/K</x:v>
      </x:c>
      <x:c r="T32" s="346" t="str">
        <x:v>U/K</x:v>
      </x:c>
      <x:c r="U32" s="346" t="str">
        <x:v>U/K</x:v>
      </x:c>
      <x:c r="V32" s="346" t="str">
        <x:v>U/K</x:v>
      </x:c>
      <x:c r="W32" s="346" t="str">
        <x:v>U/K</x:v>
      </x:c>
      <x:c r="X32" s="346" t="str">
        <x:v>U/K</x:v>
      </x:c>
      <x:c r="Y32" s="346" t="str">
        <x:v>U/K</x:v>
      </x:c>
      <x:c r="Z32" s="346" t="str">
        <x:v>U/K</x:v>
      </x:c>
      <x:c r="AA32" s="380" t="str">
        <x:v>First-party Portals; third-party marketplace U/K</x:v>
      </x:c>
      <x:c r="AB32" s="346" t="str">
        <x:v>U/K</x:v>
      </x:c>
      <x:c r="AC32" s="346" t="str">
        <x:v>U/K</x:v>
      </x:c>
      <x:c r="AD32" s="346" t="str">
        <x:v>U/K</x:v>
      </x:c>
      <x:c r="AE32" s="346" t="str">
        <x:v>U/K</x:v>
      </x:c>
    </x:row>
    <x:row r="33" ht="36" customHeight="1">
      <x:c r="A33" s="378" t="str">
        <x:v>Embedded Web App / Iframe Runtime?</x:v>
      </x:c>
      <x:c r="B33" s="346" t="str">
        <x:v>Yes - Activities run as iframe web apps</x:v>
      </x:c>
      <x:c r="C33" s="346" t="str">
        <x:v>U/K</x:v>
      </x:c>
      <x:c r="D33" s="346" t="str">
        <x:v>U/K</x:v>
      </x:c>
      <x:c r="E33" s="346" t="str">
        <x:v>U/K</x:v>
      </x:c>
      <x:c r="F33" s="346" t="str">
        <x:v>U/K</x:v>
      </x:c>
      <x:c r="G33" s="346" t="str">
        <x:v>Client-dependent widgets</x:v>
      </x:c>
      <x:c r="H33" s="346" t="str">
        <x:v>U/K</x:v>
      </x:c>
      <x:c r="I33" s="346" t="str">
        <x:v>U/K</x:v>
      </x:c>
      <x:c r="J33" s="346" t="str">
        <x:v>U/K</x:v>
      </x:c>
      <x:c r="K33" s="346" t="str">
        <x:v>U/K</x:v>
      </x:c>
      <x:c r="L33" s="346" t="str">
        <x:v>Plugins can add webapp components</x:v>
      </x:c>
      <x:c r="M33" s="346" t="str">
        <x:v>Apps are workspace extensions; iframe model not primary</x:v>
      </x:c>
      <x:c r="N33" s="346" t="str">
        <x:v>U/K</x:v>
      </x:c>
      <x:c r="O33" s="346" t="str">
        <x:v>U/K</x:v>
      </x:c>
      <x:c r="P33" s="346" t="str">
        <x:v>U/K</x:v>
      </x:c>
      <x:c r="Q33" s="346" t="str">
        <x:v>U/K</x:v>
      </x:c>
      <x:c r="R33" s="346" t="str">
        <x:v>U/K</x:v>
      </x:c>
      <x:c r="S33" s="346" t="str">
        <x:v>U/K</x:v>
      </x:c>
      <x:c r="T33" s="346" t="str">
        <x:v>U/K</x:v>
      </x:c>
      <x:c r="U33" s="346" t="str">
        <x:v>U/K</x:v>
      </x:c>
      <x:c r="V33" s="346" t="str">
        <x:v>U/K</x:v>
      </x:c>
      <x:c r="W33" s="346" t="str">
        <x:v>U/K</x:v>
      </x:c>
      <x:c r="X33" s="346" t="str">
        <x:v>U/K</x:v>
      </x:c>
      <x:c r="Y33" s="346" t="str">
        <x:v>U/K</x:v>
      </x:c>
      <x:c r="Z33" s="346" t="str">
        <x:v>U/K</x:v>
      </x:c>
      <x:c r="AA33" s="380" t="str">
        <x:v>Yes - Portals embedded alongside chat</x:v>
      </x:c>
      <x:c r="AB33" s="346" t="str">
        <x:v>U/K</x:v>
      </x:c>
      <x:c r="AC33" s="346" t="str">
        <x:v>U/K</x:v>
      </x:c>
      <x:c r="AD33" s="346" t="str">
        <x:v>U/K</x:v>
      </x:c>
      <x:c r="AE33" s="346" t="str">
        <x:v>U/K</x:v>
      </x:c>
    </x:row>
    <x:row r="34" ht="36" customHeight="1">
      <x:c r="A34" s="378" t="str">
        <x:v>Shared Synchronized App Sessions?</x:v>
      </x:c>
      <x:c r="B34" s="346" t="str">
        <x:v>Yes - Activities</x:v>
      </x:c>
      <x:c r="C34" s="346" t="str">
        <x:v>U/K</x:v>
      </x:c>
      <x:c r="D34" s="346" t="str">
        <x:v>U/K</x:v>
      </x:c>
      <x:c r="E34" s="346" t="str">
        <x:v>U/K</x:v>
      </x:c>
      <x:c r="F34" s="346" t="str">
        <x:v>U/K</x:v>
      </x:c>
      <x:c r="G34" s="346" t="str">
        <x:v>Widget-dependent</x:v>
      </x:c>
      <x:c r="H34" s="346" t="str">
        <x:v>U/K</x:v>
      </x:c>
      <x:c r="I34" s="346" t="str">
        <x:v>U/K</x:v>
      </x:c>
      <x:c r="J34" s="346" t="str">
        <x:v>U/K</x:v>
      </x:c>
      <x:c r="K34" s="346" t="str">
        <x:v>U/K</x:v>
      </x:c>
      <x:c r="L34" s="346" t="str">
        <x:v>U/K</x:v>
      </x:c>
      <x:c r="M34" s="346" t="str">
        <x:v>U/K</x:v>
      </x:c>
      <x:c r="N34" s="346" t="str">
        <x:v>U/K</x:v>
      </x:c>
      <x:c r="O34" s="346" t="str">
        <x:v>U/K</x:v>
      </x:c>
      <x:c r="P34" s="346" t="str">
        <x:v>U/K</x:v>
      </x:c>
      <x:c r="Q34" s="346" t="str">
        <x:v>U/K</x:v>
      </x:c>
      <x:c r="R34" s="346" t="str">
        <x:v>U/K</x:v>
      </x:c>
      <x:c r="S34" s="346" t="str">
        <x:v>U/K</x:v>
      </x:c>
      <x:c r="T34" s="346" t="str">
        <x:v>U/K</x:v>
      </x:c>
      <x:c r="U34" s="346" t="str">
        <x:v>U/K</x:v>
      </x:c>
      <x:c r="V34" s="346" t="str">
        <x:v>U/K</x:v>
      </x:c>
      <x:c r="W34" s="346" t="str">
        <x:v>U/K</x:v>
      </x:c>
      <x:c r="X34" s="346" t="str">
        <x:v>U/K</x:v>
      </x:c>
      <x:c r="Y34" s="346" t="str">
        <x:v>U/K</x:v>
      </x:c>
      <x:c r="Z34" s="346" t="str">
        <x:v>U/K</x:v>
      </x:c>
      <x:c r="AA34" s="380" t="str">
        <x:v>Yes - Watch Party; Tabletop/Arcade experimental</x:v>
      </x:c>
      <x:c r="AB34" s="346" t="str">
        <x:v>U/K</x:v>
      </x:c>
      <x:c r="AC34" s="346" t="str">
        <x:v>U/K</x:v>
      </x:c>
      <x:c r="AD34" s="346" t="str">
        <x:v>U/K</x:v>
      </x:c>
      <x:c r="AE34" s="346" t="str">
        <x:v>U/K</x:v>
      </x:c>
    </x:row>
    <x:row r="35" ht="36" customHeight="1">
      <x:c r="A35" s="378" t="str">
        <x:v>App Permission / Scope Model?</x:v>
      </x:c>
      <x:c r="B35" s="346" t="str">
        <x:v>Yes - OAuth2/scopes + SDK scopes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Plugin permissions/admin install</x:v>
      </x:c>
      <x:c r="M35" s="346" t="str">
        <x:v>Apps-Engine permissions/packaging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U/K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App Monetization / IAP?</x:v>
      </x:c>
      <x:c r="B36" s="346" t="str">
        <x:v>Yes - Activity IAP / SKUs supported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U/K</x:v>
      </x:c>
      <x:c r="M36" s="346" t="str">
        <x:v>Paid marketplace apps exist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</x:sheetData>
  <x:mergeCells>
    <x:mergeCell ref="A1:AE1"/>
  </x:mergeCells>
  <x:conditionalFormatting sqref="B3:AE30">
    <x:cfRule type="expression" dxfId="82" priority="1">
      <x:formula>ISNUMBER(SEARCH("U/K",B3))</x:formula>
    </x:cfRule>
    <x:cfRule type="expression" dxfId="83" priority="2">
      <x:formula>OR(B3="N/A",LEFT(B3,4)="N/A ")</x:formula>
    </x:cfRule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AI Policy &amp; Transparency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Native AI Features (Summaries / Bots / Search)</x:v>
      </x:c>
      <x:c r="B3" s="344" t="str">
        <x:v>Limited - experimental In-Channel Conversation Summaries; AI/ML also used for safety/moderation</x:v>
      </x:c>
      <x:c r="C3" s="344" t="str">
        <x:v>No prominent native generative-AI feature verified</x:v>
      </x:c>
      <x:c r="D3" s="344" t="str">
        <x:v>No prominent native generative-AI feature verified</x:v>
      </x:c>
      <x:c r="E3" s="344" t="str">
        <x:v>No native AI/LLM inference over messages/files/calls</x:v>
      </x:c>
      <x:c r="F3" s="344" t="str">
        <x:v>No user-facing native generative AI emphasized</x:v>
      </x:c>
      <x:c r="G3" s="344" t="str">
        <x:v>No platform-wide native AI requirement; client/server vendors may add AI independently</x:v>
      </x:c>
      <x:c r="H3" s="344" t="str">
        <x:v>No native AI feature requirement</x:v>
      </x:c>
      <x:c r="I3" s="344" t="str">
        <x:v>None</x:v>
      </x:c>
      <x:c r="J3" s="344" t="str">
        <x:v>No prominent native generative AI verified</x:v>
      </x:c>
      <x:c r="K3" s="345" t="str">
        <x:v>No mandatory native AI feature</x:v>
      </x:c>
      <x:c r="L3" s="346" t="str">
        <x:v>AI features depend on Mattermost AI/enterprise integrations; not core universal</x:v>
      </x:c>
      <x:c r="M3" s="346" t="str">
        <x:v>Optional AI apps/integrations; not required core</x:v>
      </x:c>
      <x:c r="N3" s="346" t="str">
        <x:v>No prominent native generative AI verified</x:v>
      </x:c>
      <x:c r="O3" s="346" t="str">
        <x:v>No native AI feature verified</x:v>
      </x:c>
      <x:c r="P3" s="346" t="str">
        <x:v>No prominent native generative AI verified</x:v>
      </x:c>
      <x:c r="Q3" s="346" t="str">
        <x:v>Built-in translation and voice transcription</x:v>
      </x:c>
      <x:c r="R3" s="346" t="str">
        <x:v>No native AI feature verified</x:v>
      </x:c>
      <x:c r="S3" s="346" t="str">
        <x:v>Yes - moderation, translation, meeting summaries</x:v>
      </x:c>
      <x:c r="T3" s="346" t="str">
        <x:v>No prominent native generative AI verified</x:v>
      </x:c>
      <x:c r="U3" s="346" t="str">
        <x:v>None</x:v>
      </x:c>
      <x:c r="V3" s="346" t="str">
        <x:v>None</x:v>
      </x:c>
      <x:c r="W3" s="346" t="str">
        <x:v>No native AI feature verified</x:v>
      </x:c>
      <x:c r="X3" s="346" t="str">
        <x:v>No native AI feature verified</x:v>
      </x:c>
      <x:c r="Y3" s="346" t="str">
        <x:v>No native AI feature</x:v>
      </x:c>
      <x:c r="Z3" s="346" t="str">
        <x:v>No native AI feature verified</x:v>
      </x:c>
      <x:c r="AA3" s="380" t="str">
        <x:v>No native AI reading messages advertised</x:v>
      </x:c>
      <x:c r="AB3" s="346" t="str">
        <x:v>No native AI feature verified</x:v>
      </x:c>
      <x:c r="AC3" s="346" t="str">
        <x:v>No native AI feature advertised</x:v>
      </x:c>
      <x:c r="AD3" s="346" t="str">
        <x:v>No native AI feature verified</x:v>
      </x:c>
      <x:c r="AE3" s="414" t="str">
        <x:v>Some game modules include AI NPCs/features</x:v>
      </x:c>
    </x:row>
    <x:row r="4" ht="36" customHeight="1">
      <x:c r="A4" s="358" t="str">
        <x:v>User Chat / Voice Scraped for Model Training?</x:v>
      </x:c>
      <x:c r="B4" s="344" t="str">
        <x:v>No - Discord says it does not allow AI companies to train models using user messages; voice/video is generally not stored</x:v>
      </x:c>
      <x:c r="C4" s="344" t="str">
        <x:v>U/K</x:v>
      </x:c>
      <x:c r="D4" s="344" t="str">
        <x:v>No public claim of user-content model training found; U/K in formal terms</x:v>
      </x:c>
      <x:c r="E4" s="344" t="str">
        <x:v>No - privacy policy explicitly forbids use for training/evaluation</x:v>
      </x:c>
      <x:c r="F4" s="344" t="str">
        <x:v>No - privacy policy states content is not used to train AI models</x:v>
      </x:c>
      <x:c r="G4" s="344" t="str">
        <x:v>No single Matrix-wide data controller; training policy depends on homeserver/client provider</x:v>
      </x:c>
      <x:c r="H4" s="344" t="str">
        <x:v>Self-hosted operator-controlled; no central training policy</x:v>
      </x:c>
      <x:c r="I4" s="344" t="str">
        <x:v>No central service/model training; self-hosted</x:v>
      </x:c>
      <x:c r="J4" s="344" t="str">
        <x:v>U/K</x:v>
      </x:c>
      <x:c r="K4" s="345" t="str">
        <x:v>Cloud/provider policy; no general claim of training user content found here</x:v>
      </x:c>
      <x:c r="L4" s="346" t="str">
        <x:v>Policy/deployment/provider-dependent; self-host can keep data controlled</x:v>
      </x:c>
      <x:c r="M4" s="346" t="str">
        <x:v>Policy depends deployment/integration; U/K for hosted model training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User-content training policy U/K</x:v>
      </x:c>
      <x:c r="R4" s="346" t="str">
        <x:v>U/K</x:v>
      </x:c>
      <x:c r="S4" s="346" t="str">
        <x:v>Training policy U/K</x:v>
      </x:c>
      <x:c r="T4" s="346" t="str">
        <x:v>No behavioral tracking; training policy not explicitly verified</x:v>
      </x:c>
      <x:c r="U4" s="346" t="str">
        <x:v>No model training claim; content stays on operator server</x:v>
      </x:c>
      <x:c r="V4" s="346" t="str">
        <x:v>N/A/self-host</x:v>
      </x:c>
      <x:c r="W4" s="346" t="str">
        <x:v>Provider/project dependent</x:v>
      </x:c>
      <x:c r="X4" s="346" t="str">
        <x:v>No central content owner; encrypted content</x:v>
      </x:c>
      <x:c r="Y4" s="346" t="str">
        <x:v>No server-readable plaintext</x:v>
      </x:c>
      <x:c r="Z4" s="346" t="str">
        <x:v>Self-host/operator controlled</x:v>
      </x:c>
      <x:c r="AA4" s="380" t="str">
        <x:v>No - site says messages/uploads never train AI</x:v>
      </x:c>
      <x:c r="AB4" s="346" t="str">
        <x:v>U/K</x:v>
      </x:c>
      <x:c r="AC4" s="346" t="str">
        <x:v>U/K</x:v>
      </x:c>
      <x:c r="AD4" s="346" t="str">
        <x:v>No data selling; training policy U/K</x:v>
      </x:c>
      <x:c r="AE4" s="414" t="str">
        <x:v>Training policy U/K</x:v>
      </x:c>
    </x:row>
    <x:row r="5" ht="36" customHeight="1">
      <x:c r="A5" s="358" t="str">
        <x:v>AI Training Consent Terms (Opt-In / Opt-Out / None)</x:v>
      </x:c>
      <x:c r="B5" s="344" t="str">
        <x:v>None for third-party model training (not permitted); experimental AI features may have separate visibility/privacy controls</x:v>
      </x:c>
      <x:c r="C5" s="344" t="str">
        <x:v>U/K</x:v>
      </x:c>
      <x:c r="D5" s="344" t="str">
        <x:v>U/K</x:v>
      </x:c>
      <x:c r="E5" s="344" t="str">
        <x:v>None - not used for training</x:v>
      </x:c>
      <x:c r="F5" s="344" t="str">
        <x:v>None for training</x:v>
      </x:c>
      <x:c r="G5" s="344" t="str">
        <x:v>Provider-specific</x:v>
      </x:c>
      <x:c r="H5" s="344" t="str">
        <x:v>Operator-dependent</x:v>
      </x:c>
      <x:c r="I5" s="344" t="str">
        <x:v>N/A</x:v>
      </x:c>
      <x:c r="J5" s="344" t="str">
        <x:v>U/K</x:v>
      </x:c>
      <x:c r="K5" s="345" t="str">
        <x:v>U/K</x:v>
      </x:c>
      <x:c r="L5" s="346" t="str">
        <x:v>Deployment/provider-specific</x:v>
      </x:c>
      <x:c r="M5" s="346" t="str">
        <x:v>Deployment/provider-specific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U/K</x:v>
      </x:c>
      <x:c r="T5" s="346" t="str">
        <x:v>U/K</x:v>
      </x:c>
      <x:c r="U5" s="346" t="str">
        <x:v>N/A</x:v>
      </x:c>
      <x:c r="V5" s="346" t="str">
        <x:v>None</x:v>
      </x:c>
      <x:c r="W5" s="346" t="str">
        <x:v>U/K</x:v>
      </x:c>
      <x:c r="X5" s="346" t="str">
        <x:v>N/A</x:v>
      </x:c>
      <x:c r="Y5" s="346" t="str">
        <x:v>N/A</x:v>
      </x:c>
      <x:c r="Z5" s="346" t="str">
        <x:v>N/A</x:v>
      </x:c>
      <x:c r="AA5" s="380" t="str">
        <x:v>None</x:v>
      </x:c>
      <x:c r="AB5" s="346" t="str">
        <x:v>U/K</x:v>
      </x:c>
      <x:c r="AC5" s="346" t="str">
        <x:v>U/K</x:v>
      </x:c>
      <x:c r="AD5" s="346" t="str">
        <x:v>U/K</x:v>
      </x:c>
      <x:c r="AE5" s="414" t="str">
        <x:v>U/K</x:v>
      </x:c>
    </x:row>
    <x:row r="6" ht="36" customHeight="1">
      <x:c r="A6" s="358" t="str">
        <x:v>AI Assistance Used in Codebase Development (%)</x:v>
      </x:c>
      <x:c r="B6" s="344" t="str">
        <x:v>U/K</x:v>
      </x:c>
      <x:c r="C6" s="344" t="str">
        <x:v>U/K</x:v>
      </x:c>
      <x:c r="D6" s="344" t="str">
        <x:v>U/K</x:v>
      </x:c>
      <x:c r="E6" s="344" t="str">
        <x:v>U/K</x:v>
      </x:c>
      <x:c r="F6" s="344" t="str">
        <x:v>U/K</x:v>
      </x:c>
      <x:c r="G6" s="344" t="str">
        <x:v>U/K / provider-specific</x:v>
      </x:c>
      <x:c r="H6" s="344" t="str">
        <x:v>U/K</x:v>
      </x:c>
      <x:c r="I6" s="344" t="str">
        <x:v>N/A</x:v>
      </x:c>
      <x:c r="J6" s="344" t="str">
        <x:v>U/K</x:v>
      </x:c>
      <x:c r="K6" s="345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0% allowed by Fermi contribution policy</x:v>
      </x:c>
      <x:c r="W6" s="346" t="str">
        <x:v>U/K</x:v>
      </x:c>
      <x:c r="X6" s="346" t="str">
        <x:v>U/K</x:v>
      </x:c>
      <x:c r="Y6" s="346" t="str">
        <x:v>AI assistance used in development; percentage U/K</x:v>
      </x:c>
      <x:c r="Z6" s="346" t="str">
        <x:v>U/K</x:v>
      </x:c>
      <x:c r="AA6" s="380" t="str">
        <x:v>Used in parts; percentage U/K</x:v>
      </x:c>
      <x:c r="AB6" s="346" t="str">
        <x:v>U/K</x:v>
      </x:c>
      <x:c r="AC6" s="346" t="str">
        <x:v>U/K</x:v>
      </x:c>
      <x:c r="AD6" s="346" t="str">
        <x:v>U/K</x:v>
      </x:c>
      <x:c r="AE6" s="414" t="str">
        <x:v>U/K</x:v>
      </x:c>
    </x:row>
    <x:row r="7" ht="36" customHeight="1">
      <x:c r="A7" s="397" t="str">
        <x:v>AI Development Transparency &amp; Disclosure</x:v>
      </x:c>
      <x:c r="B7" s="349" t="str">
        <x:v>Partial - public disclosures exist for AI experiments/training restrictions; internal AI-assisted coding use is U/K</x:v>
      </x:c>
      <x:c r="C7" s="349" t="str">
        <x:v>U/K</x:v>
      </x:c>
      <x:c r="D7" s="349" t="str">
        <x:v>Founder discloses AI assistance can be used in development; percentage U/K</x:v>
      </x:c>
      <x:c r="E7" s="349" t="str">
        <x:v>No percentage published</x:v>
      </x:c>
      <x:c r="F7" s="349" t="str">
        <x:v>U/K</x:v>
      </x:c>
      <x:c r="G7" s="349" t="str">
        <x:v>Provider-specific</x:v>
      </x:c>
      <x:c r="H7" s="349" t="str">
        <x:v>U/K</x:v>
      </x:c>
      <x:c r="I7" s="349" t="str">
        <x:v>N/A</x:v>
      </x:c>
      <x:c r="J7" s="349" t="str">
        <x:v>U/K</x:v>
      </x:c>
      <x:c r="K7" s="395" t="str">
        <x:v>U/K</x:v>
      </x:c>
      <x:c r="L7" s="349" t="str">
        <x:v>U/K</x:v>
      </x:c>
      <x:c r="M7" s="349" t="str">
        <x:v>U/K</x:v>
      </x:c>
      <x:c r="N7" s="349" t="str">
        <x:v>U/K</x:v>
      </x:c>
      <x:c r="O7" s="349" t="str">
        <x:v>U/K</x:v>
      </x:c>
      <x:c r="P7" s="349" t="str">
        <x:v>U/K</x:v>
      </x:c>
      <x:c r="Q7" s="349" t="str">
        <x:v>AI models used for translation/transcription disclosed</x:v>
      </x:c>
      <x:c r="R7" s="349" t="str">
        <x:v>U/K</x:v>
      </x:c>
      <x:c r="S7" s="349" t="str">
        <x:v>Publicly discloses AI-powered features</x:v>
      </x:c>
      <x:c r="T7" s="349" t="str">
        <x:v>U/K</x:v>
      </x:c>
      <x:c r="U7" s="349" t="str">
        <x:v>Privacy-first/no surveillance model</x:v>
      </x:c>
      <x:c r="V7" s="349" t="str">
        <x:v>Fermi explicitly bans AI-generated code</x:v>
      </x:c>
      <x:c r="W7" s="349" t="str">
        <x:v>U/K</x:v>
      </x:c>
      <x:c r="X7" s="349" t="str">
        <x:v>U/K</x:v>
      </x:c>
      <x:c r="Y7" s="349" t="str">
        <x:v>Developer publicly discloses Claude use for development tooling</x:v>
      </x:c>
      <x:c r="Z7" s="349" t="str">
        <x:v>U/K</x:v>
      </x:c>
      <x:c r="AA7" s="381" t="str">
        <x:v>Public FAQ discloses AI is used for parts of coding, with developer review</x:v>
      </x:c>
      <x:c r="AB7" s="349" t="str">
        <x:v>U/K</x:v>
      </x:c>
      <x:c r="AC7" s="349" t="str">
        <x:v>U/K</x:v>
      </x:c>
      <x:c r="AD7" s="349" t="str">
        <x:v>U/K</x:v>
      </x:c>
      <x:c r="AE7" s="415" t="str">
        <x:v>AI is product-feature specific, not general chat summarization</x:v>
      </x:c>
    </x:row>
    <x:row r="8" ht="23" customHeight="1">
      <x:c r="A8" s="389" t="str">
        <x:v>AI Governance Detail</x:v>
      </x:c>
      <x:c r="B8" s="389"/>
      <x:c r="C8" s="389"/>
      <x:c r="D8" s="389"/>
      <x:c r="E8" s="389"/>
      <x:c r="F8" s="389"/>
      <x:c r="G8" s="389"/>
      <x:c r="H8" s="389"/>
      <x:c r="I8" s="389"/>
      <x:c r="J8" s="389"/>
      <x:c r="K8" s="389"/>
      <x:c r="L8" s="389"/>
      <x:c r="M8" s="389"/>
      <x:c r="N8" s="389"/>
      <x:c r="O8" s="389"/>
      <x:c r="P8" s="389"/>
      <x:c r="Q8" s="389"/>
      <x:c r="R8" s="389"/>
      <x:c r="S8" s="389"/>
      <x:c r="T8" s="389"/>
      <x:c r="U8" s="389"/>
      <x:c r="V8" s="389"/>
      <x:c r="W8" s="389"/>
      <x:c r="X8" s="389"/>
      <x:c r="Y8" s="389"/>
      <x:c r="Z8" s="389"/>
      <x:c r="AA8" s="389"/>
      <x:c r="AB8" s="389"/>
      <x:c r="AC8" s="389"/>
      <x:c r="AD8" s="389"/>
      <x:c r="AE8" s="389"/>
    </x:row>
    <x:row r="9" ht="36" customHeight="1">
      <x:c r="A9" s="378" t="str">
        <x:v>Native Generative AI?</x:v>
      </x:c>
      <x:c r="B9" s="346" t="str">
        <x:v>Yes</x:v>
      </x:c>
      <x:c r="C9" s="346" t="str">
        <x:v>No</x:v>
      </x:c>
      <x:c r="D9" s="346" t="str">
        <x:v>No</x:v>
      </x:c>
      <x:c r="E9" s="346" t="str">
        <x:v>No</x:v>
      </x:c>
      <x:c r="F9" s="346" t="str">
        <x:v>No</x:v>
      </x:c>
      <x:c r="G9" s="346" t="str">
        <x:v>No</x:v>
      </x:c>
      <x:c r="H9" s="346" t="str">
        <x:v>No</x:v>
      </x:c>
      <x:c r="I9" s="346" t="str">
        <x:v>No</x:v>
      </x:c>
      <x:c r="J9" s="346" t="str">
        <x:v>No</x:v>
      </x:c>
      <x:c r="K9" s="346" t="str">
        <x:v>No</x:v>
      </x:c>
      <x:c r="L9" s="346" t="str">
        <x:v>Yes</x:v>
      </x:c>
      <x:c r="M9" s="346" t="str">
        <x:v>Yes</x:v>
      </x:c>
      <x:c r="N9" s="346" t="str">
        <x:v>No</x:v>
      </x:c>
      <x:c r="O9" s="346" t="str">
        <x:v>No</x:v>
      </x:c>
      <x:c r="P9" s="346" t="str">
        <x:v>No</x:v>
      </x:c>
      <x:c r="Q9" s="346" t="str">
        <x:v>U/K</x:v>
      </x:c>
      <x:c r="R9" s="346" t="str">
        <x:v>No</x:v>
      </x:c>
      <x:c r="S9" s="346" t="str">
        <x:v>Yes</x:v>
      </x:c>
      <x:c r="T9" s="346" t="str">
        <x:v>No</x:v>
      </x:c>
      <x:c r="U9" s="346" t="str">
        <x:v>No</x:v>
      </x:c>
      <x:c r="V9" s="346" t="str">
        <x:v>No</x:v>
      </x:c>
      <x:c r="W9" s="346" t="str">
        <x:v>No</x:v>
      </x:c>
      <x:c r="X9" s="346" t="str">
        <x:v>No</x:v>
      </x:c>
      <x:c r="Y9" s="346" t="str">
        <x:v>No</x:v>
      </x:c>
      <x:c r="Z9" s="346" t="str">
        <x:v>No</x:v>
      </x:c>
      <x:c r="AA9" s="380" t="str">
        <x:v>No</x:v>
      </x:c>
      <x:c r="AB9" s="346" t="str">
        <x:v>No</x:v>
      </x:c>
      <x:c r="AC9" s="346" t="str">
        <x:v>No</x:v>
      </x:c>
      <x:c r="AD9" s="346" t="str">
        <x:v>No</x:v>
      </x:c>
      <x:c r="AE9" s="346" t="str">
        <x:v>Yes</x:v>
      </x:c>
    </x:row>
    <x:row r="10" ht="36" customHeight="1">
      <x:c r="A10" s="378" t="str">
        <x:v>AI Search?</x:v>
      </x:c>
      <x:c r="B10" s="346" t="str">
        <x:v>U/K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Yes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78" t="str">
        <x:v>AI Moderation?</x:v>
      </x:c>
      <x:c r="B11" s="346" t="str">
        <x:v>Yes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Yes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36" customHeight="1">
      <x:c r="A12" s="378" t="str">
        <x:v>AI Translation?</x:v>
      </x:c>
      <x:c r="B12" s="346" t="str">
        <x:v>U/K</x:v>
      </x:c>
      <x:c r="C12" s="346" t="str">
        <x:v>U/K</x:v>
      </x:c>
      <x:c r="D12" s="346" t="str">
        <x:v>U/K</x:v>
      </x:c>
      <x:c r="E12" s="346" t="str">
        <x:v>U/K</x:v>
      </x:c>
      <x:c r="F12" s="346" t="str">
        <x:v>U/K</x:v>
      </x:c>
      <x:c r="G12" s="346" t="str">
        <x:v>U/K</x:v>
      </x:c>
      <x:c r="H12" s="346" t="str">
        <x:v>U/K</x:v>
      </x:c>
      <x:c r="I12" s="346" t="str">
        <x:v>U/K</x:v>
      </x:c>
      <x:c r="J12" s="346" t="str">
        <x:v>U/K</x:v>
      </x:c>
      <x:c r="K12" s="346" t="str">
        <x:v>U/K</x:v>
      </x:c>
      <x:c r="L12" s="346" t="str">
        <x:v>U/K</x:v>
      </x:c>
      <x:c r="M12" s="346" t="str">
        <x:v>U/K</x:v>
      </x:c>
      <x:c r="N12" s="346" t="str">
        <x:v>U/K</x:v>
      </x:c>
      <x:c r="O12" s="346" t="str">
        <x:v>U/K</x:v>
      </x:c>
      <x:c r="P12" s="346" t="str">
        <x:v>U/K</x:v>
      </x:c>
      <x:c r="Q12" s="346" t="str">
        <x:v>Yes</x:v>
      </x:c>
      <x:c r="R12" s="346" t="str">
        <x:v>U/K</x:v>
      </x:c>
      <x:c r="S12" s="346" t="str">
        <x:v>Yes</x:v>
      </x:c>
      <x:c r="T12" s="346" t="str">
        <x:v>U/K</x:v>
      </x:c>
      <x:c r="U12" s="346" t="str">
        <x:v>U/K</x:v>
      </x:c>
      <x:c r="V12" s="346" t="str">
        <x:v>U/K</x:v>
      </x:c>
      <x:c r="W12" s="346" t="str">
        <x:v>U/K</x:v>
      </x:c>
      <x:c r="X12" s="346" t="str">
        <x:v>U/K</x:v>
      </x:c>
      <x:c r="Y12" s="346" t="str">
        <x:v>U/K</x:v>
      </x:c>
      <x:c r="Z12" s="346" t="str">
        <x:v>U/K</x:v>
      </x:c>
      <x:c r="AA12" s="380" t="str">
        <x:v>U/K</x:v>
      </x:c>
      <x:c r="AB12" s="346" t="str">
        <x:v>U/K</x:v>
      </x:c>
      <x:c r="AC12" s="346" t="str">
        <x:v>U/K</x:v>
      </x:c>
      <x:c r="AD12" s="346" t="str">
        <x:v>U/K</x:v>
      </x:c>
      <x:c r="AE12" s="346" t="str">
        <x:v>U/K</x:v>
      </x:c>
    </x:row>
    <x:row r="13" ht="36" customHeight="1">
      <x:c r="A13" s="378" t="str">
        <x:v>AI Transcription?</x:v>
      </x:c>
      <x:c r="B13" s="346" t="str">
        <x:v>U/K</x:v>
      </x:c>
      <x:c r="C13" s="346" t="str">
        <x:v>U/K</x:v>
      </x:c>
      <x:c r="D13" s="346" t="str">
        <x:v>U/K</x:v>
      </x:c>
      <x:c r="E13" s="346" t="str">
        <x:v>U/K</x:v>
      </x:c>
      <x:c r="F13" s="346" t="str">
        <x:v>U/K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Yes</x:v>
      </x:c>
      <x:c r="R13" s="346" t="str">
        <x:v>U/K</x:v>
      </x:c>
      <x:c r="S13" s="346" t="str">
        <x:v>Yes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U/K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78" t="str">
        <x:v>Third-Party AI Providers?</x:v>
      </x:c>
      <x:c r="B14" s="346" t="str">
        <x:v>U/K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Provider/deployment-specific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Provider/deployment-specific</x:v>
      </x:c>
      <x:c r="M14" s="346" t="str">
        <x:v>Provider/deployment-specific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78" t="str">
        <x:v>AI Features Can Be Disabled?</x:v>
      </x:c>
      <x:c r="B15" s="346" t="str">
        <x:v>U/K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>
      <x:c r="A16" s="24"/>
      <x:c r="B16" s="24"/>
      <x:c r="C16" s="24"/>
      <x:c r="D16" s="24"/>
      <x:c r="E16" s="24"/>
      <x:c r="F16" s="24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</x:row>
    <x:row r="17">
      <x:c r="A17" s="24"/>
      <x:c r="B17" s="24"/>
      <x:c r="C17" s="24"/>
      <x:c r="D17" s="24"/>
      <x:c r="E17" s="24"/>
      <x:c r="F17" s="24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7">
    <x:cfRule type="expression" dxfId="52" priority="1">
      <x:formula>ISNUMBER(SEARCH("U/K",B3))</x:formula>
    </x:cfRule>
    <x:cfRule type="expression" dxfId="53" priority="2">
      <x:formula>OR(B3="N/A",LEFT(B3,4)="N/A ")</x:formula>
    </x:cfRule>
  </x:conditionalFormatting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AI Features, Training Policy &amp; Transparency - Granular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Native AI Features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Native Generative AI?</x:v>
      </x:c>
      <x:c r="B4" s="346" t="str">
        <x:v>Yes</x:v>
      </x:c>
      <x:c r="C4" s="346" t="str">
        <x:v>No</x:v>
      </x:c>
      <x:c r="D4" s="346" t="str">
        <x:v>No</x:v>
      </x:c>
      <x:c r="E4" s="346" t="str">
        <x:v>No</x:v>
      </x:c>
      <x:c r="F4" s="346" t="str">
        <x:v>No</x:v>
      </x:c>
      <x:c r="G4" s="346" t="str">
        <x:v>No</x:v>
      </x:c>
      <x:c r="H4" s="346" t="str">
        <x:v>No</x:v>
      </x:c>
      <x:c r="I4" s="346" t="str">
        <x:v>No</x:v>
      </x:c>
      <x:c r="J4" s="346" t="str">
        <x:v>No</x:v>
      </x:c>
      <x:c r="K4" s="346" t="str">
        <x:v>No</x:v>
      </x:c>
      <x:c r="L4" s="346" t="str">
        <x:v>Yes</x:v>
      </x:c>
      <x:c r="M4" s="346" t="str">
        <x:v>Yes</x:v>
      </x:c>
      <x:c r="N4" s="346" t="str">
        <x:v>No</x:v>
      </x:c>
      <x:c r="O4" s="346" t="str">
        <x:v>No</x:v>
      </x:c>
      <x:c r="P4" s="346" t="str">
        <x:v>No</x:v>
      </x:c>
      <x:c r="Q4" s="346" t="str">
        <x:v>U/K</x:v>
      </x:c>
      <x:c r="R4" s="346" t="str">
        <x:v>No</x:v>
      </x:c>
      <x:c r="S4" s="346" t="str">
        <x:v>Yes</x:v>
      </x:c>
      <x:c r="T4" s="346" t="str">
        <x:v>No</x:v>
      </x:c>
      <x:c r="U4" s="346" t="str">
        <x:v>No</x:v>
      </x:c>
      <x:c r="V4" s="346" t="str">
        <x:v>No</x:v>
      </x:c>
      <x:c r="W4" s="346" t="str">
        <x:v>No</x:v>
      </x:c>
      <x:c r="X4" s="346" t="str">
        <x:v>No</x:v>
      </x:c>
      <x:c r="Y4" s="346" t="str">
        <x:v>No</x:v>
      </x:c>
      <x:c r="Z4" s="346" t="str">
        <x:v>No</x:v>
      </x:c>
      <x:c r="AA4" s="380" t="str">
        <x:v>No</x:v>
      </x:c>
      <x:c r="AB4" s="346" t="str">
        <x:v>No</x:v>
      </x:c>
      <x:c r="AC4" s="346" t="str">
        <x:v>No</x:v>
      </x:c>
      <x:c r="AD4" s="346" t="str">
        <x:v>No</x:v>
      </x:c>
      <x:c r="AE4" s="346" t="str">
        <x:v>Yes</x:v>
      </x:c>
    </x:row>
    <x:row r="5" ht="36" customHeight="1">
      <x:c r="A5" s="359" t="str">
        <x:v>Message Summaries?</x:v>
      </x:c>
      <x:c r="B5" s="346" t="str">
        <x:v>Yes</x:v>
      </x:c>
      <x:c r="C5" s="346" t="str">
        <x:v>U/K</x:v>
      </x:c>
      <x:c r="D5" s="346" t="str">
        <x:v>U/K</x:v>
      </x:c>
      <x:c r="E5" s="346" t="str">
        <x:v>U/K</x:v>
      </x:c>
      <x:c r="F5" s="346" t="str">
        <x:v>U/K</x:v>
      </x:c>
      <x:c r="G5" s="346" t="str">
        <x:v>U/K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Yes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U/K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Voice Summaries?</x:v>
      </x:c>
      <x:c r="B6" s="346" t="str">
        <x:v>U/K</x:v>
      </x:c>
      <x:c r="C6" s="346" t="str">
        <x:v>U/K</x:v>
      </x:c>
      <x:c r="D6" s="346" t="str">
        <x:v>U/K</x:v>
      </x:c>
      <x:c r="E6" s="346" t="str">
        <x:v>U/K</x:v>
      </x:c>
      <x:c r="F6" s="346" t="str">
        <x:v>U/K</x:v>
      </x:c>
      <x:c r="G6" s="346" t="str">
        <x:v>U/K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Yes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U/K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9" t="str">
        <x:v>AI Search?</x:v>
      </x:c>
      <x:c r="B7" s="346" t="str">
        <x:v>U/K</x:v>
      </x:c>
      <x:c r="C7" s="346" t="str">
        <x:v>U/K</x:v>
      </x:c>
      <x:c r="D7" s="346" t="str">
        <x:v>U/K</x:v>
      </x:c>
      <x:c r="E7" s="346" t="str">
        <x:v>U/K</x:v>
      </x:c>
      <x:c r="F7" s="346" t="str">
        <x:v>U/K</x:v>
      </x:c>
      <x:c r="G7" s="346" t="str">
        <x:v>U/K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Yes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U/K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U/K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AI Bots / Agents?</x:v>
      </x:c>
      <x:c r="B8" s="346" t="str">
        <x:v>U/K</x:v>
      </x:c>
      <x:c r="C8" s="346" t="str">
        <x:v>U/K</x:v>
      </x:c>
      <x:c r="D8" s="346" t="str">
        <x:v>U/K</x:v>
      </x:c>
      <x:c r="E8" s="346" t="str">
        <x:v>U/K</x:v>
      </x:c>
      <x:c r="F8" s="346" t="str">
        <x:v>U/K</x:v>
      </x:c>
      <x:c r="G8" s="346" t="str">
        <x:v>U/K</x:v>
      </x:c>
      <x:c r="H8" s="346" t="str">
        <x:v>U/K</x:v>
      </x:c>
      <x:c r="I8" s="346" t="str">
        <x:v>U/K</x:v>
      </x:c>
      <x:c r="J8" s="346" t="str">
        <x:v>U/K</x:v>
      </x:c>
      <x:c r="K8" s="346" t="str">
        <x:v>U/K</x:v>
      </x:c>
      <x:c r="L8" s="346" t="str">
        <x:v>Yes</x:v>
      </x:c>
      <x:c r="M8" s="346" t="str">
        <x:v>U/K</x:v>
      </x:c>
      <x:c r="N8" s="346" t="str">
        <x:v>U/K</x:v>
      </x:c>
      <x:c r="O8" s="346" t="str">
        <x:v>U/K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Yes</x:v>
      </x:c>
      <x:c r="T8" s="346" t="str">
        <x:v>U/K</x:v>
      </x:c>
      <x:c r="U8" s="346" t="str">
        <x:v>U/K</x:v>
      </x:c>
      <x:c r="V8" s="346" t="str">
        <x:v>U/K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U/K</x:v>
      </x:c>
      <x:c r="AB8" s="346" t="str">
        <x:v>U/K</x:v>
      </x:c>
      <x:c r="AC8" s="346" t="str">
        <x:v>U/K</x:v>
      </x:c>
      <x:c r="AD8" s="346" t="str">
        <x:v>U/K</x:v>
      </x:c>
      <x:c r="AE8" s="346" t="str">
        <x:v>U/K</x:v>
      </x:c>
    </x:row>
    <x:row r="9" ht="36" customHeight="1">
      <x:c r="A9" s="359" t="str">
        <x:v>AI Moderation?</x:v>
      </x:c>
      <x:c r="B9" s="346" t="str">
        <x:v>Yes</x:v>
      </x:c>
      <x:c r="C9" s="346" t="str">
        <x:v>U/K</x:v>
      </x:c>
      <x:c r="D9" s="346" t="str">
        <x:v>U/K</x:v>
      </x:c>
      <x:c r="E9" s="346" t="str">
        <x:v>U/K</x:v>
      </x:c>
      <x:c r="F9" s="346" t="str">
        <x:v>U/K</x:v>
      </x:c>
      <x:c r="G9" s="346" t="str">
        <x:v>U/K</x:v>
      </x:c>
      <x:c r="H9" s="346" t="str">
        <x:v>U/K</x:v>
      </x:c>
      <x:c r="I9" s="346" t="str">
        <x:v>U/K</x:v>
      </x:c>
      <x:c r="J9" s="346" t="str">
        <x:v>U/K</x:v>
      </x:c>
      <x:c r="K9" s="346" t="str">
        <x:v>U/K</x:v>
      </x:c>
      <x:c r="L9" s="346" t="str">
        <x:v>U/K</x:v>
      </x:c>
      <x:c r="M9" s="346" t="str">
        <x:v>U/K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Yes</x:v>
      </x:c>
      <x:c r="T9" s="346" t="str">
        <x:v>U/K</x:v>
      </x:c>
      <x:c r="U9" s="346" t="str">
        <x:v>U/K</x:v>
      </x:c>
      <x:c r="V9" s="346" t="str">
        <x:v>U/K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U/K</x:v>
      </x:c>
      <x:c r="AB9" s="346" t="str">
        <x:v>U/K</x:v>
      </x:c>
      <x:c r="AC9" s="346" t="str">
        <x:v>U/K</x:v>
      </x:c>
      <x:c r="AD9" s="346" t="str">
        <x:v>U/K</x:v>
      </x:c>
      <x:c r="AE9" s="346" t="str">
        <x:v>U/K</x:v>
      </x:c>
    </x:row>
    <x:row r="10" ht="36" customHeight="1">
      <x:c r="A10" s="359" t="str">
        <x:v>AI Translation?</x:v>
      </x:c>
      <x:c r="B10" s="346" t="str">
        <x:v>U/K</x:v>
      </x:c>
      <x:c r="C10" s="346" t="str">
        <x:v>U/K</x:v>
      </x:c>
      <x:c r="D10" s="346" t="str">
        <x:v>U/K</x:v>
      </x:c>
      <x:c r="E10" s="346" t="str">
        <x:v>U/K</x:v>
      </x:c>
      <x:c r="F10" s="346" t="str">
        <x:v>U/K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Yes</x:v>
      </x:c>
      <x:c r="R10" s="346" t="str">
        <x:v>U/K</x:v>
      </x:c>
      <x:c r="S10" s="346" t="str">
        <x:v>Yes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9" t="str">
        <x:v>AI Transcription?</x:v>
      </x:c>
      <x:c r="B11" s="346" t="str">
        <x:v>U/K</x:v>
      </x:c>
      <x:c r="C11" s="346" t="str">
        <x:v>U/K</x:v>
      </x:c>
      <x:c r="D11" s="346" t="str">
        <x:v>U/K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Yes</x:v>
      </x:c>
      <x:c r="R11" s="346" t="str">
        <x:v>U/K</x:v>
      </x:c>
      <x:c r="S11" s="346" t="str">
        <x:v>Yes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23" customHeight="1">
      <x:c r="A12" s="427" t="str">
        <x:v>Training &amp; Data Use</x:v>
      </x:c>
      <x:c r="B12" s="427"/>
      <x:c r="C12" s="427"/>
      <x:c r="D12" s="427"/>
      <x:c r="E12" s="427"/>
      <x:c r="F12" s="427"/>
      <x:c r="G12" s="427"/>
      <x:c r="H12" s="427"/>
      <x:c r="I12" s="427"/>
      <x:c r="J12" s="427"/>
      <x:c r="K12" s="427"/>
      <x:c r="L12" s="427"/>
      <x:c r="M12" s="427"/>
      <x:c r="N12" s="427"/>
      <x:c r="O12" s="427"/>
      <x:c r="P12" s="427"/>
      <x:c r="Q12" s="427"/>
      <x:c r="R12" s="427"/>
      <x:c r="S12" s="427"/>
      <x:c r="T12" s="427"/>
      <x:c r="U12" s="427"/>
      <x:c r="V12" s="427"/>
      <x:c r="W12" s="427"/>
      <x:c r="X12" s="427"/>
      <x:c r="Y12" s="427"/>
      <x:c r="Z12" s="427"/>
      <x:c r="AA12" s="427"/>
      <x:c r="AB12" s="427"/>
      <x:c r="AC12" s="427"/>
      <x:c r="AD12" s="427"/>
      <x:c r="AE12" s="427"/>
    </x:row>
    <x:row r="13" ht="36" customHeight="1">
      <x:c r="A13" s="359" t="str">
        <x:v>User Messages Used for Model Training?</x:v>
      </x:c>
      <x:c r="B13" s="346" t="str">
        <x:v>No - Discord says it does not allow AI companies to train models using user messages; voice/video is generally not stored</x:v>
      </x:c>
      <x:c r="C13" s="346" t="str">
        <x:v>U/K</x:v>
      </x:c>
      <x:c r="D13" s="346" t="str">
        <x:v>No public claim of user-content model training found; U/K in formal terms</x:v>
      </x:c>
      <x:c r="E13" s="346" t="str">
        <x:v>No - privacy policy explicitly forbids use for training/evaluation</x:v>
      </x:c>
      <x:c r="F13" s="346" t="str">
        <x:v>No - privacy policy states content is not used to train AI models</x:v>
      </x:c>
      <x:c r="G13" s="346" t="str">
        <x:v>No single Matrix-wide data controller; training policy depends on homeserver/client provider</x:v>
      </x:c>
      <x:c r="H13" s="346" t="str">
        <x:v>Self-hosted operator-controlled; no central training policy</x:v>
      </x:c>
      <x:c r="I13" s="346" t="str">
        <x:v>No central service/model training; self-hosted</x:v>
      </x:c>
      <x:c r="J13" s="346" t="str">
        <x:v>U/K</x:v>
      </x:c>
      <x:c r="K13" s="346" t="str">
        <x:v>Cloud/provider policy; no general claim of training user content found here</x:v>
      </x:c>
      <x:c r="L13" s="346" t="str">
        <x:v>Policy/deployment/provider-dependent; self-host can keep data controlled</x:v>
      </x:c>
      <x:c r="M13" s="346" t="str">
        <x:v>Policy depends deployment/integration; U/K for hosted model training</x:v>
      </x:c>
      <x:c r="N13" s="346" t="str">
        <x:v>U/K</x:v>
      </x:c>
      <x:c r="O13" s="346" t="str">
        <x:v>U/K</x:v>
      </x:c>
      <x:c r="P13" s="346" t="str">
        <x:v>U/K</x:v>
      </x:c>
      <x:c r="Q13" s="346" t="str">
        <x:v>User-content training policy U/K</x:v>
      </x:c>
      <x:c r="R13" s="346" t="str">
        <x:v>U/K</x:v>
      </x:c>
      <x:c r="S13" s="346" t="str">
        <x:v>Training policy U/K</x:v>
      </x:c>
      <x:c r="T13" s="346" t="str">
        <x:v>No behavioral tracking; training policy not explicitly verified</x:v>
      </x:c>
      <x:c r="U13" s="346" t="str">
        <x:v>No model training claim; content stays on operator server</x:v>
      </x:c>
      <x:c r="V13" s="346" t="str">
        <x:v>N/A/self-host</x:v>
      </x:c>
      <x:c r="W13" s="346" t="str">
        <x:v>Provider/project dependent</x:v>
      </x:c>
      <x:c r="X13" s="346" t="str">
        <x:v>No central content owner; encrypted content</x:v>
      </x:c>
      <x:c r="Y13" s="346" t="str">
        <x:v>No server-readable plaintext</x:v>
      </x:c>
      <x:c r="Z13" s="346" t="str">
        <x:v>Self-host/operator controlled</x:v>
      </x:c>
      <x:c r="AA13" s="380" t="str">
        <x:v>No - site says messages/uploads never train AI</x:v>
      </x:c>
      <x:c r="AB13" s="346" t="str">
        <x:v>U/K</x:v>
      </x:c>
      <x:c r="AC13" s="346" t="str">
        <x:v>U/K</x:v>
      </x:c>
      <x:c r="AD13" s="346" t="str">
        <x:v>No data selling; training policy U/K</x:v>
      </x:c>
      <x:c r="AE13" s="346" t="str">
        <x:v>Training policy U/K</x:v>
      </x:c>
    </x:row>
    <x:row r="14" ht="36" customHeight="1">
      <x:c r="A14" s="359" t="str">
        <x:v>Voice Used for Model Training?</x:v>
      </x:c>
      <x:c r="B14" s="346" t="str">
        <x:v>No - Discord says it does not allow AI companies to train models using user messages; voice/video is generally not stored</x:v>
      </x:c>
      <x:c r="C14" s="346" t="str">
        <x:v>U/K</x:v>
      </x:c>
      <x:c r="D14" s="346" t="str">
        <x:v>U/K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U/K</x:v>
      </x:c>
      <x:c r="O14" s="346" t="str">
        <x:v>U/K</x:v>
      </x:c>
      <x:c r="P14" s="346" t="str">
        <x:v>U/K</x:v>
      </x:c>
      <x:c r="Q14" s="346" t="str">
        <x:v>U/K</x:v>
      </x:c>
      <x:c r="R14" s="346" t="str">
        <x:v>U/K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U/K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59" t="str">
        <x:v>Files Used for Model Training?</x:v>
      </x:c>
      <x:c r="B15" s="346" t="str">
        <x:v>U/K</x:v>
      </x:c>
      <x:c r="C15" s="346" t="str">
        <x:v>U/K</x:v>
      </x:c>
      <x:c r="D15" s="346" t="str">
        <x:v>No public claim of user-content model training found; U/K in formal terms</x:v>
      </x:c>
      <x:c r="E15" s="346" t="str">
        <x:v>U/K</x:v>
      </x:c>
      <x:c r="F15" s="346" t="str">
        <x:v>No - privacy policy states content is not used to train AI models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Cloud/provider policy; no general claim of training user content found here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User-content training policy 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No model training claim; content stays on operator server</x:v>
      </x:c>
      <x:c r="V15" s="346" t="str">
        <x:v>U/K</x:v>
      </x:c>
      <x:c r="W15" s="346" t="str">
        <x:v>U/K</x:v>
      </x:c>
      <x:c r="X15" s="346" t="str">
        <x:v>No central content owner; encrypted content</x:v>
      </x:c>
      <x:c r="Y15" s="346" t="str">
        <x:v>U/K</x:v>
      </x:c>
      <x:c r="Z15" s="346" t="str">
        <x:v>U/K</x:v>
      </x:c>
      <x:c r="AA15" s="380" t="str">
        <x:v>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Training Consent Model</x:v>
      </x:c>
      <x:c r="B16" s="346" t="str">
        <x:v>None for third-party model training (not permitted); experimental AI features may have separate visibility/privacy controls</x:v>
      </x:c>
      <x:c r="C16" s="346" t="str">
        <x:v>U/K</x:v>
      </x:c>
      <x:c r="D16" s="346" t="str">
        <x:v>U/K</x:v>
      </x:c>
      <x:c r="E16" s="346" t="str">
        <x:v>None - not used for training</x:v>
      </x:c>
      <x:c r="F16" s="346" t="str">
        <x:v>None for training</x:v>
      </x:c>
      <x:c r="G16" s="346" t="str">
        <x:v>Provider-specific</x:v>
      </x:c>
      <x:c r="H16" s="346" t="str">
        <x:v>Operator-dependent</x:v>
      </x:c>
      <x:c r="I16" s="346" t="str">
        <x:v>N/A</x:v>
      </x:c>
      <x:c r="J16" s="346" t="str">
        <x:v>U/K</x:v>
      </x:c>
      <x:c r="K16" s="346" t="str">
        <x:v>U/K</x:v>
      </x:c>
      <x:c r="L16" s="346" t="str">
        <x:v>Deployment/provider-specific</x:v>
      </x:c>
      <x:c r="M16" s="346" t="str">
        <x:v>Deployment/provider-specific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N/A</x:v>
      </x:c>
      <x:c r="V16" s="346" t="str">
        <x:v>None</x:v>
      </x:c>
      <x:c r="W16" s="346" t="str">
        <x:v>U/K</x:v>
      </x:c>
      <x:c r="X16" s="346" t="str">
        <x:v>N/A</x:v>
      </x:c>
      <x:c r="Y16" s="346" t="str">
        <x:v>N/A</x:v>
      </x:c>
      <x:c r="Z16" s="346" t="str">
        <x:v>N/A</x:v>
      </x:c>
      <x:c r="AA16" s="380" t="str">
        <x:v>None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59" t="str">
        <x:v>Third-Party AI Providers?</x:v>
      </x:c>
      <x:c r="B17" s="346" t="str">
        <x:v>U/K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Provider/deployment-specific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Provider/deployment-specific</x:v>
      </x:c>
      <x:c r="M17" s="346" t="str">
        <x:v>Provider/deployment-specific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23" customHeight="1">
      <x:c r="A18" s="427" t="str">
        <x:v>Control &amp; Development</x:v>
      </x:c>
      <x:c r="B18" s="427"/>
      <x:c r="C18" s="427"/>
      <x:c r="D18" s="427"/>
      <x:c r="E18" s="427"/>
      <x:c r="F18" s="427"/>
      <x:c r="G18" s="427"/>
      <x:c r="H18" s="427"/>
      <x:c r="I18" s="427"/>
      <x:c r="J18" s="427"/>
      <x:c r="K18" s="427"/>
      <x:c r="L18" s="427"/>
      <x:c r="M18" s="427"/>
      <x:c r="N18" s="427"/>
      <x:c r="O18" s="427"/>
      <x:c r="P18" s="427"/>
      <x:c r="Q18" s="427"/>
      <x:c r="R18" s="427"/>
      <x:c r="S18" s="427"/>
      <x:c r="T18" s="427"/>
      <x:c r="U18" s="427"/>
      <x:c r="V18" s="427"/>
      <x:c r="W18" s="427"/>
      <x:c r="X18" s="427"/>
      <x:c r="Y18" s="427"/>
      <x:c r="Z18" s="427"/>
      <x:c r="AA18" s="427"/>
      <x:c r="AB18" s="427"/>
      <x:c r="AC18" s="427"/>
      <x:c r="AD18" s="427"/>
      <x:c r="AE18" s="427"/>
    </x:row>
    <x:row r="19" ht="36" customHeight="1">
      <x:c r="A19" s="359" t="str">
        <x:v>AI Features Can Be Disabled?</x:v>
      </x:c>
      <x:c r="B19" s="346" t="str">
        <x:v>U/K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59" t="str">
        <x:v>AI-Assisted Development Disclosed?</x:v>
      </x:c>
      <x:c r="B20" s="346" t="str">
        <x:v>Partial - public disclosures exist for AI experiments/training restrictions; internal AI-assisted coding use is U/K</x:v>
      </x:c>
      <x:c r="C20" s="346" t="str">
        <x:v>U/K</x:v>
      </x:c>
      <x:c r="D20" s="346" t="str">
        <x:v>Founder discloses AI assistance can be used in development; percentage U/K</x:v>
      </x:c>
      <x:c r="E20" s="346" t="str">
        <x:v>No percentage published</x:v>
      </x:c>
      <x:c r="F20" s="346" t="str">
        <x:v>U/K</x:v>
      </x:c>
      <x:c r="G20" s="346" t="str">
        <x:v>Provider-specific</x:v>
      </x:c>
      <x:c r="H20" s="346" t="str">
        <x:v>U/K</x:v>
      </x:c>
      <x:c r="I20" s="346" t="str">
        <x:v>N/A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AI models used for translation/transcription disclosed</x:v>
      </x:c>
      <x:c r="R20" s="346" t="str">
        <x:v>U/K</x:v>
      </x:c>
      <x:c r="S20" s="346" t="str">
        <x:v>Publicly discloses AI-powered features</x:v>
      </x:c>
      <x:c r="T20" s="346" t="str">
        <x:v>U/K</x:v>
      </x:c>
      <x:c r="U20" s="346" t="str">
        <x:v>Privacy-first/no surveillance model</x:v>
      </x:c>
      <x:c r="V20" s="346" t="str">
        <x:v>Fermi explicitly bans AI-generated code</x:v>
      </x:c>
      <x:c r="W20" s="346" t="str">
        <x:v>U/K</x:v>
      </x:c>
      <x:c r="X20" s="346" t="str">
        <x:v>U/K</x:v>
      </x:c>
      <x:c r="Y20" s="346" t="str">
        <x:v>Developer publicly discloses Claude use for development tooling</x:v>
      </x:c>
      <x:c r="Z20" s="346" t="str">
        <x:v>U/K</x:v>
      </x:c>
      <x:c r="AA20" s="380" t="str">
        <x:v>Yes - public FAQ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AI is product-feature specific, not general chat summarization</x:v>
      </x:c>
    </x:row>
    <x:row r="21" ht="36" customHeight="1">
      <x:c r="A21" s="359" t="str">
        <x:v>AI Code Contribution Policy</x:v>
      </x:c>
      <x:c r="B21" s="346" t="str">
        <x:v>U/K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U/K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AI-generated code banned in Fermi contributions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Internal use permitted with developer review; public contribution policy U/K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59" t="str">
        <x:v>AI Development % Published?</x:v>
      </x:c>
      <x:c r="B22" s="346" t="str">
        <x:v>U/K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 / provider-specific</x:v>
      </x:c>
      <x:c r="H22" s="346" t="str">
        <x:v>U/K</x:v>
      </x:c>
      <x:c r="I22" s="346" t="str">
        <x:v>N/A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U/K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0% allowed by Fermi contribution policy</x:v>
      </x:c>
      <x:c r="W22" s="346" t="str">
        <x:v>U/K</x:v>
      </x:c>
      <x:c r="X22" s="346" t="str">
        <x:v>U/K</x:v>
      </x:c>
      <x:c r="Y22" s="346" t="str">
        <x:v>AI assistance used in development; percentage U/K</x:v>
      </x:c>
      <x:c r="Z22" s="346" t="str">
        <x:v>U/K</x:v>
      </x:c>
      <x:c r="AA22" s="380" t="str">
        <x:v>No - percentage U/K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23" customHeight="1">
      <x:c r="A23" s="427" t="str">
        <x:v>Source &amp; Notes</x:v>
      </x:c>
      <x:c r="B23" s="427"/>
      <x:c r="C23" s="427"/>
      <x:c r="D23" s="427"/>
      <x:c r="E23" s="427"/>
      <x:c r="F23" s="427"/>
      <x:c r="G23" s="427"/>
      <x:c r="H23" s="427"/>
      <x:c r="I23" s="427"/>
      <x:c r="J23" s="427"/>
      <x:c r="K23" s="427"/>
      <x:c r="L23" s="427"/>
      <x:c r="M23" s="427"/>
      <x:c r="N23" s="427"/>
      <x:c r="O23" s="427"/>
      <x:c r="P23" s="427"/>
      <x:c r="Q23" s="427"/>
      <x:c r="R23" s="427"/>
      <x:c r="S23" s="427"/>
      <x:c r="T23" s="427"/>
      <x:c r="U23" s="427"/>
      <x:c r="V23" s="427"/>
      <x:c r="W23" s="427"/>
      <x:c r="X23" s="427"/>
      <x:c r="Y23" s="427"/>
      <x:c r="Z23" s="427"/>
      <x:c r="AA23" s="427"/>
      <x:c r="AB23" s="427"/>
      <x:c r="AC23" s="427"/>
      <x:c r="AD23" s="427"/>
      <x:c r="AE23" s="427"/>
    </x:row>
    <x:row r="24" ht="36" customHeight="1">
      <x:c r="A24" s="360" t="str">
        <x:v>AI / Data Use Notes</x:v>
      </x:c>
      <x:c r="B24" s="349" t="str">
        <x:v>Partial - public disclosures exist for AI experiments/training restrictions; internal AI-assisted coding use is U/K</x:v>
      </x:c>
      <x:c r="C24" s="349" t="str">
        <x:v>U/K</x:v>
      </x:c>
      <x:c r="D24" s="349" t="str">
        <x:v>Founder discloses AI assistance can be used in development; percentage U/K</x:v>
      </x:c>
      <x:c r="E24" s="349" t="str">
        <x:v>No percentage published</x:v>
      </x:c>
      <x:c r="F24" s="349" t="str">
        <x:v>U/K</x:v>
      </x:c>
      <x:c r="G24" s="349" t="str">
        <x:v>Provider-specific</x:v>
      </x:c>
      <x:c r="H24" s="349" t="str">
        <x:v>U/K</x:v>
      </x:c>
      <x:c r="I24" s="349" t="str">
        <x:v>N/A</x:v>
      </x:c>
      <x:c r="J24" s="349" t="str">
        <x:v>U/K</x:v>
      </x:c>
      <x:c r="K24" s="349" t="str">
        <x:v>U/K</x:v>
      </x:c>
      <x:c r="L24" s="349" t="str">
        <x:v>U/K</x:v>
      </x:c>
      <x:c r="M24" s="349" t="str">
        <x:v>U/K</x:v>
      </x:c>
      <x:c r="N24" s="349" t="str">
        <x:v>U/K</x:v>
      </x:c>
      <x:c r="O24" s="349" t="str">
        <x:v>U/K</x:v>
      </x:c>
      <x:c r="P24" s="349" t="str">
        <x:v>U/K</x:v>
      </x:c>
      <x:c r="Q24" s="349" t="str">
        <x:v>AI models used for translation/transcription disclosed</x:v>
      </x:c>
      <x:c r="R24" s="349" t="str">
        <x:v>U/K</x:v>
      </x:c>
      <x:c r="S24" s="349" t="str">
        <x:v>Publicly discloses AI-powered features</x:v>
      </x:c>
      <x:c r="T24" s="349" t="str">
        <x:v>U/K</x:v>
      </x:c>
      <x:c r="U24" s="349" t="str">
        <x:v>Privacy-first/no surveillance model</x:v>
      </x:c>
      <x:c r="V24" s="349" t="str">
        <x:v>Fermi explicitly bans AI-generated code</x:v>
      </x:c>
      <x:c r="W24" s="349" t="str">
        <x:v>U/K</x:v>
      </x:c>
      <x:c r="X24" s="349" t="str">
        <x:v>U/K</x:v>
      </x:c>
      <x:c r="Y24" s="349" t="str">
        <x:v>Developer publicly discloses Claude use for development tooling</x:v>
      </x:c>
      <x:c r="Z24" s="349" t="str">
        <x:v>U/K</x:v>
      </x:c>
      <x:c r="AA24" s="381" t="str">
        <x:v>Rift says messages/uploads are not used to train AI; FAQ says AI is used for parts of code development and reviewed by a developer.</x:v>
      </x:c>
      <x:c r="AB24" s="349" t="str">
        <x:v>U/K</x:v>
      </x:c>
      <x:c r="AC24" s="349" t="str">
        <x:v>U/K</x:v>
      </x:c>
      <x:c r="AD24" s="349" t="str">
        <x:v>U/K</x:v>
      </x:c>
      <x:c r="AE24" s="349" t="str">
        <x:v>AI is product-feature specific, not general chat summarization</x:v>
      </x:c>
    </x:row>
    <x:row r="25" ht="23" customHeight="1">
      <x:c r="A25" s="389" t="str">
        <x:v>AI Governance &amp; Controls</x:v>
      </x:c>
      <x:c r="B25" s="389"/>
      <x:c r="C25" s="389"/>
      <x:c r="D25" s="389"/>
      <x:c r="E25" s="389"/>
      <x:c r="F25" s="389"/>
      <x:c r="G25" s="389"/>
      <x:c r="H25" s="389"/>
      <x:c r="I25" s="389"/>
      <x:c r="J25" s="389"/>
      <x:c r="K25" s="389"/>
      <x:c r="L25" s="389"/>
      <x:c r="M25" s="389"/>
      <x:c r="N25" s="389"/>
      <x:c r="O25" s="389"/>
      <x:c r="P25" s="389"/>
      <x:c r="Q25" s="389"/>
      <x:c r="R25" s="389"/>
      <x:c r="S25" s="389"/>
      <x:c r="T25" s="389"/>
      <x:c r="U25" s="389"/>
      <x:c r="V25" s="389"/>
      <x:c r="W25" s="389"/>
      <x:c r="X25" s="389"/>
      <x:c r="Y25" s="389"/>
      <x:c r="Z25" s="389"/>
      <x:c r="AA25" s="389"/>
      <x:c r="AB25" s="389"/>
      <x:c r="AC25" s="389"/>
      <x:c r="AD25" s="389"/>
      <x:c r="AE25" s="389"/>
    </x:row>
    <x:row r="26" ht="36" customHeight="1">
      <x:c r="A26" s="378" t="str">
        <x:v>AI Feature Data Retention Published?</x:v>
      </x:c>
      <x:c r="B26" s="346" t="str">
        <x:v>Feature-specific/U/K</x:v>
      </x:c>
      <x:c r="C26" s="346" t="str">
        <x:v>U/K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U/K</x:v>
      </x:c>
      <x:c r="H26" s="346" t="str">
        <x:v>U/K</x:v>
      </x:c>
      <x:c r="I26" s="346" t="str">
        <x:v>U/K</x:v>
      </x:c>
      <x:c r="J26" s="346" t="str">
        <x:v>U/K</x:v>
      </x:c>
      <x:c r="K26" s="346" t="str">
        <x:v>U/K</x:v>
      </x:c>
      <x:c r="L26" s="346" t="str">
        <x:v>U/K</x:v>
      </x:c>
      <x:c r="M26" s="346" t="str">
        <x:v>U/K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U/K</x:v>
      </x:c>
      <x:c r="V26" s="346" t="str">
        <x:v>U/K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U/K</x:v>
      </x:c>
      <x:c r="AA26" s="380" t="str">
        <x:v>AI noise suppression processing details U/K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U/K</x:v>
      </x:c>
    </x:row>
    <x:row r="27" ht="36" customHeight="1">
      <x:c r="A27" s="378" t="str">
        <x:v>Human Review of AI Outputs / Flags?</x:v>
      </x:c>
      <x:c r="B27" s="346" t="str">
        <x:v>Safety workflows/U/K</x:v>
      </x:c>
      <x:c r="C27" s="346" t="str">
        <x:v>U/K</x:v>
      </x:c>
      <x:c r="D27" s="346" t="str">
        <x:v>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U/K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U/K</x:v>
      </x:c>
      <x:c r="AA27" s="380" t="str">
        <x:v>U/K</x:v>
      </x:c>
      <x:c r="AB27" s="346" t="str">
        <x:v>U/K</x:v>
      </x:c>
      <x:c r="AC27" s="346" t="str">
        <x:v>U/K</x:v>
      </x:c>
      <x:c r="AD27" s="346" t="str">
        <x:v>U/K</x:v>
      </x:c>
      <x:c r="AE27" s="346" t="str">
        <x:v>U/K</x:v>
      </x:c>
    </x:row>
    <x:row r="28" ht="36" customHeight="1">
      <x:c r="A28" s="378" t="str">
        <x:v>Enterprise / Admin AI Disable Controls?</x:v>
      </x:c>
      <x:c r="B28" s="346" t="str">
        <x:v>Feature-dependent/U/K</x:v>
      </x:c>
      <x:c r="C28" s="346" t="str">
        <x:v>U/K</x:v>
      </x:c>
      <x:c r="D28" s="346" t="str">
        <x:v>U/K</x:v>
      </x:c>
      <x:c r="E28" s="346" t="str">
        <x:v>U/K</x:v>
      </x:c>
      <x:c r="F28" s="346" t="str">
        <x:v>U/K</x:v>
      </x:c>
      <x:c r="G28" s="346" t="str">
        <x:v>U/K</x:v>
      </x:c>
      <x:c r="H28" s="346" t="str">
        <x:v>U/K</x:v>
      </x:c>
      <x:c r="I28" s="346" t="str">
        <x:v>U/K</x:v>
      </x:c>
      <x:c r="J28" s="346" t="str">
        <x:v>U/K</x:v>
      </x:c>
      <x:c r="K28" s="346" t="str">
        <x:v>U/K</x:v>
      </x:c>
      <x:c r="L28" s="346" t="str">
        <x:v>Deployment/plugin dependent</x:v>
      </x:c>
      <x:c r="M28" s="346" t="str">
        <x:v>U/K</x:v>
      </x:c>
      <x:c r="N28" s="346" t="str">
        <x:v>U/K</x:v>
      </x:c>
      <x:c r="O28" s="346" t="str">
        <x:v>U/K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U/K</x:v>
      </x:c>
      <x:c r="T28" s="346" t="str">
        <x:v>U/K</x:v>
      </x:c>
      <x:c r="U28" s="346" t="str">
        <x:v>U/K</x:v>
      </x:c>
      <x:c r="V28" s="346" t="str">
        <x:v>U/K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U/K</x:v>
      </x:c>
      <x:c r="AA28" s="380" t="str">
        <x:v>U/K</x:v>
      </x:c>
      <x:c r="AB28" s="346" t="str">
        <x:v>U/K</x:v>
      </x:c>
      <x:c r="AC28" s="346" t="str">
        <x:v>U/K</x:v>
      </x:c>
      <x:c r="AD28" s="346" t="str">
        <x:v>U/K</x:v>
      </x:c>
      <x:c r="AE28" s="346" t="str">
        <x:v>U/K</x:v>
      </x:c>
    </x:row>
    <x:row r="29" ht="36" customHeight="1">
      <x:c r="A29" s="378" t="str">
        <x:v>AI-Generated Content Labeling?</x:v>
      </x:c>
      <x:c r="B29" s="346" t="str">
        <x:v>U/K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U/K</x:v>
      </x:c>
      <x:c r="M29" s="346" t="str">
        <x:v>U/K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U/K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U/K</x:v>
      </x:c>
    </x:row>
  </x:sheetData>
  <x:mergeCells>
    <x:mergeCell ref="A1:AE1"/>
  </x:mergeCells>
  <x:conditionalFormatting sqref="B3:AE24">
    <x:cfRule type="expression" dxfId="86" priority="1">
      <x:formula>ISNUMBER(SEARCH("U/K",B3))</x:formula>
    </x:cfRule>
    <x:cfRule type="expression" dxfId="87" priority="2">
      <x:formula>OR(B3="N/A",LEFT(B3,4)="N/A ")</x:formula>
    </x:cfRule>
  </x:conditionalFormatting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Business Model &amp; Sustainability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7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6" t="str">
        <x:f>'At a Glance'!$AE$2</x:f>
        <x:v>Weered</x:v>
      </x:c>
    </x:row>
    <x:row r="3" ht="36" customHeight="1">
      <x:c r="A3" s="358" t="str">
        <x:v>Primary Funding Source (Self-Funded / Donations / VC / Enterprise)</x:v>
      </x:c>
      <x:c r="B3" s="344" t="str">
        <x:v>VC-backed private company + operating revenue from subscriptions, paid products, and sponsored content</x:v>
      </x:c>
      <x:c r="C3" s="344" t="str">
        <x:v>Community/open-source project + hosted service support; exact funding mix U/K</x:v>
      </x:c>
      <x:c r="D3" s="344" t="str">
        <x:v>Founder/self-funded + subscriptions planned; exact capital structure U/K</x:v>
      </x:c>
      <x:c r="E3" s="344" t="str">
        <x:v>Subscribers + donors; explicitly no VC/outside investors</x:v>
      </x:c>
      <x:c r="F3" s="344" t="str">
        <x:v>Private company; exact funding sources U/K</x:v>
      </x:c>
      <x:c r="G3" s="344" t="str">
        <x:v>Matrix.org Foundation + ecosystem companies/donations/managed hosting</x:v>
      </x:c>
      <x:c r="H3" s="344" t="str">
        <x:v>Community open-source project</x:v>
      </x:c>
      <x:c r="I3" s="344" t="str">
        <x:v>Community open-source project</x:v>
      </x:c>
      <x:c r="J3" s="344" t="str">
        <x:v>Commercial company</x:v>
      </x:c>
      <x:c r="K3" s="345" t="str">
        <x:v>Independent company + subscriptions/support; no VC per project messaging</x:v>
      </x:c>
      <x:c r="L3" s="346" t="str">
        <x:v>VC/enterprise-backed commercial company + product revenue</x:v>
      </x:c>
      <x:c r="M3" s="346" t="str">
        <x:v>VC/enterprise company + subscriptions</x:v>
      </x:c>
      <x:c r="N3" s="346" t="str">
        <x:v>Self-funded; LightSpeed Gaming LLC</x:v>
      </x:c>
      <x:c r="O3" s="346" t="str">
        <x:v>Donations</x:v>
      </x:c>
      <x:c r="P3" s="346" t="str">
        <x:v>Private startup; funding details U/K</x:v>
      </x:c>
      <x:c r="Q3" s="346" t="str">
        <x:v>U/K</x:v>
      </x:c>
      <x:c r="R3" s="346" t="str">
        <x:v>Founder/community project</x:v>
      </x:c>
      <x:c r="S3" s="346" t="str">
        <x:v>Company-backed</x:v>
      </x:c>
      <x:c r="T3" s="346" t="str">
        <x:v>Community/passion project</x:v>
      </x:c>
      <x:c r="U3" s="346" t="str">
        <x:v>Paid licensing + managed hosting</x:v>
      </x:c>
      <x:c r="V3" s="346" t="str">
        <x:v>Volunteer/open-source</x:v>
      </x:c>
      <x:c r="W3" s="346" t="str">
        <x:v>Open-source/community project</x:v>
      </x:c>
      <x:c r="X3" s="346" t="str">
        <x:v>Open-source/community project</x:v>
      </x:c>
      <x:c r="Y3" s="346" t="str">
        <x:v>Solo/open-source project</x:v>
      </x:c>
      <x:c r="Z3" s="346" t="str">
        <x:v>Donation/community funded; no investors</x:v>
      </x:c>
      <x:c r="AA3" s="380" t="str">
        <x:v>Private company; funding U/K</x:v>
      </x:c>
      <x:c r="AB3" s="346" t="str">
        <x:v>Open-source/hosted project</x:v>
      </x:c>
      <x:c r="AC3" s="346" t="str">
        <x:v>Small private team</x:v>
      </x:c>
      <x:c r="AD3" s="346" t="str">
        <x:v>Volunteer/no corporate funding + subscriptions/Patreon</x:v>
      </x:c>
      <x:c r="AE3" s="414" t="str">
        <x:v>Solo/private project</x:v>
      </x:c>
    </x:row>
    <x:row r="4" ht="36" customHeight="1">
      <x:c r="A4" s="358" t="str">
        <x:v>Monetization Strategy (Free / Nitro-Style Cosmetics / Hosted / Enterprise)</x:v>
      </x:c>
      <x:c r="B4" s="344" t="str">
        <x:v>Freemium; Nitro/Nitro Basic, Server Boosts, Shop/paid products, sponsored content/Quests</x:v>
      </x:c>
      <x:c r="C4" s="344" t="str">
        <x:v>Free hosted service + self-hosting; monetization details U/K</x:v>
      </x:c>
      <x:c r="D4" s="344" t="str">
        <x:v>Freemium; planned Surge $4.99, Flare $9.99, higher creator tier</x:v>
      </x:c>
      <x:c r="E4" s="344" t="str">
        <x:v>Freemium + Plutonium subscription + donations</x:v>
      </x:c>
      <x:c r="F4" s="344" t="str">
        <x:v>Freemium + Sudo subscription / paid perks + developer ecosystem</x:v>
      </x:c>
      <x:c r="G4" s="344" t="str">
        <x:v>Open protocol; hosted homeservers/enterprise services sold by providers</x:v>
      </x:c>
      <x:c r="H4" s="344" t="str">
        <x:v>Free self-hosted software</x:v>
      </x:c>
      <x:c r="I4" s="344" t="str">
        <x:v>Free open-source; commercial hosting by third parties</x:v>
      </x:c>
      <x:c r="J4" s="344" t="str">
        <x:v>Free client/use tiers + server licensing/hosted/community options</x:v>
      </x:c>
      <x:c r="K4" s="345" t="str">
        <x:v>Cloud subscriptions + paid self-host support; open-source free self-host</x:v>
      </x:c>
      <x:c r="L4" s="346" t="str">
        <x:v>Self-hosted/cloud enterprise subscriptions + free/open editions</x:v>
      </x:c>
      <x:c r="M4" s="346" t="str">
        <x:v>Cloud + enterprise/self-managed subscriptions + open-source core</x:v>
      </x:c>
      <x:c r="N4" s="346" t="str">
        <x:v>Free hosted use + paid server tiers/self-host licensing</x:v>
      </x:c>
      <x:c r="O4" s="346" t="str">
        <x:v>Free / donation-funded</x:v>
      </x:c>
      <x:c r="P4" s="346" t="str">
        <x:v>Free service; monetization details U/K</x:v>
      </x:c>
      <x:c r="Q4" s="346" t="str">
        <x:v>Free/open beta + self-hosting; monetization U/K</x:v>
      </x:c>
      <x:c r="R4" s="346" t="str">
        <x:v>Free/early project; future model U/K</x:v>
      </x:c>
      <x:c r="S4" s="346" t="str">
        <x:v>Free; no paywalls claimed</x:v>
      </x:c>
      <x:c r="T4" s="346" t="str">
        <x:v>Free; long-term monetization U/K</x:v>
      </x:c>
      <x:c r="U4" s="346" t="str">
        <x:v>Self-host server license + optional hosted trial/service</x:v>
      </x:c>
      <x:c r="V4" s="346" t="str">
        <x:v>Free/open source</x:v>
      </x:c>
      <x:c r="W4" s="346" t="str">
        <x:v>Free/open-source</x:v>
      </x:c>
      <x:c r="X4" s="346" t="str">
        <x:v>Free/open source; hosting/relay costs</x:v>
      </x:c>
      <x:c r="Y4" s="346" t="str">
        <x:v>Free/open-source; relay/code-signing costs borne by developer</x:v>
      </x:c>
      <x:c r="Z4" s="346" t="str">
        <x:v>Free open-source self-hosting</x:v>
      </x:c>
      <x:c r="AA4" s="380" t="str">
        <x:v>Free; no ads; future monetization U/K</x:v>
      </x:c>
      <x:c r="AB4" s="346" t="str">
        <x:v>Free hosted beta + self-host</x:v>
      </x:c>
      <x:c r="AC4" s="346" t="str">
        <x:v>Free/current; monetization U/K</x:v>
      </x:c>
      <x:c r="AD4" s="346" t="str">
        <x:v>Free + optional Stargazer subscriptions</x:v>
      </x:c>
      <x:c r="AE4" s="414" t="str">
        <x:v>Core free; private lobby/crew hosting tier ~$6/month; custom builds</x:v>
      </x:c>
    </x:row>
    <x:row r="5" ht="36" customHeight="1">
      <x:c r="A5" s="358" t="str">
        <x:v>Cosmetic Subscription Perks (Nitro-Equivalent)</x:v>
      </x:c>
      <x:c r="B5" s="344" t="str">
        <x:v>Yes - Nitro/Nitro Basic; cosmetics, emoji/stickers, themes, larger uploads, HD streaming; Nitro includes boosts</x:v>
      </x:c>
      <x:c r="C5" s="344" t="str">
        <x:v>U/K</x:v>
      </x:c>
      <x:c r="D5" s="344" t="str">
        <x:v>Paid tiers planned</x:v>
      </x:c>
      <x:c r="E5" s="344" t="str">
        <x:v>Plutonium perks incl. higher upload/streaming limits</x:v>
      </x:c>
      <x:c r="F5" s="344" t="str">
        <x:v>Sudo perks include higher streaming quality; full pricing U/K</x:v>
      </x:c>
      <x:c r="G5" s="344" t="str">
        <x:v>Client/provider-specific</x:v>
      </x:c>
      <x:c r="H5" s="344" t="str">
        <x:v>N/A</x:v>
      </x:c>
      <x:c r="I5" s="344" t="str">
        <x:v>N/A</x:v>
      </x:c>
      <x:c r="J5" s="344" t="str">
        <x:v>U/K</x:v>
      </x:c>
      <x:c r="K5" s="345" t="str">
        <x:v>N/A</x:v>
      </x:c>
      <x:c r="L5" s="346" t="str">
        <x:v>N/A</x:v>
      </x:c>
      <x:c r="M5" s="346" t="str">
        <x:v>N/A</x:v>
      </x:c>
      <x:c r="N5" s="346" t="str">
        <x:v>Paid server tiers/quality upgrades</x:v>
      </x:c>
      <x:c r="O5" s="346" t="str">
        <x:v>No Nitro-style requirement known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No Nitro-style paywall</x:v>
      </x:c>
      <x:c r="T5" s="346" t="str">
        <x:v>No ads</x:v>
      </x:c>
      <x:c r="U5" s="346" t="str">
        <x:v>No per-user Nitro focus</x:v>
      </x:c>
      <x:c r="V5" s="346" t="str">
        <x:v>No</x:v>
      </x:c>
      <x:c r="W5" s="346" t="str">
        <x:v>No</x:v>
      </x:c>
      <x:c r="X5" s="346" t="str">
        <x:v>No</x:v>
      </x:c>
      <x:c r="Y5" s="346" t="str">
        <x:v>No</x:v>
      </x:c>
      <x:c r="Z5" s="346" t="str">
        <x:v>No</x:v>
      </x:c>
      <x:c r="AA5" s="380" t="str">
        <x:v>No ads/Nitro-style U/K</x:v>
      </x:c>
      <x:c r="AB5" s="346" t="str">
        <x:v>No premium tier advertised</x:v>
      </x:c>
      <x:c r="AC5" s="346" t="str">
        <x:v>U/K</x:v>
      </x:c>
      <x:c r="AD5" s="346" t="str">
        <x:v>Stargazer upload/profile perks</x:v>
      </x:c>
      <x:c r="AE5" s="414" t="str">
        <x:v>Paid own lobby/custom</x:v>
      </x:c>
    </x:row>
    <x:row r="6" ht="36" customHeight="1">
      <x:c r="A6" s="358" t="str">
        <x:v>Self-Hosting Minimum Hardware (RAM / CPU per 100 users)</x:v>
      </x:c>
      <x:c r="B6" s="344" t="str">
        <x:v>N/A - official self-hosting unsupported</x:v>
      </x:c>
      <x:c r="C6" s="344" t="str">
        <x:v>Official guide recommends roughly 2 vCPU / 2 GB for a small deployment; exact per-100 sizing U/K</x:v>
      </x:c>
      <x:c r="D6" s="344" t="str">
        <x:v>N/A - no self-hosting</x:v>
      </x:c>
      <x:c r="E6" s="344" t="str">
        <x:v>U/K - typical instance needs app services + DB + Valkey + NATS</x:v>
      </x:c>
      <x:c r="F6" s="344" t="str">
        <x:v>N/A</x:v>
      </x:c>
      <x:c r="G6" s="344" t="str">
        <x:v>Varies by homeserver implementation/workload</x:v>
      </x:c>
      <x:c r="H6" s="344" t="str">
        <x:v>U/K</x:v>
      </x:c>
      <x:c r="I6" s="344" t="str">
        <x:v>Low - small server can run on modest hardware; exact per-100 U/K</x:v>
      </x:c>
      <x:c r="J6" s="344" t="str">
        <x:v>Modest dedicated server; exact per-100 U/K</x:v>
      </x:c>
      <x:c r="K6" s="345" t="str">
        <x:v>Varies; modest for small teams; official sizing depends deployment</x:v>
      </x:c>
      <x:c r="L6" s="346" t="str">
        <x:v>Varies; official sizing guides available</x:v>
      </x:c>
      <x:c r="M6" s="346" t="str">
        <x:v>Varies by deployment</x:v>
      </x:c>
      <x:c r="N6" s="346" t="str">
        <x:v>U/K</x:v>
      </x:c>
      <x:c r="O6" s="346" t="str">
        <x:v>N/A/U/K</x:v>
      </x:c>
      <x:c r="P6" s="346" t="str">
        <x:v>N/A</x:v>
      </x:c>
      <x:c r="Q6" s="346" t="str">
        <x:v>U/K</x:v>
      </x:c>
      <x:c r="R6" s="346" t="str">
        <x:v>U/K</x:v>
      </x:c>
      <x:c r="S6" s="346" t="str">
        <x:v>N/A/U/K</x:v>
      </x:c>
      <x:c r="T6" s="346" t="str">
        <x:v>N/A</x:v>
      </x:c>
      <x:c r="U6" s="346" t="str">
        <x:v>Operator hardware</x:v>
      </x:c>
      <x:c r="V6" s="346" t="str">
        <x:v>U/K</x:v>
      </x:c>
      <x:c r="W6" s="346" t="str">
        <x:v>U/K</x:v>
      </x:c>
      <x:c r="X6" s="346" t="str">
        <x:v>Relay resource dependent</x:v>
      </x:c>
      <x:c r="Y6" s="346" t="str">
        <x:v>Relay ~modest VPS; developer reports very high connection capacity</x:v>
      </x:c>
      <x:c r="Z6" s="346" t="str">
        <x:v>Operator hardware</x:v>
      </x:c>
      <x:c r="AA6" s="380" t="str">
        <x:v>N/A</x:v>
      </x:c>
      <x:c r="AB6" s="346" t="str">
        <x:v>U/K</x:v>
      </x:c>
      <x:c r="AC6" s="346" t="str">
        <x:v>N/A</x:v>
      </x:c>
      <x:c r="AD6" s="346" t="str">
        <x:v>U/K</x:v>
      </x:c>
      <x:c r="AE6" s="414" t="str">
        <x:v>N/A</x:v>
      </x:c>
    </x:row>
    <x:row r="7" ht="36" customHeight="1">
      <x:c r="A7" s="358" t="str">
        <x:v>Self-Hosting Hardware Requirements (1,000+ users)</x:v>
      </x:c>
      <x:c r="B7" s="344" t="str">
        <x:v>N/A - official self-hosting unsupported</x:v>
      </x:c>
      <x:c r="C7" s="344" t="str">
        <x:v>U/K</x:v>
      </x:c>
      <x:c r="D7" s="344" t="str">
        <x:v>N/A - no self-hosting</x:v>
      </x:c>
      <x:c r="E7" s="344" t="str">
        <x:v>U/K</x:v>
      </x:c>
      <x:c r="F7" s="344" t="str">
        <x:v>N/A</x:v>
      </x:c>
      <x:c r="G7" s="344" t="str">
        <x:v>Varies widely</x:v>
      </x:c>
      <x:c r="H7" s="344" t="str">
        <x:v>U/K</x:v>
      </x:c>
      <x:c r="I7" s="344" t="str">
        <x:v>Depends codec/bandwidth; exact U/K</x:v>
      </x:c>
      <x:c r="J7" s="344" t="str">
        <x:v>U/K</x:v>
      </x:c>
      <x:c r="K7" s="345" t="str">
        <x:v>Varies</x:v>
      </x:c>
      <x:c r="L7" s="346" t="str">
        <x:v>Varies; official sizing guides available</x:v>
      </x:c>
      <x:c r="M7" s="346" t="str">
        <x:v>Varies by deployment</x:v>
      </x:c>
      <x:c r="N7" s="346" t="str">
        <x:v>U/K</x:v>
      </x:c>
      <x:c r="O7" s="346" t="str">
        <x:v>N/A/U/K</x:v>
      </x:c>
      <x:c r="P7" s="346" t="str">
        <x:v>N/A</x:v>
      </x:c>
      <x:c r="Q7" s="346" t="str">
        <x:v>U/K</x:v>
      </x:c>
      <x:c r="R7" s="346" t="str">
        <x:v>U/K</x:v>
      </x:c>
      <x:c r="S7" s="346" t="str">
        <x:v>N/A/U/K</x:v>
      </x:c>
      <x:c r="T7" s="346" t="str">
        <x:v>N/A</x:v>
      </x:c>
      <x:c r="U7" s="346" t="str">
        <x:v>Operator hardware</x:v>
      </x:c>
      <x:c r="V7" s="346" t="str">
        <x:v>U/K</x:v>
      </x:c>
      <x:c r="W7" s="346" t="str">
        <x:v>U/K</x:v>
      </x:c>
      <x:c r="X7" s="346" t="str">
        <x:v>Relay resource dependent</x:v>
      </x:c>
      <x:c r="Y7" s="346" t="str">
        <x:v>U/K</x:v>
      </x:c>
      <x:c r="Z7" s="346" t="str">
        <x:v>Operator hardware</x:v>
      </x:c>
      <x:c r="AA7" s="380" t="str">
        <x:v>N/A</x:v>
      </x:c>
      <x:c r="AB7" s="346" t="str">
        <x:v>U/K</x:v>
      </x:c>
      <x:c r="AC7" s="346" t="str">
        <x:v>N/A</x:v>
      </x:c>
      <x:c r="AD7" s="346" t="str">
        <x:v>U/K</x:v>
      </x:c>
      <x:c r="AE7" s="414" t="str">
        <x:v>N/A</x:v>
      </x:c>
    </x:row>
    <x:row r="8" ht="36" customHeight="1">
      <x:c r="A8" s="397" t="str">
        <x:v>Financial Longevity / Abandonment Risk</x:v>
      </x:c>
      <x:c r="B8" s="349" t="str">
        <x:v>Established private company with active monetization; exact financial runway/profitability U/K</x:v>
      </x:c>
      <x:c r="C8" s="349" t="str">
        <x:v>Active project; long-term financial runway U/K</x:v>
      </x:c>
      <x:c r="D8" s="349" t="str">
        <x:v>Very early alpha; sustainability depends on adoption/subscriptions</x:v>
      </x:c>
      <x:c r="E8" s="349" t="str">
        <x:v>Active subscription-funded service; exact runway U/K</x:v>
      </x:c>
      <x:c r="F8" s="349" t="str">
        <x:v>Active private company; exact financial runway U/K</x:v>
      </x:c>
      <x:c r="G8" s="349" t="str">
        <x:v>Protocol longevity supported by open standard + multi-vendor ecosystem; individual providers vary</x:v>
      </x:c>
      <x:c r="H8" s="349" t="str">
        <x:v>Volunteer-project continuity risk higher than established vendors</x:v>
      </x:c>
      <x:c r="I8" s="349" t="str">
        <x:v>Long-running mature open-source project</x:v>
      </x:c>
      <x:c r="J8" s="349" t="str">
        <x:v>Mature long-lived commercial product</x:v>
      </x:c>
      <x:c r="K8" s="395" t="str">
        <x:v>Established open-source + commercial support model</x:v>
      </x:c>
      <x:c r="L8" s="349" t="str">
        <x:v>Established enterprise vendor; exact runway U/K</x:v>
      </x:c>
      <x:c r="M8" s="349" t="str">
        <x:v>Established enterprise/open-source vendor</x:v>
      </x:c>
      <x:c r="N8" s="349" t="str">
        <x:v>Founder states no investors; long-running voice-hosting background</x:v>
      </x:c>
      <x:c r="O8" s="349" t="str">
        <x:v>Small hobby project; continuity depends on maintainers/donations</x:v>
      </x:c>
      <x:c r="P8" s="349" t="str">
        <x:v>Active startup; exact runway U/K</x:v>
      </x:c>
      <x:c r="Q8" s="349" t="str">
        <x:v>Early-stage</x:v>
      </x:c>
      <x:c r="R8" s="349" t="str">
        <x:v>Experimental project risk</x:v>
      </x:c>
      <x:c r="S8" s="349" t="str">
        <x:v>Active company/product</x:v>
      </x:c>
      <x:c r="T8" s="349" t="str">
        <x:v>Early-stage sustainability U/K</x:v>
      </x:c>
      <x:c r="U8" s="349" t="str">
        <x:v>Business funded by licenses/hosting</x:v>
      </x:c>
      <x:c r="V8" s="349" t="str">
        <x:v>Early volunteer project</x:v>
      </x:c>
      <x:c r="W8" s="349" t="str">
        <x:v>Experimental project</x:v>
      </x:c>
      <x:c r="X8" s="349" t="str">
        <x:v>Early but architecture minimizes central hosting dependence</x:v>
      </x:c>
      <x:c r="Y8" s="349" t="str">
        <x:v>Solo-project sustainability risk</x:v>
      </x:c>
      <x:c r="Z8" s="349" t="str">
        <x:v>Active solo-led open-source project</x:v>
      </x:c>
      <x:c r="AA8" s="381" t="str">
        <x:v>Early private product</x:v>
      </x:c>
      <x:c r="AB8" s="349" t="str">
        <x:v>Early project</x:v>
      </x:c>
      <x:c r="AC8" s="349" t="str">
        <x:v>Early product</x:v>
      </x:c>
      <x:c r="AD8" s="349" t="str">
        <x:v>Open-source + optional subscription support</x:v>
      </x:c>
      <x:c r="AE8" s="415" t="str">
        <x:v>Early solo project</x:v>
      </x:c>
    </x:row>
    <x:row r="9" ht="23" customHeight="1">
      <x:c r="A9" s="389" t="str">
        <x:v>Revenue Mix &amp; Pricing Transparency</x:v>
      </x:c>
      <x:c r="B9" s="389"/>
      <x:c r="C9" s="389"/>
      <x:c r="D9" s="389"/>
      <x:c r="E9" s="389"/>
      <x:c r="F9" s="389"/>
      <x:c r="G9" s="389"/>
      <x:c r="H9" s="389"/>
      <x:c r="I9" s="389"/>
      <x:c r="J9" s="389"/>
      <x:c r="K9" s="389"/>
      <x:c r="L9" s="389"/>
      <x:c r="M9" s="389"/>
      <x:c r="N9" s="389"/>
      <x:c r="O9" s="389"/>
      <x:c r="P9" s="389"/>
      <x:c r="Q9" s="389"/>
      <x:c r="R9" s="389"/>
      <x:c r="S9" s="389"/>
      <x:c r="T9" s="389"/>
      <x:c r="U9" s="389"/>
      <x:c r="V9" s="389"/>
      <x:c r="W9" s="389"/>
      <x:c r="X9" s="389"/>
      <x:c r="Y9" s="389"/>
      <x:c r="Z9" s="389"/>
      <x:c r="AA9" s="389"/>
      <x:c r="AB9" s="389"/>
      <x:c r="AC9" s="389"/>
      <x:c r="AD9" s="389"/>
      <x:c r="AE9" s="389"/>
    </x:row>
    <x:row r="10" ht="36" customHeight="1">
      <x:c r="A10" s="378" t="str">
        <x:v>Free Hosted Tier / Free Use</x:v>
      </x:c>
      <x:c r="B10" s="346" t="str">
        <x:v>Yes</x:v>
      </x:c>
      <x:c r="C10" s="346" t="str">
        <x:v>Yes</x:v>
      </x:c>
      <x:c r="D10" s="346" t="str">
        <x:v>Yes</x:v>
      </x:c>
      <x:c r="E10" s="346" t="str">
        <x:v>Yes</x:v>
      </x:c>
      <x:c r="F10" s="346" t="str">
        <x:v>Yes</x:v>
      </x:c>
      <x:c r="G10" s="346" t="str">
        <x:v>Yes</x:v>
      </x:c>
      <x:c r="H10" s="346" t="str">
        <x:v>Yes</x:v>
      </x:c>
      <x:c r="I10" s="346" t="str">
        <x:v>Yes</x:v>
      </x:c>
      <x:c r="J10" s="346" t="str">
        <x:v>Yes</x:v>
      </x:c>
      <x:c r="K10" s="346" t="str">
        <x:v>Yes</x:v>
      </x:c>
      <x:c r="L10" s="346" t="str">
        <x:v>Yes</x:v>
      </x:c>
      <x:c r="M10" s="346" t="str">
        <x:v>Yes</x:v>
      </x:c>
      <x:c r="N10" s="346" t="str">
        <x:v>Yes</x:v>
      </x:c>
      <x:c r="O10" s="346" t="str">
        <x:v>Yes</x:v>
      </x:c>
      <x:c r="P10" s="346" t="str">
        <x:v>Yes / U/K exact free-plan terms</x:v>
      </x:c>
      <x:c r="Q10" s="346" t="str">
        <x:v>Yes / U/K exact free-plan terms</x:v>
      </x:c>
      <x:c r="R10" s="346" t="str">
        <x:v>Yes / U/K exact free-plan terms</x:v>
      </x:c>
      <x:c r="S10" s="346" t="str">
        <x:v>Yes</x:v>
      </x:c>
      <x:c r="T10" s="346" t="str">
        <x:v>Yes / U/K exact free-plan terms</x:v>
      </x:c>
      <x:c r="U10" s="346" t="str">
        <x:v>Yes / U/K exact free-plan terms</x:v>
      </x:c>
      <x:c r="V10" s="346" t="str">
        <x:v>Yes</x:v>
      </x:c>
      <x:c r="W10" s="346" t="str">
        <x:v>Yes</x:v>
      </x:c>
      <x:c r="X10" s="346" t="str">
        <x:v>Yes</x:v>
      </x:c>
      <x:c r="Y10" s="346" t="str">
        <x:v>Yes</x:v>
      </x:c>
      <x:c r="Z10" s="346" t="str">
        <x:v>Yes</x:v>
      </x:c>
      <x:c r="AA10" s="380" t="str">
        <x:v>Yes</x:v>
      </x:c>
      <x:c r="AB10" s="346" t="str">
        <x:v>Yes</x:v>
      </x:c>
      <x:c r="AC10" s="346" t="str">
        <x:v>Yes / U/K exact free-plan terms</x:v>
      </x:c>
      <x:c r="AD10" s="346" t="str">
        <x:v>Yes / U/K exact free-plan terms</x:v>
      </x:c>
      <x:c r="AE10" s="346" t="str">
        <x:v>Yes</x:v>
      </x:c>
    </x:row>
    <x:row r="11" ht="36" customHeight="1">
      <x:c r="A11" s="378" t="str">
        <x:v>User Subscription Model</x:v>
      </x:c>
      <x:c r="B11" s="346" t="str">
        <x:v>Yes</x:v>
      </x:c>
      <x:c r="C11" s="346" t="str">
        <x:v>No / U/K</x:v>
      </x:c>
      <x:c r="D11" s="346" t="str">
        <x:v>Planned</x:v>
      </x:c>
      <x:c r="E11" s="346" t="str">
        <x:v>Yes</x:v>
      </x:c>
      <x:c r="F11" s="346" t="str">
        <x:v>Yes</x:v>
      </x:c>
      <x:c r="G11" s="346" t="str">
        <x:v>No / U/K</x:v>
      </x:c>
      <x:c r="H11" s="346" t="str">
        <x:v>No / U/K</x:v>
      </x:c>
      <x:c r="I11" s="346" t="str">
        <x:v>No / U/K</x:v>
      </x:c>
      <x:c r="J11" s="346" t="str">
        <x:v>No / U/K</x:v>
      </x:c>
      <x:c r="K11" s="346" t="str">
        <x:v>No / U/K</x:v>
      </x:c>
      <x:c r="L11" s="346" t="str">
        <x:v>No / U/K</x:v>
      </x:c>
      <x:c r="M11" s="346" t="str">
        <x:v>No / U/K</x:v>
      </x:c>
      <x:c r="N11" s="346" t="str">
        <x:v>No / U/K</x:v>
      </x:c>
      <x:c r="O11" s="346" t="str">
        <x:v>No / U/K</x:v>
      </x:c>
      <x:c r="P11" s="346" t="str">
        <x:v>No / U/K</x:v>
      </x:c>
      <x:c r="Q11" s="346" t="str">
        <x:v>No / U/K</x:v>
      </x:c>
      <x:c r="R11" s="346" t="str">
        <x:v>No / U/K</x:v>
      </x:c>
      <x:c r="S11" s="346" t="str">
        <x:v>No / U/K</x:v>
      </x:c>
      <x:c r="T11" s="346" t="str">
        <x:v>No / U/K</x:v>
      </x:c>
      <x:c r="U11" s="346" t="str">
        <x:v>No / U/K</x:v>
      </x:c>
      <x:c r="V11" s="346" t="str">
        <x:v>No / U/K</x:v>
      </x:c>
      <x:c r="W11" s="346" t="str">
        <x:v>No / U/K</x:v>
      </x:c>
      <x:c r="X11" s="346" t="str">
        <x:v>No / U/K</x:v>
      </x:c>
      <x:c r="Y11" s="346" t="str">
        <x:v>No / U/K</x:v>
      </x:c>
      <x:c r="Z11" s="346" t="str">
        <x:v>No / U/K</x:v>
      </x:c>
      <x:c r="AA11" s="380" t="str">
        <x:v>Yes</x:v>
      </x:c>
      <x:c r="AB11" s="346" t="str">
        <x:v>No / U/K</x:v>
      </x:c>
      <x:c r="AC11" s="346" t="str">
        <x:v>No / U/K</x:v>
      </x:c>
      <x:c r="AD11" s="346" t="str">
        <x:v>Yes</x:v>
      </x:c>
      <x:c r="AE11" s="346" t="str">
        <x:v>No / U/K</x:v>
      </x:c>
    </x:row>
    <x:row r="12" ht="36" customHeight="1">
      <x:c r="A12" s="378" t="str">
        <x:v>Community / Server Subscription</x:v>
      </x:c>
      <x:c r="B12" s="346" t="str">
        <x:v>Yes</x:v>
      </x:c>
      <x:c r="C12" s="346" t="str">
        <x:v>No / U/K</x:v>
      </x:c>
      <x:c r="D12" s="346" t="str">
        <x:v>No / U/K</x:v>
      </x:c>
      <x:c r="E12" s="346" t="str">
        <x:v>No / U/K</x:v>
      </x:c>
      <x:c r="F12" s="346" t="str">
        <x:v>No / U/K</x:v>
      </x:c>
      <x:c r="G12" s="346" t="str">
        <x:v>No / U/K</x:v>
      </x:c>
      <x:c r="H12" s="346" t="str">
        <x:v>No / U/K</x:v>
      </x:c>
      <x:c r="I12" s="346" t="str">
        <x:v>No / U/K</x:v>
      </x:c>
      <x:c r="J12" s="346" t="str">
        <x:v>Yes</x:v>
      </x:c>
      <x:c r="K12" s="346" t="str">
        <x:v>No / U/K</x:v>
      </x:c>
      <x:c r="L12" s="346" t="str">
        <x:v>No / U/K</x:v>
      </x:c>
      <x:c r="M12" s="346" t="str">
        <x:v>No / U/K</x:v>
      </x:c>
      <x:c r="N12" s="346" t="str">
        <x:v>Yes</x:v>
      </x:c>
      <x:c r="O12" s="346" t="str">
        <x:v>No / U/K</x:v>
      </x:c>
      <x:c r="P12" s="346" t="str">
        <x:v>No / U/K</x:v>
      </x:c>
      <x:c r="Q12" s="346" t="str">
        <x:v>No / U/K</x:v>
      </x:c>
      <x:c r="R12" s="346" t="str">
        <x:v>No / U/K</x:v>
      </x:c>
      <x:c r="S12" s="346" t="str">
        <x:v>No / U/K</x:v>
      </x:c>
      <x:c r="T12" s="346" t="str">
        <x:v>No / U/K</x:v>
      </x:c>
      <x:c r="U12" s="346" t="str">
        <x:v>No / U/K</x:v>
      </x:c>
      <x:c r="V12" s="346" t="str">
        <x:v>No / U/K</x:v>
      </x:c>
      <x:c r="W12" s="346" t="str">
        <x:v>No / U/K</x:v>
      </x:c>
      <x:c r="X12" s="346" t="str">
        <x:v>No / U/K</x:v>
      </x:c>
      <x:c r="Y12" s="346" t="str">
        <x:v>No / U/K</x:v>
      </x:c>
      <x:c r="Z12" s="346" t="str">
        <x:v>No / U/K</x:v>
      </x:c>
      <x:c r="AA12" s="380" t="str">
        <x:v>Yes</x:v>
      </x:c>
      <x:c r="AB12" s="346" t="str">
        <x:v>No / U/K</x:v>
      </x:c>
      <x:c r="AC12" s="346" t="str">
        <x:v>No / U/K</x:v>
      </x:c>
      <x:c r="AD12" s="346" t="str">
        <x:v>No / U/K</x:v>
      </x:c>
      <x:c r="AE12" s="346" t="str">
        <x:v>Yes</x:v>
      </x:c>
    </x:row>
    <x:row r="13" ht="36" customHeight="1">
      <x:c r="A13" s="378" t="str">
        <x:v>Paid Self-Host License / Support</x:v>
      </x:c>
      <x:c r="B13" s="346" t="str">
        <x:v>No</x:v>
      </x:c>
      <x:c r="C13" s="346" t="str">
        <x:v>No</x:v>
      </x:c>
      <x:c r="D13" s="346" t="str">
        <x:v>No</x:v>
      </x:c>
      <x:c r="E13" s="346" t="str">
        <x:v>No</x:v>
      </x:c>
      <x:c r="F13" s="346" t="str">
        <x:v>No</x:v>
      </x:c>
      <x:c r="G13" s="346" t="str">
        <x:v>No</x:v>
      </x:c>
      <x:c r="H13" s="346" t="str">
        <x:v>No</x:v>
      </x:c>
      <x:c r="I13" s="346" t="str">
        <x:v>No</x:v>
      </x:c>
      <x:c r="J13" s="346" t="str">
        <x:v>Yes</x:v>
      </x:c>
      <x:c r="K13" s="346" t="str">
        <x:v>Yes</x:v>
      </x:c>
      <x:c r="L13" s="346" t="str">
        <x:v>No</x:v>
      </x:c>
      <x:c r="M13" s="346" t="str">
        <x:v>No</x:v>
      </x:c>
      <x:c r="N13" s="346" t="str">
        <x:v>Yes</x:v>
      </x:c>
      <x:c r="O13" s="346" t="str">
        <x:v>No</x:v>
      </x:c>
      <x:c r="P13" s="346" t="str">
        <x:v>No</x:v>
      </x:c>
      <x:c r="Q13" s="346" t="str">
        <x:v>No</x:v>
      </x:c>
      <x:c r="R13" s="346" t="str">
        <x:v>No</x:v>
      </x:c>
      <x:c r="S13" s="346" t="str">
        <x:v>No</x:v>
      </x:c>
      <x:c r="T13" s="346" t="str">
        <x:v>No</x:v>
      </x:c>
      <x:c r="U13" s="346" t="str">
        <x:v>No</x:v>
      </x:c>
      <x:c r="V13" s="346" t="str">
        <x:v>No</x:v>
      </x:c>
      <x:c r="W13" s="346" t="str">
        <x:v>No</x:v>
      </x:c>
      <x:c r="X13" s="346" t="str">
        <x:v>No</x:v>
      </x:c>
      <x:c r="Y13" s="346" t="str">
        <x:v>No</x:v>
      </x:c>
      <x:c r="Z13" s="346" t="str">
        <x:v>No</x:v>
      </x:c>
      <x:c r="AA13" s="380" t="str">
        <x:v>No</x:v>
      </x:c>
      <x:c r="AB13" s="346" t="str">
        <x:v>No</x:v>
      </x:c>
      <x:c r="AC13" s="346" t="str">
        <x:v>No</x:v>
      </x:c>
      <x:c r="AD13" s="346" t="str">
        <x:v>No</x:v>
      </x:c>
      <x:c r="AE13" s="346" t="str">
        <x:v>No</x:v>
      </x:c>
    </x:row>
    <x:row r="14" ht="36" customHeight="1">
      <x:c r="A14" s="378" t="str">
        <x:v>Enterprise / Custom Quote</x:v>
      </x:c>
      <x:c r="B14" s="346" t="str">
        <x:v>No / U/K</x:v>
      </x:c>
      <x:c r="C14" s="346" t="str">
        <x:v>No / U/K</x:v>
      </x:c>
      <x:c r="D14" s="346" t="str">
        <x:v>No / U/K</x:v>
      </x:c>
      <x:c r="E14" s="346" t="str">
        <x:v>No / U/K</x:v>
      </x:c>
      <x:c r="F14" s="346" t="str">
        <x:v>No / U/K</x:v>
      </x:c>
      <x:c r="G14" s="346" t="str">
        <x:v>No / U/K</x:v>
      </x:c>
      <x:c r="H14" s="346" t="str">
        <x:v>No / U/K</x:v>
      </x:c>
      <x:c r="I14" s="346" t="str">
        <x:v>No / U/K</x:v>
      </x:c>
      <x:c r="J14" s="346" t="str">
        <x:v>Yes</x:v>
      </x:c>
      <x:c r="K14" s="346" t="str">
        <x:v>Yes</x:v>
      </x:c>
      <x:c r="L14" s="346" t="str">
        <x:v>Yes</x:v>
      </x:c>
      <x:c r="M14" s="346" t="str">
        <x:v>Yes</x:v>
      </x:c>
      <x:c r="N14" s="346" t="str">
        <x:v>No / U/K</x:v>
      </x:c>
      <x:c r="O14" s="346" t="str">
        <x:v>No / U/K</x:v>
      </x:c>
      <x:c r="P14" s="346" t="str">
        <x:v>No / U/K</x:v>
      </x:c>
      <x:c r="Q14" s="346" t="str">
        <x:v>No / U/K</x:v>
      </x:c>
      <x:c r="R14" s="346" t="str">
        <x:v>No / U/K</x:v>
      </x:c>
      <x:c r="S14" s="346" t="str">
        <x:v>No / U/K</x:v>
      </x:c>
      <x:c r="T14" s="346" t="str">
        <x:v>No / U/K</x:v>
      </x:c>
      <x:c r="U14" s="346" t="str">
        <x:v>No / U/K</x:v>
      </x:c>
      <x:c r="V14" s="346" t="str">
        <x:v>No / U/K</x:v>
      </x:c>
      <x:c r="W14" s="346" t="str">
        <x:v>No / U/K</x:v>
      </x:c>
      <x:c r="X14" s="346" t="str">
        <x:v>No / U/K</x:v>
      </x:c>
      <x:c r="Y14" s="346" t="str">
        <x:v>No / U/K</x:v>
      </x:c>
      <x:c r="Z14" s="346" t="str">
        <x:v>No / U/K</x:v>
      </x:c>
      <x:c r="AA14" s="380" t="str">
        <x:v>No / U/K</x:v>
      </x:c>
      <x:c r="AB14" s="346" t="str">
        <x:v>No / U/K</x:v>
      </x:c>
      <x:c r="AC14" s="346" t="str">
        <x:v>No / U/K</x:v>
      </x:c>
      <x:c r="AD14" s="346" t="str">
        <x:v>No / U/K</x:v>
      </x:c>
      <x:c r="AE14" s="346" t="str">
        <x:v>Yes</x:v>
      </x:c>
    </x:row>
    <x:row r="15" ht="36" customHeight="1">
      <x:c r="A15" s="378" t="str">
        <x:v>Advertising / Sponsored Content Revenue</x:v>
      </x:c>
      <x:c r="B15" s="346" t="str">
        <x:v>Yes - sponsored Quests/formats</x:v>
      </x:c>
      <x:c r="C15" s="346" t="str">
        <x:v>U/K</x:v>
      </x:c>
      <x:c r="D15" s="346" t="str">
        <x:v>U/K</x:v>
      </x:c>
      <x:c r="E15" s="346" t="str">
        <x:v>U/K</x:v>
      </x:c>
      <x:c r="F15" s="346" t="str">
        <x:v>U/K</x:v>
      </x:c>
      <x:c r="G15" s="346" t="str">
        <x:v>Protocol: N/A / provider-dependent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No ad-funded model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No ads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78" t="str">
        <x:v>Donations / Sponsorship</x:v>
      </x:c>
      <x:c r="B16" s="346" t="str">
        <x:v>U/K</x:v>
      </x:c>
      <x:c r="C16" s="346" t="str">
        <x:v>U/K</x:v>
      </x:c>
      <x:c r="D16" s="346" t="str">
        <x:v>U/K</x:v>
      </x:c>
      <x:c r="E16" s="346" t="str">
        <x:v>Yes - donations</x:v>
      </x:c>
      <x:c r="F16" s="346" t="str">
        <x:v>U/K</x:v>
      </x:c>
      <x:c r="G16" s="346" t="str">
        <x:v>Foundation donations/sponsorship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U/K</x:v>
      </x:c>
      <x:c r="O16" s="346" t="str">
        <x:v>Yes - donations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Yes - donations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Yes - donations</x:v>
      </x:c>
      <x:c r="AA16" s="380" t="str">
        <x:v>No donation model verified</x:v>
      </x:c>
      <x:c r="AB16" s="346" t="str">
        <x:v>Yes - donations</x:v>
      </x:c>
      <x:c r="AC16" s="346" t="str">
        <x:v>U/K</x:v>
      </x:c>
      <x:c r="AD16" s="346" t="str">
        <x:v>U/K</x:v>
      </x:c>
      <x:c r="AE16" s="346" t="str">
        <x:v>U/K</x:v>
      </x:c>
    </x:row>
    <x:row r="17">
      <x:c r="A17" s="24"/>
      <x:c r="B17" s="24"/>
      <x:c r="C17" s="24"/>
      <x:c r="D17" s="24"/>
      <x:c r="E17" s="24"/>
      <x:c r="F17" s="24"/>
      <x:c r="G17" s="24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</x:row>
    <x:row r="18">
      <x:c r="A18" s="24"/>
      <x:c r="B18" s="24"/>
      <x:c r="C18" s="24"/>
      <x:c r="D18" s="24"/>
      <x:c r="E18" s="24"/>
      <x:c r="F18" s="24"/>
      <x:c r="G18" s="24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</x:row>
    <x:row r="19">
      <x:c r="A19" s="24"/>
      <x:c r="B19" s="24"/>
      <x:c r="C19" s="24"/>
      <x:c r="D19" s="24"/>
      <x:c r="E19" s="24"/>
      <x:c r="F19" s="24"/>
      <x:c r="G19" s="24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</x:row>
    <x:row r="20">
      <x:c r="A20" s="24"/>
      <x:c r="B20" s="24"/>
      <x:c r="C20" s="24"/>
      <x:c r="D20" s="24"/>
      <x:c r="E20" s="24"/>
      <x:c r="F20" s="24"/>
      <x:c r="G20" s="24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</x:row>
    <x:row r="21">
      <x:c r="A21" s="24"/>
      <x:c r="B21" s="24"/>
      <x:c r="C21" s="24"/>
      <x:c r="D21" s="24"/>
      <x:c r="E21" s="24"/>
      <x:c r="F21" s="24"/>
      <x:c r="G21" s="24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</x:row>
    <x:row r="22">
      <x:c r="A22" s="24"/>
      <x:c r="B22" s="24"/>
      <x:c r="C22" s="24"/>
      <x:c r="D22" s="24"/>
      <x:c r="E22" s="24"/>
      <x:c r="F22" s="24"/>
      <x:c r="G22" s="24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</x:row>
    <x:row r="23">
      <x:c r="A23" s="24"/>
      <x:c r="B23" s="24"/>
      <x:c r="C23" s="24"/>
      <x:c r="D23" s="24"/>
      <x:c r="E23" s="24"/>
      <x:c r="F23" s="24"/>
      <x:c r="G23" s="24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</x:row>
    <x:row r="24">
      <x:c r="A24" s="24"/>
      <x:c r="B24" s="24"/>
      <x:c r="C24" s="24"/>
      <x:c r="D24" s="24"/>
      <x:c r="E24" s="24"/>
      <x:c r="F24" s="24"/>
      <x:c r="G24" s="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</x:row>
    <x:row r="25">
      <x:c r="A25" s="24"/>
      <x:c r="B25" s="24"/>
      <x:c r="C25" s="24"/>
      <x:c r="D25" s="24"/>
      <x:c r="E25" s="24"/>
      <x:c r="F25" s="24"/>
      <x:c r="G25" s="24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</x:row>
    <x:row r="26">
      <x:c r="A26" s="24"/>
      <x:c r="B26" s="24"/>
      <x:c r="C26" s="24"/>
      <x:c r="D26" s="24"/>
      <x:c r="E26" s="24"/>
      <x:c r="F26" s="24"/>
      <x:c r="G26" s="24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</x:row>
    <x:row r="27">
      <x:c r="A27" s="24"/>
      <x:c r="B27" s="24"/>
      <x:c r="C27" s="24"/>
      <x:c r="D27" s="24"/>
      <x:c r="E27" s="24"/>
      <x:c r="F27" s="24"/>
      <x:c r="G27" s="24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</x:row>
  </x:sheetData>
  <x:mergeCells>
    <x:mergeCell ref="A1:AE1"/>
  </x:mergeCells>
  <x:conditionalFormatting sqref="B3:AE8">
    <x:cfRule type="expression" dxfId="54" priority="1">
      <x:formula>ISNUMBER(SEARCH("U/K",B3))</x:formula>
    </x:cfRule>
    <x:cfRule type="expression" dxfId="55" priority="2">
      <x:formula>OR(B3="N/A",LEFT(B3,4)="N/A ")</x:formula>
    </x:cfRule>
  </x:conditionalFormatting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Pricing Summary - normalized side-by-side view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420" t="str">
        <x:v>Category</x:v>
      </x:c>
      <x:c r="B2" s="420" t="str">
        <x:f>'At a Glance'!$B$2</x:f>
        <x:v>Discord</x:v>
      </x:c>
      <x:c r="C2" s="420" t="str">
        <x:f>'At a Glance'!$C$2</x:f>
        <x:v>Stoat</x:v>
      </x:c>
      <x:c r="D2" s="420" t="str">
        <x:f>'At a Glance'!$D$2</x:f>
        <x:v>Fenrid</x:v>
      </x:c>
      <x:c r="E2" s="420" t="str">
        <x:f>'At a Glance'!$E$2</x:f>
        <x:v>Fluxer</x:v>
      </x:c>
      <x:c r="F2" s="420" t="str">
        <x:f>'At a Glance'!$F$2</x:f>
        <x:v>Root</x:v>
      </x:c>
      <x:c r="G2" s="420" t="str">
        <x:f>'At a Glance'!$G$2</x:f>
        <x:v>Matrix</x:v>
      </x:c>
      <x:c r="H2" s="420" t="str">
        <x:f>'At a Glance'!$H$2</x:f>
        <x:v>Spacebar</x:v>
      </x:c>
      <x:c r="I2" s="420" t="str">
        <x:f>'At a Glance'!$I$2</x:f>
        <x:v>Mumble</x:v>
      </x:c>
      <x:c r="J2" s="420" t="str">
        <x:f>'At a Glance'!$J$2</x:f>
        <x:v>TeamSpeak</x:v>
      </x:c>
      <x:c r="K2" s="420" t="str">
        <x:f>'At a Glance'!$K$2</x:f>
        <x:v>Zulip</x:v>
      </x:c>
      <x:c r="L2" s="420" t="str">
        <x:f>'At a Glance'!$L$2</x:f>
        <x:v>Mattermost</x:v>
      </x:c>
      <x:c r="M2" s="420" t="str">
        <x:f>'At a Glance'!$M$2</x:f>
        <x:v>Rocket.Chat</x:v>
      </x:c>
      <x:c r="N2" s="420" t="str">
        <x:f>'At a Glance'!$N$2</x:f>
        <x:v>GameVox</x:v>
      </x:c>
      <x:c r="O2" s="420" t="str">
        <x:f>'At a Glance'!$O$2</x:f>
        <x:v>Nerimity</x:v>
      </x:c>
      <x:c r="P2" s="420" t="str">
        <x:f>'At a Glance'!$P$2</x:f>
        <x:v>Osmium</x:v>
      </x:c>
      <x:c r="Q2" s="420" t="str">
        <x:f>'At a Glance'!$Q$2</x:f>
        <x:v>Loqa</x:v>
      </x:c>
      <x:c r="R2" s="420" t="str">
        <x:f>'At a Glance'!$R$2</x:f>
        <x:v>Venta</x:v>
      </x:c>
      <x:c r="S2" s="420" t="str">
        <x:f>'At a Glance'!$S$2</x:f>
        <x:v>Mezon</x:v>
      </x:c>
      <x:c r="T2" s="420" t="str">
        <x:f>'At a Glance'!$T$2</x:f>
        <x:v>Kloak</x:v>
      </x:c>
      <x:c r="U2" s="420" t="str">
        <x:f>'At a Glance'!$U$2</x:f>
        <x:v>Yapper</x:v>
      </x:c>
      <x:c r="V2" s="420" t="str">
        <x:f>'At a Glance'!$V$2</x:f>
        <x:v>Harmony</x:v>
      </x:c>
      <x:c r="W2" s="420" t="str">
        <x:f>'At a Glance'!$W$2</x:f>
        <x:v>Roomy</x:v>
      </x:c>
      <x:c r="X2" s="420" t="str">
        <x:f>'At a Glance'!$X$2</x:f>
        <x:v>Armada</x:v>
      </x:c>
      <x:c r="Y2" s="420" t="str">
        <x:f>'At a Glance'!$Y$2</x:f>
        <x:v>Hollow</x:v>
      </x:c>
      <x:c r="Z2" s="420" t="str">
        <x:f>'At a Glance'!$Z$2</x:f>
        <x:v>DCTS</x:v>
      </x:c>
      <x:c r="AA2" s="421" t="str">
        <x:f>'At a Glance'!$AA$2</x:f>
        <x:v>Rift</x:v>
      </x:c>
      <x:c r="AB2" s="420" t="str">
        <x:f>'At a Glance'!$AB$2</x:f>
        <x:v>pqp.gg</x:v>
      </x:c>
      <x:c r="AC2" s="420" t="str">
        <x:f>'At a Glance'!$AC$2</x:f>
        <x:v>Echon</x:v>
      </x:c>
      <x:c r="AD2" s="420" t="str">
        <x:f>'At a Glance'!$AD$2</x:f>
        <x:v>Valour</x:v>
      </x:c>
      <x:c r="AE2" s="420" t="str">
        <x:f>'At a Glance'!$AE$2</x:f>
        <x:v>Weered</x:v>
      </x:c>
    </x:row>
    <x:row r="3" ht="36" customHeight="1">
      <x:c r="A3" s="359" t="str">
        <x:v>Free Plan / Free Use Available?</x:v>
      </x:c>
      <x:c r="B3" s="346" t="str">
        <x:v>Yes</x:v>
      </x:c>
      <x:c r="C3" s="346" t="str">
        <x:v>Yes</x:v>
      </x:c>
      <x:c r="D3" s="346" t="str">
        <x:v>Yes</x:v>
      </x:c>
      <x:c r="E3" s="346" t="str">
        <x:v>Yes</x:v>
      </x:c>
      <x:c r="F3" s="346" t="str">
        <x:v>Yes</x:v>
      </x:c>
      <x:c r="G3" s="346" t="str">
        <x:v>Yes</x:v>
      </x:c>
      <x:c r="H3" s="346" t="str">
        <x:v>Yes</x:v>
      </x:c>
      <x:c r="I3" s="346" t="str">
        <x:v>Yes</x:v>
      </x:c>
      <x:c r="J3" s="346" t="str">
        <x:v>Yes</x:v>
      </x:c>
      <x:c r="K3" s="346" t="str">
        <x:v>Yes</x:v>
      </x:c>
      <x:c r="L3" s="346" t="str">
        <x:v>Yes</x:v>
      </x:c>
      <x:c r="M3" s="346" t="str">
        <x:v>Yes</x:v>
      </x:c>
      <x:c r="N3" s="346" t="str">
        <x:v>Yes</x:v>
      </x:c>
      <x:c r="O3" s="346" t="str">
        <x:v>Yes</x:v>
      </x:c>
      <x:c r="P3" s="346" t="str">
        <x:v>Yes / U/K exact free-plan terms</x:v>
      </x:c>
      <x:c r="Q3" s="346" t="str">
        <x:v>Yes / U/K exact free-plan terms</x:v>
      </x:c>
      <x:c r="R3" s="346" t="str">
        <x:v>Yes / U/K exact free-plan terms</x:v>
      </x:c>
      <x:c r="S3" s="346" t="str">
        <x:v>Yes</x:v>
      </x:c>
      <x:c r="T3" s="346" t="str">
        <x:v>Yes / U/K exact free-plan terms</x:v>
      </x:c>
      <x:c r="U3" s="346" t="str">
        <x:v>Yes / U/K exact free-plan terms</x:v>
      </x:c>
      <x:c r="V3" s="346" t="str">
        <x:v>Yes</x:v>
      </x:c>
      <x:c r="W3" s="346" t="str">
        <x:v>Yes</x:v>
      </x:c>
      <x:c r="X3" s="346" t="str">
        <x:v>Yes</x:v>
      </x:c>
      <x:c r="Y3" s="346" t="str">
        <x:v>Yes</x:v>
      </x:c>
      <x:c r="Z3" s="346" t="str">
        <x:v>Yes</x:v>
      </x:c>
      <x:c r="AA3" s="380" t="str">
        <x:v>Yes</x:v>
      </x:c>
      <x:c r="AB3" s="346" t="str">
        <x:v>Yes</x:v>
      </x:c>
      <x:c r="AC3" s="346" t="str">
        <x:v>Yes / U/K exact free-plan terms</x:v>
      </x:c>
      <x:c r="AD3" s="346" t="str">
        <x:v>Yes / U/K exact free-plan terms</x:v>
      </x:c>
      <x:c r="AE3" s="346" t="str">
        <x:v>Yes</x:v>
      </x:c>
    </x:row>
    <x:row r="4" ht="36" customHeight="1">
      <x:c r="A4" s="359" t="str">
        <x:v>Public Paid Options Count</x:v>
      </x:c>
      <x:c r="B4" s="346" t="str">
        <x:v>4</x:v>
      </x:c>
      <x:c r="C4" s="346" t="str">
        <x:v>0</x:v>
      </x:c>
      <x:c r="D4" s="346" t="str">
        <x:v>3</x:v>
      </x:c>
      <x:c r="E4" s="346" t="str">
        <x:v>1</x:v>
      </x:c>
      <x:c r="F4" s="346" t="str">
        <x:v>1</x:v>
      </x:c>
      <x:c r="G4" s="346" t="str">
        <x:v>0</x:v>
      </x:c>
      <x:c r="H4" s="346" t="str">
        <x:v>0</x:v>
      </x:c>
      <x:c r="I4" s="346" t="str">
        <x:v>0</x:v>
      </x:c>
      <x:c r="J4" s="346" t="str">
        <x:v>10</x:v>
      </x:c>
      <x:c r="K4" s="346" t="str">
        <x:v>5</x:v>
      </x:c>
      <x:c r="L4" s="346" t="str">
        <x:v>4</x:v>
      </x:c>
      <x:c r="M4" s="346" t="str">
        <x:v>3</x:v>
      </x:c>
      <x:c r="N4" s="346" t="str">
        <x:v>4</x:v>
      </x:c>
      <x:c r="O4" s="346" t="str">
        <x:v>0</x:v>
      </x:c>
      <x:c r="P4" s="346" t="str">
        <x:v>0</x:v>
      </x:c>
      <x:c r="Q4" s="346" t="str">
        <x:v>0</x:v>
      </x:c>
      <x:c r="R4" s="346" t="str">
        <x:v>0</x:v>
      </x:c>
      <x:c r="S4" s="346" t="str">
        <x:v>0</x:v>
      </x:c>
      <x:c r="T4" s="346" t="str">
        <x:v>0</x:v>
      </x:c>
      <x:c r="U4" s="346" t="str">
        <x:v>1</x:v>
      </x:c>
      <x:c r="V4" s="346" t="str">
        <x:v>0</x:v>
      </x:c>
      <x:c r="W4" s="346" t="str">
        <x:v>0</x:v>
      </x:c>
      <x:c r="X4" s="346" t="str">
        <x:v>0</x:v>
      </x:c>
      <x:c r="Y4" s="346" t="str">
        <x:v>0</x:v>
      </x:c>
      <x:c r="Z4" s="346" t="str">
        <x:v>0</x:v>
      </x:c>
      <x:c r="AA4" s="380" t="str">
        <x:v>3</x:v>
      </x:c>
      <x:c r="AB4" s="346" t="str">
        <x:v>0</x:v>
      </x:c>
      <x:c r="AC4" s="346" t="str">
        <x:v>0</x:v>
      </x:c>
      <x:c r="AD4" s="346" t="str">
        <x:v>1</x:v>
      </x:c>
      <x:c r="AE4" s="346" t="str">
        <x:v>5</x:v>
      </x:c>
    </x:row>
    <x:row r="5" ht="36" customHeight="1">
      <x:c r="A5" s="359" t="str">
        <x:v>Active Fixed-Price Options Count</x:v>
      </x:c>
      <x:c r="B5" s="346" t="str">
        <x:v>3</x:v>
      </x:c>
      <x:c r="C5" s="346" t="str">
        <x:v>0</x:v>
      </x:c>
      <x:c r="D5" s="346" t="str">
        <x:v>0</x:v>
      </x:c>
      <x:c r="E5" s="346" t="str">
        <x:v>1</x:v>
      </x:c>
      <x:c r="F5" s="346" t="str">
        <x:v>0</x:v>
      </x:c>
      <x:c r="G5" s="346" t="str">
        <x:v>0</x:v>
      </x:c>
      <x:c r="H5" s="346" t="str">
        <x:v>0</x:v>
      </x:c>
      <x:c r="I5" s="346" t="str">
        <x:v>0</x:v>
      </x:c>
      <x:c r="J5" s="346" t="str">
        <x:v>3</x:v>
      </x:c>
      <x:c r="K5" s="346" t="str">
        <x:v>4</x:v>
      </x:c>
      <x:c r="L5" s="346" t="str">
        <x:v>0</x:v>
      </x:c>
      <x:c r="M5" s="346" t="str">
        <x:v>0</x:v>
      </x:c>
      <x:c r="N5" s="346" t="str">
        <x:v>4</x:v>
      </x:c>
      <x:c r="O5" s="346" t="str">
        <x:v>0</x:v>
      </x:c>
      <x:c r="P5" s="346" t="str">
        <x:v>0</x:v>
      </x:c>
      <x:c r="Q5" s="346" t="str">
        <x:v>0</x:v>
      </x:c>
      <x:c r="R5" s="346" t="str">
        <x:v>0</x:v>
      </x:c>
      <x:c r="S5" s="346" t="str">
        <x:v>0</x:v>
      </x:c>
      <x:c r="T5" s="346" t="str">
        <x:v>0</x:v>
      </x:c>
      <x:c r="U5" s="346" t="str">
        <x:v>0</x:v>
      </x:c>
      <x:c r="V5" s="346" t="str">
        <x:v>0</x:v>
      </x:c>
      <x:c r="W5" s="346" t="str">
        <x:v>0</x:v>
      </x:c>
      <x:c r="X5" s="346" t="str">
        <x:v>0</x:v>
      </x:c>
      <x:c r="Y5" s="346" t="str">
        <x:v>0</x:v>
      </x:c>
      <x:c r="Z5" s="346" t="str">
        <x:v>0</x:v>
      </x:c>
      <x:c r="AA5" s="380" t="str">
        <x:v>3</x:v>
      </x:c>
      <x:c r="AB5" s="346" t="str">
        <x:v>0</x:v>
      </x:c>
      <x:c r="AC5" s="346" t="str">
        <x:v>0</x:v>
      </x:c>
      <x:c r="AD5" s="346" t="str">
        <x:v>0</x:v>
      </x:c>
      <x:c r="AE5" s="346" t="str">
        <x:v>1</x:v>
      </x:c>
    </x:row>
    <x:row r="6" ht="36" customHeight="1">
      <x:c r="A6" s="359" t="str">
        <x:v>Contact-Sales / Quote Options Count</x:v>
      </x:c>
      <x:c r="B6" s="346" t="str">
        <x:v>0</x:v>
      </x:c>
      <x:c r="C6" s="346" t="str">
        <x:v>0</x:v>
      </x:c>
      <x:c r="D6" s="346" t="str">
        <x:v>0</x:v>
      </x:c>
      <x:c r="E6" s="346" t="str">
        <x:v>0</x:v>
      </x:c>
      <x:c r="F6" s="346" t="str">
        <x:v>0</x:v>
      </x:c>
      <x:c r="G6" s="346" t="str">
        <x:v>0</x:v>
      </x:c>
      <x:c r="H6" s="346" t="str">
        <x:v>0</x:v>
      </x:c>
      <x:c r="I6" s="346" t="str">
        <x:v>0</x:v>
      </x:c>
      <x:c r="J6" s="346" t="str">
        <x:v>2</x:v>
      </x:c>
      <x:c r="K6" s="346" t="str">
        <x:v>1</x:v>
      </x:c>
      <x:c r="L6" s="346" t="str">
        <x:v>3</x:v>
      </x:c>
      <x:c r="M6" s="346" t="str">
        <x:v>3</x:v>
      </x:c>
      <x:c r="N6" s="346" t="str">
        <x:v>0</x:v>
      </x:c>
      <x:c r="O6" s="346" t="str">
        <x:v>0</x:v>
      </x:c>
      <x:c r="P6" s="346" t="str">
        <x:v>0</x:v>
      </x:c>
      <x:c r="Q6" s="346" t="str">
        <x:v>0</x:v>
      </x:c>
      <x:c r="R6" s="346" t="str">
        <x:v>0</x:v>
      </x:c>
      <x:c r="S6" s="346" t="str">
        <x:v>0</x:v>
      </x:c>
      <x:c r="T6" s="346" t="str">
        <x:v>0</x:v>
      </x:c>
      <x:c r="U6" s="346" t="str">
        <x:v>0</x:v>
      </x:c>
      <x:c r="V6" s="346" t="str">
        <x:v>0</x:v>
      </x:c>
      <x:c r="W6" s="346" t="str">
        <x:v>0</x:v>
      </x:c>
      <x:c r="X6" s="346" t="str">
        <x:v>0</x:v>
      </x:c>
      <x:c r="Y6" s="346" t="str">
        <x:v>0</x:v>
      </x:c>
      <x:c r="Z6" s="346" t="str">
        <x:v>0</x:v>
      </x:c>
      <x:c r="AA6" s="380" t="str">
        <x:v>0</x:v>
      </x:c>
      <x:c r="AB6" s="346" t="str">
        <x:v>0</x:v>
      </x:c>
      <x:c r="AC6" s="346" t="str">
        <x:v>0</x:v>
      </x:c>
      <x:c r="AD6" s="346" t="str">
        <x:v>0</x:v>
      </x:c>
      <x:c r="AE6" s="346" t="str">
        <x:v>4</x:v>
      </x:c>
    </x:row>
    <x:row r="7" ht="36" customHeight="1">
      <x:c r="A7" s="359" t="str">
        <x:v>Lowest Public Monthly Price</x:v>
      </x:c>
      <x:c r="B7" s="346" t="str">
        <x:v>$2.99</x:v>
      </x:c>
      <x:c r="C7" s="346" t="str">
        <x:v>N/A / U/K</x:v>
      </x:c>
      <x:c r="D7" s="346" t="str">
        <x:v>$4.99</x:v>
      </x:c>
      <x:c r="E7" s="346" t="str">
        <x:v>$4.99</x:v>
      </x:c>
      <x:c r="F7" s="346" t="str">
        <x:v>N/A / U/K</x:v>
      </x:c>
      <x:c r="G7" s="346" t="str">
        <x:v>N/A / U/K</x:v>
      </x:c>
      <x:c r="H7" s="346" t="str">
        <x:v>N/A / U/K</x:v>
      </x:c>
      <x:c r="I7" s="346" t="str">
        <x:v>N/A / U/K</x:v>
      </x:c>
      <x:c r="J7" s="346" t="str">
        <x:v>$4.99</x:v>
      </x:c>
      <x:c r="K7" s="346" t="str">
        <x:v>$3.50</x:v>
      </x:c>
      <x:c r="L7" s="346" t="str">
        <x:v>N/A / U/K</x:v>
      </x:c>
      <x:c r="M7" s="346" t="str">
        <x:v>N/A / U/K</x:v>
      </x:c>
      <x:c r="N7" s="346" t="str">
        <x:v>$2.00</x:v>
      </x:c>
      <x:c r="O7" s="346" t="str">
        <x:v>N/A / U/K</x:v>
      </x:c>
      <x:c r="P7" s="346" t="str">
        <x:v>N/A / U/K</x:v>
      </x:c>
      <x:c r="Q7" s="346" t="str">
        <x:v>N/A / U/K</x:v>
      </x:c>
      <x:c r="R7" s="346" t="str">
        <x:v>N/A / U/K</x:v>
      </x:c>
      <x:c r="S7" s="346" t="str">
        <x:v>N/A / U/K</x:v>
      </x:c>
      <x:c r="T7" s="346" t="str">
        <x:v>N/A / U/K</x:v>
      </x:c>
      <x:c r="U7" s="346" t="str">
        <x:v>N/A / U/K</x:v>
      </x:c>
      <x:c r="V7" s="346" t="str">
        <x:v>N/A / U/K</x:v>
      </x:c>
      <x:c r="W7" s="346" t="str">
        <x:v>N/A / U/K</x:v>
      </x:c>
      <x:c r="X7" s="346" t="str">
        <x:v>N/A / U/K</x:v>
      </x:c>
      <x:c r="Y7" s="346" t="str">
        <x:v>N/A / U/K</x:v>
      </x:c>
      <x:c r="Z7" s="346" t="str">
        <x:v>N/A / U/K</x:v>
      </x:c>
      <x:c r="AA7" s="380" t="str">
        <x:v>$7.00</x:v>
      </x:c>
      <x:c r="AB7" s="346" t="str">
        <x:v>N/A / U/K</x:v>
      </x:c>
      <x:c r="AC7" s="346" t="str">
        <x:v>N/A / U/K</x:v>
      </x:c>
      <x:c r="AD7" s="346" t="str">
        <x:v>N/A / U/K</x:v>
      </x:c>
      <x:c r="AE7" s="346" t="str">
        <x:v>$6.00</x:v>
      </x:c>
    </x:row>
    <x:row r="8" ht="36" customHeight="1">
      <x:c r="A8" s="359" t="str">
        <x:v>Lowest Public Annual Price</x:v>
      </x:c>
      <x:c r="B8" s="346" t="str">
        <x:v>$29.99</x:v>
      </x:c>
      <x:c r="C8" s="346" t="str">
        <x:v>N/A / U/K</x:v>
      </x:c>
      <x:c r="D8" s="346" t="str">
        <x:v>N/A / U/K</x:v>
      </x:c>
      <x:c r="E8" s="346" t="str">
        <x:v>$49.99</x:v>
      </x:c>
      <x:c r="F8" s="346" t="str">
        <x:v>N/A / U/K</x:v>
      </x:c>
      <x:c r="G8" s="346" t="str">
        <x:v>N/A / U/K</x:v>
      </x:c>
      <x:c r="H8" s="346" t="str">
        <x:v>N/A / U/K</x:v>
      </x:c>
      <x:c r="I8" s="346" t="str">
        <x:v>N/A / U/K</x:v>
      </x:c>
      <x:c r="J8" s="346" t="str">
        <x:v>$53.99</x:v>
      </x:c>
      <x:c r="K8" s="346" t="str">
        <x:v>$80.04</x:v>
      </x:c>
      <x:c r="L8" s="346" t="str">
        <x:v>N/A / U/K</x:v>
      </x:c>
      <x:c r="M8" s="346" t="str">
        <x:v>N/A / U/K</x:v>
      </x:c>
      <x:c r="N8" s="346" t="str">
        <x:v>$15.00</x:v>
      </x:c>
      <x:c r="O8" s="346" t="str">
        <x:v>N/A / U/K</x:v>
      </x:c>
      <x:c r="P8" s="346" t="str">
        <x:v>N/A / U/K</x:v>
      </x:c>
      <x:c r="Q8" s="346" t="str">
        <x:v>N/A / U/K</x:v>
      </x:c>
      <x:c r="R8" s="346" t="str">
        <x:v>N/A / U/K</x:v>
      </x:c>
      <x:c r="S8" s="346" t="str">
        <x:v>N/A / U/K</x:v>
      </x:c>
      <x:c r="T8" s="346" t="str">
        <x:v>N/A / U/K</x:v>
      </x:c>
      <x:c r="U8" s="346" t="str">
        <x:v>N/A / U/K</x:v>
      </x:c>
      <x:c r="V8" s="346" t="str">
        <x:v>N/A / U/K</x:v>
      </x:c>
      <x:c r="W8" s="346" t="str">
        <x:v>N/A / U/K</x:v>
      </x:c>
      <x:c r="X8" s="346" t="str">
        <x:v>N/A / U/K</x:v>
      </x:c>
      <x:c r="Y8" s="346" t="str">
        <x:v>N/A / U/K</x:v>
      </x:c>
      <x:c r="Z8" s="346" t="str">
        <x:v>N/A / U/K</x:v>
      </x:c>
      <x:c r="AA8" s="380" t="str">
        <x:v>$70.00</x:v>
      </x:c>
      <x:c r="AB8" s="346" t="str">
        <x:v>N/A / U/K</x:v>
      </x:c>
      <x:c r="AC8" s="346" t="str">
        <x:v>N/A / U/K</x:v>
      </x:c>
      <x:c r="AD8" s="346" t="str">
        <x:v>N/A / U/K</x:v>
      </x:c>
      <x:c r="AE8" s="346" t="str">
        <x:v>N/A / U/K</x:v>
      </x:c>
    </x:row>
    <x:row r="9" ht="36" customHeight="1">
      <x:c r="A9" s="359" t="str">
        <x:v>Has User-Level Subscription?</x:v>
      </x:c>
      <x:c r="B9" s="346" t="str">
        <x:v>Yes</x:v>
      </x:c>
      <x:c r="C9" s="346" t="str">
        <x:v>No / U/K</x:v>
      </x:c>
      <x:c r="D9" s="346" t="str">
        <x:v>Planned</x:v>
      </x:c>
      <x:c r="E9" s="346" t="str">
        <x:v>Yes</x:v>
      </x:c>
      <x:c r="F9" s="346" t="str">
        <x:v>Yes</x:v>
      </x:c>
      <x:c r="G9" s="346" t="str">
        <x:v>No / U/K</x:v>
      </x:c>
      <x:c r="H9" s="346" t="str">
        <x:v>No / U/K</x:v>
      </x:c>
      <x:c r="I9" s="346" t="str">
        <x:v>No / U/K</x:v>
      </x:c>
      <x:c r="J9" s="346" t="str">
        <x:v>No / U/K</x:v>
      </x:c>
      <x:c r="K9" s="346" t="str">
        <x:v>No / U/K</x:v>
      </x:c>
      <x:c r="L9" s="346" t="str">
        <x:v>No / U/K</x:v>
      </x:c>
      <x:c r="M9" s="346" t="str">
        <x:v>No / U/K</x:v>
      </x:c>
      <x:c r="N9" s="346" t="str">
        <x:v>No / U/K</x:v>
      </x:c>
      <x:c r="O9" s="346" t="str">
        <x:v>No / U/K</x:v>
      </x:c>
      <x:c r="P9" s="346" t="str">
        <x:v>No / U/K</x:v>
      </x:c>
      <x:c r="Q9" s="346" t="str">
        <x:v>No / U/K</x:v>
      </x:c>
      <x:c r="R9" s="346" t="str">
        <x:v>No / U/K</x:v>
      </x:c>
      <x:c r="S9" s="346" t="str">
        <x:v>No / U/K</x:v>
      </x:c>
      <x:c r="T9" s="346" t="str">
        <x:v>No / U/K</x:v>
      </x:c>
      <x:c r="U9" s="346" t="str">
        <x:v>No / U/K</x:v>
      </x:c>
      <x:c r="V9" s="346" t="str">
        <x:v>No / U/K</x:v>
      </x:c>
      <x:c r="W9" s="346" t="str">
        <x:v>No / U/K</x:v>
      </x:c>
      <x:c r="X9" s="346" t="str">
        <x:v>No / U/K</x:v>
      </x:c>
      <x:c r="Y9" s="346" t="str">
        <x:v>No / U/K</x:v>
      </x:c>
      <x:c r="Z9" s="346" t="str">
        <x:v>No / U/K</x:v>
      </x:c>
      <x:c r="AA9" s="380" t="str">
        <x:v>Yes</x:v>
      </x:c>
      <x:c r="AB9" s="346" t="str">
        <x:v>No / U/K</x:v>
      </x:c>
      <x:c r="AC9" s="346" t="str">
        <x:v>No / U/K</x:v>
      </x:c>
      <x:c r="AD9" s="346" t="str">
        <x:v>Yes</x:v>
      </x:c>
      <x:c r="AE9" s="346" t="str">
        <x:v>No / U/K</x:v>
      </x:c>
    </x:row>
    <x:row r="10" ht="36" customHeight="1">
      <x:c r="A10" s="359" t="str">
        <x:v>Has Community / Server Plan?</x:v>
      </x:c>
      <x:c r="B10" s="346" t="str">
        <x:v>Yes</x:v>
      </x:c>
      <x:c r="C10" s="346" t="str">
        <x:v>No / U/K</x:v>
      </x:c>
      <x:c r="D10" s="346" t="str">
        <x:v>No / U/K</x:v>
      </x:c>
      <x:c r="E10" s="346" t="str">
        <x:v>No / U/K</x:v>
      </x:c>
      <x:c r="F10" s="346" t="str">
        <x:v>No / U/K</x:v>
      </x:c>
      <x:c r="G10" s="346" t="str">
        <x:v>No / U/K</x:v>
      </x:c>
      <x:c r="H10" s="346" t="str">
        <x:v>No / U/K</x:v>
      </x:c>
      <x:c r="I10" s="346" t="str">
        <x:v>No / U/K</x:v>
      </x:c>
      <x:c r="J10" s="346" t="str">
        <x:v>Yes</x:v>
      </x:c>
      <x:c r="K10" s="346" t="str">
        <x:v>No / U/K</x:v>
      </x:c>
      <x:c r="L10" s="346" t="str">
        <x:v>No / U/K</x:v>
      </x:c>
      <x:c r="M10" s="346" t="str">
        <x:v>No / U/K</x:v>
      </x:c>
      <x:c r="N10" s="346" t="str">
        <x:v>Yes</x:v>
      </x:c>
      <x:c r="O10" s="346" t="str">
        <x:v>No / U/K</x:v>
      </x:c>
      <x:c r="P10" s="346" t="str">
        <x:v>No / U/K</x:v>
      </x:c>
      <x:c r="Q10" s="346" t="str">
        <x:v>No / U/K</x:v>
      </x:c>
      <x:c r="R10" s="346" t="str">
        <x:v>No / U/K</x:v>
      </x:c>
      <x:c r="S10" s="346" t="str">
        <x:v>No / U/K</x:v>
      </x:c>
      <x:c r="T10" s="346" t="str">
        <x:v>No / U/K</x:v>
      </x:c>
      <x:c r="U10" s="346" t="str">
        <x:v>No / U/K</x:v>
      </x:c>
      <x:c r="V10" s="346" t="str">
        <x:v>No / U/K</x:v>
      </x:c>
      <x:c r="W10" s="346" t="str">
        <x:v>No / U/K</x:v>
      </x:c>
      <x:c r="X10" s="346" t="str">
        <x:v>No / U/K</x:v>
      </x:c>
      <x:c r="Y10" s="346" t="str">
        <x:v>No / U/K</x:v>
      </x:c>
      <x:c r="Z10" s="346" t="str">
        <x:v>No / U/K</x:v>
      </x:c>
      <x:c r="AA10" s="380" t="str">
        <x:v>Yes</x:v>
      </x:c>
      <x:c r="AB10" s="346" t="str">
        <x:v>No / U/K</x:v>
      </x:c>
      <x:c r="AC10" s="346" t="str">
        <x:v>No / U/K</x:v>
      </x:c>
      <x:c r="AD10" s="346" t="str">
        <x:v>No / U/K</x:v>
      </x:c>
      <x:c r="AE10" s="346" t="str">
        <x:v>Yes</x:v>
      </x:c>
    </x:row>
    <x:row r="11" ht="36" customHeight="1">
      <x:c r="A11" s="359" t="str">
        <x:v>Has Paid Self-Host License?</x:v>
      </x:c>
      <x:c r="B11" s="346" t="str">
        <x:v>No</x:v>
      </x:c>
      <x:c r="C11" s="346" t="str">
        <x:v>No</x:v>
      </x:c>
      <x:c r="D11" s="346" t="str">
        <x:v>No</x:v>
      </x:c>
      <x:c r="E11" s="346" t="str">
        <x:v>No</x:v>
      </x:c>
      <x:c r="F11" s="346" t="str">
        <x:v>No</x:v>
      </x:c>
      <x:c r="G11" s="346" t="str">
        <x:v>No</x:v>
      </x:c>
      <x:c r="H11" s="346" t="str">
        <x:v>No</x:v>
      </x:c>
      <x:c r="I11" s="346" t="str">
        <x:v>No</x:v>
      </x:c>
      <x:c r="J11" s="346" t="str">
        <x:v>Yes</x:v>
      </x:c>
      <x:c r="K11" s="346" t="str">
        <x:v>Yes</x:v>
      </x:c>
      <x:c r="L11" s="346" t="str">
        <x:v>No</x:v>
      </x:c>
      <x:c r="M11" s="346" t="str">
        <x:v>No</x:v>
      </x:c>
      <x:c r="N11" s="346" t="str">
        <x:v>Yes</x:v>
      </x:c>
      <x:c r="O11" s="346" t="str">
        <x:v>No</x:v>
      </x:c>
      <x:c r="P11" s="346" t="str">
        <x:v>No</x:v>
      </x:c>
      <x:c r="Q11" s="346" t="str">
        <x:v>No</x:v>
      </x:c>
      <x:c r="R11" s="346" t="str">
        <x:v>No</x:v>
      </x:c>
      <x:c r="S11" s="346" t="str">
        <x:v>No</x:v>
      </x:c>
      <x:c r="T11" s="346" t="str">
        <x:v>No</x:v>
      </x:c>
      <x:c r="U11" s="346" t="str">
        <x:v>No</x:v>
      </x:c>
      <x:c r="V11" s="346" t="str">
        <x:v>No</x:v>
      </x:c>
      <x:c r="W11" s="346" t="str">
        <x:v>No</x:v>
      </x:c>
      <x:c r="X11" s="346" t="str">
        <x:v>No</x:v>
      </x:c>
      <x:c r="Y11" s="346" t="str">
        <x:v>No</x:v>
      </x:c>
      <x:c r="Z11" s="346" t="str">
        <x:v>No</x:v>
      </x:c>
      <x:c r="AA11" s="380" t="str">
        <x:v>No</x:v>
      </x:c>
      <x:c r="AB11" s="346" t="str">
        <x:v>No</x:v>
      </x:c>
      <x:c r="AC11" s="346" t="str">
        <x:v>No</x:v>
      </x:c>
      <x:c r="AD11" s="346" t="str">
        <x:v>No</x:v>
      </x:c>
      <x:c r="AE11" s="346" t="str">
        <x:v>No</x:v>
      </x:c>
    </x:row>
    <x:row r="12" ht="36" customHeight="1">
      <x:c r="A12" s="359" t="str">
        <x:v>Has Enterprise / Custom Quote Tier?</x:v>
      </x:c>
      <x:c r="B12" s="346" t="str">
        <x:v>No / U/K</x:v>
      </x:c>
      <x:c r="C12" s="346" t="str">
        <x:v>No / U/K</x:v>
      </x:c>
      <x:c r="D12" s="346" t="str">
        <x:v>No / U/K</x:v>
      </x:c>
      <x:c r="E12" s="346" t="str">
        <x:v>No / U/K</x:v>
      </x:c>
      <x:c r="F12" s="346" t="str">
        <x:v>No / U/K</x:v>
      </x:c>
      <x:c r="G12" s="346" t="str">
        <x:v>No / U/K</x:v>
      </x:c>
      <x:c r="H12" s="346" t="str">
        <x:v>No / U/K</x:v>
      </x:c>
      <x:c r="I12" s="346" t="str">
        <x:v>No / U/K</x:v>
      </x:c>
      <x:c r="J12" s="346" t="str">
        <x:v>Yes</x:v>
      </x:c>
      <x:c r="K12" s="346" t="str">
        <x:v>Yes</x:v>
      </x:c>
      <x:c r="L12" s="346" t="str">
        <x:v>Yes</x:v>
      </x:c>
      <x:c r="M12" s="346" t="str">
        <x:v>Yes</x:v>
      </x:c>
      <x:c r="N12" s="346" t="str">
        <x:v>No / U/K</x:v>
      </x:c>
      <x:c r="O12" s="346" t="str">
        <x:v>No / U/K</x:v>
      </x:c>
      <x:c r="P12" s="346" t="str">
        <x:v>No / U/K</x:v>
      </x:c>
      <x:c r="Q12" s="346" t="str">
        <x:v>No / U/K</x:v>
      </x:c>
      <x:c r="R12" s="346" t="str">
        <x:v>No / U/K</x:v>
      </x:c>
      <x:c r="S12" s="346" t="str">
        <x:v>No / U/K</x:v>
      </x:c>
      <x:c r="T12" s="346" t="str">
        <x:v>No / U/K</x:v>
      </x:c>
      <x:c r="U12" s="346" t="str">
        <x:v>No / U/K</x:v>
      </x:c>
      <x:c r="V12" s="346" t="str">
        <x:v>No / U/K</x:v>
      </x:c>
      <x:c r="W12" s="346" t="str">
        <x:v>No / U/K</x:v>
      </x:c>
      <x:c r="X12" s="346" t="str">
        <x:v>No / U/K</x:v>
      </x:c>
      <x:c r="Y12" s="346" t="str">
        <x:v>No / U/K</x:v>
      </x:c>
      <x:c r="Z12" s="346" t="str">
        <x:v>No / U/K</x:v>
      </x:c>
      <x:c r="AA12" s="380" t="str">
        <x:v>No / U/K</x:v>
      </x:c>
      <x:c r="AB12" s="346" t="str">
        <x:v>No / U/K</x:v>
      </x:c>
      <x:c r="AC12" s="346" t="str">
        <x:v>No / U/K</x:v>
      </x:c>
      <x:c r="AD12" s="346" t="str">
        <x:v>No / U/K</x:v>
      </x:c>
      <x:c r="AE12" s="346" t="str">
        <x:v>Yes</x:v>
      </x:c>
    </x:row>
    <x:row r="13" ht="36" customHeight="1">
      <x:c r="A13" s="359" t="str">
        <x:v>Primary Billing Model</x:v>
      </x:c>
      <x:c r="B13" s="346" t="str">
        <x:v>Per user; Per boost</x:v>
      </x:c>
      <x:c r="C13" s="346" t="str">
        <x:v>U/K</x:v>
      </x:c>
      <x:c r="D13" s="346" t="str">
        <x:v>Subscription</x:v>
      </x:c>
      <x:c r="E13" s="346" t="str">
        <x:v>Per user</x:v>
      </x:c>
      <x:c r="F13" s="346" t="str">
        <x:v>Per user</x:v>
      </x:c>
      <x:c r="G13" s="346" t="str">
        <x:v>U/K</x:v>
      </x:c>
      <x:c r="H13" s="346" t="str">
        <x:v>U/K</x:v>
      </x:c>
      <x:c r="I13" s="346" t="str">
        <x:v>U/K</x:v>
      </x:c>
      <x:c r="J13" s="346" t="str">
        <x:v>Per hosted community; Per self-host license; Custom</x:v>
      </x:c>
      <x:c r="K13" s="346" t="str">
        <x:v>Per user; Per user; 10-user minimum; Per user; 25-user minimum; Custom</x:v>
      </x:c>
      <x:c r="L13" s="346" t="str">
        <x:v>Annual seat license; Add-on</x:v>
      </x:c>
      <x:c r="M13" s="346" t="str">
        <x:v>Organization / deployment</x:v>
      </x:c>
      <x:c r="N13" s="346" t="str">
        <x:v>Per server; Per self-hosted server</x:v>
      </x:c>
      <x:c r="O13" s="346" t="str">
        <x:v>U/K</x:v>
      </x:c>
      <x:c r="P13" s="346" t="str">
        <x:v>U/K</x:v>
      </x:c>
      <x:c r="Q13" s="346" t="str">
        <x:v>U/K</x:v>
      </x:c>
      <x:c r="R13" s="346" t="str">
        <x:v>U/K</x:v>
      </x:c>
      <x:c r="S13" s="346" t="str">
        <x:v>U/K</x:v>
      </x:c>
      <x:c r="T13" s="346" t="str">
        <x:v>U/K</x:v>
      </x:c>
      <x:c r="U13" s="346" t="str">
        <x:v>Per managed server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Per user; Per community / Shard</x:v>
      </x:c>
      <x:c r="AB13" s="346" t="str">
        <x:v>U/K</x:v>
      </x:c>
      <x:c r="AC13" s="346" t="str">
        <x:v>U/K</x:v>
      </x:c>
      <x:c r="AD13" s="346" t="str">
        <x:v>Per supporter</x:v>
      </x:c>
      <x:c r="AE13" s="346" t="str">
        <x:v>Per lobby; Per community build</x:v>
      </x:c>
    </x:row>
    <x:row r="14" ht="36" customHeight="1">
      <x:c r="A14" s="359" t="str">
        <x:v>Paid Option Names</x:v>
      </x:c>
      <x:c r="B14" s="346" t="str">
        <x:v>Nitro Basic; Nitro; Server Boost; Nitro Classic</x:v>
      </x:c>
      <x:c r="C14" s="346" t="str">
        <x:v>No public paid tier verified</x:v>
      </x:c>
      <x:c r="D14" s="346" t="str">
        <x:v>Surge; Flare; Prime</x:v>
      </x:c>
      <x:c r="E14" s="346" t="str">
        <x:v>Plutonium</x:v>
      </x:c>
      <x:c r="F14" s="346" t="str">
        <x:v>Sudo</x:v>
      </x:c>
      <x:c r="G14" s="346" t="str">
        <x:v>No public paid tier verified</x:v>
      </x:c>
      <x:c r="H14" s="346" t="str">
        <x:v>No public paid tier verified</x:v>
      </x:c>
      <x:c r="I14" s="346" t="str">
        <x:v>No public paid tier verified</x:v>
      </x:c>
      <x:c r="J14" s="346" t="str">
        <x:v>Crew; Team; Faction; Gamer / Activation 64 slots; Gamer / Activation 128 slots; Gamer / Activation 256 slots; Gamer / Activation 512 slots; Gamer / Activation 1024 slots; Commercial License; TeamSpeak SDK License</x:v>
      </x:c>
      <x:c r="K14" s="346" t="str">
        <x:v>Cloud Standard; Cloud Plus; Self-hosted Basic; Self-hosted Business; Self-hosted Enterprise</x:v>
      </x:c>
      <x:c r="L14" s="346" t="str">
        <x:v>Professional; Enterprise; Enterprise Advanced; Premier Support</x:v>
      </x:c>
      <x:c r="M14" s="346" t="str">
        <x:v>Commercial; Government; Defense</x:v>
      </x:c>
      <x:c r="N14" s="346" t="str">
        <x:v>Silver; Gold; Diamond; Self-Hosted Server License</x:v>
      </x:c>
      <x:c r="O14" s="346" t="str">
        <x:v>No public paid tier verified</x:v>
      </x:c>
      <x:c r="P14" s="346" t="str">
        <x:v>No public paid tier verified</x:v>
      </x:c>
      <x:c r="Q14" s="346" t="str">
        <x:v>No public paid tier verified</x:v>
      </x:c>
      <x:c r="R14" s="346" t="str">
        <x:v>No public paid tier verified</x:v>
      </x:c>
      <x:c r="S14" s="346" t="str">
        <x:v>No public paid tier verified</x:v>
      </x:c>
      <x:c r="T14" s="346" t="str">
        <x:v>No public paid tier verified</x:v>
      </x:c>
      <x:c r="U14" s="346" t="str">
        <x:v>Yapper Hosting - 1 Year</x:v>
      </x:c>
      <x:c r="V14" s="346" t="str">
        <x:v>No public paid tier verified</x:v>
      </x:c>
      <x:c r="W14" s="346" t="str">
        <x:v>No public paid tier verified</x:v>
      </x:c>
      <x:c r="X14" s="346" t="str">
        <x:v>No public paid tier verified</x:v>
      </x:c>
      <x:c r="Y14" s="346" t="str">
        <x:v>No public paid tier verified</x:v>
      </x:c>
      <x:c r="Z14" s="346" t="str">
        <x:v>No public paid tier verified</x:v>
      </x:c>
      <x:c r="AA14" s="380" t="str">
        <x:v>Rift+; Shard Ember; Shard Forge</x:v>
      </x:c>
      <x:c r="AB14" s="346" t="str">
        <x:v>No public paid tier verified</x:v>
      </x:c>
      <x:c r="AC14" s="346" t="str">
        <x:v>No public paid tier verified</x:v>
      </x:c>
      <x:c r="AD14" s="346" t="str">
        <x:v>Stargazer</x:v>
      </x:c>
      <x:c r="AE14" s="346" t="str">
        <x:v>Run your own; Have it built - Crew; Have it built - League; Have it built - Network; Have it built - Larger</x:v>
      </x:c>
    </x:row>
    <x:row r="15" ht="36" customHeight="1">
      <x:c r="A15" s="360" t="str">
        <x:v>Pricing Source / Notes</x:v>
      </x:c>
      <x:c r="B15" s="349" t="str">
        <x:v>https://support.discord.com/hc/en-us/articles/4407269525911-Localized-Pricing-on-Discord</x:v>
      </x:c>
      <x:c r="C15" s="349" t="str">
        <x:v>U/K</x:v>
      </x:c>
      <x:c r="D15" s="349" t="str">
        <x:v>https://fenrid.com/waitlist</x:v>
      </x:c>
      <x:c r="E15" s="349" t="str">
        <x:v>https://fluxer.app/plutonium</x:v>
      </x:c>
      <x:c r="F15" s="349" t="str">
        <x:v>https://support.rootapp.com/docs/sudo/get-started/sudo-faqs/</x:v>
      </x:c>
      <x:c r="G15" s="349" t="str">
        <x:v>U/K</x:v>
      </x:c>
      <x:c r="H15" s="349" t="str">
        <x:v>U/K</x:v>
      </x:c>
      <x:c r="I15" s="349" t="str">
        <x:v>U/K</x:v>
      </x:c>
      <x:c r="J15" s="349" t="str">
        <x:v>https://support.teamspeak.com/hc/en-us/articles/26033099878045-Current-Community-Options; https://support.teamspeak.com/hc/en-us/articles/26033788383261-What-licenses-are-available</x:v>
      </x:c>
      <x:c r="K15" s="349" t="str">
        <x:v>https://zulip.com/plans/</x:v>
      </x:c>
      <x:c r="L15" s="349" t="str">
        <x:v>https://mattermost.com/pricing/; https://mattermost.com/support/</x:v>
      </x:c>
      <x:c r="M15" s="349" t="str">
        <x:v>https://docs.rocket.chat/our-plans</x:v>
      </x:c>
      <x:c r="N15" s="349" t="str">
        <x:v>https://gamevox.com/blog/gamevox-vs-discord/; https://gamevox.com/self-hosted/</x:v>
      </x:c>
      <x:c r="O15" s="349" t="str">
        <x:v>U/K</x:v>
      </x:c>
      <x:c r="P15" s="349" t="str">
        <x:v>U/K</x:v>
      </x:c>
      <x:c r="Q15" s="349" t="str">
        <x:v>U/K</x:v>
      </x:c>
      <x:c r="R15" s="349" t="str">
        <x:v>U/K</x:v>
      </x:c>
      <x:c r="S15" s="349" t="str">
        <x:v>U/K</x:v>
      </x:c>
      <x:c r="T15" s="349" t="str">
        <x:v>U/K</x:v>
      </x:c>
      <x:c r="U15" s="349" t="str">
        <x:v>https://yapper.gg/pricing</x:v>
      </x:c>
      <x:c r="V15" s="349" t="str">
        <x:v>U/K</x:v>
      </x:c>
      <x:c r="W15" s="349" t="str">
        <x:v>U/K</x:v>
      </x:c>
      <x:c r="X15" s="349" t="str">
        <x:v>U/K</x:v>
      </x:c>
      <x:c r="Y15" s="349" t="str">
        <x:v>U/K</x:v>
      </x:c>
      <x:c r="Z15" s="349" t="str">
        <x:v>U/K</x:v>
      </x:c>
      <x:c r="AA15" s="381" t="str">
        <x:v>https://therift.chat/de/plans/</x:v>
      </x:c>
      <x:c r="AB15" s="349" t="str">
        <x:v>U/K</x:v>
      </x:c>
      <x:c r="AC15" s="349" t="str">
        <x:v>U/K</x:v>
      </x:c>
      <x:c r="AD15" s="349" t="str">
        <x:v>https://valour.gg/faq/</x:v>
      </x:c>
      <x:c r="AE15" s="349" t="str">
        <x:v>https://weered.ca/pricing</x:v>
      </x:c>
    </x:row>
    <x:row r="16" ht="23" customHeight="1">
      <x:c r="A16" s="389" t="str">
        <x:v>Additional Monetization Signals</x:v>
      </x:c>
      <x:c r="B16" s="389"/>
      <x:c r="C16" s="389"/>
      <x:c r="D16" s="389"/>
      <x:c r="E16" s="389"/>
      <x:c r="F16" s="389"/>
      <x:c r="G16" s="389"/>
      <x:c r="H16" s="389"/>
      <x:c r="I16" s="389"/>
      <x:c r="J16" s="389"/>
      <x:c r="K16" s="389"/>
      <x:c r="L16" s="389"/>
      <x:c r="M16" s="389"/>
      <x:c r="N16" s="389"/>
      <x:c r="O16" s="389"/>
      <x:c r="P16" s="389"/>
      <x:c r="Q16" s="389"/>
      <x:c r="R16" s="389"/>
      <x:c r="S16" s="389"/>
      <x:c r="T16" s="389"/>
      <x:c r="U16" s="389"/>
      <x:c r="V16" s="389"/>
      <x:c r="W16" s="389"/>
      <x:c r="X16" s="389"/>
      <x:c r="Y16" s="389"/>
      <x:c r="Z16" s="389"/>
      <x:c r="AA16" s="389"/>
      <x:c r="AB16" s="389"/>
      <x:c r="AC16" s="389"/>
      <x:c r="AD16" s="389"/>
      <x:c r="AE16" s="389"/>
    </x:row>
    <x:row r="17" ht="36" customHeight="1">
      <x:c r="A17" s="378" t="str">
        <x:v>Advertising / Sponsored Content?</x:v>
      </x:c>
      <x:c r="B17" s="346" t="str">
        <x:v>Yes - sponsored Quests/formats</x:v>
      </x:c>
      <x:c r="C17" s="346" t="str">
        <x:v>U/K</x:v>
      </x:c>
      <x:c r="D17" s="346" t="str">
        <x:v>U/K</x:v>
      </x:c>
      <x:c r="E17" s="346" t="str">
        <x:v>U/K</x:v>
      </x:c>
      <x:c r="F17" s="346" t="str">
        <x:v>U/K</x:v>
      </x:c>
      <x:c r="G17" s="346" t="str">
        <x:v>Protocol N/A / provider-dependent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No ads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78" t="str">
        <x:v>Donation / Sponsorship Funding?</x:v>
      </x:c>
      <x:c r="B18" s="346" t="str">
        <x:v>U/K</x:v>
      </x:c>
      <x:c r="C18" s="346" t="str">
        <x:v>U/K</x:v>
      </x:c>
      <x:c r="D18" s="346" t="str">
        <x:v>U/K</x:v>
      </x:c>
      <x:c r="E18" s="346" t="str">
        <x:v>Yes</x:v>
      </x:c>
      <x:c r="F18" s="346" t="str">
        <x:v>U/K</x:v>
      </x:c>
      <x:c r="G18" s="346" t="str">
        <x:v>Yes - foundation support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Yes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Yes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Yes</x:v>
      </x:c>
      <x:c r="AA18" s="380" t="str">
        <x:v>U/K</x:v>
      </x:c>
      <x:c r="AB18" s="346" t="str">
        <x:v>Yes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78" t="str">
        <x:v>Marketplace / App Revenue?</x:v>
      </x:c>
      <x:c r="B19" s="346" t="str">
        <x:v>Yes - Premium Apps / creator monetization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Paid marketplace apps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78" t="str">
        <x:v>Free Self-Hosting Software?</x:v>
      </x:c>
      <x:c r="B20" s="346" t="str">
        <x:v>U/K</x:v>
      </x:c>
      <x:c r="C20" s="346" t="str">
        <x:v>Yes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Yes</x:v>
      </x:c>
      <x:c r="H20" s="346" t="str">
        <x:v>Yes</x:v>
      </x:c>
      <x:c r="I20" s="346" t="str">
        <x:v>Yes</x:v>
      </x:c>
      <x:c r="J20" s="346" t="str">
        <x:v>U/K</x:v>
      </x:c>
      <x:c r="K20" s="346" t="str">
        <x:v>Yes</x:v>
      </x:c>
      <x:c r="L20" s="346" t="str">
        <x:v>Yes - community edition</x:v>
      </x:c>
      <x:c r="M20" s="346" t="str">
        <x:v>Community edition / current licensing conditions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No public self-hosting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</x:sheetData>
  <x:mergeCells>
    <x:mergeCell ref="A1:AE1"/>
  </x:mergeCells>
  <x:conditionalFormatting sqref="B3:AE15">
    <x:cfRule type="expression" dxfId="90" priority="1">
      <x:formula>ISNUMBER(SEARCH("U/K",B3))</x:formula>
    </x:cfRule>
    <x:cfRule type="expression" dxfId="91" priority="2">
      <x:formula>OR(B3="N/A",LEFT(B3,4)="N/A ")</x:formula>
    </x:cfRule>
  </x:conditionalFormatting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3" hidden="0" customWidth="1"/>
    <x:col min="3" max="3" width="28" hidden="0" customWidth="1"/>
    <x:col min="4" max="4" width="22" hidden="0" customWidth="1"/>
    <x:col min="5" max="5" width="14" hidden="0" customWidth="1"/>
    <x:col min="6" max="6" width="14" hidden="0" customWidth="1"/>
    <x:col min="7" max="7" width="14" hidden="0" customWidth="1"/>
    <x:col min="8" max="8" width="10" hidden="0" customWidth="1"/>
    <x:col min="9" max="9" width="20" hidden="0" customWidth="1"/>
    <x:col min="10" max="10" width="23" hidden="0" customWidth="1"/>
    <x:col min="11" max="11" width="28" hidden="0" customWidth="1"/>
    <x:col min="12" max="12" width="50" hidden="0" customWidth="1"/>
    <x:col min="13" max="13" width="52" hidden="0" customWidth="1"/>
    <x:col min="14" max="14" width="14" hidden="0" customWidth="1"/>
    <x:col min="15" max="15" width="46" hidden="0" customWidth="1"/>
    <x:col min="16" max="16" width="30" hidden="0" customWidth="1"/>
    <x:col min="17" max="17" width="40" hidden="0" customWidth="1"/>
    <x:col min="18" max="18" width="40" hidden="0" customWidth="1"/>
    <x:col min="19" max="19" width="40" hidden="0" customWidth="1"/>
    <x:col min="20" max="20" width="40" hidden="0" customWidth="1"/>
    <x:col min="21" max="21" width="40" hidden="0" customWidth="1"/>
    <x:col min="22" max="22" width="40" hidden="0" customWidth="1"/>
    <x:col min="23" max="23" width="40" hidden="0" customWidth="1"/>
    <x:col min="24" max="24" width="40" hidden="0" customWidth="1"/>
    <x:col min="25" max="25" width="40" hidden="0" customWidth="1"/>
    <x:col min="26" max="26" width="40" hidden="0" customWidth="1"/>
    <x:col min="27" max="27" width="40" hidden="0" customWidth="1"/>
    <x:col min="28" max="28" width="40" hidden="0" customWidth="1"/>
    <x:col min="29" max="29" width="40" hidden="0" customWidth="1"/>
    <x:col min="30" max="30" width="40" hidden="0" customWidth="1"/>
    <x:col min="31" max="31" width="40" hidden="0" customWidth="1"/>
  </x:cols>
  <x:sheetData>
    <x:row r="1" ht="28" customHeight="1">
      <x:c r="A1" s="437" t="str">
        <x:v>Paid Options &amp; Tiers - one purchasable option per row</x:v>
      </x:c>
      <x:c r="B1" s="437"/>
      <x:c r="C1" s="437"/>
      <x:c r="D1" s="437"/>
      <x:c r="E1" s="437"/>
      <x:c r="F1" s="437"/>
      <x:c r="G1" s="437"/>
      <x:c r="H1" s="437"/>
      <x:c r="I1" s="437"/>
      <x:c r="J1" s="437"/>
      <x:c r="K1" s="437"/>
      <x:c r="L1" s="437"/>
      <x:c r="M1" s="437"/>
      <x:c r="N1" s="437"/>
      <x:c r="O1" s="437"/>
      <x:c r="P1" s="437"/>
      <x:c r="Q1" s="208"/>
      <x:c r="R1" s="208"/>
      <x:c r="S1" s="208"/>
      <x:c r="T1" s="208"/>
      <x:c r="U1" s="208"/>
      <x:c r="V1" s="208"/>
      <x:c r="W1" s="208"/>
      <x:c r="X1" s="208"/>
      <x:c r="Y1" s="208"/>
      <x:c r="Z1" s="208"/>
      <x:c r="AA1" s="208"/>
      <x:c r="AB1" s="208"/>
      <x:c r="AC1" s="208"/>
      <x:c r="AD1" s="208"/>
      <x:c r="AE1" s="208"/>
    </x:row>
    <x:row r="2" ht="34" customHeight="1">
      <x:c r="A2" s="470" t="str">
        <x:v>Platform</x:v>
      </x:c>
      <x:c r="B2" s="471" t="str">
        <x:v>Option Type</x:v>
      </x:c>
      <x:c r="C2" s="471" t="str">
        <x:v>Paid Option / Tier</x:v>
      </x:c>
      <x:c r="D2" s="471" t="str">
        <x:v>Status</x:v>
      </x:c>
      <x:c r="E2" s="471" t="str">
        <x:v>Monthly Price</x:v>
      </x:c>
      <x:c r="F2" s="471" t="str">
        <x:v>6-Month Price</x:v>
      </x:c>
      <x:c r="G2" s="471" t="str">
        <x:v>Annual Price</x:v>
      </x:c>
      <x:c r="H2" s="471" t="str">
        <x:v>Currency</x:v>
      </x:c>
      <x:c r="I2" s="471" t="str">
        <x:v>Billing Basis</x:v>
      </x:c>
      <x:c r="J2" s="471" t="str">
        <x:v>Who Gets the Benefit?</x:v>
      </x:c>
      <x:c r="K2" s="471" t="str">
        <x:v>Included / Requires</x:v>
      </x:c>
      <x:c r="L2" s="471" t="str">
        <x:v>Key Perks / Limits</x:v>
      </x:c>
      <x:c r="M2" s="471" t="str">
        <x:v>Source URL</x:v>
      </x:c>
      <x:c r="N2" s="471" t="str">
        <x:v>Last Checked</x:v>
      </x:c>
      <x:c r="O2" s="472" t="str">
        <x:v>Notes</x:v>
      </x:c>
      <x:c r="P2" s="376" t="str">
        <x:v>Evidence Status</x:v>
      </x:c>
      <x:c r="Q2" s="196"/>
      <x:c r="R2" s="196"/>
      <x:c r="S2" s="196"/>
      <x:c r="T2" s="196"/>
      <x:c r="U2" s="196"/>
      <x:c r="V2" s="196"/>
      <x:c r="W2" s="196"/>
      <x:c r="X2" s="196"/>
      <x:c r="Y2" s="196"/>
      <x:c r="Z2" s="196"/>
      <x:c r="AA2" s="196"/>
      <x:c r="AB2" s="196"/>
      <x:c r="AC2" s="196"/>
      <x:c r="AD2" s="196"/>
      <x:c r="AE2" s="197"/>
    </x:row>
    <x:row r="3" ht="34" customHeight="1">
      <x:c r="A3" s="461" t="str">
        <x:v>Discord</x:v>
      </x:c>
      <x:c r="B3" s="461" t="str">
        <x:v>User subscription</x:v>
      </x:c>
      <x:c r="C3" s="461" t="str">
        <x:v>Nitro Basic</x:v>
      </x:c>
      <x:c r="D3" s="461" t="str">
        <x:v>Active</x:v>
      </x:c>
      <x:c r="E3" s="461" t="str">
        <x:v>2.99</x:v>
      </x:c>
      <x:c r="F3" s="461" t="str">
        <x:v>N/A</x:v>
      </x:c>
      <x:c r="G3" s="461" t="str">
        <x:v>29.99</x:v>
      </x:c>
      <x:c r="H3" s="461" t="str">
        <x:v>USD</x:v>
      </x:c>
      <x:c r="I3" s="461" t="str">
        <x:v>Per user</x:v>
      </x:c>
      <x:c r="J3" s="461" t="str">
        <x:v>Personal account</x:v>
      </x:c>
      <x:c r="K3" s="461" t="str">
        <x:v>N/A</x:v>
      </x:c>
      <x:c r="L3" s="461" t="str">
        <x:v>50 MB uploads; global custom emoji/stickers; Super Reactions; video backgrounds; badge</x:v>
      </x:c>
      <x:c r="M3" s="461" t="str">
        <x:v>https://support.discord.com/hc/en-us/articles/4407269525911-Localized-Pricing-on-Discord</x:v>
      </x:c>
      <x:c r="N3" s="461" t="str">
        <x:v>2026-09-15</x:v>
      </x:c>
      <x:c r="O3" s="461" t="str">
        <x:v>Localized pricing exists; USD shown for comparison.</x:v>
      </x:c>
      <x:c r="P3" s="462" t="str">
        <x:v>Primary / first-party source recorded</x:v>
      </x:c>
      <x:c r="Q3" s="202"/>
      <x:c r="R3" s="202"/>
      <x:c r="S3" s="202"/>
      <x:c r="T3" s="202"/>
      <x:c r="U3" s="202"/>
      <x:c r="V3" s="202"/>
      <x:c r="W3" s="202"/>
      <x:c r="X3" s="202"/>
      <x:c r="Y3" s="202"/>
      <x:c r="Z3" s="202"/>
      <x:c r="AA3" s="202"/>
      <x:c r="AB3" s="202"/>
      <x:c r="AC3" s="202"/>
      <x:c r="AD3" s="202"/>
      <x:c r="AE3" s="202"/>
    </x:row>
    <x:row r="4" ht="34" customHeight="1">
      <x:c r="A4" s="463" t="str">
        <x:v>Discord</x:v>
      </x:c>
      <x:c r="B4" s="463" t="str">
        <x:v>User subscription</x:v>
      </x:c>
      <x:c r="C4" s="463" t="str">
        <x:v>Nitro</x:v>
      </x:c>
      <x:c r="D4" s="463" t="str">
        <x:v>Active</x:v>
      </x:c>
      <x:c r="E4" s="463" t="str">
        <x:v>9.99</x:v>
      </x:c>
      <x:c r="F4" s="463" t="str">
        <x:v>N/A</x:v>
      </x:c>
      <x:c r="G4" s="463" t="str">
        <x:v>99.99</x:v>
      </x:c>
      <x:c r="H4" s="463" t="str">
        <x:v>USD</x:v>
      </x:c>
      <x:c r="I4" s="463" t="str">
        <x:v>Per user</x:v>
      </x:c>
      <x:c r="J4" s="463" t="str">
        <x:v>Personal account</x:v>
      </x:c>
      <x:c r="K4" s="463" t="str">
        <x:v>Includes 2 Server Boosts</x:v>
      </x:c>
      <x:c r="L4" s="463" t="str">
        <x:v>500 MB uploads; HD streaming; profile customization; themes; 200 servers; 4,000-char messages</x:v>
      </x:c>
      <x:c r="M4" s="463" t="str">
        <x:v>https://support.discord.com/hc/en-us/articles/4407269525911-Localized-Pricing-on-Discord</x:v>
      </x:c>
      <x:c r="N4" s="463" t="str">
        <x:v>2026-09-15</x:v>
      </x:c>
      <x:c r="O4" s="463" t="str">
        <x:v>Current full Nitro plan.</x:v>
      </x:c>
      <x:c r="P4" s="346" t="str">
        <x:v>Primary / first-party source recorded</x:v>
      </x:c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</x:row>
    <x:row r="5" ht="34" customHeight="1">
      <x:c r="A5" s="463" t="str">
        <x:v>Discord</x:v>
      </x:c>
      <x:c r="B5" s="463" t="str">
        <x:v>Server add-on</x:v>
      </x:c>
      <x:c r="C5" s="463" t="str">
        <x:v>Server Boost</x:v>
      </x:c>
      <x:c r="D5" s="463" t="str">
        <x:v>Active</x:v>
      </x:c>
      <x:c r="E5" s="463" t="str">
        <x:v>4.99</x:v>
      </x:c>
      <x:c r="F5" s="463" t="str">
        <x:v>N/A</x:v>
      </x:c>
      <x:c r="G5" s="463" t="str">
        <x:v>49.99</x:v>
      </x:c>
      <x:c r="H5" s="463" t="str">
        <x:v>USD</x:v>
      </x:c>
      <x:c r="I5" s="463" t="str">
        <x:v>Per boost</x:v>
      </x:c>
      <x:c r="J5" s="463" t="str">
        <x:v>One server</x:v>
      </x:c>
      <x:c r="K5" s="463" t="str">
        <x:v>Nitro includes 2 boosts; Nitro gets 30% off extra boosts</x:v>
      </x:c>
      <x:c r="L5" s="463" t="str">
        <x:v>Contributes to server-wide boost levels and additional server perks</x:v>
      </x:c>
      <x:c r="M5" s="463" t="str">
        <x:v>https://support.discord.com/hc/en-us/articles/4407269525911-Localized-Pricing-on-Discord</x:v>
      </x:c>
      <x:c r="N5" s="463" t="str">
        <x:v>2026-09-15</x:v>
      </x:c>
      <x:c r="O5" s="463" t="str">
        <x:v>Each boost is a separate recurring subscription.</x:v>
      </x:c>
      <x:c r="P5" s="346" t="str">
        <x:v>Primary / first-party source recorded</x:v>
      </x:c>
      <x:c r="Q5" s="24"/>
      <x:c r="R5" s="24"/>
      <x:c r="S5" s="24"/>
      <x:c r="T5" s="24"/>
      <x:c r="U5" s="24"/>
      <x:c r="V5" s="24"/>
      <x:c r="W5" s="24"/>
      <x:c r="X5" s="24"/>
      <x:c r="Y5" s="24"/>
      <x:c r="Z5" s="24"/>
      <x:c r="AA5" s="24"/>
      <x:c r="AB5" s="24"/>
      <x:c r="AC5" s="24"/>
      <x:c r="AD5" s="24"/>
      <x:c r="AE5" s="24"/>
    </x:row>
    <x:row r="6" ht="34" customHeight="1">
      <x:c r="A6" s="463" t="str">
        <x:v>Discord</x:v>
      </x:c>
      <x:c r="B6" s="463" t="str">
        <x:v>Legacy user subscription</x:v>
      </x:c>
      <x:c r="C6" s="463" t="str">
        <x:v>Nitro Classic</x:v>
      </x:c>
      <x:c r="D6" s="463" t="str">
        <x:v>Grandfathered / not sold to new subscribers</x:v>
      </x:c>
      <x:c r="E6" s="463" t="str">
        <x:v>4.99</x:v>
      </x:c>
      <x:c r="F6" s="463" t="str">
        <x:v>N/A</x:v>
      </x:c>
      <x:c r="G6" s="463" t="str">
        <x:v>49.99</x:v>
      </x:c>
      <x:c r="H6" s="463" t="str">
        <x:v>USD</x:v>
      </x:c>
      <x:c r="I6" s="463" t="str">
        <x:v>Per user</x:v>
      </x:c>
      <x:c r="J6" s="463" t="str">
        <x:v>Personal account</x:v>
      </x:c>
      <x:c r="K6" s="463" t="str">
        <x:v>N/A</x:v>
      </x:c>
      <x:c r="L6" s="463" t="str">
        <x:v>Legacy Nitro feature set; retained only by eligible existing subscribers</x:v>
      </x:c>
      <x:c r="M6" s="463" t="str">
        <x:v>https://support.discord.com/hc/en-us/articles/4407269525911-Localized-Pricing-on-Discord</x:v>
      </x:c>
      <x:c r="N6" s="463" t="str">
        <x:v>2026-09-15</x:v>
      </x:c>
      <x:c r="O6" s="463" t="str">
        <x:v>No longer available to new subscribers.</x:v>
      </x:c>
      <x:c r="P6" s="346" t="str">
        <x:v>Primary / first-party source recorded</x:v>
      </x:c>
      <x:c r="Q6" s="24"/>
      <x:c r="R6" s="24"/>
      <x:c r="S6" s="24"/>
      <x:c r="T6" s="24"/>
      <x:c r="U6" s="24"/>
      <x:c r="V6" s="24"/>
      <x:c r="W6" s="24"/>
      <x:c r="X6" s="24"/>
      <x:c r="Y6" s="24"/>
      <x:c r="Z6" s="24"/>
      <x:c r="AA6" s="24"/>
      <x:c r="AB6" s="24"/>
      <x:c r="AC6" s="24"/>
      <x:c r="AD6" s="24"/>
      <x:c r="AE6" s="24"/>
    </x:row>
    <x:row r="7" ht="34" customHeight="1">
      <x:c r="A7" s="346" t="str">
        <x:v>Stoat</x:v>
      </x:c>
      <x:c r="B7" s="346" t="str">
        <x:v>No public paid tier</x:v>
      </x:c>
      <x:c r="C7" s="346" t="str">
        <x:v>No public fixed-price paid tier verified</x:v>
      </x:c>
      <x:c r="D7" s="346" t="str">
        <x:v>None verified</x:v>
      </x:c>
      <x:c r="E7" s="346" t="str">
        <x:v>N/A</x:v>
      </x:c>
      <x:c r="F7" s="346" t="str">
        <x:v>N/A</x:v>
      </x:c>
      <x:c r="G7" s="346" t="str">
        <x:v>N/A</x:v>
      </x:c>
      <x:c r="H7" s="346" t="str">
        <x:v>N/A</x:v>
      </x:c>
      <x:c r="I7" s="346" t="str">
        <x:v>N/A</x:v>
      </x:c>
      <x:c r="J7" s="346" t="str">
        <x:v>N/A</x:v>
      </x:c>
      <x:c r="K7" s="346" t="str">
        <x:v>N/A</x:v>
      </x:c>
      <x:c r="L7" s="346" t="str">
        <x:v>N/A</x:v>
      </x:c>
      <x:c r="M7" s="346" t="str">
        <x:v>https://stoat.chat/</x:v>
      </x:c>
      <x:c r="N7" s="346" t="str">
        <x:v>2026-09-15</x:v>
      </x:c>
      <x:c r="O7" s="346" t="str">
        <x:v>Hosted service/self-host project; no fixed paid subscription verified.</x:v>
      </x:c>
      <x:c r="P7" s="346" t="str">
        <x:v>Primary / first-party source recorded</x:v>
      </x:c>
      <x:c r="Q7" s="24"/>
      <x:c r="R7" s="24"/>
      <x:c r="S7" s="24"/>
      <x:c r="T7" s="24"/>
      <x:c r="U7" s="24"/>
      <x:c r="V7" s="24"/>
      <x:c r="W7" s="24"/>
      <x:c r="X7" s="24"/>
      <x:c r="Y7" s="24"/>
      <x:c r="Z7" s="24"/>
      <x:c r="AA7" s="24"/>
      <x:c r="AB7" s="24"/>
      <x:c r="AC7" s="24"/>
      <x:c r="AD7" s="24"/>
      <x:c r="AE7" s="24"/>
    </x:row>
    <x:row r="8" ht="34" customHeight="1">
      <x:c r="A8" s="463" t="str">
        <x:v>Fenrid</x:v>
      </x:c>
      <x:c r="B8" s="463" t="str">
        <x:v>Planned subscription</x:v>
      </x:c>
      <x:c r="C8" s="463" t="str">
        <x:v>Surge</x:v>
      </x:c>
      <x:c r="D8" s="463" t="str">
        <x:v>Coming soon</x:v>
      </x:c>
      <x:c r="E8" s="463" t="str">
        <x:v>4.99</x:v>
      </x:c>
      <x:c r="F8" s="463" t="str">
        <x:v>N/A</x:v>
      </x:c>
      <x:c r="G8" s="463" t="str">
        <x:v>U/K</x:v>
      </x:c>
      <x:c r="H8" s="463" t="str">
        <x:v>USD</x:v>
      </x:c>
      <x:c r="I8" s="463" t="str">
        <x:v>Subscription</x:v>
      </x:c>
      <x:c r="J8" s="463" t="str">
        <x:v>User/community plan</x:v>
      </x:c>
      <x:c r="K8" s="463" t="str">
        <x:v>N/A</x:v>
      </x:c>
      <x:c r="L8" s="463" t="str">
        <x:v>Essential tools for small communities</x:v>
      </x:c>
      <x:c r="M8" s="463" t="str">
        <x:v>https://fenrid.com/waitlist</x:v>
      </x:c>
      <x:c r="N8" s="463" t="str">
        <x:v>2026-09-15</x:v>
      </x:c>
      <x:c r="O8" s="463" t="str">
        <x:v>Fenrid is in alpha; pricing and benefits may change before launch.</x:v>
      </x:c>
      <x:c r="P8" s="346" t="str">
        <x:v>Primary / first-party source recorded</x:v>
      </x:c>
      <x:c r="Q8" s="24"/>
      <x:c r="R8" s="24"/>
      <x:c r="S8" s="24"/>
      <x:c r="T8" s="24"/>
      <x:c r="U8" s="24"/>
      <x:c r="V8" s="24"/>
      <x:c r="W8" s="24"/>
      <x:c r="X8" s="24"/>
      <x:c r="Y8" s="24"/>
      <x:c r="Z8" s="24"/>
      <x:c r="AA8" s="24"/>
      <x:c r="AB8" s="24"/>
      <x:c r="AC8" s="24"/>
      <x:c r="AD8" s="24"/>
      <x:c r="AE8" s="24"/>
    </x:row>
    <x:row r="9" ht="34" customHeight="1">
      <x:c r="A9" s="463" t="str">
        <x:v>Fenrid</x:v>
      </x:c>
      <x:c r="B9" s="463" t="str">
        <x:v>Planned subscription</x:v>
      </x:c>
      <x:c r="C9" s="463" t="str">
        <x:v>Flare</x:v>
      </x:c>
      <x:c r="D9" s="463" t="str">
        <x:v>Coming soon</x:v>
      </x:c>
      <x:c r="E9" s="463" t="str">
        <x:v>9.99</x:v>
      </x:c>
      <x:c r="F9" s="463" t="str">
        <x:v>N/A</x:v>
      </x:c>
      <x:c r="G9" s="463" t="str">
        <x:v>U/K</x:v>
      </x:c>
      <x:c r="H9" s="463" t="str">
        <x:v>USD</x:v>
      </x:c>
      <x:c r="I9" s="463" t="str">
        <x:v>Subscription</x:v>
      </x:c>
      <x:c r="J9" s="463" t="str">
        <x:v>User/community plan</x:v>
      </x:c>
      <x:c r="K9" s="463" t="str">
        <x:v>N/A</x:v>
      </x:c>
      <x:c r="L9" s="463" t="str">
        <x:v>Extras for growing communities</x:v>
      </x:c>
      <x:c r="M9" s="463" t="str">
        <x:v>https://fenrid.com/waitlist</x:v>
      </x:c>
      <x:c r="N9" s="463" t="str">
        <x:v>2026-09-15</x:v>
      </x:c>
      <x:c r="O9" s="463" t="str">
        <x:v>Fenrid is in alpha; pricing and benefits may change before launch.</x:v>
      </x:c>
      <x:c r="P9" s="346" t="str">
        <x:v>Primary / first-party source recorded</x:v>
      </x:c>
      <x:c r="Q9" s="24"/>
      <x:c r="R9" s="24"/>
      <x:c r="S9" s="24"/>
      <x:c r="T9" s="24"/>
      <x:c r="U9" s="24"/>
      <x:c r="V9" s="24"/>
      <x:c r="W9" s="24"/>
      <x:c r="X9" s="24"/>
      <x:c r="Y9" s="24"/>
      <x:c r="Z9" s="24"/>
      <x:c r="AA9" s="24"/>
      <x:c r="AB9" s="24"/>
      <x:c r="AC9" s="24"/>
      <x:c r="AD9" s="24"/>
      <x:c r="AE9" s="24"/>
    </x:row>
    <x:row r="10" ht="34" customHeight="1">
      <x:c r="A10" s="463" t="str">
        <x:v>Fenrid</x:v>
      </x:c>
      <x:c r="B10" s="463" t="str">
        <x:v>Planned subscription</x:v>
      </x:c>
      <x:c r="C10" s="463" t="str">
        <x:v>Prime</x:v>
      </x:c>
      <x:c r="D10" s="463" t="str">
        <x:v>Coming soon</x:v>
      </x:c>
      <x:c r="E10" s="463" t="str">
        <x:v>24.99</x:v>
      </x:c>
      <x:c r="F10" s="463" t="str">
        <x:v>N/A</x:v>
      </x:c>
      <x:c r="G10" s="463" t="str">
        <x:v>U/K</x:v>
      </x:c>
      <x:c r="H10" s="463" t="str">
        <x:v>USD</x:v>
      </x:c>
      <x:c r="I10" s="463" t="str">
        <x:v>Subscription</x:v>
      </x:c>
      <x:c r="J10" s="463" t="str">
        <x:v>User/community plan</x:v>
      </x:c>
      <x:c r="K10" s="463" t="str">
        <x:v>N/A</x:v>
      </x:c>
      <x:c r="L10" s="463" t="str">
        <x:v>Large communities, creators and power users</x:v>
      </x:c>
      <x:c r="M10" s="463" t="str">
        <x:v>https://fenrid.com/waitlist</x:v>
      </x:c>
      <x:c r="N10" s="463" t="str">
        <x:v>2026-09-15</x:v>
      </x:c>
      <x:c r="O10" s="463" t="str">
        <x:v>Fenrid is in alpha; pricing and benefits may change before launch.</x:v>
      </x:c>
      <x:c r="P10" s="346" t="str">
        <x:v>Primary / first-party source recorded</x:v>
      </x:c>
      <x:c r="Q10" s="24"/>
      <x:c r="R10" s="24"/>
      <x:c r="S10" s="24"/>
      <x:c r="T10" s="24"/>
      <x:c r="U10" s="24"/>
      <x:c r="V10" s="24"/>
      <x:c r="W10" s="24"/>
      <x:c r="X10" s="24"/>
      <x:c r="Y10" s="24"/>
      <x:c r="Z10" s="24"/>
      <x:c r="AA10" s="24"/>
      <x:c r="AB10" s="24"/>
      <x:c r="AC10" s="24"/>
      <x:c r="AD10" s="24"/>
      <x:c r="AE10" s="24"/>
    </x:row>
    <x:row r="11" ht="34" customHeight="1">
      <x:c r="A11" s="346" t="str">
        <x:v>Fluxer</x:v>
      </x:c>
      <x:c r="B11" s="346" t="str">
        <x:v>User subscription</x:v>
      </x:c>
      <x:c r="C11" s="346" t="str">
        <x:v>Plutonium</x:v>
      </x:c>
      <x:c r="D11" s="346" t="str">
        <x:v>Active</x:v>
      </x:c>
      <x:c r="E11" s="346" t="str">
        <x:v>4.99</x:v>
      </x:c>
      <x:c r="F11" s="346" t="str">
        <x:v>N/A</x:v>
      </x:c>
      <x:c r="G11" s="346" t="str">
        <x:v>49.99</x:v>
      </x:c>
      <x:c r="H11" s="346" t="str">
        <x:v>USD</x:v>
      </x:c>
      <x:c r="I11" s="346" t="str">
        <x:v>Per user</x:v>
      </x:c>
      <x:c r="J11" s="346" t="str">
        <x:v>Personal account</x:v>
      </x:c>
      <x:c r="K11" s="346" t="str">
        <x:v>N/A</x:v>
      </x:c>
      <x:c r="L11" s="346" t="str">
        <x:v>500 MB uploads; 4K60 streaming; per-community profile; cosmetics; 200 communities; 4,000-char messages</x:v>
      </x:c>
      <x:c r="M11" s="346" t="str">
        <x:v>https://fluxer.app/plutonium</x:v>
      </x:c>
      <x:c r="N11" s="346" t="str">
        <x:v>2026-09-15</x:v>
      </x:c>
      <x:c r="O11" s="346" t="str">
        <x:v>Optional; Fluxer remains usable for free.</x:v>
      </x:c>
      <x:c r="P11" s="346" t="str">
        <x:v>Primary / first-party source recorded</x:v>
      </x:c>
      <x:c r="Q11" s="24"/>
      <x:c r="R11" s="24"/>
      <x:c r="S11" s="24"/>
      <x:c r="T11" s="24"/>
      <x:c r="U11" s="24"/>
      <x:c r="V11" s="24"/>
      <x:c r="W11" s="24"/>
      <x:c r="X11" s="24"/>
      <x:c r="Y11" s="24"/>
      <x:c r="Z11" s="24"/>
      <x:c r="AA11" s="24"/>
      <x:c r="AB11" s="24"/>
      <x:c r="AC11" s="24"/>
      <x:c r="AD11" s="24"/>
      <x:c r="AE11" s="24"/>
    </x:row>
    <x:row r="12" ht="34" customHeight="1">
      <x:c r="A12" s="461" t="str">
        <x:v>Root</x:v>
      </x:c>
      <x:c r="B12" s="461" t="str">
        <x:v>User subscription</x:v>
      </x:c>
      <x:c r="C12" s="461" t="str">
        <x:v>Sudo</x:v>
      </x:c>
      <x:c r="D12" s="461" t="str">
        <x:v>Active</x:v>
      </x:c>
      <x:c r="E12" s="461" t="str">
        <x:v>U/K</x:v>
      </x:c>
      <x:c r="F12" s="461" t="str">
        <x:v>N/A</x:v>
      </x:c>
      <x:c r="G12" s="461" t="str">
        <x:v>U/K</x:v>
      </x:c>
      <x:c r="H12" s="461" t="str">
        <x:v>USD / in-app</x:v>
      </x:c>
      <x:c r="I12" s="461" t="str">
        <x:v>Per user</x:v>
      </x:c>
      <x:c r="J12" s="461" t="str">
        <x:v>Personal account</x:v>
      </x:c>
      <x:c r="K12" s="461" t="str">
        <x:v>Includes 1 Core each month</x:v>
      </x:c>
      <x:c r="L12" s="461" t="str">
        <x:v>Up to 1440p60 streaming; supporter badge; 1 community Core monthly</x:v>
      </x:c>
      <x:c r="M12" s="461" t="str">
        <x:v>https://support.rootapp.com/docs/sudo/get-started/sudo-faqs/</x:v>
      </x:c>
      <x:c r="N12" s="461" t="str">
        <x:v>2026-09-15</x:v>
      </x:c>
      <x:c r="O12" s="461" t="str">
        <x:v>Root documents monthly and yearly billing, but the current price is shown in-app rather than publicly on the help page.</x:v>
      </x:c>
      <x:c r="P12" s="462" t="str">
        <x:v>Primary / first-party source recorded</x:v>
      </x:c>
      <x:c r="Q12" s="202"/>
      <x:c r="R12" s="202"/>
      <x:c r="S12" s="202"/>
      <x:c r="T12" s="202"/>
      <x:c r="U12" s="202"/>
      <x:c r="V12" s="202"/>
      <x:c r="W12" s="202"/>
      <x:c r="X12" s="202"/>
      <x:c r="Y12" s="202"/>
      <x:c r="Z12" s="202"/>
      <x:c r="AA12" s="202"/>
      <x:c r="AB12" s="202"/>
      <x:c r="AC12" s="202"/>
      <x:c r="AD12" s="202"/>
      <x:c r="AE12" s="202"/>
    </x:row>
    <x:row r="13" ht="34" customHeight="1">
      <x:c r="A13" s="346" t="str">
        <x:v>Matrix</x:v>
      </x:c>
      <x:c r="B13" s="346" t="str">
        <x:v>Protocol-level pricing</x:v>
      </x:c>
      <x:c r="C13" s="346" t="str">
        <x:v>No Matrix-wide paid tier</x:v>
      </x:c>
      <x:c r="D13" s="346" t="str">
        <x:v>Provider-specific</x:v>
      </x:c>
      <x:c r="E13" s="346" t="str">
        <x:v>N/A</x:v>
      </x:c>
      <x:c r="F13" s="346" t="str">
        <x:v>N/A</x:v>
      </x:c>
      <x:c r="G13" s="346" t="str">
        <x:v>N/A</x:v>
      </x:c>
      <x:c r="H13" s="346" t="str">
        <x:v>Provider-specific</x:v>
      </x:c>
      <x:c r="I13" s="346" t="str">
        <x:v>Provider-specific</x:v>
      </x:c>
      <x:c r="J13" s="346" t="str">
        <x:v>Homeserver/client provider</x:v>
      </x:c>
      <x:c r="K13" s="346" t="str">
        <x:v>N/A</x:v>
      </x:c>
      <x:c r="L13" s="346" t="str">
        <x:v>Matrix itself has no universal subscription; clients and homeserver providers set their own pricing</x:v>
      </x:c>
      <x:c r="M13" s="346" t="str">
        <x:v>https://matrix.org/</x:v>
      </x:c>
      <x:c r="N13" s="346" t="str">
        <x:v>2026-09-15</x:v>
      </x:c>
      <x:c r="O13" s="346" t="str">
        <x:v>Do not attribute Element or another provider's pricing to Matrix.</x:v>
      </x:c>
      <x:c r="P13" s="346" t="str">
        <x:v>Primary / first-party source recorded</x:v>
      </x:c>
      <x:c r="Q13" s="24"/>
      <x:c r="R13" s="24"/>
      <x:c r="S13" s="24"/>
      <x:c r="T13" s="24"/>
      <x:c r="U13" s="24"/>
      <x:c r="V13" s="24"/>
      <x:c r="W13" s="24"/>
      <x:c r="X13" s="24"/>
      <x:c r="Y13" s="24"/>
      <x:c r="Z13" s="24"/>
      <x:c r="AA13" s="24"/>
      <x:c r="AB13" s="24"/>
      <x:c r="AC13" s="24"/>
      <x:c r="AD13" s="24"/>
      <x:c r="AE13" s="24"/>
    </x:row>
    <x:row r="14" ht="34" customHeight="1">
      <x:c r="A14" s="463" t="str">
        <x:v>Spacebar</x:v>
      </x:c>
      <x:c r="B14" s="463" t="str">
        <x:v>No public paid tier</x:v>
      </x:c>
      <x:c r="C14" s="463" t="str">
        <x:v>No central paid tier</x:v>
      </x:c>
      <x:c r="D14" s="463" t="str">
        <x:v>None</x:v>
      </x:c>
      <x:c r="E14" s="463" t="str">
        <x:v>N/A</x:v>
      </x:c>
      <x:c r="F14" s="463" t="str">
        <x:v>N/A</x:v>
      </x:c>
      <x:c r="G14" s="463" t="str">
        <x:v>N/A</x:v>
      </x:c>
      <x:c r="H14" s="463" t="str">
        <x:v>N/A</x:v>
      </x:c>
      <x:c r="I14" s="463" t="str">
        <x:v>Self-hosted</x:v>
      </x:c>
      <x:c r="J14" s="463" t="str">
        <x:v>Operator</x:v>
      </x:c>
      <x:c r="K14" s="463" t="str">
        <x:v>N/A</x:v>
      </x:c>
      <x:c r="L14" s="463" t="str">
        <x:v>Open-source/self-hosted software; operator pays infrastructure</x:v>
      </x:c>
      <x:c r="M14" s="463" t="str">
        <x:v>https://spacebar.chat/</x:v>
      </x:c>
      <x:c r="N14" s="463" t="str">
        <x:v>2026-09-15</x:v>
      </x:c>
      <x:c r="O14" s="463" t="str">
        <x:v>No central subscription model.</x:v>
      </x:c>
      <x:c r="P14" s="346" t="str">
        <x:v>Primary / first-party source recorded</x:v>
      </x:c>
      <x:c r="Q14" s="24"/>
      <x:c r="R14" s="24"/>
      <x:c r="S14" s="24"/>
      <x:c r="T14" s="24"/>
      <x:c r="U14" s="24"/>
      <x:c r="V14" s="24"/>
      <x:c r="W14" s="24"/>
      <x:c r="X14" s="24"/>
      <x:c r="Y14" s="24"/>
      <x:c r="Z14" s="24"/>
      <x:c r="AA14" s="24"/>
      <x:c r="AB14" s="24"/>
      <x:c r="AC14" s="24"/>
      <x:c r="AD14" s="24"/>
      <x:c r="AE14" s="24"/>
    </x:row>
    <x:row r="15" ht="34" customHeight="1">
      <x:c r="A15" s="346" t="str">
        <x:v>Mumble</x:v>
      </x:c>
      <x:c r="B15" s="346" t="str">
        <x:v>No platform paid tier</x:v>
      </x:c>
      <x:c r="C15" s="346" t="str">
        <x:v>No Mumble subscription</x:v>
      </x:c>
      <x:c r="D15" s="346" t="str">
        <x:v>None</x:v>
      </x:c>
      <x:c r="E15" s="346" t="str">
        <x:v>N/A</x:v>
      </x:c>
      <x:c r="F15" s="346" t="str">
        <x:v>N/A</x:v>
      </x:c>
      <x:c r="G15" s="346" t="str">
        <x:v>N/A</x:v>
      </x:c>
      <x:c r="H15" s="346" t="str">
        <x:v>N/A</x:v>
      </x:c>
      <x:c r="I15" s="346" t="str">
        <x:v>Open-source/self-hosted</x:v>
      </x:c>
      <x:c r="J15" s="346" t="str">
        <x:v>Operator</x:v>
      </x:c>
      <x:c r="K15" s="346" t="str">
        <x:v>N/A</x:v>
      </x:c>
      <x:c r="L15" s="346" t="str">
        <x:v>Mumble is free/open source; third-party hosting providers set their own prices</x:v>
      </x:c>
      <x:c r="M15" s="346" t="str">
        <x:v>https://www.mumble.info/</x:v>
      </x:c>
      <x:c r="N15" s="346" t="str">
        <x:v>2026-09-15</x:v>
      </x:c>
      <x:c r="O15" s="346" t="str">
        <x:v>Third-party hosted-server pricing is not a Mumble platform tier.</x:v>
      </x:c>
      <x:c r="P15" s="346" t="str">
        <x:v>Primary / first-party source recorded</x:v>
      </x:c>
      <x:c r="Q15" s="24"/>
      <x:c r="R15" s="24"/>
      <x:c r="S15" s="24"/>
      <x:c r="T15" s="24"/>
      <x:c r="U15" s="24"/>
      <x:c r="V15" s="24"/>
      <x:c r="W15" s="24"/>
      <x:c r="X15" s="24"/>
      <x:c r="Y15" s="24"/>
      <x:c r="Z15" s="24"/>
      <x:c r="AA15" s="24"/>
      <x:c r="AB15" s="24"/>
      <x:c r="AC15" s="24"/>
      <x:c r="AD15" s="24"/>
      <x:c r="AE15" s="24"/>
    </x:row>
    <x:row r="16" ht="34" customHeight="1">
      <x:c r="A16" s="463" t="str">
        <x:v>TeamSpeak</x:v>
      </x:c>
      <x:c r="B16" s="463" t="str">
        <x:v>Hosted community plan</x:v>
      </x:c>
      <x:c r="C16" s="463" t="str">
        <x:v>Crew</x:v>
      </x:c>
      <x:c r="D16" s="463" t="str">
        <x:v>Active</x:v>
      </x:c>
      <x:c r="E16" s="463" t="str">
        <x:v>4.99</x:v>
      </x:c>
      <x:c r="F16" s="463" t="str">
        <x:v>N/A</x:v>
      </x:c>
      <x:c r="G16" s="463" t="str">
        <x:v>53.99</x:v>
      </x:c>
      <x:c r="H16" s="463" t="str">
        <x:v>USD</x:v>
      </x:c>
      <x:c r="I16" s="463" t="str">
        <x:v>Per hosted community</x:v>
      </x:c>
      <x:c r="J16" s="463" t="str">
        <x:v>One TeamSpeak Community server</x:v>
      </x:c>
      <x:c r="K16" s="463" t="str">
        <x:v>N/A</x:v>
      </x:c>
      <x:c r="L16" s="463" t="str">
        <x:v>11 hosted slots total (10 + 1 bonus); official managed TS6 hosting with screen sharing</x:v>
      </x:c>
      <x:c r="M16" s="463" t="str">
        <x:v>https://support.teamspeak.com/hc/en-us/articles/26033099878045-Current-Community-Options</x:v>
      </x:c>
      <x:c r="N16" s="463" t="str">
        <x:v>2026-09-15</x:v>
      </x:c>
      <x:c r="O16" s="463" t="str">
        <x:v>Hosted by TeamSpeak.</x:v>
      </x:c>
      <x:c r="P16" s="346" t="str">
        <x:v>Primary / first-party source recorded</x:v>
      </x:c>
      <x:c r="Q16" s="24"/>
      <x:c r="R16" s="24"/>
      <x:c r="S16" s="24"/>
      <x:c r="T16" s="24"/>
      <x:c r="U16" s="24"/>
      <x:c r="V16" s="24"/>
      <x:c r="W16" s="24"/>
      <x:c r="X16" s="24"/>
      <x:c r="Y16" s="24"/>
      <x:c r="Z16" s="24"/>
      <x:c r="AA16" s="24"/>
      <x:c r="AB16" s="24"/>
      <x:c r="AC16" s="24"/>
      <x:c r="AD16" s="24"/>
      <x:c r="AE16" s="24"/>
    </x:row>
    <x:row r="17" ht="34" customHeight="1">
      <x:c r="A17" s="463" t="str">
        <x:v>TeamSpeak</x:v>
      </x:c>
      <x:c r="B17" s="463" t="str">
        <x:v>Hosted community plan</x:v>
      </x:c>
      <x:c r="C17" s="463" t="str">
        <x:v>Team</x:v>
      </x:c>
      <x:c r="D17" s="463" t="str">
        <x:v>Active</x:v>
      </x:c>
      <x:c r="E17" s="463" t="str">
        <x:v>8.99</x:v>
      </x:c>
      <x:c r="F17" s="463" t="str">
        <x:v>N/A</x:v>
      </x:c>
      <x:c r="G17" s="463" t="str">
        <x:v>96.99</x:v>
      </x:c>
      <x:c r="H17" s="463" t="str">
        <x:v>USD</x:v>
      </x:c>
      <x:c r="I17" s="463" t="str">
        <x:v>Per hosted community</x:v>
      </x:c>
      <x:c r="J17" s="463" t="str">
        <x:v>One TeamSpeak Community server</x:v>
      </x:c>
      <x:c r="K17" s="463" t="str">
        <x:v>N/A</x:v>
      </x:c>
      <x:c r="L17" s="463" t="str">
        <x:v>27 hosted slots total (25 + 2 bonus); official managed TS6 hosting with screen sharing</x:v>
      </x:c>
      <x:c r="M17" s="463" t="str">
        <x:v>https://support.teamspeak.com/hc/en-us/articles/26033099878045-Current-Community-Options</x:v>
      </x:c>
      <x:c r="N17" s="463" t="str">
        <x:v>2026-09-15</x:v>
      </x:c>
      <x:c r="O17" s="463" t="str">
        <x:v>Hosted by TeamSpeak.</x:v>
      </x:c>
      <x:c r="P17" s="346" t="str">
        <x:v>Primary / first-party source recorded</x:v>
      </x:c>
      <x:c r="Q17" s="24"/>
      <x:c r="R17" s="24"/>
      <x:c r="S17" s="24"/>
      <x:c r="T17" s="24"/>
      <x:c r="U17" s="24"/>
      <x:c r="V17" s="24"/>
      <x:c r="W17" s="24"/>
      <x:c r="X17" s="24"/>
      <x:c r="Y17" s="24"/>
      <x:c r="Z17" s="24"/>
      <x:c r="AA17" s="24"/>
      <x:c r="AB17" s="24"/>
      <x:c r="AC17" s="24"/>
      <x:c r="AD17" s="24"/>
      <x:c r="AE17" s="24"/>
    </x:row>
    <x:row r="18" ht="34" customHeight="1">
      <x:c r="A18" s="461" t="str">
        <x:v>TeamSpeak</x:v>
      </x:c>
      <x:c r="B18" s="461" t="str">
        <x:v>Hosted community plan</x:v>
      </x:c>
      <x:c r="C18" s="461" t="str">
        <x:v>Faction</x:v>
      </x:c>
      <x:c r="D18" s="461" t="str">
        <x:v>Active</x:v>
      </x:c>
      <x:c r="E18" s="461" t="str">
        <x:v>17.99</x:v>
      </x:c>
      <x:c r="F18" s="461" t="str">
        <x:v>N/A</x:v>
      </x:c>
      <x:c r="G18" s="461" t="str">
        <x:v>194.99</x:v>
      </x:c>
      <x:c r="H18" s="461" t="str">
        <x:v>USD</x:v>
      </x:c>
      <x:c r="I18" s="461" t="str">
        <x:v>Per hosted community</x:v>
      </x:c>
      <x:c r="J18" s="461" t="str">
        <x:v>One TeamSpeak Community server</x:v>
      </x:c>
      <x:c r="K18" s="461" t="str">
        <x:v>N/A</x:v>
      </x:c>
      <x:c r="L18" s="461" t="str">
        <x:v>64 hosted slots total (60 + 4 bonus); official managed TS6 hosting with screen sharing</x:v>
      </x:c>
      <x:c r="M18" s="461" t="str">
        <x:v>https://support.teamspeak.com/hc/en-us/articles/26033099878045-Current-Community-Options</x:v>
      </x:c>
      <x:c r="N18" s="461" t="str">
        <x:v>2026-09-15</x:v>
      </x:c>
      <x:c r="O18" s="461" t="str">
        <x:v>Hosted by TeamSpeak.</x:v>
      </x:c>
      <x:c r="P18" s="462" t="str">
        <x:v>Primary / first-party source recorded</x:v>
      </x:c>
      <x:c r="Q18" s="202"/>
      <x:c r="R18" s="202"/>
      <x:c r="S18" s="202"/>
      <x:c r="T18" s="202"/>
      <x:c r="U18" s="202"/>
      <x:c r="V18" s="202"/>
      <x:c r="W18" s="202"/>
      <x:c r="X18" s="202"/>
      <x:c r="Y18" s="202"/>
      <x:c r="Z18" s="202"/>
      <x:c r="AA18" s="202"/>
      <x:c r="AB18" s="202"/>
      <x:c r="AC18" s="202"/>
      <x:c r="AD18" s="202"/>
      <x:c r="AE18" s="202"/>
    </x:row>
    <x:row r="19" ht="34" customHeight="1">
      <x:c r="A19" s="463" t="str">
        <x:v>TeamSpeak</x:v>
      </x:c>
      <x:c r="B19" s="463" t="str">
        <x:v>Self-host license</x:v>
      </x:c>
      <x:c r="C19" s="463" t="str">
        <x:v>Gamer / Activation 64 slots</x:v>
      </x:c>
      <x:c r="D19" s="463" t="str">
        <x:v>Active</x:v>
      </x:c>
      <x:c r="E19" s="463" t="str">
        <x:v>N/A</x:v>
      </x:c>
      <x:c r="F19" s="463" t="str">
        <x:v>N/A</x:v>
      </x:c>
      <x:c r="G19" s="463" t="str">
        <x:v>55</x:v>
      </x:c>
      <x:c r="H19" s="463" t="str">
        <x:v>USD</x:v>
      </x:c>
      <x:c r="I19" s="463" t="str">
        <x:v>Per self-host license</x:v>
      </x:c>
      <x:c r="J19" s="463" t="str">
        <x:v>Non-commercial / personal self-host</x:v>
      </x:c>
      <x:c r="K19" s="463" t="str">
        <x:v>N/A</x:v>
      </x:c>
      <x:c r="L19" s="463" t="str">
        <x:v>64 slots; 1 virtual server</x:v>
      </x:c>
      <x:c r="M19" s="463" t="str">
        <x:v>https://support.teamspeak.com/hc/en-us/articles/26033788383261-What-licenses-are-available</x:v>
      </x:c>
      <x:c r="N19" s="463" t="str">
        <x:v>2026-09-15</x:v>
      </x:c>
      <x:c r="O19" s="463" t="str">
        <x:v>6-month price is unavailable for 64 slots; 6-month orders are manual for eligible slot tiers.</x:v>
      </x:c>
      <x:c r="P19" s="346" t="str">
        <x:v>Primary / first-party source recorded</x:v>
      </x:c>
      <x:c r="Q19" s="24"/>
      <x:c r="R19" s="24"/>
      <x:c r="S19" s="24"/>
      <x:c r="T19" s="24"/>
      <x:c r="U19" s="24"/>
      <x:c r="V19" s="24"/>
      <x:c r="W19" s="24"/>
      <x:c r="X19" s="24"/>
      <x:c r="Y19" s="24"/>
      <x:c r="Z19" s="24"/>
      <x:c r="AA19" s="24"/>
      <x:c r="AB19" s="24"/>
      <x:c r="AC19" s="24"/>
      <x:c r="AD19" s="24"/>
      <x:c r="AE19" s="24"/>
    </x:row>
    <x:row r="20" ht="34" customHeight="1">
      <x:c r="A20" s="463" t="str">
        <x:v>TeamSpeak</x:v>
      </x:c>
      <x:c r="B20" s="463" t="str">
        <x:v>Self-host license</x:v>
      </x:c>
      <x:c r="C20" s="463" t="str">
        <x:v>Gamer / Activation 128 slots</x:v>
      </x:c>
      <x:c r="D20" s="463" t="str">
        <x:v>Active</x:v>
      </x:c>
      <x:c r="E20" s="463" t="str">
        <x:v>N/A</x:v>
      </x:c>
      <x:c r="F20" s="463" t="str">
        <x:v>50</x:v>
      </x:c>
      <x:c r="G20" s="463" t="str">
        <x:v>100</x:v>
      </x:c>
      <x:c r="H20" s="463" t="str">
        <x:v>USD</x:v>
      </x:c>
      <x:c r="I20" s="463" t="str">
        <x:v>Per self-host license</x:v>
      </x:c>
      <x:c r="J20" s="463" t="str">
        <x:v>Non-commercial / personal self-host</x:v>
      </x:c>
      <x:c r="K20" s="463" t="str">
        <x:v>N/A</x:v>
      </x:c>
      <x:c r="L20" s="463" t="str">
        <x:v>128 slots; 2 virtual servers</x:v>
      </x:c>
      <x:c r="M20" s="463" t="str">
        <x:v>https://support.teamspeak.com/hc/en-us/articles/26033788383261-What-licenses-are-available</x:v>
      </x:c>
      <x:c r="N20" s="463" t="str">
        <x:v>2026-09-15</x:v>
      </x:c>
      <x:c r="O20" s="463" t="str">
        <x:v>6-month price is unavailable for 64 slots; 6-month orders are manual for eligible slot tiers.</x:v>
      </x:c>
      <x:c r="P20" s="346" t="str">
        <x:v>Primary / first-party source recorded</x:v>
      </x:c>
      <x:c r="Q20" s="24"/>
      <x:c r="R20" s="24"/>
      <x:c r="S20" s="24"/>
      <x:c r="T20" s="24"/>
      <x:c r="U20" s="24"/>
      <x:c r="V20" s="24"/>
      <x:c r="W20" s="24"/>
      <x:c r="X20" s="24"/>
      <x:c r="Y20" s="24"/>
      <x:c r="Z20" s="24"/>
      <x:c r="AA20" s="24"/>
      <x:c r="AB20" s="24"/>
      <x:c r="AC20" s="24"/>
      <x:c r="AD20" s="24"/>
      <x:c r="AE20" s="24"/>
    </x:row>
    <x:row r="21" ht="34" customHeight="1">
      <x:c r="A21" s="463" t="str">
        <x:v>TeamSpeak</x:v>
      </x:c>
      <x:c r="B21" s="463" t="str">
        <x:v>Self-host license</x:v>
      </x:c>
      <x:c r="C21" s="463" t="str">
        <x:v>Gamer / Activation 256 slots</x:v>
      </x:c>
      <x:c r="D21" s="463" t="str">
        <x:v>Active</x:v>
      </x:c>
      <x:c r="E21" s="463" t="str">
        <x:v>N/A</x:v>
      </x:c>
      <x:c r="F21" s="463" t="str">
        <x:v>87.50</x:v>
      </x:c>
      <x:c r="G21" s="463" t="str">
        <x:v>175</x:v>
      </x:c>
      <x:c r="H21" s="463" t="str">
        <x:v>USD</x:v>
      </x:c>
      <x:c r="I21" s="463" t="str">
        <x:v>Per self-host license</x:v>
      </x:c>
      <x:c r="J21" s="463" t="str">
        <x:v>Non-commercial / personal self-host</x:v>
      </x:c>
      <x:c r="K21" s="463" t="str">
        <x:v>N/A</x:v>
      </x:c>
      <x:c r="L21" s="463" t="str">
        <x:v>256 slots; 2 virtual servers</x:v>
      </x:c>
      <x:c r="M21" s="463" t="str">
        <x:v>https://support.teamspeak.com/hc/en-us/articles/26033788383261-What-licenses-are-available</x:v>
      </x:c>
      <x:c r="N21" s="463" t="str">
        <x:v>2026-09-15</x:v>
      </x:c>
      <x:c r="O21" s="463" t="str">
        <x:v>6-month price is unavailable for 64 slots; 6-month orders are manual for eligible slot tiers.</x:v>
      </x:c>
      <x:c r="P21" s="346" t="str">
        <x:v>Primary / first-party source recorded</x:v>
      </x:c>
      <x:c r="Q21" s="24"/>
      <x:c r="R21" s="24"/>
      <x:c r="S21" s="24"/>
      <x:c r="T21" s="24"/>
      <x:c r="U21" s="24"/>
      <x:c r="V21" s="24"/>
      <x:c r="W21" s="24"/>
      <x:c r="X21" s="24"/>
      <x:c r="Y21" s="24"/>
      <x:c r="Z21" s="24"/>
      <x:c r="AA21" s="24"/>
      <x:c r="AB21" s="24"/>
      <x:c r="AC21" s="24"/>
      <x:c r="AD21" s="24"/>
      <x:c r="AE21" s="24"/>
    </x:row>
    <x:row r="22" ht="34" customHeight="1">
      <x:c r="A22" s="463" t="str">
        <x:v>TeamSpeak</x:v>
      </x:c>
      <x:c r="B22" s="463" t="str">
        <x:v>Self-host license</x:v>
      </x:c>
      <x:c r="C22" s="463" t="str">
        <x:v>Gamer / Activation 512 slots</x:v>
      </x:c>
      <x:c r="D22" s="463" t="str">
        <x:v>Active</x:v>
      </x:c>
      <x:c r="E22" s="463" t="str">
        <x:v>N/A</x:v>
      </x:c>
      <x:c r="F22" s="463" t="str">
        <x:v>150</x:v>
      </x:c>
      <x:c r="G22" s="463" t="str">
        <x:v>300</x:v>
      </x:c>
      <x:c r="H22" s="463" t="str">
        <x:v>USD</x:v>
      </x:c>
      <x:c r="I22" s="463" t="str">
        <x:v>Per self-host license</x:v>
      </x:c>
      <x:c r="J22" s="463" t="str">
        <x:v>Non-commercial / personal self-host</x:v>
      </x:c>
      <x:c r="K22" s="463" t="str">
        <x:v>N/A</x:v>
      </x:c>
      <x:c r="L22" s="463" t="str">
        <x:v>512 slots; 2 virtual servers</x:v>
      </x:c>
      <x:c r="M22" s="463" t="str">
        <x:v>https://support.teamspeak.com/hc/en-us/articles/26033788383261-What-licenses-are-available</x:v>
      </x:c>
      <x:c r="N22" s="463" t="str">
        <x:v>2026-09-15</x:v>
      </x:c>
      <x:c r="O22" s="463" t="str">
        <x:v>6-month price is unavailable for 64 slots; 6-month orders are manual for eligible slot tiers.</x:v>
      </x:c>
      <x:c r="P22" s="346" t="str">
        <x:v>Primary / first-party source recorded</x:v>
      </x:c>
      <x:c r="Q22" s="24"/>
      <x:c r="R22" s="24"/>
      <x:c r="S22" s="24"/>
      <x:c r="T22" s="24"/>
      <x:c r="U22" s="24"/>
      <x:c r="V22" s="24"/>
      <x:c r="W22" s="24"/>
      <x:c r="X22" s="24"/>
      <x:c r="Y22" s="24"/>
      <x:c r="Z22" s="24"/>
      <x:c r="AA22" s="24"/>
      <x:c r="AB22" s="24"/>
      <x:c r="AC22" s="24"/>
      <x:c r="AD22" s="24"/>
      <x:c r="AE22" s="24"/>
    </x:row>
    <x:row r="23" ht="34" customHeight="1">
      <x:c r="A23" s="463" t="str">
        <x:v>TeamSpeak</x:v>
      </x:c>
      <x:c r="B23" s="463" t="str">
        <x:v>Self-host license</x:v>
      </x:c>
      <x:c r="C23" s="463" t="str">
        <x:v>Gamer / Activation 1024 slots</x:v>
      </x:c>
      <x:c r="D23" s="463" t="str">
        <x:v>Active</x:v>
      </x:c>
      <x:c r="E23" s="463" t="str">
        <x:v>N/A</x:v>
      </x:c>
      <x:c r="F23" s="463" t="str">
        <x:v>250</x:v>
      </x:c>
      <x:c r="G23" s="463" t="str">
        <x:v>500</x:v>
      </x:c>
      <x:c r="H23" s="463" t="str">
        <x:v>USD</x:v>
      </x:c>
      <x:c r="I23" s="463" t="str">
        <x:v>Per self-host license</x:v>
      </x:c>
      <x:c r="J23" s="463" t="str">
        <x:v>Non-commercial / personal self-host</x:v>
      </x:c>
      <x:c r="K23" s="463" t="str">
        <x:v>N/A</x:v>
      </x:c>
      <x:c r="L23" s="463" t="str">
        <x:v>1024 slots; 2 virtual servers</x:v>
      </x:c>
      <x:c r="M23" s="463" t="str">
        <x:v>https://support.teamspeak.com/hc/en-us/articles/26033788383261-What-licenses-are-available</x:v>
      </x:c>
      <x:c r="N23" s="463" t="str">
        <x:v>2026-09-15</x:v>
      </x:c>
      <x:c r="O23" s="463" t="str">
        <x:v>6-month price is unavailable for 64 slots; 6-month orders are manual for eligible slot tiers.</x:v>
      </x:c>
      <x:c r="P23" s="346" t="str">
        <x:v>Primary / first-party source recorded</x:v>
      </x:c>
      <x:c r="Q23" s="24"/>
      <x:c r="R23" s="24"/>
      <x:c r="S23" s="24"/>
      <x:c r="T23" s="24"/>
      <x:c r="U23" s="24"/>
      <x:c r="V23" s="24"/>
      <x:c r="W23" s="24"/>
      <x:c r="X23" s="24"/>
      <x:c r="Y23" s="24"/>
      <x:c r="Z23" s="24"/>
      <x:c r="AA23" s="24"/>
      <x:c r="AB23" s="24"/>
      <x:c r="AC23" s="24"/>
      <x:c r="AD23" s="24"/>
      <x:c r="AE23" s="24"/>
    </x:row>
    <x:row r="24" ht="34" customHeight="1">
      <x:c r="A24" s="461" t="str">
        <x:v>TeamSpeak</x:v>
      </x:c>
      <x:c r="B24" s="461" t="str">
        <x:v>Self-host commercial license</x:v>
      </x:c>
      <x:c r="C24" s="461" t="str">
        <x:v>Commercial License</x:v>
      </x:c>
      <x:c r="D24" s="461" t="str">
        <x:v>Contact sales</x:v>
      </x:c>
      <x:c r="E24" s="461" t="str">
        <x:v>Contact Sales</x:v>
      </x:c>
      <x:c r="F24" s="461" t="str">
        <x:v>Contact Sales</x:v>
      </x:c>
      <x:c r="G24" s="461" t="str">
        <x:v>Contact Sales</x:v>
      </x:c>
      <x:c r="H24" s="461" t="str">
        <x:v>USD / quote</x:v>
      </x:c>
      <x:c r="I24" s="461" t="str">
        <x:v>Custom</x:v>
      </x:c>
      <x:c r="J24" s="461" t="str">
        <x:v>Commercial self-host deployment</x:v>
      </x:c>
      <x:c r="K24" s="461" t="str">
        <x:v>N/A</x:v>
      </x:c>
      <x:c r="L24" s="461" t="str">
        <x:v>Commercial self-hosting terms tailored to deployment/capacity</x:v>
      </x:c>
      <x:c r="M24" s="461" t="str">
        <x:v>https://support.teamspeak.com/hc/en-us/articles/26033788383261-What-licenses-are-available</x:v>
      </x:c>
      <x:c r="N24" s="461" t="str">
        <x:v>2026-09-15</x:v>
      </x:c>
      <x:c r="O24" s="461" t="str"/>
      <x:c r="P24" s="462" t="str">
        <x:v>Primary / first-party source recorded</x:v>
      </x:c>
      <x:c r="Q24" s="202"/>
      <x:c r="R24" s="202"/>
      <x:c r="S24" s="202"/>
      <x:c r="T24" s="202"/>
      <x:c r="U24" s="202"/>
      <x:c r="V24" s="202"/>
      <x:c r="W24" s="202"/>
      <x:c r="X24" s="202"/>
      <x:c r="Y24" s="202"/>
      <x:c r="Z24" s="202"/>
      <x:c r="AA24" s="202"/>
      <x:c r="AB24" s="202"/>
      <x:c r="AC24" s="202"/>
      <x:c r="AD24" s="202"/>
      <x:c r="AE24" s="202"/>
    </x:row>
    <x:row r="25" ht="34" customHeight="1">
      <x:c r="A25" s="463" t="str">
        <x:v>TeamSpeak</x:v>
      </x:c>
      <x:c r="B25" s="463" t="str">
        <x:v>SDK license</x:v>
      </x:c>
      <x:c r="C25" s="463" t="str">
        <x:v>TeamSpeak SDK License</x:v>
      </x:c>
      <x:c r="D25" s="463" t="str">
        <x:v>Contact sales</x:v>
      </x:c>
      <x:c r="E25" s="463" t="str">
        <x:v>Contact Sales</x:v>
      </x:c>
      <x:c r="F25" s="463" t="str">
        <x:v>Contact Sales</x:v>
      </x:c>
      <x:c r="G25" s="463" t="str">
        <x:v>Contact Sales</x:v>
      </x:c>
      <x:c r="H25" s="463" t="str">
        <x:v>USD / quote</x:v>
      </x:c>
      <x:c r="I25" s="463" t="str">
        <x:v>Custom</x:v>
      </x:c>
      <x:c r="J25" s="463" t="str">
        <x:v>Embedded voice SDK</x:v>
      </x:c>
      <x:c r="K25" s="463" t="str">
        <x:v>N/A</x:v>
      </x:c>
      <x:c r="L25" s="463" t="str">
        <x:v>Integrate TeamSpeak voice technology into another product</x:v>
      </x:c>
      <x:c r="M25" s="463" t="str">
        <x:v>https://support.teamspeak.com/hc/en-us/articles/26033788383261-What-licenses-are-available</x:v>
      </x:c>
      <x:c r="N25" s="463" t="str">
        <x:v>2026-09-15</x:v>
      </x:c>
      <x:c r="O25" s="463" t="str"/>
      <x:c r="P25" s="346" t="str">
        <x:v>Primary / first-party source recorded</x:v>
      </x:c>
      <x:c r="Q25" s="24"/>
      <x:c r="R25" s="24"/>
      <x:c r="S25" s="24"/>
      <x:c r="T25" s="24"/>
      <x:c r="U25" s="24"/>
      <x:c r="V25" s="24"/>
      <x:c r="W25" s="24"/>
      <x:c r="X25" s="24"/>
      <x:c r="Y25" s="24"/>
      <x:c r="Z25" s="24"/>
      <x:c r="AA25" s="24"/>
      <x:c r="AB25" s="24"/>
      <x:c r="AC25" s="24"/>
      <x:c r="AD25" s="24"/>
      <x:c r="AE25" s="24"/>
    </x:row>
    <x:row r="26" ht="34" customHeight="1">
      <x:c r="A26" s="346" t="str">
        <x:v>Zulip</x:v>
      </x:c>
      <x:c r="B26" s="346" t="str">
        <x:v>Cloud subscription</x:v>
      </x:c>
      <x:c r="C26" s="346" t="str">
        <x:v>Cloud Standard</x:v>
      </x:c>
      <x:c r="D26" s="346" t="str">
        <x:v>Active</x:v>
      </x:c>
      <x:c r="E26" s="346" t="str">
        <x:v>8.00</x:v>
      </x:c>
      <x:c r="F26" s="346" t="str">
        <x:v>N/A</x:v>
      </x:c>
      <x:c r="G26" s="346" t="str">
        <x:v>80.04</x:v>
      </x:c>
      <x:c r="H26" s="346" t="str">
        <x:v>USD</x:v>
      </x:c>
      <x:c r="I26" s="346" t="str">
        <x:v>Per user</x:v>
      </x:c>
      <x:c r="J26" s="346" t="str">
        <x:v>Cloud organization</x:v>
      </x:c>
      <x:c r="K26" s="346" t="str">
        <x:v>N/A</x:v>
      </x:c>
      <x:c r="L26" s="346" t="str">
        <x:v>Unlimited search history; 5 GB/user; retention policies; branding; commercial support</x:v>
      </x:c>
      <x:c r="M26" s="346" t="str">
        <x:v>https://zulip.com/plans/</x:v>
      </x:c>
      <x:c r="N26" s="346" t="str">
        <x:v>2026-09-15</x:v>
      </x:c>
      <x:c r="O26" s="346" t="str">
        <x:v>Annual equivalent shown where Zulip publishes annual per-user pricing.</x:v>
      </x:c>
      <x:c r="P26" s="346" t="str">
        <x:v>Primary / first-party source recorded</x:v>
      </x:c>
      <x:c r="Q26" s="24"/>
      <x:c r="R26" s="24"/>
      <x:c r="S26" s="24"/>
      <x:c r="T26" s="24"/>
      <x:c r="U26" s="24"/>
      <x:c r="V26" s="24"/>
      <x:c r="W26" s="24"/>
      <x:c r="X26" s="24"/>
      <x:c r="Y26" s="24"/>
      <x:c r="Z26" s="24"/>
      <x:c r="AA26" s="24"/>
      <x:c r="AB26" s="24"/>
      <x:c r="AC26" s="24"/>
      <x:c r="AD26" s="24"/>
      <x:c r="AE26" s="24"/>
    </x:row>
    <x:row r="27" ht="34" customHeight="1">
      <x:c r="A27" s="346" t="str">
        <x:v>Zulip</x:v>
      </x:c>
      <x:c r="B27" s="346" t="str">
        <x:v>Cloud subscription</x:v>
      </x:c>
      <x:c r="C27" s="346" t="str">
        <x:v>Cloud Plus</x:v>
      </x:c>
      <x:c r="D27" s="346" t="str">
        <x:v>Active</x:v>
      </x:c>
      <x:c r="E27" s="346" t="str">
        <x:v>12.00</x:v>
      </x:c>
      <x:c r="F27" s="346" t="str">
        <x:v>N/A</x:v>
      </x:c>
      <x:c r="G27" s="346" t="str">
        <x:v>120.00</x:v>
      </x:c>
      <x:c r="H27" s="346" t="str">
        <x:v>USD</x:v>
      </x:c>
      <x:c r="I27" s="346" t="str">
        <x:v>Per user; 10-user minimum</x:v>
      </x:c>
      <x:c r="J27" s="346" t="str">
        <x:v>Cloud organization</x:v>
      </x:c>
      <x:c r="K27" s="346" t="str">
        <x:v>N/A</x:v>
      </x:c>
      <x:c r="L27" s="346" t="str">
        <x:v>25 GB/user; SAML SSO; SCIM; custom domain; priority support</x:v>
      </x:c>
      <x:c r="M27" s="346" t="str">
        <x:v>https://zulip.com/plans/</x:v>
      </x:c>
      <x:c r="N27" s="346" t="str">
        <x:v>2026-09-15</x:v>
      </x:c>
      <x:c r="O27" s="346" t="str">
        <x:v>Annual equivalent shown where Zulip publishes annual per-user pricing.</x:v>
      </x:c>
      <x:c r="P27" s="346" t="str">
        <x:v>Primary / first-party source recorded</x:v>
      </x:c>
      <x:c r="Q27" s="24"/>
      <x:c r="R27" s="24"/>
      <x:c r="S27" s="24"/>
      <x:c r="T27" s="24"/>
      <x:c r="U27" s="24"/>
      <x:c r="V27" s="24"/>
      <x:c r="W27" s="24"/>
      <x:c r="X27" s="24"/>
      <x:c r="Y27" s="24"/>
      <x:c r="Z27" s="24"/>
      <x:c r="AA27" s="24"/>
      <x:c r="AB27" s="24"/>
      <x:c r="AC27" s="24"/>
      <x:c r="AD27" s="24"/>
      <x:c r="AE27" s="24"/>
    </x:row>
    <x:row r="28" ht="34" customHeight="1">
      <x:c r="A28" s="346" t="str">
        <x:v>Zulip</x:v>
      </x:c>
      <x:c r="B28" s="346" t="str">
        <x:v>Self-host support subscription</x:v>
      </x:c>
      <x:c r="C28" s="346" t="str">
        <x:v>Self-hosted Basic</x:v>
      </x:c>
      <x:c r="D28" s="346" t="str">
        <x:v>Active</x:v>
      </x:c>
      <x:c r="E28" s="346" t="str">
        <x:v>3.50</x:v>
      </x:c>
      <x:c r="F28" s="346" t="str">
        <x:v>N/A</x:v>
      </x:c>
      <x:c r="G28" s="346" t="str">
        <x:v>U/K</x:v>
      </x:c>
      <x:c r="H28" s="346" t="str">
        <x:v>USD</x:v>
      </x:c>
      <x:c r="I28" s="346" t="str">
        <x:v>Per user</x:v>
      </x:c>
      <x:c r="J28" s="346" t="str">
        <x:v>Self-hosted organization/server</x:v>
      </x:c>
      <x:c r="K28" s="346" t="str">
        <x:v>N/A</x:v>
      </x:c>
      <x:c r="L28" s="346" t="str">
        <x:v>Unlimited mobile push notifications; supports Zulip development</x:v>
      </x:c>
      <x:c r="M28" s="346" t="str">
        <x:v>https://zulip.com/plans/</x:v>
      </x:c>
      <x:c r="N28" s="346" t="str">
        <x:v>2026-09-15</x:v>
      </x:c>
      <x:c r="O28" s="346" t="str">
        <x:v>Annual equivalent shown where Zulip publishes annual per-user pricing.</x:v>
      </x:c>
      <x:c r="P28" s="346" t="str">
        <x:v>Primary / first-party source recorded</x:v>
      </x:c>
      <x:c r="Q28" s="24"/>
      <x:c r="R28" s="24"/>
      <x:c r="S28" s="24"/>
      <x:c r="T28" s="24"/>
      <x:c r="U28" s="24"/>
      <x:c r="V28" s="24"/>
      <x:c r="W28" s="24"/>
      <x:c r="X28" s="24"/>
      <x:c r="Y28" s="24"/>
      <x:c r="Z28" s="24"/>
      <x:c r="AA28" s="24"/>
      <x:c r="AB28" s="24"/>
      <x:c r="AC28" s="24"/>
      <x:c r="AD28" s="24"/>
      <x:c r="AE28" s="24"/>
    </x:row>
    <x:row r="29" ht="34" customHeight="1">
      <x:c r="A29" s="346" t="str">
        <x:v>Zulip</x:v>
      </x:c>
      <x:c r="B29" s="346" t="str">
        <x:v>Self-host support subscription</x:v>
      </x:c>
      <x:c r="C29" s="346" t="str">
        <x:v>Self-hosted Business</x:v>
      </x:c>
      <x:c r="D29" s="346" t="str">
        <x:v>Active</x:v>
      </x:c>
      <x:c r="E29" s="346" t="str">
        <x:v>8.00</x:v>
      </x:c>
      <x:c r="F29" s="346" t="str">
        <x:v>N/A</x:v>
      </x:c>
      <x:c r="G29" s="346" t="str">
        <x:v>80.04</x:v>
      </x:c>
      <x:c r="H29" s="346" t="str">
        <x:v>USD</x:v>
      </x:c>
      <x:c r="I29" s="346" t="str">
        <x:v>Per user; 25-user minimum</x:v>
      </x:c>
      <x:c r="J29" s="346" t="str">
        <x:v>Self-hosted organization/server</x:v>
      </x:c>
      <x:c r="K29" s="346" t="str">
        <x:v>N/A</x:v>
      </x:c>
      <x:c r="L29" s="346" t="str">
        <x:v>Commercial support; SSO/LDAP; guests; exports; retention policies</x:v>
      </x:c>
      <x:c r="M29" s="346" t="str">
        <x:v>https://zulip.com/plans/</x:v>
      </x:c>
      <x:c r="N29" s="346" t="str">
        <x:v>2026-09-15</x:v>
      </x:c>
      <x:c r="O29" s="346" t="str">
        <x:v>Annual equivalent shown where Zulip publishes annual per-user pricing.</x:v>
      </x:c>
      <x:c r="P29" s="346" t="str">
        <x:v>Primary / first-party source recorded</x:v>
      </x:c>
      <x:c r="Q29" s="24"/>
      <x:c r="R29" s="24"/>
      <x:c r="S29" s="24"/>
      <x:c r="T29" s="24"/>
      <x:c r="U29" s="24"/>
      <x:c r="V29" s="24"/>
      <x:c r="W29" s="24"/>
      <x:c r="X29" s="24"/>
      <x:c r="Y29" s="24"/>
      <x:c r="Z29" s="24"/>
      <x:c r="AA29" s="24"/>
      <x:c r="AB29" s="24"/>
      <x:c r="AC29" s="24"/>
      <x:c r="AD29" s="24"/>
      <x:c r="AE29" s="24"/>
    </x:row>
    <x:row r="30" ht="34" customHeight="1">
      <x:c r="A30" s="462" t="str">
        <x:v>Zulip</x:v>
      </x:c>
      <x:c r="B30" s="462" t="str">
        <x:v>Self-host enterprise support</x:v>
      </x:c>
      <x:c r="C30" s="462" t="str">
        <x:v>Self-hosted Enterprise</x:v>
      </x:c>
      <x:c r="D30" s="462" t="str">
        <x:v>Contact sales</x:v>
      </x:c>
      <x:c r="E30" s="462" t="str">
        <x:v>Contact Sales</x:v>
      </x:c>
      <x:c r="F30" s="462" t="str">
        <x:v>Contact Sales</x:v>
      </x:c>
      <x:c r="G30" s="462" t="str">
        <x:v>Contact Sales</x:v>
      </x:c>
      <x:c r="H30" s="462" t="str">
        <x:v>USD / quote</x:v>
      </x:c>
      <x:c r="I30" s="462" t="str">
        <x:v>Custom</x:v>
      </x:c>
      <x:c r="J30" s="462" t="str">
        <x:v>Self-hosted organization/server</x:v>
      </x:c>
      <x:c r="K30" s="462" t="str">
        <x:v>N/A</x:v>
      </x:c>
      <x:c r="L30" s="462" t="str">
        <x:v>Phone support; SCIM; implementation consulting; custom feature development; advanced deployments</x:v>
      </x:c>
      <x:c r="M30" s="462" t="str">
        <x:v>https://zulip.com/plans/</x:v>
      </x:c>
      <x:c r="N30" s="462" t="str">
        <x:v>2026-09-15</x:v>
      </x:c>
      <x:c r="O30" s="462" t="str"/>
      <x:c r="P30" s="462" t="str">
        <x:v>Primary / first-party source recorded</x:v>
      </x:c>
      <x:c r="Q30" s="202"/>
      <x:c r="R30" s="202"/>
      <x:c r="S30" s="202"/>
      <x:c r="T30" s="202"/>
      <x:c r="U30" s="202"/>
      <x:c r="V30" s="202"/>
      <x:c r="W30" s="202"/>
      <x:c r="X30" s="202"/>
      <x:c r="Y30" s="202"/>
      <x:c r="Z30" s="202"/>
      <x:c r="AA30" s="202"/>
      <x:c r="AB30" s="202"/>
      <x:c r="AC30" s="202"/>
      <x:c r="AD30" s="202"/>
      <x:c r="AE30" s="202"/>
    </x:row>
    <x:row r="31" ht="34" customHeight="1">
      <x:c r="A31" s="463" t="str">
        <x:v>Mattermost</x:v>
      </x:c>
      <x:c r="B31" s="463" t="str">
        <x:v>Annual enterprise subscription</x:v>
      </x:c>
      <x:c r="C31" s="463" t="str">
        <x:v>Professional</x:v>
      </x:c>
      <x:c r="D31" s="463" t="str">
        <x:v>Contact sales</x:v>
      </x:c>
      <x:c r="E31" s="463" t="str">
        <x:v>Contact Sales</x:v>
      </x:c>
      <x:c r="F31" s="463" t="str">
        <x:v>N/A</x:v>
      </x:c>
      <x:c r="G31" s="463" t="str">
        <x:v>Contact Sales</x:v>
      </x:c>
      <x:c r="H31" s="463" t="str">
        <x:v>USD / quote</x:v>
      </x:c>
      <x:c r="I31" s="463" t="str">
        <x:v>Annual seat license</x:v>
      </x:c>
      <x:c r="J31" s="463" t="str">
        <x:v>Activated users / server</x:v>
      </x:c>
      <x:c r="K31" s="463" t="str">
        <x:v>N/A</x:v>
      </x:c>
      <x:c r="L31" s="463" t="str">
        <x:v>Team collaboration; maximum 250 users; professional support</x:v>
      </x:c>
      <x:c r="M31" s="463" t="str">
        <x:v>https://mattermost.com/pricing/</x:v>
      </x:c>
      <x:c r="N31" s="463" t="str">
        <x:v>2026-09-15</x:v>
      </x:c>
      <x:c r="O31" s="463" t="str">
        <x:v>Paid licenses are prepaid annual subscriptions based on seats.</x:v>
      </x:c>
      <x:c r="P31" s="346" t="str">
        <x:v>Primary / first-party source recorded</x:v>
      </x:c>
      <x:c r="Q31" s="24"/>
      <x:c r="R31" s="24"/>
      <x:c r="S31" s="24"/>
      <x:c r="T31" s="24"/>
      <x:c r="U31" s="24"/>
      <x:c r="V31" s="24"/>
      <x:c r="W31" s="24"/>
      <x:c r="X31" s="24"/>
      <x:c r="Y31" s="24"/>
      <x:c r="Z31" s="24"/>
      <x:c r="AA31" s="24"/>
      <x:c r="AB31" s="24"/>
      <x:c r="AC31" s="24"/>
      <x:c r="AD31" s="24"/>
      <x:c r="AE31" s="24"/>
    </x:row>
    <x:row r="32" ht="34" customHeight="1">
      <x:c r="A32" s="463" t="str">
        <x:v>Mattermost</x:v>
      </x:c>
      <x:c r="B32" s="463" t="str">
        <x:v>Annual enterprise subscription</x:v>
      </x:c>
      <x:c r="C32" s="463" t="str">
        <x:v>Enterprise</x:v>
      </x:c>
      <x:c r="D32" s="463" t="str">
        <x:v>Contact sales</x:v>
      </x:c>
      <x:c r="E32" s="463" t="str">
        <x:v>Contact Sales</x:v>
      </x:c>
      <x:c r="F32" s="463" t="str">
        <x:v>N/A</x:v>
      </x:c>
      <x:c r="G32" s="463" t="str">
        <x:v>Contact Sales</x:v>
      </x:c>
      <x:c r="H32" s="463" t="str">
        <x:v>USD / quote</x:v>
      </x:c>
      <x:c r="I32" s="463" t="str">
        <x:v>Annual seat license</x:v>
      </x:c>
      <x:c r="J32" s="463" t="str">
        <x:v>Activated users / server</x:v>
      </x:c>
      <x:c r="K32" s="463" t="str">
        <x:v>N/A</x:v>
      </x:c>
      <x:c r="L32" s="463" t="str">
        <x:v>Secure collaborative workflows; AI; HA; enterprise search; scale</x:v>
      </x:c>
      <x:c r="M32" s="463" t="str">
        <x:v>https://mattermost.com/pricing/</x:v>
      </x:c>
      <x:c r="N32" s="463" t="str">
        <x:v>2026-09-15</x:v>
      </x:c>
      <x:c r="O32" s="463" t="str">
        <x:v>Paid licenses are prepaid annual subscriptions based on seats.</x:v>
      </x:c>
      <x:c r="P32" s="346" t="str">
        <x:v>Primary / first-party source recorded</x:v>
      </x:c>
      <x:c r="Q32" s="24"/>
      <x:c r="R32" s="24"/>
      <x:c r="S32" s="24"/>
      <x:c r="T32" s="24"/>
      <x:c r="U32" s="24"/>
      <x:c r="V32" s="24"/>
      <x:c r="W32" s="24"/>
      <x:c r="X32" s="24"/>
      <x:c r="Y32" s="24"/>
      <x:c r="Z32" s="24"/>
      <x:c r="AA32" s="24"/>
      <x:c r="AB32" s="24"/>
      <x:c r="AC32" s="24"/>
      <x:c r="AD32" s="24"/>
      <x:c r="AE32" s="24"/>
    </x:row>
    <x:row r="33" ht="34" customHeight="1">
      <x:c r="A33" s="463" t="str">
        <x:v>Mattermost</x:v>
      </x:c>
      <x:c r="B33" s="463" t="str">
        <x:v>Annual enterprise subscription</x:v>
      </x:c>
      <x:c r="C33" s="463" t="str">
        <x:v>Enterprise Advanced</x:v>
      </x:c>
      <x:c r="D33" s="463" t="str">
        <x:v>Contact sales</x:v>
      </x:c>
      <x:c r="E33" s="463" t="str">
        <x:v>Contact Sales</x:v>
      </x:c>
      <x:c r="F33" s="463" t="str">
        <x:v>N/A</x:v>
      </x:c>
      <x:c r="G33" s="463" t="str">
        <x:v>Contact Sales</x:v>
      </x:c>
      <x:c r="H33" s="463" t="str">
        <x:v>USD / quote</x:v>
      </x:c>
      <x:c r="I33" s="463" t="str">
        <x:v>Annual seat license</x:v>
      </x:c>
      <x:c r="J33" s="463" t="str">
        <x:v>Activated users / server</x:v>
      </x:c>
      <x:c r="K33" s="463" t="str">
        <x:v>N/A</x:v>
      </x:c>
      <x:c r="L33" s="463" t="str">
        <x:v>Multi-domain secure operations; advanced mobile/security/resiliency</x:v>
      </x:c>
      <x:c r="M33" s="463" t="str">
        <x:v>https://mattermost.com/pricing/</x:v>
      </x:c>
      <x:c r="N33" s="463" t="str">
        <x:v>2026-09-15</x:v>
      </x:c>
      <x:c r="O33" s="463" t="str">
        <x:v>Paid licenses are prepaid annual subscriptions based on seats.</x:v>
      </x:c>
      <x:c r="P33" s="346" t="str">
        <x:v>Primary / first-party source recorded</x:v>
      </x:c>
      <x:c r="Q33" s="24"/>
      <x:c r="R33" s="24"/>
      <x:c r="S33" s="24"/>
      <x:c r="T33" s="24"/>
      <x:c r="U33" s="24"/>
      <x:c r="V33" s="24"/>
      <x:c r="W33" s="24"/>
      <x:c r="X33" s="24"/>
      <x:c r="Y33" s="24"/>
      <x:c r="Z33" s="24"/>
      <x:c r="AA33" s="24"/>
      <x:c r="AB33" s="24"/>
      <x:c r="AC33" s="24"/>
      <x:c r="AD33" s="24"/>
      <x:c r="AE33" s="24"/>
    </x:row>
    <x:row r="34" ht="34" customHeight="1">
      <x:c r="A34" s="463" t="str">
        <x:v>Mattermost</x:v>
      </x:c>
      <x:c r="B34" s="463" t="str">
        <x:v>Support add-on</x:v>
      </x:c>
      <x:c r="C34" s="463" t="str">
        <x:v>Premier Support</x:v>
      </x:c>
      <x:c r="D34" s="463" t="str">
        <x:v>Paid add-on / contact sales</x:v>
      </x:c>
      <x:c r="E34" s="463" t="str">
        <x:v>Contact Sales</x:v>
      </x:c>
      <x:c r="F34" s="463" t="str">
        <x:v>N/A</x:v>
      </x:c>
      <x:c r="G34" s="463" t="str">
        <x:v>Contact Sales</x:v>
      </x:c>
      <x:c r="H34" s="463" t="str">
        <x:v>USD / quote</x:v>
      </x:c>
      <x:c r="I34" s="463" t="str">
        <x:v>Add-on</x:v>
      </x:c>
      <x:c r="J34" s="463" t="str">
        <x:v>Enterprise / Enterprise Advanced customers</x:v>
      </x:c>
      <x:c r="K34" s="463" t="str">
        <x:v>Requires eligible Enterprise plan</x:v>
      </x:c>
      <x:c r="L34" s="463" t="str">
        <x:v>Accelerated incident response; senior support; private support channel; extra non-production licenses</x:v>
      </x:c>
      <x:c r="M34" s="463" t="str">
        <x:v>https://mattermost.com/support/</x:v>
      </x:c>
      <x:c r="N34" s="463" t="str">
        <x:v>2026-09-15</x:v>
      </x:c>
      <x:c r="O34" s="463" t="str"/>
      <x:c r="P34" s="346" t="str">
        <x:v>Primary / first-party source recorded</x:v>
      </x:c>
      <x:c r="Q34" s="24"/>
      <x:c r="R34" s="24"/>
      <x:c r="S34" s="24"/>
      <x:c r="T34" s="24"/>
      <x:c r="U34" s="24"/>
      <x:c r="V34" s="24"/>
      <x:c r="W34" s="24"/>
      <x:c r="X34" s="24"/>
      <x:c r="Y34" s="24"/>
      <x:c r="Z34" s="24"/>
      <x:c r="AA34" s="24"/>
      <x:c r="AB34" s="24"/>
      <x:c r="AC34" s="24"/>
      <x:c r="AD34" s="24"/>
      <x:c r="AE34" s="24"/>
    </x:row>
    <x:row r="35" ht="34" customHeight="1">
      <x:c r="A35" s="346" t="str">
        <x:v>Rocket.Chat</x:v>
      </x:c>
      <x:c r="B35" s="346" t="str">
        <x:v>Premium enterprise plan</x:v>
      </x:c>
      <x:c r="C35" s="346" t="str">
        <x:v>Commercial</x:v>
      </x:c>
      <x:c r="D35" s="346" t="str">
        <x:v>Contact sales</x:v>
      </x:c>
      <x:c r="E35" s="346" t="str">
        <x:v>Contact Sales</x:v>
      </x:c>
      <x:c r="F35" s="346" t="str">
        <x:v>N/A</x:v>
      </x:c>
      <x:c r="G35" s="346" t="str">
        <x:v>Contact Sales</x:v>
      </x:c>
      <x:c r="H35" s="346" t="str">
        <x:v>Quote</x:v>
      </x:c>
      <x:c r="I35" s="346" t="str">
        <x:v>Organization / deployment</x:v>
      </x:c>
      <x:c r="J35" s="346" t="str">
        <x:v>Enterprise deployment</x:v>
      </x:c>
      <x:c r="K35" s="346" t="str">
        <x:v>N/A</x:v>
      </x:c>
      <x:c r="L35" s="346" t="str">
        <x:v>On-prem/private cloud/isolated commercial deployment</x:v>
      </x:c>
      <x:c r="M35" s="346" t="str">
        <x:v>https://docs.rocket.chat/our-plans</x:v>
      </x:c>
      <x:c r="N35" s="346" t="str">
        <x:v>2026-09-15</x:v>
      </x:c>
      <x:c r="O35" s="346" t="str">
        <x:v>Starter and Community are free entry points.</x:v>
      </x:c>
      <x:c r="P35" s="346" t="str">
        <x:v>Primary / first-party source recorded</x:v>
      </x:c>
      <x:c r="Q35" s="24"/>
      <x:c r="R35" s="24"/>
      <x:c r="S35" s="24"/>
      <x:c r="T35" s="24"/>
      <x:c r="U35" s="24"/>
      <x:c r="V35" s="24"/>
      <x:c r="W35" s="24"/>
      <x:c r="X35" s="24"/>
      <x:c r="Y35" s="24"/>
      <x:c r="Z35" s="24"/>
      <x:c r="AA35" s="24"/>
      <x:c r="AB35" s="24"/>
      <x:c r="AC35" s="24"/>
      <x:c r="AD35" s="24"/>
      <x:c r="AE35" s="24"/>
    </x:row>
    <x:row r="36" ht="34" customHeight="1">
      <x:c r="A36" s="462" t="str">
        <x:v>Rocket.Chat</x:v>
      </x:c>
      <x:c r="B36" s="462" t="str">
        <x:v>Premium enterprise plan</x:v>
      </x:c>
      <x:c r="C36" s="462" t="str">
        <x:v>Government</x:v>
      </x:c>
      <x:c r="D36" s="462" t="str">
        <x:v>Contact sales</x:v>
      </x:c>
      <x:c r="E36" s="462" t="str">
        <x:v>Contact Sales</x:v>
      </x:c>
      <x:c r="F36" s="462" t="str">
        <x:v>N/A</x:v>
      </x:c>
      <x:c r="G36" s="462" t="str">
        <x:v>Contact Sales</x:v>
      </x:c>
      <x:c r="H36" s="462" t="str">
        <x:v>Quote</x:v>
      </x:c>
      <x:c r="I36" s="462" t="str">
        <x:v>Organization / deployment</x:v>
      </x:c>
      <x:c r="J36" s="462" t="str">
        <x:v>Enterprise deployment</x:v>
      </x:c>
      <x:c r="K36" s="462" t="str">
        <x:v>N/A</x:v>
      </x:c>
      <x:c r="L36" s="462" t="str">
        <x:v>Government / sovereign-cloud deployment</x:v>
      </x:c>
      <x:c r="M36" s="462" t="str">
        <x:v>https://docs.rocket.chat/our-plans</x:v>
      </x:c>
      <x:c r="N36" s="462" t="str">
        <x:v>2026-09-15</x:v>
      </x:c>
      <x:c r="O36" s="462" t="str">
        <x:v>Starter and Community are free entry points.</x:v>
      </x:c>
      <x:c r="P36" s="462" t="str">
        <x:v>Primary / first-party source recorded</x:v>
      </x:c>
      <x:c r="Q36" s="202"/>
      <x:c r="R36" s="202"/>
      <x:c r="S36" s="202"/>
      <x:c r="T36" s="202"/>
      <x:c r="U36" s="202"/>
      <x:c r="V36" s="202"/>
      <x:c r="W36" s="202"/>
      <x:c r="X36" s="202"/>
      <x:c r="Y36" s="202"/>
      <x:c r="Z36" s="202"/>
      <x:c r="AA36" s="202"/>
      <x:c r="AB36" s="202"/>
      <x:c r="AC36" s="202"/>
      <x:c r="AD36" s="202"/>
      <x:c r="AE36" s="202"/>
    </x:row>
    <x:row r="37" ht="34" customHeight="1">
      <x:c r="A37" s="346" t="str">
        <x:v>Rocket.Chat</x:v>
      </x:c>
      <x:c r="B37" s="346" t="str">
        <x:v>Premium enterprise plan</x:v>
      </x:c>
      <x:c r="C37" s="346" t="str">
        <x:v>Defense</x:v>
      </x:c>
      <x:c r="D37" s="346" t="str">
        <x:v>Contact sales</x:v>
      </x:c>
      <x:c r="E37" s="346" t="str">
        <x:v>Contact Sales</x:v>
      </x:c>
      <x:c r="F37" s="346" t="str">
        <x:v>N/A</x:v>
      </x:c>
      <x:c r="G37" s="346" t="str">
        <x:v>Contact Sales</x:v>
      </x:c>
      <x:c r="H37" s="346" t="str">
        <x:v>Quote</x:v>
      </x:c>
      <x:c r="I37" s="346" t="str">
        <x:v>Organization / deployment</x:v>
      </x:c>
      <x:c r="J37" s="346" t="str">
        <x:v>Enterprise deployment</x:v>
      </x:c>
      <x:c r="K37" s="346" t="str">
        <x:v>N/A</x:v>
      </x:c>
      <x:c r="L37" s="346" t="str">
        <x:v>Air-gapped / SCIF-ready / defense deployment</x:v>
      </x:c>
      <x:c r="M37" s="346" t="str">
        <x:v>https://docs.rocket.chat/our-plans</x:v>
      </x:c>
      <x:c r="N37" s="346" t="str">
        <x:v>2026-09-15</x:v>
      </x:c>
      <x:c r="O37" s="346" t="str">
        <x:v>Starter and Community are free entry points.</x:v>
      </x:c>
      <x:c r="P37" s="346" t="str">
        <x:v>Primary / first-party source recorded</x:v>
      </x:c>
      <x:c r="Q37" s="24"/>
      <x:c r="R37" s="24"/>
      <x:c r="S37" s="24"/>
      <x:c r="T37" s="24"/>
      <x:c r="U37" s="24"/>
      <x:c r="V37" s="24"/>
      <x:c r="W37" s="24"/>
      <x:c r="X37" s="24"/>
      <x:c r="Y37" s="24"/>
      <x:c r="Z37" s="24"/>
      <x:c r="AA37" s="24"/>
      <x:c r="AB37" s="24"/>
      <x:c r="AC37" s="24"/>
      <x:c r="AD37" s="24"/>
      <x:c r="AE37" s="24"/>
    </x:row>
    <x:row r="38" ht="34" customHeight="1">
      <x:c r="A38" s="463" t="str">
        <x:v>GameVox</x:v>
      </x:c>
      <x:c r="B38" s="463" t="str">
        <x:v>Hosted server tier</x:v>
      </x:c>
      <x:c r="C38" s="463" t="str">
        <x:v>Silver</x:v>
      </x:c>
      <x:c r="D38" s="463" t="str">
        <x:v>Active</x:v>
      </x:c>
      <x:c r="E38" s="463" t="str">
        <x:v>4.99</x:v>
      </x:c>
      <x:c r="F38" s="463" t="str">
        <x:v>N/A</x:v>
      </x:c>
      <x:c r="G38" s="463" t="str">
        <x:v>U/K</x:v>
      </x:c>
      <x:c r="H38" s="463" t="str">
        <x:v>USD</x:v>
      </x:c>
      <x:c r="I38" s="463" t="str">
        <x:v>Per server</x:v>
      </x:c>
      <x:c r="J38" s="463" t="str">
        <x:v>Entire server/community</x:v>
      </x:c>
      <x:c r="K38" s="463" t="str">
        <x:v>N/A</x:v>
      </x:c>
      <x:c r="L38" s="463" t="str">
        <x:v>1 GB uploads; 200 members; 9 voice channels</x:v>
      </x:c>
      <x:c r="M38" s="463" t="str">
        <x:v>https://gamevox.com/blog/gamevox-vs-discord/</x:v>
      </x:c>
      <x:c r="N38" s="463" t="str">
        <x:v>2026-09-15</x:v>
      </x:c>
      <x:c r="O38" s="463" t="str">
        <x:v>One server payment benefits all members.</x:v>
      </x:c>
      <x:c r="P38" s="346" t="str">
        <x:v>Primary / first-party source recorded</x:v>
      </x:c>
      <x:c r="Q38" s="24"/>
      <x:c r="R38" s="24"/>
      <x:c r="S38" s="24"/>
      <x:c r="T38" s="24"/>
      <x:c r="U38" s="24"/>
      <x:c r="V38" s="24"/>
      <x:c r="W38" s="24"/>
      <x:c r="X38" s="24"/>
      <x:c r="Y38" s="24"/>
      <x:c r="Z38" s="24"/>
      <x:c r="AA38" s="24"/>
      <x:c r="AB38" s="24"/>
      <x:c r="AC38" s="24"/>
      <x:c r="AD38" s="24"/>
      <x:c r="AE38" s="24"/>
    </x:row>
    <x:row r="39" ht="34" customHeight="1">
      <x:c r="A39" s="463" t="str">
        <x:v>GameVox</x:v>
      </x:c>
      <x:c r="B39" s="463" t="str">
        <x:v>Hosted server tier</x:v>
      </x:c>
      <x:c r="C39" s="463" t="str">
        <x:v>Gold</x:v>
      </x:c>
      <x:c r="D39" s="463" t="str">
        <x:v>Active</x:v>
      </x:c>
      <x:c r="E39" s="463" t="str">
        <x:v>9.99</x:v>
      </x:c>
      <x:c r="F39" s="463" t="str">
        <x:v>N/A</x:v>
      </x:c>
      <x:c r="G39" s="463" t="str">
        <x:v>U/K</x:v>
      </x:c>
      <x:c r="H39" s="463" t="str">
        <x:v>USD</x:v>
      </x:c>
      <x:c r="I39" s="463" t="str">
        <x:v>Per server</x:v>
      </x:c>
      <x:c r="J39" s="463" t="str">
        <x:v>Entire server/community</x:v>
      </x:c>
      <x:c r="K39" s="463" t="str">
        <x:v>N/A</x:v>
      </x:c>
      <x:c r="L39" s="463" t="str">
        <x:v>2 GB uploads; 500 members; 1080p60 streaming</x:v>
      </x:c>
      <x:c r="M39" s="463" t="str">
        <x:v>https://gamevox.com/blog/gamevox-vs-discord/</x:v>
      </x:c>
      <x:c r="N39" s="463" t="str">
        <x:v>2026-09-15</x:v>
      </x:c>
      <x:c r="O39" s="463" t="str">
        <x:v>One server payment benefits all members.</x:v>
      </x:c>
      <x:c r="P39" s="346" t="str">
        <x:v>Primary / first-party source recorded</x:v>
      </x:c>
      <x:c r="Q39" s="24"/>
      <x:c r="R39" s="24"/>
      <x:c r="S39" s="24"/>
      <x:c r="T39" s="24"/>
      <x:c r="U39" s="24"/>
      <x:c r="V39" s="24"/>
      <x:c r="W39" s="24"/>
      <x:c r="X39" s="24"/>
      <x:c r="Y39" s="24"/>
      <x:c r="Z39" s="24"/>
      <x:c r="AA39" s="24"/>
      <x:c r="AB39" s="24"/>
      <x:c r="AC39" s="24"/>
      <x:c r="AD39" s="24"/>
      <x:c r="AE39" s="24"/>
    </x:row>
    <x:row r="40" ht="34" customHeight="1">
      <x:c r="A40" s="463" t="str">
        <x:v>GameVox</x:v>
      </x:c>
      <x:c r="B40" s="463" t="str">
        <x:v>Hosted server tier</x:v>
      </x:c>
      <x:c r="C40" s="463" t="str">
        <x:v>Diamond</x:v>
      </x:c>
      <x:c r="D40" s="463" t="str">
        <x:v>Active</x:v>
      </x:c>
      <x:c r="E40" s="463" t="str">
        <x:v>19.99</x:v>
      </x:c>
      <x:c r="F40" s="463" t="str">
        <x:v>N/A</x:v>
      </x:c>
      <x:c r="G40" s="463" t="str">
        <x:v>U/K</x:v>
      </x:c>
      <x:c r="H40" s="463" t="str">
        <x:v>USD</x:v>
      </x:c>
      <x:c r="I40" s="463" t="str">
        <x:v>Per server</x:v>
      </x:c>
      <x:c r="J40" s="463" t="str">
        <x:v>Entire server/community</x:v>
      </x:c>
      <x:c r="K40" s="463" t="str">
        <x:v>N/A</x:v>
      </x:c>
      <x:c r="L40" s="463" t="str">
        <x:v>10 GB uploads; unlimited members; up to 4K60 / top-tier features</x:v>
      </x:c>
      <x:c r="M40" s="463" t="str">
        <x:v>https://gamevox.com/blog/gamevox-vs-discord/</x:v>
      </x:c>
      <x:c r="N40" s="463" t="str">
        <x:v>2026-09-15</x:v>
      </x:c>
      <x:c r="O40" s="463" t="str">
        <x:v>One server payment benefits all members.</x:v>
      </x:c>
      <x:c r="P40" s="346" t="str">
        <x:v>Primary / first-party source recorded</x:v>
      </x:c>
      <x:c r="Q40" s="24"/>
      <x:c r="R40" s="24"/>
      <x:c r="S40" s="24"/>
      <x:c r="T40" s="24"/>
      <x:c r="U40" s="24"/>
      <x:c r="V40" s="24"/>
      <x:c r="W40" s="24"/>
      <x:c r="X40" s="24"/>
      <x:c r="Y40" s="24"/>
      <x:c r="Z40" s="24"/>
      <x:c r="AA40" s="24"/>
      <x:c r="AB40" s="24"/>
      <x:c r="AC40" s="24"/>
      <x:c r="AD40" s="24"/>
      <x:c r="AE40" s="24"/>
    </x:row>
    <x:row r="41" ht="34" customHeight="1">
      <x:c r="A41" s="463" t="str">
        <x:v>GameVox</x:v>
      </x:c>
      <x:c r="B41" s="463" t="str">
        <x:v>Self-host license</x:v>
      </x:c>
      <x:c r="C41" s="463" t="str">
        <x:v>Self-Hosted Server License</x:v>
      </x:c>
      <x:c r="D41" s="463" t="str">
        <x:v>Active</x:v>
      </x:c>
      <x:c r="E41" s="463" t="str">
        <x:v>2.00</x:v>
      </x:c>
      <x:c r="F41" s="463" t="str">
        <x:v>N/A</x:v>
      </x:c>
      <x:c r="G41" s="463" t="str">
        <x:v>15.00</x:v>
      </x:c>
      <x:c r="H41" s="463" t="str">
        <x:v>USD</x:v>
      </x:c>
      <x:c r="I41" s="463" t="str">
        <x:v>Per self-hosted server</x:v>
      </x:c>
      <x:c r="J41" s="463" t="str">
        <x:v>Self-host deployment</x:v>
      </x:c>
      <x:c r="K41" s="463" t="str">
        <x:v>Includes Diamond-tier features</x:v>
      </x:c>
      <x:c r="L41" s="463" t="str">
        <x:v>Self-host GameVox on your own hardware; data remains on your machine</x:v>
      </x:c>
      <x:c r="M41" s="463" t="str">
        <x:v>https://gamevox.com/self-hosted/</x:v>
      </x:c>
      <x:c r="N41" s="463" t="str">
        <x:v>2026-09-15</x:v>
      </x:c>
      <x:c r="O41" s="463" t="str">
        <x:v>The free-before-July-1-2026 grandfathering period has passed; current new-license price is $2/mo or $15/yr.</x:v>
      </x:c>
      <x:c r="P41" s="346" t="str">
        <x:v>Primary / first-party source recorded</x:v>
      </x:c>
      <x:c r="Q41" s="24"/>
      <x:c r="R41" s="24"/>
      <x:c r="S41" s="24"/>
      <x:c r="T41" s="24"/>
      <x:c r="U41" s="24"/>
      <x:c r="V41" s="24"/>
      <x:c r="W41" s="24"/>
      <x:c r="X41" s="24"/>
      <x:c r="Y41" s="24"/>
      <x:c r="Z41" s="24"/>
      <x:c r="AA41" s="24"/>
      <x:c r="AB41" s="24"/>
      <x:c r="AC41" s="24"/>
      <x:c r="AD41" s="24"/>
      <x:c r="AE41" s="24"/>
    </x:row>
    <x:row r="42" ht="34" customHeight="1">
      <x:c r="A42" s="346" t="str">
        <x:v>Nerimity</x:v>
      </x:c>
      <x:c r="B42" s="346" t="str">
        <x:v>No public paid tier</x:v>
      </x:c>
      <x:c r="C42" s="346" t="str">
        <x:v>No paid subscription verified</x:v>
      </x:c>
      <x:c r="D42" s="346" t="str">
        <x:v>None verified</x:v>
      </x:c>
      <x:c r="E42" s="346" t="str">
        <x:v>N/A</x:v>
      </x:c>
      <x:c r="F42" s="346" t="str">
        <x:v>N/A</x:v>
      </x:c>
      <x:c r="G42" s="346" t="str">
        <x:v>N/A</x:v>
      </x:c>
      <x:c r="H42" s="346" t="str">
        <x:v>N/A</x:v>
      </x:c>
      <x:c r="I42" s="346" t="str">
        <x:v>Donation-supported</x:v>
      </x:c>
      <x:c r="J42" s="346" t="str">
        <x:v>Hosted service</x:v>
      </x:c>
      <x:c r="K42" s="346" t="str">
        <x:v>N/A</x:v>
      </x:c>
      <x:c r="L42" s="346" t="str">
        <x:v>No fixed premium subscription verified</x:v>
      </x:c>
      <x:c r="M42" s="346" t="str">
        <x:v>https://nerimity.com/</x:v>
      </x:c>
      <x:c r="N42" s="346" t="str">
        <x:v>2026-09-15</x:v>
      </x:c>
      <x:c r="O42" s="346" t="str"/>
      <x:c r="P42" s="346" t="str">
        <x:v>Primary / first-party source recorded</x:v>
      </x:c>
      <x:c r="Q42" s="24"/>
      <x:c r="R42" s="24"/>
      <x:c r="S42" s="24"/>
      <x:c r="T42" s="24"/>
      <x:c r="U42" s="24"/>
      <x:c r="V42" s="24"/>
      <x:c r="W42" s="24"/>
      <x:c r="X42" s="24"/>
      <x:c r="Y42" s="24"/>
      <x:c r="Z42" s="24"/>
      <x:c r="AA42" s="24"/>
      <x:c r="AB42" s="24"/>
      <x:c r="AC42" s="24"/>
      <x:c r="AD42" s="24"/>
      <x:c r="AE42" s="24"/>
    </x:row>
    <x:row r="43" ht="34" customHeight="1">
      <x:c r="A43" s="463" t="str">
        <x:v>Osmium</x:v>
      </x:c>
      <x:c r="B43" s="463" t="str">
        <x:v>No public paid tier</x:v>
      </x:c>
      <x:c r="C43" s="463" t="str">
        <x:v>No public fixed-price paid tier verified</x:v>
      </x:c>
      <x:c r="D43" s="463" t="str">
        <x:v>None verified</x:v>
      </x:c>
      <x:c r="E43" s="463" t="str">
        <x:v>N/A</x:v>
      </x:c>
      <x:c r="F43" s="463" t="str">
        <x:v>N/A</x:v>
      </x:c>
      <x:c r="G43" s="463" t="str">
        <x:v>N/A</x:v>
      </x:c>
      <x:c r="H43" s="463" t="str">
        <x:v>U/K</x:v>
      </x:c>
      <x:c r="I43" s="463" t="str">
        <x:v>U/K</x:v>
      </x:c>
      <x:c r="J43" s="463" t="str">
        <x:v>Hosted service</x:v>
      </x:c>
      <x:c r="K43" s="463" t="str">
        <x:v>N/A</x:v>
      </x:c>
      <x:c r="L43" s="463" t="str">
        <x:v>U/K</x:v>
      </x:c>
      <x:c r="M43" s="463" t="str">
        <x:v>https://osmium.chat/</x:v>
      </x:c>
      <x:c r="N43" s="463" t="str">
        <x:v>2026-09-15</x:v>
      </x:c>
      <x:c r="O43" s="463" t="str">
        <x:v>No reliable current paid-plan schedule found.</x:v>
      </x:c>
      <x:c r="P43" s="346" t="str">
        <x:v>Primary / first-party source recorded</x:v>
      </x:c>
      <x:c r="Q43" s="24"/>
      <x:c r="R43" s="24"/>
      <x:c r="S43" s="24"/>
      <x:c r="T43" s="24"/>
      <x:c r="U43" s="24"/>
      <x:c r="V43" s="24"/>
      <x:c r="W43" s="24"/>
      <x:c r="X43" s="24"/>
      <x:c r="Y43" s="24"/>
      <x:c r="Z43" s="24"/>
      <x:c r="AA43" s="24"/>
      <x:c r="AB43" s="24"/>
      <x:c r="AC43" s="24"/>
      <x:c r="AD43" s="24"/>
      <x:c r="AE43" s="24"/>
    </x:row>
    <x:row r="44" ht="34" customHeight="1">
      <x:c r="A44" s="346" t="str">
        <x:v>Loqa</x:v>
      </x:c>
      <x:c r="B44" s="346" t="str">
        <x:v>No public paid tier</x:v>
      </x:c>
      <x:c r="C44" s="346" t="str">
        <x:v>No public fixed-price paid tier verified</x:v>
      </x:c>
      <x:c r="D44" s="346" t="str">
        <x:v>None verified</x:v>
      </x:c>
      <x:c r="E44" s="346" t="str">
        <x:v>N/A</x:v>
      </x:c>
      <x:c r="F44" s="346" t="str">
        <x:v>N/A</x:v>
      </x:c>
      <x:c r="G44" s="346" t="str">
        <x:v>N/A</x:v>
      </x:c>
      <x:c r="H44" s="346" t="str">
        <x:v>U/K</x:v>
      </x:c>
      <x:c r="I44" s="346" t="str">
        <x:v>U/K</x:v>
      </x:c>
      <x:c r="J44" s="346" t="str">
        <x:v>Hosted / self-host project</x:v>
      </x:c>
      <x:c r="K44" s="346" t="str">
        <x:v>N/A</x:v>
      </x:c>
      <x:c r="L44" s="346" t="str">
        <x:v>U/K</x:v>
      </x:c>
      <x:c r="M44" s="346" t="str">
        <x:v>https://loqa.chat/</x:v>
      </x:c>
      <x:c r="N44" s="346" t="str">
        <x:v>2026-09-15</x:v>
      </x:c>
      <x:c r="O44" s="346" t="str">
        <x:v>Open beta; no public fixed-price paid tier verified.</x:v>
      </x:c>
      <x:c r="P44" s="346" t="str">
        <x:v>Primary / first-party source recorded</x:v>
      </x:c>
      <x:c r="Q44" s="24"/>
      <x:c r="R44" s="24"/>
      <x:c r="S44" s="24"/>
      <x:c r="T44" s="24"/>
      <x:c r="U44" s="24"/>
      <x:c r="V44" s="24"/>
      <x:c r="W44" s="24"/>
      <x:c r="X44" s="24"/>
      <x:c r="Y44" s="24"/>
      <x:c r="Z44" s="24"/>
      <x:c r="AA44" s="24"/>
      <x:c r="AB44" s="24"/>
      <x:c r="AC44" s="24"/>
      <x:c r="AD44" s="24"/>
      <x:c r="AE44" s="24"/>
    </x:row>
    <x:row r="45" ht="34" customHeight="1">
      <x:c r="A45" s="463" t="str">
        <x:v>Venta</x:v>
      </x:c>
      <x:c r="B45" s="463" t="str">
        <x:v>No public paid tier</x:v>
      </x:c>
      <x:c r="C45" s="463" t="str">
        <x:v>No public fixed-price paid tier verified</x:v>
      </x:c>
      <x:c r="D45" s="463" t="str">
        <x:v>None verified</x:v>
      </x:c>
      <x:c r="E45" s="463" t="str">
        <x:v>N/A</x:v>
      </x:c>
      <x:c r="F45" s="463" t="str">
        <x:v>N/A</x:v>
      </x:c>
      <x:c r="G45" s="463" t="str">
        <x:v>N/A</x:v>
      </x:c>
      <x:c r="H45" s="463" t="str">
        <x:v>U/K</x:v>
      </x:c>
      <x:c r="I45" s="463" t="str">
        <x:v>U/K</x:v>
      </x:c>
      <x:c r="J45" s="463" t="str">
        <x:v>Early project</x:v>
      </x:c>
      <x:c r="K45" s="463" t="str">
        <x:v>N/A</x:v>
      </x:c>
      <x:c r="L45" s="463" t="str">
        <x:v>U/K</x:v>
      </x:c>
      <x:c r="M45" s="463" t="str">
        <x:v>https://venta.gg/</x:v>
      </x:c>
      <x:c r="N45" s="463" t="str">
        <x:v>2026-09-15</x:v>
      </x:c>
      <x:c r="O45" s="463" t="str">
        <x:v>Architecture and monetization are still evolving.</x:v>
      </x:c>
      <x:c r="P45" s="346" t="str">
        <x:v>Primary / first-party source recorded</x:v>
      </x:c>
      <x:c r="Q45" s="24"/>
      <x:c r="R45" s="24"/>
      <x:c r="S45" s="24"/>
      <x:c r="T45" s="24"/>
      <x:c r="U45" s="24"/>
      <x:c r="V45" s="24"/>
      <x:c r="W45" s="24"/>
      <x:c r="X45" s="24"/>
      <x:c r="Y45" s="24"/>
      <x:c r="Z45" s="24"/>
      <x:c r="AA45" s="24"/>
      <x:c r="AB45" s="24"/>
      <x:c r="AC45" s="24"/>
      <x:c r="AD45" s="24"/>
      <x:c r="AE45" s="24"/>
    </x:row>
    <x:row r="46" ht="34" customHeight="1">
      <x:c r="A46" s="346" t="str">
        <x:v>Mezon</x:v>
      </x:c>
      <x:c r="B46" s="346" t="str">
        <x:v>No paid communication tier</x:v>
      </x:c>
      <x:c r="C46" s="346" t="str">
        <x:v>No premium communication subscription</x:v>
      </x:c>
      <x:c r="D46" s="346" t="str">
        <x:v>None</x:v>
      </x:c>
      <x:c r="E46" s="346" t="str">
        <x:v>N/A</x:v>
      </x:c>
      <x:c r="F46" s="346" t="str">
        <x:v>N/A</x:v>
      </x:c>
      <x:c r="G46" s="346" t="str">
        <x:v>N/A</x:v>
      </x:c>
      <x:c r="H46" s="346" t="str">
        <x:v>N/A</x:v>
      </x:c>
      <x:c r="I46" s="346" t="str">
        <x:v>Free service</x:v>
      </x:c>
      <x:c r="J46" s="346" t="str">
        <x:v>All users</x:v>
      </x:c>
      <x:c r="K46" s="346" t="str">
        <x:v>N/A</x:v>
      </x:c>
      <x:c r="L46" s="346" t="str">
        <x:v>Official FAQ states communication features are free with no premium plan/paywall</x:v>
      </x:c>
      <x:c r="M46" s="346" t="str">
        <x:v>https://mezon.ai/docs/user/resources/FAQ/</x:v>
      </x:c>
      <x:c r="N46" s="346" t="str">
        <x:v>2026-09-15</x:v>
      </x:c>
      <x:c r="O46" s="346" t="str"/>
      <x:c r="P46" s="346" t="str">
        <x:v>Primary / first-party source recorded</x:v>
      </x:c>
      <x:c r="Q46" s="24"/>
      <x:c r="R46" s="24"/>
      <x:c r="S46" s="24"/>
      <x:c r="T46" s="24"/>
      <x:c r="U46" s="24"/>
      <x:c r="V46" s="24"/>
      <x:c r="W46" s="24"/>
      <x:c r="X46" s="24"/>
      <x:c r="Y46" s="24"/>
      <x:c r="Z46" s="24"/>
      <x:c r="AA46" s="24"/>
      <x:c r="AB46" s="24"/>
      <x:c r="AC46" s="24"/>
      <x:c r="AD46" s="24"/>
      <x:c r="AE46" s="24"/>
    </x:row>
    <x:row r="47" ht="34" customHeight="1">
      <x:c r="A47" s="461" t="str">
        <x:v>Kloak</x:v>
      </x:c>
      <x:c r="B47" s="461" t="str">
        <x:v>No public paid tier</x:v>
      </x:c>
      <x:c r="C47" s="461" t="str">
        <x:v>No public fixed-price paid tier verified</x:v>
      </x:c>
      <x:c r="D47" s="461" t="str">
        <x:v>None verified</x:v>
      </x:c>
      <x:c r="E47" s="461" t="str">
        <x:v>N/A</x:v>
      </x:c>
      <x:c r="F47" s="461" t="str">
        <x:v>N/A</x:v>
      </x:c>
      <x:c r="G47" s="461" t="str">
        <x:v>N/A</x:v>
      </x:c>
      <x:c r="H47" s="461" t="str">
        <x:v>U/K</x:v>
      </x:c>
      <x:c r="I47" s="461" t="str">
        <x:v>U/K</x:v>
      </x:c>
      <x:c r="J47" s="461" t="str">
        <x:v>Hosted service</x:v>
      </x:c>
      <x:c r="K47" s="461" t="str">
        <x:v>N/A</x:v>
      </x:c>
      <x:c r="L47" s="461" t="str">
        <x:v>U/K</x:v>
      </x:c>
      <x:c r="M47" s="461" t="str">
        <x:v>https://kloak.app/</x:v>
      </x:c>
      <x:c r="N47" s="461" t="str">
        <x:v>2026-09-15</x:v>
      </x:c>
      <x:c r="O47" s="461" t="str">
        <x:v>No public pricing page verified.</x:v>
      </x:c>
      <x:c r="P47" s="462" t="str">
        <x:v>Primary / first-party source recorded</x:v>
      </x:c>
      <x:c r="Q47" s="202"/>
      <x:c r="R47" s="202"/>
      <x:c r="S47" s="202"/>
      <x:c r="T47" s="202"/>
      <x:c r="U47" s="202"/>
      <x:c r="V47" s="202"/>
      <x:c r="W47" s="202"/>
      <x:c r="X47" s="202"/>
      <x:c r="Y47" s="202"/>
      <x:c r="Z47" s="202"/>
      <x:c r="AA47" s="202"/>
      <x:c r="AB47" s="202"/>
      <x:c r="AC47" s="202"/>
      <x:c r="AD47" s="202"/>
      <x:c r="AE47" s="202"/>
    </x:row>
    <x:row r="48" ht="34" customHeight="1">
      <x:c r="A48" s="346" t="str">
        <x:v>Yapper</x:v>
      </x:c>
      <x:c r="B48" s="346" t="str">
        <x:v>Managed hosting</x:v>
      </x:c>
      <x:c r="C48" s="346" t="str">
        <x:v>Yapper Hosting - 1 Year</x:v>
      </x:c>
      <x:c r="D48" s="346" t="str">
        <x:v>Active / promotional</x:v>
      </x:c>
      <x:c r="E48" s="346" t="str">
        <x:v>U/K</x:v>
      </x:c>
      <x:c r="F48" s="346" t="str">
        <x:v>N/A</x:v>
      </x:c>
      <x:c r="G48" s="346" t="str">
        <x:v>45.00 promo / 90.00 regular</x:v>
      </x:c>
      <x:c r="H48" s="346" t="str">
        <x:v>EUR</x:v>
      </x:c>
      <x:c r="I48" s="346" t="str">
        <x:v>Per managed server</x:v>
      </x:c>
      <x:c r="J48" s="346" t="str">
        <x:v>Hosted server up to 100 users</x:v>
      </x:c>
      <x:c r="K48" s="346" t="str">
        <x:v>7-day hosted trial</x:v>
      </x:c>
      <x:c r="L48" s="346" t="str">
        <x:v>10 GB storage; up to 10 Mbps; unlimited voice/text channels; proximity voice; up to 1440p screen share</x:v>
      </x:c>
      <x:c r="M48" s="346" t="str">
        <x:v>https://yapper.gg/pricing</x:v>
      </x:c>
      <x:c r="N48" s="346" t="str">
        <x:v>2026-09-15</x:v>
      </x:c>
      <x:c r="O48" s="346" t="str">
        <x:v>€45/year promotional price shown through Jan 31, 2027; regular annual price €90. Self-host license is free and is not a paid tier.</x:v>
      </x:c>
      <x:c r="P48" s="346" t="str">
        <x:v>Primary / first-party source recorded</x:v>
      </x:c>
      <x:c r="Q48" s="24"/>
      <x:c r="R48" s="24"/>
      <x:c r="S48" s="24"/>
      <x:c r="T48" s="24"/>
      <x:c r="U48" s="24"/>
      <x:c r="V48" s="24"/>
      <x:c r="W48" s="24"/>
      <x:c r="X48" s="24"/>
      <x:c r="Y48" s="24"/>
      <x:c r="Z48" s="24"/>
      <x:c r="AA48" s="24"/>
      <x:c r="AB48" s="24"/>
      <x:c r="AC48" s="24"/>
      <x:c r="AD48" s="24"/>
      <x:c r="AE48" s="24"/>
    </x:row>
    <x:row r="49" ht="34" customHeight="1">
      <x:c r="A49" s="463" t="str">
        <x:v>Harmony</x:v>
      </x:c>
      <x:c r="B49" s="463" t="str">
        <x:v>No public paid tier</x:v>
      </x:c>
      <x:c r="C49" s="463" t="str">
        <x:v>No central paid tier</x:v>
      </x:c>
      <x:c r="D49" s="463" t="str">
        <x:v>None</x:v>
      </x:c>
      <x:c r="E49" s="463" t="str">
        <x:v>N/A</x:v>
      </x:c>
      <x:c r="F49" s="463" t="str">
        <x:v>N/A</x:v>
      </x:c>
      <x:c r="G49" s="463" t="str">
        <x:v>N/A</x:v>
      </x:c>
      <x:c r="H49" s="463" t="str">
        <x:v>N/A</x:v>
      </x:c>
      <x:c r="I49" s="463" t="str">
        <x:v>Open-source/self-host</x:v>
      </x:c>
      <x:c r="J49" s="463" t="str">
        <x:v>Operator</x:v>
      </x:c>
      <x:c r="K49" s="463" t="str">
        <x:v>N/A</x:v>
      </x:c>
      <x:c r="L49" s="463" t="str">
        <x:v>No central subscription model</x:v>
      </x:c>
      <x:c r="M49" s="463" t="str">
        <x:v>https://codeberg.org/MelodyChat/Harmony</x:v>
      </x:c>
      <x:c r="N49" s="463" t="str">
        <x:v>2026-09-15</x:v>
      </x:c>
      <x:c r="O49" s="463" t="str">
        <x:v>Fermi is a client, not the platform.</x:v>
      </x:c>
      <x:c r="P49" s="346" t="str">
        <x:v>Primary / first-party source recorded</x:v>
      </x:c>
      <x:c r="Q49" s="24"/>
      <x:c r="R49" s="24"/>
      <x:c r="S49" s="24"/>
      <x:c r="T49" s="24"/>
      <x:c r="U49" s="24"/>
      <x:c r="V49" s="24"/>
      <x:c r="W49" s="24"/>
      <x:c r="X49" s="24"/>
      <x:c r="Y49" s="24"/>
      <x:c r="Z49" s="24"/>
      <x:c r="AA49" s="24"/>
      <x:c r="AB49" s="24"/>
      <x:c r="AC49" s="24"/>
      <x:c r="AD49" s="24"/>
      <x:c r="AE49" s="24"/>
    </x:row>
    <x:row r="50" ht="34" customHeight="1">
      <x:c r="A50" s="346" t="str">
        <x:v>Roomy</x:v>
      </x:c>
      <x:c r="B50" s="346" t="str">
        <x:v>No Roomy-specific paid tier</x:v>
      </x:c>
      <x:c r="C50" s="346" t="str">
        <x:v>No paid Roomy subscription verified</x:v>
      </x:c>
      <x:c r="D50" s="346" t="str">
        <x:v>None verified</x:v>
      </x:c>
      <x:c r="E50" s="346" t="str">
        <x:v>N/A</x:v>
      </x:c>
      <x:c r="F50" s="346" t="str">
        <x:v>N/A</x:v>
      </x:c>
      <x:c r="G50" s="346" t="str">
        <x:v>N/A</x:v>
      </x:c>
      <x:c r="H50" s="346" t="str">
        <x:v>N/A</x:v>
      </x:c>
      <x:c r="I50" s="346" t="str">
        <x:v>Open-source / ATProto</x:v>
      </x:c>
      <x:c r="J50" s="346" t="str">
        <x:v>Provider-specific</x:v>
      </x:c>
      <x:c r="K50" s="346" t="str">
        <x:v>N/A</x:v>
      </x:c>
      <x:c r="L50" s="346" t="str">
        <x:v>ATProto/PDS provider costs may exist, but are not Roomy subscription tiers</x:v>
      </x:c>
      <x:c r="M50" s="346" t="str">
        <x:v>https://github.com/muni-town/roomy</x:v>
      </x:c>
      <x:c r="N50" s="346" t="str">
        <x:v>2026-09-15</x:v>
      </x:c>
      <x:c r="O50" s="346" t="str"/>
      <x:c r="P50" s="346" t="str">
        <x:v>Primary / first-party source recorded</x:v>
      </x:c>
      <x:c r="Q50" s="24"/>
      <x:c r="R50" s="24"/>
      <x:c r="S50" s="24"/>
      <x:c r="T50" s="24"/>
      <x:c r="U50" s="24"/>
      <x:c r="V50" s="24"/>
      <x:c r="W50" s="24"/>
      <x:c r="X50" s="24"/>
      <x:c r="Y50" s="24"/>
      <x:c r="Z50" s="24"/>
      <x:c r="AA50" s="24"/>
      <x:c r="AB50" s="24"/>
      <x:c r="AC50" s="24"/>
      <x:c r="AD50" s="24"/>
      <x:c r="AE50" s="24"/>
    </x:row>
    <x:row r="51" ht="34" customHeight="1">
      <x:c r="A51" s="463" t="str">
        <x:v>Armada</x:v>
      </x:c>
      <x:c r="B51" s="463" t="str">
        <x:v>No central paid tier</x:v>
      </x:c>
      <x:c r="C51" s="463" t="str">
        <x:v>No Armada subscription</x:v>
      </x:c>
      <x:c r="D51" s="463" t="str">
        <x:v>None</x:v>
      </x:c>
      <x:c r="E51" s="463" t="str">
        <x:v>N/A</x:v>
      </x:c>
      <x:c r="F51" s="463" t="str">
        <x:v>N/A</x:v>
      </x:c>
      <x:c r="G51" s="463" t="str">
        <x:v>N/A</x:v>
      </x:c>
      <x:c r="H51" s="463" t="str">
        <x:v>N/A</x:v>
      </x:c>
      <x:c r="I51" s="463" t="str">
        <x:v>Open-source / relay ecosystem</x:v>
      </x:c>
      <x:c r="J51" s="463" t="str">
        <x:v>Relay/provider</x:v>
      </x:c>
      <x:c r="K51" s="463" t="str">
        <x:v>N/A</x:v>
      </x:c>
      <x:c r="L51" s="463" t="str">
        <x:v>Relay hosting may cost money; no central Armada subscription</x:v>
      </x:c>
      <x:c r="M51" s="463" t="str">
        <x:v>https://github.com/soapbox-pub/armada</x:v>
      </x:c>
      <x:c r="N51" s="463" t="str">
        <x:v>2026-09-15</x:v>
      </x:c>
      <x:c r="O51" s="463" t="str"/>
      <x:c r="P51" s="346" t="str">
        <x:v>Primary / first-party source recorded</x:v>
      </x:c>
    </x:row>
    <x:row r="52" ht="34" customHeight="1">
      <x:c r="A52" s="346" t="str">
        <x:v>Hollow</x:v>
      </x:c>
      <x:c r="B52" s="346" t="str">
        <x:v>No central paid tier</x:v>
      </x:c>
      <x:c r="C52" s="346" t="str">
        <x:v>No Hollow subscription</x:v>
      </x:c>
      <x:c r="D52" s="346" t="str">
        <x:v>None</x:v>
      </x:c>
      <x:c r="E52" s="346" t="str">
        <x:v>N/A</x:v>
      </x:c>
      <x:c r="F52" s="346" t="str">
        <x:v>N/A</x:v>
      </x:c>
      <x:c r="G52" s="346" t="str">
        <x:v>N/A</x:v>
      </x:c>
      <x:c r="H52" s="346" t="str">
        <x:v>N/A</x:v>
      </x:c>
      <x:c r="I52" s="346" t="str">
        <x:v>Open-source / self-host relay</x:v>
      </x:c>
      <x:c r="J52" s="346" t="str">
        <x:v>Operator</x:v>
      </x:c>
      <x:c r="K52" s="346" t="str">
        <x:v>N/A</x:v>
      </x:c>
      <x:c r="L52" s="346" t="str">
        <x:v>No central paid tier verified</x:v>
      </x:c>
      <x:c r="M52" s="346" t="str">
        <x:v>https://github.com/VitalikPro13/HOLLOW</x:v>
      </x:c>
      <x:c r="N52" s="346" t="str">
        <x:v>2026-09-15</x:v>
      </x:c>
      <x:c r="O52" s="346" t="str"/>
      <x:c r="P52" s="346" t="str">
        <x:v>Primary / first-party source recorded</x:v>
      </x:c>
    </x:row>
    <x:row r="53" ht="34" customHeight="1">
      <x:c r="A53" s="463" t="str">
        <x:v>DCTS</x:v>
      </x:c>
      <x:c r="B53" s="463" t="str">
        <x:v>No central paid tier</x:v>
      </x:c>
      <x:c r="C53" s="463" t="str">
        <x:v>No DCTS subscription</x:v>
      </x:c>
      <x:c r="D53" s="463" t="str">
        <x:v>None</x:v>
      </x:c>
      <x:c r="E53" s="463" t="str">
        <x:v>N/A</x:v>
      </x:c>
      <x:c r="F53" s="463" t="str">
        <x:v>N/A</x:v>
      </x:c>
      <x:c r="G53" s="463" t="str">
        <x:v>N/A</x:v>
      </x:c>
      <x:c r="H53" s="463" t="str">
        <x:v>N/A</x:v>
      </x:c>
      <x:c r="I53" s="463" t="str">
        <x:v>AGPL self-host / community-supported</x:v>
      </x:c>
      <x:c r="J53" s="463" t="str">
        <x:v>Operator</x:v>
      </x:c>
      <x:c r="K53" s="463" t="str">
        <x:v>N/A</x:v>
      </x:c>
      <x:c r="L53" s="463" t="str">
        <x:v>No fixed paid hosted tier verified</x:v>
      </x:c>
      <x:c r="M53" s="463" t="str">
        <x:v>https://dcts.community/</x:v>
      </x:c>
      <x:c r="N53" s="463" t="str">
        <x:v>2026-09-15</x:v>
      </x:c>
      <x:c r="O53" s="463" t="str"/>
      <x:c r="P53" s="346" t="str">
        <x:v>Primary / first-party source recorded</x:v>
      </x:c>
    </x:row>
    <x:row r="54" ht="34" customHeight="1">
      <x:c r="A54" s="346" t="str">
        <x:v>Rift</x:v>
      </x:c>
      <x:c r="B54" s="346" t="str">
        <x:v>User subscription</x:v>
      </x:c>
      <x:c r="C54" s="346" t="str">
        <x:v>Rift+</x:v>
      </x:c>
      <x:c r="D54" s="346" t="str">
        <x:v>Active</x:v>
      </x:c>
      <x:c r="E54" s="346" t="str">
        <x:v>7.00</x:v>
      </x:c>
      <x:c r="F54" s="346" t="str">
        <x:v>N/A</x:v>
      </x:c>
      <x:c r="G54" s="346" t="str">
        <x:v>70.00</x:v>
      </x:c>
      <x:c r="H54" s="346" t="str">
        <x:v>USD</x:v>
      </x:c>
      <x:c r="I54" s="346" t="str">
        <x:v>Per user</x:v>
      </x:c>
      <x:c r="J54" s="346" t="str">
        <x:v>Personal account</x:v>
      </x:c>
      <x:c r="K54" s="346" t="str">
        <x:v>N/A</x:v>
      </x:c>
      <x:c r="L54" s="346" t="str">
        <x:v>1080p60; 128 kbps + high fidelity; 300 MB uploads; 16k messages; extra cosmetics/layouts</x:v>
      </x:c>
      <x:c r="M54" s="346" t="str">
        <x:v>https://therift.chat/de/plans/</x:v>
      </x:c>
      <x:c r="N54" s="346" t="str">
        <x:v>2026-09-15</x:v>
      </x:c>
      <x:c r="O54" s="346" t="str">
        <x:v>Personal tier; travels with the user.</x:v>
      </x:c>
      <x:c r="P54" s="346" t="str">
        <x:v>Primary / first-party source recorded</x:v>
      </x:c>
    </x:row>
    <x:row r="55" ht="34" customHeight="1">
      <x:c r="A55" s="346" t="str">
        <x:v>Rift</x:v>
      </x:c>
      <x:c r="B55" s="346" t="str">
        <x:v>Community subscription</x:v>
      </x:c>
      <x:c r="C55" s="346" t="str">
        <x:v>Shard Ember</x:v>
      </x:c>
      <x:c r="D55" s="346" t="str">
        <x:v>Active</x:v>
      </x:c>
      <x:c r="E55" s="346" t="str">
        <x:v>10.00</x:v>
      </x:c>
      <x:c r="F55" s="346" t="str">
        <x:v>N/A</x:v>
      </x:c>
      <x:c r="G55" s="346" t="str">
        <x:v>U/K</x:v>
      </x:c>
      <x:c r="H55" s="346" t="str">
        <x:v>USD</x:v>
      </x:c>
      <x:c r="I55" s="346" t="str">
        <x:v>Per community / Shard</x:v>
      </x:c>
      <x:c r="J55" s="346" t="str">
        <x:v>Entire community</x:v>
      </x:c>
      <x:c r="K55" s="346" t="str">
        <x:v>N/A</x:v>
      </x:c>
      <x:c r="L55" s="346" t="str">
        <x:v>75 MB/member uploads; 128 kbps; 1080p; 30 emoji; 25 soundboard; onboarding; 15 webhooks</x:v>
      </x:c>
      <x:c r="M55" s="346" t="str">
        <x:v>https://therift.chat/de/plans/</x:v>
      </x:c>
      <x:c r="N55" s="346" t="str">
        <x:v>2026-09-15</x:v>
      </x:c>
      <x:c r="O55" s="346" t="str">
        <x:v>One member pays; whole Shard benefits.</x:v>
      </x:c>
      <x:c r="P55" s="346" t="str">
        <x:v>Primary / first-party source recorded</x:v>
      </x:c>
    </x:row>
    <x:row r="56" ht="34" customHeight="1">
      <x:c r="A56" s="346" t="str">
        <x:v>Rift</x:v>
      </x:c>
      <x:c r="B56" s="346" t="str">
        <x:v>Community subscription</x:v>
      </x:c>
      <x:c r="C56" s="346" t="str">
        <x:v>Shard Forge</x:v>
      </x:c>
      <x:c r="D56" s="346" t="str">
        <x:v>Active</x:v>
      </x:c>
      <x:c r="E56" s="346" t="str">
        <x:v>25.00</x:v>
      </x:c>
      <x:c r="F56" s="346" t="str">
        <x:v>N/A</x:v>
      </x:c>
      <x:c r="G56" s="346" t="str">
        <x:v>U/K</x:v>
      </x:c>
      <x:c r="H56" s="346" t="str">
        <x:v>USD</x:v>
      </x:c>
      <x:c r="I56" s="346" t="str">
        <x:v>Per community / Shard</x:v>
      </x:c>
      <x:c r="J56" s="346" t="str">
        <x:v>Entire community</x:v>
      </x:c>
      <x:c r="K56" s="346" t="str">
        <x:v>N/A</x:v>
      </x:c>
      <x:c r="L56" s="346" t="str">
        <x:v>100 MB/member uploads; 192 kbps; 1440p; 100 emoji; 75 soundboard; advanced analytics; 30 webhooks</x:v>
      </x:c>
      <x:c r="M56" s="346" t="str">
        <x:v>https://therift.chat/de/plans/</x:v>
      </x:c>
      <x:c r="N56" s="346" t="str">
        <x:v>2026-09-15</x:v>
      </x:c>
      <x:c r="O56" s="346" t="str">
        <x:v>One member pays; whole Shard benefits.</x:v>
      </x:c>
      <x:c r="P56" s="346" t="str">
        <x:v>Primary / first-party source recorded</x:v>
      </x:c>
    </x:row>
    <x:row r="57" ht="34" customHeight="1">
      <x:c r="A57" s="463" t="str">
        <x:v>pqp.gg</x:v>
      </x:c>
      <x:c r="B57" s="463" t="str">
        <x:v>No public paid tier</x:v>
      </x:c>
      <x:c r="C57" s="463" t="str">
        <x:v>No public fixed-price paid tier verified</x:v>
      </x:c>
      <x:c r="D57" s="463" t="str">
        <x:v>None verified</x:v>
      </x:c>
      <x:c r="E57" s="463" t="str">
        <x:v>N/A</x:v>
      </x:c>
      <x:c r="F57" s="463" t="str">
        <x:v>N/A</x:v>
      </x:c>
      <x:c r="G57" s="463" t="str">
        <x:v>N/A</x:v>
      </x:c>
      <x:c r="H57" s="463" t="str">
        <x:v>U/K</x:v>
      </x:c>
      <x:c r="I57" s="463" t="str">
        <x:v>Open-source beta</x:v>
      </x:c>
      <x:c r="J57" s="463" t="str">
        <x:v>Hosted / self-host</x:v>
      </x:c>
      <x:c r="K57" s="463" t="str">
        <x:v>N/A</x:v>
      </x:c>
      <x:c r="L57" s="463" t="str">
        <x:v>No fixed premium tier verified</x:v>
      </x:c>
      <x:c r="M57" s="463" t="str">
        <x:v>https://pqp.gg/</x:v>
      </x:c>
      <x:c r="N57" s="463" t="str">
        <x:v>2026-09-15</x:v>
      </x:c>
      <x:c r="O57" s="463" t="str"/>
      <x:c r="P57" s="346" t="str">
        <x:v>Primary / first-party source recorded</x:v>
      </x:c>
    </x:row>
    <x:row r="58" ht="34" customHeight="1">
      <x:c r="A58" s="346" t="str">
        <x:v>Echon</x:v>
      </x:c>
      <x:c r="B58" s="346" t="str">
        <x:v>No public paid tier</x:v>
      </x:c>
      <x:c r="C58" s="346" t="str">
        <x:v>No public fixed-price paid tier verified</x:v>
      </x:c>
      <x:c r="D58" s="346" t="str">
        <x:v>None verified</x:v>
      </x:c>
      <x:c r="E58" s="346" t="str">
        <x:v>N/A</x:v>
      </x:c>
      <x:c r="F58" s="346" t="str">
        <x:v>N/A</x:v>
      </x:c>
      <x:c r="G58" s="346" t="str">
        <x:v>N/A</x:v>
      </x:c>
      <x:c r="H58" s="346" t="str">
        <x:v>U/K</x:v>
      </x:c>
      <x:c r="I58" s="346" t="str">
        <x:v>U/K</x:v>
      </x:c>
      <x:c r="J58" s="346" t="str">
        <x:v>Hosted service</x:v>
      </x:c>
      <x:c r="K58" s="346" t="str">
        <x:v>N/A</x:v>
      </x:c>
      <x:c r="L58" s="346" t="str">
        <x:v>U/K</x:v>
      </x:c>
      <x:c r="M58" s="346" t="str">
        <x:v>https://echon-voice.com/</x:v>
      </x:c>
      <x:c r="N58" s="346" t="str">
        <x:v>2026-09-15</x:v>
      </x:c>
      <x:c r="O58" s="346" t="str">
        <x:v>No public pricing page verified.</x:v>
      </x:c>
      <x:c r="P58" s="346" t="str">
        <x:v>Primary / first-party source recorded</x:v>
      </x:c>
    </x:row>
    <x:row r="59" ht="34" customHeight="1">
      <x:c r="A59" s="463" t="str">
        <x:v>Valour</x:v>
      </x:c>
      <x:c r="B59" s="463" t="str">
        <x:v>Supporter subscription</x:v>
      </x:c>
      <x:c r="C59" s="463" t="str">
        <x:v>Stargazer</x:v>
      </x:c>
      <x:c r="D59" s="463" t="str">
        <x:v>Active / optional; price not publicly verified</x:v>
      </x:c>
      <x:c r="E59" s="463" t="str">
        <x:v>U/K</x:v>
      </x:c>
      <x:c r="F59" s="463" t="str">
        <x:v>N/A</x:v>
      </x:c>
      <x:c r="G59" s="463" t="str">
        <x:v>U/K</x:v>
      </x:c>
      <x:c r="H59" s="463" t="str">
        <x:v>U/K</x:v>
      </x:c>
      <x:c r="I59" s="463" t="str">
        <x:v>Per supporter</x:v>
      </x:c>
      <x:c r="J59" s="463" t="str">
        <x:v>Personal account</x:v>
      </x:c>
      <x:c r="K59" s="463" t="str">
        <x:v>N/A</x:v>
      </x:c>
      <x:c r="L59" s="463" t="str">
        <x:v>Larger upload limits and profile flair; helps fund the platform</x:v>
      </x:c>
      <x:c r="M59" s="463" t="str">
        <x:v>https://valour.gg/faq/</x:v>
      </x:c>
      <x:c r="N59" s="463" t="str">
        <x:v>2026-09-15</x:v>
      </x:c>
      <x:c r="O59" s="463" t="str">
        <x:v>Current public price not verified.</x:v>
      </x:c>
      <x:c r="P59" s="346" t="str">
        <x:v>Primary / first-party source recorded</x:v>
      </x:c>
    </x:row>
    <x:row r="60" ht="34" customHeight="1">
      <x:c r="A60" s="346" t="str">
        <x:v>Weered</x:v>
      </x:c>
      <x:c r="B60" s="346" t="str">
        <x:v>Lobby subscription</x:v>
      </x:c>
      <x:c r="C60" s="346" t="str">
        <x:v>Run your own</x:v>
      </x:c>
      <x:c r="D60" s="346" t="str">
        <x:v>Active</x:v>
      </x:c>
      <x:c r="E60" s="346" t="str">
        <x:v>6.00</x:v>
      </x:c>
      <x:c r="F60" s="346" t="str">
        <x:v>N/A</x:v>
      </x:c>
      <x:c r="G60" s="346" t="str">
        <x:v>U/K</x:v>
      </x:c>
      <x:c r="H60" s="346" t="str">
        <x:v>USD</x:v>
      </x:c>
      <x:c r="I60" s="346" t="str">
        <x:v>Per lobby</x:v>
      </x:c>
      <x:c r="J60" s="346" t="str">
        <x:v>Lobby owner/community</x:v>
      </x:c>
      <x:c r="K60" s="346" t="str">
        <x:v>N/A</x:v>
      </x:c>
      <x:c r="L60" s="346" t="str">
        <x:v>Create and operate your own lobby with rooms, roles, role icons, branding and moderation</x:v>
      </x:c>
      <x:c r="M60" s="346" t="str">
        <x:v>https://weered.ca/pricing</x:v>
      </x:c>
      <x:c r="N60" s="346" t="str">
        <x:v>2026-09-15</x:v>
      </x:c>
      <x:c r="O60" s="346" t="str">
        <x:v>Using existing public lobbies is free.</x:v>
      </x:c>
      <x:c r="P60" s="346" t="str">
        <x:v>Primary / first-party source recorded</x:v>
      </x:c>
    </x:row>
    <x:row r="61" ht="34" customHeight="1">
      <x:c r="A61" s="346" t="str">
        <x:v>Weered</x:v>
      </x:c>
      <x:c r="B61" s="346" t="str">
        <x:v>Custom community build</x:v>
      </x:c>
      <x:c r="C61" s="346" t="str">
        <x:v>Have it built - Crew</x:v>
      </x:c>
      <x:c r="D61" s="346" t="str">
        <x:v>Quote</x:v>
      </x:c>
      <x:c r="E61" s="346" t="str">
        <x:v>Contact Sales</x:v>
      </x:c>
      <x:c r="F61" s="346" t="str">
        <x:v>N/A</x:v>
      </x:c>
      <x:c r="G61" s="346" t="str">
        <x:v>Contact Sales</x:v>
      </x:c>
      <x:c r="H61" s="346" t="str">
        <x:v>USD / quote</x:v>
      </x:c>
      <x:c r="I61" s="346" t="str">
        <x:v>Per community build</x:v>
      </x:c>
      <x:c r="J61" s="346" t="str">
        <x:v>Custom hosted community</x:v>
      </x:c>
      <x:c r="K61" s="346" t="str">
        <x:v>N/A</x:v>
      </x:c>
      <x:c r="L61" s="346" t="str">
        <x:v>Up to 250 members; bots rebuilt as native features; branding/domain; voice/video; co-watch; events/brackets</x:v>
      </x:c>
      <x:c r="M61" s="346" t="str">
        <x:v>https://weered.ca/pricing</x:v>
      </x:c>
      <x:c r="N61" s="346" t="str">
        <x:v>2026-09-15</x:v>
      </x:c>
      <x:c r="O61" s="346" t="str">
        <x:v>Quoted by community size; first ten builds have special founding terms.</x:v>
      </x:c>
      <x:c r="P61" s="346" t="str">
        <x:v>Primary / first-party source recorded</x:v>
      </x:c>
    </x:row>
    <x:row r="62" ht="34" customHeight="1">
      <x:c r="A62" s="346" t="str">
        <x:v>Weered</x:v>
      </x:c>
      <x:c r="B62" s="346" t="str">
        <x:v>Custom community build</x:v>
      </x:c>
      <x:c r="C62" s="346" t="str">
        <x:v>Have it built - League</x:v>
      </x:c>
      <x:c r="D62" s="346" t="str">
        <x:v>Quote</x:v>
      </x:c>
      <x:c r="E62" s="346" t="str">
        <x:v>Contact Sales</x:v>
      </x:c>
      <x:c r="F62" s="346" t="str">
        <x:v>N/A</x:v>
      </x:c>
      <x:c r="G62" s="346" t="str">
        <x:v>Contact Sales</x:v>
      </x:c>
      <x:c r="H62" s="346" t="str">
        <x:v>USD / quote</x:v>
      </x:c>
      <x:c r="I62" s="346" t="str">
        <x:v>Per community build</x:v>
      </x:c>
      <x:c r="J62" s="346" t="str">
        <x:v>Custom hosted community</x:v>
      </x:c>
      <x:c r="K62" s="346" t="str">
        <x:v>N/A</x:v>
      </x:c>
      <x:c r="L62" s="346" t="str">
        <x:v>Up to 1,000 members; bots rebuilt as native features; branding/domain; voice/video; co-watch; events/brackets</x:v>
      </x:c>
      <x:c r="M62" s="346" t="str">
        <x:v>https://weered.ca/pricing</x:v>
      </x:c>
      <x:c r="N62" s="346" t="str">
        <x:v>2026-09-15</x:v>
      </x:c>
      <x:c r="O62" s="346" t="str">
        <x:v>Quoted by community size; first ten builds have special founding terms.</x:v>
      </x:c>
      <x:c r="P62" s="346" t="str">
        <x:v>Primary / first-party source recorded</x:v>
      </x:c>
    </x:row>
    <x:row r="63" ht="34" customHeight="1">
      <x:c r="A63" s="346" t="str">
        <x:v>Weered</x:v>
      </x:c>
      <x:c r="B63" s="346" t="str">
        <x:v>Custom community build</x:v>
      </x:c>
      <x:c r="C63" s="346" t="str">
        <x:v>Have it built - Network</x:v>
      </x:c>
      <x:c r="D63" s="346" t="str">
        <x:v>Quote</x:v>
      </x:c>
      <x:c r="E63" s="346" t="str">
        <x:v>Contact Sales</x:v>
      </x:c>
      <x:c r="F63" s="346" t="str">
        <x:v>N/A</x:v>
      </x:c>
      <x:c r="G63" s="346" t="str">
        <x:v>Contact Sales</x:v>
      </x:c>
      <x:c r="H63" s="346" t="str">
        <x:v>USD / quote</x:v>
      </x:c>
      <x:c r="I63" s="346" t="str">
        <x:v>Per community build</x:v>
      </x:c>
      <x:c r="J63" s="346" t="str">
        <x:v>Custom hosted community</x:v>
      </x:c>
      <x:c r="K63" s="346" t="str">
        <x:v>N/A</x:v>
      </x:c>
      <x:c r="L63" s="346" t="str">
        <x:v>Up to 5,000 members; bots rebuilt as native features; branding/domain; voice/video; co-watch; events/brackets</x:v>
      </x:c>
      <x:c r="M63" s="346" t="str">
        <x:v>https://weered.ca/pricing</x:v>
      </x:c>
      <x:c r="N63" s="346" t="str">
        <x:v>2026-09-15</x:v>
      </x:c>
      <x:c r="O63" s="346" t="str">
        <x:v>Quoted by community size; first ten builds have special founding terms.</x:v>
      </x:c>
      <x:c r="P63" s="346" t="str">
        <x:v>Primary / first-party source recorded</x:v>
      </x:c>
    </x:row>
    <x:row r="64" ht="34" customHeight="1">
      <x:c r="A64" s="346" t="str">
        <x:v>Weered</x:v>
      </x:c>
      <x:c r="B64" s="346" t="str">
        <x:v>Custom community build</x:v>
      </x:c>
      <x:c r="C64" s="346" t="str">
        <x:v>Have it built - Larger</x:v>
      </x:c>
      <x:c r="D64" s="346" t="str">
        <x:v>Quote</x:v>
      </x:c>
      <x:c r="E64" s="346" t="str">
        <x:v>Contact Sales</x:v>
      </x:c>
      <x:c r="F64" s="346" t="str">
        <x:v>N/A</x:v>
      </x:c>
      <x:c r="G64" s="346" t="str">
        <x:v>Contact Sales</x:v>
      </x:c>
      <x:c r="H64" s="346" t="str">
        <x:v>USD / quote</x:v>
      </x:c>
      <x:c r="I64" s="346" t="str">
        <x:v>Per community build</x:v>
      </x:c>
      <x:c r="J64" s="346" t="str">
        <x:v>Custom hosted community</x:v>
      </x:c>
      <x:c r="K64" s="346" t="str">
        <x:v>N/A</x:v>
      </x:c>
      <x:c r="L64" s="346" t="str">
        <x:v>Custom size / dedicated infrastructure; bots rebuilt as native features; branding/domain; voice/video; co-watch; events/brackets</x:v>
      </x:c>
      <x:c r="M64" s="346" t="str">
        <x:v>https://weered.ca/pricing</x:v>
      </x:c>
      <x:c r="N64" s="346" t="str">
        <x:v>2026-09-15</x:v>
      </x:c>
      <x:c r="O64" s="346" t="str">
        <x:v>Quoted by community size; first ten builds have special founding terms.</x:v>
      </x:c>
      <x:c r="P64" s="346" t="str">
        <x:v>Primary / first-party source recorded</x:v>
      </x:c>
    </x:row>
  </x:sheetData>
  <x:mergeCells>
    <x:mergeCell ref="A1:O1"/>
    <x:mergeCell ref="A1:P1"/>
  </x:mergeCells>
  <x:conditionalFormatting sqref="B3:AE50">
    <x:cfRule type="expression" dxfId="0" priority="1">
      <x:formula>ISNUMBER(SEARCH("U/K",B3))</x:formula>
    </x:cfRule>
  </x:conditionalFormatting>
  <x:conditionalFormatting sqref="D3:D64">
    <x:cfRule type="expression" dxfId="13" priority="2">
      <x:formula>OR(ISNUMBER(SEARCH("Contact",D3)),ISNUMBER(SEARCH("Quote",D3)))</x:formula>
    </x:cfRule>
    <x:cfRule type="expression" dxfId="14" priority="3">
      <x:formula>ISNUMBER(SEARCH("None",D3))</x:formula>
    </x:cfRule>
  </x:conditionalFormatting>
  <x:conditionalFormatting sqref="E3:E64">
    <x:cfRule type="expression" dxfId="15" priority="4">
      <x:formula>OR(E3="U/K",E3="N/A")</x:formula>
    </x:cfRule>
  </x:conditionalFormatting>
  <x:conditionalFormatting sqref="F3:F64">
    <x:cfRule type="expression" dxfId="16" priority="5">
      <x:formula>OR(F3="U/K",F3="N/A")</x:formula>
    </x:cfRule>
  </x:conditionalFormatting>
  <x:conditionalFormatting sqref="G3:G64">
    <x:cfRule type="expression" dxfId="17" priority="6">
      <x:formula>OR(G3="U/K",G3="N/A")</x:formula>
    </x:cfRule>
  </x:conditionalFormatting>
  <x:conditionalFormatting sqref="A3:O64">
    <x:cfRule type="expression" dxfId="92" priority="7">
      <x:formula>ISNUMBER(SEARCH("Coming soon",D3))</x:formula>
    </x:cfRule>
    <x:cfRule type="expression" dxfId="93" priority="8">
      <x:formula>ISNUMBER(SEARCH("Grandfathered",D3))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6a9c6087570430d"/>
  </x:tableParts>
</x:worksheet>
</file>

<file path=xl/worksheets/sheet4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</x:cols>
  <x:sheetData>
    <x:row r="1" ht="28" customHeight="1">
      <x:c r="A1" s="368" t="str">
        <x:v>Free vs Paid Feature Entitlements</x:v>
      </x:c>
      <x:c r="B1" s="368"/>
      <x:c r="C1" s="368"/>
      <x:c r="D1" s="368"/>
      <x:c r="E1" s="368"/>
      <x:c r="F1" s="368"/>
      <x:c r="G1" s="368"/>
      <x:c r="H1" s="368"/>
      <x:c r="I1" s="368"/>
      <x:c r="J1" s="368"/>
      <x:c r="K1" s="368"/>
      <x:c r="L1" s="368"/>
      <x:c r="M1" s="368"/>
      <x:c r="N1" s="368"/>
      <x:c r="O1" s="368"/>
      <x:c r="P1" s="368"/>
      <x:c r="Q1" s="368"/>
      <x:c r="R1" s="368"/>
      <x:c r="S1" s="368"/>
      <x:c r="T1" s="368"/>
      <x:c r="U1" s="368"/>
      <x:c r="V1" s="368"/>
      <x:c r="W1" s="368"/>
      <x:c r="X1" s="368"/>
      <x:c r="Y1" s="368"/>
      <x:c r="Z1" s="368"/>
      <x:c r="AA1" s="368"/>
      <x:c r="AB1" s="368"/>
      <x:c r="AC1" s="368"/>
      <x:c r="AD1" s="368"/>
      <x:c r="AE1" s="368"/>
    </x:row>
    <x:row r="2" ht="34" customHeight="1">
      <x:c r="A2" s="375" t="str">
        <x:v>Category</x:v>
      </x:c>
      <x:c r="B2" s="376" t="str">
        <x:f>'At a Glance'!$B$2</x:f>
        <x:v>Discord</x:v>
      </x:c>
      <x:c r="C2" s="376" t="str">
        <x:f>'At a Glance'!$C$2</x:f>
        <x:v>Stoat</x:v>
      </x:c>
      <x:c r="D2" s="376" t="str">
        <x:f>'At a Glance'!$D$2</x:f>
        <x:v>Fenrid</x:v>
      </x:c>
      <x:c r="E2" s="376" t="str">
        <x:f>'At a Glance'!$E$2</x:f>
        <x:v>Fluxer</x:v>
      </x:c>
      <x:c r="F2" s="376" t="str">
        <x:f>'At a Glance'!$F$2</x:f>
        <x:v>Root</x:v>
      </x:c>
      <x:c r="G2" s="376" t="str">
        <x:f>'At a Glance'!$G$2</x:f>
        <x:v>Matrix</x:v>
      </x:c>
      <x:c r="H2" s="376" t="str">
        <x:f>'At a Glance'!$H$2</x:f>
        <x:v>Spacebar</x:v>
      </x:c>
      <x:c r="I2" s="376" t="str">
        <x:f>'At a Glance'!$I$2</x:f>
        <x:v>Mumble</x:v>
      </x:c>
      <x:c r="J2" s="376" t="str">
        <x:f>'At a Glance'!$J$2</x:f>
        <x:v>TeamSpeak</x:v>
      </x:c>
      <x:c r="K2" s="376" t="str">
        <x:f>'At a Glance'!$K$2</x:f>
        <x:v>Zulip</x:v>
      </x:c>
      <x:c r="L2" s="376" t="str">
        <x:f>'At a Glance'!$L$2</x:f>
        <x:v>Mattermost</x:v>
      </x:c>
      <x:c r="M2" s="376" t="str">
        <x:f>'At a Glance'!$M$2</x:f>
        <x:v>Rocket.Chat</x:v>
      </x:c>
      <x:c r="N2" s="376" t="str">
        <x:f>'At a Glance'!$N$2</x:f>
        <x:v>GameVox</x:v>
      </x:c>
      <x:c r="O2" s="376" t="str">
        <x:f>'At a Glance'!$O$2</x:f>
        <x:v>Nerimity</x:v>
      </x:c>
      <x:c r="P2" s="376" t="str">
        <x:f>'At a Glance'!$P$2</x:f>
        <x:v>Osmium</x:v>
      </x:c>
      <x:c r="Q2" s="376" t="str">
        <x:f>'At a Glance'!$Q$2</x:f>
        <x:v>Loqa</x:v>
      </x:c>
      <x:c r="R2" s="376" t="str">
        <x:f>'At a Glance'!$R$2</x:f>
        <x:v>Venta</x:v>
      </x:c>
      <x:c r="S2" s="376" t="str">
        <x:f>'At a Glance'!$S$2</x:f>
        <x:v>Mezon</x:v>
      </x:c>
      <x:c r="T2" s="376" t="str">
        <x:f>'At a Glance'!$T$2</x:f>
        <x:v>Kloak</x:v>
      </x:c>
      <x:c r="U2" s="376" t="str">
        <x:f>'At a Glance'!$U$2</x:f>
        <x:v>Yapper</x:v>
      </x:c>
      <x:c r="V2" s="376" t="str">
        <x:f>'At a Glance'!$V$2</x:f>
        <x:v>Harmony</x:v>
      </x:c>
      <x:c r="W2" s="376" t="str">
        <x:f>'At a Glance'!$W$2</x:f>
        <x:v>Roomy</x:v>
      </x:c>
      <x:c r="X2" s="376" t="str">
        <x:f>'At a Glance'!$X$2</x:f>
        <x:v>Armada</x:v>
      </x:c>
      <x:c r="Y2" s="376" t="str">
        <x:f>'At a Glance'!$Y$2</x:f>
        <x:v>Hollow</x:v>
      </x:c>
      <x:c r="Z2" s="376" t="str">
        <x:f>'At a Glance'!$Z$2</x:f>
        <x:v>DCTS</x:v>
      </x:c>
      <x:c r="AA2" s="383" t="str">
        <x:f>'At a Glance'!$AA$2</x:f>
        <x:v>Rift</x:v>
      </x:c>
      <x:c r="AB2" s="376" t="str">
        <x:f>'At a Glance'!$AB$2</x:f>
        <x:v>pqp.gg</x:v>
      </x:c>
      <x:c r="AC2" s="376" t="str">
        <x:f>'At a Glance'!$AC$2</x:f>
        <x:v>Echon</x:v>
      </x:c>
      <x:c r="AD2" s="376" t="str">
        <x:f>'At a Glance'!$AD$2</x:f>
        <x:v>Valour</x:v>
      </x:c>
      <x:c r="AE2" s="377" t="str">
        <x:f>'At a Glance'!$AE$2</x:f>
        <x:v>Weered</x:v>
      </x:c>
    </x:row>
    <x:row r="3" ht="23" customHeight="1">
      <x:c r="A3" s="427" t="str">
        <x:v>Profile &amp; Cosmetic Entitlements</x:v>
      </x:c>
      <x:c r="B3" s="427"/>
      <x:c r="C3" s="427"/>
      <x:c r="D3" s="427"/>
      <x:c r="E3" s="427"/>
      <x:c r="F3" s="427"/>
      <x:c r="G3" s="427"/>
      <x:c r="H3" s="427"/>
      <x:c r="I3" s="427"/>
      <x:c r="J3" s="427"/>
      <x:c r="K3" s="427"/>
      <x:c r="L3" s="427"/>
      <x:c r="M3" s="427"/>
      <x:c r="N3" s="427"/>
      <x:c r="O3" s="427"/>
      <x:c r="P3" s="427"/>
      <x:c r="Q3" s="427"/>
      <x:c r="R3" s="427"/>
      <x:c r="S3" s="427"/>
      <x:c r="T3" s="427"/>
      <x:c r="U3" s="427"/>
      <x:c r="V3" s="427"/>
      <x:c r="W3" s="427"/>
      <x:c r="X3" s="427"/>
      <x:c r="Y3" s="427"/>
      <x:c r="Z3" s="427"/>
      <x:c r="AA3" s="427"/>
      <x:c r="AB3" s="427"/>
      <x:c r="AC3" s="427"/>
      <x:c r="AD3" s="427"/>
      <x:c r="AE3" s="427"/>
    </x:row>
    <x:row r="4" ht="36" customHeight="1">
      <x:c r="A4" s="359" t="str">
        <x:v>Animated Avatar Available?</x:v>
      </x:c>
      <x:c r="B4" s="346" t="str">
        <x:v>Yes</x:v>
      </x:c>
      <x:c r="C4" s="346" t="str">
        <x:v>U/K</x:v>
      </x:c>
      <x:c r="D4" s="346" t="str">
        <x:v>U/K</x:v>
      </x:c>
      <x:c r="E4" s="346" t="str">
        <x:v>Yes</x:v>
      </x:c>
      <x:c r="F4" s="346" t="str">
        <x:v>U/K</x:v>
      </x:c>
      <x:c r="G4" s="346" t="str">
        <x:v>Client/provider-dependent</x:v>
      </x:c>
      <x:c r="H4" s="346" t="str">
        <x:v>U/K</x:v>
      </x:c>
      <x:c r="I4" s="346" t="str">
        <x:v>U/K</x:v>
      </x:c>
      <x:c r="J4" s="346" t="str">
        <x:v>U/K</x:v>
      </x:c>
      <x:c r="K4" s="346" t="str">
        <x:v>U/K</x:v>
      </x:c>
      <x:c r="L4" s="346" t="str">
        <x:v>U/K</x:v>
      </x:c>
      <x:c r="M4" s="346" t="str">
        <x:v>U/K</x:v>
      </x:c>
      <x:c r="N4" s="346" t="str">
        <x:v>U/K</x:v>
      </x:c>
      <x:c r="O4" s="346" t="str">
        <x:v>U/K</x:v>
      </x:c>
      <x:c r="P4" s="346" t="str">
        <x:v>U/K</x:v>
      </x:c>
      <x:c r="Q4" s="346" t="str">
        <x:v>U/K</x:v>
      </x:c>
      <x:c r="R4" s="346" t="str">
        <x:v>U/K</x:v>
      </x:c>
      <x:c r="S4" s="346" t="str">
        <x:v>U/K</x:v>
      </x:c>
      <x:c r="T4" s="346" t="str">
        <x:v>U/K</x:v>
      </x:c>
      <x:c r="U4" s="346" t="str">
        <x:v>U/K</x:v>
      </x:c>
      <x:c r="V4" s="346" t="str">
        <x:v>U/K</x:v>
      </x:c>
      <x:c r="W4" s="346" t="str">
        <x:v>U/K</x:v>
      </x:c>
      <x:c r="X4" s="346" t="str">
        <x:v>U/K</x:v>
      </x:c>
      <x:c r="Y4" s="346" t="str">
        <x:v>U/K</x:v>
      </x:c>
      <x:c r="Z4" s="346" t="str">
        <x:v>U/K</x:v>
      </x:c>
      <x:c r="AA4" s="380" t="str">
        <x:v>Yes</x:v>
      </x:c>
      <x:c r="AB4" s="346" t="str">
        <x:v>U/K</x:v>
      </x:c>
      <x:c r="AC4" s="346" t="str">
        <x:v>U/K</x:v>
      </x:c>
      <x:c r="AD4" s="346" t="str">
        <x:v>U/K</x:v>
      </x:c>
      <x:c r="AE4" s="346" t="str">
        <x:v>U/K</x:v>
      </x:c>
    </x:row>
    <x:row r="5" ht="36" customHeight="1">
      <x:c r="A5" s="359" t="str">
        <x:v>Animated Avatar Access</x:v>
      </x:c>
      <x:c r="B5" s="346" t="str">
        <x:v>Paid - Nitro</x:v>
      </x:c>
      <x:c r="C5" s="346" t="str">
        <x:v>U/K</x:v>
      </x:c>
      <x:c r="D5" s="346" t="str">
        <x:v>U/K</x:v>
      </x:c>
      <x:c r="E5" s="346" t="str">
        <x:v>Paid - Plutonium</x:v>
      </x:c>
      <x:c r="F5" s="346" t="str">
        <x:v>U/K</x:v>
      </x:c>
      <x:c r="G5" s="346" t="str">
        <x:v>Client/provider-dependent</x:v>
      </x:c>
      <x:c r="H5" s="346" t="str">
        <x:v>U/K</x:v>
      </x:c>
      <x:c r="I5" s="346" t="str">
        <x:v>U/K</x:v>
      </x:c>
      <x:c r="J5" s="346" t="str">
        <x:v>U/K</x:v>
      </x:c>
      <x:c r="K5" s="346" t="str">
        <x:v>U/K</x:v>
      </x:c>
      <x:c r="L5" s="346" t="str">
        <x:v>U/K</x:v>
      </x:c>
      <x:c r="M5" s="346" t="str">
        <x:v>U/K</x:v>
      </x:c>
      <x:c r="N5" s="346" t="str">
        <x:v>U/K</x:v>
      </x:c>
      <x:c r="O5" s="346" t="str">
        <x:v>U/K</x:v>
      </x:c>
      <x:c r="P5" s="346" t="str">
        <x:v>U/K</x:v>
      </x:c>
      <x:c r="Q5" s="346" t="str">
        <x:v>U/K</x:v>
      </x:c>
      <x:c r="R5" s="346" t="str">
        <x:v>U/K</x:v>
      </x:c>
      <x:c r="S5" s="346" t="str">
        <x:v>Free if supported</x:v>
      </x:c>
      <x:c r="T5" s="346" t="str">
        <x:v>U/K</x:v>
      </x:c>
      <x:c r="U5" s="346" t="str">
        <x:v>U/K</x:v>
      </x:c>
      <x:c r="V5" s="346" t="str">
        <x:v>U/K</x:v>
      </x:c>
      <x:c r="W5" s="346" t="str">
        <x:v>U/K</x:v>
      </x:c>
      <x:c r="X5" s="346" t="str">
        <x:v>U/K</x:v>
      </x:c>
      <x:c r="Y5" s="346" t="str">
        <x:v>U/K</x:v>
      </x:c>
      <x:c r="Z5" s="346" t="str">
        <x:v>U/K</x:v>
      </x:c>
      <x:c r="AA5" s="380" t="str">
        <x:v>Rift+ / entitlement details vary</x:v>
      </x:c>
      <x:c r="AB5" s="346" t="str">
        <x:v>U/K</x:v>
      </x:c>
      <x:c r="AC5" s="346" t="str">
        <x:v>U/K</x:v>
      </x:c>
      <x:c r="AD5" s="346" t="str">
        <x:v>U/K</x:v>
      </x:c>
      <x:c r="AE5" s="346" t="str">
        <x:v>U/K</x:v>
      </x:c>
    </x:row>
    <x:row r="6" ht="36" customHeight="1">
      <x:c r="A6" s="359" t="str">
        <x:v>Profile Banner Available?</x:v>
      </x:c>
      <x:c r="B6" s="346" t="str">
        <x:v>Yes</x:v>
      </x:c>
      <x:c r="C6" s="346" t="str">
        <x:v>U/K</x:v>
      </x:c>
      <x:c r="D6" s="346" t="str">
        <x:v>U/K</x:v>
      </x:c>
      <x:c r="E6" s="346" t="str">
        <x:v>Yes</x:v>
      </x:c>
      <x:c r="F6" s="346" t="str">
        <x:v>Yes/U/K</x:v>
      </x:c>
      <x:c r="G6" s="346" t="str">
        <x:v>Client-dependent</x:v>
      </x:c>
      <x:c r="H6" s="346" t="str">
        <x:v>U/K</x:v>
      </x:c>
      <x:c r="I6" s="346" t="str">
        <x:v>U/K</x:v>
      </x:c>
      <x:c r="J6" s="346" t="str">
        <x:v>U/K</x:v>
      </x:c>
      <x:c r="K6" s="346" t="str">
        <x:v>U/K</x:v>
      </x:c>
      <x:c r="L6" s="346" t="str">
        <x:v>U/K</x:v>
      </x:c>
      <x:c r="M6" s="346" t="str">
        <x:v>U/K</x:v>
      </x:c>
      <x:c r="N6" s="346" t="str">
        <x:v>U/K</x:v>
      </x:c>
      <x:c r="O6" s="346" t="str">
        <x:v>U/K</x:v>
      </x:c>
      <x:c r="P6" s="346" t="str">
        <x:v>U/K</x:v>
      </x:c>
      <x:c r="Q6" s="346" t="str">
        <x:v>U/K</x:v>
      </x:c>
      <x:c r="R6" s="346" t="str">
        <x:v>U/K</x:v>
      </x:c>
      <x:c r="S6" s="346" t="str">
        <x:v>U/K</x:v>
      </x:c>
      <x:c r="T6" s="346" t="str">
        <x:v>U/K</x:v>
      </x:c>
      <x:c r="U6" s="346" t="str">
        <x:v>U/K</x:v>
      </x:c>
      <x:c r="V6" s="346" t="str">
        <x:v>U/K</x:v>
      </x:c>
      <x:c r="W6" s="346" t="str">
        <x:v>U/K</x:v>
      </x:c>
      <x:c r="X6" s="346" t="str">
        <x:v>U/K</x:v>
      </x:c>
      <x:c r="Y6" s="346" t="str">
        <x:v>U/K</x:v>
      </x:c>
      <x:c r="Z6" s="346" t="str">
        <x:v>U/K</x:v>
      </x:c>
      <x:c r="AA6" s="380" t="str">
        <x:v>Yes</x:v>
      </x:c>
      <x:c r="AB6" s="346" t="str">
        <x:v>U/K</x:v>
      </x:c>
      <x:c r="AC6" s="346" t="str">
        <x:v>U/K</x:v>
      </x:c>
      <x:c r="AD6" s="346" t="str">
        <x:v>U/K</x:v>
      </x:c>
      <x:c r="AE6" s="346" t="str">
        <x:v>U/K</x:v>
      </x:c>
    </x:row>
    <x:row r="7" ht="36" customHeight="1">
      <x:c r="A7" s="359" t="str">
        <x:v>Profile Banner Access</x:v>
      </x:c>
      <x:c r="B7" s="346" t="str">
        <x:v>Paid - Nitro</x:v>
      </x:c>
      <x:c r="C7" s="346" t="str">
        <x:v>U/K</x:v>
      </x:c>
      <x:c r="D7" s="346" t="str">
        <x:v>U/K</x:v>
      </x:c>
      <x:c r="E7" s="346" t="str">
        <x:v>Paid - Plutonium</x:v>
      </x:c>
      <x:c r="F7" s="346" t="str">
        <x:v>Most identity/cosmetic customization is broadly available; exact Sudo gating U/K</x:v>
      </x:c>
      <x:c r="G7" s="346" t="str">
        <x:v>Client/provider-dependent</x:v>
      </x:c>
      <x:c r="H7" s="346" t="str">
        <x:v>U/K</x:v>
      </x:c>
      <x:c r="I7" s="346" t="str">
        <x:v>U/K</x:v>
      </x:c>
      <x:c r="J7" s="346" t="str">
        <x:v>U/K</x:v>
      </x:c>
      <x:c r="K7" s="346" t="str">
        <x:v>U/K</x:v>
      </x:c>
      <x:c r="L7" s="346" t="str">
        <x:v>U/K</x:v>
      </x:c>
      <x:c r="M7" s="346" t="str">
        <x:v>U/K</x:v>
      </x:c>
      <x:c r="N7" s="346" t="str">
        <x:v>U/K</x:v>
      </x:c>
      <x:c r="O7" s="346" t="str">
        <x:v>U/K</x:v>
      </x:c>
      <x:c r="P7" s="346" t="str">
        <x:v>U/K</x:v>
      </x:c>
      <x:c r="Q7" s="346" t="str">
        <x:v>U/K</x:v>
      </x:c>
      <x:c r="R7" s="346" t="str">
        <x:v>U/K</x:v>
      </x:c>
      <x:c r="S7" s="346" t="str">
        <x:v>Free if supported</x:v>
      </x:c>
      <x:c r="T7" s="346" t="str">
        <x:v>U/K</x:v>
      </x:c>
      <x:c r="U7" s="346" t="str">
        <x:v>U/K</x:v>
      </x:c>
      <x:c r="V7" s="346" t="str">
        <x:v>U/K</x:v>
      </x:c>
      <x:c r="W7" s="346" t="str">
        <x:v>U/K</x:v>
      </x:c>
      <x:c r="X7" s="346" t="str">
        <x:v>U/K</x:v>
      </x:c>
      <x:c r="Y7" s="346" t="str">
        <x:v>U/K</x:v>
      </x:c>
      <x:c r="Z7" s="346" t="str">
        <x:v>U/K</x:v>
      </x:c>
      <x:c r="AA7" s="380" t="str">
        <x:v>Rift+ adds animated/profile cosmetics</x:v>
      </x:c>
      <x:c r="AB7" s="346" t="str">
        <x:v>U/K</x:v>
      </x:c>
      <x:c r="AC7" s="346" t="str">
        <x:v>U/K</x:v>
      </x:c>
      <x:c r="AD7" s="346" t="str">
        <x:v>U/K</x:v>
      </x:c>
      <x:c r="AE7" s="346" t="str">
        <x:v>U/K</x:v>
      </x:c>
    </x:row>
    <x:row r="8" ht="36" customHeight="1">
      <x:c r="A8" s="359" t="str">
        <x:v>Custom Themes Available?</x:v>
      </x:c>
      <x:c r="B8" s="346" t="str">
        <x:v>Yes</x:v>
      </x:c>
      <x:c r="C8" s="346" t="str">
        <x:v>U/K</x:v>
      </x:c>
      <x:c r="D8" s="346" t="str">
        <x:v>Planned / Yes</x:v>
      </x:c>
      <x:c r="E8" s="346" t="str">
        <x:v>Yes</x:v>
      </x:c>
      <x:c r="F8" s="346" t="str">
        <x:v>U/K</x:v>
      </x:c>
      <x:c r="G8" s="346" t="str">
        <x:v>Client-dependent</x:v>
      </x:c>
      <x:c r="H8" s="346" t="str">
        <x:v>Client-dependent</x:v>
      </x:c>
      <x:c r="I8" s="346" t="str">
        <x:v>U/K</x:v>
      </x:c>
      <x:c r="J8" s="346" t="str">
        <x:v>Yes / add-on ecosystem</x:v>
      </x:c>
      <x:c r="K8" s="346" t="str">
        <x:v>Yes</x:v>
      </x:c>
      <x:c r="L8" s="346" t="str">
        <x:v>Yes</x:v>
      </x:c>
      <x:c r="M8" s="346" t="str">
        <x:v>Yes</x:v>
      </x:c>
      <x:c r="N8" s="346" t="str">
        <x:v>U/K</x:v>
      </x:c>
      <x:c r="O8" s="346" t="str">
        <x:v>Yes / community themes</x:v>
      </x:c>
      <x:c r="P8" s="346" t="str">
        <x:v>U/K</x:v>
      </x:c>
      <x:c r="Q8" s="346" t="str">
        <x:v>U/K</x:v>
      </x:c>
      <x:c r="R8" s="346" t="str">
        <x:v>U/K</x:v>
      </x:c>
      <x:c r="S8" s="346" t="str">
        <x:v>U/K</x:v>
      </x:c>
      <x:c r="T8" s="346" t="str">
        <x:v>U/K</x:v>
      </x:c>
      <x:c r="U8" s="346" t="str">
        <x:v>U/K</x:v>
      </x:c>
      <x:c r="V8" s="346" t="str">
        <x:v>Yes / client-controlled</x:v>
      </x:c>
      <x:c r="W8" s="346" t="str">
        <x:v>U/K</x:v>
      </x:c>
      <x:c r="X8" s="346" t="str">
        <x:v>U/K</x:v>
      </x:c>
      <x:c r="Y8" s="346" t="str">
        <x:v>U/K</x:v>
      </x:c>
      <x:c r="Z8" s="346" t="str">
        <x:v>U/K</x:v>
      </x:c>
      <x:c r="AA8" s="380" t="str">
        <x:v>Yes</x:v>
      </x:c>
      <x:c r="AB8" s="346" t="str">
        <x:v>U/K</x:v>
      </x:c>
      <x:c r="AC8" s="346" t="str">
        <x:v>U/K</x:v>
      </x:c>
      <x:c r="AD8" s="346" t="str">
        <x:v>Yes</x:v>
      </x:c>
      <x:c r="AE8" s="346" t="str">
        <x:v>U/K</x:v>
      </x:c>
    </x:row>
    <x:row r="9" ht="36" customHeight="1">
      <x:c r="A9" s="359" t="str">
        <x:v>Custom Themes Access</x:v>
      </x:c>
      <x:c r="B9" s="346" t="str">
        <x:v>Paid - Nitro</x:v>
      </x:c>
      <x:c r="C9" s="346" t="str">
        <x:v>U/K</x:v>
      </x:c>
      <x:c r="D9" s="346" t="str">
        <x:v>Paid tiers planned to expand themes</x:v>
      </x:c>
      <x:c r="E9" s="346" t="str">
        <x:v>Free / open-source theming; Plutonium includes additional cosmetics</x:v>
      </x:c>
      <x:c r="F9" s="346" t="str">
        <x:v>U/K</x:v>
      </x:c>
      <x:c r="G9" s="346" t="str">
        <x:v>Client-dependent</x:v>
      </x:c>
      <x:c r="H9" s="346" t="str">
        <x:v>Self-host/client controlled</x:v>
      </x:c>
      <x:c r="I9" s="346" t="str">
        <x:v>U/K</x:v>
      </x:c>
      <x:c r="J9" s="346" t="str">
        <x:v>Client/add-on ecosystem</x:v>
      </x:c>
      <x:c r="K9" s="346" t="str">
        <x:v>Core app themes; not a cosmetic subscription model</x:v>
      </x:c>
      <x:c r="L9" s="346" t="str">
        <x:v>Core/client capability</x:v>
      </x:c>
      <x:c r="M9" s="346" t="str">
        <x:v>Deployment/admin capability</x:v>
      </x:c>
      <x:c r="N9" s="346" t="str">
        <x:v>U/K</x:v>
      </x:c>
      <x:c r="O9" s="346" t="str">
        <x:v>Free/open-source/community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Free if supported</x:v>
      </x:c>
      <x:c r="T9" s="346" t="str">
        <x:v>U/K</x:v>
      </x:c>
      <x:c r="U9" s="346" t="str">
        <x:v>U/K</x:v>
      </x:c>
      <x:c r="V9" s="346" t="str">
        <x:v>Open-source client</x:v>
      </x:c>
      <x:c r="W9" s="346" t="str">
        <x:v>U/K</x:v>
      </x:c>
      <x:c r="X9" s="346" t="str">
        <x:v>U/K</x:v>
      </x:c>
      <x:c r="Y9" s="346" t="str">
        <x:v>U/K</x:v>
      </x:c>
      <x:c r="Z9" s="346" t="str">
        <x:v>U/K</x:v>
      </x:c>
      <x:c r="AA9" s="380" t="str">
        <x:v>Rift+ adds animated themes/accents</x:v>
      </x:c>
      <x:c r="AB9" s="346" t="str">
        <x:v>U/K</x:v>
      </x:c>
      <x:c r="AC9" s="346" t="str">
        <x:v>U/K</x:v>
      </x:c>
      <x:c r="AD9" s="346" t="str">
        <x:v>Themes marketplace/core</x:v>
      </x:c>
      <x:c r="AE9" s="346" t="str">
        <x:v>U/K</x:v>
      </x:c>
    </x:row>
    <x:row r="10" ht="36" customHeight="1">
      <x:c r="A10" s="359" t="str">
        <x:v>Per-Community Profile Available?</x:v>
      </x:c>
      <x:c r="B10" s="346" t="str">
        <x:v>Yes</x:v>
      </x:c>
      <x:c r="C10" s="346" t="str">
        <x:v>U/K</x:v>
      </x:c>
      <x:c r="D10" s="346" t="str">
        <x:v>U/K</x:v>
      </x:c>
      <x:c r="E10" s="346" t="str">
        <x:v>Yes</x:v>
      </x:c>
      <x:c r="F10" s="346" t="str">
        <x:v>U/K</x:v>
      </x:c>
      <x:c r="G10" s="346" t="str">
        <x:v>Client/protocol-extension dependent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U/K</x:v>
      </x:c>
      <x:c r="W10" s="346" t="str">
        <x:v>U/K</x:v>
      </x:c>
      <x:c r="X10" s="346" t="str">
        <x:v>U/K</x:v>
      </x:c>
      <x:c r="Y10" s="346" t="str">
        <x:v>U/K</x:v>
      </x:c>
      <x:c r="Z10" s="346" t="str">
        <x:v>U/K</x:v>
      </x:c>
      <x:c r="AA10" s="380" t="str">
        <x:v>Yes/U/K</x:v>
      </x:c>
      <x:c r="AB10" s="346" t="str">
        <x:v>U/K</x:v>
      </x:c>
      <x:c r="AC10" s="346" t="str">
        <x:v>U/K</x:v>
      </x:c>
      <x:c r="AD10" s="346" t="str">
        <x:v>U/K</x:v>
      </x:c>
      <x:c r="AE10" s="346" t="str">
        <x:v>U/K</x:v>
      </x:c>
    </x:row>
    <x:row r="11" ht="36" customHeight="1">
      <x:c r="A11" s="359" t="str">
        <x:v>Per-Community Profile Access</x:v>
      </x:c>
      <x:c r="B11" s="346" t="str">
        <x:v>Paid - Nitro for expanded customization</x:v>
      </x:c>
      <x:c r="C11" s="346" t="str">
        <x:v>U/K</x:v>
      </x:c>
      <x:c r="D11" s="346" t="str">
        <x:v>U/K</x:v>
      </x:c>
      <x:c r="E11" s="346" t="str">
        <x:v>Paid - Plutonium</x:v>
      </x:c>
      <x:c r="F11" s="346" t="str">
        <x:v>U/K</x:v>
      </x:c>
      <x:c r="G11" s="346" t="str">
        <x:v>Client/provider-dependent</x:v>
      </x:c>
      <x:c r="H11" s="346" t="str">
        <x:v>U/K</x:v>
      </x:c>
      <x:c r="I11" s="346" t="str">
        <x:v>U/K</x:v>
      </x:c>
      <x:c r="J11" s="346" t="str">
        <x:v>U/K</x:v>
      </x:c>
      <x:c r="K11" s="346" t="str">
        <x:v>U/K</x:v>
      </x:c>
      <x:c r="L11" s="346" t="str">
        <x:v>U/K</x:v>
      </x:c>
      <x:c r="M11" s="346" t="str">
        <x:v>U/K</x:v>
      </x:c>
      <x:c r="N11" s="346" t="str">
        <x:v>U/K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U/K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U/K</x:v>
      </x:c>
      <x:c r="W11" s="346" t="str">
        <x:v>U/K</x:v>
      </x:c>
      <x:c r="X11" s="346" t="str">
        <x:v>U/K</x:v>
      </x:c>
      <x:c r="Y11" s="346" t="str">
        <x:v>U/K</x:v>
      </x:c>
      <x:c r="Z11" s="346" t="str">
        <x:v>U/K</x:v>
      </x:c>
      <x:c r="AA11" s="380" t="str">
        <x:v>U/K</x:v>
      </x:c>
      <x:c r="AB11" s="346" t="str">
        <x:v>U/K</x:v>
      </x:c>
      <x:c r="AC11" s="346" t="str">
        <x:v>U/K</x:v>
      </x:c>
      <x:c r="AD11" s="346" t="str">
        <x:v>U/K</x:v>
      </x:c>
      <x:c r="AE11" s="346" t="str">
        <x:v>U/K</x:v>
      </x:c>
    </x:row>
    <x:row r="12" ht="23" customHeight="1">
      <x:c r="A12" s="427" t="str">
        <x:v>Emoji / Sticker / Soundboard Entitlements</x:v>
      </x:c>
      <x:c r="B12" s="427"/>
      <x:c r="C12" s="427"/>
      <x:c r="D12" s="427"/>
      <x:c r="E12" s="427"/>
      <x:c r="F12" s="427"/>
      <x:c r="G12" s="427"/>
      <x:c r="H12" s="427"/>
      <x:c r="I12" s="427"/>
      <x:c r="J12" s="427"/>
      <x:c r="K12" s="427"/>
      <x:c r="L12" s="427"/>
      <x:c r="M12" s="427"/>
      <x:c r="N12" s="427"/>
      <x:c r="O12" s="427"/>
      <x:c r="P12" s="427"/>
      <x:c r="Q12" s="427"/>
      <x:c r="R12" s="427"/>
      <x:c r="S12" s="427"/>
      <x:c r="T12" s="427"/>
      <x:c r="U12" s="427"/>
      <x:c r="V12" s="427"/>
      <x:c r="W12" s="427"/>
      <x:c r="X12" s="427"/>
      <x:c r="Y12" s="427"/>
      <x:c r="Z12" s="427"/>
      <x:c r="AA12" s="427"/>
      <x:c r="AB12" s="427"/>
      <x:c r="AC12" s="427"/>
      <x:c r="AD12" s="427"/>
      <x:c r="AE12" s="427"/>
    </x:row>
    <x:row r="13" ht="36" customHeight="1">
      <x:c r="A13" s="359" t="str">
        <x:v>Custom Emoji Available?</x:v>
      </x:c>
      <x:c r="B13" s="346" t="str">
        <x:v>Yes</x:v>
      </x:c>
      <x:c r="C13" s="346" t="str">
        <x:v>U/K</x:v>
      </x:c>
      <x:c r="D13" s="346" t="str">
        <x:v>Yes</x:v>
      </x:c>
      <x:c r="E13" s="346" t="str">
        <x:v>Yes</x:v>
      </x:c>
      <x:c r="F13" s="346" t="str">
        <x:v>Yes</x:v>
      </x:c>
      <x:c r="G13" s="346" t="str">
        <x:v>Client/room-state dependent</x:v>
      </x:c>
      <x:c r="H13" s="346" t="str">
        <x:v>Yes / Discord-compatible target</x:v>
      </x:c>
      <x:c r="I13" s="346" t="str">
        <x:v>U/K</x:v>
      </x:c>
      <x:c r="J13" s="346" t="str">
        <x:v>U/K</x:v>
      </x:c>
      <x:c r="K13" s="346" t="str">
        <x:v>U/K</x:v>
      </x:c>
      <x:c r="L13" s="346" t="str">
        <x:v>U/K</x:v>
      </x:c>
      <x:c r="M13" s="346" t="str">
        <x:v>U/K</x:v>
      </x:c>
      <x:c r="N13" s="346" t="str">
        <x:v>Yes</x:v>
      </x:c>
      <x:c r="O13" s="346" t="str">
        <x:v>Yes</x:v>
      </x:c>
      <x:c r="P13" s="346" t="str">
        <x:v>U/K</x:v>
      </x:c>
      <x:c r="Q13" s="346" t="str">
        <x:v>Yes</x:v>
      </x:c>
      <x:c r="R13" s="346" t="str">
        <x:v>U/K</x:v>
      </x:c>
      <x:c r="S13" s="346" t="str">
        <x:v>Yes</x:v>
      </x:c>
      <x:c r="T13" s="346" t="str">
        <x:v>U/K</x:v>
      </x:c>
      <x:c r="U13" s="346" t="str">
        <x:v>U/K</x:v>
      </x:c>
      <x:c r="V13" s="346" t="str">
        <x:v>U/K</x:v>
      </x:c>
      <x:c r="W13" s="346" t="str">
        <x:v>U/K</x:v>
      </x:c>
      <x:c r="X13" s="346" t="str">
        <x:v>U/K</x:v>
      </x:c>
      <x:c r="Y13" s="346" t="str">
        <x:v>U/K</x:v>
      </x:c>
      <x:c r="Z13" s="346" t="str">
        <x:v>U/K</x:v>
      </x:c>
      <x:c r="AA13" s="380" t="str">
        <x:v>Yes</x:v>
      </x:c>
      <x:c r="AB13" s="346" t="str">
        <x:v>U/K</x:v>
      </x:c>
      <x:c r="AC13" s="346" t="str">
        <x:v>U/K</x:v>
      </x:c>
      <x:c r="AD13" s="346" t="str">
        <x:v>U/K</x:v>
      </x:c>
      <x:c r="AE13" s="346" t="str">
        <x:v>U/K</x:v>
      </x:c>
    </x:row>
    <x:row r="14" ht="36" customHeight="1">
      <x:c r="A14" s="359" t="str">
        <x:v>Custom Emoji Access</x:v>
      </x:c>
      <x:c r="B14" s="346" t="str">
        <x:v>Free within owning server; cross-server use is a Nitro perk</x:v>
      </x:c>
      <x:c r="C14" s="346" t="str">
        <x:v>U/K</x:v>
      </x:c>
      <x:c r="D14" s="346" t="str">
        <x:v>Free base; higher limits planned on paid tiers</x:v>
      </x:c>
      <x:c r="E14" s="346" t="str">
        <x:v>Free in own community; Plutonium expands global use/limits</x:v>
      </x:c>
      <x:c r="F14" s="346" t="str">
        <x:v>Community feature; exact Sudo gating U/K</x:v>
      </x:c>
      <x:c r="G14" s="346" t="str">
        <x:v>Client/provider-dependent</x:v>
      </x:c>
      <x:c r="H14" s="346" t="str">
        <x:v>Operator-configurable</x:v>
      </x:c>
      <x:c r="I14" s="346" t="str">
        <x:v>U/K</x:v>
      </x:c>
      <x:c r="J14" s="346" t="str">
        <x:v>U/K</x:v>
      </x:c>
      <x:c r="K14" s="346" t="str">
        <x:v>U/K</x:v>
      </x:c>
      <x:c r="L14" s="346" t="str">
        <x:v>U/K</x:v>
      </x:c>
      <x:c r="M14" s="346" t="str">
        <x:v>U/K</x:v>
      </x:c>
      <x:c r="N14" s="346" t="str">
        <x:v>0 free → up to 500 Diamond</x:v>
      </x:c>
      <x:c r="O14" s="346" t="str">
        <x:v>Free</x:v>
      </x:c>
      <x:c r="P14" s="346" t="str">
        <x:v>U/K</x:v>
      </x:c>
      <x:c r="Q14" s="346" t="str">
        <x:v>Open-beta/core</x:v>
      </x:c>
      <x:c r="R14" s="346" t="str">
        <x:v>U/K</x:v>
      </x:c>
      <x:c r="S14" s="346" t="str">
        <x:v>Free</x:v>
      </x:c>
      <x:c r="T14" s="346" t="str">
        <x:v>U/K</x:v>
      </x:c>
      <x:c r="U14" s="346" t="str">
        <x:v>U/K</x:v>
      </x:c>
      <x:c r="V14" s="346" t="str">
        <x:v>U/K</x:v>
      </x:c>
      <x:c r="W14" s="346" t="str">
        <x:v>U/K</x:v>
      </x:c>
      <x:c r="X14" s="346" t="str">
        <x:v>U/K</x:v>
      </x:c>
      <x:c r="Y14" s="346" t="str">
        <x:v>U/K</x:v>
      </x:c>
      <x:c r="Z14" s="346" t="str">
        <x:v>U/K</x:v>
      </x:c>
      <x:c r="AA14" s="380" t="str">
        <x:v>10 free Shard → 30 Ember → 100 Forge; personal 10 free → 30 Rift+</x:v>
      </x:c>
      <x:c r="AB14" s="346" t="str">
        <x:v>U/K</x:v>
      </x:c>
      <x:c r="AC14" s="346" t="str">
        <x:v>U/K</x:v>
      </x:c>
      <x:c r="AD14" s="346" t="str">
        <x:v>U/K</x:v>
      </x:c>
      <x:c r="AE14" s="346" t="str">
        <x:v>U/K</x:v>
      </x:c>
    </x:row>
    <x:row r="15" ht="36" customHeight="1">
      <x:c r="A15" s="359" t="str">
        <x:v>Animated Emoji Available?</x:v>
      </x:c>
      <x:c r="B15" s="346" t="str">
        <x:v>Yes</x:v>
      </x:c>
      <x:c r="C15" s="346" t="str">
        <x:v>U/K</x:v>
      </x:c>
      <x:c r="D15" s="346" t="str">
        <x:v>U/K</x:v>
      </x:c>
      <x:c r="E15" s="346" t="str">
        <x:v>Yes</x:v>
      </x:c>
      <x:c r="F15" s="346" t="str">
        <x:v>U/K</x:v>
      </x:c>
      <x:c r="G15" s="346" t="str">
        <x:v>U/K</x:v>
      </x:c>
      <x:c r="H15" s="346" t="str">
        <x:v>U/K</x:v>
      </x:c>
      <x:c r="I15" s="346" t="str">
        <x:v>U/K</x:v>
      </x:c>
      <x:c r="J15" s="346" t="str">
        <x:v>U/K</x:v>
      </x:c>
      <x:c r="K15" s="346" t="str">
        <x:v>U/K</x:v>
      </x:c>
      <x:c r="L15" s="346" t="str">
        <x:v>U/K</x:v>
      </x:c>
      <x:c r="M15" s="346" t="str">
        <x:v>U/K</x:v>
      </x:c>
      <x:c r="N15" s="346" t="str">
        <x:v>U/K</x:v>
      </x:c>
      <x:c r="O15" s="346" t="str">
        <x:v>U/K</x:v>
      </x:c>
      <x:c r="P15" s="346" t="str">
        <x:v>U/K</x:v>
      </x:c>
      <x:c r="Q15" s="346" t="str">
        <x:v>U/K</x:v>
      </x:c>
      <x:c r="R15" s="346" t="str">
        <x:v>U/K</x:v>
      </x:c>
      <x:c r="S15" s="346" t="str">
        <x:v>U/K</x:v>
      </x:c>
      <x:c r="T15" s="346" t="str">
        <x:v>U/K</x:v>
      </x:c>
      <x:c r="U15" s="346" t="str">
        <x:v>U/K</x:v>
      </x:c>
      <x:c r="V15" s="346" t="str">
        <x:v>U/K</x:v>
      </x:c>
      <x:c r="W15" s="346" t="str">
        <x:v>U/K</x:v>
      </x:c>
      <x:c r="X15" s="346" t="str">
        <x:v>U/K</x:v>
      </x:c>
      <x:c r="Y15" s="346" t="str">
        <x:v>U/K</x:v>
      </x:c>
      <x:c r="Z15" s="346" t="str">
        <x:v>U/K</x:v>
      </x:c>
      <x:c r="AA15" s="380" t="str">
        <x:v>Yes/U/K</x:v>
      </x:c>
      <x:c r="AB15" s="346" t="str">
        <x:v>U/K</x:v>
      </x:c>
      <x:c r="AC15" s="346" t="str">
        <x:v>U/K</x:v>
      </x:c>
      <x:c r="AD15" s="346" t="str">
        <x:v>U/K</x:v>
      </x:c>
      <x:c r="AE15" s="346" t="str">
        <x:v>U/K</x:v>
      </x:c>
    </x:row>
    <x:row r="16" ht="36" customHeight="1">
      <x:c r="A16" s="359" t="str">
        <x:v>Animated Emoji Access</x:v>
      </x:c>
      <x:c r="B16" s="346" t="str">
        <x:v>Server-dependent creation; Nitro expands use</x:v>
      </x:c>
      <x:c r="C16" s="346" t="str">
        <x:v>U/K</x:v>
      </x:c>
      <x:c r="D16" s="346" t="str">
        <x:v>U/K</x:v>
      </x:c>
      <x:c r="E16" s="346" t="str">
        <x:v>Plutonium expands use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U/K</x:v>
      </x:c>
      <x:c r="M16" s="346" t="str">
        <x:v>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U/K</x:v>
      </x:c>
      <x:c r="W16" s="346" t="str">
        <x:v>U/K</x:v>
      </x:c>
      <x:c r="X16" s="346" t="str">
        <x:v>U/K</x:v>
      </x:c>
      <x:c r="Y16" s="346" t="str">
        <x:v>U/K</x:v>
      </x:c>
      <x:c r="Z16" s="346" t="str">
        <x:v>U/K</x:v>
      </x:c>
      <x:c r="AA16" s="380" t="str">
        <x:v>Tier-dependent/U/K</x:v>
      </x:c>
      <x:c r="AB16" s="346" t="str">
        <x:v>U/K</x:v>
      </x:c>
      <x:c r="AC16" s="346" t="str">
        <x:v>U/K</x:v>
      </x:c>
      <x:c r="AD16" s="346" t="str">
        <x:v>U/K</x:v>
      </x:c>
      <x:c r="AE16" s="346" t="str">
        <x:v>U/K</x:v>
      </x:c>
    </x:row>
    <x:row r="17" ht="36" customHeight="1">
      <x:c r="A17" s="359" t="str">
        <x:v>Custom Stickers Available?</x:v>
      </x:c>
      <x:c r="B17" s="346" t="str">
        <x:v>Yes</x:v>
      </x:c>
      <x:c r="C17" s="346" t="str">
        <x:v>U/K</x:v>
      </x:c>
      <x:c r="D17" s="346" t="str">
        <x:v>U/K</x:v>
      </x:c>
      <x:c r="E17" s="346" t="str">
        <x:v>Yes</x:v>
      </x:c>
      <x:c r="F17" s="346" t="str">
        <x:v>U/K</x:v>
      </x:c>
      <x:c r="G17" s="346" t="str">
        <x:v>U/K</x:v>
      </x:c>
      <x:c r="H17" s="346" t="str">
        <x:v>U/K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U/K</x:v>
      </x:c>
      <x:c r="M17" s="346" t="str">
        <x:v>U/K</x:v>
      </x:c>
      <x:c r="N17" s="346" t="str">
        <x:v>U/K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U/K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U/K</x:v>
      </x:c>
      <x:c r="W17" s="346" t="str">
        <x:v>U/K</x:v>
      </x:c>
      <x:c r="X17" s="346" t="str">
        <x:v>U/K</x:v>
      </x:c>
      <x:c r="Y17" s="346" t="str">
        <x:v>U/K</x:v>
      </x:c>
      <x:c r="Z17" s="346" t="str">
        <x:v>U/K</x:v>
      </x:c>
      <x:c r="AA17" s="380" t="str">
        <x:v>U/K</x:v>
      </x:c>
      <x:c r="AB17" s="346" t="str">
        <x:v>U/K</x:v>
      </x:c>
      <x:c r="AC17" s="346" t="str">
        <x:v>U/K</x:v>
      </x:c>
      <x:c r="AD17" s="346" t="str">
        <x:v>U/K</x:v>
      </x:c>
      <x:c r="AE17" s="346" t="str">
        <x:v>U/K</x:v>
      </x:c>
    </x:row>
    <x:row r="18" ht="36" customHeight="1">
      <x:c r="A18" s="359" t="str">
        <x:v>Custom Stickers Access</x:v>
      </x:c>
      <x:c r="B18" s="346" t="str">
        <x:v>Server-dependent; Nitro expands cross-server use</x:v>
      </x:c>
      <x:c r="C18" s="346" t="str">
        <x:v>U/K</x:v>
      </x:c>
      <x:c r="D18" s="346" t="str">
        <x:v>U/K</x:v>
      </x:c>
      <x:c r="E18" s="346" t="str">
        <x:v>Plutonium expands use</x:v>
      </x:c>
      <x:c r="F18" s="346" t="str">
        <x:v>U/K</x:v>
      </x:c>
      <x:c r="G18" s="346" t="str">
        <x:v>U/K</x:v>
      </x:c>
      <x:c r="H18" s="346" t="str">
        <x:v>U/K</x:v>
      </x:c>
      <x:c r="I18" s="346" t="str">
        <x:v>U/K</x:v>
      </x:c>
      <x:c r="J18" s="346" t="str">
        <x:v>U/K</x:v>
      </x:c>
      <x:c r="K18" s="346" t="str">
        <x:v>U/K</x:v>
      </x:c>
      <x:c r="L18" s="346" t="str">
        <x:v>U/K</x:v>
      </x:c>
      <x:c r="M18" s="346" t="str">
        <x:v>U/K</x:v>
      </x:c>
      <x:c r="N18" s="346" t="str">
        <x:v>U/K</x:v>
      </x:c>
      <x:c r="O18" s="346" t="str">
        <x:v>U/K</x:v>
      </x:c>
      <x:c r="P18" s="346" t="str">
        <x:v>U/K</x:v>
      </x:c>
      <x:c r="Q18" s="346" t="str">
        <x:v>U/K</x:v>
      </x:c>
      <x:c r="R18" s="346" t="str">
        <x:v>U/K</x:v>
      </x:c>
      <x:c r="S18" s="346" t="str">
        <x:v>U/K</x:v>
      </x:c>
      <x:c r="T18" s="346" t="str">
        <x:v>U/K</x:v>
      </x:c>
      <x:c r="U18" s="346" t="str">
        <x:v>U/K</x:v>
      </x:c>
      <x:c r="V18" s="346" t="str">
        <x:v>U/K</x:v>
      </x:c>
      <x:c r="W18" s="346" t="str">
        <x:v>U/K</x:v>
      </x:c>
      <x:c r="X18" s="346" t="str">
        <x:v>U/K</x:v>
      </x:c>
      <x:c r="Y18" s="346" t="str">
        <x:v>U/K</x:v>
      </x:c>
      <x:c r="Z18" s="346" t="str">
        <x:v>U/K</x:v>
      </x:c>
      <x:c r="AA18" s="380" t="str">
        <x:v>U/K</x:v>
      </x:c>
      <x:c r="AB18" s="346" t="str">
        <x:v>U/K</x:v>
      </x:c>
      <x:c r="AC18" s="346" t="str">
        <x:v>U/K</x:v>
      </x:c>
      <x:c r="AD18" s="346" t="str">
        <x:v>U/K</x:v>
      </x:c>
      <x:c r="AE18" s="346" t="str">
        <x:v>U/K</x:v>
      </x:c>
    </x:row>
    <x:row r="19" ht="36" customHeight="1">
      <x:c r="A19" s="359" t="str">
        <x:v>Personal Soundboard Available?</x:v>
      </x:c>
      <x:c r="B19" s="346" t="str">
        <x:v>Partial</x:v>
      </x:c>
      <x:c r="C19" s="346" t="str">
        <x:v>U/K</x:v>
      </x:c>
      <x:c r="D19" s="346" t="str">
        <x:v>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U/K</x:v>
      </x:c>
      <x:c r="W19" s="346" t="str">
        <x:v>U/K</x:v>
      </x:c>
      <x:c r="X19" s="346" t="str">
        <x:v>U/K</x:v>
      </x:c>
      <x:c r="Y19" s="346" t="str">
        <x:v>U/K</x:v>
      </x:c>
      <x:c r="Z19" s="346" t="str">
        <x:v>U/K</x:v>
      </x:c>
      <x:c r="AA19" s="380" t="str">
        <x:v>U/K</x:v>
      </x:c>
      <x:c r="AB19" s="346" t="str">
        <x:v>U/K</x:v>
      </x:c>
      <x:c r="AC19" s="346" t="str">
        <x:v>U/K</x:v>
      </x:c>
      <x:c r="AD19" s="346" t="str">
        <x:v>U/K</x:v>
      </x:c>
      <x:c r="AE19" s="346" t="str">
        <x:v>U/K</x:v>
      </x:c>
    </x:row>
    <x:row r="20" ht="36" customHeight="1">
      <x:c r="A20" s="359" t="str">
        <x:v>Personal Soundboard Access</x:v>
      </x:c>
      <x:c r="B20" s="346" t="str">
        <x:v>Nitro enables broader Soundboard use/favorites; exact personal-slot model U/K</x:v>
      </x:c>
      <x:c r="C20" s="346" t="str">
        <x:v>U/K</x:v>
      </x:c>
      <x:c r="D20" s="346" t="str">
        <x:v>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U/K</x:v>
      </x:c>
      <x:c r="M20" s="346" t="str">
        <x:v>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U/K</x:v>
      </x:c>
      <x:c r="W20" s="346" t="str">
        <x:v>U/K</x:v>
      </x:c>
      <x:c r="X20" s="346" t="str">
        <x:v>U/K</x:v>
      </x:c>
      <x:c r="Y20" s="346" t="str">
        <x:v>U/K</x:v>
      </x:c>
      <x:c r="Z20" s="346" t="str">
        <x:v>U/K</x:v>
      </x:c>
      <x:c r="AA20" s="380" t="str">
        <x:v>U/K</x:v>
      </x:c>
      <x:c r="AB20" s="346" t="str">
        <x:v>U/K</x:v>
      </x:c>
      <x:c r="AC20" s="346" t="str">
        <x:v>U/K</x:v>
      </x:c>
      <x:c r="AD20" s="346" t="str">
        <x:v>U/K</x:v>
      </x:c>
      <x:c r="AE20" s="346" t="str">
        <x:v>U/K</x:v>
      </x:c>
    </x:row>
    <x:row r="21" ht="36" customHeight="1">
      <x:c r="A21" s="359" t="str">
        <x:v>Server Soundboard Available?</x:v>
      </x:c>
      <x:c r="B21" s="346" t="str">
        <x:v>Yes</x:v>
      </x:c>
      <x:c r="C21" s="346" t="str">
        <x:v>U/K</x:v>
      </x:c>
      <x:c r="D21" s="346" t="str">
        <x:v>U/K</x:v>
      </x:c>
      <x:c r="E21" s="346" t="str">
        <x:v>U/K</x:v>
      </x:c>
      <x:c r="F21" s="346" t="str">
        <x:v>U/K</x:v>
      </x:c>
      <x:c r="G21" s="346" t="str">
        <x:v>U/K</x:v>
      </x:c>
      <x:c r="H21" s="346" t="str">
        <x:v>U/K</x:v>
      </x:c>
      <x:c r="I21" s="346" t="str">
        <x:v>U/K</x:v>
      </x:c>
      <x:c r="J21" s="346" t="str">
        <x:v>U/K</x:v>
      </x:c>
      <x:c r="K21" s="346" t="str">
        <x:v>U/K</x:v>
      </x:c>
      <x:c r="L21" s="346" t="str">
        <x:v>U/K</x:v>
      </x:c>
      <x:c r="M21" s="346" t="str">
        <x:v>U/K</x:v>
      </x:c>
      <x:c r="N21" s="346" t="str">
        <x:v>Yes</x:v>
      </x:c>
      <x:c r="O21" s="346" t="str">
        <x:v>U/K</x:v>
      </x:c>
      <x:c r="P21" s="346" t="str">
        <x:v>U/K</x:v>
      </x:c>
      <x:c r="Q21" s="346" t="str">
        <x:v>U/K</x:v>
      </x:c>
      <x:c r="R21" s="346" t="str">
        <x:v>U/K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U/K</x:v>
      </x:c>
      <x:c r="W21" s="346" t="str">
        <x:v>U/K</x:v>
      </x:c>
      <x:c r="X21" s="346" t="str">
        <x:v>U/K</x:v>
      </x:c>
      <x:c r="Y21" s="346" t="str">
        <x:v>U/K</x:v>
      </x:c>
      <x:c r="Z21" s="346" t="str">
        <x:v>U/K</x:v>
      </x:c>
      <x:c r="AA21" s="380" t="str">
        <x:v>Yes</x:v>
      </x:c>
      <x:c r="AB21" s="346" t="str">
        <x:v>U/K</x:v>
      </x:c>
      <x:c r="AC21" s="346" t="str">
        <x:v>U/K</x:v>
      </x:c>
      <x:c r="AD21" s="346" t="str">
        <x:v>U/K</x:v>
      </x:c>
      <x:c r="AE21" s="346" t="str">
        <x:v>U/K</x:v>
      </x:c>
    </x:row>
    <x:row r="22" ht="36" customHeight="1">
      <x:c r="A22" s="359" t="str">
        <x:v>Server Soundboard Access</x:v>
      </x:c>
      <x:c r="B22" s="346" t="str">
        <x:v>Free base slots; more slots with Server Boost level</x:v>
      </x:c>
      <x:c r="C22" s="346" t="str">
        <x:v>U/K</x:v>
      </x:c>
      <x:c r="D22" s="346" t="str">
        <x:v>U/K</x:v>
      </x:c>
      <x:c r="E22" s="346" t="str">
        <x:v>U/K</x:v>
      </x:c>
      <x:c r="F22" s="346" t="str">
        <x:v>U/K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U/K</x:v>
      </x:c>
      <x:c r="L22" s="346" t="str">
        <x:v>U/K</x:v>
      </x:c>
      <x:c r="M22" s="346" t="str">
        <x:v>U/K</x:v>
      </x:c>
      <x:c r="N22" s="346" t="str">
        <x:v>8 free → 48 Diamond</x:v>
      </x:c>
      <x:c r="O22" s="346" t="str">
        <x:v>U/K</x:v>
      </x:c>
      <x:c r="P22" s="346" t="str">
        <x:v>U/K</x:v>
      </x:c>
      <x:c r="Q22" s="346" t="str">
        <x:v>U/K</x:v>
      </x:c>
      <x:c r="R22" s="346" t="str">
        <x:v>U/K</x:v>
      </x:c>
      <x:c r="S22" s="346" t="str">
        <x:v>U/K</x:v>
      </x:c>
      <x:c r="T22" s="346" t="str">
        <x:v>U/K</x:v>
      </x:c>
      <x:c r="U22" s="346" t="str">
        <x:v>U/K</x:v>
      </x:c>
      <x:c r="V22" s="346" t="str">
        <x:v>U/K</x:v>
      </x:c>
      <x:c r="W22" s="346" t="str">
        <x:v>U/K</x:v>
      </x:c>
      <x:c r="X22" s="346" t="str">
        <x:v>U/K</x:v>
      </x:c>
      <x:c r="Y22" s="346" t="str">
        <x:v>U/K</x:v>
      </x:c>
      <x:c r="Z22" s="346" t="str">
        <x:v>U/K</x:v>
      </x:c>
      <x:c r="AA22" s="380" t="str">
        <x:v>10 free Shard → 25 Ember → 75 Forge; personal 5 free → 25 Rift+</x:v>
      </x:c>
      <x:c r="AB22" s="346" t="str">
        <x:v>U/K</x:v>
      </x:c>
      <x:c r="AC22" s="346" t="str">
        <x:v>U/K</x:v>
      </x:c>
      <x:c r="AD22" s="346" t="str">
        <x:v>U/K</x:v>
      </x:c>
      <x:c r="AE22" s="346" t="str">
        <x:v>U/K</x:v>
      </x:c>
    </x:row>
    <x:row r="23" ht="23" customHeight="1">
      <x:c r="A23" s="427" t="str">
        <x:v>Community Premium Features</x:v>
      </x:c>
      <x:c r="B23" s="427"/>
      <x:c r="C23" s="427"/>
      <x:c r="D23" s="427"/>
      <x:c r="E23" s="427"/>
      <x:c r="F23" s="427"/>
      <x:c r="G23" s="427"/>
      <x:c r="H23" s="427"/>
      <x:c r="I23" s="427"/>
      <x:c r="J23" s="427"/>
      <x:c r="K23" s="427"/>
      <x:c r="L23" s="427"/>
      <x:c r="M23" s="427"/>
      <x:c r="N23" s="427"/>
      <x:c r="O23" s="427"/>
      <x:c r="P23" s="427"/>
      <x:c r="Q23" s="427"/>
      <x:c r="R23" s="427"/>
      <x:c r="S23" s="427"/>
      <x:c r="T23" s="427"/>
      <x:c r="U23" s="427"/>
      <x:c r="V23" s="427"/>
      <x:c r="W23" s="427"/>
      <x:c r="X23" s="427"/>
      <x:c r="Y23" s="427"/>
      <x:c r="Z23" s="427"/>
      <x:c r="AA23" s="427"/>
      <x:c r="AB23" s="427"/>
      <x:c r="AC23" s="427"/>
      <x:c r="AD23" s="427"/>
      <x:c r="AE23" s="427"/>
    </x:row>
    <x:row r="24" ht="36" customHeight="1">
      <x:c r="A24" s="359" t="str">
        <x:v>Vanity Invite Available?</x:v>
      </x:c>
      <x:c r="B24" s="346" t="str">
        <x:v>Yes</x:v>
      </x:c>
      <x:c r="C24" s="346" t="str">
        <x:v>U/K</x:v>
      </x:c>
      <x:c r="D24" s="346" t="str">
        <x:v>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U/K</x:v>
      </x:c>
      <x:c r="M24" s="346" t="str">
        <x:v>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U/K</x:v>
      </x:c>
      <x:c r="W24" s="346" t="str">
        <x:v>U/K</x:v>
      </x:c>
      <x:c r="X24" s="346" t="str">
        <x:v>U/K</x:v>
      </x:c>
      <x:c r="Y24" s="346" t="str">
        <x:v>U/K</x:v>
      </x:c>
      <x:c r="Z24" s="346" t="str">
        <x:v>U/K</x:v>
      </x:c>
      <x:c r="AA24" s="380" t="str">
        <x:v>U/K</x:v>
      </x:c>
      <x:c r="AB24" s="346" t="str">
        <x:v>U/K</x:v>
      </x:c>
      <x:c r="AC24" s="346" t="str">
        <x:v>U/K</x:v>
      </x:c>
      <x:c r="AD24" s="346" t="str">
        <x:v>U/K</x:v>
      </x:c>
      <x:c r="AE24" s="346" t="str">
        <x:v>U/K</x:v>
      </x:c>
    </x:row>
    <x:row r="25" ht="36" customHeight="1">
      <x:c r="A25" s="359" t="str">
        <x:v>Vanity Invite Access</x:v>
      </x:c>
      <x:c r="B25" s="346" t="str">
        <x:v>Server Boost Level 3 / eligible communities</x:v>
      </x:c>
      <x:c r="C25" s="346" t="str">
        <x:v>U/K</x:v>
      </x:c>
      <x:c r="D25" s="346" t="str">
        <x:v>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U/K</x:v>
      </x:c>
      <x:c r="M25" s="346" t="str">
        <x:v>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U/K</x:v>
      </x:c>
      <x:c r="W25" s="346" t="str">
        <x:v>U/K</x:v>
      </x:c>
      <x:c r="X25" s="346" t="str">
        <x:v>U/K</x:v>
      </x:c>
      <x:c r="Y25" s="346" t="str">
        <x:v>U/K</x:v>
      </x:c>
      <x:c r="Z25" s="346" t="str">
        <x:v>U/K</x:v>
      </x:c>
      <x:c r="AA25" s="380" t="str">
        <x:v>U/K</x:v>
      </x:c>
      <x:c r="AB25" s="346" t="str">
        <x:v>U/K</x:v>
      </x:c>
      <x:c r="AC25" s="346" t="str">
        <x:v>U/K</x:v>
      </x:c>
      <x:c r="AD25" s="346" t="str">
        <x:v>U/K</x:v>
      </x:c>
      <x:c r="AE25" s="346" t="str">
        <x:v>U/K</x:v>
      </x:c>
    </x:row>
    <x:row r="26" ht="36" customHeight="1">
      <x:c r="A26" s="359" t="str">
        <x:v>Higher Voice Bitrate Paid?</x:v>
      </x:c>
      <x:c r="B26" s="346" t="str">
        <x:v>Yes - Server Boost levels</x:v>
      </x:c>
      <x:c r="C26" s="346" t="str">
        <x:v>U/K</x:v>
      </x:c>
      <x:c r="D26" s="346" t="str">
        <x:v>U/K</x:v>
      </x:c>
      <x:c r="E26" s="346" t="str">
        <x:v>U/K</x:v>
      </x:c>
      <x:c r="F26" s="346" t="str">
        <x:v>U/K</x:v>
      </x:c>
      <x:c r="G26" s="346" t="str">
        <x:v>Provider/client-dependent</x:v>
      </x:c>
      <x:c r="H26" s="346" t="str">
        <x:v>No platform subscription; operator-configurable</x:v>
      </x:c>
      <x:c r="I26" s="346" t="str">
        <x:v>No platform tier; server-configurable</x:v>
      </x:c>
      <x:c r="J26" s="346" t="str">
        <x:v>Server/license/provider-dependent</x:v>
      </x:c>
      <x:c r="K26" s="346" t="str">
        <x:v>U/K</x:v>
      </x:c>
      <x:c r="L26" s="346" t="str">
        <x:v>U/K</x:v>
      </x:c>
      <x:c r="M26" s="346" t="str">
        <x:v>U/K</x:v>
      </x:c>
      <x:c r="N26" s="346" t="str">
        <x:v>Yes - higher tiers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No - no premium plan</x:v>
      </x:c>
      <x:c r="T26" s="346" t="str">
        <x:v>U/K</x:v>
      </x:c>
      <x:c r="U26" s="346" t="str">
        <x:v>License/server resources rather than per-user premium</x:v>
      </x:c>
      <x:c r="V26" s="346" t="str">
        <x:v>No central premium tier</x:v>
      </x:c>
      <x:c r="W26" s="346" t="str">
        <x:v>U/K</x:v>
      </x:c>
      <x:c r="X26" s="346" t="str">
        <x:v>U/K</x:v>
      </x:c>
      <x:c r="Y26" s="346" t="str">
        <x:v>U/K</x:v>
      </x:c>
      <x:c r="Z26" s="346" t="str">
        <x:v>No central premium tier; operator-configurable</x:v>
      </x:c>
      <x:c r="AA26" s="380" t="str">
        <x:v>Yes - 96 free → 128 Rift+/Ember → 192 Forge</x:v>
      </x:c>
      <x:c r="AB26" s="346" t="str">
        <x:v>U/K</x:v>
      </x:c>
      <x:c r="AC26" s="346" t="str">
        <x:v>U/K</x:v>
      </x:c>
      <x:c r="AD26" s="346" t="str">
        <x:v>U/K</x:v>
      </x:c>
      <x:c r="AE26" s="346" t="str">
        <x:v>No - core media available to users</x:v>
      </x:c>
    </x:row>
    <x:row r="27" ht="36" customHeight="1">
      <x:c r="A27" s="359" t="str">
        <x:v>Higher Screen Share Quality Paid?</x:v>
      </x:c>
      <x:c r="B27" s="346" t="str">
        <x:v>Yes - Nitro</x:v>
      </x:c>
      <x:c r="C27" s="346" t="str">
        <x:v>U/K</x:v>
      </x:c>
      <x:c r="D27" s="346" t="str">
        <x:v>Planned paid differentiation</x:v>
      </x:c>
      <x:c r="E27" s="346" t="str">
        <x:v>Yes - Plutonium</x:v>
      </x:c>
      <x:c r="F27" s="346" t="str">
        <x:v>Yes - Sudo</x:v>
      </x:c>
      <x:c r="G27" s="346" t="str">
        <x:v>Provider/client-dependent</x:v>
      </x:c>
      <x:c r="H27" s="346" t="str">
        <x:v>No platform subscription; operator-configurable</x:v>
      </x:c>
      <x:c r="I27" s="346" t="str">
        <x:v>N/A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U/K</x:v>
      </x:c>
      <x:c r="N27" s="346" t="str">
        <x:v>Yes - Gold/Diamond</x:v>
      </x:c>
      <x:c r="O27" s="346" t="str">
        <x:v>No paid tier verified</x:v>
      </x:c>
      <x:c r="P27" s="346" t="str">
        <x:v>U/K</x:v>
      </x:c>
      <x:c r="Q27" s="346" t="str">
        <x:v>No paid tier verified</x:v>
      </x:c>
      <x:c r="R27" s="346" t="str">
        <x:v>U/K</x:v>
      </x:c>
      <x:c r="S27" s="346" t="str">
        <x:v>No - no premium plan</x:v>
      </x:c>
      <x:c r="T27" s="346" t="str">
        <x:v>U/K</x:v>
      </x:c>
      <x:c r="U27" s="346" t="str">
        <x:v>Core includes up to 1440p claim; exact tier gating U/K</x:v>
      </x:c>
      <x:c r="V27" s="346" t="str">
        <x:v>No central premium tier</x:v>
      </x:c>
      <x:c r="W27" s="346" t="str">
        <x:v>U/K</x:v>
      </x:c>
      <x:c r="X27" s="346" t="str">
        <x:v>U/K</x:v>
      </x:c>
      <x:c r="Y27" s="346" t="str">
        <x:v>U/K</x:v>
      </x:c>
      <x:c r="Z27" s="346" t="str">
        <x:v>No central premium tier; operator-configurable</x:v>
      </x:c>
      <x:c r="AA27" s="380" t="str">
        <x:v>Yes - 720p free → 1080p Rift+/Ember → 1440p Forge</x:v>
      </x:c>
      <x:c r="AB27" s="346" t="str">
        <x:v>No paid tier verified - 1080p free</x:v>
      </x:c>
      <x:c r="AC27" s="346" t="str">
        <x:v>U/K</x:v>
      </x:c>
      <x:c r="AD27" s="346" t="str">
        <x:v>U/K</x:v>
      </x:c>
      <x:c r="AE27" s="346" t="str">
        <x:v>No core quality paywall verified</x:v>
      </x:c>
    </x:row>
    <x:row r="28" ht="36" customHeight="1">
      <x:c r="A28" s="359" t="str">
        <x:v>Larger File Uploads Paid?</x:v>
      </x:c>
      <x:c r="B28" s="346" t="str">
        <x:v>Yes - Nitro Basic / Nitro</x:v>
      </x:c>
      <x:c r="C28" s="346" t="str">
        <x:v>U/K</x:v>
      </x:c>
      <x:c r="D28" s="346" t="str">
        <x:v>Planned paid higher limits</x:v>
      </x:c>
      <x:c r="E28" s="346" t="str">
        <x:v>Yes - 25 MB free → 500 MB Plutonium</x:v>
      </x:c>
      <x:c r="F28" s="346" t="str">
        <x:v>No higher paid file cap verified</x:v>
      </x:c>
      <x:c r="G28" s="346" t="str">
        <x:v>Homeserver/provider-dependent</x:v>
      </x:c>
      <x:c r="H28" s="346" t="str">
        <x:v>No platform subscription; operator-configurable</x:v>
      </x:c>
      <x:c r="I28" s="346" t="str">
        <x:v>N/A</x:v>
      </x:c>
      <x:c r="J28" s="346" t="str">
        <x:v>U/K</x:v>
      </x:c>
      <x:c r="K28" s="346" t="str">
        <x:v>Storage/history increase with paid cloud plans</x:v>
      </x:c>
      <x:c r="L28" s="346" t="str">
        <x:v>Deployment/admin configurable; plan-specific cloud details U/K</x:v>
      </x:c>
      <x:c r="M28" s="346" t="str">
        <x:v>Deployment/admin configurable</x:v>
      </x:c>
      <x:c r="N28" s="346" t="str">
        <x:v>Yes - 500 MB free → 10 GB Diamond</x:v>
      </x:c>
      <x:c r="O28" s="346" t="str">
        <x:v>No paid tier verified</x:v>
      </x:c>
      <x:c r="P28" s="346" t="str">
        <x:v>U/K</x:v>
      </x:c>
      <x:c r="Q28" s="346" t="str">
        <x:v>U/K</x:v>
      </x:c>
      <x:c r="R28" s="346" t="str">
        <x:v>U/K</x:v>
      </x:c>
      <x:c r="S28" s="346" t="str">
        <x:v>No - no premium plan</x:v>
      </x:c>
      <x:c r="T28" s="346" t="str">
        <x:v>U/K</x:v>
      </x:c>
      <x:c r="U28" s="346" t="str">
        <x:v>Server/operator-defined U/K</x:v>
      </x:c>
      <x:c r="V28" s="346" t="str">
        <x:v>Self-host/operator controlled</x:v>
      </x:c>
      <x:c r="W28" s="346" t="str">
        <x:v>U/K</x:v>
      </x:c>
      <x:c r="X28" s="346" t="str">
        <x:v>U/K</x:v>
      </x:c>
      <x:c r="Y28" s="346" t="str">
        <x:v>U/K</x:v>
      </x:c>
      <x:c r="Z28" s="346" t="str">
        <x:v>No central premium tier; operator-configurable</x:v>
      </x:c>
      <x:c r="AA28" s="380" t="str">
        <x:v>Yes - 50 MB free → 200 MB Rift+ / 75–100 MB per member Shard tiers</x:v>
      </x:c>
      <x:c r="AB28" s="346" t="str">
        <x:v>No paid tier verified</x:v>
      </x:c>
      <x:c r="AC28" s="346" t="str">
        <x:v>U/K</x:v>
      </x:c>
      <x:c r="AD28" s="346" t="str">
        <x:v>Stargazer reportedly increases upload/profile perks; exact caps U/K</x:v>
      </x:c>
      <x:c r="AE28" s="346" t="str">
        <x:v>U/K</x:v>
      </x:c>
    </x:row>
    <x:row r="29" ht="36" customHeight="1">
      <x:c r="A29" s="359" t="str">
        <x:v>Extra App / Bot Capacity Paid?</x:v>
      </x:c>
      <x:c r="B29" s="346" t="str">
        <x:v>No general Nitro requirement</x:v>
      </x:c>
      <x:c r="C29" s="346" t="str">
        <x:v>U/K</x:v>
      </x:c>
      <x:c r="D29" s="346" t="str">
        <x:v>U/K</x:v>
      </x:c>
      <x:c r="E29" s="346" t="str">
        <x:v>U/K</x:v>
      </x:c>
      <x:c r="F29" s="346" t="str">
        <x:v>Yes / community Core model can affect hosted app capacity</x:v>
      </x:c>
      <x:c r="G29" s="346" t="str">
        <x:v>Provider-dependent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Enterprise/deployment-dependent</x:v>
      </x:c>
      <x:c r="M29" s="346" t="str">
        <x:v>Plan/deployment-dependent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No subscription paywall verified</x:v>
      </x:c>
      <x:c r="T29" s="346" t="str">
        <x:v>U/K</x:v>
      </x:c>
      <x:c r="U29" s="346" t="str">
        <x:v>U/K</x:v>
      </x:c>
      <x:c r="V29" s="346" t="str">
        <x:v>U/K</x:v>
      </x:c>
      <x:c r="W29" s="346" t="str">
        <x:v>U/K</x:v>
      </x:c>
      <x:c r="X29" s="346" t="str">
        <x:v>U/K</x:v>
      </x:c>
      <x:c r="Y29" s="346" t="str">
        <x:v>U/K</x:v>
      </x:c>
      <x:c r="Z29" s="346" t="str">
        <x:v>U/K</x:v>
      </x:c>
      <x:c r="AA29" s="380" t="str">
        <x:v>Webhook/community capacity increases by Shard tier</x:v>
      </x:c>
      <x:c r="AB29" s="346" t="str">
        <x:v>U/K</x:v>
      </x:c>
      <x:c r="AC29" s="346" t="str">
        <x:v>U/K</x:v>
      </x:c>
      <x:c r="AD29" s="346" t="str">
        <x:v>U/K</x:v>
      </x:c>
      <x:c r="AE29" s="346" t="str">
        <x:v>Owning/customizing a lobby is paid</x:v>
      </x:c>
    </x:row>
    <x:row r="30" ht="36" customHeight="1">
      <x:c r="A30" s="359" t="str">
        <x:v>Analytics Paid?</x:v>
      </x:c>
      <x:c r="B30" s="346" t="str">
        <x:v>No general Nitro requirement / community tools</x:v>
      </x:c>
      <x:c r="C30" s="346" t="str">
        <x:v>U/K</x:v>
      </x:c>
      <x:c r="D30" s="346" t="str">
        <x:v>U/K</x:v>
      </x:c>
      <x:c r="E30" s="346" t="str">
        <x:v>U/K</x:v>
      </x:c>
      <x:c r="F30" s="346" t="str">
        <x:v>U/K</x:v>
      </x:c>
      <x:c r="G30" s="346" t="str">
        <x:v>Provider-dependent</x:v>
      </x:c>
      <x:c r="H30" s="346" t="str">
        <x:v>U/K</x:v>
      </x:c>
      <x:c r="I30" s="346" t="str">
        <x:v>U/K</x:v>
      </x:c>
      <x:c r="J30" s="346" t="str">
        <x:v>U/K</x:v>
      </x:c>
      <x:c r="K30" s="346" t="str">
        <x:v>Advanced organization/admin capabilities vary by plan</x:v>
      </x:c>
      <x:c r="L30" s="346" t="str">
        <x:v>Yes - advanced enterprise analytics/admin features</x:v>
      </x:c>
      <x:c r="M30" s="346" t="str">
        <x:v>Enterprise/admin features vary by plan</x:v>
      </x:c>
      <x:c r="N30" s="346" t="str">
        <x:v>U/K</x:v>
      </x:c>
      <x:c r="O30" s="346" t="str">
        <x:v>U/K</x:v>
      </x:c>
      <x:c r="P30" s="346" t="str">
        <x:v>U/K</x:v>
      </x:c>
      <x:c r="Q30" s="346" t="str">
        <x:v>U/K</x:v>
      </x:c>
      <x:c r="R30" s="346" t="str">
        <x:v>U/K</x:v>
      </x:c>
      <x:c r="S30" s="346" t="str">
        <x:v>No premium communication tier</x:v>
      </x:c>
      <x:c r="T30" s="346" t="str">
        <x:v>U/K</x:v>
      </x:c>
      <x:c r="U30" s="346" t="str">
        <x:v>U/K</x:v>
      </x:c>
      <x:c r="V30" s="346" t="str">
        <x:v>U/K</x:v>
      </x:c>
      <x:c r="W30" s="346" t="str">
        <x:v>U/K</x:v>
      </x:c>
      <x:c r="X30" s="346" t="str">
        <x:v>U/K</x:v>
      </x:c>
      <x:c r="Y30" s="346" t="str">
        <x:v>U/K</x:v>
      </x:c>
      <x:c r="Z30" s="346" t="str">
        <x:v>U/K</x:v>
      </x:c>
      <x:c r="AA30" s="380" t="str">
        <x:v>Yes - Shard tiers add analytics</x:v>
      </x:c>
      <x:c r="AB30" s="346" t="str">
        <x:v>U/K</x:v>
      </x:c>
      <x:c r="AC30" s="346" t="str">
        <x:v>U/K</x:v>
      </x:c>
      <x:c r="AD30" s="346" t="str">
        <x:v>U/K</x:v>
      </x:c>
      <x:c r="AE30" s="346" t="str">
        <x:v>U/K</x:v>
      </x:c>
    </x:row>
    <x:row r="31" ht="36" customHeight="1">
      <x:c r="A31" s="359" t="str">
        <x:v>Advanced Moderation Paid?</x:v>
      </x:c>
      <x:c r="B31" s="346" t="str">
        <x:v>No - core moderation/AutoMod is not a Nitro entitlement</x:v>
      </x:c>
      <x:c r="C31" s="346" t="str">
        <x:v>U/K</x:v>
      </x:c>
      <x:c r="D31" s="346" t="str">
        <x:v>Core moderation intended to remain available; exact tiering U/K</x:v>
      </x:c>
      <x:c r="E31" s="346" t="str">
        <x:v>U/K</x:v>
      </x:c>
      <x:c r="F31" s="346" t="str">
        <x:v>No evidence core moderation is Sudo-gated</x:v>
      </x:c>
      <x:c r="G31" s="346" t="str">
        <x:v>Provider-dependent</x:v>
      </x:c>
      <x:c r="H31" s="346" t="str">
        <x:v>U/K</x:v>
      </x:c>
      <x:c r="I31" s="346" t="str">
        <x:v>No - ACLs are core</x:v>
      </x:c>
      <x:c r="J31" s="346" t="str">
        <x:v>Core permissions available; enterprise options separate</x:v>
      </x:c>
      <x:c r="K31" s="346" t="str">
        <x:v>Some enterprise/admin functionality is plan-dependent</x:v>
      </x:c>
      <x:c r="L31" s="346" t="str">
        <x:v>Enterprise governance/compliance features paid</x:v>
      </x:c>
      <x:c r="M31" s="346" t="str">
        <x:v>Enterprise governance features vary by plan</x:v>
      </x:c>
      <x:c r="N31" s="346" t="str">
        <x:v>U/K</x:v>
      </x:c>
      <x:c r="O31" s="346" t="str">
        <x:v>U/K</x:v>
      </x:c>
      <x:c r="P31" s="346" t="str">
        <x:v>U/K</x:v>
      </x:c>
      <x:c r="Q31" s="346" t="str">
        <x:v>U/K</x:v>
      </x:c>
      <x:c r="R31" s="346" t="str">
        <x:v>U/K</x:v>
      </x:c>
      <x:c r="S31" s="346" t="str">
        <x:v>No premium communication tier</x:v>
      </x:c>
      <x:c r="T31" s="346" t="str">
        <x:v>U/K</x:v>
      </x:c>
      <x:c r="U31" s="346" t="str">
        <x:v>U/K</x:v>
      </x:c>
      <x:c r="V31" s="346" t="str">
        <x:v>U/K</x:v>
      </x:c>
      <x:c r="W31" s="346" t="str">
        <x:v>U/K</x:v>
      </x:c>
      <x:c r="X31" s="346" t="str">
        <x:v>U/K</x:v>
      </x:c>
      <x:c r="Y31" s="346" t="str">
        <x:v>U/K</x:v>
      </x:c>
      <x:c r="Z31" s="346" t="str">
        <x:v>U/K</x:v>
      </x:c>
      <x:c r="AA31" s="380" t="str">
        <x:v>No - safety/moderation remains free</x:v>
      </x:c>
      <x:c r="AB31" s="346" t="str">
        <x:v>U/K</x:v>
      </x:c>
      <x:c r="AC31" s="346" t="str">
        <x:v>U/K</x:v>
      </x:c>
      <x:c r="AD31" s="346" t="str">
        <x:v>U/K</x:v>
      </x:c>
      <x:c r="AE31" s="346" t="str">
        <x:v>U/K</x:v>
      </x:c>
    </x:row>
    <x:row r="32" ht="23" customHeight="1">
      <x:c r="A32" s="427" t="str">
        <x:v>Source &amp; Notes</x:v>
      </x:c>
      <x:c r="B32" s="427"/>
      <x:c r="C32" s="427"/>
      <x:c r="D32" s="427"/>
      <x:c r="E32" s="427"/>
      <x:c r="F32" s="427"/>
      <x:c r="G32" s="427"/>
      <x:c r="H32" s="427"/>
      <x:c r="I32" s="427"/>
      <x:c r="J32" s="427"/>
      <x:c r="K32" s="427"/>
      <x:c r="L32" s="427"/>
      <x:c r="M32" s="427"/>
      <x:c r="N32" s="427"/>
      <x:c r="O32" s="427"/>
      <x:c r="P32" s="427"/>
      <x:c r="Q32" s="427"/>
      <x:c r="R32" s="427"/>
      <x:c r="S32" s="427"/>
      <x:c r="T32" s="427"/>
      <x:c r="U32" s="427"/>
      <x:c r="V32" s="427"/>
      <x:c r="W32" s="427"/>
      <x:c r="X32" s="427"/>
      <x:c r="Y32" s="427"/>
      <x:c r="Z32" s="427"/>
      <x:c r="AA32" s="427"/>
      <x:c r="AB32" s="427"/>
      <x:c r="AC32" s="427"/>
      <x:c r="AD32" s="427"/>
      <x:c r="AE32" s="427"/>
    </x:row>
    <x:row r="33" ht="36" customHeight="1">
      <x:c r="A33" s="360" t="str">
        <x:v>Entitlement Notes</x:v>
      </x:c>
      <x:c r="B33" s="349" t="str">
        <x:v>Discord splits personal Nitro entitlements from server-wide Boost entitlements.</x:v>
      </x:c>
      <x:c r="C33" s="349" t="str">
        <x:v>U/K</x:v>
      </x:c>
      <x:c r="D33" s="349" t="str">
        <x:v>Fenrid is alpha; tier benefits are planned and may change before stable release.</x:v>
      </x:c>
      <x:c r="E33" s="349" t="str">
        <x:v>Plutonium is primarily a personal premium tier; self-hosting remains free/open source.</x:v>
      </x:c>
      <x:c r="F33" s="349" t="str">
        <x:v>Sudo is user-level; Cores are community resources. They should not be conflated.</x:v>
      </x:c>
      <x:c r="G33" s="349" t="str">
        <x:v>Matrix has no universal paid tier. Entitlements belong to a homeserver provider or client vendor, not the protocol.</x:v>
      </x:c>
      <x:c r="H33" s="349" t="str">
        <x:v>Self-host operator sets limits; no central premium tier.</x:v>
      </x:c>
      <x:c r="I33" s="349" t="str">
        <x:v>No Nitro-style entitlement system.</x:v>
      </x:c>
      <x:c r="J33" s="349" t="str">
        <x:v>Paid model centers on server slots/licensing rather than per-user cosmetic entitlements.</x:v>
      </x:c>
      <x:c r="K33" s="349" t="str">
        <x:v>Paid tiers focus on history, storage, support, compliance and admin features rather than cosmetics.</x:v>
      </x:c>
      <x:c r="L33" s="349" t="str">
        <x:v>Paid differentiation is enterprise governance/workflow/support, not gaming cosmetics.</x:v>
      </x:c>
      <x:c r="M33" s="349" t="str">
        <x:v>Paid differentiation is commercial deployment/support/security rather than Nitro-style cosmetics.</x:v>
      </x:c>
      <x:c r="N33" s="349" t="str">
        <x:v>Premium tiers are server-wide; all members benefit from the selected server tier.</x:v>
      </x:c>
      <x:c r="O33" s="349" t="str">
        <x:v>Donation-funded; no premium entitlement tier verified.</x:v>
      </x:c>
      <x:c r="P33" s="349" t="str">
        <x:v>Public monetization/entitlement schedule is not sufficiently documented.</x:v>
      </x:c>
      <x:c r="Q33" s="349" t="str">
        <x:v>Open beta; fixed premium entitlements not verified.</x:v>
      </x:c>
      <x:c r="R33" s="349" t="str">
        <x:v>Early project; premium feature gating not publicly defined.</x:v>
      </x:c>
      <x:c r="S33" s="349" t="str">
        <x:v>Official FAQ says communication features are free with no premium plan/paywall.</x:v>
      </x:c>
      <x:c r="T33" s="349" t="str">
        <x:v>No public premium entitlement schedule verified.</x:v>
      </x:c>
      <x:c r="U33" s="349" t="str">
        <x:v>Monetization is licensing/managed hosting, not Nitro-style cosmetics.</x:v>
      </x:c>
      <x:c r="V33" s="349" t="str">
        <x:v>Open-source/self-host model; no central premium entitlement system.</x:v>
      </x:c>
      <x:c r="W33" s="349" t="str">
        <x:v>No Roomy-specific paid entitlement system verified.</x:v>
      </x:c>
      <x:c r="X33" s="349" t="str">
        <x:v>No central paid entitlement system; relay/provider costs are separate.</x:v>
      </x:c>
      <x:c r="Y33" s="349" t="str">
        <x:v>No central paid entitlement system; open-source/local-first.</x:v>
      </x:c>
      <x:c r="Z33" s="349" t="str">
        <x:v>AGPL/self-host model; limits are operator/configuration concerns.</x:v>
      </x:c>
      <x:c r="AA33" s="381" t="str">
        <x:v>Rift separates personal Rift+ entitlements from community-wide Shard Ember/Forge entitlements.</x:v>
      </x:c>
      <x:c r="AB33" s="349" t="str">
        <x:v>Open-source beta; no fixed premium entitlement tier verified.</x:v>
      </x:c>
      <x:c r="AC33" s="349" t="str">
        <x:v>No public premium entitlement schedule verified.</x:v>
      </x:c>
      <x:c r="AD33" s="349" t="str">
        <x:v>Stargazer supporter subscription exists; current public price/caps were not verified.</x:v>
      </x:c>
      <x:c r="AE33" s="349" t="str">
        <x:v>Using existing lobbies is free; operating your own lobby is the paid distinction.</x:v>
      </x:c>
    </x:row>
    <x:row r="34" ht="23" customHeight="1">
      <x:c r="A34" s="389" t="str">
        <x:v>Additional Entitlements</x:v>
      </x:c>
      <x:c r="B34" s="389"/>
      <x:c r="C34" s="389"/>
      <x:c r="D34" s="389"/>
      <x:c r="E34" s="389"/>
      <x:c r="F34" s="389"/>
      <x:c r="G34" s="389"/>
      <x:c r="H34" s="389"/>
      <x:c r="I34" s="389"/>
      <x:c r="J34" s="389"/>
      <x:c r="K34" s="389"/>
      <x:c r="L34" s="389"/>
      <x:c r="M34" s="389"/>
      <x:c r="N34" s="389"/>
      <x:c r="O34" s="389"/>
      <x:c r="P34" s="389"/>
      <x:c r="Q34" s="389"/>
      <x:c r="R34" s="389"/>
      <x:c r="S34" s="389"/>
      <x:c r="T34" s="389"/>
      <x:c r="U34" s="389"/>
      <x:c r="V34" s="389"/>
      <x:c r="W34" s="389"/>
      <x:c r="X34" s="389"/>
      <x:c r="Y34" s="389"/>
      <x:c r="Z34" s="389"/>
      <x:c r="AA34" s="389"/>
      <x:c r="AB34" s="389"/>
      <x:c r="AC34" s="389"/>
      <x:c r="AD34" s="389"/>
      <x:c r="AE34" s="389"/>
    </x:row>
    <x:row r="35" ht="36" customHeight="1">
      <x:c r="A35" s="378" t="str">
        <x:v>Saved Layouts / Workspaces Available?</x:v>
      </x:c>
      <x:c r="B35" s="346" t="str">
        <x:v>No general feature</x:v>
      </x:c>
      <x:c r="C35" s="346" t="str">
        <x:v>U/K</x:v>
      </x:c>
      <x:c r="D35" s="346" t="str">
        <x:v>U/K</x:v>
      </x:c>
      <x:c r="E35" s="346" t="str">
        <x:v>U/K</x:v>
      </x:c>
      <x:c r="F35" s="346" t="str">
        <x:v>U/K</x:v>
      </x:c>
      <x:c r="G35" s="346" t="str">
        <x:v>U/K</x:v>
      </x:c>
      <x:c r="H35" s="346" t="str">
        <x:v>U/K</x:v>
      </x:c>
      <x:c r="I35" s="346" t="str">
        <x:v>U/K</x:v>
      </x:c>
      <x:c r="J35" s="346" t="str">
        <x:v>U/K</x:v>
      </x:c>
      <x:c r="K35" s="346" t="str">
        <x:v>U/K</x:v>
      </x:c>
      <x:c r="L35" s="346" t="str">
        <x:v>U/K</x:v>
      </x:c>
      <x:c r="M35" s="346" t="str">
        <x:v>U/K</x:v>
      </x:c>
      <x:c r="N35" s="346" t="str">
        <x:v>U/K</x:v>
      </x:c>
      <x:c r="O35" s="346" t="str">
        <x:v>U/K</x:v>
      </x:c>
      <x:c r="P35" s="346" t="str">
        <x:v>U/K</x:v>
      </x:c>
      <x:c r="Q35" s="346" t="str">
        <x:v>U/K</x:v>
      </x:c>
      <x:c r="R35" s="346" t="str">
        <x:v>U/K</x:v>
      </x:c>
      <x:c r="S35" s="346" t="str">
        <x:v>U/K</x:v>
      </x:c>
      <x:c r="T35" s="346" t="str">
        <x:v>U/K</x:v>
      </x:c>
      <x:c r="U35" s="346" t="str">
        <x:v>U/K</x:v>
      </x:c>
      <x:c r="V35" s="346" t="str">
        <x:v>U/K</x:v>
      </x:c>
      <x:c r="W35" s="346" t="str">
        <x:v>U/K</x:v>
      </x:c>
      <x:c r="X35" s="346" t="str">
        <x:v>U/K</x:v>
      </x:c>
      <x:c r="Y35" s="346" t="str">
        <x:v>U/K</x:v>
      </x:c>
      <x:c r="Z35" s="346" t="str">
        <x:v>U/K</x:v>
      </x:c>
      <x:c r="AA35" s="380" t="str">
        <x:v>Yes</x:v>
      </x:c>
      <x:c r="AB35" s="346" t="str">
        <x:v>U/K</x:v>
      </x:c>
      <x:c r="AC35" s="346" t="str">
        <x:v>U/K</x:v>
      </x:c>
      <x:c r="AD35" s="346" t="str">
        <x:v>U/K</x:v>
      </x:c>
      <x:c r="AE35" s="346" t="str">
        <x:v>U/K</x:v>
      </x:c>
    </x:row>
    <x:row r="36" ht="36" customHeight="1">
      <x:c r="A36" s="378" t="str">
        <x:v>Saved Layouts / Workspaces Access</x:v>
      </x:c>
      <x:c r="B36" s="346" t="str">
        <x:v>N/A</x:v>
      </x:c>
      <x:c r="C36" s="346" t="str">
        <x:v>U/K</x:v>
      </x:c>
      <x:c r="D36" s="346" t="str">
        <x:v>U/K</x:v>
      </x:c>
      <x:c r="E36" s="346" t="str">
        <x:v>U/K</x:v>
      </x:c>
      <x:c r="F36" s="346" t="str">
        <x:v>U/K</x:v>
      </x:c>
      <x:c r="G36" s="346" t="str">
        <x:v>U/K</x:v>
      </x:c>
      <x:c r="H36" s="346" t="str">
        <x:v>U/K</x:v>
      </x:c>
      <x:c r="I36" s="346" t="str">
        <x:v>U/K</x:v>
      </x:c>
      <x:c r="J36" s="346" t="str">
        <x:v>U/K</x:v>
      </x:c>
      <x:c r="K36" s="346" t="str">
        <x:v>U/K</x:v>
      </x:c>
      <x:c r="L36" s="346" t="str">
        <x:v>U/K</x:v>
      </x:c>
      <x:c r="M36" s="346" t="str">
        <x:v>U/K</x:v>
      </x:c>
      <x:c r="N36" s="346" t="str">
        <x:v>U/K</x:v>
      </x:c>
      <x:c r="O36" s="346" t="str">
        <x:v>U/K</x:v>
      </x:c>
      <x:c r="P36" s="346" t="str">
        <x:v>U/K</x:v>
      </x:c>
      <x:c r="Q36" s="346" t="str">
        <x:v>U/K</x:v>
      </x:c>
      <x:c r="R36" s="346" t="str">
        <x:v>U/K</x:v>
      </x:c>
      <x:c r="S36" s="346" t="str">
        <x:v>U/K</x:v>
      </x:c>
      <x:c r="T36" s="346" t="str">
        <x:v>U/K</x:v>
      </x:c>
      <x:c r="U36" s="346" t="str">
        <x:v>U/K</x:v>
      </x:c>
      <x:c r="V36" s="346" t="str">
        <x:v>U/K</x:v>
      </x:c>
      <x:c r="W36" s="346" t="str">
        <x:v>U/K</x:v>
      </x:c>
      <x:c r="X36" s="346" t="str">
        <x:v>U/K</x:v>
      </x:c>
      <x:c r="Y36" s="346" t="str">
        <x:v>U/K</x:v>
      </x:c>
      <x:c r="Z36" s="346" t="str">
        <x:v>U/K</x:v>
      </x:c>
      <x:c r="AA36" s="380" t="str">
        <x:v>Core feature / plan limits U/K</x:v>
      </x:c>
      <x:c r="AB36" s="346" t="str">
        <x:v>U/K</x:v>
      </x:c>
      <x:c r="AC36" s="346" t="str">
        <x:v>U/K</x:v>
      </x:c>
      <x:c r="AD36" s="346" t="str">
        <x:v>U/K</x:v>
      </x:c>
      <x:c r="AE36" s="346" t="str">
        <x:v>U/K</x:v>
      </x:c>
    </x:row>
    <x:row r="37" ht="36" customHeight="1">
      <x:c r="A37" s="378" t="str">
        <x:v>Embedded Apps / Portals Available?</x:v>
      </x:c>
      <x:c r="B37" s="346" t="str">
        <x:v>Yes - Activities/apps</x:v>
      </x:c>
      <x:c r="C37" s="346" t="str">
        <x:v>U/K</x:v>
      </x:c>
      <x:c r="D37" s="346" t="str">
        <x:v>U/K</x:v>
      </x:c>
      <x:c r="E37" s="346" t="str">
        <x:v>U/K</x:v>
      </x:c>
      <x:c r="F37" s="346" t="str">
        <x:v>U/K</x:v>
      </x:c>
      <x:c r="G37" s="346" t="str">
        <x:v>U/K</x:v>
      </x:c>
      <x:c r="H37" s="346" t="str">
        <x:v>U/K</x:v>
      </x:c>
      <x:c r="I37" s="346" t="str">
        <x:v>U/K</x:v>
      </x:c>
      <x:c r="J37" s="346" t="str">
        <x:v>U/K</x:v>
      </x:c>
      <x:c r="K37" s="346" t="str">
        <x:v>U/K</x:v>
      </x:c>
      <x:c r="L37" s="346" t="str">
        <x:v>U/K</x:v>
      </x:c>
      <x:c r="M37" s="346" t="str">
        <x:v>U/K</x:v>
      </x:c>
      <x:c r="N37" s="346" t="str">
        <x:v>U/K</x:v>
      </x:c>
      <x:c r="O37" s="346" t="str">
        <x:v>U/K</x:v>
      </x:c>
      <x:c r="P37" s="346" t="str">
        <x:v>U/K</x:v>
      </x:c>
      <x:c r="Q37" s="346" t="str">
        <x:v>U/K</x:v>
      </x:c>
      <x:c r="R37" s="346" t="str">
        <x:v>U/K</x:v>
      </x:c>
      <x:c r="S37" s="346" t="str">
        <x:v>U/K</x:v>
      </x:c>
      <x:c r="T37" s="346" t="str">
        <x:v>U/K</x:v>
      </x:c>
      <x:c r="U37" s="346" t="str">
        <x:v>U/K</x:v>
      </x:c>
      <x:c r="V37" s="346" t="str">
        <x:v>U/K</x:v>
      </x:c>
      <x:c r="W37" s="346" t="str">
        <x:v>U/K</x:v>
      </x:c>
      <x:c r="X37" s="346" t="str">
        <x:v>U/K</x:v>
      </x:c>
      <x:c r="Y37" s="346" t="str">
        <x:v>U/K</x:v>
      </x:c>
      <x:c r="Z37" s="346" t="str">
        <x:v>U/K</x:v>
      </x:c>
      <x:c r="AA37" s="380" t="str">
        <x:v>Yes - Portals</x:v>
      </x:c>
      <x:c r="AB37" s="346" t="str">
        <x:v>U/K</x:v>
      </x:c>
      <x:c r="AC37" s="346" t="str">
        <x:v>U/K</x:v>
      </x:c>
      <x:c r="AD37" s="346" t="str">
        <x:v>U/K</x:v>
      </x:c>
      <x:c r="AE37" s="346" t="str">
        <x:v>U/K</x:v>
      </x:c>
    </x:row>
    <x:row r="38" ht="36" customHeight="1">
      <x:c r="A38" s="378" t="str">
        <x:v>Embedded Apps / Portals Access</x:v>
      </x:c>
      <x:c r="B38" s="346" t="str">
        <x:v>Many Activities free; app-specific monetization may apply</x:v>
      </x:c>
      <x:c r="C38" s="346" t="str">
        <x:v>U/K</x:v>
      </x:c>
      <x:c r="D38" s="346" t="str">
        <x:v>U/K</x:v>
      </x:c>
      <x:c r="E38" s="346" t="str">
        <x:v>U/K</x:v>
      </x:c>
      <x:c r="F38" s="346" t="str">
        <x:v>U/K</x:v>
      </x:c>
      <x:c r="G38" s="346" t="str">
        <x:v>U/K</x:v>
      </x:c>
      <x:c r="H38" s="346" t="str">
        <x:v>U/K</x:v>
      </x:c>
      <x:c r="I38" s="346" t="str">
        <x:v>U/K</x:v>
      </x:c>
      <x:c r="J38" s="346" t="str">
        <x:v>U/K</x:v>
      </x:c>
      <x:c r="K38" s="346" t="str">
        <x:v>U/K</x:v>
      </x:c>
      <x:c r="L38" s="346" t="str">
        <x:v>U/K</x:v>
      </x:c>
      <x:c r="M38" s="346" t="str">
        <x:v>U/K</x:v>
      </x:c>
      <x:c r="N38" s="346" t="str">
        <x:v>U/K</x:v>
      </x:c>
      <x:c r="O38" s="346" t="str">
        <x:v>U/K</x:v>
      </x:c>
      <x:c r="P38" s="346" t="str">
        <x:v>U/K</x:v>
      </x:c>
      <x:c r="Q38" s="346" t="str">
        <x:v>U/K</x:v>
      </x:c>
      <x:c r="R38" s="346" t="str">
        <x:v>U/K</x:v>
      </x:c>
      <x:c r="S38" s="346" t="str">
        <x:v>U/K</x:v>
      </x:c>
      <x:c r="T38" s="346" t="str">
        <x:v>U/K</x:v>
      </x:c>
      <x:c r="U38" s="346" t="str">
        <x:v>U/K</x:v>
      </x:c>
      <x:c r="V38" s="346" t="str">
        <x:v>U/K</x:v>
      </x:c>
      <x:c r="W38" s="346" t="str">
        <x:v>U/K</x:v>
      </x:c>
      <x:c r="X38" s="346" t="str">
        <x:v>U/K</x:v>
      </x:c>
      <x:c r="Y38" s="346" t="str">
        <x:v>U/K</x:v>
      </x:c>
      <x:c r="Z38" s="346" t="str">
        <x:v>U/K</x:v>
      </x:c>
      <x:c r="AA38" s="380" t="str">
        <x:v>Core Portals available; exact plan gating U/K</x:v>
      </x:c>
      <x:c r="AB38" s="346" t="str">
        <x:v>U/K</x:v>
      </x:c>
      <x:c r="AC38" s="346" t="str">
        <x:v>U/K</x:v>
      </x:c>
      <x:c r="AD38" s="346" t="str">
        <x:v>U/K</x:v>
      </x:c>
      <x:c r="AE38" s="346" t="str">
        <x:v>U/K</x:v>
      </x:c>
    </x:row>
    <x:row r="39" ht="36" customHeight="1">
      <x:c r="A39" s="378" t="str">
        <x:v>Giveaways / Leveling Paid?</x:v>
      </x:c>
      <x:c r="B39" s="346" t="str">
        <x:v>Via third-party apps/bots; app pricing varies</x:v>
      </x:c>
      <x:c r="C39" s="346" t="str">
        <x:v>U/K</x:v>
      </x:c>
      <x:c r="D39" s="346" t="str">
        <x:v>U/K</x:v>
      </x:c>
      <x:c r="E39" s="346" t="str">
        <x:v>U/K</x:v>
      </x:c>
      <x:c r="F39" s="346" t="str">
        <x:v>U/K</x:v>
      </x:c>
      <x:c r="G39" s="346" t="str">
        <x:v>U/K</x:v>
      </x:c>
      <x:c r="H39" s="346" t="str">
        <x:v>U/K</x:v>
      </x:c>
      <x:c r="I39" s="346" t="str">
        <x:v>U/K</x:v>
      </x:c>
      <x:c r="J39" s="346" t="str">
        <x:v>U/K</x:v>
      </x:c>
      <x:c r="K39" s="346" t="str">
        <x:v>U/K</x:v>
      </x:c>
      <x:c r="L39" s="346" t="str">
        <x:v>U/K</x:v>
      </x:c>
      <x:c r="M39" s="346" t="str">
        <x:v>U/K</x:v>
      </x:c>
      <x:c r="N39" s="346" t="str">
        <x:v>U/K</x:v>
      </x:c>
      <x:c r="O39" s="346" t="str">
        <x:v>U/K</x:v>
      </x:c>
      <x:c r="P39" s="346" t="str">
        <x:v>U/K</x:v>
      </x:c>
      <x:c r="Q39" s="346" t="str">
        <x:v>U/K</x:v>
      </x:c>
      <x:c r="R39" s="346" t="str">
        <x:v>U/K</x:v>
      </x:c>
      <x:c r="S39" s="346" t="str">
        <x:v>U/K</x:v>
      </x:c>
      <x:c r="T39" s="346" t="str">
        <x:v>U/K</x:v>
      </x:c>
      <x:c r="U39" s="346" t="str">
        <x:v>U/K</x:v>
      </x:c>
      <x:c r="V39" s="346" t="str">
        <x:v>U/K</x:v>
      </x:c>
      <x:c r="W39" s="346" t="str">
        <x:v>U/K</x:v>
      </x:c>
      <x:c r="X39" s="346" t="str">
        <x:v>U/K</x:v>
      </x:c>
      <x:c r="Y39" s="346" t="str">
        <x:v>U/K</x:v>
      </x:c>
      <x:c r="Z39" s="346" t="str">
        <x:v>U/K</x:v>
      </x:c>
      <x:c r="AA39" s="380" t="str">
        <x:v>No - leveling stated free for every Shard; giveaways built in</x:v>
      </x:c>
      <x:c r="AB39" s="346" t="str">
        <x:v>U/K</x:v>
      </x:c>
      <x:c r="AC39" s="346" t="str">
        <x:v>U/K</x:v>
      </x:c>
      <x:c r="AD39" s="346" t="str">
        <x:v>U/K</x:v>
      </x:c>
      <x:c r="AE39" s="346" t="str">
        <x:v>U/K</x:v>
      </x:c>
    </x:row>
  </x:sheetData>
  <x:mergeCells>
    <x:mergeCell ref="A1:AE1"/>
  </x:mergeCells>
  <x:conditionalFormatting sqref="B3:AE33">
    <x:cfRule type="expression" dxfId="88" priority="1">
      <x:formula>ISNUMBER(SEARCH("U/K",B3))</x:formula>
    </x:cfRule>
    <x:cfRule type="expression" dxfId="89" priority="2">
      <x:formula>OR(B3="N/A",LEFT(B3,4)="N/A ")</x:formula>
    </x:cfRule>
  </x:conditionalFormatting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8" hidden="0" customWidth="1"/>
    <x:col min="4" max="4" width="32" hidden="0" customWidth="1"/>
    <x:col min="5" max="5" width="22" hidden="0" customWidth="1"/>
    <x:col min="6" max="6" width="10" hidden="0" customWidth="1"/>
    <x:col min="7" max="7" width="18" hidden="0" customWidth="1"/>
    <x:col min="8" max="8" width="22" hidden="0" customWidth="1"/>
    <x:col min="9" max="9" width="22" hidden="0" customWidth="1"/>
    <x:col min="10" max="10" width="20" hidden="0" customWidth="1"/>
    <x:col min="11" max="11" width="18" hidden="0" customWidth="1"/>
    <x:col min="12" max="12" width="20" hidden="0" customWidth="1"/>
    <x:col min="13" max="13" width="30" hidden="0" customWidth="1"/>
    <x:col min="14" max="14" width="52" hidden="0" customWidth="1"/>
    <x:col min="15" max="15" width="14" hidden="0" customWidth="1"/>
    <x:col min="16" max="16" width="48" hidden="0" customWidth="1"/>
    <x:col min="17" max="17" width="30" hidden="0" customWidth="1"/>
  </x:cols>
  <x:sheetData>
    <x:row r="1" ht="28" customHeight="1">
      <x:c r="A1" s="437" t="str">
        <x:v>Monetization Detail - current and intended revenue models, including per-user and per-server/community upgrades</x:v>
      </x:c>
      <x:c r="B1" s="437"/>
      <x:c r="C1" s="437"/>
      <x:c r="D1" s="437"/>
      <x:c r="E1" s="437"/>
      <x:c r="F1" s="437"/>
      <x:c r="G1" s="437"/>
      <x:c r="H1" s="437"/>
      <x:c r="I1" s="437"/>
      <x:c r="J1" s="437"/>
      <x:c r="K1" s="437"/>
      <x:c r="L1" s="437"/>
      <x:c r="M1" s="437"/>
      <x:c r="N1" s="437"/>
      <x:c r="O1" s="437"/>
      <x:c r="P1" s="437"/>
      <x:c r="Q1" s="437"/>
    </x:row>
    <x:row r="2" ht="34" customHeight="1">
      <x:c r="A2" s="420" t="str">
        <x:v>Platform</x:v>
      </x:c>
      <x:c r="B2" s="420" t="str">
        <x:v>Lifecycle</x:v>
      </x:c>
      <x:c r="C2" s="420" t="str">
        <x:v>Revenue / Monetization Type</x:v>
      </x:c>
      <x:c r="D2" s="420" t="str">
        <x:v>Option / Mechanism</x:v>
      </x:c>
      <x:c r="E2" s="420" t="str">
        <x:v>Amount</x:v>
      </x:c>
      <x:c r="F2" s="420" t="str">
        <x:v>Currency</x:v>
      </x:c>
      <x:c r="G2" s="420" t="str">
        <x:v>Cadence</x:v>
      </x:c>
      <x:c r="H2" s="420" t="str">
        <x:v>Charged To / Unit</x:v>
      </x:c>
      <x:c r="I2" s="420" t="str">
        <x:v>Benefit Scope</x:v>
      </x:c>
      <x:c r="J2" s="420" t="str">
        <x:v>Server / Community Upgrade?</x:v>
      </x:c>
      <x:c r="K2" s="420" t="str">
        <x:v>User Benefit?</x:v>
      </x:c>
      <x:c r="L2" s="420" t="str">
        <x:v>Current Availability</x:v>
      </x:c>
      <x:c r="M2" s="420" t="str">
        <x:v>Intended / Roadmap Change</x:v>
      </x:c>
      <x:c r="N2" s="420" t="str">
        <x:v>Source URL</x:v>
      </x:c>
      <x:c r="O2" s="420" t="str">
        <x:v>Last Checked</x:v>
      </x:c>
      <x:c r="P2" s="420" t="str">
        <x:v>Notes</x:v>
      </x:c>
      <x:c r="Q2" s="420" t="str">
        <x:v>Evidence Status</x:v>
      </x:c>
    </x:row>
    <x:row r="3" ht="34" customHeight="1">
      <x:c r="A3" s="346" t="str">
        <x:v>Discord</x:v>
      </x:c>
      <x:c r="B3" s="346" t="str">
        <x:v>Current</x:v>
      </x:c>
      <x:c r="C3" s="346" t="str">
        <x:v>User subscription</x:v>
      </x:c>
      <x:c r="D3" s="346" t="str">
        <x:v>Nitro Basic</x:v>
      </x:c>
      <x:c r="E3" s="346" t="str">
        <x:v>2.99/mo; 29.99/yr</x:v>
      </x:c>
      <x:c r="F3" s="346" t="str">
        <x:v>USD</x:v>
      </x:c>
      <x:c r="G3" s="346" t="str">
        <x:v>Monthly / annual as listed</x:v>
      </x:c>
      <x:c r="H3" s="346" t="str">
        <x:v>Per user</x:v>
      </x:c>
      <x:c r="I3" s="346" t="str">
        <x:v>Personal account</x:v>
      </x:c>
      <x:c r="J3" s="346" t="str">
        <x:v>No</x:v>
      </x:c>
      <x:c r="K3" s="346" t="str">
        <x:v>Yes</x:v>
      </x:c>
      <x:c r="L3" s="346" t="str">
        <x:v>Active</x:v>
      </x:c>
      <x:c r="M3" s="346" t="str"/>
      <x:c r="N3" s="346" t="str">
        <x:v>https://support.discord.com/hc/en-us/articles/4407269525911-Localized-Pricing-on-Discord</x:v>
      </x:c>
      <x:c r="O3" s="346" t="str">
        <x:v>2026-09-15</x:v>
      </x:c>
      <x:c r="P3" s="346" t="str">
        <x:v>Localized pricing exists; USD shown for comparison.</x:v>
      </x:c>
      <x:c r="Q3" s="346" t="str">
        <x:v>Primary / first-party source recorded</x:v>
      </x:c>
    </x:row>
    <x:row r="4" ht="34" customHeight="1">
      <x:c r="A4" s="346" t="str">
        <x:v>Discord</x:v>
      </x:c>
      <x:c r="B4" s="346" t="str">
        <x:v>Current</x:v>
      </x:c>
      <x:c r="C4" s="346" t="str">
        <x:v>User subscription</x:v>
      </x:c>
      <x:c r="D4" s="346" t="str">
        <x:v>Nitro</x:v>
      </x:c>
      <x:c r="E4" s="346" t="str">
        <x:v>9.99/mo; 99.99/yr</x:v>
      </x:c>
      <x:c r="F4" s="346" t="str">
        <x:v>USD</x:v>
      </x:c>
      <x:c r="G4" s="346" t="str">
        <x:v>Monthly / annual as listed</x:v>
      </x:c>
      <x:c r="H4" s="346" t="str">
        <x:v>Per user</x:v>
      </x:c>
      <x:c r="I4" s="346" t="str">
        <x:v>Personal account</x:v>
      </x:c>
      <x:c r="J4" s="346" t="str">
        <x:v>No</x:v>
      </x:c>
      <x:c r="K4" s="346" t="str">
        <x:v>Yes</x:v>
      </x:c>
      <x:c r="L4" s="346" t="str">
        <x:v>Active</x:v>
      </x:c>
      <x:c r="M4" s="346" t="str"/>
      <x:c r="N4" s="346" t="str">
        <x:v>https://support.discord.com/hc/en-us/articles/4407269525911-Localized-Pricing-on-Discord</x:v>
      </x:c>
      <x:c r="O4" s="346" t="str">
        <x:v>2026-09-15</x:v>
      </x:c>
      <x:c r="P4" s="346" t="str">
        <x:v>Current full Nitro plan.</x:v>
      </x:c>
      <x:c r="Q4" s="346" t="str">
        <x:v>Primary / first-party source recorded</x:v>
      </x:c>
    </x:row>
    <x:row r="5" ht="34" customHeight="1">
      <x:c r="A5" s="346" t="str">
        <x:v>Discord</x:v>
      </x:c>
      <x:c r="B5" s="346" t="str">
        <x:v>Current</x:v>
      </x:c>
      <x:c r="C5" s="346" t="str">
        <x:v>Server add-on</x:v>
      </x:c>
      <x:c r="D5" s="346" t="str">
        <x:v>Server Boost</x:v>
      </x:c>
      <x:c r="E5" s="346" t="str">
        <x:v>4.99/mo; 49.99/yr</x:v>
      </x:c>
      <x:c r="F5" s="346" t="str">
        <x:v>USD</x:v>
      </x:c>
      <x:c r="G5" s="346" t="str">
        <x:v>Monthly / annual as listed</x:v>
      </x:c>
      <x:c r="H5" s="346" t="str">
        <x:v>Per boost</x:v>
      </x:c>
      <x:c r="I5" s="346" t="str">
        <x:v>One server</x:v>
      </x:c>
      <x:c r="J5" s="346" t="str">
        <x:v>Yes</x:v>
      </x:c>
      <x:c r="K5" s="346" t="str">
        <x:v>Entire server/community</x:v>
      </x:c>
      <x:c r="L5" s="346" t="str">
        <x:v>Active</x:v>
      </x:c>
      <x:c r="M5" s="346" t="str"/>
      <x:c r="N5" s="346" t="str">
        <x:v>https://support.discord.com/hc/en-us/articles/4407269525911-Localized-Pricing-on-Discord</x:v>
      </x:c>
      <x:c r="O5" s="346" t="str">
        <x:v>2026-09-15</x:v>
      </x:c>
      <x:c r="P5" s="346" t="str">
        <x:v>Each boost is a separate recurring subscription.</x:v>
      </x:c>
      <x:c r="Q5" s="346" t="str">
        <x:v>Primary / first-party source recorded</x:v>
      </x:c>
    </x:row>
    <x:row r="6" ht="34" customHeight="1">
      <x:c r="A6" s="346" t="str">
        <x:v>Discord</x:v>
      </x:c>
      <x:c r="B6" s="346" t="str">
        <x:v>Legacy</x:v>
      </x:c>
      <x:c r="C6" s="346" t="str">
        <x:v>Legacy user subscription</x:v>
      </x:c>
      <x:c r="D6" s="346" t="str">
        <x:v>Nitro Classic</x:v>
      </x:c>
      <x:c r="E6" s="346" t="str">
        <x:v>4.99/mo; 49.99/yr</x:v>
      </x:c>
      <x:c r="F6" s="346" t="str">
        <x:v>USD</x:v>
      </x:c>
      <x:c r="G6" s="346" t="str">
        <x:v>Monthly / annual as listed</x:v>
      </x:c>
      <x:c r="H6" s="346" t="str">
        <x:v>Per user</x:v>
      </x:c>
      <x:c r="I6" s="346" t="str">
        <x:v>Personal account</x:v>
      </x:c>
      <x:c r="J6" s="346" t="str">
        <x:v>No</x:v>
      </x:c>
      <x:c r="K6" s="346" t="str">
        <x:v>Yes</x:v>
      </x:c>
      <x:c r="L6" s="346" t="str">
        <x:v>Grandfathered / not sold to new subscribers</x:v>
      </x:c>
      <x:c r="M6" s="346" t="str"/>
      <x:c r="N6" s="346" t="str">
        <x:v>https://support.discord.com/hc/en-us/articles/4407269525911-Localized-Pricing-on-Discord</x:v>
      </x:c>
      <x:c r="O6" s="346" t="str">
        <x:v>2026-09-15</x:v>
      </x:c>
      <x:c r="P6" s="346" t="str">
        <x:v>No longer available to new subscribers.</x:v>
      </x:c>
      <x:c r="Q6" s="346" t="str">
        <x:v>Primary / first-party source recorded</x:v>
      </x:c>
    </x:row>
    <x:row r="7" ht="34" customHeight="1">
      <x:c r="A7" s="346" t="str">
        <x:v>Stoat</x:v>
      </x:c>
      <x:c r="B7" s="346" t="str">
        <x:v>Current</x:v>
      </x:c>
      <x:c r="C7" s="346" t="str">
        <x:v>No public paid tier</x:v>
      </x:c>
      <x:c r="D7" s="346" t="str">
        <x:v>No public fixed-price paid tier verified</x:v>
      </x:c>
      <x:c r="E7" s="346" t="str">
        <x:v>N/A</x:v>
      </x:c>
      <x:c r="F7" s="346" t="str">
        <x:v>N/A</x:v>
      </x:c>
      <x:c r="G7" s="346" t="str">
        <x:v>N/A / U/K</x:v>
      </x:c>
      <x:c r="H7" s="346" t="str">
        <x:v>N/A</x:v>
      </x:c>
      <x:c r="I7" s="346" t="str">
        <x:v>N/A</x:v>
      </x:c>
      <x:c r="J7" s="346" t="str">
        <x:v>No</x:v>
      </x:c>
      <x:c r="K7" s="346" t="str">
        <x:v>N/A</x:v>
      </x:c>
      <x:c r="L7" s="346" t="str">
        <x:v>None verified</x:v>
      </x:c>
      <x:c r="M7" s="346" t="str"/>
      <x:c r="N7" s="346" t="str">
        <x:v>https://stoat.chat/</x:v>
      </x:c>
      <x:c r="O7" s="346" t="str">
        <x:v>2026-09-15</x:v>
      </x:c>
      <x:c r="P7" s="346" t="str">
        <x:v>Hosted service/self-host project; no fixed paid subscription verified.</x:v>
      </x:c>
      <x:c r="Q7" s="346" t="str">
        <x:v>Primary / first-party source recorded</x:v>
      </x:c>
    </x:row>
    <x:row r="8" ht="34" customHeight="1">
      <x:c r="A8" s="346" t="str">
        <x:v>Fenrid</x:v>
      </x:c>
      <x:c r="B8" s="346" t="str">
        <x:v>Intended / Planned</x:v>
      </x:c>
      <x:c r="C8" s="346" t="str">
        <x:v>Planned subscription</x:v>
      </x:c>
      <x:c r="D8" s="346" t="str">
        <x:v>Surge</x:v>
      </x:c>
      <x:c r="E8" s="346" t="str">
        <x:v>4.99/mo</x:v>
      </x:c>
      <x:c r="F8" s="346" t="str">
        <x:v>USD</x:v>
      </x:c>
      <x:c r="G8" s="346" t="str">
        <x:v>Monthly / annual as listed</x:v>
      </x:c>
      <x:c r="H8" s="346" t="str">
        <x:v>Subscription</x:v>
      </x:c>
      <x:c r="I8" s="346" t="str">
        <x:v>User/community plan</x:v>
      </x:c>
      <x:c r="J8" s="346" t="str">
        <x:v>No</x:v>
      </x:c>
      <x:c r="K8" s="346" t="str">
        <x:v>User/community plan</x:v>
      </x:c>
      <x:c r="L8" s="346" t="str">
        <x:v>Coming soon</x:v>
      </x:c>
      <x:c r="M8" s="346" t="str">
        <x:v>Fenrid is in alpha; pricing and benefits may change before launch.</x:v>
      </x:c>
      <x:c r="N8" s="346" t="str">
        <x:v>https://fenrid.com/waitlist</x:v>
      </x:c>
      <x:c r="O8" s="346" t="str">
        <x:v>2026-09-15</x:v>
      </x:c>
      <x:c r="P8" s="346" t="str">
        <x:v>Fenrid is in alpha; pricing and benefits may change before launch.</x:v>
      </x:c>
      <x:c r="Q8" s="346" t="str">
        <x:v>Primary / first-party source recorded</x:v>
      </x:c>
    </x:row>
    <x:row r="9" ht="34" customHeight="1">
      <x:c r="A9" s="346" t="str">
        <x:v>Fenrid</x:v>
      </x:c>
      <x:c r="B9" s="346" t="str">
        <x:v>Intended / Planned</x:v>
      </x:c>
      <x:c r="C9" s="346" t="str">
        <x:v>Planned subscription</x:v>
      </x:c>
      <x:c r="D9" s="346" t="str">
        <x:v>Flare</x:v>
      </x:c>
      <x:c r="E9" s="346" t="str">
        <x:v>9.99/mo</x:v>
      </x:c>
      <x:c r="F9" s="346" t="str">
        <x:v>USD</x:v>
      </x:c>
      <x:c r="G9" s="346" t="str">
        <x:v>Monthly / annual as listed</x:v>
      </x:c>
      <x:c r="H9" s="346" t="str">
        <x:v>Subscription</x:v>
      </x:c>
      <x:c r="I9" s="346" t="str">
        <x:v>User/community plan</x:v>
      </x:c>
      <x:c r="J9" s="346" t="str">
        <x:v>No</x:v>
      </x:c>
      <x:c r="K9" s="346" t="str">
        <x:v>User/community plan</x:v>
      </x:c>
      <x:c r="L9" s="346" t="str">
        <x:v>Coming soon</x:v>
      </x:c>
      <x:c r="M9" s="346" t="str">
        <x:v>Fenrid is in alpha; pricing and benefits may change before launch.</x:v>
      </x:c>
      <x:c r="N9" s="346" t="str">
        <x:v>https://fenrid.com/waitlist</x:v>
      </x:c>
      <x:c r="O9" s="346" t="str">
        <x:v>2026-09-15</x:v>
      </x:c>
      <x:c r="P9" s="346" t="str">
        <x:v>Fenrid is in alpha; pricing and benefits may change before launch.</x:v>
      </x:c>
      <x:c r="Q9" s="346" t="str">
        <x:v>Primary / first-party source recorded</x:v>
      </x:c>
    </x:row>
    <x:row r="10" ht="34" customHeight="1">
      <x:c r="A10" s="346" t="str">
        <x:v>Fenrid</x:v>
      </x:c>
      <x:c r="B10" s="346" t="str">
        <x:v>Intended / Planned</x:v>
      </x:c>
      <x:c r="C10" s="346" t="str">
        <x:v>Planned subscription</x:v>
      </x:c>
      <x:c r="D10" s="346" t="str">
        <x:v>Prime</x:v>
      </x:c>
      <x:c r="E10" s="346" t="str">
        <x:v>24.99/mo</x:v>
      </x:c>
      <x:c r="F10" s="346" t="str">
        <x:v>USD</x:v>
      </x:c>
      <x:c r="G10" s="346" t="str">
        <x:v>Monthly / annual as listed</x:v>
      </x:c>
      <x:c r="H10" s="346" t="str">
        <x:v>Subscription</x:v>
      </x:c>
      <x:c r="I10" s="346" t="str">
        <x:v>User/community plan</x:v>
      </x:c>
      <x:c r="J10" s="346" t="str">
        <x:v>No</x:v>
      </x:c>
      <x:c r="K10" s="346" t="str">
        <x:v>User/community plan</x:v>
      </x:c>
      <x:c r="L10" s="346" t="str">
        <x:v>Coming soon</x:v>
      </x:c>
      <x:c r="M10" s="346" t="str">
        <x:v>Fenrid is in alpha; pricing and benefits may change before launch.</x:v>
      </x:c>
      <x:c r="N10" s="346" t="str">
        <x:v>https://fenrid.com/waitlist</x:v>
      </x:c>
      <x:c r="O10" s="346" t="str">
        <x:v>2026-09-15</x:v>
      </x:c>
      <x:c r="P10" s="346" t="str">
        <x:v>Fenrid is in alpha; pricing and benefits may change before launch.</x:v>
      </x:c>
      <x:c r="Q10" s="346" t="str">
        <x:v>Primary / first-party source recorded</x:v>
      </x:c>
    </x:row>
    <x:row r="11" ht="34" customHeight="1">
      <x:c r="A11" s="346" t="str">
        <x:v>Fluxer</x:v>
      </x:c>
      <x:c r="B11" s="346" t="str">
        <x:v>Current</x:v>
      </x:c>
      <x:c r="C11" s="346" t="str">
        <x:v>User subscription</x:v>
      </x:c>
      <x:c r="D11" s="346" t="str">
        <x:v>Plutonium</x:v>
      </x:c>
      <x:c r="E11" s="346" t="str">
        <x:v>4.99/mo; 49.99/yr</x:v>
      </x:c>
      <x:c r="F11" s="346" t="str">
        <x:v>USD</x:v>
      </x:c>
      <x:c r="G11" s="346" t="str">
        <x:v>Monthly / annual as listed</x:v>
      </x:c>
      <x:c r="H11" s="346" t="str">
        <x:v>Per user</x:v>
      </x:c>
      <x:c r="I11" s="346" t="str">
        <x:v>Personal account</x:v>
      </x:c>
      <x:c r="J11" s="346" t="str">
        <x:v>No</x:v>
      </x:c>
      <x:c r="K11" s="346" t="str">
        <x:v>Yes</x:v>
      </x:c>
      <x:c r="L11" s="346" t="str">
        <x:v>Active</x:v>
      </x:c>
      <x:c r="M11" s="346" t="str"/>
      <x:c r="N11" s="346" t="str">
        <x:v>https://fluxer.app/plutonium</x:v>
      </x:c>
      <x:c r="O11" s="346" t="str">
        <x:v>2026-09-15</x:v>
      </x:c>
      <x:c r="P11" s="346" t="str">
        <x:v>Optional; Fluxer remains usable for free.</x:v>
      </x:c>
      <x:c r="Q11" s="346" t="str">
        <x:v>Primary / first-party source recorded</x:v>
      </x:c>
    </x:row>
    <x:row r="12" ht="34" customHeight="1">
      <x:c r="A12" s="346" t="str">
        <x:v>Root</x:v>
      </x:c>
      <x:c r="B12" s="346" t="str">
        <x:v>Current</x:v>
      </x:c>
      <x:c r="C12" s="346" t="str">
        <x:v>User subscription</x:v>
      </x:c>
      <x:c r="D12" s="346" t="str">
        <x:v>Sudo</x:v>
      </x:c>
      <x:c r="E12" s="346" t="str">
        <x:v>U/K</x:v>
      </x:c>
      <x:c r="F12" s="346" t="str">
        <x:v>USD / in-app</x:v>
      </x:c>
      <x:c r="G12" s="346" t="str">
        <x:v>N/A / U/K</x:v>
      </x:c>
      <x:c r="H12" s="346" t="str">
        <x:v>Per user</x:v>
      </x:c>
      <x:c r="I12" s="346" t="str">
        <x:v>Personal account</x:v>
      </x:c>
      <x:c r="J12" s="346" t="str">
        <x:v>No</x:v>
      </x:c>
      <x:c r="K12" s="346" t="str">
        <x:v>Yes</x:v>
      </x:c>
      <x:c r="L12" s="346" t="str">
        <x:v>Active</x:v>
      </x:c>
      <x:c r="M12" s="346" t="str"/>
      <x:c r="N12" s="346" t="str">
        <x:v>https://support.rootapp.com/docs/sudo/get-started/sudo-faqs/</x:v>
      </x:c>
      <x:c r="O12" s="346" t="str">
        <x:v>2026-09-15</x:v>
      </x:c>
      <x:c r="P12" s="346" t="str">
        <x:v>Root documents monthly and yearly billing, but the current price is shown in-app rather than publicly on the help page.</x:v>
      </x:c>
      <x:c r="Q12" s="346" t="str">
        <x:v>Primary / first-party source recorded</x:v>
      </x:c>
    </x:row>
    <x:row r="13" ht="34" customHeight="1">
      <x:c r="A13" s="346" t="str">
        <x:v>Matrix</x:v>
      </x:c>
      <x:c r="B13" s="346" t="str">
        <x:v>Current</x:v>
      </x:c>
      <x:c r="C13" s="346" t="str">
        <x:v>Protocol-level pricing</x:v>
      </x:c>
      <x:c r="D13" s="346" t="str">
        <x:v>No Matrix-wide paid tier</x:v>
      </x:c>
      <x:c r="E13" s="346" t="str">
        <x:v>N/A</x:v>
      </x:c>
      <x:c r="F13" s="346" t="str">
        <x:v>Provider-specific</x:v>
      </x:c>
      <x:c r="G13" s="346" t="str">
        <x:v>N/A / U/K</x:v>
      </x:c>
      <x:c r="H13" s="346" t="str">
        <x:v>Provider-specific</x:v>
      </x:c>
      <x:c r="I13" s="346" t="str">
        <x:v>Homeserver/client provider</x:v>
      </x:c>
      <x:c r="J13" s="346" t="str">
        <x:v>No</x:v>
      </x:c>
      <x:c r="K13" s="346" t="str">
        <x:v>Homeserver/client provider</x:v>
      </x:c>
      <x:c r="L13" s="346" t="str">
        <x:v>Provider-specific</x:v>
      </x:c>
      <x:c r="M13" s="346" t="str"/>
      <x:c r="N13" s="346" t="str">
        <x:v>https://matrix.org/</x:v>
      </x:c>
      <x:c r="O13" s="346" t="str">
        <x:v>2026-09-15</x:v>
      </x:c>
      <x:c r="P13" s="346" t="str">
        <x:v>Do not attribute Element or another provider's pricing to Matrix.</x:v>
      </x:c>
      <x:c r="Q13" s="346" t="str">
        <x:v>Primary / first-party source recorded</x:v>
      </x:c>
    </x:row>
    <x:row r="14" ht="34" customHeight="1">
      <x:c r="A14" s="346" t="str">
        <x:v>Spacebar</x:v>
      </x:c>
      <x:c r="B14" s="346" t="str">
        <x:v>Current</x:v>
      </x:c>
      <x:c r="C14" s="346" t="str">
        <x:v>No public paid tier</x:v>
      </x:c>
      <x:c r="D14" s="346" t="str">
        <x:v>No central paid tier</x:v>
      </x:c>
      <x:c r="E14" s="346" t="str">
        <x:v>N/A</x:v>
      </x:c>
      <x:c r="F14" s="346" t="str">
        <x:v>N/A</x:v>
      </x:c>
      <x:c r="G14" s="346" t="str">
        <x:v>N/A / U/K</x:v>
      </x:c>
      <x:c r="H14" s="346" t="str">
        <x:v>Self-hosted</x:v>
      </x:c>
      <x:c r="I14" s="346" t="str">
        <x:v>Operator</x:v>
      </x:c>
      <x:c r="J14" s="346" t="str">
        <x:v>No</x:v>
      </x:c>
      <x:c r="K14" s="346" t="str">
        <x:v>Operator</x:v>
      </x:c>
      <x:c r="L14" s="346" t="str">
        <x:v>None</x:v>
      </x:c>
      <x:c r="M14" s="346" t="str"/>
      <x:c r="N14" s="346" t="str">
        <x:v>https://spacebar.chat/</x:v>
      </x:c>
      <x:c r="O14" s="346" t="str">
        <x:v>2026-09-15</x:v>
      </x:c>
      <x:c r="P14" s="346" t="str">
        <x:v>No central subscription model.</x:v>
      </x:c>
      <x:c r="Q14" s="346" t="str">
        <x:v>Primary / first-party source recorded</x:v>
      </x:c>
    </x:row>
    <x:row r="15" ht="34" customHeight="1">
      <x:c r="A15" s="346" t="str">
        <x:v>Mumble</x:v>
      </x:c>
      <x:c r="B15" s="346" t="str">
        <x:v>Current</x:v>
      </x:c>
      <x:c r="C15" s="346" t="str">
        <x:v>No platform paid tier</x:v>
      </x:c>
      <x:c r="D15" s="346" t="str">
        <x:v>No Mumble subscription</x:v>
      </x:c>
      <x:c r="E15" s="346" t="str">
        <x:v>N/A</x:v>
      </x:c>
      <x:c r="F15" s="346" t="str">
        <x:v>N/A</x:v>
      </x:c>
      <x:c r="G15" s="346" t="str">
        <x:v>N/A / U/K</x:v>
      </x:c>
      <x:c r="H15" s="346" t="str">
        <x:v>Open-source/self-hosted</x:v>
      </x:c>
      <x:c r="I15" s="346" t="str">
        <x:v>Operator</x:v>
      </x:c>
      <x:c r="J15" s="346" t="str">
        <x:v>No</x:v>
      </x:c>
      <x:c r="K15" s="346" t="str">
        <x:v>Operator</x:v>
      </x:c>
      <x:c r="L15" s="346" t="str">
        <x:v>None</x:v>
      </x:c>
      <x:c r="M15" s="346" t="str"/>
      <x:c r="N15" s="346" t="str">
        <x:v>https://www.mumble.info/</x:v>
      </x:c>
      <x:c r="O15" s="346" t="str">
        <x:v>2026-09-15</x:v>
      </x:c>
      <x:c r="P15" s="346" t="str">
        <x:v>Third-party hosted-server pricing is not a Mumble platform tier.</x:v>
      </x:c>
      <x:c r="Q15" s="346" t="str">
        <x:v>Primary / first-party source recorded</x:v>
      </x:c>
    </x:row>
    <x:row r="16" ht="34" customHeight="1">
      <x:c r="A16" s="346" t="str">
        <x:v>TeamSpeak</x:v>
      </x:c>
      <x:c r="B16" s="346" t="str">
        <x:v>Current</x:v>
      </x:c>
      <x:c r="C16" s="346" t="str">
        <x:v>Hosted community plan</x:v>
      </x:c>
      <x:c r="D16" s="346" t="str">
        <x:v>Crew</x:v>
      </x:c>
      <x:c r="E16" s="346" t="str">
        <x:v>4.99/mo; 53.99/yr</x:v>
      </x:c>
      <x:c r="F16" s="346" t="str">
        <x:v>USD</x:v>
      </x:c>
      <x:c r="G16" s="346" t="str">
        <x:v>Monthly / annual as listed</x:v>
      </x:c>
      <x:c r="H16" s="346" t="str">
        <x:v>Per hosted community</x:v>
      </x:c>
      <x:c r="I16" s="346" t="str">
        <x:v>One TeamSpeak Community server</x:v>
      </x:c>
      <x:c r="J16" s="346" t="str">
        <x:v>Yes</x:v>
      </x:c>
      <x:c r="K16" s="346" t="str">
        <x:v>Entire server/community</x:v>
      </x:c>
      <x:c r="L16" s="346" t="str">
        <x:v>Active</x:v>
      </x:c>
      <x:c r="M16" s="346" t="str"/>
      <x:c r="N16" s="346" t="str">
        <x:v>https://support.teamspeak.com/hc/en-us/articles/26033099878045-Current-Community-Options</x:v>
      </x:c>
      <x:c r="O16" s="346" t="str">
        <x:v>2026-09-15</x:v>
      </x:c>
      <x:c r="P16" s="346" t="str">
        <x:v>Hosted by TeamSpeak.</x:v>
      </x:c>
      <x:c r="Q16" s="346" t="str">
        <x:v>Primary / first-party source recorded</x:v>
      </x:c>
    </x:row>
    <x:row r="17" ht="34" customHeight="1">
      <x:c r="A17" s="346" t="str">
        <x:v>TeamSpeak</x:v>
      </x:c>
      <x:c r="B17" s="346" t="str">
        <x:v>Current</x:v>
      </x:c>
      <x:c r="C17" s="346" t="str">
        <x:v>Hosted community plan</x:v>
      </x:c>
      <x:c r="D17" s="346" t="str">
        <x:v>Team</x:v>
      </x:c>
      <x:c r="E17" s="346" t="str">
        <x:v>8.99/mo; 96.99/yr</x:v>
      </x:c>
      <x:c r="F17" s="346" t="str">
        <x:v>USD</x:v>
      </x:c>
      <x:c r="G17" s="346" t="str">
        <x:v>Monthly / annual as listed</x:v>
      </x:c>
      <x:c r="H17" s="346" t="str">
        <x:v>Per hosted community</x:v>
      </x:c>
      <x:c r="I17" s="346" t="str">
        <x:v>One TeamSpeak Community server</x:v>
      </x:c>
      <x:c r="J17" s="346" t="str">
        <x:v>Yes</x:v>
      </x:c>
      <x:c r="K17" s="346" t="str">
        <x:v>Entire server/community</x:v>
      </x:c>
      <x:c r="L17" s="346" t="str">
        <x:v>Active</x:v>
      </x:c>
      <x:c r="M17" s="346" t="str"/>
      <x:c r="N17" s="346" t="str">
        <x:v>https://support.teamspeak.com/hc/en-us/articles/26033099878045-Current-Community-Options</x:v>
      </x:c>
      <x:c r="O17" s="346" t="str">
        <x:v>2026-09-15</x:v>
      </x:c>
      <x:c r="P17" s="346" t="str">
        <x:v>Hosted by TeamSpeak.</x:v>
      </x:c>
      <x:c r="Q17" s="346" t="str">
        <x:v>Primary / first-party source recorded</x:v>
      </x:c>
    </x:row>
    <x:row r="18" ht="34" customHeight="1">
      <x:c r="A18" s="346" t="str">
        <x:v>TeamSpeak</x:v>
      </x:c>
      <x:c r="B18" s="346" t="str">
        <x:v>Current</x:v>
      </x:c>
      <x:c r="C18" s="346" t="str">
        <x:v>Hosted community plan</x:v>
      </x:c>
      <x:c r="D18" s="346" t="str">
        <x:v>Faction</x:v>
      </x:c>
      <x:c r="E18" s="346" t="str">
        <x:v>17.99/mo; 194.99/yr</x:v>
      </x:c>
      <x:c r="F18" s="346" t="str">
        <x:v>USD</x:v>
      </x:c>
      <x:c r="G18" s="346" t="str">
        <x:v>Monthly / annual as listed</x:v>
      </x:c>
      <x:c r="H18" s="346" t="str">
        <x:v>Per hosted community</x:v>
      </x:c>
      <x:c r="I18" s="346" t="str">
        <x:v>One TeamSpeak Community server</x:v>
      </x:c>
      <x:c r="J18" s="346" t="str">
        <x:v>Yes</x:v>
      </x:c>
      <x:c r="K18" s="346" t="str">
        <x:v>Entire server/community</x:v>
      </x:c>
      <x:c r="L18" s="346" t="str">
        <x:v>Active</x:v>
      </x:c>
      <x:c r="M18" s="346" t="str"/>
      <x:c r="N18" s="346" t="str">
        <x:v>https://support.teamspeak.com/hc/en-us/articles/26033099878045-Current-Community-Options</x:v>
      </x:c>
      <x:c r="O18" s="346" t="str">
        <x:v>2026-09-15</x:v>
      </x:c>
      <x:c r="P18" s="346" t="str">
        <x:v>Hosted by TeamSpeak.</x:v>
      </x:c>
      <x:c r="Q18" s="346" t="str">
        <x:v>Primary / first-party source recorded</x:v>
      </x:c>
    </x:row>
    <x:row r="19" ht="34" customHeight="1">
      <x:c r="A19" s="346" t="str">
        <x:v>TeamSpeak</x:v>
      </x:c>
      <x:c r="B19" s="346" t="str">
        <x:v>Current</x:v>
      </x:c>
      <x:c r="C19" s="346" t="str">
        <x:v>Self-host license</x:v>
      </x:c>
      <x:c r="D19" s="346" t="str">
        <x:v>Gamer / Activation 64 slots</x:v>
      </x:c>
      <x:c r="E19" s="346" t="str">
        <x:v>55/yr</x:v>
      </x:c>
      <x:c r="F19" s="346" t="str">
        <x:v>USD</x:v>
      </x:c>
      <x:c r="G19" s="346" t="str">
        <x:v>Monthly / annual as listed</x:v>
      </x:c>
      <x:c r="H19" s="346" t="str">
        <x:v>Per self-host license</x:v>
      </x:c>
      <x:c r="I19" s="346" t="str">
        <x:v>Non-commercial / personal self-host</x:v>
      </x:c>
      <x:c r="J19" s="346" t="str">
        <x:v>Self-host license</x:v>
      </x:c>
      <x:c r="K19" s="346" t="str">
        <x:v>Non-commercial / personal self-host</x:v>
      </x:c>
      <x:c r="L19" s="346" t="str">
        <x:v>Active</x:v>
      </x:c>
      <x:c r="M19" s="346" t="str"/>
      <x:c r="N19" s="346" t="str">
        <x:v>https://support.teamspeak.com/hc/en-us/articles/26033788383261-What-licenses-are-available</x:v>
      </x:c>
      <x:c r="O19" s="346" t="str">
        <x:v>2026-09-15</x:v>
      </x:c>
      <x:c r="P19" s="346" t="str">
        <x:v>6-month price is unavailable for 64 slots; 6-month orders are manual for eligible slot tiers.</x:v>
      </x:c>
      <x:c r="Q19" s="346" t="str">
        <x:v>Primary / first-party source recorded</x:v>
      </x:c>
    </x:row>
    <x:row r="20" ht="34" customHeight="1">
      <x:c r="A20" s="346" t="str">
        <x:v>TeamSpeak</x:v>
      </x:c>
      <x:c r="B20" s="346" t="str">
        <x:v>Current</x:v>
      </x:c>
      <x:c r="C20" s="346" t="str">
        <x:v>Self-host license</x:v>
      </x:c>
      <x:c r="D20" s="346" t="str">
        <x:v>Gamer / Activation 128 slots</x:v>
      </x:c>
      <x:c r="E20" s="346" t="str">
        <x:v>50/6mo; 100/yr</x:v>
      </x:c>
      <x:c r="F20" s="346" t="str">
        <x:v>USD</x:v>
      </x:c>
      <x:c r="G20" s="346" t="str">
        <x:v>Monthly / annual as listed</x:v>
      </x:c>
      <x:c r="H20" s="346" t="str">
        <x:v>Per self-host license</x:v>
      </x:c>
      <x:c r="I20" s="346" t="str">
        <x:v>Non-commercial / personal self-host</x:v>
      </x:c>
      <x:c r="J20" s="346" t="str">
        <x:v>Self-host license</x:v>
      </x:c>
      <x:c r="K20" s="346" t="str">
        <x:v>Non-commercial / personal self-host</x:v>
      </x:c>
      <x:c r="L20" s="346" t="str">
        <x:v>Active</x:v>
      </x:c>
      <x:c r="M20" s="346" t="str"/>
      <x:c r="N20" s="346" t="str">
        <x:v>https://support.teamspeak.com/hc/en-us/articles/26033788383261-What-licenses-are-available</x:v>
      </x:c>
      <x:c r="O20" s="346" t="str">
        <x:v>2026-09-15</x:v>
      </x:c>
      <x:c r="P20" s="346" t="str">
        <x:v>6-month price is unavailable for 64 slots; 6-month orders are manual for eligible slot tiers.</x:v>
      </x:c>
      <x:c r="Q20" s="346" t="str">
        <x:v>Primary / first-party source recorded</x:v>
      </x:c>
    </x:row>
    <x:row r="21" ht="34" customHeight="1">
      <x:c r="A21" s="346" t="str">
        <x:v>TeamSpeak</x:v>
      </x:c>
      <x:c r="B21" s="346" t="str">
        <x:v>Current</x:v>
      </x:c>
      <x:c r="C21" s="346" t="str">
        <x:v>Self-host license</x:v>
      </x:c>
      <x:c r="D21" s="346" t="str">
        <x:v>Gamer / Activation 256 slots</x:v>
      </x:c>
      <x:c r="E21" s="346" t="str">
        <x:v>87.50/6mo; 175/yr</x:v>
      </x:c>
      <x:c r="F21" s="346" t="str">
        <x:v>USD</x:v>
      </x:c>
      <x:c r="G21" s="346" t="str">
        <x:v>Monthly / annual as listed</x:v>
      </x:c>
      <x:c r="H21" s="346" t="str">
        <x:v>Per self-host license</x:v>
      </x:c>
      <x:c r="I21" s="346" t="str">
        <x:v>Non-commercial / personal self-host</x:v>
      </x:c>
      <x:c r="J21" s="346" t="str">
        <x:v>Self-host license</x:v>
      </x:c>
      <x:c r="K21" s="346" t="str">
        <x:v>Non-commercial / personal self-host</x:v>
      </x:c>
      <x:c r="L21" s="346" t="str">
        <x:v>Active</x:v>
      </x:c>
      <x:c r="M21" s="346" t="str"/>
      <x:c r="N21" s="346" t="str">
        <x:v>https://support.teamspeak.com/hc/en-us/articles/26033788383261-What-licenses-are-available</x:v>
      </x:c>
      <x:c r="O21" s="346" t="str">
        <x:v>2026-09-15</x:v>
      </x:c>
      <x:c r="P21" s="346" t="str">
        <x:v>6-month price is unavailable for 64 slots; 6-month orders are manual for eligible slot tiers.</x:v>
      </x:c>
      <x:c r="Q21" s="346" t="str">
        <x:v>Primary / first-party source recorded</x:v>
      </x:c>
    </x:row>
    <x:row r="22" ht="34" customHeight="1">
      <x:c r="A22" s="346" t="str">
        <x:v>TeamSpeak</x:v>
      </x:c>
      <x:c r="B22" s="346" t="str">
        <x:v>Current</x:v>
      </x:c>
      <x:c r="C22" s="346" t="str">
        <x:v>Self-host license</x:v>
      </x:c>
      <x:c r="D22" s="346" t="str">
        <x:v>Gamer / Activation 512 slots</x:v>
      </x:c>
      <x:c r="E22" s="346" t="str">
        <x:v>150/6mo; 300/yr</x:v>
      </x:c>
      <x:c r="F22" s="346" t="str">
        <x:v>USD</x:v>
      </x:c>
      <x:c r="G22" s="346" t="str">
        <x:v>Monthly / annual as listed</x:v>
      </x:c>
      <x:c r="H22" s="346" t="str">
        <x:v>Per self-host license</x:v>
      </x:c>
      <x:c r="I22" s="346" t="str">
        <x:v>Non-commercial / personal self-host</x:v>
      </x:c>
      <x:c r="J22" s="346" t="str">
        <x:v>Self-host license</x:v>
      </x:c>
      <x:c r="K22" s="346" t="str">
        <x:v>Non-commercial / personal self-host</x:v>
      </x:c>
      <x:c r="L22" s="346" t="str">
        <x:v>Active</x:v>
      </x:c>
      <x:c r="M22" s="346" t="str"/>
      <x:c r="N22" s="346" t="str">
        <x:v>https://support.teamspeak.com/hc/en-us/articles/26033788383261-What-licenses-are-available</x:v>
      </x:c>
      <x:c r="O22" s="346" t="str">
        <x:v>2026-09-15</x:v>
      </x:c>
      <x:c r="P22" s="346" t="str">
        <x:v>6-month price is unavailable for 64 slots; 6-month orders are manual for eligible slot tiers.</x:v>
      </x:c>
      <x:c r="Q22" s="346" t="str">
        <x:v>Primary / first-party source recorded</x:v>
      </x:c>
    </x:row>
    <x:row r="23" ht="34" customHeight="1">
      <x:c r="A23" s="346" t="str">
        <x:v>TeamSpeak</x:v>
      </x:c>
      <x:c r="B23" s="346" t="str">
        <x:v>Current</x:v>
      </x:c>
      <x:c r="C23" s="346" t="str">
        <x:v>Self-host license</x:v>
      </x:c>
      <x:c r="D23" s="346" t="str">
        <x:v>Gamer / Activation 1024 slots</x:v>
      </x:c>
      <x:c r="E23" s="346" t="str">
        <x:v>250/6mo; 500/yr</x:v>
      </x:c>
      <x:c r="F23" s="346" t="str">
        <x:v>USD</x:v>
      </x:c>
      <x:c r="G23" s="346" t="str">
        <x:v>Monthly / annual as listed</x:v>
      </x:c>
      <x:c r="H23" s="346" t="str">
        <x:v>Per self-host license</x:v>
      </x:c>
      <x:c r="I23" s="346" t="str">
        <x:v>Non-commercial / personal self-host</x:v>
      </x:c>
      <x:c r="J23" s="346" t="str">
        <x:v>Self-host license</x:v>
      </x:c>
      <x:c r="K23" s="346" t="str">
        <x:v>Non-commercial / personal self-host</x:v>
      </x:c>
      <x:c r="L23" s="346" t="str">
        <x:v>Active</x:v>
      </x:c>
      <x:c r="M23" s="346" t="str"/>
      <x:c r="N23" s="346" t="str">
        <x:v>https://support.teamspeak.com/hc/en-us/articles/26033788383261-What-licenses-are-available</x:v>
      </x:c>
      <x:c r="O23" s="346" t="str">
        <x:v>2026-09-15</x:v>
      </x:c>
      <x:c r="P23" s="346" t="str">
        <x:v>6-month price is unavailable for 64 slots; 6-month orders are manual for eligible slot tiers.</x:v>
      </x:c>
      <x:c r="Q23" s="346" t="str">
        <x:v>Primary / first-party source recorded</x:v>
      </x:c>
    </x:row>
    <x:row r="24" ht="34" customHeight="1">
      <x:c r="A24" s="346" t="str">
        <x:v>TeamSpeak</x:v>
      </x:c>
      <x:c r="B24" s="346" t="str">
        <x:v>Current</x:v>
      </x:c>
      <x:c r="C24" s="346" t="str">
        <x:v>Self-host commercial license</x:v>
      </x:c>
      <x:c r="D24" s="346" t="str">
        <x:v>Commercial License</x:v>
      </x:c>
      <x:c r="E24" s="346" t="str">
        <x:v>Contact Sales / Quote</x:v>
      </x:c>
      <x:c r="F24" s="346" t="str">
        <x:v>USD / quote</x:v>
      </x:c>
      <x:c r="G24" s="346" t="str">
        <x:v>Quote</x:v>
      </x:c>
      <x:c r="H24" s="346" t="str">
        <x:v>Custom</x:v>
      </x:c>
      <x:c r="I24" s="346" t="str">
        <x:v>Commercial self-host deployment</x:v>
      </x:c>
      <x:c r="J24" s="346" t="str">
        <x:v>Self-host license</x:v>
      </x:c>
      <x:c r="K24" s="346" t="str">
        <x:v>Commercial self-host deployment</x:v>
      </x:c>
      <x:c r="L24" s="346" t="str">
        <x:v>Contact sales</x:v>
      </x:c>
      <x:c r="M24" s="346" t="str"/>
      <x:c r="N24" s="346" t="str">
        <x:v>https://support.teamspeak.com/hc/en-us/articles/26033788383261-What-licenses-are-available</x:v>
      </x:c>
      <x:c r="O24" s="346" t="str">
        <x:v>2026-09-15</x:v>
      </x:c>
      <x:c r="P24" s="346" t="str"/>
      <x:c r="Q24" s="346" t="str">
        <x:v>Primary / first-party source recorded</x:v>
      </x:c>
    </x:row>
    <x:row r="25" ht="34" customHeight="1">
      <x:c r="A25" s="346" t="str">
        <x:v>TeamSpeak</x:v>
      </x:c>
      <x:c r="B25" s="346" t="str">
        <x:v>Current</x:v>
      </x:c>
      <x:c r="C25" s="346" t="str">
        <x:v>SDK license</x:v>
      </x:c>
      <x:c r="D25" s="346" t="str">
        <x:v>TeamSpeak SDK License</x:v>
      </x:c>
      <x:c r="E25" s="346" t="str">
        <x:v>Contact Sales / Quote</x:v>
      </x:c>
      <x:c r="F25" s="346" t="str">
        <x:v>USD / quote</x:v>
      </x:c>
      <x:c r="G25" s="346" t="str">
        <x:v>Quote</x:v>
      </x:c>
      <x:c r="H25" s="346" t="str">
        <x:v>Custom</x:v>
      </x:c>
      <x:c r="I25" s="346" t="str">
        <x:v>Embedded voice SDK</x:v>
      </x:c>
      <x:c r="J25" s="346" t="str">
        <x:v>No</x:v>
      </x:c>
      <x:c r="K25" s="346" t="str">
        <x:v>Embedded voice SDK</x:v>
      </x:c>
      <x:c r="L25" s="346" t="str">
        <x:v>Contact sales</x:v>
      </x:c>
      <x:c r="M25" s="346" t="str"/>
      <x:c r="N25" s="346" t="str">
        <x:v>https://support.teamspeak.com/hc/en-us/articles/26033788383261-What-licenses-are-available</x:v>
      </x:c>
      <x:c r="O25" s="346" t="str">
        <x:v>2026-09-15</x:v>
      </x:c>
      <x:c r="P25" s="346" t="str"/>
      <x:c r="Q25" s="346" t="str">
        <x:v>Primary / first-party source recorded</x:v>
      </x:c>
    </x:row>
    <x:row r="26" ht="34" customHeight="1">
      <x:c r="A26" s="346" t="str">
        <x:v>Zulip</x:v>
      </x:c>
      <x:c r="B26" s="346" t="str">
        <x:v>Current</x:v>
      </x:c>
      <x:c r="C26" s="346" t="str">
        <x:v>Cloud subscription</x:v>
      </x:c>
      <x:c r="D26" s="346" t="str">
        <x:v>Cloud Standard</x:v>
      </x:c>
      <x:c r="E26" s="346" t="str">
        <x:v>8.00/mo; 80.04/yr</x:v>
      </x:c>
      <x:c r="F26" s="346" t="str">
        <x:v>USD</x:v>
      </x:c>
      <x:c r="G26" s="346" t="str">
        <x:v>Monthly / annual as listed</x:v>
      </x:c>
      <x:c r="H26" s="346" t="str">
        <x:v>Per user</x:v>
      </x:c>
      <x:c r="I26" s="346" t="str">
        <x:v>Cloud organization</x:v>
      </x:c>
      <x:c r="J26" s="346" t="str">
        <x:v>No</x:v>
      </x:c>
      <x:c r="K26" s="346" t="str">
        <x:v>Cloud organization</x:v>
      </x:c>
      <x:c r="L26" s="346" t="str">
        <x:v>Active</x:v>
      </x:c>
      <x:c r="M26" s="346" t="str"/>
      <x:c r="N26" s="346" t="str">
        <x:v>https://zulip.com/plans/</x:v>
      </x:c>
      <x:c r="O26" s="346" t="str">
        <x:v>2026-09-15</x:v>
      </x:c>
      <x:c r="P26" s="346" t="str">
        <x:v>Annual equivalent shown where Zulip publishes annual per-user pricing.</x:v>
      </x:c>
      <x:c r="Q26" s="346" t="str">
        <x:v>Primary / first-party source recorded</x:v>
      </x:c>
    </x:row>
    <x:row r="27" ht="34" customHeight="1">
      <x:c r="A27" s="346" t="str">
        <x:v>Zulip</x:v>
      </x:c>
      <x:c r="B27" s="346" t="str">
        <x:v>Current</x:v>
      </x:c>
      <x:c r="C27" s="346" t="str">
        <x:v>Cloud subscription</x:v>
      </x:c>
      <x:c r="D27" s="346" t="str">
        <x:v>Cloud Plus</x:v>
      </x:c>
      <x:c r="E27" s="346" t="str">
        <x:v>12.00/mo; 120.00/yr</x:v>
      </x:c>
      <x:c r="F27" s="346" t="str">
        <x:v>USD</x:v>
      </x:c>
      <x:c r="G27" s="346" t="str">
        <x:v>Monthly / annual as listed</x:v>
      </x:c>
      <x:c r="H27" s="346" t="str">
        <x:v>Per user; 10-user minimum</x:v>
      </x:c>
      <x:c r="I27" s="346" t="str">
        <x:v>Cloud organization</x:v>
      </x:c>
      <x:c r="J27" s="346" t="str">
        <x:v>No</x:v>
      </x:c>
      <x:c r="K27" s="346" t="str">
        <x:v>Cloud organization</x:v>
      </x:c>
      <x:c r="L27" s="346" t="str">
        <x:v>Active</x:v>
      </x:c>
      <x:c r="M27" s="346" t="str"/>
      <x:c r="N27" s="346" t="str">
        <x:v>https://zulip.com/plans/</x:v>
      </x:c>
      <x:c r="O27" s="346" t="str">
        <x:v>2026-09-15</x:v>
      </x:c>
      <x:c r="P27" s="346" t="str">
        <x:v>Annual equivalent shown where Zulip publishes annual per-user pricing.</x:v>
      </x:c>
      <x:c r="Q27" s="346" t="str">
        <x:v>Primary / first-party source recorded</x:v>
      </x:c>
    </x:row>
    <x:row r="28" ht="34" customHeight="1">
      <x:c r="A28" s="346" t="str">
        <x:v>Zulip</x:v>
      </x:c>
      <x:c r="B28" s="346" t="str">
        <x:v>Current</x:v>
      </x:c>
      <x:c r="C28" s="346" t="str">
        <x:v>Self-host support subscription</x:v>
      </x:c>
      <x:c r="D28" s="346" t="str">
        <x:v>Self-hosted Basic</x:v>
      </x:c>
      <x:c r="E28" s="346" t="str">
        <x:v>3.50/mo</x:v>
      </x:c>
      <x:c r="F28" s="346" t="str">
        <x:v>USD</x:v>
      </x:c>
      <x:c r="G28" s="346" t="str">
        <x:v>Monthly / annual as listed</x:v>
      </x:c>
      <x:c r="H28" s="346" t="str">
        <x:v>Per user</x:v>
      </x:c>
      <x:c r="I28" s="346" t="str">
        <x:v>Self-hosted organization/server</x:v>
      </x:c>
      <x:c r="J28" s="346" t="str">
        <x:v>Self-host license</x:v>
      </x:c>
      <x:c r="K28" s="346" t="str">
        <x:v>Self-hosted organization/server</x:v>
      </x:c>
      <x:c r="L28" s="346" t="str">
        <x:v>Active</x:v>
      </x:c>
      <x:c r="M28" s="346" t="str"/>
      <x:c r="N28" s="346" t="str">
        <x:v>https://zulip.com/plans/</x:v>
      </x:c>
      <x:c r="O28" s="346" t="str">
        <x:v>2026-09-15</x:v>
      </x:c>
      <x:c r="P28" s="346" t="str">
        <x:v>Annual equivalent shown where Zulip publishes annual per-user pricing.</x:v>
      </x:c>
      <x:c r="Q28" s="346" t="str">
        <x:v>Primary / first-party source recorded</x:v>
      </x:c>
    </x:row>
    <x:row r="29" ht="34" customHeight="1">
      <x:c r="A29" s="346" t="str">
        <x:v>Zulip</x:v>
      </x:c>
      <x:c r="B29" s="346" t="str">
        <x:v>Current</x:v>
      </x:c>
      <x:c r="C29" s="346" t="str">
        <x:v>Self-host support subscription</x:v>
      </x:c>
      <x:c r="D29" s="346" t="str">
        <x:v>Self-hosted Business</x:v>
      </x:c>
      <x:c r="E29" s="346" t="str">
        <x:v>8.00/mo; 80.04/yr</x:v>
      </x:c>
      <x:c r="F29" s="346" t="str">
        <x:v>USD</x:v>
      </x:c>
      <x:c r="G29" s="346" t="str">
        <x:v>Monthly / annual as listed</x:v>
      </x:c>
      <x:c r="H29" s="346" t="str">
        <x:v>Per user; 25-user minimum</x:v>
      </x:c>
      <x:c r="I29" s="346" t="str">
        <x:v>Self-hosted organization/server</x:v>
      </x:c>
      <x:c r="J29" s="346" t="str">
        <x:v>Self-host license</x:v>
      </x:c>
      <x:c r="K29" s="346" t="str">
        <x:v>Self-hosted organization/server</x:v>
      </x:c>
      <x:c r="L29" s="346" t="str">
        <x:v>Active</x:v>
      </x:c>
      <x:c r="M29" s="346" t="str"/>
      <x:c r="N29" s="346" t="str">
        <x:v>https://zulip.com/plans/</x:v>
      </x:c>
      <x:c r="O29" s="346" t="str">
        <x:v>2026-09-15</x:v>
      </x:c>
      <x:c r="P29" s="346" t="str">
        <x:v>Annual equivalent shown where Zulip publishes annual per-user pricing.</x:v>
      </x:c>
      <x:c r="Q29" s="346" t="str">
        <x:v>Primary / first-party source recorded</x:v>
      </x:c>
    </x:row>
    <x:row r="30" ht="34" customHeight="1">
      <x:c r="A30" s="346" t="str">
        <x:v>Zulip</x:v>
      </x:c>
      <x:c r="B30" s="346" t="str">
        <x:v>Current</x:v>
      </x:c>
      <x:c r="C30" s="346" t="str">
        <x:v>Self-host enterprise support</x:v>
      </x:c>
      <x:c r="D30" s="346" t="str">
        <x:v>Self-hosted Enterprise</x:v>
      </x:c>
      <x:c r="E30" s="346" t="str">
        <x:v>Contact Sales / Quote</x:v>
      </x:c>
      <x:c r="F30" s="346" t="str">
        <x:v>USD / quote</x:v>
      </x:c>
      <x:c r="G30" s="346" t="str">
        <x:v>Quote</x:v>
      </x:c>
      <x:c r="H30" s="346" t="str">
        <x:v>Custom</x:v>
      </x:c>
      <x:c r="I30" s="346" t="str">
        <x:v>Self-hosted organization/server</x:v>
      </x:c>
      <x:c r="J30" s="346" t="str">
        <x:v>Self-host license</x:v>
      </x:c>
      <x:c r="K30" s="346" t="str">
        <x:v>Self-hosted organization/server</x:v>
      </x:c>
      <x:c r="L30" s="346" t="str">
        <x:v>Contact sales</x:v>
      </x:c>
      <x:c r="M30" s="346" t="str"/>
      <x:c r="N30" s="346" t="str">
        <x:v>https://zulip.com/plans/</x:v>
      </x:c>
      <x:c r="O30" s="346" t="str">
        <x:v>2026-09-15</x:v>
      </x:c>
      <x:c r="P30" s="346" t="str"/>
      <x:c r="Q30" s="346" t="str">
        <x:v>Primary / first-party source recorded</x:v>
      </x:c>
    </x:row>
    <x:row r="31" ht="34" customHeight="1">
      <x:c r="A31" s="346" t="str">
        <x:v>Mattermost</x:v>
      </x:c>
      <x:c r="B31" s="346" t="str">
        <x:v>Current</x:v>
      </x:c>
      <x:c r="C31" s="346" t="str">
        <x:v>Annual enterprise subscription</x:v>
      </x:c>
      <x:c r="D31" s="346" t="str">
        <x:v>Professional</x:v>
      </x:c>
      <x:c r="E31" s="346" t="str">
        <x:v>Contact Sales / Quote</x:v>
      </x:c>
      <x:c r="F31" s="346" t="str">
        <x:v>USD / quote</x:v>
      </x:c>
      <x:c r="G31" s="346" t="str">
        <x:v>Quote</x:v>
      </x:c>
      <x:c r="H31" s="346" t="str">
        <x:v>Annual seat license</x:v>
      </x:c>
      <x:c r="I31" s="346" t="str">
        <x:v>Activated users / server</x:v>
      </x:c>
      <x:c r="J31" s="346" t="str">
        <x:v>No</x:v>
      </x:c>
      <x:c r="K31" s="346" t="str">
        <x:v>Activated users / server</x:v>
      </x:c>
      <x:c r="L31" s="346" t="str">
        <x:v>Contact sales</x:v>
      </x:c>
      <x:c r="M31" s="346" t="str"/>
      <x:c r="N31" s="346" t="str">
        <x:v>https://mattermost.com/pricing/</x:v>
      </x:c>
      <x:c r="O31" s="346" t="str">
        <x:v>2026-09-15</x:v>
      </x:c>
      <x:c r="P31" s="346" t="str">
        <x:v>Paid licenses are prepaid annual subscriptions based on seats.</x:v>
      </x:c>
      <x:c r="Q31" s="346" t="str">
        <x:v>Primary / first-party source recorded</x:v>
      </x:c>
    </x:row>
    <x:row r="32" ht="34" customHeight="1">
      <x:c r="A32" s="346" t="str">
        <x:v>Mattermost</x:v>
      </x:c>
      <x:c r="B32" s="346" t="str">
        <x:v>Current</x:v>
      </x:c>
      <x:c r="C32" s="346" t="str">
        <x:v>Annual enterprise subscription</x:v>
      </x:c>
      <x:c r="D32" s="346" t="str">
        <x:v>Enterprise</x:v>
      </x:c>
      <x:c r="E32" s="346" t="str">
        <x:v>Contact Sales / Quote</x:v>
      </x:c>
      <x:c r="F32" s="346" t="str">
        <x:v>USD / quote</x:v>
      </x:c>
      <x:c r="G32" s="346" t="str">
        <x:v>Quote</x:v>
      </x:c>
      <x:c r="H32" s="346" t="str">
        <x:v>Annual seat license</x:v>
      </x:c>
      <x:c r="I32" s="346" t="str">
        <x:v>Activated users / server</x:v>
      </x:c>
      <x:c r="J32" s="346" t="str">
        <x:v>No</x:v>
      </x:c>
      <x:c r="K32" s="346" t="str">
        <x:v>Activated users / server</x:v>
      </x:c>
      <x:c r="L32" s="346" t="str">
        <x:v>Contact sales</x:v>
      </x:c>
      <x:c r="M32" s="346" t="str"/>
      <x:c r="N32" s="346" t="str">
        <x:v>https://mattermost.com/pricing/</x:v>
      </x:c>
      <x:c r="O32" s="346" t="str">
        <x:v>2026-09-15</x:v>
      </x:c>
      <x:c r="P32" s="346" t="str">
        <x:v>Paid licenses are prepaid annual subscriptions based on seats.</x:v>
      </x:c>
      <x:c r="Q32" s="346" t="str">
        <x:v>Primary / first-party source recorded</x:v>
      </x:c>
    </x:row>
    <x:row r="33" ht="34" customHeight="1">
      <x:c r="A33" s="346" t="str">
        <x:v>Mattermost</x:v>
      </x:c>
      <x:c r="B33" s="346" t="str">
        <x:v>Current</x:v>
      </x:c>
      <x:c r="C33" s="346" t="str">
        <x:v>Annual enterprise subscription</x:v>
      </x:c>
      <x:c r="D33" s="346" t="str">
        <x:v>Enterprise Advanced</x:v>
      </x:c>
      <x:c r="E33" s="346" t="str">
        <x:v>Contact Sales / Quote</x:v>
      </x:c>
      <x:c r="F33" s="346" t="str">
        <x:v>USD / quote</x:v>
      </x:c>
      <x:c r="G33" s="346" t="str">
        <x:v>Quote</x:v>
      </x:c>
      <x:c r="H33" s="346" t="str">
        <x:v>Annual seat license</x:v>
      </x:c>
      <x:c r="I33" s="346" t="str">
        <x:v>Activated users / server</x:v>
      </x:c>
      <x:c r="J33" s="346" t="str">
        <x:v>No</x:v>
      </x:c>
      <x:c r="K33" s="346" t="str">
        <x:v>Activated users / server</x:v>
      </x:c>
      <x:c r="L33" s="346" t="str">
        <x:v>Contact sales</x:v>
      </x:c>
      <x:c r="M33" s="346" t="str"/>
      <x:c r="N33" s="346" t="str">
        <x:v>https://mattermost.com/pricing/</x:v>
      </x:c>
      <x:c r="O33" s="346" t="str">
        <x:v>2026-09-15</x:v>
      </x:c>
      <x:c r="P33" s="346" t="str">
        <x:v>Paid licenses are prepaid annual subscriptions based on seats.</x:v>
      </x:c>
      <x:c r="Q33" s="346" t="str">
        <x:v>Primary / first-party source recorded</x:v>
      </x:c>
    </x:row>
    <x:row r="34" ht="34" customHeight="1">
      <x:c r="A34" s="346" t="str">
        <x:v>Mattermost</x:v>
      </x:c>
      <x:c r="B34" s="346" t="str">
        <x:v>Current</x:v>
      </x:c>
      <x:c r="C34" s="346" t="str">
        <x:v>Support add-on</x:v>
      </x:c>
      <x:c r="D34" s="346" t="str">
        <x:v>Premier Support</x:v>
      </x:c>
      <x:c r="E34" s="346" t="str">
        <x:v>Contact Sales / Quote</x:v>
      </x:c>
      <x:c r="F34" s="346" t="str">
        <x:v>USD / quote</x:v>
      </x:c>
      <x:c r="G34" s="346" t="str">
        <x:v>Quote</x:v>
      </x:c>
      <x:c r="H34" s="346" t="str">
        <x:v>Add-on</x:v>
      </x:c>
      <x:c r="I34" s="346" t="str">
        <x:v>Enterprise / Enterprise Advanced customers</x:v>
      </x:c>
      <x:c r="J34" s="346" t="str">
        <x:v>No</x:v>
      </x:c>
      <x:c r="K34" s="346" t="str">
        <x:v>Enterprise / Enterprise Advanced customers</x:v>
      </x:c>
      <x:c r="L34" s="346" t="str">
        <x:v>Paid add-on / contact sales</x:v>
      </x:c>
      <x:c r="M34" s="346" t="str"/>
      <x:c r="N34" s="346" t="str">
        <x:v>https://mattermost.com/support/</x:v>
      </x:c>
      <x:c r="O34" s="346" t="str">
        <x:v>2026-09-15</x:v>
      </x:c>
      <x:c r="P34" s="346" t="str"/>
      <x:c r="Q34" s="346" t="str">
        <x:v>Primary / first-party source recorded</x:v>
      </x:c>
    </x:row>
    <x:row r="35" ht="34" customHeight="1">
      <x:c r="A35" s="346" t="str">
        <x:v>Rocket.Chat</x:v>
      </x:c>
      <x:c r="B35" s="346" t="str">
        <x:v>Current</x:v>
      </x:c>
      <x:c r="C35" s="346" t="str">
        <x:v>Premium enterprise plan</x:v>
      </x:c>
      <x:c r="D35" s="346" t="str">
        <x:v>Commercial</x:v>
      </x:c>
      <x:c r="E35" s="346" t="str">
        <x:v>Contact Sales / Quote</x:v>
      </x:c>
      <x:c r="F35" s="346" t="str">
        <x:v>Quote</x:v>
      </x:c>
      <x:c r="G35" s="346" t="str">
        <x:v>Quote</x:v>
      </x:c>
      <x:c r="H35" s="346" t="str">
        <x:v>Organization / deployment</x:v>
      </x:c>
      <x:c r="I35" s="346" t="str">
        <x:v>Enterprise deployment</x:v>
      </x:c>
      <x:c r="J35" s="346" t="str">
        <x:v>No</x:v>
      </x:c>
      <x:c r="K35" s="346" t="str">
        <x:v>Enterprise deployment</x:v>
      </x:c>
      <x:c r="L35" s="346" t="str">
        <x:v>Contact sales</x:v>
      </x:c>
      <x:c r="M35" s="346" t="str"/>
      <x:c r="N35" s="346" t="str">
        <x:v>https://docs.rocket.chat/our-plans</x:v>
      </x:c>
      <x:c r="O35" s="346" t="str">
        <x:v>2026-09-15</x:v>
      </x:c>
      <x:c r="P35" s="346" t="str">
        <x:v>Starter and Community are free entry points.</x:v>
      </x:c>
      <x:c r="Q35" s="346" t="str">
        <x:v>Primary / first-party source recorded</x:v>
      </x:c>
    </x:row>
    <x:row r="36" ht="34" customHeight="1">
      <x:c r="A36" s="346" t="str">
        <x:v>Rocket.Chat</x:v>
      </x:c>
      <x:c r="B36" s="346" t="str">
        <x:v>Current</x:v>
      </x:c>
      <x:c r="C36" s="346" t="str">
        <x:v>Premium enterprise plan</x:v>
      </x:c>
      <x:c r="D36" s="346" t="str">
        <x:v>Government</x:v>
      </x:c>
      <x:c r="E36" s="346" t="str">
        <x:v>Contact Sales / Quote</x:v>
      </x:c>
      <x:c r="F36" s="346" t="str">
        <x:v>Quote</x:v>
      </x:c>
      <x:c r="G36" s="346" t="str">
        <x:v>Quote</x:v>
      </x:c>
      <x:c r="H36" s="346" t="str">
        <x:v>Organization / deployment</x:v>
      </x:c>
      <x:c r="I36" s="346" t="str">
        <x:v>Enterprise deployment</x:v>
      </x:c>
      <x:c r="J36" s="346" t="str">
        <x:v>No</x:v>
      </x:c>
      <x:c r="K36" s="346" t="str">
        <x:v>Enterprise deployment</x:v>
      </x:c>
      <x:c r="L36" s="346" t="str">
        <x:v>Contact sales</x:v>
      </x:c>
      <x:c r="M36" s="346" t="str"/>
      <x:c r="N36" s="346" t="str">
        <x:v>https://docs.rocket.chat/our-plans</x:v>
      </x:c>
      <x:c r="O36" s="346" t="str">
        <x:v>2026-09-15</x:v>
      </x:c>
      <x:c r="P36" s="346" t="str">
        <x:v>Starter and Community are free entry points.</x:v>
      </x:c>
      <x:c r="Q36" s="346" t="str">
        <x:v>Primary / first-party source recorded</x:v>
      </x:c>
    </x:row>
    <x:row r="37" ht="34" customHeight="1">
      <x:c r="A37" s="346" t="str">
        <x:v>Rocket.Chat</x:v>
      </x:c>
      <x:c r="B37" s="346" t="str">
        <x:v>Current</x:v>
      </x:c>
      <x:c r="C37" s="346" t="str">
        <x:v>Premium enterprise plan</x:v>
      </x:c>
      <x:c r="D37" s="346" t="str">
        <x:v>Defense</x:v>
      </x:c>
      <x:c r="E37" s="346" t="str">
        <x:v>Contact Sales / Quote</x:v>
      </x:c>
      <x:c r="F37" s="346" t="str">
        <x:v>Quote</x:v>
      </x:c>
      <x:c r="G37" s="346" t="str">
        <x:v>Quote</x:v>
      </x:c>
      <x:c r="H37" s="346" t="str">
        <x:v>Organization / deployment</x:v>
      </x:c>
      <x:c r="I37" s="346" t="str">
        <x:v>Enterprise deployment</x:v>
      </x:c>
      <x:c r="J37" s="346" t="str">
        <x:v>No</x:v>
      </x:c>
      <x:c r="K37" s="346" t="str">
        <x:v>Enterprise deployment</x:v>
      </x:c>
      <x:c r="L37" s="346" t="str">
        <x:v>Contact sales</x:v>
      </x:c>
      <x:c r="M37" s="346" t="str"/>
      <x:c r="N37" s="346" t="str">
        <x:v>https://docs.rocket.chat/our-plans</x:v>
      </x:c>
      <x:c r="O37" s="346" t="str">
        <x:v>2026-09-15</x:v>
      </x:c>
      <x:c r="P37" s="346" t="str">
        <x:v>Starter and Community are free entry points.</x:v>
      </x:c>
      <x:c r="Q37" s="346" t="str">
        <x:v>Primary / first-party source recorded</x:v>
      </x:c>
    </x:row>
    <x:row r="38" ht="34" customHeight="1">
      <x:c r="A38" s="346" t="str">
        <x:v>GameVox</x:v>
      </x:c>
      <x:c r="B38" s="346" t="str">
        <x:v>Current</x:v>
      </x:c>
      <x:c r="C38" s="346" t="str">
        <x:v>Hosted server tier</x:v>
      </x:c>
      <x:c r="D38" s="346" t="str">
        <x:v>Silver</x:v>
      </x:c>
      <x:c r="E38" s="346" t="str">
        <x:v>4.99/mo</x:v>
      </x:c>
      <x:c r="F38" s="346" t="str">
        <x:v>USD</x:v>
      </x:c>
      <x:c r="G38" s="346" t="str">
        <x:v>Monthly / annual as listed</x:v>
      </x:c>
      <x:c r="H38" s="346" t="str">
        <x:v>Per server</x:v>
      </x:c>
      <x:c r="I38" s="346" t="str">
        <x:v>Entire server/community</x:v>
      </x:c>
      <x:c r="J38" s="346" t="str">
        <x:v>Yes</x:v>
      </x:c>
      <x:c r="K38" s="346" t="str">
        <x:v>Entire server/community</x:v>
      </x:c>
      <x:c r="L38" s="346" t="str">
        <x:v>Active</x:v>
      </x:c>
      <x:c r="M38" s="346" t="str"/>
      <x:c r="N38" s="346" t="str">
        <x:v>https://gamevox.com/blog/gamevox-vs-discord/</x:v>
      </x:c>
      <x:c r="O38" s="346" t="str">
        <x:v>2026-09-15</x:v>
      </x:c>
      <x:c r="P38" s="346" t="str">
        <x:v>One server payment benefits all members.</x:v>
      </x:c>
      <x:c r="Q38" s="346" t="str">
        <x:v>Primary / first-party source recorded</x:v>
      </x:c>
    </x:row>
    <x:row r="39" ht="34" customHeight="1">
      <x:c r="A39" s="346" t="str">
        <x:v>GameVox</x:v>
      </x:c>
      <x:c r="B39" s="346" t="str">
        <x:v>Current</x:v>
      </x:c>
      <x:c r="C39" s="346" t="str">
        <x:v>Hosted server tier</x:v>
      </x:c>
      <x:c r="D39" s="346" t="str">
        <x:v>Gold</x:v>
      </x:c>
      <x:c r="E39" s="346" t="str">
        <x:v>9.99/mo</x:v>
      </x:c>
      <x:c r="F39" s="346" t="str">
        <x:v>USD</x:v>
      </x:c>
      <x:c r="G39" s="346" t="str">
        <x:v>Monthly / annual as listed</x:v>
      </x:c>
      <x:c r="H39" s="346" t="str">
        <x:v>Per server</x:v>
      </x:c>
      <x:c r="I39" s="346" t="str">
        <x:v>Entire server/community</x:v>
      </x:c>
      <x:c r="J39" s="346" t="str">
        <x:v>Yes</x:v>
      </x:c>
      <x:c r="K39" s="346" t="str">
        <x:v>Entire server/community</x:v>
      </x:c>
      <x:c r="L39" s="346" t="str">
        <x:v>Active</x:v>
      </x:c>
      <x:c r="M39" s="346" t="str"/>
      <x:c r="N39" s="346" t="str">
        <x:v>https://gamevox.com/blog/gamevox-vs-discord/</x:v>
      </x:c>
      <x:c r="O39" s="346" t="str">
        <x:v>2026-09-15</x:v>
      </x:c>
      <x:c r="P39" s="346" t="str">
        <x:v>One server payment benefits all members.</x:v>
      </x:c>
      <x:c r="Q39" s="346" t="str">
        <x:v>Primary / first-party source recorded</x:v>
      </x:c>
    </x:row>
    <x:row r="40" ht="34" customHeight="1">
      <x:c r="A40" s="346" t="str">
        <x:v>GameVox</x:v>
      </x:c>
      <x:c r="B40" s="346" t="str">
        <x:v>Current</x:v>
      </x:c>
      <x:c r="C40" s="346" t="str">
        <x:v>Hosted server tier</x:v>
      </x:c>
      <x:c r="D40" s="346" t="str">
        <x:v>Diamond</x:v>
      </x:c>
      <x:c r="E40" s="346" t="str">
        <x:v>19.99/mo</x:v>
      </x:c>
      <x:c r="F40" s="346" t="str">
        <x:v>USD</x:v>
      </x:c>
      <x:c r="G40" s="346" t="str">
        <x:v>Monthly / annual as listed</x:v>
      </x:c>
      <x:c r="H40" s="346" t="str">
        <x:v>Per server</x:v>
      </x:c>
      <x:c r="I40" s="346" t="str">
        <x:v>Entire server/community</x:v>
      </x:c>
      <x:c r="J40" s="346" t="str">
        <x:v>Yes</x:v>
      </x:c>
      <x:c r="K40" s="346" t="str">
        <x:v>Entire server/community</x:v>
      </x:c>
      <x:c r="L40" s="346" t="str">
        <x:v>Active</x:v>
      </x:c>
      <x:c r="M40" s="346" t="str"/>
      <x:c r="N40" s="346" t="str">
        <x:v>https://gamevox.com/blog/gamevox-vs-discord/</x:v>
      </x:c>
      <x:c r="O40" s="346" t="str">
        <x:v>2026-09-15</x:v>
      </x:c>
      <x:c r="P40" s="346" t="str">
        <x:v>One server payment benefits all members.</x:v>
      </x:c>
      <x:c r="Q40" s="346" t="str">
        <x:v>Primary / first-party source recorded</x:v>
      </x:c>
    </x:row>
    <x:row r="41" ht="34" customHeight="1">
      <x:c r="A41" s="346" t="str">
        <x:v>GameVox</x:v>
      </x:c>
      <x:c r="B41" s="346" t="str">
        <x:v>Current</x:v>
      </x:c>
      <x:c r="C41" s="346" t="str">
        <x:v>Self-host license</x:v>
      </x:c>
      <x:c r="D41" s="346" t="str">
        <x:v>Self-Hosted Server License</x:v>
      </x:c>
      <x:c r="E41" s="346" t="str">
        <x:v>2.00/mo; 15.00/yr</x:v>
      </x:c>
      <x:c r="F41" s="346" t="str">
        <x:v>USD</x:v>
      </x:c>
      <x:c r="G41" s="346" t="str">
        <x:v>Monthly / annual as listed</x:v>
      </x:c>
      <x:c r="H41" s="346" t="str">
        <x:v>Per self-hosted server</x:v>
      </x:c>
      <x:c r="I41" s="346" t="str">
        <x:v>Self-host deployment</x:v>
      </x:c>
      <x:c r="J41" s="346" t="str">
        <x:v>Self-host license</x:v>
      </x:c>
      <x:c r="K41" s="346" t="str">
        <x:v>Self-host deployment</x:v>
      </x:c>
      <x:c r="L41" s="346" t="str">
        <x:v>Active</x:v>
      </x:c>
      <x:c r="M41" s="346" t="str"/>
      <x:c r="N41" s="346" t="str">
        <x:v>https://gamevox.com/self-hosted/</x:v>
      </x:c>
      <x:c r="O41" s="346" t="str">
        <x:v>2026-09-15</x:v>
      </x:c>
      <x:c r="P41" s="346" t="str">
        <x:v>The free-before-July-1-2026 grandfathering period has passed; current new-license price is $2/mo or $15/yr.</x:v>
      </x:c>
      <x:c r="Q41" s="346" t="str">
        <x:v>Primary / first-party source recorded</x:v>
      </x:c>
    </x:row>
    <x:row r="42" ht="34" customHeight="1">
      <x:c r="A42" s="346" t="str">
        <x:v>Nerimity</x:v>
      </x:c>
      <x:c r="B42" s="346" t="str">
        <x:v>Current</x:v>
      </x:c>
      <x:c r="C42" s="346" t="str">
        <x:v>No public paid tier</x:v>
      </x:c>
      <x:c r="D42" s="346" t="str">
        <x:v>No paid subscription verified</x:v>
      </x:c>
      <x:c r="E42" s="346" t="str">
        <x:v>N/A</x:v>
      </x:c>
      <x:c r="F42" s="346" t="str">
        <x:v>N/A</x:v>
      </x:c>
      <x:c r="G42" s="346" t="str">
        <x:v>N/A / U/K</x:v>
      </x:c>
      <x:c r="H42" s="346" t="str">
        <x:v>Donation-supported</x:v>
      </x:c>
      <x:c r="I42" s="346" t="str">
        <x:v>Hosted service</x:v>
      </x:c>
      <x:c r="J42" s="346" t="str">
        <x:v>No</x:v>
      </x:c>
      <x:c r="K42" s="346" t="str">
        <x:v>Hosted service</x:v>
      </x:c>
      <x:c r="L42" s="346" t="str">
        <x:v>None verified</x:v>
      </x:c>
      <x:c r="M42" s="346" t="str"/>
      <x:c r="N42" s="346" t="str">
        <x:v>https://nerimity.com/</x:v>
      </x:c>
      <x:c r="O42" s="346" t="str">
        <x:v>2026-09-15</x:v>
      </x:c>
      <x:c r="P42" s="346" t="str"/>
      <x:c r="Q42" s="346" t="str">
        <x:v>Primary / first-party source recorded</x:v>
      </x:c>
    </x:row>
    <x:row r="43" ht="34" customHeight="1">
      <x:c r="A43" s="346" t="str">
        <x:v>Osmium</x:v>
      </x:c>
      <x:c r="B43" s="346" t="str">
        <x:v>Current</x:v>
      </x:c>
      <x:c r="C43" s="346" t="str">
        <x:v>No public paid tier</x:v>
      </x:c>
      <x:c r="D43" s="346" t="str">
        <x:v>No public fixed-price paid tier verified</x:v>
      </x:c>
      <x:c r="E43" s="346" t="str">
        <x:v>N/A</x:v>
      </x:c>
      <x:c r="F43" s="346" t="str">
        <x:v>U/K</x:v>
      </x:c>
      <x:c r="G43" s="346" t="str">
        <x:v>N/A / U/K</x:v>
      </x:c>
      <x:c r="H43" s="346" t="str">
        <x:v>U/K</x:v>
      </x:c>
      <x:c r="I43" s="346" t="str">
        <x:v>Hosted service</x:v>
      </x:c>
      <x:c r="J43" s="346" t="str">
        <x:v>No</x:v>
      </x:c>
      <x:c r="K43" s="346" t="str">
        <x:v>Hosted service</x:v>
      </x:c>
      <x:c r="L43" s="346" t="str">
        <x:v>None verified</x:v>
      </x:c>
      <x:c r="M43" s="346" t="str"/>
      <x:c r="N43" s="346" t="str">
        <x:v>https://osmium.chat/</x:v>
      </x:c>
      <x:c r="O43" s="346" t="str">
        <x:v>2026-09-15</x:v>
      </x:c>
      <x:c r="P43" s="346" t="str">
        <x:v>No reliable current paid-plan schedule found.</x:v>
      </x:c>
      <x:c r="Q43" s="346" t="str">
        <x:v>Primary / first-party source recorded</x:v>
      </x:c>
    </x:row>
    <x:row r="44" ht="34" customHeight="1">
      <x:c r="A44" s="346" t="str">
        <x:v>Loqa</x:v>
      </x:c>
      <x:c r="B44" s="346" t="str">
        <x:v>Current</x:v>
      </x:c>
      <x:c r="C44" s="346" t="str">
        <x:v>No public paid tier</x:v>
      </x:c>
      <x:c r="D44" s="346" t="str">
        <x:v>No public fixed-price paid tier verified</x:v>
      </x:c>
      <x:c r="E44" s="346" t="str">
        <x:v>N/A</x:v>
      </x:c>
      <x:c r="F44" s="346" t="str">
        <x:v>U/K</x:v>
      </x:c>
      <x:c r="G44" s="346" t="str">
        <x:v>N/A / U/K</x:v>
      </x:c>
      <x:c r="H44" s="346" t="str">
        <x:v>U/K</x:v>
      </x:c>
      <x:c r="I44" s="346" t="str">
        <x:v>Hosted / self-host project</x:v>
      </x:c>
      <x:c r="J44" s="346" t="str">
        <x:v>No</x:v>
      </x:c>
      <x:c r="K44" s="346" t="str">
        <x:v>Hosted / self-host project</x:v>
      </x:c>
      <x:c r="L44" s="346" t="str">
        <x:v>None verified</x:v>
      </x:c>
      <x:c r="M44" s="346" t="str"/>
      <x:c r="N44" s="346" t="str">
        <x:v>https://loqa.chat/</x:v>
      </x:c>
      <x:c r="O44" s="346" t="str">
        <x:v>2026-09-15</x:v>
      </x:c>
      <x:c r="P44" s="346" t="str">
        <x:v>Open beta; no public fixed-price paid tier verified.</x:v>
      </x:c>
      <x:c r="Q44" s="346" t="str">
        <x:v>Primary / first-party source recorded</x:v>
      </x:c>
    </x:row>
    <x:row r="45" ht="34" customHeight="1">
      <x:c r="A45" s="346" t="str">
        <x:v>Venta</x:v>
      </x:c>
      <x:c r="B45" s="346" t="str">
        <x:v>Current</x:v>
      </x:c>
      <x:c r="C45" s="346" t="str">
        <x:v>No public paid tier</x:v>
      </x:c>
      <x:c r="D45" s="346" t="str">
        <x:v>No public fixed-price paid tier verified</x:v>
      </x:c>
      <x:c r="E45" s="346" t="str">
        <x:v>N/A</x:v>
      </x:c>
      <x:c r="F45" s="346" t="str">
        <x:v>U/K</x:v>
      </x:c>
      <x:c r="G45" s="346" t="str">
        <x:v>N/A / U/K</x:v>
      </x:c>
      <x:c r="H45" s="346" t="str">
        <x:v>U/K</x:v>
      </x:c>
      <x:c r="I45" s="346" t="str">
        <x:v>Early project</x:v>
      </x:c>
      <x:c r="J45" s="346" t="str">
        <x:v>No</x:v>
      </x:c>
      <x:c r="K45" s="346" t="str">
        <x:v>Early project</x:v>
      </x:c>
      <x:c r="L45" s="346" t="str">
        <x:v>None verified</x:v>
      </x:c>
      <x:c r="M45" s="346" t="str"/>
      <x:c r="N45" s="346" t="str">
        <x:v>https://venta.gg/</x:v>
      </x:c>
      <x:c r="O45" s="346" t="str">
        <x:v>2026-09-15</x:v>
      </x:c>
      <x:c r="P45" s="346" t="str">
        <x:v>Architecture and monetization are still evolving.</x:v>
      </x:c>
      <x:c r="Q45" s="346" t="str">
        <x:v>Primary / first-party source recorded</x:v>
      </x:c>
    </x:row>
    <x:row r="46" ht="34" customHeight="1">
      <x:c r="A46" s="346" t="str">
        <x:v>Mezon</x:v>
      </x:c>
      <x:c r="B46" s="346" t="str">
        <x:v>Current</x:v>
      </x:c>
      <x:c r="C46" s="346" t="str">
        <x:v>No paid communication tier</x:v>
      </x:c>
      <x:c r="D46" s="346" t="str">
        <x:v>No premium communication subscription</x:v>
      </x:c>
      <x:c r="E46" s="346" t="str">
        <x:v>N/A</x:v>
      </x:c>
      <x:c r="F46" s="346" t="str">
        <x:v>N/A</x:v>
      </x:c>
      <x:c r="G46" s="346" t="str">
        <x:v>N/A / U/K</x:v>
      </x:c>
      <x:c r="H46" s="346" t="str">
        <x:v>Free service</x:v>
      </x:c>
      <x:c r="I46" s="346" t="str">
        <x:v>All users</x:v>
      </x:c>
      <x:c r="J46" s="346" t="str">
        <x:v>No</x:v>
      </x:c>
      <x:c r="K46" s="346" t="str">
        <x:v>All users</x:v>
      </x:c>
      <x:c r="L46" s="346" t="str">
        <x:v>None</x:v>
      </x:c>
      <x:c r="M46" s="346" t="str"/>
      <x:c r="N46" s="346" t="str">
        <x:v>https://mezon.ai/docs/user/resources/FAQ/</x:v>
      </x:c>
      <x:c r="O46" s="346" t="str">
        <x:v>2026-09-15</x:v>
      </x:c>
      <x:c r="P46" s="346" t="str"/>
      <x:c r="Q46" s="346" t="str">
        <x:v>Primary / first-party source recorded</x:v>
      </x:c>
    </x:row>
    <x:row r="47" ht="34" customHeight="1">
      <x:c r="A47" s="346" t="str">
        <x:v>Kloak</x:v>
      </x:c>
      <x:c r="B47" s="346" t="str">
        <x:v>Current</x:v>
      </x:c>
      <x:c r="C47" s="346" t="str">
        <x:v>No public paid tier</x:v>
      </x:c>
      <x:c r="D47" s="346" t="str">
        <x:v>No public fixed-price paid tier verified</x:v>
      </x:c>
      <x:c r="E47" s="346" t="str">
        <x:v>N/A</x:v>
      </x:c>
      <x:c r="F47" s="346" t="str">
        <x:v>U/K</x:v>
      </x:c>
      <x:c r="G47" s="346" t="str">
        <x:v>N/A / U/K</x:v>
      </x:c>
      <x:c r="H47" s="346" t="str">
        <x:v>U/K</x:v>
      </x:c>
      <x:c r="I47" s="346" t="str">
        <x:v>Hosted service</x:v>
      </x:c>
      <x:c r="J47" s="346" t="str">
        <x:v>No</x:v>
      </x:c>
      <x:c r="K47" s="346" t="str">
        <x:v>Hosted service</x:v>
      </x:c>
      <x:c r="L47" s="346" t="str">
        <x:v>None verified</x:v>
      </x:c>
      <x:c r="M47" s="346" t="str"/>
      <x:c r="N47" s="346" t="str">
        <x:v>https://kloak.app/</x:v>
      </x:c>
      <x:c r="O47" s="346" t="str">
        <x:v>2026-09-15</x:v>
      </x:c>
      <x:c r="P47" s="346" t="str">
        <x:v>No public pricing page verified.</x:v>
      </x:c>
      <x:c r="Q47" s="346" t="str">
        <x:v>Primary / first-party source recorded</x:v>
      </x:c>
    </x:row>
    <x:row r="48" ht="34" customHeight="1">
      <x:c r="A48" s="346" t="str">
        <x:v>Yapper</x:v>
      </x:c>
      <x:c r="B48" s="346" t="str">
        <x:v>Current</x:v>
      </x:c>
      <x:c r="C48" s="346" t="str">
        <x:v>Managed hosting</x:v>
      </x:c>
      <x:c r="D48" s="346" t="str">
        <x:v>Yapper Hosting - 1 Year</x:v>
      </x:c>
      <x:c r="E48" s="346" t="str">
        <x:v>45.00 promo / 90.00 regular/yr</x:v>
      </x:c>
      <x:c r="F48" s="346" t="str">
        <x:v>EUR</x:v>
      </x:c>
      <x:c r="G48" s="346" t="str">
        <x:v>Monthly / annual as listed</x:v>
      </x:c>
      <x:c r="H48" s="346" t="str">
        <x:v>Per managed server</x:v>
      </x:c>
      <x:c r="I48" s="346" t="str">
        <x:v>Hosted server up to 100 users</x:v>
      </x:c>
      <x:c r="J48" s="346" t="str">
        <x:v>No</x:v>
      </x:c>
      <x:c r="K48" s="346" t="str">
        <x:v>Hosted server up to 100 users</x:v>
      </x:c>
      <x:c r="L48" s="346" t="str">
        <x:v>Active / promotional</x:v>
      </x:c>
      <x:c r="M48" s="346" t="str"/>
      <x:c r="N48" s="346" t="str">
        <x:v>https://yapper.gg/pricing</x:v>
      </x:c>
      <x:c r="O48" s="346" t="str">
        <x:v>2026-09-15</x:v>
      </x:c>
      <x:c r="P48" s="346" t="str">
        <x:v>€45/year promotional price shown through Jan 31, 2027; regular annual price €90. Self-host license is free and is not a paid tier.</x:v>
      </x:c>
      <x:c r="Q48" s="346" t="str">
        <x:v>Primary / first-party source recorded</x:v>
      </x:c>
    </x:row>
    <x:row r="49" ht="34" customHeight="1">
      <x:c r="A49" s="346" t="str">
        <x:v>Harmony</x:v>
      </x:c>
      <x:c r="B49" s="346" t="str">
        <x:v>Current</x:v>
      </x:c>
      <x:c r="C49" s="346" t="str">
        <x:v>No public paid tier</x:v>
      </x:c>
      <x:c r="D49" s="346" t="str">
        <x:v>No central paid tier</x:v>
      </x:c>
      <x:c r="E49" s="346" t="str">
        <x:v>N/A</x:v>
      </x:c>
      <x:c r="F49" s="346" t="str">
        <x:v>N/A</x:v>
      </x:c>
      <x:c r="G49" s="346" t="str">
        <x:v>N/A / U/K</x:v>
      </x:c>
      <x:c r="H49" s="346" t="str">
        <x:v>Open-source/self-host</x:v>
      </x:c>
      <x:c r="I49" s="346" t="str">
        <x:v>Operator</x:v>
      </x:c>
      <x:c r="J49" s="346" t="str">
        <x:v>No</x:v>
      </x:c>
      <x:c r="K49" s="346" t="str">
        <x:v>Operator</x:v>
      </x:c>
      <x:c r="L49" s="346" t="str">
        <x:v>None</x:v>
      </x:c>
      <x:c r="M49" s="346" t="str"/>
      <x:c r="N49" s="346" t="str">
        <x:v>https://codeberg.org/MelodyChat/Harmony</x:v>
      </x:c>
      <x:c r="O49" s="346" t="str">
        <x:v>2026-09-15</x:v>
      </x:c>
      <x:c r="P49" s="346" t="str">
        <x:v>Fermi is a client, not the platform.</x:v>
      </x:c>
      <x:c r="Q49" s="346" t="str">
        <x:v>Primary / first-party source recorded</x:v>
      </x:c>
    </x:row>
    <x:row r="50" ht="34" customHeight="1">
      <x:c r="A50" s="346" t="str">
        <x:v>Roomy</x:v>
      </x:c>
      <x:c r="B50" s="346" t="str">
        <x:v>Current</x:v>
      </x:c>
      <x:c r="C50" s="346" t="str">
        <x:v>No Roomy-specific paid tier</x:v>
      </x:c>
      <x:c r="D50" s="346" t="str">
        <x:v>No paid Roomy subscription verified</x:v>
      </x:c>
      <x:c r="E50" s="346" t="str">
        <x:v>N/A</x:v>
      </x:c>
      <x:c r="F50" s="346" t="str">
        <x:v>N/A</x:v>
      </x:c>
      <x:c r="G50" s="346" t="str">
        <x:v>N/A / U/K</x:v>
      </x:c>
      <x:c r="H50" s="346" t="str">
        <x:v>Open-source / ATProto</x:v>
      </x:c>
      <x:c r="I50" s="346" t="str">
        <x:v>Provider-specific</x:v>
      </x:c>
      <x:c r="J50" s="346" t="str">
        <x:v>No</x:v>
      </x:c>
      <x:c r="K50" s="346" t="str">
        <x:v>Provider-specific</x:v>
      </x:c>
      <x:c r="L50" s="346" t="str">
        <x:v>None verified</x:v>
      </x:c>
      <x:c r="M50" s="346" t="str"/>
      <x:c r="N50" s="346" t="str">
        <x:v>https://github.com/muni-town/roomy</x:v>
      </x:c>
      <x:c r="O50" s="346" t="str">
        <x:v>2026-09-15</x:v>
      </x:c>
      <x:c r="P50" s="346" t="str"/>
      <x:c r="Q50" s="346" t="str">
        <x:v>Primary / first-party source recorded</x:v>
      </x:c>
    </x:row>
    <x:row r="51" ht="34" customHeight="1">
      <x:c r="A51" s="346" t="str">
        <x:v>Armada</x:v>
      </x:c>
      <x:c r="B51" s="346" t="str">
        <x:v>Current</x:v>
      </x:c>
      <x:c r="C51" s="346" t="str">
        <x:v>No central paid tier</x:v>
      </x:c>
      <x:c r="D51" s="346" t="str">
        <x:v>No Armada subscription</x:v>
      </x:c>
      <x:c r="E51" s="346" t="str">
        <x:v>N/A</x:v>
      </x:c>
      <x:c r="F51" s="346" t="str">
        <x:v>N/A</x:v>
      </x:c>
      <x:c r="G51" s="346" t="str">
        <x:v>N/A / U/K</x:v>
      </x:c>
      <x:c r="H51" s="346" t="str">
        <x:v>Open-source / relay ecosystem</x:v>
      </x:c>
      <x:c r="I51" s="346" t="str">
        <x:v>Relay/provider</x:v>
      </x:c>
      <x:c r="J51" s="346" t="str">
        <x:v>No</x:v>
      </x:c>
      <x:c r="K51" s="346" t="str">
        <x:v>Relay/provider</x:v>
      </x:c>
      <x:c r="L51" s="346" t="str">
        <x:v>None</x:v>
      </x:c>
      <x:c r="M51" s="346" t="str"/>
      <x:c r="N51" s="346" t="str">
        <x:v>https://github.com/soapbox-pub/armada</x:v>
      </x:c>
      <x:c r="O51" s="346" t="str">
        <x:v>2026-09-15</x:v>
      </x:c>
      <x:c r="P51" s="346" t="str"/>
      <x:c r="Q51" s="346" t="str">
        <x:v>Primary / first-party source recorded</x:v>
      </x:c>
    </x:row>
    <x:row r="52" ht="34" customHeight="1">
      <x:c r="A52" s="346" t="str">
        <x:v>Hollow</x:v>
      </x:c>
      <x:c r="B52" s="346" t="str">
        <x:v>Current</x:v>
      </x:c>
      <x:c r="C52" s="346" t="str">
        <x:v>No central paid tier</x:v>
      </x:c>
      <x:c r="D52" s="346" t="str">
        <x:v>No Hollow subscription</x:v>
      </x:c>
      <x:c r="E52" s="346" t="str">
        <x:v>N/A</x:v>
      </x:c>
      <x:c r="F52" s="346" t="str">
        <x:v>N/A</x:v>
      </x:c>
      <x:c r="G52" s="346" t="str">
        <x:v>N/A / U/K</x:v>
      </x:c>
      <x:c r="H52" s="346" t="str">
        <x:v>Open-source / self-host relay</x:v>
      </x:c>
      <x:c r="I52" s="346" t="str">
        <x:v>Operator</x:v>
      </x:c>
      <x:c r="J52" s="346" t="str">
        <x:v>No</x:v>
      </x:c>
      <x:c r="K52" s="346" t="str">
        <x:v>Operator</x:v>
      </x:c>
      <x:c r="L52" s="346" t="str">
        <x:v>None</x:v>
      </x:c>
      <x:c r="M52" s="346" t="str"/>
      <x:c r="N52" s="346" t="str">
        <x:v>https://github.com/VitalikPro13/HOLLOW</x:v>
      </x:c>
      <x:c r="O52" s="346" t="str">
        <x:v>2026-09-15</x:v>
      </x:c>
      <x:c r="P52" s="346" t="str"/>
      <x:c r="Q52" s="346" t="str">
        <x:v>Primary / first-party source recorded</x:v>
      </x:c>
    </x:row>
    <x:row r="53" ht="34" customHeight="1">
      <x:c r="A53" s="346" t="str">
        <x:v>DCTS</x:v>
      </x:c>
      <x:c r="B53" s="346" t="str">
        <x:v>Current</x:v>
      </x:c>
      <x:c r="C53" s="346" t="str">
        <x:v>No central paid tier</x:v>
      </x:c>
      <x:c r="D53" s="346" t="str">
        <x:v>No DCTS subscription</x:v>
      </x:c>
      <x:c r="E53" s="346" t="str">
        <x:v>N/A</x:v>
      </x:c>
      <x:c r="F53" s="346" t="str">
        <x:v>N/A</x:v>
      </x:c>
      <x:c r="G53" s="346" t="str">
        <x:v>N/A / U/K</x:v>
      </x:c>
      <x:c r="H53" s="346" t="str">
        <x:v>AGPL self-host / community-supported</x:v>
      </x:c>
      <x:c r="I53" s="346" t="str">
        <x:v>Operator</x:v>
      </x:c>
      <x:c r="J53" s="346" t="str">
        <x:v>No</x:v>
      </x:c>
      <x:c r="K53" s="346" t="str">
        <x:v>Operator</x:v>
      </x:c>
      <x:c r="L53" s="346" t="str">
        <x:v>None</x:v>
      </x:c>
      <x:c r="M53" s="346" t="str"/>
      <x:c r="N53" s="346" t="str">
        <x:v>https://dcts.community/</x:v>
      </x:c>
      <x:c r="O53" s="346" t="str">
        <x:v>2026-09-15</x:v>
      </x:c>
      <x:c r="P53" s="346" t="str"/>
      <x:c r="Q53" s="346" t="str">
        <x:v>Primary / first-party source recorded</x:v>
      </x:c>
    </x:row>
    <x:row r="54" ht="34" customHeight="1">
      <x:c r="A54" s="346" t="str">
        <x:v>Rift</x:v>
      </x:c>
      <x:c r="B54" s="346" t="str">
        <x:v>Current</x:v>
      </x:c>
      <x:c r="C54" s="346" t="str">
        <x:v>User subscription</x:v>
      </x:c>
      <x:c r="D54" s="346" t="str">
        <x:v>Rift+</x:v>
      </x:c>
      <x:c r="E54" s="346" t="str">
        <x:v>7.00/mo; 70.00/yr</x:v>
      </x:c>
      <x:c r="F54" s="346" t="str">
        <x:v>USD</x:v>
      </x:c>
      <x:c r="G54" s="346" t="str">
        <x:v>Monthly / annual as listed</x:v>
      </x:c>
      <x:c r="H54" s="346" t="str">
        <x:v>Per user</x:v>
      </x:c>
      <x:c r="I54" s="346" t="str">
        <x:v>Personal account</x:v>
      </x:c>
      <x:c r="J54" s="346" t="str">
        <x:v>No</x:v>
      </x:c>
      <x:c r="K54" s="346" t="str">
        <x:v>Yes</x:v>
      </x:c>
      <x:c r="L54" s="346" t="str">
        <x:v>Active</x:v>
      </x:c>
      <x:c r="M54" s="346" t="str"/>
      <x:c r="N54" s="346" t="str">
        <x:v>https://therift.chat/de/plans/</x:v>
      </x:c>
      <x:c r="O54" s="346" t="str">
        <x:v>2026-09-15</x:v>
      </x:c>
      <x:c r="P54" s="346" t="str">
        <x:v>Personal tier; travels with the user.</x:v>
      </x:c>
      <x:c r="Q54" s="346" t="str">
        <x:v>Primary / first-party source recorded</x:v>
      </x:c>
    </x:row>
    <x:row r="55" ht="34" customHeight="1">
      <x:c r="A55" s="346" t="str">
        <x:v>Rift</x:v>
      </x:c>
      <x:c r="B55" s="346" t="str">
        <x:v>Current</x:v>
      </x:c>
      <x:c r="C55" s="346" t="str">
        <x:v>Community subscription</x:v>
      </x:c>
      <x:c r="D55" s="346" t="str">
        <x:v>Shard Ember</x:v>
      </x:c>
      <x:c r="E55" s="346" t="str">
        <x:v>10.00/mo</x:v>
      </x:c>
      <x:c r="F55" s="346" t="str">
        <x:v>USD</x:v>
      </x:c>
      <x:c r="G55" s="346" t="str">
        <x:v>Monthly / annual as listed</x:v>
      </x:c>
      <x:c r="H55" s="346" t="str">
        <x:v>Per community / Shard</x:v>
      </x:c>
      <x:c r="I55" s="346" t="str">
        <x:v>Entire community</x:v>
      </x:c>
      <x:c r="J55" s="346" t="str">
        <x:v>No</x:v>
      </x:c>
      <x:c r="K55" s="346" t="str">
        <x:v>Entire community</x:v>
      </x:c>
      <x:c r="L55" s="346" t="str">
        <x:v>Active</x:v>
      </x:c>
      <x:c r="M55" s="346" t="str"/>
      <x:c r="N55" s="346" t="str">
        <x:v>https://therift.chat/de/plans/</x:v>
      </x:c>
      <x:c r="O55" s="346" t="str">
        <x:v>2026-09-15</x:v>
      </x:c>
      <x:c r="P55" s="346" t="str">
        <x:v>One member pays; whole Shard benefits.</x:v>
      </x:c>
      <x:c r="Q55" s="346" t="str">
        <x:v>Primary / first-party source recorded</x:v>
      </x:c>
    </x:row>
    <x:row r="56" ht="34" customHeight="1">
      <x:c r="A56" s="346" t="str">
        <x:v>Rift</x:v>
      </x:c>
      <x:c r="B56" s="346" t="str">
        <x:v>Current</x:v>
      </x:c>
      <x:c r="C56" s="346" t="str">
        <x:v>Community subscription</x:v>
      </x:c>
      <x:c r="D56" s="346" t="str">
        <x:v>Shard Forge</x:v>
      </x:c>
      <x:c r="E56" s="346" t="str">
        <x:v>25.00/mo</x:v>
      </x:c>
      <x:c r="F56" s="346" t="str">
        <x:v>USD</x:v>
      </x:c>
      <x:c r="G56" s="346" t="str">
        <x:v>Monthly / annual as listed</x:v>
      </x:c>
      <x:c r="H56" s="346" t="str">
        <x:v>Per community / Shard</x:v>
      </x:c>
      <x:c r="I56" s="346" t="str">
        <x:v>Entire community</x:v>
      </x:c>
      <x:c r="J56" s="346" t="str">
        <x:v>No</x:v>
      </x:c>
      <x:c r="K56" s="346" t="str">
        <x:v>Entire community</x:v>
      </x:c>
      <x:c r="L56" s="346" t="str">
        <x:v>Active</x:v>
      </x:c>
      <x:c r="M56" s="346" t="str"/>
      <x:c r="N56" s="346" t="str">
        <x:v>https://therift.chat/de/plans/</x:v>
      </x:c>
      <x:c r="O56" s="346" t="str">
        <x:v>2026-09-15</x:v>
      </x:c>
      <x:c r="P56" s="346" t="str">
        <x:v>One member pays; whole Shard benefits.</x:v>
      </x:c>
      <x:c r="Q56" s="346" t="str">
        <x:v>Primary / first-party source recorded</x:v>
      </x:c>
    </x:row>
    <x:row r="57" ht="34" customHeight="1">
      <x:c r="A57" s="346" t="str">
        <x:v>pqp.gg</x:v>
      </x:c>
      <x:c r="B57" s="346" t="str">
        <x:v>Current</x:v>
      </x:c>
      <x:c r="C57" s="346" t="str">
        <x:v>No public paid tier</x:v>
      </x:c>
      <x:c r="D57" s="346" t="str">
        <x:v>No public fixed-price paid tier verified</x:v>
      </x:c>
      <x:c r="E57" s="346" t="str">
        <x:v>N/A</x:v>
      </x:c>
      <x:c r="F57" s="346" t="str">
        <x:v>U/K</x:v>
      </x:c>
      <x:c r="G57" s="346" t="str">
        <x:v>N/A / U/K</x:v>
      </x:c>
      <x:c r="H57" s="346" t="str">
        <x:v>Open-source beta</x:v>
      </x:c>
      <x:c r="I57" s="346" t="str">
        <x:v>Hosted / self-host</x:v>
      </x:c>
      <x:c r="J57" s="346" t="str">
        <x:v>No</x:v>
      </x:c>
      <x:c r="K57" s="346" t="str">
        <x:v>Hosted / self-host</x:v>
      </x:c>
      <x:c r="L57" s="346" t="str">
        <x:v>None verified</x:v>
      </x:c>
      <x:c r="M57" s="346" t="str"/>
      <x:c r="N57" s="346" t="str">
        <x:v>https://pqp.gg/</x:v>
      </x:c>
      <x:c r="O57" s="346" t="str">
        <x:v>2026-09-15</x:v>
      </x:c>
      <x:c r="P57" s="346" t="str"/>
      <x:c r="Q57" s="346" t="str">
        <x:v>Primary / first-party source recorded</x:v>
      </x:c>
    </x:row>
    <x:row r="58" ht="34" customHeight="1">
      <x:c r="A58" s="346" t="str">
        <x:v>Echon</x:v>
      </x:c>
      <x:c r="B58" s="346" t="str">
        <x:v>Current</x:v>
      </x:c>
      <x:c r="C58" s="346" t="str">
        <x:v>No public paid tier</x:v>
      </x:c>
      <x:c r="D58" s="346" t="str">
        <x:v>No public fixed-price paid tier verified</x:v>
      </x:c>
      <x:c r="E58" s="346" t="str">
        <x:v>N/A</x:v>
      </x:c>
      <x:c r="F58" s="346" t="str">
        <x:v>U/K</x:v>
      </x:c>
      <x:c r="G58" s="346" t="str">
        <x:v>N/A / U/K</x:v>
      </x:c>
      <x:c r="H58" s="346" t="str">
        <x:v>U/K</x:v>
      </x:c>
      <x:c r="I58" s="346" t="str">
        <x:v>Hosted service</x:v>
      </x:c>
      <x:c r="J58" s="346" t="str">
        <x:v>No</x:v>
      </x:c>
      <x:c r="K58" s="346" t="str">
        <x:v>Hosted service</x:v>
      </x:c>
      <x:c r="L58" s="346" t="str">
        <x:v>None verified</x:v>
      </x:c>
      <x:c r="M58" s="346" t="str"/>
      <x:c r="N58" s="346" t="str">
        <x:v>https://echon-voice.com/</x:v>
      </x:c>
      <x:c r="O58" s="346" t="str">
        <x:v>2026-09-15</x:v>
      </x:c>
      <x:c r="P58" s="346" t="str">
        <x:v>No public pricing page verified.</x:v>
      </x:c>
      <x:c r="Q58" s="346" t="str">
        <x:v>Primary / first-party source recorded</x:v>
      </x:c>
    </x:row>
    <x:row r="59" ht="34" customHeight="1">
      <x:c r="A59" s="346" t="str">
        <x:v>Valour</x:v>
      </x:c>
      <x:c r="B59" s="346" t="str">
        <x:v>Current</x:v>
      </x:c>
      <x:c r="C59" s="346" t="str">
        <x:v>Supporter subscription</x:v>
      </x:c>
      <x:c r="D59" s="346" t="str">
        <x:v>Stargazer</x:v>
      </x:c>
      <x:c r="E59" s="346" t="str">
        <x:v>U/K</x:v>
      </x:c>
      <x:c r="F59" s="346" t="str">
        <x:v>U/K</x:v>
      </x:c>
      <x:c r="G59" s="346" t="str">
        <x:v>N/A / U/K</x:v>
      </x:c>
      <x:c r="H59" s="346" t="str">
        <x:v>Per supporter</x:v>
      </x:c>
      <x:c r="I59" s="346" t="str">
        <x:v>Personal account</x:v>
      </x:c>
      <x:c r="J59" s="346" t="str">
        <x:v>No</x:v>
      </x:c>
      <x:c r="K59" s="346" t="str">
        <x:v>Yes</x:v>
      </x:c>
      <x:c r="L59" s="346" t="str">
        <x:v>Active / optional; price not publicly verified</x:v>
      </x:c>
      <x:c r="M59" s="346" t="str"/>
      <x:c r="N59" s="346" t="str">
        <x:v>https://valour.gg/faq/</x:v>
      </x:c>
      <x:c r="O59" s="346" t="str">
        <x:v>2026-09-15</x:v>
      </x:c>
      <x:c r="P59" s="346" t="str">
        <x:v>Current public price not verified.</x:v>
      </x:c>
      <x:c r="Q59" s="346" t="str">
        <x:v>Primary / first-party source recorded</x:v>
      </x:c>
    </x:row>
    <x:row r="60" ht="34" customHeight="1">
      <x:c r="A60" s="346" t="str">
        <x:v>Weered</x:v>
      </x:c>
      <x:c r="B60" s="346" t="str">
        <x:v>Current</x:v>
      </x:c>
      <x:c r="C60" s="346" t="str">
        <x:v>Lobby subscription</x:v>
      </x:c>
      <x:c r="D60" s="346" t="str">
        <x:v>Run your own</x:v>
      </x:c>
      <x:c r="E60" s="346" t="str">
        <x:v>6.00/mo</x:v>
      </x:c>
      <x:c r="F60" s="346" t="str">
        <x:v>USD</x:v>
      </x:c>
      <x:c r="G60" s="346" t="str">
        <x:v>Monthly / annual as listed</x:v>
      </x:c>
      <x:c r="H60" s="346" t="str">
        <x:v>Per lobby</x:v>
      </x:c>
      <x:c r="I60" s="346" t="str">
        <x:v>Lobby owner/community</x:v>
      </x:c>
      <x:c r="J60" s="346" t="str">
        <x:v>Yes</x:v>
      </x:c>
      <x:c r="K60" s="346" t="str">
        <x:v>Entire server/community</x:v>
      </x:c>
      <x:c r="L60" s="346" t="str">
        <x:v>Active</x:v>
      </x:c>
      <x:c r="M60" s="346" t="str"/>
      <x:c r="N60" s="346" t="str">
        <x:v>https://weered.ca/pricing</x:v>
      </x:c>
      <x:c r="O60" s="346" t="str">
        <x:v>2026-09-15</x:v>
      </x:c>
      <x:c r="P60" s="346" t="str">
        <x:v>Using existing public lobbies is free.</x:v>
      </x:c>
      <x:c r="Q60" s="346" t="str">
        <x:v>Primary / first-party source recorded</x:v>
      </x:c>
    </x:row>
    <x:row r="61" ht="34" customHeight="1">
      <x:c r="A61" s="346" t="str">
        <x:v>Weered</x:v>
      </x:c>
      <x:c r="B61" s="346" t="str">
        <x:v>Current</x:v>
      </x:c>
      <x:c r="C61" s="346" t="str">
        <x:v>Custom community build</x:v>
      </x:c>
      <x:c r="D61" s="346" t="str">
        <x:v>Have it built - Crew</x:v>
      </x:c>
      <x:c r="E61" s="346" t="str">
        <x:v>Contact Sales / Quote</x:v>
      </x:c>
      <x:c r="F61" s="346" t="str">
        <x:v>USD / quote</x:v>
      </x:c>
      <x:c r="G61" s="346" t="str">
        <x:v>Quote</x:v>
      </x:c>
      <x:c r="H61" s="346" t="str">
        <x:v>Per community build</x:v>
      </x:c>
      <x:c r="I61" s="346" t="str">
        <x:v>Custom hosted community</x:v>
      </x:c>
      <x:c r="J61" s="346" t="str">
        <x:v>Yes</x:v>
      </x:c>
      <x:c r="K61" s="346" t="str">
        <x:v>Entire server/community</x:v>
      </x:c>
      <x:c r="L61" s="346" t="str">
        <x:v>Quote</x:v>
      </x:c>
      <x:c r="M61" s="346" t="str"/>
      <x:c r="N61" s="346" t="str">
        <x:v>https://weered.ca/pricing</x:v>
      </x:c>
      <x:c r="O61" s="346" t="str">
        <x:v>2026-09-15</x:v>
      </x:c>
      <x:c r="P61" s="346" t="str">
        <x:v>Quoted by community size; first ten builds have special founding terms.</x:v>
      </x:c>
      <x:c r="Q61" s="346" t="str">
        <x:v>Primary / first-party source recorded</x:v>
      </x:c>
    </x:row>
    <x:row r="62" ht="34" customHeight="1">
      <x:c r="A62" s="346" t="str">
        <x:v>Weered</x:v>
      </x:c>
      <x:c r="B62" s="346" t="str">
        <x:v>Current</x:v>
      </x:c>
      <x:c r="C62" s="346" t="str">
        <x:v>Custom community build</x:v>
      </x:c>
      <x:c r="D62" s="346" t="str">
        <x:v>Have it built - League</x:v>
      </x:c>
      <x:c r="E62" s="346" t="str">
        <x:v>Contact Sales / Quote</x:v>
      </x:c>
      <x:c r="F62" s="346" t="str">
        <x:v>USD / quote</x:v>
      </x:c>
      <x:c r="G62" s="346" t="str">
        <x:v>Quote</x:v>
      </x:c>
      <x:c r="H62" s="346" t="str">
        <x:v>Per community build</x:v>
      </x:c>
      <x:c r="I62" s="346" t="str">
        <x:v>Custom hosted community</x:v>
      </x:c>
      <x:c r="J62" s="346" t="str">
        <x:v>Yes</x:v>
      </x:c>
      <x:c r="K62" s="346" t="str">
        <x:v>Entire server/community</x:v>
      </x:c>
      <x:c r="L62" s="346" t="str">
        <x:v>Quote</x:v>
      </x:c>
      <x:c r="M62" s="346" t="str"/>
      <x:c r="N62" s="346" t="str">
        <x:v>https://weered.ca/pricing</x:v>
      </x:c>
      <x:c r="O62" s="346" t="str">
        <x:v>2026-09-15</x:v>
      </x:c>
      <x:c r="P62" s="346" t="str">
        <x:v>Quoted by community size; first ten builds have special founding terms.</x:v>
      </x:c>
      <x:c r="Q62" s="346" t="str">
        <x:v>Primary / first-party source recorded</x:v>
      </x:c>
    </x:row>
    <x:row r="63" ht="34" customHeight="1">
      <x:c r="A63" s="346" t="str">
        <x:v>Weered</x:v>
      </x:c>
      <x:c r="B63" s="346" t="str">
        <x:v>Current</x:v>
      </x:c>
      <x:c r="C63" s="346" t="str">
        <x:v>Custom community build</x:v>
      </x:c>
      <x:c r="D63" s="346" t="str">
        <x:v>Have it built - Network</x:v>
      </x:c>
      <x:c r="E63" s="346" t="str">
        <x:v>Contact Sales / Quote</x:v>
      </x:c>
      <x:c r="F63" s="346" t="str">
        <x:v>USD / quote</x:v>
      </x:c>
      <x:c r="G63" s="346" t="str">
        <x:v>Quote</x:v>
      </x:c>
      <x:c r="H63" s="346" t="str">
        <x:v>Per community build</x:v>
      </x:c>
      <x:c r="I63" s="346" t="str">
        <x:v>Custom hosted community</x:v>
      </x:c>
      <x:c r="J63" s="346" t="str">
        <x:v>Yes</x:v>
      </x:c>
      <x:c r="K63" s="346" t="str">
        <x:v>Entire server/community</x:v>
      </x:c>
      <x:c r="L63" s="346" t="str">
        <x:v>Quote</x:v>
      </x:c>
      <x:c r="M63" s="346" t="str"/>
      <x:c r="N63" s="346" t="str">
        <x:v>https://weered.ca/pricing</x:v>
      </x:c>
      <x:c r="O63" s="346" t="str">
        <x:v>2026-09-15</x:v>
      </x:c>
      <x:c r="P63" s="346" t="str">
        <x:v>Quoted by community size; first ten builds have special founding terms.</x:v>
      </x:c>
      <x:c r="Q63" s="346" t="str">
        <x:v>Primary / first-party source recorded</x:v>
      </x:c>
    </x:row>
    <x:row r="64" ht="34" customHeight="1">
      <x:c r="A64" s="346" t="str">
        <x:v>Weered</x:v>
      </x:c>
      <x:c r="B64" s="346" t="str">
        <x:v>Current</x:v>
      </x:c>
      <x:c r="C64" s="346" t="str">
        <x:v>Custom community build</x:v>
      </x:c>
      <x:c r="D64" s="346" t="str">
        <x:v>Have it built - Larger</x:v>
      </x:c>
      <x:c r="E64" s="346" t="str">
        <x:v>Contact Sales / Quote</x:v>
      </x:c>
      <x:c r="F64" s="346" t="str">
        <x:v>USD / quote</x:v>
      </x:c>
      <x:c r="G64" s="346" t="str">
        <x:v>Quote</x:v>
      </x:c>
      <x:c r="H64" s="346" t="str">
        <x:v>Per community build</x:v>
      </x:c>
      <x:c r="I64" s="346" t="str">
        <x:v>Custom hosted community</x:v>
      </x:c>
      <x:c r="J64" s="346" t="str">
        <x:v>Yes</x:v>
      </x:c>
      <x:c r="K64" s="346" t="str">
        <x:v>Entire server/community</x:v>
      </x:c>
      <x:c r="L64" s="346" t="str">
        <x:v>Quote</x:v>
      </x:c>
      <x:c r="M64" s="346" t="str"/>
      <x:c r="N64" s="346" t="str">
        <x:v>https://weered.ca/pricing</x:v>
      </x:c>
      <x:c r="O64" s="346" t="str">
        <x:v>2026-09-15</x:v>
      </x:c>
      <x:c r="P64" s="346" t="str">
        <x:v>Quoted by community size; first ten builds have special founding terms.</x:v>
      </x:c>
      <x:c r="Q64" s="346" t="str">
        <x:v>Primary / first-party source recorded</x:v>
      </x:c>
    </x:row>
    <x:row r="65" ht="34" customHeight="1">
      <x:c r="A65" s="346" t="str">
        <x:v>Discord</x:v>
      </x:c>
      <x:c r="B65" s="346" t="str">
        <x:v>Current</x:v>
      </x:c>
      <x:c r="C65" s="346" t="str">
        <x:v>Server / community upgrade</x:v>
      </x:c>
      <x:c r="D65" s="346" t="str">
        <x:v>Server Boost Level 1</x:v>
      </x:c>
      <x:c r="E65" s="346" t="str">
        <x:v>$9.98/mo at full $4.99/boost rate</x:v>
      </x:c>
      <x:c r="F65" s="346" t="str">
        <x:v>USD</x:v>
      </x:c>
      <x:c r="G65" s="346" t="str">
        <x:v>Monthly</x:v>
      </x:c>
      <x:c r="H65" s="346" t="str">
        <x:v>Per server</x:v>
      </x:c>
      <x:c r="I65" s="346" t="str">
        <x:v>Entire server</x:v>
      </x:c>
      <x:c r="J65" s="346" t="str">
        <x:v>Yes</x:v>
      </x:c>
      <x:c r="K65" s="346" t="str">
        <x:v>Entire server/community</x:v>
      </x:c>
      <x:c r="L65" s="346" t="str">
        <x:v>Active</x:v>
      </x:c>
      <x:c r="M65" s="346" t="str">
        <x:v>U/K</x:v>
      </x:c>
      <x:c r="N65" s="346" t="str">
        <x:v>https://support.discord.com/hc/en-us/articles/360028038352-Server-Boosting-FAQ</x:v>
      </x:c>
      <x:c r="O65" s="346" t="str">
        <x:v>2026-09-15</x:v>
      </x:c>
      <x:c r="P65" s="346" t="str">
        <x:v>Requires 2 boosts. Full-price equivalent shown before Nitro included boosts or discounts.</x:v>
      </x:c>
      <x:c r="Q65" s="346" t="str">
        <x:v>Primary / first-party source recorded</x:v>
      </x:c>
    </x:row>
    <x:row r="66" ht="34" customHeight="1">
      <x:c r="A66" s="346" t="str">
        <x:v>Discord</x:v>
      </x:c>
      <x:c r="B66" s="346" t="str">
        <x:v>Current</x:v>
      </x:c>
      <x:c r="C66" s="346" t="str">
        <x:v>Server / community upgrade</x:v>
      </x:c>
      <x:c r="D66" s="346" t="str">
        <x:v>Server Boost Level 2</x:v>
      </x:c>
      <x:c r="E66" s="346" t="str">
        <x:v>$34.93/mo at full $4.99/boost rate</x:v>
      </x:c>
      <x:c r="F66" s="346" t="str">
        <x:v>USD</x:v>
      </x:c>
      <x:c r="G66" s="346" t="str">
        <x:v>Monthly</x:v>
      </x:c>
      <x:c r="H66" s="346" t="str">
        <x:v>Per server</x:v>
      </x:c>
      <x:c r="I66" s="346" t="str">
        <x:v>Entire server</x:v>
      </x:c>
      <x:c r="J66" s="346" t="str">
        <x:v>Yes</x:v>
      </x:c>
      <x:c r="K66" s="346" t="str">
        <x:v>Entire server/community</x:v>
      </x:c>
      <x:c r="L66" s="346" t="str">
        <x:v>Active</x:v>
      </x:c>
      <x:c r="M66" s="346" t="str">
        <x:v>U/K</x:v>
      </x:c>
      <x:c r="N66" s="346" t="str">
        <x:v>https://support.discord.com/hc/en-us/articles/360028038352-Server-Boosting-FAQ</x:v>
      </x:c>
      <x:c r="O66" s="346" t="str">
        <x:v>2026-09-15</x:v>
      </x:c>
      <x:c r="P66" s="346" t="str">
        <x:v>Requires 7 boosts. Full-price equivalent shown before Nitro included boosts or discounts.</x:v>
      </x:c>
      <x:c r="Q66" s="346" t="str">
        <x:v>Primary / first-party source recorded</x:v>
      </x:c>
    </x:row>
    <x:row r="67" ht="34" customHeight="1">
      <x:c r="A67" s="346" t="str">
        <x:v>Discord</x:v>
      </x:c>
      <x:c r="B67" s="346" t="str">
        <x:v>Current</x:v>
      </x:c>
      <x:c r="C67" s="346" t="str">
        <x:v>Server / community upgrade</x:v>
      </x:c>
      <x:c r="D67" s="346" t="str">
        <x:v>Server Boost Level 3</x:v>
      </x:c>
      <x:c r="E67" s="346" t="str">
        <x:v>$69.86/mo at full $4.99/boost rate</x:v>
      </x:c>
      <x:c r="F67" s="346" t="str">
        <x:v>USD</x:v>
      </x:c>
      <x:c r="G67" s="346" t="str">
        <x:v>Monthly</x:v>
      </x:c>
      <x:c r="H67" s="346" t="str">
        <x:v>Per server</x:v>
      </x:c>
      <x:c r="I67" s="346" t="str">
        <x:v>Entire server</x:v>
      </x:c>
      <x:c r="J67" s="346" t="str">
        <x:v>Yes</x:v>
      </x:c>
      <x:c r="K67" s="346" t="str">
        <x:v>Entire server/community</x:v>
      </x:c>
      <x:c r="L67" s="346" t="str">
        <x:v>Active</x:v>
      </x:c>
      <x:c r="M67" s="346" t="str">
        <x:v>U/K</x:v>
      </x:c>
      <x:c r="N67" s="346" t="str">
        <x:v>https://support.discord.com/hc/en-us/articles/360028038352-Server-Boosting-FAQ</x:v>
      </x:c>
      <x:c r="O67" s="346" t="str">
        <x:v>2026-09-15</x:v>
      </x:c>
      <x:c r="P67" s="346" t="str">
        <x:v>Requires 14 boosts. Full-price equivalent shown before Nitro included boosts or discounts.</x:v>
      </x:c>
      <x:c r="Q67" s="346" t="str">
        <x:v>Primary / first-party source recorded</x:v>
      </x:c>
    </x:row>
    <x:row r="68" ht="34" customHeight="1">
      <x:c r="A68" s="346" t="str">
        <x:v>Root</x:v>
      </x:c>
      <x:c r="B68" s="346" t="str">
        <x:v>Current</x:v>
      </x:c>
      <x:c r="C68" s="346" t="str">
        <x:v>Community resource / upgrade</x:v>
      </x:c>
      <x:c r="D68" s="346" t="str">
        <x:v>Core</x:v>
      </x:c>
      <x:c r="E68" s="346" t="str">
        <x:v>U/K</x:v>
      </x:c>
      <x:c r="F68" s="346" t="str">
        <x:v>USD / in-app</x:v>
      </x:c>
      <x:c r="G68" s="346" t="str">
        <x:v>U/K</x:v>
      </x:c>
      <x:c r="H68" s="346" t="str">
        <x:v>Per Core / community resource</x:v>
      </x:c>
      <x:c r="I68" s="346" t="str">
        <x:v>Community</x:v>
      </x:c>
      <x:c r="J68" s="346" t="str">
        <x:v>Yes</x:v>
      </x:c>
      <x:c r="K68" s="346" t="str">
        <x:v>Entire community</x:v>
      </x:c>
      <x:c r="L68" s="346" t="str">
        <x:v>Active</x:v>
      </x:c>
      <x:c r="M68" s="346" t="str">
        <x:v>U/K</x:v>
      </x:c>
      <x:c r="N68" s="346" t="str">
        <x:v>https://support.rootapp.com/docs/sudo/get-started/sudo-faqs/</x:v>
      </x:c>
      <x:c r="O68" s="346" t="str">
        <x:v>2026-09-15</x:v>
      </x:c>
      <x:c r="P68" s="346" t="str">
        <x:v>Sudo includes 1 Core each month; standalone Core price is not publicly verified.</x:v>
      </x:c>
      <x:c r="Q68" s="346" t="str">
        <x:v>Primary / first-party source recorded</x:v>
      </x:c>
    </x:row>
    <x:row r="69" ht="34" customHeight="1">
      <x:c r="A69" s="346" t="str">
        <x:v>Discord</x:v>
      </x:c>
      <x:c r="B69" s="346" t="str">
        <x:v>Current</x:v>
      </x:c>
      <x:c r="C69" s="346" t="str">
        <x:v>Sponsored content</x:v>
      </x:c>
      <x:c r="D69" s="346" t="str">
        <x:v>Quests / sponsored formats</x:v>
      </x:c>
      <x:c r="E69" s="346" t="str">
        <x:v>U/K</x:v>
      </x:c>
      <x:c r="F69" s="346" t="str">
        <x:v>USD / commercial</x:v>
      </x:c>
      <x:c r="G69" s="346" t="str">
        <x:v>Campaign / commercial</x:v>
      </x:c>
      <x:c r="H69" s="346" t="str">
        <x:v>Advertiser</x:v>
      </x:c>
      <x:c r="I69" s="346" t="str">
        <x:v>Platform-wide</x:v>
      </x:c>
      <x:c r="J69" s="346" t="str">
        <x:v>No</x:v>
      </x:c>
      <x:c r="K69" s="346" t="str">
        <x:v>Users may receive sponsored content</x:v>
      </x:c>
      <x:c r="L69" s="346" t="str">
        <x:v>Active</x:v>
      </x:c>
      <x:c r="M69" s="346" t="str">
        <x:v>May expand as sponsored formats evolve</x:v>
      </x:c>
      <x:c r="N69" s="346" t="str">
        <x:v>https://discord.com/privacy</x:v>
      </x:c>
      <x:c r="O69" s="346" t="str">
        <x:v>2026-09-15</x:v>
      </x:c>
      <x:c r="P69" s="346" t="str">
        <x:v>Subscriptions, paid products and sponsored content fund Discord.</x:v>
      </x:c>
      <x:c r="Q69" s="346" t="str">
        <x:v>Primary / first-party source recorded</x:v>
      </x:c>
    </x:row>
    <x:row r="70" ht="34" customHeight="1">
      <x:c r="A70" s="346" t="str">
        <x:v>Discord</x:v>
      </x:c>
      <x:c r="B70" s="346" t="str">
        <x:v>Current</x:v>
      </x:c>
      <x:c r="C70" s="346" t="str">
        <x:v>Creator monetization infrastructure</x:v>
      </x:c>
      <x:c r="D70" s="346" t="str">
        <x:v>Server Subscriptions / Server Shop / Premium Apps</x:v>
      </x:c>
      <x:c r="E70" s="346" t="str">
        <x:v>Creator-set / varies</x:v>
      </x:c>
      <x:c r="F70" s="346" t="str">
        <x:v>USD / localized</x:v>
      </x:c>
      <x:c r="G70" s="346" t="str">
        <x:v>Varies</x:v>
      </x:c>
      <x:c r="H70" s="346" t="str">
        <x:v>Buyer / server member</x:v>
      </x:c>
      <x:c r="I70" s="346" t="str">
        <x:v>Creator/server offering</x:v>
      </x:c>
      <x:c r="J70" s="346" t="str">
        <x:v>Yes</x:v>
      </x:c>
      <x:c r="K70" s="346" t="str">
        <x:v>Optional paid creator content</x:v>
      </x:c>
      <x:c r="L70" s="346" t="str">
        <x:v>Active</x:v>
      </x:c>
      <x:c r="M70" s="346" t="str">
        <x:v>U/K</x:v>
      </x:c>
      <x:c r="N70" s="346" t="str">
        <x:v>https://support.discord.com/hc/en-us/articles/5330075836311-Monetization-Terms</x:v>
      </x:c>
      <x:c r="O70" s="346" t="str">
        <x:v>2026-09-15</x:v>
      </x:c>
      <x:c r="P70" s="346" t="str">
        <x:v>Distinct from Discord own Nitro/Boost revenue.</x:v>
      </x:c>
      <x:c r="Q70" s="346" t="str">
        <x:v>Primary / first-party source recorded</x:v>
      </x:c>
    </x:row>
    <x:row r="71" ht="34" customHeight="1">
      <x:c r="A71" s="346" t="str">
        <x:v>Fluxer</x:v>
      </x:c>
      <x:c r="B71" s="346" t="str">
        <x:v>Current</x:v>
      </x:c>
      <x:c r="C71" s="346" t="str">
        <x:v>Donations</x:v>
      </x:c>
      <x:c r="D71" s="346" t="str">
        <x:v>One-time / monthly / yearly donations</x:v>
      </x:c>
      <x:c r="E71" s="346" t="str">
        <x:v>Minimum 3 in selected currency</x:v>
      </x:c>
      <x:c r="F71" s="346" t="str">
        <x:v>Multiple</x:v>
      </x:c>
      <x:c r="G71" s="346" t="str">
        <x:v>One-time / monthly / yearly</x:v>
      </x:c>
      <x:c r="H71" s="346" t="str">
        <x:v>Donor</x:v>
      </x:c>
      <x:c r="I71" s="346" t="str">
        <x:v>Project funding</x:v>
      </x:c>
      <x:c r="J71" s="346" t="str">
        <x:v>No</x:v>
      </x:c>
      <x:c r="K71" s="346" t="str">
        <x:v>No entitlement required</x:v>
      </x:c>
      <x:c r="L71" s="346" t="str">
        <x:v>Active</x:v>
      </x:c>
      <x:c r="M71" s="346" t="str">
        <x:v>Continue funding without VC/outside investors</x:v>
      </x:c>
      <x:c r="N71" s="346" t="str">
        <x:v>https://fluxer.app/donate</x:v>
      </x:c>
      <x:c r="O71" s="346" t="str">
        <x:v>2026-09-15</x:v>
      </x:c>
      <x:c r="P71" s="346" t="str"/>
      <x:c r="Q71" s="346" t="str">
        <x:v>Primary / first-party source recorded</x:v>
      </x:c>
    </x:row>
    <x:row r="72" ht="34" customHeight="1">
      <x:c r="A72" s="346" t="str">
        <x:v>Nerimity</x:v>
      </x:c>
      <x:c r="B72" s="346" t="str">
        <x:v>Current</x:v>
      </x:c>
      <x:c r="C72" s="346" t="str">
        <x:v>Donations</x:v>
      </x:c>
      <x:c r="D72" s="346" t="str">
        <x:v>Donation-funded service</x:v>
      </x:c>
      <x:c r="E72" s="346" t="str">
        <x:v>User-selected</x:v>
      </x:c>
      <x:c r="F72" s="346" t="str">
        <x:v>U/K</x:v>
      </x:c>
      <x:c r="G72" s="346" t="str">
        <x:v>Donation</x:v>
      </x:c>
      <x:c r="H72" s="346" t="str">
        <x:v>Donor</x:v>
      </x:c>
      <x:c r="I72" s="346" t="str">
        <x:v>Project funding</x:v>
      </x:c>
      <x:c r="J72" s="346" t="str">
        <x:v>No</x:v>
      </x:c>
      <x:c r="K72" s="346" t="str">
        <x:v>No paid entitlement verified</x:v>
      </x:c>
      <x:c r="L72" s="346" t="str">
        <x:v>Active</x:v>
      </x:c>
      <x:c r="M72" s="346" t="str">
        <x:v>U/K</x:v>
      </x:c>
      <x:c r="N72" s="346" t="str">
        <x:v>https://nerimity.com/</x:v>
      </x:c>
      <x:c r="O72" s="346" t="str">
        <x:v>2026-09-15</x:v>
      </x:c>
      <x:c r="P72" s="346" t="str">
        <x:v>Homepage says Nerimity runs on donations.</x:v>
      </x:c>
      <x:c r="Q72" s="346" t="str">
        <x:v>Primary / first-party source recorded</x:v>
      </x:c>
    </x:row>
    <x:row r="73" ht="34" customHeight="1">
      <x:c r="A73" s="346" t="str">
        <x:v>Matrix</x:v>
      </x:c>
      <x:c r="B73" s="346" t="str">
        <x:v>Current</x:v>
      </x:c>
      <x:c r="C73" s="346" t="str">
        <x:v>Foundation support</x:v>
      </x:c>
      <x:c r="D73" s="346" t="str">
        <x:v>Donations / organizational sponsorship</x:v>
      </x:c>
      <x:c r="E73" s="346" t="str">
        <x:v>User-selected / sponsorship</x:v>
      </x:c>
      <x:c r="F73" s="346" t="str">
        <x:v>U/K</x:v>
      </x:c>
      <x:c r="G73" s="346" t="str">
        <x:v>One-time / recurring / sponsorship</x:v>
      </x:c>
      <x:c r="H73" s="346" t="str">
        <x:v>Donor / sponsor</x:v>
      </x:c>
      <x:c r="I73" s="346" t="str">
        <x:v>Protocol stewardship</x:v>
      </x:c>
      <x:c r="J73" s="346" t="str">
        <x:v>No</x:v>
      </x:c>
      <x:c r="K73" s="346" t="str">
        <x:v>No protocol entitlement</x:v>
      </x:c>
      <x:c r="L73" s="346" t="str">
        <x:v>Active</x:v>
      </x:c>
      <x:c r="M73" s="346" t="str">
        <x:v>Continue neutral protocol stewardship</x:v>
      </x:c>
      <x:c r="N73" s="346" t="str">
        <x:v>https://matrix.org/contact/</x:v>
      </x:c>
      <x:c r="O73" s="346" t="str">
        <x:v>2026-09-15</x:v>
      </x:c>
      <x:c r="P73" s="346" t="str">
        <x:v>Separate from provider/client pricing.</x:v>
      </x:c>
      <x:c r="Q73" s="346" t="str">
        <x:v>Primary / first-party source recorded</x:v>
      </x:c>
    </x:row>
    <x:row r="74" ht="34" customHeight="1">
      <x:c r="A74" s="346" t="str">
        <x:v>Matrix</x:v>
      </x:c>
      <x:c r="B74" s="346" t="str">
        <x:v>Intended / Planned</x:v>
      </x:c>
      <x:c r="C74" s="346" t="str">
        <x:v>matrix.org homeserver usage plan</x:v>
      </x:c>
      <x:c r="D74" s="346" t="str">
        <x:v>Premium plan</x:v>
      </x:c>
      <x:c r="E74" s="346" t="str">
        <x:v>Price not finalized</x:v>
      </x:c>
      <x:c r="F74" s="346" t="str">
        <x:v>U/K</x:v>
      </x:c>
      <x:c r="G74" s="346" t="str">
        <x:v>U/K</x:v>
      </x:c>
      <x:c r="H74" s="346" t="str">
        <x:v>matrix.org account</x:v>
      </x:c>
      <x:c r="I74" s="346" t="str">
        <x:v>matrix.org homeserver account</x:v>
      </x:c>
      <x:c r="J74" s="346" t="str">
        <x:v>No</x:v>
      </x:c>
      <x:c r="K74" s="346" t="str">
        <x:v>Higher attachment/data limits and faster invite rate</x:v>
      </x:c>
      <x:c r="L74" s="346" t="str">
        <x:v>Planned</x:v>
      </x:c>
      <x:c r="M74" s="346" t="str">
        <x:v>Pricing will be published when usage plans become available</x:v>
      </x:c>
      <x:c r="N74" s="346" t="str">
        <x:v>https://matrix.org/homeserver/pricing/</x:v>
      </x:c>
      <x:c r="O74" s="346" t="str">
        <x:v>2026-09-15</x:v>
      </x:c>
      <x:c r="P74" s="346" t="str">
        <x:v>Only applies to matrix.org homeserver, not Matrix generally.</x:v>
      </x:c>
      <x:c r="Q74" s="346" t="str">
        <x:v>Primary / first-party source recorded</x:v>
      </x:c>
    </x:row>
    <x:row r="75" ht="34" customHeight="1">
      <x:c r="A75" s="346" t="str">
        <x:v>Kloak</x:v>
      </x:c>
      <x:c r="B75" s="346" t="str">
        <x:v>Current</x:v>
      </x:c>
      <x:c r="C75" s="346" t="str">
        <x:v>Donations</x:v>
      </x:c>
      <x:c r="D75" s="346" t="str">
        <x:v>Self-funding + donations</x:v>
      </x:c>
      <x:c r="E75" s="346" t="str">
        <x:v>User-selected</x:v>
      </x:c>
      <x:c r="F75" s="346" t="str">
        <x:v>U/K</x:v>
      </x:c>
      <x:c r="G75" s="346" t="str">
        <x:v>Donation</x:v>
      </x:c>
      <x:c r="H75" s="346" t="str">
        <x:v>Donor</x:v>
      </x:c>
      <x:c r="I75" s="346" t="str">
        <x:v>Project funding</x:v>
      </x:c>
      <x:c r="J75" s="346" t="str">
        <x:v>No</x:v>
      </x:c>
      <x:c r="K75" s="346" t="str">
        <x:v>No subscription entitlement</x:v>
      </x:c>
      <x:c r="L75" s="346" t="str">
        <x:v>Active</x:v>
      </x:c>
      <x:c r="M75" s="346" t="str">
        <x:v>Kloak states no subscriptions, ads or data harvesting</x:v>
      </x:c>
      <x:c r="N75" s="346" t="str">
        <x:v>https://kloak.app/about</x:v>
      </x:c>
      <x:c r="O75" s="346" t="str">
        <x:v>2026-09-15</x:v>
      </x:c>
      <x:c r="P75" s="346" t="str"/>
      <x:c r="Q75" s="346" t="str">
        <x:v>Primary / first-party source recorded</x:v>
      </x:c>
    </x:row>
    <x:row r="76" ht="34" customHeight="1">
      <x:c r="A76" s="346" t="str">
        <x:v>DCTS</x:v>
      </x:c>
      <x:c r="B76" s="346" t="str">
        <x:v>Current</x:v>
      </x:c>
      <x:c r="C76" s="346" t="str">
        <x:v>Donations</x:v>
      </x:c>
      <x:c r="D76" s="346" t="str">
        <x:v>PayPal / Ko-fi donations</x:v>
      </x:c>
      <x:c r="E76" s="346" t="str">
        <x:v>User-selected</x:v>
      </x:c>
      <x:c r="F76" s="346" t="str">
        <x:v>U/K</x:v>
      </x:c>
      <x:c r="G76" s="346" t="str">
        <x:v>Donation</x:v>
      </x:c>
      <x:c r="H76" s="346" t="str">
        <x:v>Donor</x:v>
      </x:c>
      <x:c r="I76" s="346" t="str">
        <x:v>Project funding</x:v>
      </x:c>
      <x:c r="J76" s="346" t="str">
        <x:v>No</x:v>
      </x:c>
      <x:c r="K76" s="346" t="str">
        <x:v>No paid entitlement</x:v>
      </x:c>
      <x:c r="L76" s="346" t="str">
        <x:v>Active</x:v>
      </x:c>
      <x:c r="M76" s="346" t="str">
        <x:v>Current development donation-funded</x:v>
      </x:c>
      <x:c r="N76" s="346" t="str">
        <x:v>https://docs.dcts.community/</x:v>
      </x:c>
      <x:c r="O76" s="346" t="str">
        <x:v>2026-09-15</x:v>
      </x:c>
      <x:c r="P76" s="346" t="str"/>
      <x:c r="Q76" s="346" t="str">
        <x:v>Primary / first-party source recorded</x:v>
      </x:c>
    </x:row>
    <x:row r="77" ht="34" customHeight="1">
      <x:c r="A77" s="346" t="str">
        <x:v>DCTS</x:v>
      </x:c>
      <x:c r="B77" s="346" t="str">
        <x:v>Intended / Planned</x:v>
      </x:c>
      <x:c r="C77" s="346" t="str">
        <x:v>Managed hosting</x:v>
      </x:c>
      <x:c r="D77" s="346" t="str">
        <x:v>Managed hosting / VPS systems</x:v>
      </x:c>
      <x:c r="E77" s="346" t="str">
        <x:v>U/K</x:v>
      </x:c>
      <x:c r="F77" s="346" t="str">
        <x:v>U/K</x:v>
      </x:c>
      <x:c r="G77" s="346" t="str">
        <x:v>U/K</x:v>
      </x:c>
      <x:c r="H77" s="346" t="str">
        <x:v>Per instance / server</x:v>
      </x:c>
      <x:c r="I77" s="346" t="str">
        <x:v>Community/server</x:v>
      </x:c>
      <x:c r="J77" s="346" t="str">
        <x:v>Yes</x:v>
      </x:c>
      <x:c r="K77" s="346" t="str">
        <x:v>Managed server for less-technical operators</x:v>
      </x:c>
      <x:c r="L77" s="346" t="str">
        <x:v>Planned</x:v>
      </x:c>
      <x:c r="M77" s="346" t="str">
        <x:v>Hosting revenue intended to fund development</x:v>
      </x:c>
      <x:c r="N77" s="346" t="str">
        <x:v>https://docs.dcts.community/Lore/Principles</x:v>
      </x:c>
      <x:c r="O77" s="346" t="str">
        <x:v>2026-09-15</x:v>
      </x:c>
      <x:c r="P77" s="346" t="str"/>
      <x:c r="Q77" s="346" t="str">
        <x:v>Primary / first-party source recorded</x:v>
      </x:c>
    </x:row>
    <x:row r="78" ht="34" customHeight="1">
      <x:c r="A78" s="346" t="str">
        <x:v>pqp.gg</x:v>
      </x:c>
      <x:c r="B78" s="346" t="str">
        <x:v>Current</x:v>
      </x:c>
      <x:c r="C78" s="346" t="str">
        <x:v>Donations</x:v>
      </x:c>
      <x:c r="D78" s="346" t="str">
        <x:v>Project donations</x:v>
      </x:c>
      <x:c r="E78" s="346" t="str">
        <x:v>User-selected</x:v>
      </x:c>
      <x:c r="F78" s="346" t="str">
        <x:v>U/K</x:v>
      </x:c>
      <x:c r="G78" s="346" t="str">
        <x:v>Donation</x:v>
      </x:c>
      <x:c r="H78" s="346" t="str">
        <x:v>Donor</x:v>
      </x:c>
      <x:c r="I78" s="346" t="str">
        <x:v>Project funding</x:v>
      </x:c>
      <x:c r="J78" s="346" t="str">
        <x:v>No</x:v>
      </x:c>
      <x:c r="K78" s="346" t="str">
        <x:v>Donations unlock nothing</x:v>
      </x:c>
      <x:c r="L78" s="346" t="str">
        <x:v>Active</x:v>
      </x:c>
      <x:c r="M78" s="346" t="str">
        <x:v>No paid plan stated</x:v>
      </x:c>
      <x:c r="N78" s="346" t="str">
        <x:v>https://pqp.gg/</x:v>
      </x:c>
      <x:c r="O78" s="346" t="str">
        <x:v>2026-09-15</x:v>
      </x:c>
      <x:c r="P78" s="346" t="str"/>
      <x:c r="Q78" s="346" t="str">
        <x:v>Primary / first-party source recorded</x:v>
      </x:c>
    </x:row>
    <x:row r="79" ht="34" customHeight="1">
      <x:c r="A79" s="346" t="str">
        <x:v>Hollow</x:v>
      </x:c>
      <x:c r="B79" s="346" t="str">
        <x:v>Declared future policy</x:v>
      </x:c>
      <x:c r="C79" s="346" t="str">
        <x:v>No paywalls</x:v>
      </x:c>
      <x:c r="D79" s="346" t="str">
        <x:v>No premium tier</x:v>
      </x:c>
      <x:c r="E79" s="346" t="str">
        <x:v>0</x:v>
      </x:c>
      <x:c r="F79" s="346" t="str">
        <x:v>N/A</x:v>
      </x:c>
      <x:c r="G79" s="346" t="str">
        <x:v>N/A</x:v>
      </x:c>
      <x:c r="H79" s="346" t="str">
        <x:v>N/A</x:v>
      </x:c>
      <x:c r="I79" s="346" t="str">
        <x:v>All users</x:v>
      </x:c>
      <x:c r="J79" s="346" t="str">
        <x:v>No</x:v>
      </x:c>
      <x:c r="K79" s="346" t="str">
        <x:v>All features open</x:v>
      </x:c>
      <x:c r="L79" s="346" t="str">
        <x:v>Declared</x:v>
      </x:c>
      <x:c r="M79" s="346" t="str">
        <x:v>Developer states Hollow will not have paywalls</x:v>
      </x:c>
      <x:c r="N79" s="346" t="str">
        <x:v>https://github.com/VitalikPro13/HOLLOW</x:v>
      </x:c>
      <x:c r="O79" s="346" t="str">
        <x:v>2026-09-15</x:v>
      </x:c>
      <x:c r="P79" s="346" t="str"/>
      <x:c r="Q79" s="346" t="str">
        <x:v>Primary / first-party source recorded</x:v>
      </x:c>
    </x:row>
    <x:row r="80" ht="34" customHeight="1">
      <x:c r="A80" s="346" t="str">
        <x:v>Mezon</x:v>
      </x:c>
      <x:c r="B80" s="346" t="str">
        <x:v>Current</x:v>
      </x:c>
      <x:c r="C80" s="346" t="str">
        <x:v>In-app economy</x:v>
      </x:c>
      <x:c r="D80" s="346" t="str">
        <x:v>Mezon Token / Mezon Dong payments</x:v>
      </x:c>
      <x:c r="E80" s="346" t="str">
        <x:v>Transaction-dependent</x:v>
      </x:c>
      <x:c r="F80" s="346" t="str">
        <x:v>Token / Mezon Dong</x:v>
      </x:c>
      <x:c r="G80" s="346" t="str">
        <x:v>Per transaction</x:v>
      </x:c>
      <x:c r="H80" s="346" t="str">
        <x:v>User / merchant</x:v>
      </x:c>
      <x:c r="I80" s="346" t="str">
        <x:v>Marketplace/economy</x:v>
      </x:c>
      <x:c r="J80" s="346" t="str">
        <x:v>No</x:v>
      </x:c>
      <x:c r="K80" s="346" t="str">
        <x:v>Payments/transfers; communications stay free</x:v>
      </x:c>
      <x:c r="L80" s="346" t="str">
        <x:v>Active</x:v>
      </x:c>
      <x:c r="M80" s="346" t="str">
        <x:v>Marketplace/payment ecosystem may expand</x:v>
      </x:c>
      <x:c r="N80" s="346" t="str">
        <x:v>https://mezon.ai/docs/user/resources/FAQ/</x:v>
      </x:c>
      <x:c r="O80" s="346" t="str">
        <x:v>2026-09-15</x:v>
      </x:c>
      <x:c r="P80" s="346" t="str">
        <x:v>Platform transaction fee is U/K.</x:v>
      </x:c>
      <x:c r="Q80" s="346" t="str">
        <x:v>Primary / first-party source recorded</x:v>
      </x:c>
    </x:row>
    <x:row r="81" ht="34" customHeight="1">
      <x:c r="A81" s="346" t="str">
        <x:v>Valour</x:v>
      </x:c>
      <x:c r="B81" s="346" t="str">
        <x:v>Current</x:v>
      </x:c>
      <x:c r="C81" s="346" t="str">
        <x:v>Supporter subscription</x:v>
      </x:c>
      <x:c r="D81" s="346" t="str">
        <x:v>Stargazer</x:v>
      </x:c>
      <x:c r="E81" s="346" t="str">
        <x:v>Price U/K</x:v>
      </x:c>
      <x:c r="F81" s="346" t="str">
        <x:v>U/K</x:v>
      </x:c>
      <x:c r="G81" s="346" t="str">
        <x:v>Recurring U/K</x:v>
      </x:c>
      <x:c r="H81" s="346" t="str">
        <x:v>Per user/supporter</x:v>
      </x:c>
      <x:c r="I81" s="346" t="str">
        <x:v>Personal account</x:v>
      </x:c>
      <x:c r="J81" s="346" t="str">
        <x:v>No</x:v>
      </x:c>
      <x:c r="K81" s="346" t="str">
        <x:v>Larger uploads; profile flair</x:v>
      </x:c>
      <x:c r="L81" s="346" t="str">
        <x:v>Active / optional</x:v>
      </x:c>
      <x:c r="M81" s="346" t="str">
        <x:v>Support intended to help make Valour sustainable/full-time</x:v>
      </x:c>
      <x:c r="N81" s="346" t="str">
        <x:v>https://valour.gg/faq/</x:v>
      </x:c>
      <x:c r="O81" s="346" t="str">
        <x:v>2026-09-15</x:v>
      </x:c>
      <x:c r="P81" s="346" t="str"/>
      <x:c r="Q81" s="346" t="str">
        <x:v>Primary / first-party source recorded</x:v>
      </x:c>
    </x:row>
    <x:row r="82" ht="34" customHeight="1">
      <x:c r="A82" s="346" t="str">
        <x:v>Echon</x:v>
      </x:c>
      <x:c r="B82" s="346" t="str">
        <x:v>Intended / Planned</x:v>
      </x:c>
      <x:c r="C82" s="346" t="str">
        <x:v>Premium / boost tiers</x:v>
      </x:c>
      <x:c r="D82" s="346" t="str">
        <x:v>Premium / boost tiers</x:v>
      </x:c>
      <x:c r="E82" s="346" t="str">
        <x:v>U/K</x:v>
      </x:c>
      <x:c r="F82" s="346" t="str">
        <x:v>U/K</x:v>
      </x:c>
      <x:c r="G82" s="346" t="str">
        <x:v>U/K</x:v>
      </x:c>
      <x:c r="H82" s="346" t="str">
        <x:v>Scope U/K</x:v>
      </x:c>
      <x:c r="I82" s="346" t="str">
        <x:v>U/K</x:v>
      </x:c>
      <x:c r="J82" s="346" t="str">
        <x:v>U/K</x:v>
      </x:c>
      <x:c r="K82" s="346" t="str">
        <x:v>U/K</x:v>
      </x:c>
      <x:c r="L82" s="346" t="str">
        <x:v>Referenced as when active</x:v>
      </x:c>
      <x:c r="M82" s="346" t="str">
        <x:v>Paid premium/boost features are anticipated</x:v>
      </x:c>
      <x:c r="N82" s="346" t="str">
        <x:v>https://echon-voice.com/privacy</x:v>
      </x:c>
      <x:c r="O82" s="346" t="str">
        <x:v>2026-09-15</x:v>
      </x:c>
      <x:c r="P82" s="346" t="str"/>
      <x:c r="Q82" s="346" t="str">
        <x:v>Primary / first-party source recorded</x:v>
      </x:c>
    </x:row>
    <x:row r="83" ht="34" customHeight="1">
      <x:c r="A83" s="346" t="str">
        <x:v>Loqa</x:v>
      </x:c>
      <x:c r="B83" s="346" t="str">
        <x:v>Current / infrastructure present</x:v>
      </x:c>
      <x:c r="C83" s="346" t="str">
        <x:v>Subscriptions / paid features</x:v>
      </x:c>
      <x:c r="D83" s="346" t="str">
        <x:v>Subscriptions, purchases and paid features</x:v>
      </x:c>
      <x:c r="E83" s="346" t="str">
        <x:v>U/K</x:v>
      </x:c>
      <x:c r="F83" s="346" t="str">
        <x:v>U/K</x:v>
      </x:c>
      <x:c r="G83" s="346" t="str">
        <x:v>U/K</x:v>
      </x:c>
      <x:c r="H83" s="346" t="str">
        <x:v>U/K</x:v>
      </x:c>
      <x:c r="I83" s="346" t="str">
        <x:v>Entitlement / store purchase</x:v>
      </x:c>
      <x:c r="J83" s="346" t="str">
        <x:v>U/K</x:v>
      </x:c>
      <x:c r="K83" s="346" t="str">
        <x:v>U/K</x:v>
      </x:c>
      <x:c r="L83" s="346" t="str">
        <x:v>Policy supports billing flows; live catalog U/K</x:v>
      </x:c>
      <x:c r="M83" s="346" t="str">
        <x:v>Paid surfaces/community-store transactions supported by policy</x:v>
      </x:c>
      <x:c r="N83" s="346" t="str">
        <x:v>https://loqa.chat/privacy/</x:v>
      </x:c>
      <x:c r="O83" s="346" t="str">
        <x:v>2026-09-15</x:v>
      </x:c>
      <x:c r="P83" s="346" t="str"/>
      <x:c r="Q83" s="346" t="str">
        <x:v>Primary / first-party source recorded</x:v>
      </x:c>
    </x:row>
    <x:row r="84" ht="34" customHeight="1">
      <x:c r="A84" s="346" t="str">
        <x:v>Yapper</x:v>
      </x:c>
      <x:c r="B84" s="346" t="str">
        <x:v>Current</x:v>
      </x:c>
      <x:c r="C84" s="346" t="str">
        <x:v>Self-host license</x:v>
      </x:c>
      <x:c r="D84" s="346" t="str">
        <x:v>Maximum Control Self-Hosting License</x:v>
      </x:c>
      <x:c r="E84" s="346" t="str">
        <x:v>0</x:v>
      </x:c>
      <x:c r="F84" s="346" t="str">
        <x:v>USD</x:v>
      </x:c>
      <x:c r="G84" s="346" t="str">
        <x:v>No subscription</x:v>
      </x:c>
      <x:c r="H84" s="346" t="str">
        <x:v>Per self-host server</x:v>
      </x:c>
      <x:c r="I84" s="346" t="str">
        <x:v>Self-host server</x:v>
      </x:c>
      <x:c r="J84" s="346" t="str">
        <x:v>Self-host license</x:v>
      </x:c>
      <x:c r="K84" s="346" t="str">
        <x:v>Full control / unlimited users</x:v>
      </x:c>
      <x:c r="L84" s="346" t="str">
        <x:v>Active</x:v>
      </x:c>
      <x:c r="M84" s="346" t="str">
        <x:v>License model funds development; current self-host license is $0</x:v>
      </x:c>
      <x:c r="N84" s="346" t="str">
        <x:v>https://yapper.gg/pricing</x:v>
      </x:c>
      <x:c r="O84" s="346" t="str">
        <x:v>2026-09-15</x:v>
      </x:c>
      <x:c r="P84" s="346" t="str"/>
      <x:c r="Q84" s="346" t="str">
        <x:v>Primary / first-party source recorded</x:v>
      </x:c>
    </x:row>
    <x:row r="85" ht="34" customHeight="1">
      <x:c r="A85" s="346" t="str">
        <x:v>Weered</x:v>
      </x:c>
      <x:c r="B85" s="346" t="str">
        <x:v>Current</x:v>
      </x:c>
      <x:c r="C85" s="346" t="str">
        <x:v>Community build services</x:v>
      </x:c>
      <x:c r="D85" s="346" t="str">
        <x:v>Crew / League / Network / Larger custom builds</x:v>
      </x:c>
      <x:c r="E85" s="346" t="str">
        <x:v>Quoted</x:v>
      </x:c>
      <x:c r="F85" s="346" t="str">
        <x:v>USD / quote</x:v>
      </x:c>
      <x:c r="G85" s="346" t="str">
        <x:v>Month-to-month</x:v>
      </x:c>
      <x:c r="H85" s="346" t="str">
        <x:v>Per community</x:v>
      </x:c>
      <x:c r="I85" s="346" t="str">
        <x:v>Entire community</x:v>
      </x:c>
      <x:c r="J85" s="346" t="str">
        <x:v>Yes</x:v>
      </x:c>
      <x:c r="K85" s="346" t="str">
        <x:v>Custom bots/features, branding, domain, managed infra</x:v>
      </x:c>
      <x:c r="L85" s="346" t="str">
        <x:v>Active</x:v>
      </x:c>
      <x:c r="M85" s="346" t="str">
        <x:v>First 10 builds: fee waived and rate locked at least 12 months</x:v>
      </x:c>
      <x:c r="N85" s="346" t="str">
        <x:v>https://weered.ca/pricing</x:v>
      </x:c>
      <x:c r="O85" s="346" t="str">
        <x:v>2026-09-15</x:v>
      </x:c>
      <x:c r="P85" s="346" t="str">
        <x:v>Priced by community size, not seats or boosts.</x:v>
      </x:c>
      <x:c r="Q85" s="346" t="str">
        <x:v>Primary / first-party source recorded</x:v>
      </x:c>
    </x:row>
    <x:row r="86" ht="34" customHeight="1">
      <x:c r="A86" s="346" t="str">
        <x:v>Discord</x:v>
      </x:c>
      <x:c r="B86" s="346" t="str">
        <x:v>Intended / Planned</x:v>
      </x:c>
      <x:c r="C86" s="346" t="str">
        <x:v>Future monetization status</x:v>
      </x:c>
      <x:c r="D86" s="346" t="str">
        <x:v>No intended monetization publicly verified</x:v>
      </x:c>
      <x:c r="E86" s="346" t="str">
        <x:v>U/K</x:v>
      </x:c>
      <x:c r="F86" s="346" t="str">
        <x:v>U/K</x:v>
      </x:c>
      <x:c r="G86" s="346" t="str">
        <x:v>U/K</x:v>
      </x:c>
      <x:c r="H86" s="346" t="str">
        <x:v>U/K</x:v>
      </x:c>
      <x:c r="I86" s="346" t="str">
        <x:v>U/K</x:v>
      </x:c>
      <x:c r="J86" s="346" t="str">
        <x:v>U/K</x:v>
      </x:c>
      <x:c r="K86" s="346" t="str">
        <x:v>U/K</x:v>
      </x:c>
      <x:c r="L86" s="346" t="str">
        <x:v>Not publicly announced</x:v>
      </x:c>
      <x:c r="M86" s="346" t="str">
        <x:v>No intended monetization publicly verified</x:v>
      </x:c>
      <x:c r="N86" s="346" t="str">
        <x:v>U/K</x:v>
      </x:c>
      <x:c r="O86" s="346" t="str">
        <x:v>2026-09-15</x:v>
      </x:c>
      <x:c r="P86" s="346" t="str"/>
      <x:c r="Q86" s="346" t="str">
        <x:v>Needs primary-source verification</x:v>
      </x:c>
    </x:row>
    <x:row r="87" ht="34" customHeight="1">
      <x:c r="A87" s="346" t="str">
        <x:v>Stoat</x:v>
      </x:c>
      <x:c r="B87" s="346" t="str">
        <x:v>Intended / Planned</x:v>
      </x:c>
      <x:c r="C87" s="346" t="str">
        <x:v>Future monetization status</x:v>
      </x:c>
      <x:c r="D87" s="346" t="str">
        <x:v>No intended monetization publicly verified</x:v>
      </x:c>
      <x:c r="E87" s="346" t="str">
        <x:v>U/K</x:v>
      </x:c>
      <x:c r="F87" s="346" t="str">
        <x:v>U/K</x:v>
      </x:c>
      <x:c r="G87" s="346" t="str">
        <x:v>U/K</x:v>
      </x:c>
      <x:c r="H87" s="346" t="str">
        <x:v>U/K</x:v>
      </x:c>
      <x:c r="I87" s="346" t="str">
        <x:v>U/K</x:v>
      </x:c>
      <x:c r="J87" s="346" t="str">
        <x:v>U/K</x:v>
      </x:c>
      <x:c r="K87" s="346" t="str">
        <x:v>U/K</x:v>
      </x:c>
      <x:c r="L87" s="346" t="str">
        <x:v>Not publicly announced</x:v>
      </x:c>
      <x:c r="M87" s="346" t="str">
        <x:v>No intended monetization publicly verified</x:v>
      </x:c>
      <x:c r="N87" s="346" t="str">
        <x:v>U/K</x:v>
      </x:c>
      <x:c r="O87" s="346" t="str">
        <x:v>2026-09-15</x:v>
      </x:c>
      <x:c r="P87" s="346" t="str"/>
      <x:c r="Q87" s="346" t="str">
        <x:v>Needs primary-source verification</x:v>
      </x:c>
    </x:row>
    <x:row r="88" ht="34" customHeight="1">
      <x:c r="A88" s="346" t="str">
        <x:v>Fenrid</x:v>
      </x:c>
      <x:c r="B88" s="346" t="str">
        <x:v>Current model</x:v>
      </x:c>
      <x:c r="C88" s="346" t="str">
        <x:v>Current monetization status</x:v>
      </x:c>
      <x:c r="D88" s="346" t="str">
        <x:v>No current paid monetization publicly verified</x:v>
      </x:c>
      <x:c r="E88" s="346" t="str">
        <x:v>U/K</x:v>
      </x:c>
      <x:c r="F88" s="346" t="str">
        <x:v>U/K</x:v>
      </x:c>
      <x:c r="G88" s="346" t="str">
        <x:v>U/K</x:v>
      </x:c>
      <x:c r="H88" s="346" t="str">
        <x:v>U/K</x:v>
      </x:c>
      <x:c r="I88" s="346" t="str">
        <x:v>U/K</x:v>
      </x:c>
      <x:c r="J88" s="346" t="str">
        <x:v>U/K</x:v>
      </x:c>
      <x:c r="K88" s="346" t="str">
        <x:v>U/K</x:v>
      </x:c>
      <x:c r="L88" s="346" t="str">
        <x:v>U/K</x:v>
      </x:c>
      <x:c r="M88" s="346" t="str">
        <x:v>U/K</x:v>
      </x:c>
      <x:c r="N88" s="346" t="str">
        <x:v>U/K</x:v>
      </x:c>
      <x:c r="O88" s="346" t="str">
        <x:v>2026-09-15</x:v>
      </x:c>
      <x:c r="P88" s="346" t="str"/>
      <x:c r="Q88" s="346" t="str">
        <x:v>Needs primary-source verification</x:v>
      </x:c>
    </x:row>
    <x:row r="89" ht="34" customHeight="1">
      <x:c r="A89" s="346" t="str">
        <x:v>Fluxer</x:v>
      </x:c>
      <x:c r="B89" s="346" t="str">
        <x:v>Intended / Planned</x:v>
      </x:c>
      <x:c r="C89" s="346" t="str">
        <x:v>Future monetization status</x:v>
      </x:c>
      <x:c r="D89" s="346" t="str">
        <x:v>No intended monetization publicly verified</x:v>
      </x:c>
      <x:c r="E89" s="346" t="str">
        <x:v>U/K</x:v>
      </x:c>
      <x:c r="F89" s="346" t="str">
        <x:v>U/K</x:v>
      </x:c>
      <x:c r="G89" s="346" t="str">
        <x:v>U/K</x:v>
      </x:c>
      <x:c r="H89" s="346" t="str">
        <x:v>U/K</x:v>
      </x:c>
      <x:c r="I89" s="346" t="str">
        <x:v>U/K</x:v>
      </x:c>
      <x:c r="J89" s="346" t="str">
        <x:v>U/K</x:v>
      </x:c>
      <x:c r="K89" s="346" t="str">
        <x:v>U/K</x:v>
      </x:c>
      <x:c r="L89" s="346" t="str">
        <x:v>Not publicly announced</x:v>
      </x:c>
      <x:c r="M89" s="346" t="str">
        <x:v>No intended monetization publicly verified</x:v>
      </x:c>
      <x:c r="N89" s="346" t="str">
        <x:v>U/K</x:v>
      </x:c>
      <x:c r="O89" s="346" t="str">
        <x:v>2026-09-15</x:v>
      </x:c>
      <x:c r="P89" s="346" t="str"/>
      <x:c r="Q89" s="346" t="str">
        <x:v>Needs primary-source verification</x:v>
      </x:c>
    </x:row>
    <x:row r="90" ht="34" customHeight="1">
      <x:c r="A90" s="346" t="str">
        <x:v>Root</x:v>
      </x:c>
      <x:c r="B90" s="346" t="str">
        <x:v>Intended / Planned</x:v>
      </x:c>
      <x:c r="C90" s="346" t="str">
        <x:v>Future monetization status</x:v>
      </x:c>
      <x:c r="D90" s="346" t="str">
        <x:v>No intended monetization publicly verified</x:v>
      </x:c>
      <x:c r="E90" s="346" t="str">
        <x:v>U/K</x:v>
      </x:c>
      <x:c r="F90" s="346" t="str">
        <x:v>U/K</x:v>
      </x:c>
      <x:c r="G90" s="346" t="str">
        <x:v>U/K</x:v>
      </x:c>
      <x:c r="H90" s="346" t="str">
        <x:v>U/K</x:v>
      </x:c>
      <x:c r="I90" s="346" t="str">
        <x:v>U/K</x:v>
      </x:c>
      <x:c r="J90" s="346" t="str">
        <x:v>U/K</x:v>
      </x:c>
      <x:c r="K90" s="346" t="str">
        <x:v>U/K</x:v>
      </x:c>
      <x:c r="L90" s="346" t="str">
        <x:v>Not publicly announced</x:v>
      </x:c>
      <x:c r="M90" s="346" t="str">
        <x:v>No intended monetization publicly verified</x:v>
      </x:c>
      <x:c r="N90" s="346" t="str">
        <x:v>U/K</x:v>
      </x:c>
      <x:c r="O90" s="346" t="str">
        <x:v>2026-09-15</x:v>
      </x:c>
      <x:c r="P90" s="346" t="str"/>
      <x:c r="Q90" s="346" t="str">
        <x:v>Needs primary-source verification</x:v>
      </x:c>
    </x:row>
    <x:row r="91" ht="34" customHeight="1">
      <x:c r="A91" s="346" t="str">
        <x:v>Spacebar</x:v>
      </x:c>
      <x:c r="B91" s="346" t="str">
        <x:v>Intended / Planned</x:v>
      </x:c>
      <x:c r="C91" s="346" t="str">
        <x:v>Future monetization status</x:v>
      </x:c>
      <x:c r="D91" s="346" t="str">
        <x:v>No intended monetization publicly verified</x:v>
      </x:c>
      <x:c r="E91" s="346" t="str">
        <x:v>U/K</x:v>
      </x:c>
      <x:c r="F91" s="346" t="str">
        <x:v>U/K</x:v>
      </x:c>
      <x:c r="G91" s="346" t="str">
        <x:v>U/K</x:v>
      </x:c>
      <x:c r="H91" s="346" t="str">
        <x:v>U/K</x:v>
      </x:c>
      <x:c r="I91" s="346" t="str">
        <x:v>U/K</x:v>
      </x:c>
      <x:c r="J91" s="346" t="str">
        <x:v>U/K</x:v>
      </x:c>
      <x:c r="K91" s="346" t="str">
        <x:v>U/K</x:v>
      </x:c>
      <x:c r="L91" s="346" t="str">
        <x:v>Not publicly announced</x:v>
      </x:c>
      <x:c r="M91" s="346" t="str">
        <x:v>No intended monetization publicly verified</x:v>
      </x:c>
      <x:c r="N91" s="346" t="str">
        <x:v>U/K</x:v>
      </x:c>
      <x:c r="O91" s="346" t="str">
        <x:v>2026-09-15</x:v>
      </x:c>
      <x:c r="P91" s="346" t="str"/>
      <x:c r="Q91" s="346" t="str">
        <x:v>Needs primary-source verification</x:v>
      </x:c>
    </x:row>
    <x:row r="92" ht="34" customHeight="1">
      <x:c r="A92" s="346" t="str">
        <x:v>Mumble</x:v>
      </x:c>
      <x:c r="B92" s="346" t="str">
        <x:v>Intended / Planned</x:v>
      </x:c>
      <x:c r="C92" s="346" t="str">
        <x:v>Future monetization status</x:v>
      </x:c>
      <x:c r="D92" s="346" t="str">
        <x:v>No intended monetization publicly verified</x:v>
      </x:c>
      <x:c r="E92" s="346" t="str">
        <x:v>U/K</x:v>
      </x:c>
      <x:c r="F92" s="346" t="str">
        <x:v>U/K</x:v>
      </x:c>
      <x:c r="G92" s="346" t="str">
        <x:v>U/K</x:v>
      </x:c>
      <x:c r="H92" s="346" t="str">
        <x:v>U/K</x:v>
      </x:c>
      <x:c r="I92" s="346" t="str">
        <x:v>U/K</x:v>
      </x:c>
      <x:c r="J92" s="346" t="str">
        <x:v>U/K</x:v>
      </x:c>
      <x:c r="K92" s="346" t="str">
        <x:v>U/K</x:v>
      </x:c>
      <x:c r="L92" s="346" t="str">
        <x:v>Not publicly announced</x:v>
      </x:c>
      <x:c r="M92" s="346" t="str">
        <x:v>No intended monetization publicly verified</x:v>
      </x:c>
      <x:c r="N92" s="346" t="str">
        <x:v>U/K</x:v>
      </x:c>
      <x:c r="O92" s="346" t="str">
        <x:v>2026-09-15</x:v>
      </x:c>
      <x:c r="P92" s="346" t="str"/>
      <x:c r="Q92" s="346" t="str">
        <x:v>Needs primary-source verification</x:v>
      </x:c>
    </x:row>
    <x:row r="93" ht="34" customHeight="1">
      <x:c r="A93" s="346" t="str">
        <x:v>TeamSpeak</x:v>
      </x:c>
      <x:c r="B93" s="346" t="str">
        <x:v>Intended / Planned</x:v>
      </x:c>
      <x:c r="C93" s="346" t="str">
        <x:v>Future monetization status</x:v>
      </x:c>
      <x:c r="D93" s="346" t="str">
        <x:v>No intended monetization publicly verified</x:v>
      </x:c>
      <x:c r="E93" s="346" t="str">
        <x:v>U/K</x:v>
      </x:c>
      <x:c r="F93" s="346" t="str">
        <x:v>U/K</x:v>
      </x:c>
      <x:c r="G93" s="346" t="str">
        <x:v>U/K</x:v>
      </x:c>
      <x:c r="H93" s="346" t="str">
        <x:v>U/K</x:v>
      </x:c>
      <x:c r="I93" s="346" t="str">
        <x:v>U/K</x:v>
      </x:c>
      <x:c r="J93" s="346" t="str">
        <x:v>U/K</x:v>
      </x:c>
      <x:c r="K93" s="346" t="str">
        <x:v>U/K</x:v>
      </x:c>
      <x:c r="L93" s="346" t="str">
        <x:v>Not publicly announced</x:v>
      </x:c>
      <x:c r="M93" s="346" t="str">
        <x:v>No intended monetization publicly verified</x:v>
      </x:c>
      <x:c r="N93" s="346" t="str">
        <x:v>U/K</x:v>
      </x:c>
      <x:c r="O93" s="346" t="str">
        <x:v>2026-09-15</x:v>
      </x:c>
      <x:c r="P93" s="346" t="str"/>
      <x:c r="Q93" s="346" t="str">
        <x:v>Needs primary-source verification</x:v>
      </x:c>
    </x:row>
    <x:row r="94" ht="34" customHeight="1">
      <x:c r="A94" s="346" t="str">
        <x:v>Zulip</x:v>
      </x:c>
      <x:c r="B94" s="346" t="str">
        <x:v>Intended / Planned</x:v>
      </x:c>
      <x:c r="C94" s="346" t="str">
        <x:v>Future monetization status</x:v>
      </x:c>
      <x:c r="D94" s="346" t="str">
        <x:v>No intended monetization publicly verified</x:v>
      </x:c>
      <x:c r="E94" s="346" t="str">
        <x:v>U/K</x:v>
      </x:c>
      <x:c r="F94" s="346" t="str">
        <x:v>U/K</x:v>
      </x:c>
      <x:c r="G94" s="346" t="str">
        <x:v>U/K</x:v>
      </x:c>
      <x:c r="H94" s="346" t="str">
        <x:v>U/K</x:v>
      </x:c>
      <x:c r="I94" s="346" t="str">
        <x:v>U/K</x:v>
      </x:c>
      <x:c r="J94" s="346" t="str">
        <x:v>U/K</x:v>
      </x:c>
      <x:c r="K94" s="346" t="str">
        <x:v>U/K</x:v>
      </x:c>
      <x:c r="L94" s="346" t="str">
        <x:v>Not publicly announced</x:v>
      </x:c>
      <x:c r="M94" s="346" t="str">
        <x:v>No intended monetization publicly verified</x:v>
      </x:c>
      <x:c r="N94" s="346" t="str">
        <x:v>U/K</x:v>
      </x:c>
      <x:c r="O94" s="346" t="str">
        <x:v>2026-09-15</x:v>
      </x:c>
      <x:c r="P94" s="346" t="str"/>
      <x:c r="Q94" s="346" t="str">
        <x:v>Needs primary-source verification</x:v>
      </x:c>
    </x:row>
    <x:row r="95" ht="34" customHeight="1">
      <x:c r="A95" s="346" t="str">
        <x:v>Mattermost</x:v>
      </x:c>
      <x:c r="B95" s="346" t="str">
        <x:v>Intended / Planned</x:v>
      </x:c>
      <x:c r="C95" s="346" t="str">
        <x:v>Future monetization status</x:v>
      </x:c>
      <x:c r="D95" s="346" t="str">
        <x:v>No intended monetization publicly verified</x:v>
      </x:c>
      <x:c r="E95" s="346" t="str">
        <x:v>U/K</x:v>
      </x:c>
      <x:c r="F95" s="346" t="str">
        <x:v>U/K</x:v>
      </x:c>
      <x:c r="G95" s="346" t="str">
        <x:v>U/K</x:v>
      </x:c>
      <x:c r="H95" s="346" t="str">
        <x:v>U/K</x:v>
      </x:c>
      <x:c r="I95" s="346" t="str">
        <x:v>U/K</x:v>
      </x:c>
      <x:c r="J95" s="346" t="str">
        <x:v>U/K</x:v>
      </x:c>
      <x:c r="K95" s="346" t="str">
        <x:v>U/K</x:v>
      </x:c>
      <x:c r="L95" s="346" t="str">
        <x:v>Not publicly announced</x:v>
      </x:c>
      <x:c r="M95" s="346" t="str">
        <x:v>No intended monetization publicly verified</x:v>
      </x:c>
      <x:c r="N95" s="346" t="str">
        <x:v>U/K</x:v>
      </x:c>
      <x:c r="O95" s="346" t="str">
        <x:v>2026-09-15</x:v>
      </x:c>
      <x:c r="P95" s="346" t="str"/>
      <x:c r="Q95" s="346" t="str">
        <x:v>Needs primary-source verification</x:v>
      </x:c>
    </x:row>
    <x:row r="96" ht="34" customHeight="1">
      <x:c r="A96" s="346" t="str">
        <x:v>Rocket.Chat</x:v>
      </x:c>
      <x:c r="B96" s="346" t="str">
        <x:v>Intended / Planned</x:v>
      </x:c>
      <x:c r="C96" s="346" t="str">
        <x:v>Future monetization status</x:v>
      </x:c>
      <x:c r="D96" s="346" t="str">
        <x:v>No intended monetization publicly verified</x:v>
      </x:c>
      <x:c r="E96" s="346" t="str">
        <x:v>U/K</x:v>
      </x:c>
      <x:c r="F96" s="346" t="str">
        <x:v>U/K</x:v>
      </x:c>
      <x:c r="G96" s="346" t="str">
        <x:v>U/K</x:v>
      </x:c>
      <x:c r="H96" s="346" t="str">
        <x:v>U/K</x:v>
      </x:c>
      <x:c r="I96" s="346" t="str">
        <x:v>U/K</x:v>
      </x:c>
      <x:c r="J96" s="346" t="str">
        <x:v>U/K</x:v>
      </x:c>
      <x:c r="K96" s="346" t="str">
        <x:v>U/K</x:v>
      </x:c>
      <x:c r="L96" s="346" t="str">
        <x:v>Not publicly announced</x:v>
      </x:c>
      <x:c r="M96" s="346" t="str">
        <x:v>No intended monetization publicly verified</x:v>
      </x:c>
      <x:c r="N96" s="346" t="str">
        <x:v>U/K</x:v>
      </x:c>
      <x:c r="O96" s="346" t="str">
        <x:v>2026-09-15</x:v>
      </x:c>
      <x:c r="P96" s="346" t="str"/>
      <x:c r="Q96" s="346" t="str">
        <x:v>Needs primary-source verification</x:v>
      </x:c>
    </x:row>
    <x:row r="97" ht="34" customHeight="1">
      <x:c r="A97" s="346" t="str">
        <x:v>GameVox</x:v>
      </x:c>
      <x:c r="B97" s="346" t="str">
        <x:v>Intended / Planned</x:v>
      </x:c>
      <x:c r="C97" s="346" t="str">
        <x:v>Future monetization status</x:v>
      </x:c>
      <x:c r="D97" s="346" t="str">
        <x:v>No intended monetization publicly verified</x:v>
      </x:c>
      <x:c r="E97" s="346" t="str">
        <x:v>U/K</x:v>
      </x:c>
      <x:c r="F97" s="346" t="str">
        <x:v>U/K</x:v>
      </x:c>
      <x:c r="G97" s="346" t="str">
        <x:v>U/K</x:v>
      </x:c>
      <x:c r="H97" s="346" t="str">
        <x:v>U/K</x:v>
      </x:c>
      <x:c r="I97" s="346" t="str">
        <x:v>U/K</x:v>
      </x:c>
      <x:c r="J97" s="346" t="str">
        <x:v>U/K</x:v>
      </x:c>
      <x:c r="K97" s="346" t="str">
        <x:v>U/K</x:v>
      </x:c>
      <x:c r="L97" s="346" t="str">
        <x:v>Not publicly announced</x:v>
      </x:c>
      <x:c r="M97" s="346" t="str">
        <x:v>No intended monetization publicly verified</x:v>
      </x:c>
      <x:c r="N97" s="346" t="str">
        <x:v>U/K</x:v>
      </x:c>
      <x:c r="O97" s="346" t="str">
        <x:v>2026-09-15</x:v>
      </x:c>
      <x:c r="P97" s="346" t="str"/>
      <x:c r="Q97" s="346" t="str">
        <x:v>Needs primary-source verification</x:v>
      </x:c>
    </x:row>
    <x:row r="98" ht="34" customHeight="1">
      <x:c r="A98" s="346" t="str">
        <x:v>Nerimity</x:v>
      </x:c>
      <x:c r="B98" s="346" t="str">
        <x:v>Intended / Planned</x:v>
      </x:c>
      <x:c r="C98" s="346" t="str">
        <x:v>Future monetization status</x:v>
      </x:c>
      <x:c r="D98" s="346" t="str">
        <x:v>No intended monetization publicly verified</x:v>
      </x:c>
      <x:c r="E98" s="346" t="str">
        <x:v>U/K</x:v>
      </x:c>
      <x:c r="F98" s="346" t="str">
        <x:v>U/K</x:v>
      </x:c>
      <x:c r="G98" s="346" t="str">
        <x:v>U/K</x:v>
      </x:c>
      <x:c r="H98" s="346" t="str">
        <x:v>U/K</x:v>
      </x:c>
      <x:c r="I98" s="346" t="str">
        <x:v>U/K</x:v>
      </x:c>
      <x:c r="J98" s="346" t="str">
        <x:v>U/K</x:v>
      </x:c>
      <x:c r="K98" s="346" t="str">
        <x:v>U/K</x:v>
      </x:c>
      <x:c r="L98" s="346" t="str">
        <x:v>Not publicly announced</x:v>
      </x:c>
      <x:c r="M98" s="346" t="str">
        <x:v>No intended monetization publicly verified</x:v>
      </x:c>
      <x:c r="N98" s="346" t="str">
        <x:v>U/K</x:v>
      </x:c>
      <x:c r="O98" s="346" t="str">
        <x:v>2026-09-15</x:v>
      </x:c>
      <x:c r="P98" s="346" t="str"/>
      <x:c r="Q98" s="346" t="str">
        <x:v>Needs primary-source verification</x:v>
      </x:c>
    </x:row>
    <x:row r="99" ht="34" customHeight="1">
      <x:c r="A99" s="346" t="str">
        <x:v>Osmium</x:v>
      </x:c>
      <x:c r="B99" s="346" t="str">
        <x:v>Intended / Planned</x:v>
      </x:c>
      <x:c r="C99" s="346" t="str">
        <x:v>Future monetization status</x:v>
      </x:c>
      <x:c r="D99" s="346" t="str">
        <x:v>No intended monetization publicly verified</x:v>
      </x:c>
      <x:c r="E99" s="346" t="str">
        <x:v>U/K</x:v>
      </x:c>
      <x:c r="F99" s="346" t="str">
        <x:v>U/K</x:v>
      </x:c>
      <x:c r="G99" s="346" t="str">
        <x:v>U/K</x:v>
      </x:c>
      <x:c r="H99" s="346" t="str">
        <x:v>U/K</x:v>
      </x:c>
      <x:c r="I99" s="346" t="str">
        <x:v>U/K</x:v>
      </x:c>
      <x:c r="J99" s="346" t="str">
        <x:v>U/K</x:v>
      </x:c>
      <x:c r="K99" s="346" t="str">
        <x:v>U/K</x:v>
      </x:c>
      <x:c r="L99" s="346" t="str">
        <x:v>Not publicly announced</x:v>
      </x:c>
      <x:c r="M99" s="346" t="str">
        <x:v>No intended monetization publicly verified</x:v>
      </x:c>
      <x:c r="N99" s="346" t="str">
        <x:v>U/K</x:v>
      </x:c>
      <x:c r="O99" s="346" t="str">
        <x:v>2026-09-15</x:v>
      </x:c>
      <x:c r="P99" s="346" t="str"/>
      <x:c r="Q99" s="346" t="str">
        <x:v>Needs primary-source verification</x:v>
      </x:c>
    </x:row>
    <x:row r="100" ht="34" customHeight="1">
      <x:c r="A100" s="346" t="str">
        <x:v>Loqa</x:v>
      </x:c>
      <x:c r="B100" s="346" t="str">
        <x:v>Intended / Planned</x:v>
      </x:c>
      <x:c r="C100" s="346" t="str">
        <x:v>Future monetization status</x:v>
      </x:c>
      <x:c r="D100" s="346" t="str">
        <x:v>No intended monetization publicly verified</x:v>
      </x:c>
      <x:c r="E100" s="346" t="str">
        <x:v>U/K</x:v>
      </x:c>
      <x:c r="F100" s="346" t="str">
        <x:v>U/K</x:v>
      </x:c>
      <x:c r="G100" s="346" t="str">
        <x:v>U/K</x:v>
      </x:c>
      <x:c r="H100" s="346" t="str">
        <x:v>U/K</x:v>
      </x:c>
      <x:c r="I100" s="346" t="str">
        <x:v>U/K</x:v>
      </x:c>
      <x:c r="J100" s="346" t="str">
        <x:v>U/K</x:v>
      </x:c>
      <x:c r="K100" s="346" t="str">
        <x:v>U/K</x:v>
      </x:c>
      <x:c r="L100" s="346" t="str">
        <x:v>Not publicly announced</x:v>
      </x:c>
      <x:c r="M100" s="346" t="str">
        <x:v>No intended monetization publicly verified</x:v>
      </x:c>
      <x:c r="N100" s="346" t="str">
        <x:v>U/K</x:v>
      </x:c>
      <x:c r="O100" s="346" t="str">
        <x:v>2026-09-15</x:v>
      </x:c>
      <x:c r="P100" s="346" t="str"/>
      <x:c r="Q100" s="346" t="str">
        <x:v>Needs primary-source verification</x:v>
      </x:c>
    </x:row>
    <x:row r="101" ht="34" customHeight="1">
      <x:c r="A101" s="346" t="str">
        <x:v>Venta</x:v>
      </x:c>
      <x:c r="B101" s="346" t="str">
        <x:v>Intended / Planned</x:v>
      </x:c>
      <x:c r="C101" s="346" t="str">
        <x:v>Future monetization status</x:v>
      </x:c>
      <x:c r="D101" s="346" t="str">
        <x:v>No intended monetization publicly verified</x:v>
      </x:c>
      <x:c r="E101" s="346" t="str">
        <x:v>U/K</x:v>
      </x:c>
      <x:c r="F101" s="346" t="str">
        <x:v>U/K</x:v>
      </x:c>
      <x:c r="G101" s="346" t="str">
        <x:v>U/K</x:v>
      </x:c>
      <x:c r="H101" s="346" t="str">
        <x:v>U/K</x:v>
      </x:c>
      <x:c r="I101" s="346" t="str">
        <x:v>U/K</x:v>
      </x:c>
      <x:c r="J101" s="346" t="str">
        <x:v>U/K</x:v>
      </x:c>
      <x:c r="K101" s="346" t="str">
        <x:v>U/K</x:v>
      </x:c>
      <x:c r="L101" s="346" t="str">
        <x:v>Not publicly announced</x:v>
      </x:c>
      <x:c r="M101" s="346" t="str">
        <x:v>No intended monetization publicly verified</x:v>
      </x:c>
      <x:c r="N101" s="346" t="str">
        <x:v>U/K</x:v>
      </x:c>
      <x:c r="O101" s="346" t="str">
        <x:v>2026-09-15</x:v>
      </x:c>
      <x:c r="P101" s="346" t="str"/>
      <x:c r="Q101" s="346" t="str">
        <x:v>Needs primary-source verification</x:v>
      </x:c>
    </x:row>
    <x:row r="102" ht="34" customHeight="1">
      <x:c r="A102" s="346" t="str">
        <x:v>Mezon</x:v>
      </x:c>
      <x:c r="B102" s="346" t="str">
        <x:v>Intended / Planned</x:v>
      </x:c>
      <x:c r="C102" s="346" t="str">
        <x:v>Future monetization status</x:v>
      </x:c>
      <x:c r="D102" s="346" t="str">
        <x:v>No intended monetization publicly verified</x:v>
      </x:c>
      <x:c r="E102" s="346" t="str">
        <x:v>U/K</x:v>
      </x:c>
      <x:c r="F102" s="346" t="str">
        <x:v>U/K</x:v>
      </x:c>
      <x:c r="G102" s="346" t="str">
        <x:v>U/K</x:v>
      </x:c>
      <x:c r="H102" s="346" t="str">
        <x:v>U/K</x:v>
      </x:c>
      <x:c r="I102" s="346" t="str">
        <x:v>U/K</x:v>
      </x:c>
      <x:c r="J102" s="346" t="str">
        <x:v>U/K</x:v>
      </x:c>
      <x:c r="K102" s="346" t="str">
        <x:v>U/K</x:v>
      </x:c>
      <x:c r="L102" s="346" t="str">
        <x:v>Not publicly announced</x:v>
      </x:c>
      <x:c r="M102" s="346" t="str">
        <x:v>No intended monetization publicly verified</x:v>
      </x:c>
      <x:c r="N102" s="346" t="str">
        <x:v>U/K</x:v>
      </x:c>
      <x:c r="O102" s="346" t="str">
        <x:v>2026-09-15</x:v>
      </x:c>
      <x:c r="P102" s="346" t="str"/>
      <x:c r="Q102" s="346" t="str">
        <x:v>Needs primary-source verification</x:v>
      </x:c>
    </x:row>
    <x:row r="103" ht="34" customHeight="1">
      <x:c r="A103" s="346" t="str">
        <x:v>Kloak</x:v>
      </x:c>
      <x:c r="B103" s="346" t="str">
        <x:v>Intended / Planned</x:v>
      </x:c>
      <x:c r="C103" s="346" t="str">
        <x:v>Future monetization status</x:v>
      </x:c>
      <x:c r="D103" s="346" t="str">
        <x:v>No intended monetization publicly verified</x:v>
      </x:c>
      <x:c r="E103" s="346" t="str">
        <x:v>U/K</x:v>
      </x:c>
      <x:c r="F103" s="346" t="str">
        <x:v>U/K</x:v>
      </x:c>
      <x:c r="G103" s="346" t="str">
        <x:v>U/K</x:v>
      </x:c>
      <x:c r="H103" s="346" t="str">
        <x:v>U/K</x:v>
      </x:c>
      <x:c r="I103" s="346" t="str">
        <x:v>U/K</x:v>
      </x:c>
      <x:c r="J103" s="346" t="str">
        <x:v>U/K</x:v>
      </x:c>
      <x:c r="K103" s="346" t="str">
        <x:v>U/K</x:v>
      </x:c>
      <x:c r="L103" s="346" t="str">
        <x:v>Not publicly announced</x:v>
      </x:c>
      <x:c r="M103" s="346" t="str">
        <x:v>No intended monetization publicly verified</x:v>
      </x:c>
      <x:c r="N103" s="346" t="str">
        <x:v>U/K</x:v>
      </x:c>
      <x:c r="O103" s="346" t="str">
        <x:v>2026-09-15</x:v>
      </x:c>
      <x:c r="P103" s="346" t="str"/>
      <x:c r="Q103" s="346" t="str">
        <x:v>Needs primary-source verification</x:v>
      </x:c>
    </x:row>
    <x:row r="104" ht="34" customHeight="1">
      <x:c r="A104" s="346" t="str">
        <x:v>Yapper</x:v>
      </x:c>
      <x:c r="B104" s="346" t="str">
        <x:v>Intended / Planned</x:v>
      </x:c>
      <x:c r="C104" s="346" t="str">
        <x:v>Future monetization status</x:v>
      </x:c>
      <x:c r="D104" s="346" t="str">
        <x:v>No intended monetization publicly verified</x:v>
      </x:c>
      <x:c r="E104" s="346" t="str">
        <x:v>U/K</x:v>
      </x:c>
      <x:c r="F104" s="346" t="str">
        <x:v>U/K</x:v>
      </x:c>
      <x:c r="G104" s="346" t="str">
        <x:v>U/K</x:v>
      </x:c>
      <x:c r="H104" s="346" t="str">
        <x:v>U/K</x:v>
      </x:c>
      <x:c r="I104" s="346" t="str">
        <x:v>U/K</x:v>
      </x:c>
      <x:c r="J104" s="346" t="str">
        <x:v>U/K</x:v>
      </x:c>
      <x:c r="K104" s="346" t="str">
        <x:v>U/K</x:v>
      </x:c>
      <x:c r="L104" s="346" t="str">
        <x:v>Not publicly announced</x:v>
      </x:c>
      <x:c r="M104" s="346" t="str">
        <x:v>No intended monetization publicly verified</x:v>
      </x:c>
      <x:c r="N104" s="346" t="str">
        <x:v>U/K</x:v>
      </x:c>
      <x:c r="O104" s="346" t="str">
        <x:v>2026-09-15</x:v>
      </x:c>
      <x:c r="P104" s="346" t="str"/>
      <x:c r="Q104" s="346" t="str">
        <x:v>Needs primary-source verification</x:v>
      </x:c>
    </x:row>
    <x:row r="105" ht="34" customHeight="1">
      <x:c r="A105" s="346" t="str">
        <x:v>Harmony</x:v>
      </x:c>
      <x:c r="B105" s="346" t="str">
        <x:v>Intended / Planned</x:v>
      </x:c>
      <x:c r="C105" s="346" t="str">
        <x:v>Future monetization status</x:v>
      </x:c>
      <x:c r="D105" s="346" t="str">
        <x:v>No intended monetization publicly verified</x:v>
      </x:c>
      <x:c r="E105" s="346" t="str">
        <x:v>U/K</x:v>
      </x:c>
      <x:c r="F105" s="346" t="str">
        <x:v>U/K</x:v>
      </x:c>
      <x:c r="G105" s="346" t="str">
        <x:v>U/K</x:v>
      </x:c>
      <x:c r="H105" s="346" t="str">
        <x:v>U/K</x:v>
      </x:c>
      <x:c r="I105" s="346" t="str">
        <x:v>U/K</x:v>
      </x:c>
      <x:c r="J105" s="346" t="str">
        <x:v>U/K</x:v>
      </x:c>
      <x:c r="K105" s="346" t="str">
        <x:v>U/K</x:v>
      </x:c>
      <x:c r="L105" s="346" t="str">
        <x:v>Not publicly announced</x:v>
      </x:c>
      <x:c r="M105" s="346" t="str">
        <x:v>No intended monetization publicly verified</x:v>
      </x:c>
      <x:c r="N105" s="346" t="str">
        <x:v>U/K</x:v>
      </x:c>
      <x:c r="O105" s="346" t="str">
        <x:v>2026-09-15</x:v>
      </x:c>
      <x:c r="P105" s="346" t="str"/>
      <x:c r="Q105" s="346" t="str">
        <x:v>Needs primary-source verification</x:v>
      </x:c>
    </x:row>
    <x:row r="106" ht="34" customHeight="1">
      <x:c r="A106" s="346" t="str">
        <x:v>Roomy</x:v>
      </x:c>
      <x:c r="B106" s="346" t="str">
        <x:v>Intended / Planned</x:v>
      </x:c>
      <x:c r="C106" s="346" t="str">
        <x:v>Future monetization status</x:v>
      </x:c>
      <x:c r="D106" s="346" t="str">
        <x:v>No intended monetization publicly verified</x:v>
      </x:c>
      <x:c r="E106" s="346" t="str">
        <x:v>U/K</x:v>
      </x:c>
      <x:c r="F106" s="346" t="str">
        <x:v>U/K</x:v>
      </x:c>
      <x:c r="G106" s="346" t="str">
        <x:v>U/K</x:v>
      </x:c>
      <x:c r="H106" s="346" t="str">
        <x:v>U/K</x:v>
      </x:c>
      <x:c r="I106" s="346" t="str">
        <x:v>U/K</x:v>
      </x:c>
      <x:c r="J106" s="346" t="str">
        <x:v>U/K</x:v>
      </x:c>
      <x:c r="K106" s="346" t="str">
        <x:v>U/K</x:v>
      </x:c>
      <x:c r="L106" s="346" t="str">
        <x:v>Not publicly announced</x:v>
      </x:c>
      <x:c r="M106" s="346" t="str">
        <x:v>No intended monetization publicly verified</x:v>
      </x:c>
      <x:c r="N106" s="346" t="str">
        <x:v>U/K</x:v>
      </x:c>
      <x:c r="O106" s="346" t="str">
        <x:v>2026-09-15</x:v>
      </x:c>
      <x:c r="P106" s="346" t="str"/>
      <x:c r="Q106" s="346" t="str">
        <x:v>Needs primary-source verification</x:v>
      </x:c>
    </x:row>
    <x:row r="107" ht="34" customHeight="1">
      <x:c r="A107" s="346" t="str">
        <x:v>Armada</x:v>
      </x:c>
      <x:c r="B107" s="346" t="str">
        <x:v>Intended / Planned</x:v>
      </x:c>
      <x:c r="C107" s="346" t="str">
        <x:v>Future monetization status</x:v>
      </x:c>
      <x:c r="D107" s="346" t="str">
        <x:v>No intended monetization publicly verified</x:v>
      </x:c>
      <x:c r="E107" s="346" t="str">
        <x:v>U/K</x:v>
      </x:c>
      <x:c r="F107" s="346" t="str">
        <x:v>U/K</x:v>
      </x:c>
      <x:c r="G107" s="346" t="str">
        <x:v>U/K</x:v>
      </x:c>
      <x:c r="H107" s="346" t="str">
        <x:v>U/K</x:v>
      </x:c>
      <x:c r="I107" s="346" t="str">
        <x:v>U/K</x:v>
      </x:c>
      <x:c r="J107" s="346" t="str">
        <x:v>U/K</x:v>
      </x:c>
      <x:c r="K107" s="346" t="str">
        <x:v>U/K</x:v>
      </x:c>
      <x:c r="L107" s="346" t="str">
        <x:v>Not publicly announced</x:v>
      </x:c>
      <x:c r="M107" s="346" t="str">
        <x:v>No intended monetization publicly verified</x:v>
      </x:c>
      <x:c r="N107" s="346" t="str">
        <x:v>U/K</x:v>
      </x:c>
      <x:c r="O107" s="346" t="str">
        <x:v>2026-09-15</x:v>
      </x:c>
      <x:c r="P107" s="346" t="str"/>
      <x:c r="Q107" s="346" t="str">
        <x:v>Needs primary-source verification</x:v>
      </x:c>
    </x:row>
    <x:row r="108" ht="34" customHeight="1">
      <x:c r="A108" s="346" t="str">
        <x:v>Rift</x:v>
      </x:c>
      <x:c r="B108" s="346" t="str">
        <x:v>Intended / Planned</x:v>
      </x:c>
      <x:c r="C108" s="346" t="str">
        <x:v>Future monetization status</x:v>
      </x:c>
      <x:c r="D108" s="346" t="str">
        <x:v>No intended monetization publicly verified</x:v>
      </x:c>
      <x:c r="E108" s="346" t="str">
        <x:v>U/K</x:v>
      </x:c>
      <x:c r="F108" s="346" t="str">
        <x:v>U/K</x:v>
      </x:c>
      <x:c r="G108" s="346" t="str">
        <x:v>U/K</x:v>
      </x:c>
      <x:c r="H108" s="346" t="str">
        <x:v>U/K</x:v>
      </x:c>
      <x:c r="I108" s="346" t="str">
        <x:v>U/K</x:v>
      </x:c>
      <x:c r="J108" s="346" t="str">
        <x:v>U/K</x:v>
      </x:c>
      <x:c r="K108" s="346" t="str">
        <x:v>U/K</x:v>
      </x:c>
      <x:c r="L108" s="346" t="str">
        <x:v>Not publicly announced</x:v>
      </x:c>
      <x:c r="M108" s="346" t="str">
        <x:v>No intended monetization publicly verified</x:v>
      </x:c>
      <x:c r="N108" s="346" t="str">
        <x:v>U/K</x:v>
      </x:c>
      <x:c r="O108" s="346" t="str">
        <x:v>2026-09-15</x:v>
      </x:c>
      <x:c r="P108" s="346" t="str"/>
      <x:c r="Q108" s="346" t="str">
        <x:v>Needs primary-source verification</x:v>
      </x:c>
    </x:row>
    <x:row r="109" ht="34" customHeight="1">
      <x:c r="A109" s="346" t="str">
        <x:v>pqp.gg</x:v>
      </x:c>
      <x:c r="B109" s="346" t="str">
        <x:v>Intended / Planned</x:v>
      </x:c>
      <x:c r="C109" s="346" t="str">
        <x:v>Future monetization status</x:v>
      </x:c>
      <x:c r="D109" s="346" t="str">
        <x:v>No intended monetization publicly verified</x:v>
      </x:c>
      <x:c r="E109" s="346" t="str">
        <x:v>U/K</x:v>
      </x:c>
      <x:c r="F109" s="346" t="str">
        <x:v>U/K</x:v>
      </x:c>
      <x:c r="G109" s="346" t="str">
        <x:v>U/K</x:v>
      </x:c>
      <x:c r="H109" s="346" t="str">
        <x:v>U/K</x:v>
      </x:c>
      <x:c r="I109" s="346" t="str">
        <x:v>U/K</x:v>
      </x:c>
      <x:c r="J109" s="346" t="str">
        <x:v>U/K</x:v>
      </x:c>
      <x:c r="K109" s="346" t="str">
        <x:v>U/K</x:v>
      </x:c>
      <x:c r="L109" s="346" t="str">
        <x:v>Not publicly announced</x:v>
      </x:c>
      <x:c r="M109" s="346" t="str">
        <x:v>No intended monetization publicly verified</x:v>
      </x:c>
      <x:c r="N109" s="346" t="str">
        <x:v>U/K</x:v>
      </x:c>
      <x:c r="O109" s="346" t="str">
        <x:v>2026-09-15</x:v>
      </x:c>
      <x:c r="P109" s="346" t="str"/>
      <x:c r="Q109" s="346" t="str">
        <x:v>Needs primary-source verification</x:v>
      </x:c>
    </x:row>
    <x:row r="110" ht="34" customHeight="1">
      <x:c r="A110" s="346" t="str">
        <x:v>Valour</x:v>
      </x:c>
      <x:c r="B110" s="346" t="str">
        <x:v>Intended / Planned</x:v>
      </x:c>
      <x:c r="C110" s="346" t="str">
        <x:v>Future monetization status</x:v>
      </x:c>
      <x:c r="D110" s="346" t="str">
        <x:v>No intended monetization publicly verified</x:v>
      </x:c>
      <x:c r="E110" s="346" t="str">
        <x:v>U/K</x:v>
      </x:c>
      <x:c r="F110" s="346" t="str">
        <x:v>U/K</x:v>
      </x:c>
      <x:c r="G110" s="346" t="str">
        <x:v>U/K</x:v>
      </x:c>
      <x:c r="H110" s="346" t="str">
        <x:v>U/K</x:v>
      </x:c>
      <x:c r="I110" s="346" t="str">
        <x:v>U/K</x:v>
      </x:c>
      <x:c r="J110" s="346" t="str">
        <x:v>U/K</x:v>
      </x:c>
      <x:c r="K110" s="346" t="str">
        <x:v>U/K</x:v>
      </x:c>
      <x:c r="L110" s="346" t="str">
        <x:v>Not publicly announced</x:v>
      </x:c>
      <x:c r="M110" s="346" t="str">
        <x:v>No intended monetization publicly verified</x:v>
      </x:c>
      <x:c r="N110" s="346" t="str">
        <x:v>U/K</x:v>
      </x:c>
      <x:c r="O110" s="346" t="str">
        <x:v>2026-09-15</x:v>
      </x:c>
      <x:c r="P110" s="346" t="str"/>
      <x:c r="Q110" s="346" t="str">
        <x:v>Needs primary-source verification</x:v>
      </x:c>
    </x:row>
    <x:row r="111" ht="34" customHeight="1">
      <x:c r="A111" s="346" t="str">
        <x:v>Weered</x:v>
      </x:c>
      <x:c r="B111" s="346" t="str">
        <x:v>Intended / Planned</x:v>
      </x:c>
      <x:c r="C111" s="346" t="str">
        <x:v>Future monetization status</x:v>
      </x:c>
      <x:c r="D111" s="346" t="str">
        <x:v>No intended monetization publicly verified</x:v>
      </x:c>
      <x:c r="E111" s="346" t="str">
        <x:v>U/K</x:v>
      </x:c>
      <x:c r="F111" s="346" t="str">
        <x:v>U/K</x:v>
      </x:c>
      <x:c r="G111" s="346" t="str">
        <x:v>U/K</x:v>
      </x:c>
      <x:c r="H111" s="346" t="str">
        <x:v>U/K</x:v>
      </x:c>
      <x:c r="I111" s="346" t="str">
        <x:v>U/K</x:v>
      </x:c>
      <x:c r="J111" s="346" t="str">
        <x:v>U/K</x:v>
      </x:c>
      <x:c r="K111" s="346" t="str">
        <x:v>U/K</x:v>
      </x:c>
      <x:c r="L111" s="346" t="str">
        <x:v>Not publicly announced</x:v>
      </x:c>
      <x:c r="M111" s="346" t="str">
        <x:v>No intended monetization publicly verified</x:v>
      </x:c>
      <x:c r="N111" s="346" t="str">
        <x:v>U/K</x:v>
      </x:c>
      <x:c r="O111" s="346" t="str">
        <x:v>2026-09-15</x:v>
      </x:c>
      <x:c r="P111" s="346" t="str"/>
      <x:c r="Q111" s="346" t="str">
        <x:v>Needs primary-source verification</x:v>
      </x:c>
    </x:row>
  </x:sheetData>
  <x:mergeCells>
    <x:mergeCell ref="A1:P1"/>
    <x:mergeCell ref="A1:Q1"/>
  </x:mergeCells>
  <x:conditionalFormatting sqref="B3:B111">
    <x:cfRule type="expression" dxfId="94" priority="1">
      <x:formula>OR(ISNUMBER(SEARCH("Intended",B3)),ISNUMBER(SEARCH("Planned",B3)))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48dc7eddbdf432e"/>
  </x:tableParts>
</x:worksheet>
</file>

<file path=xl/worksheets/sheet4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6" hidden="0" customWidth="1"/>
    <x:col min="3" max="3" width="52" hidden="0" customWidth="1"/>
    <x:col min="4" max="4" width="30" hidden="0" customWidth="1"/>
    <x:col min="5" max="5" width="32" hidden="0" customWidth="1"/>
    <x:col min="6" max="6" width="18" hidden="0" customWidth="1"/>
    <x:col min="7" max="7" width="42" hidden="0" customWidth="1"/>
    <x:col min="8" max="8" width="22" hidden="0" customWidth="1"/>
    <x:col min="9" max="9" width="34" hidden="0" customWidth="1"/>
    <x:col min="10" max="10" width="28" hidden="0" customWidth="1"/>
    <x:col min="11" max="11" width="36" hidden="0" customWidth="1"/>
    <x:col min="12" max="12" width="52" hidden="0" customWidth="1"/>
    <x:col min="13" max="13" width="30" hidden="0" customWidth="1"/>
    <x:col min="14" max="14" width="52" hidden="0" customWidth="1"/>
    <x:col min="15" max="15" width="22" hidden="0" customWidth="1"/>
    <x:col min="16" max="16" width="24" hidden="0" customWidth="1"/>
    <x:col min="17" max="17" width="44" hidden="0" customWidth="1"/>
    <x:col min="18" max="18" width="36" hidden="0" customWidth="1"/>
    <x:col min="19" max="19" width="30" hidden="0" customWidth="1"/>
    <x:col min="20" max="20" width="50" hidden="0" customWidth="1"/>
    <x:col min="21" max="21" width="44" hidden="0" customWidth="1"/>
    <x:col min="22" max="22" width="40" hidden="0" customWidth="1"/>
    <x:col min="23" max="23" width="52" hidden="0" customWidth="1"/>
    <x:col min="24" max="24" width="14" hidden="0" customWidth="1"/>
    <x:col min="25" max="25" width="34" hidden="0" customWidth="1"/>
  </x:cols>
  <x:sheetData>
    <x:row r="1" ht="28" customHeight="1">
      <x:c r="A1" s="437" t="str">
        <x:v>Terms &amp; Privacy - general policy comparison, with hosted vs self-host scope called out</x:v>
      </x:c>
      <x:c r="B1" s="437"/>
      <x:c r="C1" s="437"/>
      <x:c r="D1" s="437"/>
      <x:c r="E1" s="437"/>
      <x:c r="F1" s="437"/>
      <x:c r="G1" s="437"/>
      <x:c r="H1" s="437"/>
      <x:c r="I1" s="437"/>
      <x:c r="J1" s="437"/>
      <x:c r="K1" s="437"/>
      <x:c r="L1" s="437"/>
      <x:c r="M1" s="437"/>
      <x:c r="N1" s="437"/>
      <x:c r="O1" s="437"/>
      <x:c r="P1" s="437"/>
      <x:c r="Q1" s="437"/>
      <x:c r="R1" s="437"/>
      <x:c r="S1" s="437"/>
      <x:c r="T1" s="437"/>
      <x:c r="U1" s="437"/>
      <x:c r="V1" s="437"/>
      <x:c r="W1" s="437"/>
      <x:c r="X1" s="437"/>
      <x:c r="Y1" s="437"/>
    </x:row>
    <x:row r="2" ht="34" customHeight="1">
      <x:c r="A2" s="420" t="str">
        <x:v>Platform</x:v>
      </x:c>
      <x:c r="B2" s="420" t="str">
        <x:v>Policy Scope / Service Model</x:v>
      </x:c>
      <x:c r="C2" s="420" t="str">
        <x:v>Terms / Legal URL</x:v>
      </x:c>
      <x:c r="D2" s="420" t="str">
        <x:v>Terms Status / Effective</x:v>
      </x:c>
      <x:c r="E2" s="420" t="str">
        <x:v>Minimum Age</x:v>
      </x:c>
      <x:c r="F2" s="420" t="str">
        <x:v>User Owns Content?</x:v>
      </x:c>
      <x:c r="G2" s="420" t="str">
        <x:v>License Granted to Platform</x:v>
      </x:c>
      <x:c r="H2" s="420" t="str">
        <x:v>Platform Can Suspend / Terminate?</x:v>
      </x:c>
      <x:c r="I2" s="420" t="str">
        <x:v>Arbitration / Class Waiver</x:v>
      </x:c>
      <x:c r="J2" s="420" t="str">
        <x:v>Governing Law / Jurisdiction</x:v>
      </x:c>
      <x:c r="K2" s="420" t="str">
        <x:v>Paid Auto-Renew / Refund Terms</x:v>
      </x:c>
      <x:c r="L2" s="420" t="str">
        <x:v>Privacy Policy URL</x:v>
      </x:c>
      <x:c r="M2" s="420" t="str">
        <x:v>Privacy Status / Effective</x:v>
      </x:c>
      <x:c r="N2" s="420" t="str">
        <x:v>Data Collected - General</x:v>
      </x:c>
      <x:c r="O2" s="420" t="str">
        <x:v>Sells Personal Data?</x:v>
      </x:c>
      <x:c r="P2" s="420" t="str">
        <x:v>Ads / Behavioral Tracking?</x:v>
      </x:c>
      <x:c r="Q2" s="420" t="str">
        <x:v>AI / Model Training Policy</x:v>
      </x:c>
      <x:c r="R2" s="420" t="str">
        <x:v>Can Service Read Stored Message Text?</x:v>
      </x:c>
      <x:c r="S2" s="420" t="str">
        <x:v>IP Address Handling</x:v>
      </x:c>
      <x:c r="T2" s="420" t="str">
        <x:v>Deletion / Retention Summary</x:v>
      </x:c>
      <x:c r="U2" s="420" t="str">
        <x:v>Third-Party Processors / Hosting</x:v>
      </x:c>
      <x:c r="V2" s="420" t="str">
        <x:v>Self-Hosted Policy Applicability</x:v>
      </x:c>
      <x:c r="W2" s="420" t="str">
        <x:v>General Policy Notes</x:v>
      </x:c>
      <x:c r="X2" s="420" t="str">
        <x:v>Last Checked</x:v>
      </x:c>
      <x:c r="Y2" s="420" t="str">
        <x:v>Evidence Status</x:v>
      </x:c>
    </x:row>
    <x:row r="3" ht="34" customHeight="1">
      <x:c r="A3" s="346" t="str">
        <x:v>Discord</x:v>
      </x:c>
      <x:c r="B3" s="346" t="str">
        <x:v>Discord-operated centralized service</x:v>
      </x:c>
      <x:c r="C3" s="346" t="str">
        <x:v>https://discord.com/terms</x:v>
      </x:c>
      <x:c r="D3" s="346" t="str">
        <x:v>Current terms effective 2025-09-29</x:v>
      </x:c>
      <x:c r="E3" s="346" t="str">
        <x:v>13+ and local minimum age; guardian consent where required</x:v>
      </x:c>
      <x:c r="F3" s="346" t="str">
        <x:v>Yes</x:v>
      </x:c>
      <x:c r="G3" s="346" t="str">
        <x:v>Broad non-exclusive license to operate, develop and improve services</x:v>
      </x:c>
      <x:c r="H3" s="346" t="str">
        <x:v>Yes</x:v>
      </x:c>
      <x:c r="I3" s="346" t="str">
        <x:v>Yes for U.S. users; arbitration/class-action waiver with opt-out process</x:v>
      </x:c>
      <x:c r="J3" s="346" t="str">
        <x:v>U/K</x:v>
      </x:c>
      <x:c r="K3" s="346" t="str">
        <x:v>Subscriptions auto-renew; refund eligibility depends on product/policy and may be case-by-case</x:v>
      </x:c>
      <x:c r="L3" s="346" t="str">
        <x:v>https://discord.com/privacy</x:v>
      </x:c>
      <x:c r="M3" s="346" t="str">
        <x:v>Effective 2025-09-29</x:v>
      </x:c>
      <x:c r="N3" s="346" t="str">
        <x:v>Account, content, activity, device, payment and network/use information</x:v>
      </x:c>
      <x:c r="O3" s="346" t="str">
        <x:v>No</x:v>
      </x:c>
      <x:c r="P3" s="346" t="str">
        <x:v>Sponsored content exists; Discord says it does not sell personal information</x:v>
      </x:c>
      <x:c r="Q3" s="346" t="str">
        <x:v>May use content in larger spaces to improve services incl. ML; Discord says AI companies may not train on user messages</x:v>
      </x:c>
      <x:c r="R3" s="346" t="str">
        <x:v>Yes for text; voice/video generally transient and DAVE-E2EE except Stage cases</x:v>
      </x:c>
      <x:c r="S3" s="346" t="str">
        <x:v>IP/device/network information collected</x:v>
      </x:c>
      <x:c r="T3" s="346" t="str">
        <x:v>Retention varies by data type; deletion subject to legal/safety exceptions</x:v>
      </x:c>
      <x:c r="U3" s="346" t="str">
        <x:v>Cloud, payments, safety, analytics and other service providers</x:v>
      </x:c>
      <x:c r="V3" s="346" t="str">
        <x:v>N/A - no official self-hosting</x:v>
      </x:c>
      <x:c r="W3" s="346" t="str">
        <x:v>Paid Services and Monetization Terms additionally govern purchases/sales.</x:v>
      </x:c>
      <x:c r="X3" s="346" t="str">
        <x:v>2026-09-15</x:v>
      </x:c>
      <x:c r="Y3" s="346" t="str">
        <x:v>Primary / first-party policy or project source recorded</x:v>
      </x:c>
    </x:row>
    <x:row r="4" ht="34" customHeight="1">
      <x:c r="A4" s="346" t="str">
        <x:v>Stoat</x:v>
      </x:c>
      <x:c r="B4" s="346" t="str">
        <x:v>Stoat-hosted service; self-host instances are separate operators</x:v>
      </x:c>
      <x:c r="C4" s="346" t="str">
        <x:v>https://stoat.chat/legal/terms</x:v>
      </x:c>
      <x:c r="D4" s="346" t="str">
        <x:v>Updated 2026-06-30; Stoat supplement effective 2026-07-30</x:v>
      </x:c>
      <x:c r="E4" s="346" t="str">
        <x:v>Jurisdiction-dependent minimum-age list</x:v>
      </x:c>
      <x:c r="F4" s="346" t="str">
        <x:v>Yes</x:v>
      </x:c>
      <x:c r="G4" s="346" t="str">
        <x:v>Limited rights needed to host/distribute content; supplement applies</x:v>
      </x:c>
      <x:c r="H4" s="346" t="str">
        <x:v>Yes</x:v>
      </x:c>
      <x:c r="I4" s="346" t="str">
        <x:v>U/K</x:v>
      </x:c>
      <x:c r="J4" s="346" t="str">
        <x:v>Revolt Platforms Ltd is an England &amp; Wales company; check full Terms for governing-law clause</x:v>
      </x:c>
      <x:c r="K4" s="346" t="str">
        <x:v>No public fixed-price paid subscription verified</x:v>
      </x:c>
      <x:c r="L4" s="346" t="str">
        <x:v>https://stoat.chat/legal/privacy</x:v>
      </x:c>
      <x:c r="M4" s="346" t="str">
        <x:v>Updated 2026-06-30; service supplement applies</x:v>
      </x:c>
      <x:c r="N4" s="346" t="str">
        <x:v>Limited account/service data; categories listed in service supplement</x:v>
      </x:c>
      <x:c r="O4" s="346" t="str">
        <x:v>No</x:v>
      </x:c>
      <x:c r="P4" s="346" t="str">
        <x:v>No data-sale model; advertising model not identified</x:v>
      </x:c>
      <x:c r="Q4" s="346" t="str">
        <x:v>U/K</x:v>
      </x:c>
      <x:c r="R4" s="346" t="str">
        <x:v>Yes for ordinary hosted text unless an encrypted mode states otherwise</x:v>
      </x:c>
      <x:c r="S4" s="346" t="str">
        <x:v>U/K</x:v>
      </x:c>
      <x:c r="T4" s="346" t="str">
        <x:v>Deletion requests supported; EU/UK storage emphasized</x:v>
      </x:c>
      <x:c r="U4" s="346" t="str">
        <x:v>Cloudflare and service-specific providers</x:v>
      </x:c>
      <x:c r="V4" s="346" t="str">
        <x:v>Hosted Terms/Privacy do not govern independently operated self-host instances</x:v>
      </x:c>
      <x:c r="W4" s="346" t="str">
        <x:v>Read shared policies together with Stoat-specific supplements.</x:v>
      </x:c>
      <x:c r="X4" s="346" t="str">
        <x:v>2026-09-15</x:v>
      </x:c>
      <x:c r="Y4" s="346" t="str">
        <x:v>Primary / first-party policy or project source recorded</x:v>
      </x:c>
    </x:row>
    <x:row r="5" ht="34" customHeight="1">
      <x:c r="A5" s="346" t="str">
        <x:v>Fenrid</x:v>
      </x:c>
      <x:c r="B5" s="346" t="str">
        <x:v>Pre-launch waitlist policies; full production policy not yet verified</x:v>
      </x:c>
      <x:c r="C5" s="346" t="str">
        <x:v>https://fenrid.com/terms</x:v>
      </x:c>
      <x:c r="D5" s="346" t="str">
        <x:v>Waitlist Terms updated 2026-04-01</x:v>
      </x:c>
      <x:c r="E5" s="346" t="str">
        <x:v>13+ for waitlist</x:v>
      </x:c>
      <x:c r="F5" s="346" t="str">
        <x:v>U/K</x:v>
      </x:c>
      <x:c r="G5" s="346" t="str">
        <x:v>U/K</x:v>
      </x:c>
      <x:c r="H5" s="346" t="str">
        <x:v>Yes for waitlist/referral abuse</x:v>
      </x:c>
      <x:c r="I5" s="346" t="str">
        <x:v>U/K</x:v>
      </x:c>
      <x:c r="J5" s="346" t="str">
        <x:v>U/K</x:v>
      </x:c>
      <x:c r="K5" s="346" t="str">
        <x:v>Planned subscriptions disclosed; production billing terms U/K</x:v>
      </x:c>
      <x:c r="L5" s="346" t="str">
        <x:v>https://fenrid.com/privacy</x:v>
      </x:c>
      <x:c r="M5" s="346" t="str">
        <x:v>Waitlist Privacy updated 2026-05-22</x:v>
      </x:c>
      <x:c r="N5" s="346" t="str">
        <x:v>Email, referral IDs, browser/device IDs, approximate country, hashed IP/fraud signals</x:v>
      </x:c>
      <x:c r="O5" s="346" t="str">
        <x:v>No</x:v>
      </x:c>
      <x:c r="P5" s="346" t="str">
        <x:v>Waitlist data not used for advertising</x:v>
      </x:c>
      <x:c r="Q5" s="346" t="str">
        <x:v>U/K</x:v>
      </x:c>
      <x:c r="R5" s="346" t="str">
        <x:v>U/K</x:v>
      </x:c>
      <x:c r="S5" s="346" t="str">
        <x:v>IP stored hashed for waitlist anti-fraud</x:v>
      </x:c>
      <x:c r="T5" s="346" t="str">
        <x:v>Waitlist data retained through launch/initial period then deleted/anonymized unless required</x:v>
      </x:c>
      <x:c r="U5" s="346" t="str">
        <x:v>Cloudflare Turnstile and trusted providers</x:v>
      </x:c>
      <x:c r="V5" s="346" t="str">
        <x:v>N/A currently</x:v>
      </x:c>
      <x:c r="W5" s="346" t="str">
        <x:v>Treat these as waitlist policies, not a complete production-service legal package.</x:v>
      </x:c>
      <x:c r="X5" s="346" t="str">
        <x:v>2026-09-15</x:v>
      </x:c>
      <x:c r="Y5" s="346" t="str">
        <x:v>Primary / first-party policy or project source recorded</x:v>
      </x:c>
    </x:row>
    <x:row r="6" ht="34" customHeight="1">
      <x:c r="A6" s="346" t="str">
        <x:v>Fluxer</x:v>
      </x:c>
      <x:c r="B6" s="346" t="str">
        <x:v>fluxer.app hosted service; self-host operators may have separate policies</x:v>
      </x:c>
      <x:c r="C6" s="346" t="str">
        <x:v>https://fluxer.app/terms</x:v>
      </x:c>
      <x:c r="D6" s="346" t="str">
        <x:v>Effective 2026-09-13</x:v>
      </x:c>
      <x:c r="E6" s="346" t="str">
        <x:v>Must meet minimum age where user lives</x:v>
      </x:c>
      <x:c r="F6" s="346" t="str">
        <x:v>Yes</x:v>
      </x:c>
      <x:c r="G6" s="346" t="str">
        <x:v>Only permissions needed to operate chosen features</x:v>
      </x:c>
      <x:c r="H6" s="346" t="str">
        <x:v>Yes</x:v>
      </x:c>
      <x:c r="I6" s="346" t="str">
        <x:v>U/K</x:v>
      </x:c>
      <x:c r="J6" s="346" t="str">
        <x:v>Fluxer Platform AB, Sweden; see full Terms</x:v>
      </x:c>
      <x:c r="K6" s="346" t="str">
        <x:v>Plutonium auto-renews; cancel anytime; unused time generally not refunded unless law/terms require</x:v>
      </x:c>
      <x:c r="L6" s="346" t="str">
        <x:v>https://fluxer.app/privacy</x:v>
      </x:c>
      <x:c r="M6" s="346" t="str">
        <x:v>Effective 2026-09-13</x:v>
      </x:c>
      <x:c r="N6" s="346" t="str">
        <x:v>Account, content, device/use, payment and security/operational data</x:v>
      </x:c>
      <x:c r="O6" s="346" t="str">
        <x:v>No</x:v>
      </x:c>
      <x:c r="P6" s="346" t="str">
        <x:v>No advertising partners or data brokers</x:v>
      </x:c>
      <x:c r="Q6" s="346" t="str">
        <x:v>No AI/LLM inference over messages/files/calls; content not used to train/evaluate AI models</x:v>
      </x:c>
      <x:c r="R6" s="346" t="str">
        <x:v>Yes - nothing on Fluxer is E2EE yet</x:v>
      </x:c>
      <x:c r="S6" s="346" t="str">
        <x:v>U/K</x:v>
      </x:c>
      <x:c r="T6" s="346" t="str">
        <x:v>Export/delete controls and retention schedules documented</x:v>
      </x:c>
      <x:c r="U6" s="346" t="str">
        <x:v>Stripe plus infrastructure/service vendors</x:v>
      </x:c>
      <x:c r="V6" s="346" t="str">
        <x:v>Hosted policy applies to fluxer.app; self-host operator controls local deployment</x:v>
      </x:c>
      <x:c r="W6" s="346" t="str">
        <x:v>Voice/video/screen E2EE is in development, not current.</x:v>
      </x:c>
      <x:c r="X6" s="346" t="str">
        <x:v>2026-09-15</x:v>
      </x:c>
      <x:c r="Y6" s="346" t="str">
        <x:v>Primary / first-party policy or project source recorded</x:v>
      </x:c>
    </x:row>
    <x:row r="7" ht="34" customHeight="1">
      <x:c r="A7" s="346" t="str">
        <x:v>Root</x:v>
      </x:c>
      <x:c r="B7" s="346" t="str">
        <x:v>Root-operated centralized service</x:v>
      </x:c>
      <x:c r="C7" s="346" t="str">
        <x:v>https://www.rootapp.com/terms-of-use</x:v>
      </x:c>
      <x:c r="D7" s="346" t="str">
        <x:v>Effective 2026-02-19</x:v>
      </x:c>
      <x:c r="E7" s="346" t="str">
        <x:v>U/K</x:v>
      </x:c>
      <x:c r="F7" s="346" t="str">
        <x:v>Yes / exact clause U/K</x:v>
      </x:c>
      <x:c r="G7" s="346" t="str">
        <x:v>U/K</x:v>
      </x:c>
      <x:c r="H7" s="346" t="str">
        <x:v>Yes</x:v>
      </x:c>
      <x:c r="I7" s="346" t="str">
        <x:v>U/K</x:v>
      </x:c>
      <x:c r="J7" s="346" t="str">
        <x:v>Root Communications, Inc., United States; exact venue clause in Terms</x:v>
      </x:c>
      <x:c r="K7" s="346" t="str">
        <x:v>Sudo auto-renews; cancel from settings; price increases require notice</x:v>
      </x:c>
      <x:c r="L7" s="346" t="str">
        <x:v>https://www.rootapp.com/privacy-policy</x:v>
      </x:c>
      <x:c r="M7" s="346" t="str">
        <x:v>Effective 2026-02-19</x:v>
      </x:c>
      <x:c r="N7" s="346" t="str">
        <x:v>Account, content, device/network, payments and service-use data</x:v>
      </x:c>
      <x:c r="O7" s="346" t="str">
        <x:v>No</x:v>
      </x:c>
      <x:c r="P7" s="346" t="str">
        <x:v>U/K</x:v>
      </x:c>
      <x:c r="Q7" s="346" t="str">
        <x:v>No user data/content used to train AI models</x:v>
      </x:c>
      <x:c r="R7" s="346" t="str">
        <x:v>Yes for text; calls are real-time and not stored by default</x:v>
      </x:c>
      <x:c r="S7" s="346" t="str">
        <x:v>IP/network data processed</x:v>
      </x:c>
      <x:c r="T7" s="346" t="str">
        <x:v>U/K</x:v>
      </x:c>
      <x:c r="U7" s="346" t="str">
        <x:v>Payments, hosting and service providers</x:v>
      </x:c>
      <x:c r="V7" s="346" t="str">
        <x:v>N/A - no self-hosting</x:v>
      </x:c>
      <x:c r="W7" s="346" t="str">
        <x:v>Developer Terms separately govern Apps/Bots and hosted runtime.</x:v>
      </x:c>
      <x:c r="X7" s="346" t="str">
        <x:v>2026-09-15</x:v>
      </x:c>
      <x:c r="Y7" s="346" t="str">
        <x:v>Primary / first-party policy or project source recorded</x:v>
      </x:c>
    </x:row>
    <x:row r="8" ht="34" customHeight="1">
      <x:c r="A8" s="346" t="str">
        <x:v>Matrix</x:v>
      </x:c>
      <x:c r="B8" s="346" t="str">
        <x:v>No Matrix-wide ToS; these links apply only to the matrix.org homeserver</x:v>
      </x:c>
      <x:c r="C8" s="346" t="str">
        <x:v>https://matrix.org/legal/terms-and-conditions/</x:v>
      </x:c>
      <x:c r="D8" s="346" t="str">
        <x:v>Existing users effective 2025-08-14</x:v>
      </x:c>
      <x:c r="E8" s="346" t="str">
        <x:v>U/K</x:v>
      </x:c>
      <x:c r="F8" s="346" t="str">
        <x:v>Yes / protocol content remains user-generated</x:v>
      </x:c>
      <x:c r="G8" s="346" t="str">
        <x:v>Limited license to use matrix.org service</x:v>
      </x:c>
      <x:c r="H8" s="346" t="str">
        <x:v>Yes for matrix.org access/moderation</x:v>
      </x:c>
      <x:c r="I8" s="346" t="str">
        <x:v>U/K</x:v>
      </x:c>
      <x:c r="J8" s="346" t="str">
        <x:v>Matrix.org Foundation, UK; see Homeserver Terms</x:v>
      </x:c>
      <x:c r="K8" s="346" t="str">
        <x:v>Usage-plan fees generally non-refundable; planned pricing can change with notice</x:v>
      </x:c>
      <x:c r="L8" s="346" t="str">
        <x:v>https://matrix.org/legal/privacy-notice/</x:v>
      </x:c>
      <x:c r="M8" s="346" t="str">
        <x:v>Effective 2025-08-25</x:v>
      </x:c>
      <x:c r="N8" s="346" t="str">
        <x:v>matrix.org account/history, federation metadata, bots/bridges and operational data</x:v>
      </x:c>
      <x:c r="O8" s="346" t="str">
        <x:v>U/K</x:v>
      </x:c>
      <x:c r="P8" s="346" t="str">
        <x:v>Provider-specific</x:v>
      </x:c>
      <x:c r="Q8" s="346" t="str">
        <x:v>Provider/client-specific; no protocol-wide policy</x:v>
      </x:c>
      <x:c r="R8" s="346" t="str">
        <x:v>Homeservers can read unencrypted rooms; E2EE rooms store ciphertext</x:v>
      </x:c>
      <x:c r="S8" s="346" t="str">
        <x:v>Homeserver/provider sees network metadata</x:v>
      </x:c>
      <x:c r="T8" s="346" t="str">
        <x:v>Federated copies may exist on multiple homeservers</x:v>
      </x:c>
      <x:c r="U8" s="346" t="str">
        <x:v>Element acts as processor for matrix.org hosting/management; other providers vary</x:v>
      </x:c>
      <x:c r="V8" s="346" t="str">
        <x:v>Other homeservers have their own terms/privacy; matrix.org policies do not govern them</x:v>
      </x:c>
      <x:c r="W8" s="346" t="str">
        <x:v>Keep Matrix protocol, matrix.org homeserver and Element client separate.</x:v>
      </x:c>
      <x:c r="X8" s="346" t="str">
        <x:v>2026-09-15</x:v>
      </x:c>
      <x:c r="Y8" s="346" t="str">
        <x:v>Primary / first-party policy or project source recorded</x:v>
      </x:c>
    </x:row>
    <x:row r="9" ht="34" customHeight="1">
      <x:c r="A9" s="346" t="str">
        <x:v>Spacebar</x:v>
      </x:c>
      <x:c r="B9" s="346" t="str">
        <x:v>Self-hosted open-source Discord-compatible software</x:v>
      </x:c>
      <x:c r="C9" s="346" t="str">
        <x:v>https://spacebar.chat/</x:v>
      </x:c>
      <x:c r="D9" s="346" t="str">
        <x:v>Software/project or provider/operator-specific; standalone service terms U/K</x:v>
      </x:c>
      <x:c r="E9" s="346" t="str">
        <x:v>U/K</x:v>
      </x:c>
      <x:c r="F9" s="346" t="str">
        <x:v>U/K</x:v>
      </x:c>
      <x:c r="G9" s="346" t="str">
        <x:v>U/K</x:v>
      </x:c>
      <x:c r="H9" s="346" t="str">
        <x:v>U/K</x:v>
      </x:c>
      <x:c r="I9" s="346" t="str">
        <x:v>U/K</x:v>
      </x:c>
      <x:c r="J9" s="346" t="str">
        <x:v>U/K</x:v>
      </x:c>
      <x:c r="K9" s="346" t="str">
        <x:v>U/K</x:v>
      </x:c>
      <x:c r="L9" s="346" t="str">
        <x:v>U/K</x:v>
      </x:c>
      <x:c r="M9" s="346" t="str">
        <x:v>Provider/operator-specific or U/K</x:v>
      </x:c>
      <x:c r="N9" s="346" t="str">
        <x:v>U/K</x:v>
      </x:c>
      <x:c r="O9" s="346" t="str">
        <x:v>U/K</x:v>
      </x:c>
      <x:c r="P9" s="346" t="str">
        <x:v>U/K</x:v>
      </x:c>
      <x:c r="Q9" s="346" t="str">
        <x:v>U/K</x:v>
      </x:c>
      <x:c r="R9" s="346" t="str">
        <x:v>U/K</x:v>
      </x:c>
      <x:c r="S9" s="346" t="str">
        <x:v>U/K</x:v>
      </x:c>
      <x:c r="T9" s="346" t="str">
        <x:v>U/K</x:v>
      </x:c>
      <x:c r="U9" s="346" t="str">
        <x:v>U/K</x:v>
      </x:c>
      <x:c r="V9" s="346" t="str">
        <x:v>Operator/provider policy applies where self-hosted</x:v>
      </x:c>
      <x:c r="W9" s="346" t="str">
        <x:v>No central consumer service policy; operator policies apply.</x:v>
      </x:c>
      <x:c r="X9" s="346" t="str">
        <x:v>2026-09-15</x:v>
      </x:c>
      <x:c r="Y9" s="346" t="str">
        <x:v>Primary / first-party policy or project source recorded</x:v>
      </x:c>
    </x:row>
    <x:row r="10" ht="34" customHeight="1">
      <x:c r="A10" s="346" t="str">
        <x:v>Mumble</x:v>
      </x:c>
      <x:c r="B10" s="346" t="str">
        <x:v>Open-source self-hosted voice software</x:v>
      </x:c>
      <x:c r="C10" s="346" t="str">
        <x:v>https://www.mumble.info/</x:v>
      </x:c>
      <x:c r="D10" s="346" t="str">
        <x:v>Software/project or provider/operator-specific; standalone service terms U/K</x:v>
      </x:c>
      <x:c r="E10" s="346" t="str">
        <x:v>U/K</x:v>
      </x:c>
      <x:c r="F10" s="346" t="str">
        <x:v>U/K</x:v>
      </x:c>
      <x:c r="G10" s="346" t="str">
        <x:v>U/K</x:v>
      </x:c>
      <x:c r="H10" s="346" t="str">
        <x:v>U/K</x:v>
      </x:c>
      <x:c r="I10" s="346" t="str">
        <x:v>U/K</x:v>
      </x:c>
      <x:c r="J10" s="346" t="str">
        <x:v>U/K</x:v>
      </x:c>
      <x:c r="K10" s="346" t="str">
        <x:v>U/K</x:v>
      </x:c>
      <x:c r="L10" s="346" t="str">
        <x:v>U/K</x:v>
      </x:c>
      <x:c r="M10" s="346" t="str">
        <x:v>Provider/operator-specific or U/K</x:v>
      </x:c>
      <x:c r="N10" s="346" t="str">
        <x:v>U/K</x:v>
      </x:c>
      <x:c r="O10" s="346" t="str">
        <x:v>U/K</x:v>
      </x:c>
      <x:c r="P10" s="346" t="str">
        <x:v>U/K</x:v>
      </x:c>
      <x:c r="Q10" s="346" t="str">
        <x:v>U/K</x:v>
      </x:c>
      <x:c r="R10" s="346" t="str">
        <x:v>U/K</x:v>
      </x:c>
      <x:c r="S10" s="346" t="str">
        <x:v>U/K</x:v>
      </x:c>
      <x:c r="T10" s="346" t="str">
        <x:v>U/K</x:v>
      </x:c>
      <x:c r="U10" s="346" t="str">
        <x:v>U/K</x:v>
      </x:c>
      <x:c r="V10" s="346" t="str">
        <x:v>Operator/provider policy applies where self-hosted</x:v>
      </x:c>
      <x:c r="W10" s="346" t="str">
        <x:v>No central hosted-service ToS; third-party host/operator policies apply.</x:v>
      </x:c>
      <x:c r="X10" s="346" t="str">
        <x:v>2026-09-15</x:v>
      </x:c>
      <x:c r="Y10" s="346" t="str">
        <x:v>Primary / first-party policy or project source recorded</x:v>
      </x:c>
    </x:row>
    <x:row r="11" ht="34" customHeight="1">
      <x:c r="A11" s="346" t="str">
        <x:v>TeamSpeak</x:v>
      </x:c>
      <x:c r="B11" s="346" t="str">
        <x:v>Software, accounts, hosted communities, licenses and related services</x:v>
      </x:c>
      <x:c r="C11" s="346" t="str">
        <x:v>https://www.teamspeak.com/en/terms-and-conditions</x:v>
      </x:c>
      <x:c r="D11" s="346" t="str">
        <x:v>Effective 2026-06-22</x:v>
      </x:c>
      <x:c r="E11" s="346" t="str">
        <x:v>U/K</x:v>
      </x:c>
      <x:c r="F11" s="346" t="str">
        <x:v>U/K</x:v>
      </x:c>
      <x:c r="G11" s="346" t="str">
        <x:v>U/K</x:v>
      </x:c>
      <x:c r="H11" s="346" t="str">
        <x:v>U/K</x:v>
      </x:c>
      <x:c r="I11" s="346" t="str">
        <x:v>U/K</x:v>
      </x:c>
      <x:c r="J11" s="346" t="str">
        <x:v>TeamSpeak USA / TeamSpeak DE depending product/order</x:v>
      </x:c>
      <x:c r="K11" s="346" t="str">
        <x:v>Product/order-specific hosted-plan and licensing terms</x:v>
      </x:c>
      <x:c r="L11" s="346" t="str">
        <x:v>https://www.teamspeak.com/en/privacy-policy</x:v>
      </x:c>
      <x:c r="M11" s="346" t="str">
        <x:v>Effective 2026-06-22</x:v>
      </x:c>
      <x:c r="N11" s="346" t="str">
        <x:v>Account, licensing, device/service-use and support data</x:v>
      </x:c>
      <x:c r="O11" s="346" t="str">
        <x:v>U/K</x:v>
      </x:c>
      <x:c r="P11" s="346" t="str">
        <x:v>U/K</x:v>
      </x:c>
      <x:c r="Q11" s="346" t="str">
        <x:v>U/K</x:v>
      </x:c>
      <x:c r="R11" s="346" t="str">
        <x:v>Self-host server operator controls server-side data; TeamSpeak-controlled data varies</x:v>
      </x:c>
      <x:c r="S11" s="346" t="str">
        <x:v>U/K</x:v>
      </x:c>
      <x:c r="T11" s="346" t="str">
        <x:v>U/K</x:v>
      </x:c>
      <x:c r="U11" s="346" t="str">
        <x:v>U/K</x:v>
      </x:c>
      <x:c r="V11" s="346" t="str">
        <x:v>Server operator controls community content; TeamSpeak account/licensing policies still apply</x:v>
      </x:c>
      <x:c r="W11" s="346" t="str">
        <x:v>Authorized third-party hosts may impose additional policies.</x:v>
      </x:c>
      <x:c r="X11" s="346" t="str">
        <x:v>2026-09-15</x:v>
      </x:c>
      <x:c r="Y11" s="346" t="str">
        <x:v>Primary / first-party policy or project source recorded</x:v>
      </x:c>
    </x:row>
    <x:row r="12" ht="34" customHeight="1">
      <x:c r="A12" s="346" t="str">
        <x:v>Zulip</x:v>
      </x:c>
      <x:c r="B12" s="346" t="str">
        <x:v>Zulip Cloud plus subscriptions; self-host operator policies also matter</x:v>
      </x:c>
      <x:c r="C12" s="346" t="str">
        <x:v>https://zulip.com/policies/terms</x:v>
      </x:c>
      <x:c r="D12" s="346" t="str">
        <x:v>Effective 2022-02-07</x:v>
      </x:c>
      <x:c r="E12" s="346" t="str">
        <x:v>See Zulip Age of Consent policy; jurisdiction-dependent</x:v>
      </x:c>
      <x:c r="F12" s="346" t="str">
        <x:v>Yes</x:v>
      </x:c>
      <x:c r="G12" s="346" t="str">
        <x:v>U/K</x:v>
      </x:c>
      <x:c r="H12" s="346" t="str">
        <x:v>Yes</x:v>
      </x:c>
      <x:c r="I12" s="346" t="str">
        <x:v>U/K</x:v>
      </x:c>
      <x:c r="J12" s="346" t="str">
        <x:v>Kandra Labs, Inc., California; see Terms</x:v>
      </x:c>
      <x:c r="K12" s="346" t="str">
        <x:v>Cloud/self-host subscriptions are plan-specific; Enterprise is contract-based</x:v>
      </x:c>
      <x:c r="L12" s="346" t="str">
        <x:v>https://zulip.com/policies/privacy</x:v>
      </x:c>
      <x:c r="M12" s="346" t="str">
        <x:v>Current policy page</x:v>
      </x:c>
      <x:c r="N12" s="346" t="str">
        <x:v>Account, organization content, device/use and payment/support data</x:v>
      </x:c>
      <x:c r="O12" s="346" t="str">
        <x:v>No</x:v>
      </x:c>
      <x:c r="P12" s="346" t="str">
        <x:v>No data-sale business model</x:v>
      </x:c>
      <x:c r="Q12" s="346" t="str">
        <x:v>U/K</x:v>
      </x:c>
      <x:c r="R12" s="346" t="str">
        <x:v>Yes on Zulip Cloud/server-stored history; self-host operator controls own server</x:v>
      </x:c>
      <x:c r="S12" s="346" t="str">
        <x:v>U/K</x:v>
      </x:c>
      <x:c r="T12" s="346" t="str">
        <x:v>Exports and admin retention policies exist</x:v>
      </x:c>
      <x:c r="U12" s="346" t="str">
        <x:v>U/K</x:v>
      </x:c>
      <x:c r="V12" s="346" t="str">
        <x:v>Self-host organization/operator is responsible for its deployment and local policy</x:v>
      </x:c>
      <x:c r="W12" s="346" t="str">
        <x:v>Treat Zulip Cloud and self-hosted Zulip separately.</x:v>
      </x:c>
      <x:c r="X12" s="346" t="str">
        <x:v>2026-09-15</x:v>
      </x:c>
      <x:c r="Y12" s="346" t="str">
        <x:v>Primary / first-party policy or project source recorded</x:v>
      </x:c>
    </x:row>
    <x:row r="13" ht="34" customHeight="1">
      <x:c r="A13" s="346" t="str">
        <x:v>Mattermost</x:v>
      </x:c>
      <x:c r="B13" s="346" t="str">
        <x:v>Cloud and self-hosted enterprise collaboration; local org terms may apply</x:v>
      </x:c>
      <x:c r="C13" s="346" t="str">
        <x:v>https://docs.mattermost.com/product-overview/faq-license</x:v>
      </x:c>
      <x:c r="D13" s="346" t="str">
        <x:v>Legal/licensing hub; terms vary by edition/subscription</x:v>
      </x:c>
      <x:c r="E13" s="346" t="str">
        <x:v>U/K</x:v>
      </x:c>
      <x:c r="F13" s="346" t="str">
        <x:v>Customer/operator content</x:v>
      </x:c>
      <x:c r="G13" s="346" t="str">
        <x:v>U/K</x:v>
      </x:c>
      <x:c r="H13" s="346" t="str">
        <x:v>Yes / self-host admin also controls users</x:v>
      </x:c>
      <x:c r="I13" s="346" t="str">
        <x:v>U/K</x:v>
      </x:c>
      <x:c r="J13" s="346" t="str">
        <x:v>U/K</x:v>
      </x:c>
      <x:c r="K13" s="346" t="str">
        <x:v>Annual seat licenses/enterprise contracts</x:v>
      </x:c>
      <x:c r="L13" s="346" t="str">
        <x:v>https://mattermost.com/privacy-policy/</x:v>
      </x:c>
      <x:c r="M13" s="346" t="str">
        <x:v>Effective 2024-12-30</x:v>
      </x:c>
      <x:c r="N13" s="346" t="str">
        <x:v>Self-host users expose limited Mattermost-collected data; cloud/services collect more</x:v>
      </x:c>
      <x:c r="O13" s="346" t="str">
        <x:v>U/K</x:v>
      </x:c>
      <x:c r="P13" s="346" t="str">
        <x:v>No consumer ad-driven model</x:v>
      </x:c>
      <x:c r="Q13" s="346" t="str">
        <x:v>Depends on deployment/integration/provider</x:v>
      </x:c>
      <x:c r="R13" s="346" t="str">
        <x:v>Self-host operator can read ordinary server-stored content</x:v>
      </x:c>
      <x:c r="S13" s="346" t="str">
        <x:v>U/K</x:v>
      </x:c>
      <x:c r="T13" s="346" t="str">
        <x:v>U/K</x:v>
      </x:c>
      <x:c r="U13" s="346" t="str">
        <x:v>Customer infrastructure plus Mattermost subprocessors for cloud/services</x:v>
      </x:c>
      <x:c r="V13" s="346" t="str">
        <x:v>Self-host operator is primary privacy actor; org may publish local terms subject to Mattermost requirements</x:v>
      </x:c>
      <x:c r="W13" s="346" t="str">
        <x:v>Obligations differ by Team Edition, Enterprise and Cloud.</x:v>
      </x:c>
      <x:c r="X13" s="346" t="str">
        <x:v>2026-09-15</x:v>
      </x:c>
      <x:c r="Y13" s="346" t="str">
        <x:v>Primary / first-party policy or project source recorded</x:v>
      </x:c>
    </x:row>
    <x:row r="14" ht="34" customHeight="1">
      <x:c r="A14" s="346" t="str">
        <x:v>Rocket.Chat</x:v>
      </x:c>
      <x:c r="B14" s="346" t="str">
        <x:v>Cloud and self-managed deployments; offering-specific terms</x:v>
      </x:c>
      <x:c r="C14" s="346" t="str">
        <x:v>https://docs.rocket.chat/docs/legal-center</x:v>
      </x:c>
      <x:c r="D14" s="346" t="str">
        <x:v>Legal center / offering-specific agreements</x:v>
      </x:c>
      <x:c r="E14" s="346" t="str">
        <x:v>U/K</x:v>
      </x:c>
      <x:c r="F14" s="346" t="str">
        <x:v>U/K</x:v>
      </x:c>
      <x:c r="G14" s="346" t="str">
        <x:v>U/K</x:v>
      </x:c>
      <x:c r="H14" s="346" t="str">
        <x:v>U/K</x:v>
      </x:c>
      <x:c r="I14" s="346" t="str">
        <x:v>U/K</x:v>
      </x:c>
      <x:c r="J14" s="346" t="str">
        <x:v>U/K</x:v>
      </x:c>
      <x:c r="K14" s="346" t="str">
        <x:v>Commercial/Government/Defense are sales-led contracts</x:v>
      </x:c>
      <x:c r="L14" s="346" t="str">
        <x:v>https://docs.rocket.chat/docs/privacy-policy</x:v>
      </x:c>
      <x:c r="M14" s="346" t="str">
        <x:v>Effective 2025-08-11</x:v>
      </x:c>
      <x:c r="N14" s="346" t="str">
        <x:v>Website/cloud/app/service data; self-host deployment data can remain customer-controlled</x:v>
      </x:c>
      <x:c r="O14" s="346" t="str">
        <x:v>U/K</x:v>
      </x:c>
      <x:c r="P14" s="346" t="str">
        <x:v>No consumer ad-driven model identified</x:v>
      </x:c>
      <x:c r="Q14" s="346" t="str">
        <x:v>Depends on deployment/integration</x:v>
      </x:c>
      <x:c r="R14" s="346" t="str">
        <x:v>Self-host operator can read unencrypted content; E2EE has feature limitations</x:v>
      </x:c>
      <x:c r="S14" s="346" t="str">
        <x:v>U/K</x:v>
      </x:c>
      <x:c r="T14" s="346" t="str">
        <x:v>U/K</x:v>
      </x:c>
      <x:c r="U14" s="346" t="str">
        <x:v>U/K</x:v>
      </x:c>
      <x:c r="V14" s="346" t="str">
        <x:v>Self-managed operator is responsible for workspace data/local terms</x:v>
      </x:c>
      <x:c r="W14" s="346" t="str">
        <x:v>Use Legal Center for current agreements and archived versions.</x:v>
      </x:c>
      <x:c r="X14" s="346" t="str">
        <x:v>2026-09-15</x:v>
      </x:c>
      <x:c r="Y14" s="346" t="str">
        <x:v>Primary / first-party policy or project source recorded</x:v>
      </x:c>
    </x:row>
    <x:row r="15" ht="34" customHeight="1">
      <x:c r="A15" s="346" t="str">
        <x:v>GameVox</x:v>
      </x:c>
      <x:c r="B15" s="346" t="str">
        <x:v>Cloud account/service plus cloud-hosted or self-hosted community servers</x:v>
      </x:c>
      <x:c r="C15" s="346" t="str">
        <x:v>https://gamevox.com/terms/</x:v>
      </x:c>
      <x:c r="D15" s="346" t="str">
        <x:v>Effective 2026-03-23; updated 2026-06-07</x:v>
      </x:c>
      <x:c r="E15" s="346" t="str">
        <x:v>13+; guardian permission represented for users under 18</x:v>
      </x:c>
      <x:c r="F15" s="346" t="str">
        <x:v>Yes</x:v>
      </x:c>
      <x:c r="G15" s="346" t="str">
        <x:v>U/K</x:v>
      </x:c>
      <x:c r="H15" s="346" t="str">
        <x:v>Yes</x:v>
      </x:c>
      <x:c r="I15" s="346" t="str">
        <x:v>U/K</x:v>
      </x:c>
      <x:c r="J15" s="346" t="str">
        <x:v>U/K</x:v>
      </x:c>
      <x:c r="K15" s="346" t="str">
        <x:v>Server tiers and self-host licenses have purchase-specific terms</x:v>
      </x:c>
      <x:c r="L15" s="346" t="str">
        <x:v>https://gamevox.com/privacy/</x:v>
      </x:c>
      <x:c r="M15" s="346" t="str">
        <x:v>Effective 2026-03-23; updated 2026-08-06</x:v>
      </x:c>
      <x:c r="N15" s="346" t="str">
        <x:v>Account/profile, communications, support and usage data; self-host content remains local</x:v>
      </x:c>
      <x:c r="O15" s="346" t="str">
        <x:v>No</x:v>
      </x:c>
      <x:c r="P15" s="346" t="str">
        <x:v>No ads/data sale business model</x:v>
      </x:c>
      <x:c r="Q15" s="346" t="str">
        <x:v>U/K</x:v>
      </x:c>
      <x:c r="R15" s="346" t="str">
        <x:v>Cloud-hosted text is stored by GameVox; self-host community content stays local</x:v>
      </x:c>
      <x:c r="S15" s="346" t="str">
        <x:v>U/K</x:v>
      </x:c>
      <x:c r="T15" s="346" t="str">
        <x:v>U/K</x:v>
      </x:c>
      <x:c r="U15" s="346" t="str">
        <x:v>Hosting/SMS/payments/operational vendors</x:v>
      </x:c>
      <x:c r="V15" s="346" t="str">
        <x:v>Self-host community data/voice/files live on operator hardware; cloud auth/account services still apply</x:v>
      </x:c>
      <x:c r="W15" s="346" t="str">
        <x:v>No data sale or advertising stated.</x:v>
      </x:c>
      <x:c r="X15" s="346" t="str">
        <x:v>2026-09-15</x:v>
      </x:c>
      <x:c r="Y15" s="346" t="str">
        <x:v>Primary / first-party policy or project source recorded</x:v>
      </x:c>
    </x:row>
    <x:row r="16" ht="34" customHeight="1">
      <x:c r="A16" s="346" t="str">
        <x:v>Nerimity</x:v>
      </x:c>
      <x:c r="B16" s="346" t="str">
        <x:v>Nerimity-hosted service; open-source code</x:v>
      </x:c>
      <x:c r="C16" s="346" t="str">
        <x:v>https://nerimity.com/</x:v>
      </x:c>
      <x:c r="D16" s="346" t="str">
        <x:v>Software/project or provider/operator-specific; standalone service terms U/K</x:v>
      </x:c>
      <x:c r="E16" s="346" t="str">
        <x:v>U/K</x:v>
      </x:c>
      <x:c r="F16" s="346" t="str">
        <x:v>U/K</x:v>
      </x:c>
      <x:c r="G16" s="346" t="str">
        <x:v>U/K</x:v>
      </x:c>
      <x:c r="H16" s="346" t="str">
        <x:v>U/K</x:v>
      </x:c>
      <x:c r="I16" s="346" t="str">
        <x:v>U/K</x:v>
      </x:c>
      <x:c r="J16" s="346" t="str">
        <x:v>U/K</x:v>
      </x:c>
      <x:c r="K16" s="346" t="str">
        <x:v>U/K</x:v>
      </x:c>
      <x:c r="L16" s="346" t="str">
        <x:v>https://nerimity.com/</x:v>
      </x:c>
      <x:c r="M16" s="346" t="str">
        <x:v>Provider/operator-specific or U/K</x:v>
      </x:c>
      <x:c r="N16" s="346" t="str">
        <x:v>U/K</x:v>
      </x:c>
      <x:c r="O16" s="346" t="str">
        <x:v>U/K</x:v>
      </x:c>
      <x:c r="P16" s="346" t="str">
        <x:v>U/K</x:v>
      </x:c>
      <x:c r="Q16" s="346" t="str">
        <x:v>U/K</x:v>
      </x:c>
      <x:c r="R16" s="346" t="str">
        <x:v>U/K</x:v>
      </x:c>
      <x:c r="S16" s="346" t="str">
        <x:v>U/K</x:v>
      </x:c>
      <x:c r="T16" s="346" t="str">
        <x:v>U/K</x:v>
      </x:c>
      <x:c r="U16" s="346" t="str">
        <x:v>U/K</x:v>
      </x:c>
      <x:c r="V16" s="346" t="str">
        <x:v>Operator/provider policy applies where self-hosted</x:v>
      </x:c>
      <x:c r="W16" s="346" t="str">
        <x:v>Homepage links Terms and Privacy; exact standalone URLs were not indexed.</x:v>
      </x:c>
      <x:c r="X16" s="346" t="str">
        <x:v>2026-09-15</x:v>
      </x:c>
      <x:c r="Y16" s="346" t="str">
        <x:v>Primary / first-party policy or project source recorded</x:v>
      </x:c>
    </x:row>
    <x:row r="17" ht="34" customHeight="1">
      <x:c r="A17" s="346" t="str">
        <x:v>Osmium</x:v>
      </x:c>
      <x:c r="B17" s="346" t="str">
        <x:v>Osmium-hosted centralized service</x:v>
      </x:c>
      <x:c r="C17" s="346" t="str">
        <x:v>https://osmium.chat/terms/</x:v>
      </x:c>
      <x:c r="D17" s="346" t="str">
        <x:v>Last updated 2026-02-10</x:v>
      </x:c>
      <x:c r="E17" s="346" t="str">
        <x:v>Minimum age varies; EU stated as 16 unless consent rules allow otherwise</x:v>
      </x:c>
      <x:c r="F17" s="346" t="str">
        <x:v>Yes</x:v>
      </x:c>
      <x:c r="G17" s="346" t="str">
        <x:v>U/K</x:v>
      </x:c>
      <x:c r="H17" s="346" t="str">
        <x:v>Yes</x:v>
      </x:c>
      <x:c r="I17" s="346" t="str">
        <x:v>U/K</x:v>
      </x:c>
      <x:c r="J17" s="346" t="str">
        <x:v>U/K</x:v>
      </x:c>
      <x:c r="K17" s="346" t="str">
        <x:v>U/K</x:v>
      </x:c>
      <x:c r="L17" s="346" t="str">
        <x:v>https://osmium.chat/privacy/</x:v>
      </x:c>
      <x:c r="M17" s="346" t="str">
        <x:v>Last updated 2026-02-10</x:v>
      </x:c>
      <x:c r="N17" s="346" t="str">
        <x:v>Account/profile, stored messages/files/media and operational data</x:v>
      </x:c>
      <x:c r="O17" s="346" t="str">
        <x:v>U/K</x:v>
      </x:c>
      <x:c r="P17" s="346" t="str">
        <x:v>U/K</x:v>
      </x:c>
      <x:c r="Q17" s="346" t="str">
        <x:v>U/K</x:v>
      </x:c>
      <x:c r="R17" s="346" t="str">
        <x:v>Yes; voice/video transmitted over encrypted connections</x:v>
      </x:c>
      <x:c r="S17" s="346" t="str">
        <x:v>U/K</x:v>
      </x:c>
      <x:c r="T17" s="346" t="str">
        <x:v>U/K</x:v>
      </x:c>
      <x:c r="U17" s="346" t="str">
        <x:v>U/K</x:v>
      </x:c>
      <x:c r="V17" s="346" t="str">
        <x:v>N/A - no self-hosting verified</x:v>
      </x:c>
      <x:c r="W17" s="346" t="str">
        <x:v>Encrypted transport does not itself mean E2EE.</x:v>
      </x:c>
      <x:c r="X17" s="346" t="str">
        <x:v>2026-09-15</x:v>
      </x:c>
      <x:c r="Y17" s="346" t="str">
        <x:v>Primary / first-party policy or project source recorded</x:v>
      </x:c>
    </x:row>
    <x:row r="18" ht="34" customHeight="1">
      <x:c r="A18" s="346" t="str">
        <x:v>Loqa</x:v>
      </x:c>
      <x:c r="B18" s="346" t="str">
        <x:v>Loqa-operated service plus evolving federation/self-host features</x:v>
      </x:c>
      <x:c r="C18" s="346" t="str">
        <x:v>https://loqa.chat/terms/</x:v>
      </x:c>
      <x:c r="D18" s="346" t="str">
        <x:v>Last updated 2026-02-10</x:v>
      </x:c>
      <x:c r="E18" s="346" t="str">
        <x:v>13+; guardian consent for users under 18</x:v>
      </x:c>
      <x:c r="F18" s="346" t="str">
        <x:v>Yes</x:v>
      </x:c>
      <x:c r="G18" s="346" t="str">
        <x:v>Limited non-exclusive license to store/transmit/display as needed</x:v>
      </x:c>
      <x:c r="H18" s="346" t="str">
        <x:v>Yes</x:v>
      </x:c>
      <x:c r="I18" s="346" t="str">
        <x:v>Yes - AAA binding arbitration and class-action waiver</x:v>
      </x:c>
      <x:c r="J18" s="346" t="str">
        <x:v>Delaware law; Delaware courts for specified court actions</x:v>
      </x:c>
      <x:c r="K18" s="346" t="str">
        <x:v>Paid subscriptions/features supported; exact catalog/prices vary</x:v>
      </x:c>
      <x:c r="L18" s="346" t="str">
        <x:v>https://loqa.chat/privacy/</x:v>
      </x:c>
      <x:c r="M18" s="346" t="str">
        <x:v>Last updated 2026-07-10</x:v>
      </x:c>
      <x:c r="N18" s="346" t="str">
        <x:v>Account/profile, messages/files, call-control data, diagnostics and purchases/subscriptions</x:v>
      </x:c>
      <x:c r="O18" s="346" t="str">
        <x:v>No</x:v>
      </x:c>
      <x:c r="P18" s="346" t="str">
        <x:v>No targeted advertising/third-party ad trackers</x:v>
      </x:c>
      <x:c r="Q18" s="346" t="str">
        <x:v>U/K</x:v>
      </x:c>
      <x:c r="R18" s="346" t="str">
        <x:v>Eligible E2EE content is ciphertext; other channels/features may be readable</x:v>
      </x:c>
      <x:c r="S18" s="346" t="str">
        <x:v>Raw IP used for rate limiting/security; sessions retain keyed hash</x:v>
      </x:c>
      <x:c r="T18" s="346" t="str">
        <x:v>Deletion supported; moderation snapshots may persist up to 90 days</x:v>
      </x:c>
      <x:c r="U18" s="346" t="str">
        <x:v>U/K</x:v>
      </x:c>
      <x:c r="V18" s="346" t="str">
        <x:v>Federated/self-host policy boundaries still evolving</x:v>
      </x:c>
      <x:c r="W18" s="346" t="str">
        <x:v>E2EE coverage varies by content type.</x:v>
      </x:c>
      <x:c r="X18" s="346" t="str">
        <x:v>2026-09-15</x:v>
      </x:c>
      <x:c r="Y18" s="346" t="str">
        <x:v>Primary / first-party policy or project source recorded</x:v>
      </x:c>
    </x:row>
    <x:row r="19" ht="34" customHeight="1">
      <x:c r="A19" s="346" t="str">
        <x:v>Venta</x:v>
      </x:c>
      <x:c r="B19" s="346" t="str">
        <x:v>Early hosted project moving toward self-host/federation</x:v>
      </x:c>
      <x:c r="C19" s="346" t="str">
        <x:v>U/K</x:v>
      </x:c>
      <x:c r="D19" s="346" t="str">
        <x:v>Software/project or provider/operator-specific; standalone service terms U/K</x:v>
      </x:c>
      <x:c r="E19" s="346" t="str">
        <x:v>U/K</x:v>
      </x:c>
      <x:c r="F19" s="346" t="str">
        <x:v>U/K</x:v>
      </x:c>
      <x:c r="G19" s="346" t="str">
        <x:v>U/K</x:v>
      </x:c>
      <x:c r="H19" s="346" t="str">
        <x:v>U/K</x:v>
      </x:c>
      <x:c r="I19" s="346" t="str">
        <x:v>U/K</x:v>
      </x:c>
      <x:c r="J19" s="346" t="str">
        <x:v>U/K</x:v>
      </x:c>
      <x:c r="K19" s="346" t="str">
        <x:v>U/K</x:v>
      </x:c>
      <x:c r="L19" s="346" t="str">
        <x:v>U/K</x:v>
      </x:c>
      <x:c r="M19" s="346" t="str">
        <x:v>Provider/operator-specific or U/K</x:v>
      </x:c>
      <x:c r="N19" s="346" t="str">
        <x:v>U/K</x:v>
      </x:c>
      <x:c r="O19" s="346" t="str">
        <x:v>U/K</x:v>
      </x:c>
      <x:c r="P19" s="346" t="str">
        <x:v>U/K</x:v>
      </x:c>
      <x:c r="Q19" s="346" t="str">
        <x:v>U/K</x:v>
      </x:c>
      <x:c r="R19" s="346" t="str">
        <x:v>U/K</x:v>
      </x:c>
      <x:c r="S19" s="346" t="str">
        <x:v>U/K</x:v>
      </x:c>
      <x:c r="T19" s="346" t="str">
        <x:v>U/K</x:v>
      </x:c>
      <x:c r="U19" s="346" t="str">
        <x:v>U/K</x:v>
      </x:c>
      <x:c r="V19" s="346" t="str">
        <x:v>Operator/provider policy applies where self-hosted</x:v>
      </x:c>
      <x:c r="W19" s="346" t="str">
        <x:v>Formal public legal policy coverage is incomplete.</x:v>
      </x:c>
      <x:c r="X19" s="346" t="str">
        <x:v>2026-09-15</x:v>
      </x:c>
      <x:c r="Y19" s="346" t="str">
        <x:v>Policy page not verified / operator-specific</x:v>
      </x:c>
    </x:row>
    <x:row r="20" ht="34" customHeight="1">
      <x:c r="A20" s="346" t="str">
        <x:v>Mezon</x:v>
      </x:c>
      <x:c r="B20" s="346" t="str">
        <x:v>Mezon communication service plus Mezon Dong payment ecosystem</x:v>
      </x:c>
      <x:c r="C20" s="346" t="str">
        <x:v>https://dong.mezon.ai/</x:v>
      </x:c>
      <x:c r="D20" s="346" t="str">
        <x:v>Software/project or provider/operator-specific; standalone service terms U/K</x:v>
      </x:c>
      <x:c r="E20" s="346" t="str">
        <x:v>U/K</x:v>
      </x:c>
      <x:c r="F20" s="346" t="str">
        <x:v>U/K</x:v>
      </x:c>
      <x:c r="G20" s="346" t="str">
        <x:v>U/K</x:v>
      </x:c>
      <x:c r="H20" s="346" t="str">
        <x:v>U/K</x:v>
      </x:c>
      <x:c r="I20" s="346" t="str">
        <x:v>U/K</x:v>
      </x:c>
      <x:c r="J20" s="346" t="str">
        <x:v>U/K</x:v>
      </x:c>
      <x:c r="K20" s="346" t="str">
        <x:v>U/K</x:v>
      </x:c>
      <x:c r="L20" s="346" t="str">
        <x:v>https://dong.mezon.ai/</x:v>
      </x:c>
      <x:c r="M20" s="346" t="str">
        <x:v>Provider/operator-specific or U/K</x:v>
      </x:c>
      <x:c r="N20" s="346" t="str">
        <x:v>U/K</x:v>
      </x:c>
      <x:c r="O20" s="346" t="str">
        <x:v>U/K</x:v>
      </x:c>
      <x:c r="P20" s="346" t="str">
        <x:v>U/K</x:v>
      </x:c>
      <x:c r="Q20" s="346" t="str">
        <x:v>U/K</x:v>
      </x:c>
      <x:c r="R20" s="346" t="str">
        <x:v>U/K</x:v>
      </x:c>
      <x:c r="S20" s="346" t="str">
        <x:v>U/K</x:v>
      </x:c>
      <x:c r="T20" s="346" t="str">
        <x:v>U/K</x:v>
      </x:c>
      <x:c r="U20" s="346" t="str">
        <x:v>U/K</x:v>
      </x:c>
      <x:c r="V20" s="346" t="str">
        <x:v>Operator/provider policy applies where self-hosted</x:v>
      </x:c>
      <x:c r="W20" s="346" t="str">
        <x:v>Legal links are exposed on Mezon Dong; exact normalized URLs U/K.</x:v>
      </x:c>
      <x:c r="X20" s="346" t="str">
        <x:v>2026-09-15</x:v>
      </x:c>
      <x:c r="Y20" s="346" t="str">
        <x:v>Primary / first-party policy or project source recorded</x:v>
      </x:c>
    </x:row>
    <x:row r="21" ht="34" customHeight="1">
      <x:c r="A21" s="346" t="str">
        <x:v>Kloak</x:v>
      </x:c>
      <x:c r="B21" s="346" t="str">
        <x:v>Kloak-hosted privacy-focused service</x:v>
      </x:c>
      <x:c r="C21" s="346" t="str">
        <x:v>https://kloak.app/terms</x:v>
      </x:c>
      <x:c r="D21" s="346" t="str">
        <x:v>Last updated January 2025</x:v>
      </x:c>
      <x:c r="E21" s="346" t="str">
        <x:v>U/K</x:v>
      </x:c>
      <x:c r="F21" s="346" t="str">
        <x:v>Yes</x:v>
      </x:c>
      <x:c r="G21" s="346" t="str">
        <x:v>U/K</x:v>
      </x:c>
      <x:c r="H21" s="346" t="str">
        <x:v>Yes</x:v>
      </x:c>
      <x:c r="I21" s="346" t="str">
        <x:v>U/K</x:v>
      </x:c>
      <x:c r="J21" s="346" t="str">
        <x:v>U/K</x:v>
      </x:c>
      <x:c r="K21" s="346" t="str">
        <x:v>No subscriptions; self-funding + donations</x:v>
      </x:c>
      <x:c r="L21" s="346" t="str">
        <x:v>https://kloak.app/privacy</x:v>
      </x:c>
      <x:c r="M21" s="346" t="str">
        <x:v>Current privacy page / exact update U/K</x:v>
      </x:c>
      <x:c r="N21" s="346" t="str">
        <x:v>U/K</x:v>
      </x:c>
      <x:c r="O21" s="346" t="str">
        <x:v>No / project says no data harvesting</x:v>
      </x:c>
      <x:c r="P21" s="346" t="str">
        <x:v>No ads</x:v>
      </x:c>
      <x:c r="Q21" s="346" t="str">
        <x:v>U/K</x:v>
      </x:c>
      <x:c r="R21" s="346" t="str">
        <x:v>Current server-readable model until planned zero-knowledge strategy is deployed</x:v>
      </x:c>
      <x:c r="S21" s="346" t="str">
        <x:v>U/K</x:v>
      </x:c>
      <x:c r="T21" s="346" t="str">
        <x:v>U/K</x:v>
      </x:c>
      <x:c r="U21" s="346" t="str">
        <x:v>U/K</x:v>
      </x:c>
      <x:c r="V21" s="346" t="str">
        <x:v>N/A - no self-hosting verified</x:v>
      </x:c>
      <x:c r="W21" s="346" t="str">
        <x:v>Kloak states no subscriptions, ads or data harvesting.</x:v>
      </x:c>
      <x:c r="X21" s="346" t="str">
        <x:v>2026-09-15</x:v>
      </x:c>
      <x:c r="Y21" s="346" t="str">
        <x:v>Primary / first-party policy or project source recorded</x:v>
      </x:c>
    </x:row>
    <x:row r="22" ht="34" customHeight="1">
      <x:c r="A22" s="346" t="str">
        <x:v>Yapper</x:v>
      </x:c>
      <x:c r="B22" s="346" t="str">
        <x:v>yapper.gg account/license service plus self-host or managed server</x:v>
      </x:c>
      <x:c r="C22" s="346" t="str">
        <x:v>U/K</x:v>
      </x:c>
      <x:c r="D22" s="346" t="str">
        <x:v>No standalone Terms page verified</x:v>
      </x:c>
      <x:c r="E22" s="346" t="str">
        <x:v>U/K</x:v>
      </x:c>
      <x:c r="F22" s="346" t="str">
        <x:v>Operator/user content ownership</x:v>
      </x:c>
      <x:c r="G22" s="346" t="str">
        <x:v>U/K</x:v>
      </x:c>
      <x:c r="H22" s="346" t="str">
        <x:v>U/K</x:v>
      </x:c>
      <x:c r="I22" s="346" t="str">
        <x:v>U/K</x:v>
      </x:c>
      <x:c r="J22" s="346" t="str">
        <x:v>U/K</x:v>
      </x:c>
      <x:c r="K22" s="346" t="str">
        <x:v>Self-host license $0; managed hosting €90/yr regular, €45 promo through 2027-01-31</x:v>
      </x:c>
      <x:c r="L22" s="346" t="str">
        <x:v>https://yapper.gg/privacy-policy</x:v>
      </x:c>
      <x:c r="M22" s="346" t="str">
        <x:v>Last updated 2026-06-30</x:v>
      </x:c>
      <x:c r="N22" s="346" t="str">
        <x:v>Email, username and account/license-validation data; self-host content stays on operator server</x:v>
      </x:c>
      <x:c r="O22" s="346" t="str">
        <x:v>No</x:v>
      </x:c>
      <x:c r="P22" s="346" t="str">
        <x:v>No surveillance/ad model stated</x:v>
      </x:c>
      <x:c r="Q22" s="346" t="str">
        <x:v>No model-training use stated</x:v>
      </x:c>
      <x:c r="R22" s="346" t="str">
        <x:v>yapper.gg cannot access self-hosted chat/voice/screen content</x:v>
      </x:c>
      <x:c r="S22" s="346" t="str">
        <x:v>U/K</x:v>
      </x:c>
      <x:c r="T22" s="346" t="str">
        <x:v>U/K</x:v>
      </x:c>
      <x:c r="U22" s="346" t="str">
        <x:v>Google Sign-In, optional tools and hosting/payment services</x:v>
      </x:c>
      <x:c r="V22" s="346" t="str">
        <x:v>Self-host operator is responsible for server content/data</x:v>
      </x:c>
      <x:c r="W22" s="346" t="str">
        <x:v>Managed hosting and self-host privacy responsibilities differ.</x:v>
      </x:c>
      <x:c r="X22" s="346" t="str">
        <x:v>2026-09-15</x:v>
      </x:c>
      <x:c r="Y22" s="346" t="str">
        <x:v>Primary / first-party policy or project source recorded</x:v>
      </x:c>
    </x:row>
    <x:row r="23" ht="34" customHeight="1">
      <x:c r="A23" s="346" t="str">
        <x:v>Harmony</x:v>
      </x:c>
      <x:c r="B23" s="346" t="str">
        <x:v>Open-source Harmony platform/server; Fermi is a client</x:v>
      </x:c>
      <x:c r="C23" s="346" t="str">
        <x:v>U/K</x:v>
      </x:c>
      <x:c r="D23" s="346" t="str">
        <x:v>Software/project or provider/operator-specific; standalone service terms U/K</x:v>
      </x:c>
      <x:c r="E23" s="346" t="str">
        <x:v>U/K</x:v>
      </x:c>
      <x:c r="F23" s="346" t="str">
        <x:v>U/K</x:v>
      </x:c>
      <x:c r="G23" s="346" t="str">
        <x:v>U/K</x:v>
      </x:c>
      <x:c r="H23" s="346" t="str">
        <x:v>U/K</x:v>
      </x:c>
      <x:c r="I23" s="346" t="str">
        <x:v>U/K</x:v>
      </x:c>
      <x:c r="J23" s="346" t="str">
        <x:v>U/K</x:v>
      </x:c>
      <x:c r="K23" s="346" t="str">
        <x:v>U/K</x:v>
      </x:c>
      <x:c r="L23" s="346" t="str">
        <x:v>U/K</x:v>
      </x:c>
      <x:c r="M23" s="346" t="str">
        <x:v>Provider/operator-specific or U/K</x:v>
      </x:c>
      <x:c r="N23" s="346" t="str">
        <x:v>U/K</x:v>
      </x:c>
      <x:c r="O23" s="346" t="str">
        <x:v>U/K</x:v>
      </x:c>
      <x:c r="P23" s="346" t="str">
        <x:v>U/K</x:v>
      </x:c>
      <x:c r="Q23" s="346" t="str">
        <x:v>U/K</x:v>
      </x:c>
      <x:c r="R23" s="346" t="str">
        <x:v>U/K</x:v>
      </x:c>
      <x:c r="S23" s="346" t="str">
        <x:v>U/K</x:v>
      </x:c>
      <x:c r="T23" s="346" t="str">
        <x:v>U/K</x:v>
      </x:c>
      <x:c r="U23" s="346" t="str">
        <x:v>U/K</x:v>
      </x:c>
      <x:c r="V23" s="346" t="str">
        <x:v>Operator/provider policy applies where self-hosted</x:v>
      </x:c>
      <x:c r="W23" s="346" t="str">
        <x:v>No central consumer service policy verified; self-host operator policy applies.</x:v>
      </x:c>
      <x:c r="X23" s="346" t="str">
        <x:v>2026-09-15</x:v>
      </x:c>
      <x:c r="Y23" s="346" t="str">
        <x:v>Policy page not verified / operator-specific</x:v>
      </x:c>
    </x:row>
    <x:row r="24" ht="34" customHeight="1">
      <x:c r="A24" s="346" t="str">
        <x:v>Roomy</x:v>
      </x:c>
      <x:c r="B24" s="346" t="str">
        <x:v>Open-source ATProto application/appserver</x:v>
      </x:c>
      <x:c r="C24" s="346" t="str">
        <x:v>U/K</x:v>
      </x:c>
      <x:c r="D24" s="346" t="str">
        <x:v>Software/project or provider/operator-specific; standalone service terms U/K</x:v>
      </x:c>
      <x:c r="E24" s="346" t="str">
        <x:v>U/K</x:v>
      </x:c>
      <x:c r="F24" s="346" t="str">
        <x:v>U/K</x:v>
      </x:c>
      <x:c r="G24" s="346" t="str">
        <x:v>U/K</x:v>
      </x:c>
      <x:c r="H24" s="346" t="str">
        <x:v>U/K</x:v>
      </x:c>
      <x:c r="I24" s="346" t="str">
        <x:v>U/K</x:v>
      </x:c>
      <x:c r="J24" s="346" t="str">
        <x:v>U/K</x:v>
      </x:c>
      <x:c r="K24" s="346" t="str">
        <x:v>U/K</x:v>
      </x:c>
      <x:c r="L24" s="346" t="str">
        <x:v>U/K</x:v>
      </x:c>
      <x:c r="M24" s="346" t="str">
        <x:v>Provider/operator-specific or U/K</x:v>
      </x:c>
      <x:c r="N24" s="346" t="str">
        <x:v>U/K</x:v>
      </x:c>
      <x:c r="O24" s="346" t="str">
        <x:v>U/K</x:v>
      </x:c>
      <x:c r="P24" s="346" t="str">
        <x:v>U/K</x:v>
      </x:c>
      <x:c r="Q24" s="346" t="str">
        <x:v>U/K</x:v>
      </x:c>
      <x:c r="R24" s="346" t="str">
        <x:v>U/K</x:v>
      </x:c>
      <x:c r="S24" s="346" t="str">
        <x:v>U/K</x:v>
      </x:c>
      <x:c r="T24" s="346" t="str">
        <x:v>U/K</x:v>
      </x:c>
      <x:c r="U24" s="346" t="str">
        <x:v>U/K</x:v>
      </x:c>
      <x:c r="V24" s="346" t="str">
        <x:v>Operator/provider policy applies where self-hosted</x:v>
      </x:c>
      <x:c r="W24" s="346" t="str">
        <x:v>Provider/PDS/appserver policies apply; no Roomy consumer policy verified.</x:v>
      </x:c>
      <x:c r="X24" s="346" t="str">
        <x:v>2026-09-15</x:v>
      </x:c>
      <x:c r="Y24" s="346" t="str">
        <x:v>Policy page not verified / operator-specific</x:v>
      </x:c>
    </x:row>
    <x:row r="25" ht="34" customHeight="1">
      <x:c r="A25" s="346" t="str">
        <x:v>Armada</x:v>
      </x:c>
      <x:c r="B25" s="346" t="str">
        <x:v>Open-source Nostr/Concord client/relay ecosystem</x:v>
      </x:c>
      <x:c r="C25" s="346" t="str">
        <x:v>https://github.com/soapbox-pub/armada</x:v>
      </x:c>
      <x:c r="D25" s="346" t="str">
        <x:v>Software/project or provider/operator-specific; standalone service terms U/K</x:v>
      </x:c>
      <x:c r="E25" s="346" t="str">
        <x:v>U/K</x:v>
      </x:c>
      <x:c r="F25" s="346" t="str">
        <x:v>U/K</x:v>
      </x:c>
      <x:c r="G25" s="346" t="str">
        <x:v>U/K</x:v>
      </x:c>
      <x:c r="H25" s="346" t="str">
        <x:v>U/K</x:v>
      </x:c>
      <x:c r="I25" s="346" t="str">
        <x:v>U/K</x:v>
      </x:c>
      <x:c r="J25" s="346" t="str">
        <x:v>U/K</x:v>
      </x:c>
      <x:c r="K25" s="346" t="str">
        <x:v>U/K</x:v>
      </x:c>
      <x:c r="L25" s="346" t="str">
        <x:v>https://github.com/soapbox-pub/armada</x:v>
      </x:c>
      <x:c r="M25" s="346" t="str">
        <x:v>Provider/operator-specific or U/K</x:v>
      </x:c>
      <x:c r="N25" s="346" t="str">
        <x:v>U/K</x:v>
      </x:c>
      <x:c r="O25" s="346" t="str">
        <x:v>U/K</x:v>
      </x:c>
      <x:c r="P25" s="346" t="str">
        <x:v>U/K</x:v>
      </x:c>
      <x:c r="Q25" s="346" t="str">
        <x:v>U/K</x:v>
      </x:c>
      <x:c r="R25" s="346" t="str">
        <x:v>U/K</x:v>
      </x:c>
      <x:c r="S25" s="346" t="str">
        <x:v>U/K</x:v>
      </x:c>
      <x:c r="T25" s="346" t="str">
        <x:v>U/K</x:v>
      </x:c>
      <x:c r="U25" s="346" t="str">
        <x:v>U/K</x:v>
      </x:c>
      <x:c r="V25" s="346" t="str">
        <x:v>Operator/provider policy applies where self-hosted</x:v>
      </x:c>
      <x:c r="W25" s="346" t="str">
        <x:v>No central consumer service terms; relay/provider policies apply.</x:v>
      </x:c>
      <x:c r="X25" s="346" t="str">
        <x:v>2026-09-15</x:v>
      </x:c>
      <x:c r="Y25" s="346" t="str">
        <x:v>Primary / first-party policy or project source recorded</x:v>
      </x:c>
    </x:row>
    <x:row r="26" ht="34" customHeight="1">
      <x:c r="A26" s="346" t="str">
        <x:v>Hollow</x:v>
      </x:c>
      <x:c r="B26" s="346" t="str">
        <x:v>Local-first distributed app with optional relays</x:v>
      </x:c>
      <x:c r="C26" s="346" t="str">
        <x:v>https://github.com/VitalikPro13/HOLLOW</x:v>
      </x:c>
      <x:c r="D26" s="346" t="str">
        <x:v>Software/project or provider/operator-specific; standalone service terms U/K</x:v>
      </x:c>
      <x:c r="E26" s="346" t="str">
        <x:v>U/K</x:v>
      </x:c>
      <x:c r="F26" s="346" t="str">
        <x:v>U/K</x:v>
      </x:c>
      <x:c r="G26" s="346" t="str">
        <x:v>U/K</x:v>
      </x:c>
      <x:c r="H26" s="346" t="str">
        <x:v>U/K</x:v>
      </x:c>
      <x:c r="I26" s="346" t="str">
        <x:v>U/K</x:v>
      </x:c>
      <x:c r="J26" s="346" t="str">
        <x:v>U/K</x:v>
      </x:c>
      <x:c r="K26" s="346" t="str">
        <x:v>U/K</x:v>
      </x:c>
      <x:c r="L26" s="346" t="str">
        <x:v>https://github.com/VitalikPro13/HOLLOW</x:v>
      </x:c>
      <x:c r="M26" s="346" t="str">
        <x:v>Provider/operator-specific or U/K</x:v>
      </x:c>
      <x:c r="N26" s="346" t="str">
        <x:v>U/K</x:v>
      </x:c>
      <x:c r="O26" s="346" t="str">
        <x:v>U/K</x:v>
      </x:c>
      <x:c r="P26" s="346" t="str">
        <x:v>U/K</x:v>
      </x:c>
      <x:c r="Q26" s="346" t="str">
        <x:v>U/K</x:v>
      </x:c>
      <x:c r="R26" s="346" t="str">
        <x:v>U/K</x:v>
      </x:c>
      <x:c r="S26" s="346" t="str">
        <x:v>U/K</x:v>
      </x:c>
      <x:c r="T26" s="346" t="str">
        <x:v>U/K</x:v>
      </x:c>
      <x:c r="U26" s="346" t="str">
        <x:v>U/K</x:v>
      </x:c>
      <x:c r="V26" s="346" t="str">
        <x:v>Operator/provider policy applies where self-hosted</x:v>
      </x:c>
      <x:c r="W26" s="346" t="str">
        <x:v>Repository contains Terms/Privacy docs; exact file URLs not normalized here.</x:v>
      </x:c>
      <x:c r="X26" s="346" t="str">
        <x:v>2026-09-15</x:v>
      </x:c>
      <x:c r="Y26" s="346" t="str">
        <x:v>Primary / first-party policy or project source recorded</x:v>
      </x:c>
    </x:row>
    <x:row r="27" ht="34" customHeight="1">
      <x:c r="A27" s="346" t="str">
        <x:v>DCTS</x:v>
      </x:c>
      <x:c r="B27" s="346" t="str">
        <x:v>Self-host-first open-source platform</x:v>
      </x:c>
      <x:c r="C27" s="346" t="str">
        <x:v>U/K</x:v>
      </x:c>
      <x:c r="D27" s="346" t="str">
        <x:v>Software/project or provider/operator-specific; standalone service terms U/K</x:v>
      </x:c>
      <x:c r="E27" s="346" t="str">
        <x:v>U/K</x:v>
      </x:c>
      <x:c r="F27" s="346" t="str">
        <x:v>U/K</x:v>
      </x:c>
      <x:c r="G27" s="346" t="str">
        <x:v>U/K</x:v>
      </x:c>
      <x:c r="H27" s="346" t="str">
        <x:v>U/K</x:v>
      </x:c>
      <x:c r="I27" s="346" t="str">
        <x:v>U/K</x:v>
      </x:c>
      <x:c r="J27" s="346" t="str">
        <x:v>U/K</x:v>
      </x:c>
      <x:c r="K27" s="346" t="str">
        <x:v>U/K</x:v>
      </x:c>
      <x:c r="L27" s="346" t="str">
        <x:v>U/K</x:v>
      </x:c>
      <x:c r="M27" s="346" t="str">
        <x:v>Provider/operator-specific or U/K</x:v>
      </x:c>
      <x:c r="N27" s="346" t="str">
        <x:v>U/K</x:v>
      </x:c>
      <x:c r="O27" s="346" t="str">
        <x:v>U/K</x:v>
      </x:c>
      <x:c r="P27" s="346" t="str">
        <x:v>U/K</x:v>
      </x:c>
      <x:c r="Q27" s="346" t="str">
        <x:v>U/K</x:v>
      </x:c>
      <x:c r="R27" s="346" t="str">
        <x:v>U/K</x:v>
      </x:c>
      <x:c r="S27" s="346" t="str">
        <x:v>U/K</x:v>
      </x:c>
      <x:c r="T27" s="346" t="str">
        <x:v>U/K</x:v>
      </x:c>
      <x:c r="U27" s="346" t="str">
        <x:v>U/K</x:v>
      </x:c>
      <x:c r="V27" s="346" t="str">
        <x:v>Operator/provider policy applies where self-hosted</x:v>
      </x:c>
      <x:c r="W27" s="346" t="str">
        <x:v>No centralized consumer ToS/privacy verified; instance operator policies apply.</x:v>
      </x:c>
      <x:c r="X27" s="346" t="str">
        <x:v>2026-09-15</x:v>
      </x:c>
      <x:c r="Y27" s="346" t="str">
        <x:v>Policy page not verified / operator-specific</x:v>
      </x:c>
    </x:row>
    <x:row r="28" ht="34" customHeight="1">
      <x:c r="A28" s="346" t="str">
        <x:v>Rift</x:v>
      </x:c>
      <x:c r="B28" s="346" t="str">
        <x:v>Rift-operated centralized service</x:v>
      </x:c>
      <x:c r="C28" s="346" t="str">
        <x:v>https://therift.chat/terms/</x:v>
      </x:c>
      <x:c r="D28" s="346" t="str">
        <x:v>Last updated August 2026</x:v>
      </x:c>
      <x:c r="E28" s="346" t="str">
        <x:v>18+ or age of majority, whichever is higher</x:v>
      </x:c>
      <x:c r="F28" s="346" t="str">
        <x:v>Yes</x:v>
      </x:c>
      <x:c r="G28" s="346" t="str">
        <x:v>U/K</x:v>
      </x:c>
      <x:c r="H28" s="346" t="str">
        <x:v>Yes</x:v>
      </x:c>
      <x:c r="I28" s="346" t="str">
        <x:v>U/K</x:v>
      </x:c>
      <x:c r="J28" s="346" t="str">
        <x:v>U/K</x:v>
      </x:c>
      <x:c r="K28" s="346" t="str">
        <x:v>Subscriptions auto-renew; cancel anytime; generally no partial refunds except law/case-by-case</x:v>
      </x:c>
      <x:c r="L28" s="346" t="str">
        <x:v>https://therift.chat/privacy/</x:v>
      </x:c>
      <x:c r="M28" s="346" t="str">
        <x:v>Last updated August 2026</x:v>
      </x:c>
      <x:c r="N28" s="346" t="str">
        <x:v>Username/public key, age attestation, payment status, limited diagnostics/media metadata</x:v>
      </x:c>
      <x:c r="O28" s="346" t="str">
        <x:v>No</x:v>
      </x:c>
      <x:c r="P28" s="346" t="str">
        <x:v>No behavioral advertising/tracking</x:v>
      </x:c>
      <x:c r="Q28" s="346" t="str">
        <x:v>No messages/media/profile data used to train AI models</x:v>
      </x:c>
      <x:c r="R28" s="346" t="str">
        <x:v>Cannot read E2EE DM plaintext; can process non-E2EE community text</x:v>
      </x:c>
      <x:c r="S28" s="346" t="str">
        <x:v>Rift says it does not store IP addresses</x:v>
      </x:c>
      <x:c r="T28" s="346" t="str">
        <x:v>Hard-delete/account-deletion claims with legal exceptions</x:v>
      </x:c>
      <x:c r="U28" s="346" t="str">
        <x:v>Stripe, Cloudflare R2, optional Sentry; self-hosted voice/video infra</x:v>
      </x:c>
      <x:c r="V28" s="346" t="str">
        <x:v>N/A - no self-hosting</x:v>
      </x:c>
      <x:c r="W28" s="346" t="str">
        <x:v>No email, phone or government ID required.</x:v>
      </x:c>
      <x:c r="X28" s="346" t="str">
        <x:v>2026-09-15</x:v>
      </x:c>
      <x:c r="Y28" s="346" t="str">
        <x:v>Primary / first-party policy or project source recorded</x:v>
      </x:c>
    </x:row>
    <x:row r="29" ht="34" customHeight="1">
      <x:c r="A29" s="346" t="str">
        <x:v>pqp.gg</x:v>
      </x:c>
      <x:c r="B29" s="346" t="str">
        <x:v>Hosted pqp.gg service plus AGPL self-hosting</x:v>
      </x:c>
      <x:c r="C29" s="346" t="str">
        <x:v>U/K</x:v>
      </x:c>
      <x:c r="D29" s="346" t="str">
        <x:v>Software/project or provider/operator-specific; standalone service terms U/K</x:v>
      </x:c>
      <x:c r="E29" s="346" t="str">
        <x:v>U/K</x:v>
      </x:c>
      <x:c r="F29" s="346" t="str">
        <x:v>U/K</x:v>
      </x:c>
      <x:c r="G29" s="346" t="str">
        <x:v>U/K</x:v>
      </x:c>
      <x:c r="H29" s="346" t="str">
        <x:v>U/K</x:v>
      </x:c>
      <x:c r="I29" s="346" t="str">
        <x:v>U/K</x:v>
      </x:c>
      <x:c r="J29" s="346" t="str">
        <x:v>U/K</x:v>
      </x:c>
      <x:c r="K29" s="346" t="str">
        <x:v>U/K</x:v>
      </x:c>
      <x:c r="L29" s="346" t="str">
        <x:v>U/K</x:v>
      </x:c>
      <x:c r="M29" s="346" t="str">
        <x:v>Provider/operator-specific or U/K</x:v>
      </x:c>
      <x:c r="N29" s="346" t="str">
        <x:v>U/K</x:v>
      </x:c>
      <x:c r="O29" s="346" t="str">
        <x:v>U/K</x:v>
      </x:c>
      <x:c r="P29" s="346" t="str">
        <x:v>U/K</x:v>
      </x:c>
      <x:c r="Q29" s="346" t="str">
        <x:v>U/K</x:v>
      </x:c>
      <x:c r="R29" s="346" t="str">
        <x:v>U/K</x:v>
      </x:c>
      <x:c r="S29" s="346" t="str">
        <x:v>U/K</x:v>
      </x:c>
      <x:c r="T29" s="346" t="str">
        <x:v>U/K</x:v>
      </x:c>
      <x:c r="U29" s="346" t="str">
        <x:v>U/K</x:v>
      </x:c>
      <x:c r="V29" s="346" t="str">
        <x:v>Operator/provider policy applies where self-hosted</x:v>
      </x:c>
      <x:c r="W29" s="346" t="str">
        <x:v>No standalone legal pages verified; export/delete and self-host controls are documented.</x:v>
      </x:c>
      <x:c r="X29" s="346" t="str">
        <x:v>2026-09-15</x:v>
      </x:c>
      <x:c r="Y29" s="346" t="str">
        <x:v>Policy page not verified / operator-specific</x:v>
      </x:c>
    </x:row>
    <x:row r="30" ht="34" customHeight="1">
      <x:c r="A30" s="346" t="str">
        <x:v>Echon</x:v>
      </x:c>
      <x:c r="B30" s="346" t="str">
        <x:v>Echon-hosted centralized service</x:v>
      </x:c>
      <x:c r="C30" s="346" t="str">
        <x:v>U/K</x:v>
      </x:c>
      <x:c r="D30" s="346" t="str">
        <x:v>No standalone Terms page verified</x:v>
      </x:c>
      <x:c r="E30" s="346" t="str">
        <x:v>13+ per signup/privacy policy</x:v>
      </x:c>
      <x:c r="F30" s="346" t="str">
        <x:v>U/K</x:v>
      </x:c>
      <x:c r="G30" s="346" t="str">
        <x:v>U/K</x:v>
      </x:c>
      <x:c r="H30" s="346" t="str">
        <x:v>U/K</x:v>
      </x:c>
      <x:c r="I30" s="346" t="str">
        <x:v>U/K</x:v>
      </x:c>
      <x:c r="J30" s="346" t="str">
        <x:v>LJAN Enterprises LLC (U.S.); team in Canada; exact law clause U/K</x:v>
      </x:c>
      <x:c r="K30" s="346" t="str">
        <x:v>Privacy policy references Stripe and premium/boost tiers when active</x:v>
      </x:c>
      <x:c r="L30" s="346" t="str">
        <x:v>https://echon-voice.com/privacy</x:v>
      </x:c>
      <x:c r="M30" s="346" t="str">
        <x:v>Last updated 2026-06-10</x:v>
      </x:c>
      <x:c r="N30" s="346" t="str">
        <x:v>Email, username/handle, DOB, profile, stored text/uploads, IP/user-agent, device IDs, diagnostics</x:v>
      </x:c>
      <x:c r="O30" s="346" t="str">
        <x:v>No</x:v>
      </x:c>
      <x:c r="P30" s="346" t="str">
        <x:v>No third-party tracking/advertising IDs</x:v>
      </x:c>
      <x:c r="Q30" s="346" t="str">
        <x:v>Messages/voice not used to train ML models</x:v>
      </x:c>
      <x:c r="R30" s="346" t="str">
        <x:v>Yes for text; voice/screen through LiveKit Cloud are not recorded</x:v>
      </x:c>
      <x:c r="S30" s="346" t="str">
        <x:v>Raw IP short-lived in access logs; hashed form used for analytics/security</x:v>
      </x:c>
      <x:c r="T30" s="346" t="str">
        <x:v>U/K</x:v>
      </x:c>
      <x:c r="U30" s="346" t="str">
        <x:v>LiveKit Cloud, Stripe, SendGrid, Sentry, AWS</x:v>
      </x:c>
      <x:c r="V30" s="346" t="str">
        <x:v>N/A - no self-hosting verified</x:v>
      </x:c>
      <x:c r="W30" s="346" t="str">
        <x:v>Premium/boost amounts and exact scope are not public.</x:v>
      </x:c>
      <x:c r="X30" s="346" t="str">
        <x:v>2026-09-15</x:v>
      </x:c>
      <x:c r="Y30" s="346" t="str">
        <x:v>Primary / first-party policy or project source recorded</x:v>
      </x:c>
    </x:row>
    <x:row r="31" ht="34" customHeight="1">
      <x:c r="A31" s="346" t="str">
        <x:v>Valour</x:v>
      </x:c>
      <x:c r="B31" s="346" t="str">
        <x:v>Valour-hosted service plus AGPL self-host/federated nodes</x:v>
      </x:c>
      <x:c r="C31" s="346" t="str">
        <x:v>U/K</x:v>
      </x:c>
      <x:c r="D31" s="346" t="str">
        <x:v>No standalone current Terms page verified</x:v>
      </x:c>
      <x:c r="E31" s="346" t="str">
        <x:v>U/K</x:v>
      </x:c>
      <x:c r="F31" s="346" t="str">
        <x:v>U/K</x:v>
      </x:c>
      <x:c r="G31" s="346" t="str">
        <x:v>U/K</x:v>
      </x:c>
      <x:c r="H31" s="346" t="str">
        <x:v>U/K</x:v>
      </x:c>
      <x:c r="I31" s="346" t="str">
        <x:v>U/K</x:v>
      </x:c>
      <x:c r="J31" s="346" t="str">
        <x:v>U/K</x:v>
      </x:c>
      <x:c r="K31" s="346" t="str">
        <x:v>Optional Stargazer subscription; price U/K</x:v>
      </x:c>
      <x:c r="L31" s="346" t="str">
        <x:v>U/K</x:v>
      </x:c>
      <x:c r="M31" s="346" t="str">
        <x:v>No standalone current Privacy page verified</x:v>
      </x:c>
      <x:c r="N31" s="346" t="str">
        <x:v>Email/account and hosted community data; exact categories U/K</x:v>
      </x:c>
      <x:c r="O31" s="346" t="str">
        <x:v>No</x:v>
      </x:c>
      <x:c r="P31" s="346" t="str">
        <x:v>No ads</x:v>
      </x:c>
      <x:c r="Q31" s="346" t="str">
        <x:v>U/K</x:v>
      </x:c>
      <x:c r="R31" s="346" t="str">
        <x:v>Official hosted service can read ordinary stored text unless encrypted feature says otherwise</x:v>
      </x:c>
      <x:c r="S31" s="346" t="str">
        <x:v>U/K</x:v>
      </x:c>
      <x:c r="T31" s="346" t="str">
        <x:v>U/K</x:v>
      </x:c>
      <x:c r="U31" s="346" t="str">
        <x:v>U/K</x:v>
      </x:c>
      <x:c r="V31" s="346" t="str">
        <x:v>Self-host node operator sets local policy; official/federated nodes may differ</x:v>
      </x:c>
      <x:c r="W31" s="346" t="str">
        <x:v>FAQ says no phone/ID, no ads, no data selling; AGPL client/server.</x:v>
      </x:c>
      <x:c r="X31" s="346" t="str">
        <x:v>2026-09-15</x:v>
      </x:c>
      <x:c r="Y31" s="346" t="str">
        <x:v>Policy page not verified / operator-specific</x:v>
      </x:c>
    </x:row>
    <x:row r="32" ht="34" customHeight="1">
      <x:c r="A32" s="346" t="str">
        <x:v>Weered</x:v>
      </x:c>
      <x:c r="B32" s="346" t="str">
        <x:v>Weered-hosted lobby/community service</x:v>
      </x:c>
      <x:c r="C32" s="346" t="str">
        <x:v>U/K</x:v>
      </x:c>
      <x:c r="D32" s="346" t="str">
        <x:v>No standalone public Terms page verified</x:v>
      </x:c>
      <x:c r="E32" s="346" t="str">
        <x:v>U/K</x:v>
      </x:c>
      <x:c r="F32" s="346" t="str">
        <x:v>U/K</x:v>
      </x:c>
      <x:c r="G32" s="346" t="str">
        <x:v>U/K</x:v>
      </x:c>
      <x:c r="H32" s="346" t="str">
        <x:v>U/K</x:v>
      </x:c>
      <x:c r="I32" s="346" t="str">
        <x:v>U/K</x:v>
      </x:c>
      <x:c r="J32" s="346" t="str">
        <x:v>Hosted in Canada</x:v>
      </x:c>
      <x:c r="K32" s="346" t="str">
        <x:v>$6/mo own lobby; custom builds quoted by size; builds are month-to-month/no contract</x:v>
      </x:c>
      <x:c r="L32" s="346" t="str">
        <x:v>U/K</x:v>
      </x:c>
      <x:c r="M32" s="346" t="str">
        <x:v>No standalone public Privacy page verified</x:v>
      </x:c>
      <x:c r="N32" s="346" t="str">
        <x:v>Hosted account/community data; exact categories U/K</x:v>
      </x:c>
      <x:c r="O32" s="346" t="str">
        <x:v>U/K</x:v>
      </x:c>
      <x:c r="P32" s="346" t="str">
        <x:v>U/K</x:v>
      </x:c>
      <x:c r="Q32" s="346" t="str">
        <x:v>U/K</x:v>
      </x:c>
      <x:c r="R32" s="346" t="str">
        <x:v>Hosted service can process stored lobby/chat content</x:v>
      </x:c>
      <x:c r="S32" s="346" t="str">
        <x:v>U/K</x:v>
      </x:c>
      <x:c r="T32" s="346" t="str">
        <x:v>Custom-build member data exportable at any time</x:v>
      </x:c>
      <x:c r="U32" s="346" t="str">
        <x:v>Canada-hosted infrastructure</x:v>
      </x:c>
      <x:c r="V32" s="346" t="str">
        <x:v>N/A - no self-host product described</x:v>
      </x:c>
      <x:c r="W32" s="346" t="str">
        <x:v>No seat limits/boosts; paid model is lobby ownership/custom builds.</x:v>
      </x:c>
      <x:c r="X32" s="346" t="str">
        <x:v>2026-09-15</x:v>
      </x:c>
      <x:c r="Y32" s="346" t="str">
        <x:v>Policy page not verified / operator-specific</x:v>
      </x:c>
    </x:row>
  </x:sheetData>
  <x:mergeCells>
    <x:mergeCell ref="A1:X1"/>
    <x:mergeCell ref="A1:Y1"/>
  </x:mergeCells>
  <x:conditionalFormatting sqref="C3:X32">
    <x:cfRule type="expression" dxfId="95" priority="1">
      <x:formula>OR(C3="U/K",ISNUMBER(SEARCH("U/K",C3)))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bec15fe4ff34f7f"/>
  </x:tableParts>
</x:worksheet>
</file>

<file path=xl/worksheets/sheet4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2" hidden="0" customWidth="1"/>
    <x:col min="3" max="3" width="56" hidden="0" customWidth="1"/>
    <x:col min="4" max="4" width="42" hidden="0" customWidth="1"/>
    <x:col min="5" max="5" width="22" hidden="0" customWidth="1"/>
    <x:col min="6" max="6" width="14" hidden="0" customWidth="1"/>
    <x:col min="7" max="7" width="16" hidden="0" customWidth="1"/>
    <x:col min="8" max="8" width="30" hidden="0" customWidth="1"/>
    <x:col min="9" max="9" width="40" hidden="0" customWidth="1"/>
    <x:col min="10" max="10" width="40" hidden="0" customWidth="1"/>
    <x:col min="11" max="11" width="40" hidden="0" customWidth="1"/>
    <x:col min="12" max="12" width="40" hidden="0" customWidth="1"/>
    <x:col min="13" max="13" width="40" hidden="0" customWidth="1"/>
    <x:col min="14" max="14" width="40" hidden="0" customWidth="1"/>
    <x:col min="15" max="15" width="40" hidden="0" customWidth="1"/>
    <x:col min="16" max="16" width="40" hidden="0" customWidth="1"/>
    <x:col min="17" max="17" width="40" hidden="0" customWidth="1"/>
    <x:col min="18" max="18" width="40" hidden="0" customWidth="1"/>
    <x:col min="19" max="19" width="40" hidden="0" customWidth="1"/>
    <x:col min="20" max="20" width="40" hidden="0" customWidth="1"/>
    <x:col min="21" max="21" width="40" hidden="0" customWidth="1"/>
    <x:col min="22" max="22" width="40" hidden="0" customWidth="1"/>
    <x:col min="23" max="23" width="40" hidden="0" customWidth="1"/>
    <x:col min="24" max="24" width="40" hidden="0" customWidth="1"/>
    <x:col min="25" max="25" width="40" hidden="0" customWidth="1"/>
    <x:col min="26" max="26" width="40" hidden="0" customWidth="1"/>
    <x:col min="27" max="27" width="40" hidden="0" customWidth="1"/>
    <x:col min="28" max="28" width="40" hidden="0" customWidth="1"/>
    <x:col min="29" max="29" width="40" hidden="0" customWidth="1"/>
    <x:col min="30" max="30" width="40" hidden="0" customWidth="1"/>
    <x:col min="31" max="31" width="40" hidden="0" customWidth="1"/>
  </x:cols>
  <x:sheetData>
    <x:row r="1" ht="28" customHeight="1">
      <x:c r="A1" s="437" t="str">
        <x:v>Discord Sources - researched as of 2026-09-15</x:v>
      </x:c>
      <x:c r="B1" s="437" t="str">
        <x:v>As of 2026-09-15</x:v>
      </x:c>
      <x:c r="C1" s="437"/>
      <x:c r="D1" s="437"/>
      <x:c r="E1" s="437"/>
      <x:c r="F1" s="437"/>
      <x:c r="G1" s="437"/>
      <x:c r="H1" s="437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</x:row>
    <x:row r="2" ht="34" customHeight="1">
      <x:c r="A2" s="420" t="str">
        <x:v>Area</x:v>
      </x:c>
      <x:c r="B2" s="420" t="str">
        <x:v>Source URL</x:v>
      </x:c>
      <x:c r="C2" s="420" t="str">
        <x:v>What it supports</x:v>
      </x:c>
      <x:c r="D2" s="420" t="str">
        <x:v>Notes</x:v>
      </x:c>
      <x:c r="E2" s="420" t="str">
        <x:v>Source Type</x:v>
      </x:c>
      <x:c r="F2" s="420" t="str">
        <x:v>Last Checked</x:v>
      </x:c>
      <x:c r="G2" s="420" t="str">
        <x:v>Evidence Level</x:v>
      </x:c>
      <x:c r="H2" s="420" t="str">
        <x:v>Applies To</x:v>
      </x:c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 ht="34" customHeight="1">
      <x:c r="A3" s="346" t="str">
        <x:v>Project history / launch</x:v>
      </x:c>
      <x:c r="B3" s="346" t="str">
        <x:v>https://discord.com/company</x:v>
      </x:c>
      <x:c r="C3" s="346" t="str">
        <x:v>Official Discord company history; first Discord release in May 2015.</x:v>
      </x:c>
      <x:c r="D3" s="346" t="str">
        <x:v>U/K means unknown / not publicly verifiable enough to state confidently.</x:v>
      </x:c>
      <x:c r="E3" s="346" t="str">
        <x:v>First-party / official</x:v>
      </x:c>
      <x:c r="F3" s="346" t="str">
        <x:v>2026-09-15</x:v>
      </x:c>
      <x:c r="G3" s="346" t="str">
        <x:v>Primary</x:v>
      </x:c>
      <x:c r="H3" s="346" t="str">
        <x:v>Multiple</x:v>
      </x:c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4"/>
      <x:c r="Z3" s="24"/>
      <x:c r="AA3" s="24"/>
      <x:c r="AB3" s="24"/>
      <x:c r="AC3" s="24"/>
      <x:c r="AD3" s="24"/>
      <x:c r="AE3" s="24"/>
    </x:row>
    <x:row r="4" ht="34" customHeight="1">
      <x:c r="A4" s="346" t="str">
        <x:v>Exact launch anniversary</x:v>
      </x:c>
      <x:c r="B4" s="346" t="str">
        <x:v>https://discord.com/blog/thank-you-for-ten-years</x:v>
      </x:c>
      <x:c r="C4" s="346" t="str">
        <x:v>Official 10th birthday on May 13, 2025 confirms May 13, 2015 launch.</x:v>
      </x:c>
      <x:c r="D4" s="346" t="str">
        <x:v>U/K means unknown / not publicly verifiable enough to state confidently.</x:v>
      </x:c>
      <x:c r="E4" s="346" t="str">
        <x:v>First-party / official</x:v>
      </x:c>
      <x:c r="F4" s="346" t="str">
        <x:v>2026-09-15</x:v>
      </x:c>
      <x:c r="G4" s="346" t="str">
        <x:v>Primary</x:v>
      </x:c>
      <x:c r="H4" s="346" t="str">
        <x:v>Multiple</x:v>
      </x:c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</x:row>
    <x:row r="5" ht="34" customHeight="1">
      <x:c r="A5" s="346" t="str">
        <x:v>Company size</x:v>
      </x:c>
      <x:c r="B5" s="346" t="str">
        <x:v>https://www.linkedin.com/company/discord</x:v>
      </x:c>
      <x:c r="C5" s="346" t="str">
        <x:v>Public company-size range: 501–1,000 employees; engineering subset remains U/K.</x:v>
      </x:c>
      <x:c r="D5" s="346" t="str">
        <x:v>U/K means unknown / not publicly verifiable enough to state confidently.</x:v>
      </x:c>
      <x:c r="E5" s="346" t="str">
        <x:v>First-party / official</x:v>
      </x:c>
      <x:c r="F5" s="346" t="str">
        <x:v>2026-09-15</x:v>
      </x:c>
      <x:c r="G5" s="346" t="str">
        <x:v>Primary</x:v>
      </x:c>
      <x:c r="H5" s="346" t="str">
        <x:v>Multiple</x:v>
      </x:c>
      <x:c r="I5" s="24"/>
      <x:c r="J5" s="24"/>
      <x:c r="K5" s="24"/>
      <x:c r="L5" s="24"/>
      <x:c r="M5" s="24"/>
      <x:c r="N5" s="24"/>
      <x:c r="O5" s="24"/>
      <x:c r="P5" s="24"/>
      <x:c r="Q5" s="24"/>
      <x:c r="R5" s="24"/>
      <x:c r="S5" s="24"/>
      <x:c r="T5" s="24"/>
      <x:c r="U5" s="24"/>
      <x:c r="V5" s="24"/>
      <x:c r="W5" s="24"/>
      <x:c r="X5" s="24"/>
      <x:c r="Y5" s="24"/>
      <x:c r="Z5" s="24"/>
      <x:c r="AA5" s="24"/>
      <x:c r="AB5" s="24"/>
      <x:c r="AC5" s="24"/>
      <x:c r="AD5" s="24"/>
      <x:c r="AE5" s="24"/>
    </x:row>
    <x:row r="6" ht="34" customHeight="1">
      <x:c r="A6" s="346" t="str">
        <x:v>Privacy / encryption / IP / business model</x:v>
      </x:c>
      <x:c r="B6" s="346" t="str">
        <x:v>https://discord.com/privacy</x:v>
      </x:c>
      <x:c r="C6" s="346" t="str">
        <x:v>Current privacy policy: TLS in transit, data collection/retention, IP collection, business funding, controllers.</x:v>
      </x:c>
      <x:c r="D6" s="346" t="str">
        <x:v>U/K means unknown / not publicly verifiable enough to state confidently.</x:v>
      </x:c>
      <x:c r="E6" s="346" t="str">
        <x:v>First-party / official</x:v>
      </x:c>
      <x:c r="F6" s="346" t="str">
        <x:v>2026-09-15</x:v>
      </x:c>
      <x:c r="G6" s="346" t="str">
        <x:v>Primary</x:v>
      </x:c>
      <x:c r="H6" s="346" t="str">
        <x:v>Multiple</x:v>
      </x:c>
      <x:c r="I6" s="24"/>
      <x:c r="J6" s="24"/>
      <x:c r="K6" s="24"/>
      <x:c r="L6" s="24"/>
      <x:c r="M6" s="24"/>
      <x:c r="N6" s="24"/>
      <x:c r="O6" s="24"/>
      <x:c r="P6" s="24"/>
      <x:c r="Q6" s="24"/>
      <x:c r="R6" s="24"/>
      <x:c r="S6" s="24"/>
      <x:c r="T6" s="24"/>
      <x:c r="U6" s="24"/>
      <x:c r="V6" s="24"/>
      <x:c r="W6" s="24"/>
      <x:c r="X6" s="24"/>
      <x:c r="Y6" s="24"/>
      <x:c r="Z6" s="24"/>
      <x:c r="AA6" s="24"/>
      <x:c r="AB6" s="24"/>
      <x:c r="AC6" s="24"/>
      <x:c r="AD6" s="24"/>
      <x:c r="AE6" s="24"/>
    </x:row>
    <x:row r="7" ht="34" customHeight="1">
      <x:c r="A7" s="346" t="str">
        <x:v>Retention</x:v>
      </x:c>
      <x:c r="B7" s="346" t="str">
        <x:v>https://support.discord.com/hc/en-us/articles/5431812448791-How-long-Discord-keeps-your-information</x:v>
      </x:c>
      <x:c r="C7" s="346" t="str">
        <x:v>Retention policy details, including inactive-account handling.</x:v>
      </x:c>
      <x:c r="D7" s="346" t="str">
        <x:v>U/K means unknown / not publicly verifiable enough to state confidently.</x:v>
      </x:c>
      <x:c r="E7" s="346" t="str">
        <x:v>First-party / official</x:v>
      </x:c>
      <x:c r="F7" s="346" t="str">
        <x:v>2026-09-15</x:v>
      </x:c>
      <x:c r="G7" s="346" t="str">
        <x:v>Primary</x:v>
      </x:c>
      <x:c r="H7" s="346" t="str">
        <x:v>Multiple</x:v>
      </x:c>
      <x:c r="I7" s="24"/>
      <x:c r="J7" s="24"/>
      <x:c r="K7" s="24"/>
      <x:c r="L7" s="24"/>
      <x:c r="M7" s="24"/>
      <x:c r="N7" s="24"/>
      <x:c r="O7" s="24"/>
      <x:c r="P7" s="24"/>
      <x:c r="Q7" s="24"/>
      <x:c r="R7" s="24"/>
      <x:c r="S7" s="24"/>
      <x:c r="T7" s="24"/>
      <x:c r="U7" s="24"/>
      <x:c r="V7" s="24"/>
      <x:c r="W7" s="24"/>
      <x:c r="X7" s="24"/>
      <x:c r="Y7" s="24"/>
      <x:c r="Z7" s="24"/>
      <x:c r="AA7" s="24"/>
      <x:c r="AB7" s="24"/>
      <x:c r="AC7" s="24"/>
      <x:c r="AD7" s="24"/>
      <x:c r="AE7" s="24"/>
    </x:row>
    <x:row r="8" ht="34" customHeight="1">
      <x:c r="A8" s="346" t="str">
        <x:v>Voice/video E2EE status</x:v>
      </x:c>
      <x:c r="B8" s="346" t="str">
        <x:v>https://discord.com/blog/every-voice-and-video-call-on-discord-is-now-end-to-end-encrypted</x:v>
      </x:c>
      <x:c r="C8" s="346" t="str">
        <x:v>DAVE is standard for Discord calls as of March 2026; Stage is a special case.</x:v>
      </x:c>
      <x:c r="D8" s="346" t="str">
        <x:v>U/K means unknown / not publicly verifiable enough to state confidently.</x:v>
      </x:c>
      <x:c r="E8" s="346" t="str">
        <x:v>First-party / official</x:v>
      </x:c>
      <x:c r="F8" s="346" t="str">
        <x:v>2026-09-15</x:v>
      </x:c>
      <x:c r="G8" s="346" t="str">
        <x:v>Primary</x:v>
      </x:c>
      <x:c r="H8" s="346" t="str">
        <x:v>Multiple</x:v>
      </x:c>
      <x:c r="I8" s="24"/>
      <x:c r="J8" s="24"/>
      <x:c r="K8" s="24"/>
      <x:c r="L8" s="24"/>
      <x:c r="M8" s="24"/>
      <x:c r="N8" s="24"/>
      <x:c r="O8" s="24"/>
      <x:c r="P8" s="24"/>
      <x:c r="Q8" s="24"/>
      <x:c r="R8" s="24"/>
      <x:c r="S8" s="24"/>
      <x:c r="T8" s="24"/>
      <x:c r="U8" s="24"/>
      <x:c r="V8" s="24"/>
      <x:c r="W8" s="24"/>
      <x:c r="X8" s="24"/>
      <x:c r="Y8" s="24"/>
      <x:c r="Z8" s="24"/>
      <x:c r="AA8" s="24"/>
      <x:c r="AB8" s="24"/>
      <x:c r="AC8" s="24"/>
      <x:c r="AD8" s="24"/>
      <x:c r="AE8" s="24"/>
    </x:row>
    <x:row r="9" ht="34" customHeight="1">
      <x:c r="A9" s="346" t="str">
        <x:v>DAVE design / text not E2EE</x:v>
      </x:c>
      <x:c r="B9" s="346" t="str">
        <x:v>https://discord.com/blog/meet-dave-e2ee-for-audio-video</x:v>
      </x:c>
      <x:c r="C9" s="346" t="str">
        <x:v>Explains DAVE, Trail of Bits audit, and that Discord messages remain non-E2EE.</x:v>
      </x:c>
      <x:c r="D9" s="346" t="str">
        <x:v>U/K means unknown / not publicly verifiable enough to state confidently.</x:v>
      </x:c>
      <x:c r="E9" s="346" t="str">
        <x:v>First-party / official</x:v>
      </x:c>
      <x:c r="F9" s="346" t="str">
        <x:v>2026-09-15</x:v>
      </x:c>
      <x:c r="G9" s="346" t="str">
        <x:v>Primary</x:v>
      </x:c>
      <x:c r="H9" s="346" t="str">
        <x:v>Multiple</x:v>
      </x:c>
      <x:c r="I9" s="24"/>
      <x:c r="J9" s="24"/>
      <x:c r="K9" s="24"/>
      <x:c r="L9" s="24"/>
      <x:c r="M9" s="24"/>
      <x:c r="N9" s="24"/>
      <x:c r="O9" s="24"/>
      <x:c r="P9" s="24"/>
      <x:c r="Q9" s="24"/>
      <x:c r="R9" s="24"/>
      <x:c r="S9" s="24"/>
      <x:c r="T9" s="24"/>
      <x:c r="U9" s="24"/>
      <x:c r="V9" s="24"/>
      <x:c r="W9" s="24"/>
      <x:c r="X9" s="24"/>
      <x:c r="Y9" s="24"/>
      <x:c r="Z9" s="24"/>
      <x:c r="AA9" s="24"/>
      <x:c r="AB9" s="24"/>
      <x:c r="AC9" s="24"/>
      <x:c r="AD9" s="24"/>
      <x:c r="AE9" s="24"/>
    </x:row>
    <x:row r="10" ht="34" customHeight="1">
      <x:c r="A10" s="346" t="str">
        <x:v>DAVE 2025 audit / platform rollout</x:v>
      </x:c>
      <x:c r="B10" s="346" t="str">
        <x:v>https://discord.com/blog/bringing-dave-to-all-discord-platforms</x:v>
      </x:c>
      <x:c r="C10" s="346" t="str">
        <x:v>All-platform DAVE rollout and follow-up Trail of Bits audit.</x:v>
      </x:c>
      <x:c r="D10" s="346" t="str">
        <x:v>U/K means unknown / not publicly verifiable enough to state confidently.</x:v>
      </x:c>
      <x:c r="E10" s="346" t="str">
        <x:v>First-party / official</x:v>
      </x:c>
      <x:c r="F10" s="346" t="str">
        <x:v>2026-09-15</x:v>
      </x:c>
      <x:c r="G10" s="346" t="str">
        <x:v>Primary</x:v>
      </x:c>
      <x:c r="H10" s="346" t="str">
        <x:v>Multiple</x:v>
      </x:c>
      <x:c r="I10" s="24"/>
      <x:c r="J10" s="24"/>
      <x:c r="K10" s="24"/>
      <x:c r="L10" s="24"/>
      <x:c r="M10" s="24"/>
      <x:c r="N10" s="24"/>
      <x:c r="O10" s="24"/>
      <x:c r="P10" s="24"/>
      <x:c r="Q10" s="24"/>
      <x:c r="R10" s="24"/>
      <x:c r="S10" s="24"/>
      <x:c r="T10" s="24"/>
      <x:c r="U10" s="24"/>
      <x:c r="V10" s="24"/>
      <x:c r="W10" s="24"/>
      <x:c r="X10" s="24"/>
      <x:c r="Y10" s="24"/>
      <x:c r="Z10" s="24"/>
      <x:c r="AA10" s="24"/>
      <x:c r="AB10" s="24"/>
      <x:c r="AC10" s="24"/>
      <x:c r="AD10" s="24"/>
      <x:c r="AE10" s="24"/>
    </x:row>
    <x:row r="11" ht="34" customHeight="1">
      <x:c r="A11" s="346" t="str">
        <x:v>Free / Nitro upload limits</x:v>
      </x:c>
      <x:c r="B11" s="346" t="str">
        <x:v>https://support.discord.com/hc/en-us/articles/25444343291031-File-Attachments-FAQ</x:v>
      </x:c>
      <x:c r="C11" s="346" t="str">
        <x:v>Current 2026 limits: 20 MB free, 50 MB Nitro Basic, up to 500 MB Nitro.</x:v>
      </x:c>
      <x:c r="D11" s="346" t="str">
        <x:v>U/K means unknown / not publicly verifiable enough to state confidently.</x:v>
      </x:c>
      <x:c r="E11" s="346" t="str">
        <x:v>First-party / official</x:v>
      </x:c>
      <x:c r="F11" s="346" t="str">
        <x:v>2026-09-15</x:v>
      </x:c>
      <x:c r="G11" s="346" t="str">
        <x:v>Primary</x:v>
      </x:c>
      <x:c r="H11" s="346" t="str">
        <x:v>Multiple</x:v>
      </x:c>
      <x:c r="I11" s="24"/>
      <x:c r="J11" s="24"/>
      <x:c r="K11" s="24"/>
      <x:c r="L11" s="24"/>
      <x:c r="M11" s="24"/>
      <x:c r="N11" s="24"/>
      <x:c r="O11" s="24"/>
      <x:c r="P11" s="24"/>
      <x:c r="Q11" s="24"/>
      <x:c r="R11" s="24"/>
      <x:c r="S11" s="24"/>
      <x:c r="T11" s="24"/>
      <x:c r="U11" s="24"/>
      <x:c r="V11" s="24"/>
      <x:c r="W11" s="24"/>
      <x:c r="X11" s="24"/>
      <x:c r="Y11" s="24"/>
      <x:c r="Z11" s="24"/>
      <x:c r="AA11" s="24"/>
      <x:c r="AB11" s="24"/>
      <x:c r="AC11" s="24"/>
      <x:c r="AD11" s="24"/>
      <x:c r="AE11" s="24"/>
    </x:row>
    <x:row r="12" ht="34" customHeight="1">
      <x:c r="A12" s="346" t="str">
        <x:v>Screen share / audio capture</x:v>
      </x:c>
      <x:c r="B12" s="346" t="str">
        <x:v>https://support.discord.com/hc/en-us/articles/360040816151-Go-Live-and-Screen-Share</x:v>
      </x:c>
      <x:c r="C12" s="346" t="str">
        <x:v>Free 720p/30; Nitro up to 4K/60; supported audio-capture platforms.</x:v>
      </x:c>
      <x:c r="D12" s="346" t="str">
        <x:v>U/K means unknown / not publicly verifiable enough to state confidently.</x:v>
      </x:c>
      <x:c r="E12" s="346" t="str">
        <x:v>First-party / official</x:v>
      </x:c>
      <x:c r="F12" s="346" t="str">
        <x:v>2026-09-15</x:v>
      </x:c>
      <x:c r="G12" s="346" t="str">
        <x:v>Primary</x:v>
      </x:c>
      <x:c r="H12" s="346" t="str">
        <x:v>Multiple</x:v>
      </x:c>
      <x:c r="I12" s="24"/>
      <x:c r="J12" s="24"/>
      <x:c r="K12" s="24"/>
      <x:c r="L12" s="24"/>
      <x:c r="M12" s="24"/>
      <x:c r="N12" s="24"/>
      <x:c r="O12" s="24"/>
      <x:c r="P12" s="24"/>
      <x:c r="Q12" s="24"/>
      <x:c r="R12" s="24"/>
      <x:c r="S12" s="24"/>
      <x:c r="T12" s="24"/>
      <x:c r="U12" s="24"/>
      <x:c r="V12" s="24"/>
      <x:c r="W12" s="24"/>
      <x:c r="X12" s="24"/>
      <x:c r="Y12" s="24"/>
      <x:c r="Z12" s="24"/>
      <x:c r="AA12" s="24"/>
      <x:c r="AB12" s="24"/>
      <x:c r="AC12" s="24"/>
      <x:c r="AD12" s="24"/>
      <x:c r="AE12" s="24"/>
    </x:row>
    <x:row r="13" ht="34" customHeight="1">
      <x:c r="A13" s="346" t="str">
        <x:v>Voice bitrate</x:v>
      </x:c>
      <x:c r="B13" s="346" t="str">
        <x:v>https://support.discord.com/hc/en-us/articles/11635925354775-Audio-Bitrate-FAQ</x:v>
      </x:c>
      <x:c r="C13" s="346" t="str">
        <x:v>96 kbps base; boosted caps up to 384 kbps.</x:v>
      </x:c>
      <x:c r="D13" s="346" t="str">
        <x:v>U/K means unknown / not publicly verifiable enough to state confidently.</x:v>
      </x:c>
      <x:c r="E13" s="346" t="str">
        <x:v>First-party / official</x:v>
      </x:c>
      <x:c r="F13" s="346" t="str">
        <x:v>2026-09-15</x:v>
      </x:c>
      <x:c r="G13" s="346" t="str">
        <x:v>Primary</x:v>
      </x:c>
      <x:c r="H13" s="346" t="str">
        <x:v>Multiple</x:v>
      </x:c>
      <x:c r="I13" s="24"/>
      <x:c r="J13" s="24"/>
      <x:c r="K13" s="24"/>
      <x:c r="L13" s="24"/>
      <x:c r="M13" s="24"/>
      <x:c r="N13" s="24"/>
      <x:c r="O13" s="24"/>
      <x:c r="P13" s="24"/>
      <x:c r="Q13" s="24"/>
      <x:c r="R13" s="24"/>
      <x:c r="S13" s="24"/>
      <x:c r="T13" s="24"/>
      <x:c r="U13" s="24"/>
      <x:c r="V13" s="24"/>
      <x:c r="W13" s="24"/>
      <x:c r="X13" s="24"/>
      <x:c r="Y13" s="24"/>
      <x:c r="Z13" s="24"/>
      <x:c r="AA13" s="24"/>
      <x:c r="AB13" s="24"/>
      <x:c r="AC13" s="24"/>
      <x:c r="AD13" s="24"/>
      <x:c r="AE13" s="24"/>
    </x:row>
    <x:row r="14" ht="34" customHeight="1">
      <x:c r="A14" s="346" t="str">
        <x:v>Krisp</x:v>
      </x:c>
      <x:c r="B14" s="346" t="str">
        <x:v>https://support.discord.com/hc/en-us/articles/360040843952-Krisp-FAQ</x:v>
      </x:c>
      <x:c r="C14" s="346" t="str">
        <x:v>Krisp noise suppression support.</x:v>
      </x:c>
      <x:c r="D14" s="346" t="str">
        <x:v>U/K means unknown / not publicly verifiable enough to state confidently.</x:v>
      </x:c>
      <x:c r="E14" s="346" t="str">
        <x:v>First-party / official</x:v>
      </x:c>
      <x:c r="F14" s="346" t="str">
        <x:v>2026-09-15</x:v>
      </x:c>
      <x:c r="G14" s="346" t="str">
        <x:v>Primary</x:v>
      </x:c>
      <x:c r="H14" s="346" t="str">
        <x:v>Multiple</x:v>
      </x:c>
      <x:c r="I14" s="24"/>
      <x:c r="J14" s="24"/>
      <x:c r="K14" s="24"/>
      <x:c r="L14" s="24"/>
      <x:c r="M14" s="24"/>
      <x:c r="N14" s="24"/>
      <x:c r="O14" s="24"/>
      <x:c r="P14" s="24"/>
      <x:c r="Q14" s="24"/>
      <x:c r="R14" s="24"/>
      <x:c r="S14" s="24"/>
      <x:c r="T14" s="24"/>
      <x:c r="U14" s="24"/>
      <x:c r="V14" s="24"/>
      <x:c r="W14" s="24"/>
      <x:c r="X14" s="24"/>
      <x:c r="Y14" s="24"/>
      <x:c r="Z14" s="24"/>
      <x:c r="AA14" s="24"/>
      <x:c r="AB14" s="24"/>
      <x:c r="AC14" s="24"/>
      <x:c r="AD14" s="24"/>
      <x:c r="AE14" s="24"/>
    </x:row>
    <x:row r="15" ht="34" customHeight="1">
      <x:c r="A15" s="346" t="str">
        <x:v>Stage channels</x:v>
      </x:c>
      <x:c r="B15" s="346" t="str">
        <x:v>https://support.discord.com/hc/en-us/articles/1500005513722-Stage-Channels-FAQ</x:v>
      </x:c>
      <x:c r="C15" s="346" t="str">
        <x:v>Speaker/audience model, request-to-speak, screen share/video.</x:v>
      </x:c>
      <x:c r="D15" s="346" t="str">
        <x:v>U/K means unknown / not publicly verifiable enough to state confidently.</x:v>
      </x:c>
      <x:c r="E15" s="346" t="str">
        <x:v>First-party / official</x:v>
      </x:c>
      <x:c r="F15" s="346" t="str">
        <x:v>2026-09-15</x:v>
      </x:c>
      <x:c r="G15" s="346" t="str">
        <x:v>Primary</x:v>
      </x:c>
      <x:c r="H15" s="346" t="str">
        <x:v>Multiple</x:v>
      </x:c>
      <x:c r="I15" s="24"/>
      <x:c r="J15" s="24"/>
      <x:c r="K15" s="24"/>
      <x:c r="L15" s="24"/>
      <x:c r="M15" s="24"/>
      <x:c r="N15" s="24"/>
      <x:c r="O15" s="24"/>
      <x:c r="P15" s="24"/>
      <x:c r="Q15" s="24"/>
      <x:c r="R15" s="24"/>
      <x:c r="S15" s="24"/>
      <x:c r="T15" s="24"/>
      <x:c r="U15" s="24"/>
      <x:c r="V15" s="24"/>
      <x:c r="W15" s="24"/>
      <x:c r="X15" s="24"/>
      <x:c r="Y15" s="24"/>
      <x:c r="Z15" s="24"/>
      <x:c r="AA15" s="24"/>
      <x:c r="AB15" s="24"/>
      <x:c r="AC15" s="24"/>
      <x:c r="AD15" s="24"/>
      <x:c r="AE15" s="24"/>
    </x:row>
    <x:row r="16" ht="34" customHeight="1">
      <x:c r="A16" s="346" t="str">
        <x:v>Account / server caps</x:v>
      </x:c>
      <x:c r="B16" s="346" t="str">
        <x:v>https://support.discord.com/hc/en-us/articles/33694251638295-Discord-Account-Caps-Server-Caps-and-More</x:v>
      </x:c>
      <x:c r="C16" s="346" t="str">
        <x:v>Audit-log retention and various channel/stage caps.</x:v>
      </x:c>
      <x:c r="D16" s="346" t="str">
        <x:v>U/K means unknown / not publicly verifiable enough to state confidently.</x:v>
      </x:c>
      <x:c r="E16" s="346" t="str">
        <x:v>First-party / official</x:v>
      </x:c>
      <x:c r="F16" s="346" t="str">
        <x:v>2026-09-15</x:v>
      </x:c>
      <x:c r="G16" s="346" t="str">
        <x:v>Primary</x:v>
      </x:c>
      <x:c r="H16" s="346" t="str">
        <x:v>Multiple</x:v>
      </x:c>
      <x:c r="I16" s="24"/>
      <x:c r="J16" s="24"/>
      <x:c r="K16" s="24"/>
      <x:c r="L16" s="24"/>
      <x:c r="M16" s="24"/>
      <x:c r="N16" s="24"/>
      <x:c r="O16" s="24"/>
      <x:c r="P16" s="24"/>
      <x:c r="Q16" s="24"/>
      <x:c r="R16" s="24"/>
      <x:c r="S16" s="24"/>
      <x:c r="T16" s="24"/>
      <x:c r="U16" s="24"/>
      <x:c r="V16" s="24"/>
      <x:c r="W16" s="24"/>
      <x:c r="X16" s="24"/>
      <x:c r="Y16" s="24"/>
      <x:c r="Z16" s="24"/>
      <x:c r="AA16" s="24"/>
      <x:c r="AB16" s="24"/>
      <x:c r="AC16" s="24"/>
      <x:c r="AD16" s="24"/>
      <x:c r="AE16" s="24"/>
    </x:row>
    <x:row r="17" ht="34" customHeight="1">
      <x:c r="A17" s="346" t="str">
        <x:v>Account registration</x:v>
      </x:c>
      <x:c r="B17" s="346" t="str">
        <x:v>https://support.discord.com/hc/en-us/articles/31676852332439-Discord-Sign-Up-and-Registration-Guide</x:v>
      </x:c>
      <x:c r="C17" s="346" t="str">
        <x:v>Registration requirements and phone/email options.</x:v>
      </x:c>
      <x:c r="D17" s="346" t="str">
        <x:v>U/K means unknown / not publicly verifiable enough to state confidently.</x:v>
      </x:c>
      <x:c r="E17" s="346" t="str">
        <x:v>First-party / official</x:v>
      </x:c>
      <x:c r="F17" s="346" t="str">
        <x:v>2026-09-15</x:v>
      </x:c>
      <x:c r="G17" s="346" t="str">
        <x:v>Primary</x:v>
      </x:c>
      <x:c r="H17" s="346" t="str">
        <x:v>Multiple</x:v>
      </x:c>
      <x:c r="I17" s="24"/>
      <x:c r="J17" s="24"/>
      <x:c r="K17" s="24"/>
      <x:c r="L17" s="24"/>
      <x:c r="M17" s="24"/>
      <x:c r="N17" s="24"/>
      <x:c r="O17" s="24"/>
      <x:c r="P17" s="24"/>
      <x:c r="Q17" s="24"/>
      <x:c r="R17" s="24"/>
      <x:c r="S17" s="24"/>
      <x:c r="T17" s="24"/>
      <x:c r="U17" s="24"/>
      <x:c r="V17" s="24"/>
      <x:c r="W17" s="24"/>
      <x:c r="X17" s="24"/>
      <x:c r="Y17" s="24"/>
      <x:c r="Z17" s="24"/>
      <x:c r="AA17" s="24"/>
      <x:c r="AB17" s="24"/>
      <x:c r="AC17" s="24"/>
      <x:c r="AD17" s="24"/>
      <x:c r="AE17" s="24"/>
    </x:row>
    <x:row r="18" ht="34" customHeight="1">
      <x:c r="A18" s="346" t="str">
        <x:v>AutoMod</x:v>
      </x:c>
      <x:c r="B18" s="346" t="str">
        <x:v>https://support.discord.com/hc/en-us/articles/4421269296535-AutoMod-FAQ</x:v>
      </x:c>
      <x:c r="C18" s="346" t="str">
        <x:v>Native AutoMod, keyword and spam filters.</x:v>
      </x:c>
      <x:c r="D18" s="346" t="str">
        <x:v>U/K means unknown / not publicly verifiable enough to state confidently.</x:v>
      </x:c>
      <x:c r="E18" s="346" t="str">
        <x:v>First-party / official</x:v>
      </x:c>
      <x:c r="F18" s="346" t="str">
        <x:v>2026-09-15</x:v>
      </x:c>
      <x:c r="G18" s="346" t="str">
        <x:v>Primary</x:v>
      </x:c>
      <x:c r="H18" s="346" t="str">
        <x:v>Multiple</x:v>
      </x:c>
      <x:c r="I18" s="24"/>
      <x:c r="J18" s="24"/>
      <x:c r="K18" s="24"/>
      <x:c r="L18" s="24"/>
      <x:c r="M18" s="24"/>
      <x:c r="N18" s="24"/>
      <x:c r="O18" s="24"/>
      <x:c r="P18" s="24"/>
      <x:c r="Q18" s="24"/>
      <x:c r="R18" s="24"/>
      <x:c r="S18" s="24"/>
      <x:c r="T18" s="24"/>
      <x:c r="U18" s="24"/>
      <x:c r="V18" s="24"/>
      <x:c r="W18" s="24"/>
      <x:c r="X18" s="24"/>
      <x:c r="Y18" s="24"/>
      <x:c r="Z18" s="24"/>
      <x:c r="AA18" s="24"/>
      <x:c r="AB18" s="24"/>
      <x:c r="AC18" s="24"/>
      <x:c r="AD18" s="24"/>
      <x:c r="AE18" s="24"/>
    </x:row>
    <x:row r="19" ht="34" customHeight="1">
      <x:c r="A19" s="346" t="str">
        <x:v>AutoMod regex</x:v>
      </x:c>
      <x:c r="B19" s="346" t="str">
        <x:v>https://support.discord.com/hc/en-us/articles/10069840290711-Filter-Messages-Using-Regular-Expressions-Regex</x:v>
      </x:c>
      <x:c r="C19" s="346" t="str">
        <x:v>Custom keyword rules support Rust-flavor regex.</x:v>
      </x:c>
      <x:c r="D19" s="346" t="str">
        <x:v>U/K means unknown / not publicly verifiable enough to state confidently.</x:v>
      </x:c>
      <x:c r="E19" s="346" t="str">
        <x:v>First-party / official</x:v>
      </x:c>
      <x:c r="F19" s="346" t="str">
        <x:v>2026-09-15</x:v>
      </x:c>
      <x:c r="G19" s="346" t="str">
        <x:v>Primary</x:v>
      </x:c>
      <x:c r="H19" s="346" t="str">
        <x:v>Multiple</x:v>
      </x:c>
      <x:c r="I19" s="24"/>
      <x:c r="J19" s="24"/>
      <x:c r="K19" s="24"/>
      <x:c r="L19" s="24"/>
      <x:c r="M19" s="24"/>
      <x:c r="N19" s="24"/>
      <x:c r="O19" s="24"/>
      <x:c r="P19" s="24"/>
      <x:c r="Q19" s="24"/>
      <x:c r="R19" s="24"/>
      <x:c r="S19" s="24"/>
      <x:c r="T19" s="24"/>
      <x:c r="U19" s="24"/>
      <x:c r="V19" s="24"/>
      <x:c r="W19" s="24"/>
      <x:c r="X19" s="24"/>
      <x:c r="Y19" s="24"/>
      <x:c r="Z19" s="24"/>
      <x:c r="AA19" s="24"/>
      <x:c r="AB19" s="24"/>
      <x:c r="AC19" s="24"/>
      <x:c r="AD19" s="24"/>
      <x:c r="AE19" s="24"/>
    </x:row>
    <x:row r="20" ht="34" customHeight="1">
      <x:c r="A20" s="346" t="str">
        <x:v>Raid protection</x:v>
      </x:c>
      <x:c r="B20" s="346" t="str">
        <x:v>https://support.discord.com/hc/en-us/articles/10989121220631-How-to-Protect-Your-Server-from-Raids-101</x:v>
      </x:c>
      <x:c r="C20" s="346" t="str">
        <x:v>ML-based Raid Protection, CAPTCHA, verification recommendations.</x:v>
      </x:c>
      <x:c r="D20" s="346" t="str">
        <x:v>U/K means unknown / not publicly verifiable enough to state confidently.</x:v>
      </x:c>
      <x:c r="E20" s="346" t="str">
        <x:v>First-party / official</x:v>
      </x:c>
      <x:c r="F20" s="346" t="str">
        <x:v>2026-09-15</x:v>
      </x:c>
      <x:c r="G20" s="346" t="str">
        <x:v>Primary</x:v>
      </x:c>
      <x:c r="H20" s="346" t="str">
        <x:v>Multiple</x:v>
      </x:c>
      <x:c r="I20" s="24"/>
      <x:c r="J20" s="24"/>
      <x:c r="K20" s="24"/>
      <x:c r="L20" s="24"/>
      <x:c r="M20" s="24"/>
      <x:c r="N20" s="24"/>
      <x:c r="O20" s="24"/>
      <x:c r="P20" s="24"/>
      <x:c r="Q20" s="24"/>
      <x:c r="R20" s="24"/>
      <x:c r="S20" s="24"/>
      <x:c r="T20" s="24"/>
      <x:c r="U20" s="24"/>
      <x:c r="V20" s="24"/>
      <x:c r="W20" s="24"/>
      <x:c r="X20" s="24"/>
      <x:c r="Y20" s="24"/>
      <x:c r="Z20" s="24"/>
      <x:c r="AA20" s="24"/>
      <x:c r="AB20" s="24"/>
      <x:c r="AC20" s="24"/>
      <x:c r="AD20" s="24"/>
      <x:c r="AE20" s="24"/>
    </x:row>
    <x:row r="21" ht="34" customHeight="1">
      <x:c r="A21" s="346" t="str">
        <x:v>Rules screening</x:v>
      </x:c>
      <x:c r="B21" s="346" t="str">
        <x:v>https://support.discord.com/hc/en-us/articles/1500000466882-Rules-Screening-FAQ</x:v>
      </x:c>
      <x:c r="C21" s="346" t="str">
        <x:v>Native join rules screening.</x:v>
      </x:c>
      <x:c r="D21" s="346" t="str">
        <x:v>U/K means unknown / not publicly verifiable enough to state confidently.</x:v>
      </x:c>
      <x:c r="E21" s="346" t="str">
        <x:v>First-party / official</x:v>
      </x:c>
      <x:c r="F21" s="346" t="str">
        <x:v>2026-09-15</x:v>
      </x:c>
      <x:c r="G21" s="346" t="str">
        <x:v>Primary</x:v>
      </x:c>
      <x:c r="H21" s="346" t="str">
        <x:v>Multiple</x:v>
      </x:c>
      <x:c r="I21" s="24"/>
      <x:c r="J21" s="24"/>
      <x:c r="K21" s="24"/>
      <x:c r="L21" s="24"/>
      <x:c r="M21" s="24"/>
      <x:c r="N21" s="24"/>
      <x:c r="O21" s="24"/>
      <x:c r="P21" s="24"/>
      <x:c r="Q21" s="24"/>
      <x:c r="R21" s="24"/>
      <x:c r="S21" s="24"/>
      <x:c r="T21" s="24"/>
      <x:c r="U21" s="24"/>
      <x:c r="V21" s="24"/>
      <x:c r="W21" s="24"/>
      <x:c r="X21" s="24"/>
      <x:c r="Y21" s="24"/>
      <x:c r="Z21" s="24"/>
      <x:c r="AA21" s="24"/>
      <x:c r="AB21" s="24"/>
      <x:c r="AC21" s="24"/>
      <x:c r="AD21" s="24"/>
      <x:c r="AE21" s="24"/>
    </x:row>
    <x:row r="22" ht="34" customHeight="1">
      <x:c r="A22" s="346" t="str">
        <x:v>Server member applications</x:v>
      </x:c>
      <x:c r="B22" s="346" t="str">
        <x:v>https://support.discord.com/hc/en-us/articles/29729107418519-Server-Member-Applications</x:v>
      </x:c>
      <x:c r="C22" s="346" t="str">
        <x:v>Apply-to-join and application review tools.</x:v>
      </x:c>
      <x:c r="D22" s="346" t="str">
        <x:v>U/K means unknown / not publicly verifiable enough to state confidently.</x:v>
      </x:c>
      <x:c r="E22" s="346" t="str">
        <x:v>First-party / official</x:v>
      </x:c>
      <x:c r="F22" s="346" t="str">
        <x:v>2026-09-15</x:v>
      </x:c>
      <x:c r="G22" s="346" t="str">
        <x:v>Primary</x:v>
      </x:c>
      <x:c r="H22" s="346" t="str">
        <x:v>Multiple</x:v>
      </x:c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24"/>
      <x:c r="T22" s="24"/>
      <x:c r="U22" s="24"/>
      <x:c r="V22" s="24"/>
      <x:c r="W22" s="24"/>
      <x:c r="X22" s="24"/>
      <x:c r="Y22" s="24"/>
      <x:c r="Z22" s="24"/>
      <x:c r="AA22" s="24"/>
      <x:c r="AB22" s="24"/>
      <x:c r="AC22" s="24"/>
      <x:c r="AD22" s="24"/>
      <x:c r="AE22" s="24"/>
    </x:row>
    <x:row r="23" ht="34" customHeight="1">
      <x:c r="A23" s="346" t="str">
        <x:v>Audit logs</x:v>
      </x:c>
      <x:c r="B23" s="346" t="str">
        <x:v>https://docs.discord.com/developers/resources/audit-log</x:v>
      </x:c>
      <x:c r="C23" s="346" t="str">
        <x:v>Audit log API and 45-day retention.</x:v>
      </x:c>
      <x:c r="D23" s="346" t="str">
        <x:v>U/K means unknown / not publicly verifiable enough to state confidently.</x:v>
      </x:c>
      <x:c r="E23" s="346" t="str">
        <x:v>First-party / official</x:v>
      </x:c>
      <x:c r="F23" s="346" t="str">
        <x:v>2026-09-15</x:v>
      </x:c>
      <x:c r="G23" s="346" t="str">
        <x:v>Primary</x:v>
      </x:c>
      <x:c r="H23" s="346" t="str">
        <x:v>Multiple</x:v>
      </x:c>
      <x:c r="I23" s="24"/>
      <x:c r="J23" s="24"/>
      <x:c r="K23" s="24"/>
      <x:c r="L23" s="24"/>
      <x:c r="M23" s="24"/>
      <x:c r="N23" s="24"/>
      <x:c r="O23" s="24"/>
      <x:c r="P23" s="24"/>
      <x:c r="Q23" s="24"/>
      <x:c r="R23" s="24"/>
      <x:c r="S23" s="24"/>
      <x:c r="T23" s="24"/>
      <x:c r="U23" s="24"/>
      <x:c r="V23" s="24"/>
      <x:c r="W23" s="24"/>
      <x:c r="X23" s="24"/>
      <x:c r="Y23" s="24"/>
      <x:c r="Z23" s="24"/>
      <x:c r="AA23" s="24"/>
      <x:c r="AB23" s="24"/>
      <x:c r="AC23" s="24"/>
      <x:c r="AD23" s="24"/>
      <x:c r="AE23" s="24"/>
    </x:row>
    <x:row r="24" ht="34" customHeight="1">
      <x:c r="A24" s="346" t="str">
        <x:v>Bug bounty</x:v>
      </x:c>
      <x:c r="B24" s="346" t="str">
        <x:v>https://discord.com/security</x:v>
      </x:c>
      <x:c r="C24" s="346" t="str">
        <x:v>Private Bugcrowd program; usual response target around 24 hours.</x:v>
      </x:c>
      <x:c r="D24" s="346" t="str">
        <x:v>U/K means unknown / not publicly verifiable enough to state confidently.</x:v>
      </x:c>
      <x:c r="E24" s="346" t="str">
        <x:v>First-party / official</x:v>
      </x:c>
      <x:c r="F24" s="346" t="str">
        <x:v>2026-09-15</x:v>
      </x:c>
      <x:c r="G24" s="346" t="str">
        <x:v>Primary</x:v>
      </x:c>
      <x:c r="H24" s="346" t="str">
        <x:v>Multiple</x:v>
      </x:c>
      <x:c r="I24" s="24"/>
      <x:c r="J24" s="24"/>
      <x:c r="K24" s="24"/>
      <x:c r="L24" s="24"/>
      <x:c r="M24" s="24"/>
      <x:c r="N24" s="24"/>
      <x:c r="O24" s="24"/>
      <x:c r="P24" s="24"/>
      <x:c r="Q24" s="24"/>
      <x:c r="R24" s="24"/>
      <x:c r="S24" s="24"/>
      <x:c r="T24" s="24"/>
      <x:c r="U24" s="24"/>
      <x:c r="V24" s="24"/>
      <x:c r="W24" s="24"/>
      <x:c r="X24" s="24"/>
      <x:c r="Y24" s="24"/>
      <x:c r="Z24" s="24"/>
      <x:c r="AA24" s="24"/>
      <x:c r="AB24" s="24"/>
      <x:c r="AC24" s="24"/>
      <x:c r="AD24" s="24"/>
      <x:c r="AE24" s="24"/>
    </x:row>
    <x:row r="25" ht="34" customHeight="1">
      <x:c r="A25" s="346" t="str">
        <x:v>2025 support-vendor incident</x:v>
      </x:c>
      <x:c r="B25" s="346" t="str">
        <x:v>https://discord.com/press-releases/update-on-security-incident-involving-third-party-customer-service</x:v>
      </x:c>
      <x:c r="C25" s="346" t="str">
        <x:v>Official incident disclosure and affected-data scope.</x:v>
      </x:c>
      <x:c r="D25" s="346" t="str">
        <x:v>U/K means unknown / not publicly verifiable enough to state confidently.</x:v>
      </x:c>
      <x:c r="E25" s="346" t="str">
        <x:v>First-party / official</x:v>
      </x:c>
      <x:c r="F25" s="346" t="str">
        <x:v>2026-09-15</x:v>
      </x:c>
      <x:c r="G25" s="346" t="str">
        <x:v>Primary</x:v>
      </x:c>
      <x:c r="H25" s="346" t="str">
        <x:v>Multiple</x:v>
      </x:c>
      <x:c r="I25" s="24"/>
      <x:c r="J25" s="24"/>
      <x:c r="K25" s="24"/>
      <x:c r="L25" s="24"/>
      <x:c r="M25" s="24"/>
      <x:c r="N25" s="24"/>
      <x:c r="O25" s="24"/>
      <x:c r="P25" s="24"/>
      <x:c r="Q25" s="24"/>
      <x:c r="R25" s="24"/>
      <x:c r="S25" s="24"/>
      <x:c r="T25" s="24"/>
      <x:c r="U25" s="24"/>
      <x:c r="V25" s="24"/>
      <x:c r="W25" s="24"/>
      <x:c r="X25" s="24"/>
      <x:c r="Y25" s="24"/>
      <x:c r="Z25" s="24"/>
      <x:c r="AA25" s="24"/>
      <x:c r="AB25" s="24"/>
      <x:c r="AC25" s="24"/>
      <x:c r="AD25" s="24"/>
      <x:c r="AE25" s="24"/>
    </x:row>
    <x:row r="26" ht="34" customHeight="1">
      <x:c r="A26" s="346" t="str">
        <x:v>Desktop/mobile stack</x:v>
      </x:c>
      <x:c r="B26" s="346" t="str">
        <x:v>https://discord.com/blog/discord-patch-notes-september-8-2026</x:v>
      </x:c>
      <x:c r="C26" s="346" t="str">
        <x:v>Electron 42 desktop; React Native 0.86 mobile; 20 MB free upload change.</x:v>
      </x:c>
      <x:c r="D26" s="346" t="str">
        <x:v>U/K means unknown / not publicly verifiable enough to state confidently.</x:v>
      </x:c>
      <x:c r="E26" s="346" t="str">
        <x:v>First-party / official</x:v>
      </x:c>
      <x:c r="F26" s="346" t="str">
        <x:v>2026-09-15</x:v>
      </x:c>
      <x:c r="G26" s="346" t="str">
        <x:v>Primary</x:v>
      </x:c>
      <x:c r="H26" s="346" t="str">
        <x:v>Multiple</x:v>
      </x:c>
      <x:c r="I26" s="24"/>
      <x:c r="J26" s="24"/>
      <x:c r="K26" s="24"/>
      <x:c r="L26" s="24"/>
      <x:c r="M26" s="24"/>
      <x:c r="N26" s="24"/>
      <x:c r="O26" s="24"/>
      <x:c r="P26" s="24"/>
      <x:c r="Q26" s="24"/>
      <x:c r="R26" s="24"/>
      <x:c r="S26" s="24"/>
      <x:c r="T26" s="24"/>
      <x:c r="U26" s="24"/>
      <x:c r="V26" s="24"/>
      <x:c r="W26" s="24"/>
      <x:c r="X26" s="24"/>
      <x:c r="Y26" s="24"/>
      <x:c r="Z26" s="24"/>
      <x:c r="AA26" s="24"/>
      <x:c r="AB26" s="24"/>
      <x:c r="AC26" s="24"/>
      <x:c r="AD26" s="24"/>
      <x:c r="AE26" s="24"/>
    </x:row>
    <x:row r="27" ht="34" customHeight="1">
      <x:c r="A27" s="346" t="str">
        <x:v>Platform downloads</x:v>
      </x:c>
      <x:c r="B27" s="346" t="str">
        <x:v>https://discord.com/download</x:v>
      </x:c>
      <x:c r="C27" s="346" t="str">
        <x:v>Official Windows, macOS, Linux package formats, iOS and Android distribution.</x:v>
      </x:c>
      <x:c r="D27" s="346" t="str">
        <x:v>U/K means unknown / not publicly verifiable enough to state confidently.</x:v>
      </x:c>
      <x:c r="E27" s="346" t="str">
        <x:v>First-party / official</x:v>
      </x:c>
      <x:c r="F27" s="346" t="str">
        <x:v>2026-09-15</x:v>
      </x:c>
      <x:c r="G27" s="346" t="str">
        <x:v>Primary</x:v>
      </x:c>
      <x:c r="H27" s="346" t="str">
        <x:v>Multiple</x:v>
      </x:c>
      <x:c r="I27" s="24"/>
      <x:c r="J27" s="24"/>
      <x:c r="K27" s="24"/>
      <x:c r="L27" s="24"/>
      <x:c r="M27" s="24"/>
      <x:c r="N27" s="24"/>
      <x:c r="O27" s="24"/>
      <x:c r="P27" s="24"/>
      <x:c r="Q27" s="24"/>
      <x:c r="R27" s="24"/>
      <x:c r="S27" s="24"/>
      <x:c r="T27" s="24"/>
      <x:c r="U27" s="24"/>
      <x:c r="V27" s="24"/>
      <x:c r="W27" s="24"/>
      <x:c r="X27" s="24"/>
      <x:c r="Y27" s="24"/>
      <x:c r="Z27" s="24"/>
      <x:c r="AA27" s="24"/>
      <x:c r="AB27" s="24"/>
      <x:c r="AC27" s="24"/>
      <x:c r="AD27" s="24"/>
      <x:c r="AE27" s="24"/>
    </x:row>
    <x:row r="28" ht="34" customHeight="1">
      <x:c r="A28" s="346" t="str">
        <x:v>Account switching</x:v>
      </x:c>
      <x:c r="B28" s="346" t="str">
        <x:v>https://support.discord.com/hc/en-us/articles/4412732047127-Discord-Account-Switcher-FAQ</x:v>
      </x:c>
      <x:c r="C28" s="346" t="str">
        <x:v>Desktop account switcher supports up to five accounts.</x:v>
      </x:c>
      <x:c r="D28" s="346" t="str">
        <x:v>U/K means unknown / not publicly verifiable enough to state confidently.</x:v>
      </x:c>
      <x:c r="E28" s="346" t="str">
        <x:v>First-party / official</x:v>
      </x:c>
      <x:c r="F28" s="346" t="str">
        <x:v>2026-09-15</x:v>
      </x:c>
      <x:c r="G28" s="346" t="str">
        <x:v>Primary</x:v>
      </x:c>
      <x:c r="H28" s="346" t="str">
        <x:v>Multiple</x:v>
      </x:c>
      <x:c r="I28" s="24"/>
      <x:c r="J28" s="24"/>
      <x:c r="K28" s="24"/>
      <x:c r="L28" s="24"/>
      <x:c r="M28" s="24"/>
      <x:c r="N28" s="24"/>
      <x:c r="O28" s="24"/>
      <x:c r="P28" s="24"/>
      <x:c r="Q28" s="24"/>
      <x:c r="R28" s="24"/>
      <x:c r="S28" s="24"/>
      <x:c r="T28" s="24"/>
      <x:c r="U28" s="24"/>
      <x:c r="V28" s="24"/>
      <x:c r="W28" s="24"/>
      <x:c r="X28" s="24"/>
      <x:c r="Y28" s="24"/>
      <x:c r="Z28" s="24"/>
      <x:c r="AA28" s="24"/>
      <x:c r="AB28" s="24"/>
      <x:c r="AC28" s="24"/>
      <x:c r="AD28" s="24"/>
      <x:c r="AE28" s="24"/>
    </x:row>
    <x:row r="29" ht="34" customHeight="1">
      <x:c r="A29" s="346" t="str">
        <x:v>Data export</x:v>
      </x:c>
      <x:c r="B29" s="346" t="str">
        <x:v>https://support.discord.com/hc/en-us/articles/360004957991-Your-Discord-Data-Package</x:v>
      </x:c>
      <x:c r="C29" s="346" t="str">
        <x:v>Account data-package export.</x:v>
      </x:c>
      <x:c r="D29" s="346" t="str">
        <x:v>U/K means unknown / not publicly verifiable enough to state confidently.</x:v>
      </x:c>
      <x:c r="E29" s="346" t="str">
        <x:v>First-party / official</x:v>
      </x:c>
      <x:c r="F29" s="346" t="str">
        <x:v>2026-09-15</x:v>
      </x:c>
      <x:c r="G29" s="346" t="str">
        <x:v>Primary</x:v>
      </x:c>
      <x:c r="H29" s="346" t="str">
        <x:v>Multiple</x:v>
      </x:c>
      <x:c r="I29" s="24"/>
      <x:c r="J29" s="24"/>
      <x:c r="K29" s="24"/>
      <x:c r="L29" s="24"/>
      <x:c r="M29" s="24"/>
      <x:c r="N29" s="24"/>
      <x:c r="O29" s="24"/>
      <x:c r="P29" s="24"/>
      <x:c r="Q29" s="24"/>
      <x:c r="R29" s="24"/>
      <x:c r="S29" s="24"/>
      <x:c r="T29" s="24"/>
      <x:c r="U29" s="24"/>
      <x:c r="V29" s="24"/>
      <x:c r="W29" s="24"/>
      <x:c r="X29" s="24"/>
      <x:c r="Y29" s="24"/>
      <x:c r="Z29" s="24"/>
      <x:c r="AA29" s="24"/>
      <x:c r="AB29" s="24"/>
      <x:c r="AC29" s="24"/>
      <x:c r="AD29" s="24"/>
      <x:c r="AE29" s="24"/>
    </x:row>
    <x:row r="30" ht="34" customHeight="1">
      <x:c r="A30" s="346" t="str">
        <x:v>Gateway / WebSocket API</x:v>
      </x:c>
      <x:c r="B30" s="346" t="str">
        <x:v>https://docs.discord.com/developers/events/gateway</x:v>
      </x:c>
      <x:c r="C30" s="346" t="str">
        <x:v>Gateway is WebSocket-based; documents Gateway event rate limit.</x:v>
      </x:c>
      <x:c r="D30" s="346" t="str">
        <x:v>U/K means unknown / not publicly verifiable enough to state confidently.</x:v>
      </x:c>
      <x:c r="E30" s="346" t="str">
        <x:v>First-party / official</x:v>
      </x:c>
      <x:c r="F30" s="346" t="str">
        <x:v>2026-09-15</x:v>
      </x:c>
      <x:c r="G30" s="346" t="str">
        <x:v>Primary</x:v>
      </x:c>
      <x:c r="H30" s="346" t="str">
        <x:v>Multiple</x:v>
      </x:c>
      <x:c r="I30" s="24"/>
      <x:c r="J30" s="24"/>
      <x:c r="K30" s="24"/>
      <x:c r="L30" s="24"/>
      <x:c r="M30" s="24"/>
      <x:c r="N30" s="24"/>
      <x:c r="O30" s="24"/>
      <x:c r="P30" s="24"/>
      <x:c r="Q30" s="24"/>
      <x:c r="R30" s="24"/>
      <x:c r="S30" s="24"/>
      <x:c r="T30" s="24"/>
      <x:c r="U30" s="24"/>
      <x:c r="V30" s="24"/>
      <x:c r="W30" s="24"/>
      <x:c r="X30" s="24"/>
      <x:c r="Y30" s="24"/>
      <x:c r="Z30" s="24"/>
      <x:c r="AA30" s="24"/>
      <x:c r="AB30" s="24"/>
      <x:c r="AC30" s="24"/>
      <x:c r="AD30" s="24"/>
      <x:c r="AE30" s="24"/>
    </x:row>
    <x:row r="31" ht="34" customHeight="1">
      <x:c r="A31" s="346" t="str">
        <x:v>API rate limits</x:v>
      </x:c>
      <x:c r="B31" s="346" t="str">
        <x:v>https://docs.discord.com/developers/topics/rate-limits</x:v>
      </x:c>
      <x:c r="C31" s="346" t="str">
        <x:v>Per-route and global API rate limiting.</x:v>
      </x:c>
      <x:c r="D31" s="346" t="str">
        <x:v>U/K means unknown / not publicly verifiable enough to state confidently.</x:v>
      </x:c>
      <x:c r="E31" s="346" t="str">
        <x:v>First-party / official</x:v>
      </x:c>
      <x:c r="F31" s="346" t="str">
        <x:v>2026-09-15</x:v>
      </x:c>
      <x:c r="G31" s="346" t="str">
        <x:v>Primary</x:v>
      </x:c>
      <x:c r="H31" s="346" t="str">
        <x:v>Multiple</x:v>
      </x:c>
      <x:c r="I31" s="24"/>
      <x:c r="J31" s="24"/>
      <x:c r="K31" s="24"/>
      <x:c r="L31" s="24"/>
      <x:c r="M31" s="24"/>
      <x:c r="N31" s="24"/>
      <x:c r="O31" s="24"/>
      <x:c r="P31" s="24"/>
      <x:c r="Q31" s="24"/>
      <x:c r="R31" s="24"/>
      <x:c r="S31" s="24"/>
      <x:c r="T31" s="24"/>
      <x:c r="U31" s="24"/>
      <x:c r="V31" s="24"/>
      <x:c r="W31" s="24"/>
      <x:c r="X31" s="24"/>
      <x:c r="Y31" s="24"/>
      <x:c r="Z31" s="24"/>
      <x:c r="AA31" s="24"/>
      <x:c r="AB31" s="24"/>
      <x:c r="AC31" s="24"/>
      <x:c r="AD31" s="24"/>
      <x:c r="AE31" s="24"/>
    </x:row>
    <x:row r="32" ht="34" customHeight="1">
      <x:c r="A32" s="346" t="str">
        <x:v>Interactions / slash commands</x:v>
      </x:c>
      <x:c r="B32" s="346" t="str">
        <x:v>https://docs.discord.com/developers/platform/interactions</x:v>
      </x:c>
      <x:c r="C32" s="346" t="str">
        <x:v>Slash commands, components, modals, Gateway/HTTP interactions.</x:v>
      </x:c>
      <x:c r="D32" s="346" t="str">
        <x:v>U/K means unknown / not publicly verifiable enough to state confidently.</x:v>
      </x:c>
      <x:c r="E32" s="346" t="str">
        <x:v>First-party / official</x:v>
      </x:c>
      <x:c r="F32" s="346" t="str">
        <x:v>2026-09-15</x:v>
      </x:c>
      <x:c r="G32" s="346" t="str">
        <x:v>Primary</x:v>
      </x:c>
      <x:c r="H32" s="346" t="str">
        <x:v>Multiple</x:v>
      </x:c>
      <x:c r="I32" s="24"/>
      <x:c r="J32" s="24"/>
      <x:c r="K32" s="24"/>
      <x:c r="L32" s="24"/>
      <x:c r="M32" s="24"/>
      <x:c r="N32" s="24"/>
      <x:c r="O32" s="24"/>
      <x:c r="P32" s="24"/>
      <x:c r="Q32" s="24"/>
      <x:c r="R32" s="24"/>
      <x:c r="S32" s="24"/>
      <x:c r="T32" s="24"/>
      <x:c r="U32" s="24"/>
      <x:c r="V32" s="24"/>
      <x:c r="W32" s="24"/>
      <x:c r="X32" s="24"/>
      <x:c r="Y32" s="24"/>
      <x:c r="Z32" s="24"/>
      <x:c r="AA32" s="24"/>
      <x:c r="AB32" s="24"/>
      <x:c r="AC32" s="24"/>
      <x:c r="AD32" s="24"/>
      <x:c r="AE32" s="24"/>
    </x:row>
    <x:row r="33" ht="34" customHeight="1">
      <x:c r="A33" s="346" t="str">
        <x:v>Rich Presence</x:v>
      </x:c>
      <x:c r="B33" s="346" t="str">
        <x:v>https://docs.discord.com/developers/platform/rich-presence</x:v>
      </x:c>
      <x:c r="C33" s="346" t="str">
        <x:v>Official Rich Presence platform documentation.</x:v>
      </x:c>
      <x:c r="D33" s="346" t="str">
        <x:v>U/K means unknown / not publicly verifiable enough to state confidently.</x:v>
      </x:c>
      <x:c r="E33" s="346" t="str">
        <x:v>First-party / official</x:v>
      </x:c>
      <x:c r="F33" s="346" t="str">
        <x:v>2026-09-15</x:v>
      </x:c>
      <x:c r="G33" s="346" t="str">
        <x:v>Primary</x:v>
      </x:c>
      <x:c r="H33" s="346" t="str">
        <x:v>Multiple</x:v>
      </x:c>
      <x:c r="I33" s="24"/>
      <x:c r="J33" s="24"/>
      <x:c r="K33" s="24"/>
      <x:c r="L33" s="24"/>
      <x:c r="M33" s="24"/>
      <x:c r="N33" s="24"/>
      <x:c r="O33" s="24"/>
      <x:c r="P33" s="24"/>
      <x:c r="Q33" s="24"/>
      <x:c r="R33" s="24"/>
      <x:c r="S33" s="24"/>
      <x:c r="T33" s="24"/>
      <x:c r="U33" s="24"/>
      <x:c r="V33" s="24"/>
      <x:c r="W33" s="24"/>
      <x:c r="X33" s="24"/>
      <x:c r="Y33" s="24"/>
      <x:c r="Z33" s="24"/>
      <x:c r="AA33" s="24"/>
      <x:c r="AB33" s="24"/>
      <x:c r="AC33" s="24"/>
      <x:c r="AD33" s="24"/>
      <x:c r="AE33" s="24"/>
    </x:row>
    <x:row r="34" ht="34" customHeight="1">
      <x:c r="A34" s="346" t="str">
        <x:v>Activities / embedded apps</x:v>
      </x:c>
      <x:c r="B34" s="346" t="str">
        <x:v>https://docs.discord.com/developers/platform/activities</x:v>
      </x:c>
      <x:c r="C34" s="346" t="str">
        <x:v>Activities are embedded games/social apps within Discord.</x:v>
      </x:c>
      <x:c r="D34" s="346" t="str">
        <x:v>U/K means unknown / not publicly verifiable enough to state confidently.</x:v>
      </x:c>
      <x:c r="E34" s="346" t="str">
        <x:v>First-party / official</x:v>
      </x:c>
      <x:c r="F34" s="346" t="str">
        <x:v>2026-09-15</x:v>
      </x:c>
      <x:c r="G34" s="346" t="str">
        <x:v>Primary</x:v>
      </x:c>
      <x:c r="H34" s="346" t="str">
        <x:v>Multiple</x:v>
      </x:c>
      <x:c r="I34" s="24"/>
      <x:c r="J34" s="24"/>
      <x:c r="K34" s="24"/>
      <x:c r="L34" s="24"/>
      <x:c r="M34" s="24"/>
      <x:c r="N34" s="24"/>
      <x:c r="O34" s="24"/>
      <x:c r="P34" s="24"/>
      <x:c r="Q34" s="24"/>
      <x:c r="R34" s="24"/>
      <x:c r="S34" s="24"/>
      <x:c r="T34" s="24"/>
      <x:c r="U34" s="24"/>
      <x:c r="V34" s="24"/>
      <x:c r="W34" s="24"/>
      <x:c r="X34" s="24"/>
      <x:c r="Y34" s="24"/>
      <x:c r="Z34" s="24"/>
      <x:c r="AA34" s="24"/>
      <x:c r="AB34" s="24"/>
      <x:c r="AC34" s="24"/>
      <x:c r="AD34" s="24"/>
      <x:c r="AE34" s="24"/>
    </x:row>
    <x:row r="35" ht="34" customHeight="1">
      <x:c r="A35" s="346" t="str">
        <x:v>Embedded App SDK</x:v>
      </x:c>
      <x:c r="B35" s="346" t="str">
        <x:v>https://docs.discord.com/developers/developer-tools/embedded-app-sdk</x:v>
      </x:c>
      <x:c r="C35" s="346" t="str">
        <x:v>Official JavaScript/TypeScript SDK for Discord Activities.</x:v>
      </x:c>
      <x:c r="D35" s="346" t="str">
        <x:v>U/K means unknown / not publicly verifiable enough to state confidently.</x:v>
      </x:c>
      <x:c r="E35" s="346" t="str">
        <x:v>First-party / official</x:v>
      </x:c>
      <x:c r="F35" s="346" t="str">
        <x:v>2026-09-15</x:v>
      </x:c>
      <x:c r="G35" s="346" t="str">
        <x:v>Primary</x:v>
      </x:c>
      <x:c r="H35" s="346" t="str">
        <x:v>Multiple</x:v>
      </x:c>
      <x:c r="I35" s="24"/>
      <x:c r="J35" s="24"/>
      <x:c r="K35" s="24"/>
      <x:c r="L35" s="24"/>
      <x:c r="M35" s="24"/>
      <x:c r="N35" s="24"/>
      <x:c r="O35" s="24"/>
      <x:c r="P35" s="24"/>
      <x:c r="Q35" s="24"/>
      <x:c r="R35" s="24"/>
      <x:c r="S35" s="24"/>
      <x:c r="T35" s="24"/>
      <x:c r="U35" s="24"/>
      <x:c r="V35" s="24"/>
      <x:c r="W35" s="24"/>
      <x:c r="X35" s="24"/>
      <x:c r="Y35" s="24"/>
      <x:c r="Z35" s="24"/>
      <x:c r="AA35" s="24"/>
      <x:c r="AB35" s="24"/>
      <x:c r="AC35" s="24"/>
      <x:c r="AD35" s="24"/>
      <x:c r="AE35" s="24"/>
    </x:row>
    <x:row r="36" ht="34" customHeight="1">
      <x:c r="A36" s="346" t="str">
        <x:v>Conversation Summaries</x:v>
      </x:c>
      <x:c r="B36" s="346" t="str">
        <x:v>https://support.discord.com/hc/en-us/articles/12926016807575-In-Channel-Conversation-Summaries</x:v>
      </x:c>
      <x:c r="C36" s="346" t="str">
        <x:v>2026 experiment for AI-generated channel conversation summaries.</x:v>
      </x:c>
      <x:c r="D36" s="346" t="str">
        <x:v>U/K means unknown / not publicly verifiable enough to state confidently.</x:v>
      </x:c>
      <x:c r="E36" s="346" t="str">
        <x:v>First-party / official</x:v>
      </x:c>
      <x:c r="F36" s="346" t="str">
        <x:v>2026-09-15</x:v>
      </x:c>
      <x:c r="G36" s="346" t="str">
        <x:v>Primary</x:v>
      </x:c>
      <x:c r="H36" s="346" t="str">
        <x:v>Multiple</x:v>
      </x:c>
      <x:c r="I36" s="24"/>
      <x:c r="J36" s="24"/>
      <x:c r="K36" s="24"/>
      <x:c r="L36" s="24"/>
      <x:c r="M36" s="24"/>
      <x:c r="N36" s="24"/>
      <x:c r="O36" s="24"/>
      <x:c r="P36" s="24"/>
      <x:c r="Q36" s="24"/>
      <x:c r="R36" s="24"/>
      <x:c r="S36" s="24"/>
      <x:c r="T36" s="24"/>
      <x:c r="U36" s="24"/>
      <x:c r="V36" s="24"/>
      <x:c r="W36" s="24"/>
      <x:c r="X36" s="24"/>
      <x:c r="Y36" s="24"/>
      <x:c r="Z36" s="24"/>
      <x:c r="AA36" s="24"/>
      <x:c r="AB36" s="24"/>
      <x:c r="AC36" s="24"/>
      <x:c r="AD36" s="24"/>
      <x:c r="AE36" s="24"/>
    </x:row>
    <x:row r="37" ht="34" customHeight="1">
      <x:c r="A37" s="346" t="str">
        <x:v>AI model-training policy</x:v>
      </x:c>
      <x:c r="B37" s="346" t="str">
        <x:v>https://discord.com/safety/important-policy-updates</x:v>
      </x:c>
      <x:c r="C37" s="346" t="str">
        <x:v>Discord says AI companies are not allowed to train models using user messages.</x:v>
      </x:c>
      <x:c r="D37" s="346" t="str">
        <x:v>U/K means unknown / not publicly verifiable enough to state confidently.</x:v>
      </x:c>
      <x:c r="E37" s="346" t="str">
        <x:v>First-party / official</x:v>
      </x:c>
      <x:c r="F37" s="346" t="str">
        <x:v>2026-09-15</x:v>
      </x:c>
      <x:c r="G37" s="346" t="str">
        <x:v>Primary</x:v>
      </x:c>
      <x:c r="H37" s="346" t="str">
        <x:v>Multiple</x:v>
      </x:c>
      <x:c r="I37" s="24"/>
      <x:c r="J37" s="24"/>
      <x:c r="K37" s="24"/>
      <x:c r="L37" s="24"/>
      <x:c r="M37" s="24"/>
      <x:c r="N37" s="24"/>
      <x:c r="O37" s="24"/>
      <x:c r="P37" s="24"/>
      <x:c r="Q37" s="24"/>
      <x:c r="R37" s="24"/>
      <x:c r="S37" s="24"/>
      <x:c r="T37" s="24"/>
      <x:c r="U37" s="24"/>
      <x:c r="V37" s="24"/>
      <x:c r="W37" s="24"/>
      <x:c r="X37" s="24"/>
      <x:c r="Y37" s="24"/>
      <x:c r="Z37" s="24"/>
      <x:c r="AA37" s="24"/>
      <x:c r="AB37" s="24"/>
      <x:c r="AC37" s="24"/>
      <x:c r="AD37" s="24"/>
      <x:c r="AE37" s="24"/>
    </x:row>
    <x:row r="38" ht="34" customHeight="1">
      <x:c r="A38" s="346" t="str">
        <x:v>Nitro perks</x:v>
      </x:c>
      <x:c r="B38" s="346" t="str">
        <x:v>https://support.discord.com/hc/en-us/articles/115000435108-What-are-Nitro-Nitro-Basic</x:v>
      </x:c>
      <x:c r="C38" s="346" t="str">
        <x:v>Nitro perks including uploads, HD streaming, cosmetics, Soundboard.</x:v>
      </x:c>
      <x:c r="D38" s="346" t="str">
        <x:v>U/K means unknown / not publicly verifiable enough to state confidently.</x:v>
      </x:c>
      <x:c r="E38" s="346" t="str">
        <x:v>First-party / official</x:v>
      </x:c>
      <x:c r="F38" s="346" t="str">
        <x:v>2026-09-15</x:v>
      </x:c>
      <x:c r="G38" s="346" t="str">
        <x:v>Primary</x:v>
      </x:c>
      <x:c r="H38" s="346" t="str">
        <x:v>Multiple</x:v>
      </x:c>
      <x:c r="I38" s="24"/>
      <x:c r="J38" s="24"/>
      <x:c r="K38" s="24"/>
      <x:c r="L38" s="24"/>
      <x:c r="M38" s="24"/>
      <x:c r="N38" s="24"/>
      <x:c r="O38" s="24"/>
      <x:c r="P38" s="24"/>
      <x:c r="Q38" s="24"/>
      <x:c r="R38" s="24"/>
      <x:c r="S38" s="24"/>
      <x:c r="T38" s="24"/>
      <x:c r="U38" s="24"/>
      <x:c r="V38" s="24"/>
      <x:c r="W38" s="24"/>
      <x:c r="X38" s="24"/>
      <x:c r="Y38" s="24"/>
      <x:c r="Z38" s="24"/>
      <x:c r="AA38" s="24"/>
      <x:c r="AB38" s="24"/>
      <x:c r="AC38" s="24"/>
      <x:c r="AD38" s="24"/>
      <x:c r="AE38" s="24"/>
    </x:row>
    <x:row r="39" ht="34" customHeight="1">
      <x:c r="A39" s="346" t="str">
        <x:v>Forum / Gallery view</x:v>
      </x:c>
      <x:c r="B39" s="346" t="str">
        <x:v>https://support.discord.com/hc/en-us/articles/6208479917079-Forum-Channels-FAQ</x:v>
      </x:c>
      <x:c r="C39" s="346" t="str">
        <x:v>Forum channels and Gallery View.</x:v>
      </x:c>
      <x:c r="D39" s="346" t="str">
        <x:v>U/K means unknown / not publicly verifiable enough to state confidently.</x:v>
      </x:c>
      <x:c r="E39" s="346" t="str">
        <x:v>First-party / official</x:v>
      </x:c>
      <x:c r="F39" s="346" t="str">
        <x:v>2026-09-15</x:v>
      </x:c>
      <x:c r="G39" s="346" t="str">
        <x:v>Primary</x:v>
      </x:c>
      <x:c r="H39" s="346" t="str">
        <x:v>Multiple</x:v>
      </x:c>
      <x:c r="I39" s="24"/>
      <x:c r="J39" s="24"/>
      <x:c r="K39" s="24"/>
      <x:c r="L39" s="24"/>
      <x:c r="M39" s="24"/>
      <x:c r="N39" s="24"/>
      <x:c r="O39" s="24"/>
      <x:c r="P39" s="24"/>
      <x:c r="Q39" s="24"/>
      <x:c r="R39" s="24"/>
      <x:c r="S39" s="24"/>
      <x:c r="T39" s="24"/>
      <x:c r="U39" s="24"/>
      <x:c r="V39" s="24"/>
      <x:c r="W39" s="24"/>
      <x:c r="X39" s="24"/>
      <x:c r="Y39" s="24"/>
      <x:c r="Z39" s="24"/>
      <x:c r="AA39" s="24"/>
      <x:c r="AB39" s="24"/>
      <x:c r="AC39" s="24"/>
      <x:c r="AD39" s="24"/>
      <x:c r="AE39" s="24"/>
    </x:row>
    <x:row r="40" ht="34" customHeight="1">
      <x:c r="A40" s="346" t="str">
        <x:v>Embedded Apps / Activities</x:v>
      </x:c>
      <x:c r="B40" s="346" t="str">
        <x:v>https://docs.discord.com/developers/platform/activities</x:v>
      </x:c>
      <x:c r="C40" s="346" t="str">
        <x:v>Activities are multiplayer/social experiences embedded directly in Discord; can launch in channels/DMs/App Launcher.</x:v>
      </x:c>
      <x:c r="D40" s="346" t="str">
        <x:v>Official developer platform documentation.</x:v>
      </x:c>
      <x:c r="E40" s="346" t="str">
        <x:v>First-party / official</x:v>
      </x:c>
      <x:c r="F40" s="346" t="str">
        <x:v>2026-09-15</x:v>
      </x:c>
      <x:c r="G40" s="346" t="str">
        <x:v>Primary</x:v>
      </x:c>
      <x:c r="H40" s="346" t="str">
        <x:v>Embedded Apps; Developer API Detail</x:v>
      </x:c>
    </x:row>
    <x:row r="41" ht="34" customHeight="1">
      <x:c r="A41" s="346" t="str">
        <x:v>Embedded App SDK</x:v>
      </x:c>
      <x:c r="B41" s="346" t="str">
        <x:v>https://docs.discord.com/developers/developer-tools/embedded-app-sdk</x:v>
      </x:c>
      <x:c r="C41" s="346" t="str">
        <x:v>Official SDK for communication between embedded web apps and Discord clients; supports web/iOS/Android methods.</x:v>
      </x:c>
      <x:c r="D41" s="346" t="str">
        <x:v>Official SDK reference.</x:v>
      </x:c>
      <x:c r="E41" s="346" t="str">
        <x:v>First-party / official</x:v>
      </x:c>
      <x:c r="F41" s="346" t="str">
        <x:v>2026-09-15</x:v>
      </x:c>
      <x:c r="G41" s="346" t="str">
        <x:v>Primary</x:v>
      </x:c>
      <x:c r="H41" s="346" t="str">
        <x:v>Embedded Apps; Developer API Detail</x:v>
      </x:c>
    </x:row>
    <x:row r="42" ht="34" customHeight="1">
      <x:c r="A42" s="346" t="str">
        <x:v>App platform overview</x:v>
      </x:c>
      <x:c r="B42" s="346" t="str">
        <x:v>https://docs.discord.com/developers/quick-start/overview-of-apps</x:v>
      </x:c>
      <x:c r="C42" s="346" t="str">
        <x:v>Defines bots, Activities and Social SDK integrations and installation scopes.</x:v>
      </x:c>
      <x:c r="D42" s="346" t="str">
        <x:v>Official app model overview.</x:v>
      </x:c>
      <x:c r="E42" s="346" t="str">
        <x:v>First-party / official</x:v>
      </x:c>
      <x:c r="F42" s="346" t="str">
        <x:v>2026-09-15</x:v>
      </x:c>
      <x:c r="G42" s="346" t="str">
        <x:v>Primary</x:v>
      </x:c>
      <x:c r="H42" s="346" t="str">
        <x:v>Embedded Apps; Developer Extensibility</x:v>
      </x:c>
    </x:row>
  </x:sheetData>
  <x:mergeCells>
    <x:mergeCell ref="A1:D1"/>
    <x:mergeCell ref="A1:H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52" hidden="0" customWidth="1"/>
    <x:col min="4" max="4" width="58" hidden="0" customWidth="1"/>
    <x:col min="5" max="5" width="14" hidden="0" customWidth="1"/>
    <x:col min="6" max="6" width="28" hidden="0" customWidth="1"/>
    <x:col min="7" max="7" width="16" hidden="0" customWidth="1"/>
    <x:col min="8" max="8" width="32" hidden="0" customWidth="1"/>
    <x:col min="9" max="9" width="40" hidden="0" customWidth="1"/>
    <x:col min="10" max="10" width="40" hidden="0" customWidth="1"/>
    <x:col min="11" max="11" width="40" hidden="0" customWidth="1"/>
    <x:col min="12" max="12" width="40" hidden="0" customWidth="1"/>
    <x:col min="13" max="13" width="40" hidden="0" customWidth="1"/>
    <x:col min="14" max="14" width="40" hidden="0" customWidth="1"/>
    <x:col min="15" max="15" width="40" hidden="0" customWidth="1"/>
    <x:col min="16" max="16" width="40" hidden="0" customWidth="1"/>
    <x:col min="17" max="17" width="40" hidden="0" customWidth="1"/>
    <x:col min="18" max="18" width="40" hidden="0" customWidth="1"/>
    <x:col min="19" max="19" width="40" hidden="0" customWidth="1"/>
    <x:col min="20" max="20" width="40" hidden="0" customWidth="1"/>
    <x:col min="21" max="21" width="40" hidden="0" customWidth="1"/>
    <x:col min="22" max="22" width="40" hidden="0" customWidth="1"/>
    <x:col min="23" max="23" width="40" hidden="0" customWidth="1"/>
    <x:col min="24" max="24" width="40" hidden="0" customWidth="1"/>
    <x:col min="25" max="25" width="40" hidden="0" customWidth="1"/>
    <x:col min="26" max="26" width="40" hidden="0" customWidth="1"/>
    <x:col min="27" max="27" width="40" hidden="0" customWidth="1"/>
    <x:col min="28" max="28" width="40" hidden="0" customWidth="1"/>
    <x:col min="29" max="29" width="40" hidden="0" customWidth="1"/>
    <x:col min="30" max="30" width="40" hidden="0" customWidth="1"/>
    <x:col min="31" max="31" width="40" hidden="0" customWidth="1"/>
  </x:cols>
  <x:sheetData>
    <x:row r="1" ht="28" customHeight="1">
      <x:c r="A1" s="437" t="str">
        <x:v>Research Sources - alternatives researched as of 2026-09-15</x:v>
      </x:c>
      <x:c r="B1" s="437"/>
      <x:c r="C1" s="437"/>
      <x:c r="D1" s="437"/>
      <x:c r="E1" s="437"/>
      <x:c r="F1" s="437"/>
      <x:c r="G1" s="437"/>
      <x:c r="H1" s="437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</x:row>
    <x:row r="2" ht="34" customHeight="1">
      <x:c r="A2" s="420" t="str">
        <x:v>Platform</x:v>
      </x:c>
      <x:c r="B2" s="420" t="str">
        <x:v>Area</x:v>
      </x:c>
      <x:c r="C2" s="420" t="str">
        <x:v>URL</x:v>
      </x:c>
      <x:c r="D2" s="420" t="str">
        <x:v>What it supports</x:v>
      </x:c>
      <x:c r="E2" s="420" t="str">
        <x:v>Checked</x:v>
      </x:c>
      <x:c r="F2" s="420" t="str">
        <x:v>Source Type</x:v>
      </x:c>
      <x:c r="G2" s="420" t="str">
        <x:v>Evidence Level</x:v>
      </x:c>
      <x:c r="H2" s="420" t="str">
        <x:v>Applies To</x:v>
      </x:c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 ht="34" customHeight="1">
      <x:c r="A3" s="346" t="str">
        <x:v>Stoat</x:v>
      </x:c>
      <x:c r="B3" s="346" t="str">
        <x:v>Self-hosting</x:v>
      </x:c>
      <x:c r="C3" s="346" t="str">
        <x:v>https://github.com/stoatchat/self-hosted</x:v>
      </x:c>
      <x:c r="D3" s="346" t="str">
        <x:v>Official Docker self-host stack; notes that most official clients do not yet support custom instances well.</x:v>
      </x:c>
      <x:c r="E3" s="346" t="str">
        <x:v>2026-09-15</x:v>
      </x:c>
      <x:c r="F3" s="346" t="str">
        <x:v>First-party / official or project repository</x:v>
      </x:c>
      <x:c r="G3" s="346" t="str">
        <x:v>Primary</x:v>
      </x:c>
      <x:c r="H3" s="346" t="str">
        <x:v>Multiple</x:v>
      </x:c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4"/>
      <x:c r="Z3" s="24"/>
      <x:c r="AA3" s="24"/>
      <x:c r="AB3" s="24"/>
      <x:c r="AC3" s="24"/>
      <x:c r="AD3" s="24"/>
      <x:c r="AE3" s="24"/>
    </x:row>
    <x:row r="4" ht="34" customHeight="1">
      <x:c r="A4" s="346" t="str">
        <x:v>Stoat</x:v>
      </x:c>
      <x:c r="B4" s="346" t="str">
        <x:v>Backend / licensing</x:v>
      </x:c>
      <x:c r="C4" s="346" t="str">
        <x:v>https://github.com/stoatchat/stoatchat</x:v>
      </x:c>
      <x:c r="D4" s="346" t="str">
        <x:v>Rust backend, AGPL-3.0, MongoDB/Redis/RabbitMQ/MinIO, LiveKit config.</x:v>
      </x:c>
      <x:c r="E4" s="346" t="str">
        <x:v>2026-09-15</x:v>
      </x:c>
      <x:c r="F4" s="346" t="str">
        <x:v>First-party / official or project repository</x:v>
      </x:c>
      <x:c r="G4" s="346" t="str">
        <x:v>Primary</x:v>
      </x:c>
      <x:c r="H4" s="346" t="str">
        <x:v>Multiple</x:v>
      </x:c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</x:row>
    <x:row r="5" ht="34" customHeight="1">
      <x:c r="A5" s="346" t="str">
        <x:v>Stoat</x:v>
      </x:c>
      <x:c r="B5" s="346" t="str">
        <x:v>Client ecosystem</x:v>
      </x:c>
      <x:c r="C5" s="346" t="str">
        <x:v>https://github.com/stoatchat/</x:v>
      </x:c>
      <x:c r="D5" s="346" t="str">
        <x:v>Web PWA, Electron desktop, Android, iOS project and community clients.</x:v>
      </x:c>
      <x:c r="E5" s="346" t="str">
        <x:v>2026-09-15</x:v>
      </x:c>
      <x:c r="F5" s="346" t="str">
        <x:v>First-party / official or project repository</x:v>
      </x:c>
      <x:c r="G5" s="346" t="str">
        <x:v>Primary</x:v>
      </x:c>
      <x:c r="H5" s="346" t="str">
        <x:v>Multiple</x:v>
      </x:c>
      <x:c r="I5" s="24"/>
      <x:c r="J5" s="24"/>
      <x:c r="K5" s="24"/>
      <x:c r="L5" s="24"/>
      <x:c r="M5" s="24"/>
      <x:c r="N5" s="24"/>
      <x:c r="O5" s="24"/>
      <x:c r="P5" s="24"/>
      <x:c r="Q5" s="24"/>
      <x:c r="R5" s="24"/>
      <x:c r="S5" s="24"/>
      <x:c r="T5" s="24"/>
      <x:c r="U5" s="24"/>
      <x:c r="V5" s="24"/>
      <x:c r="W5" s="24"/>
      <x:c r="X5" s="24"/>
      <x:c r="Y5" s="24"/>
      <x:c r="Z5" s="24"/>
      <x:c r="AA5" s="24"/>
      <x:c r="AB5" s="24"/>
      <x:c r="AC5" s="24"/>
      <x:c r="AD5" s="24"/>
      <x:c r="AE5" s="24"/>
    </x:row>
    <x:row r="6" ht="34" customHeight="1">
      <x:c r="A6" s="346" t="str">
        <x:v>Stoat</x:v>
      </x:c>
      <x:c r="B6" s="346" t="str">
        <x:v>Current product scope</x:v>
      </x:c>
      <x:c r="C6" s="346" t="str">
        <x:v>https://stoat.chat/legal/terms-stoat-supplement</x:v>
      </x:c>
      <x:c r="D6" s="346" t="str">
        <x:v>Stoat is chat with messaging, voice/video and recognizes self-hosted instances.</x:v>
      </x:c>
      <x:c r="E6" s="346" t="str">
        <x:v>2026-09-15</x:v>
      </x:c>
      <x:c r="F6" s="346" t="str">
        <x:v>First-party / official or project repository</x:v>
      </x:c>
      <x:c r="G6" s="346" t="str">
        <x:v>Primary</x:v>
      </x:c>
      <x:c r="H6" s="346" t="str">
        <x:v>Multiple</x:v>
      </x:c>
      <x:c r="I6" s="24"/>
      <x:c r="J6" s="24"/>
      <x:c r="K6" s="24"/>
      <x:c r="L6" s="24"/>
      <x:c r="M6" s="24"/>
      <x:c r="N6" s="24"/>
      <x:c r="O6" s="24"/>
      <x:c r="P6" s="24"/>
      <x:c r="Q6" s="24"/>
      <x:c r="R6" s="24"/>
      <x:c r="S6" s="24"/>
      <x:c r="T6" s="24"/>
      <x:c r="U6" s="24"/>
      <x:c r="V6" s="24"/>
      <x:c r="W6" s="24"/>
      <x:c r="X6" s="24"/>
      <x:c r="Y6" s="24"/>
      <x:c r="Z6" s="24"/>
      <x:c r="AA6" s="24"/>
      <x:c r="AB6" s="24"/>
      <x:c r="AC6" s="24"/>
      <x:c r="AD6" s="24"/>
      <x:c r="AE6" s="24"/>
    </x:row>
    <x:row r="7" ht="34" customHeight="1">
      <x:c r="A7" s="346" t="str">
        <x:v>Fenrid</x:v>
      </x:c>
      <x:c r="B7" s="346" t="str">
        <x:v>Current status/features</x:v>
      </x:c>
      <x:c r="C7" s="346" t="str">
        <x:v>https://fenrid.com/</x:v>
      </x:c>
      <x:c r="D7" s="346" t="str">
        <x:v>Alpha; channels, roles, voice/video/screen share, E2EE direct messages.</x:v>
      </x:c>
      <x:c r="E7" s="346" t="str">
        <x:v>2026-09-15</x:v>
      </x:c>
      <x:c r="F7" s="346" t="str">
        <x:v>First-party / official or project repository</x:v>
      </x:c>
      <x:c r="G7" s="346" t="str">
        <x:v>Primary</x:v>
      </x:c>
      <x:c r="H7" s="346" t="str">
        <x:v>Multiple</x:v>
      </x:c>
      <x:c r="I7" s="24"/>
      <x:c r="J7" s="24"/>
      <x:c r="K7" s="24"/>
      <x:c r="L7" s="24"/>
      <x:c r="M7" s="24"/>
      <x:c r="N7" s="24"/>
      <x:c r="O7" s="24"/>
      <x:c r="P7" s="24"/>
      <x:c r="Q7" s="24"/>
      <x:c r="R7" s="24"/>
      <x:c r="S7" s="24"/>
      <x:c r="T7" s="24"/>
      <x:c r="U7" s="24"/>
      <x:c r="V7" s="24"/>
      <x:c r="W7" s="24"/>
      <x:c r="X7" s="24"/>
      <x:c r="Y7" s="24"/>
      <x:c r="Z7" s="24"/>
      <x:c r="AA7" s="24"/>
      <x:c r="AB7" s="24"/>
      <x:c r="AC7" s="24"/>
      <x:c r="AD7" s="24"/>
      <x:c r="AE7" s="24"/>
    </x:row>
    <x:row r="8" ht="34" customHeight="1">
      <x:c r="A8" s="346" t="str">
        <x:v>Fenrid</x:v>
      </x:c>
      <x:c r="B8" s="346" t="str">
        <x:v>Architecture / E2EE disclosure</x:v>
      </x:c>
      <x:c r="C8" s="346" t="str">
        <x:v>https://blog.fenrid.com/fenrids-story</x:v>
      </x:c>
      <x:c r="D8" s="346" t="str">
        <x:v>Founder details centralized hosted architecture, E2EE boundaries, tech stack and open-source plan.</x:v>
      </x:c>
      <x:c r="E8" s="346" t="str">
        <x:v>2026-09-15</x:v>
      </x:c>
      <x:c r="F8" s="346" t="str">
        <x:v>First-party / official or project repository</x:v>
      </x:c>
      <x:c r="G8" s="346" t="str">
        <x:v>Primary</x:v>
      </x:c>
      <x:c r="H8" s="346" t="str">
        <x:v>Multiple</x:v>
      </x:c>
      <x:c r="I8" s="24"/>
      <x:c r="J8" s="24"/>
      <x:c r="K8" s="24"/>
      <x:c r="L8" s="24"/>
      <x:c r="M8" s="24"/>
      <x:c r="N8" s="24"/>
      <x:c r="O8" s="24"/>
      <x:c r="P8" s="24"/>
      <x:c r="Q8" s="24"/>
      <x:c r="R8" s="24"/>
      <x:c r="S8" s="24"/>
      <x:c r="T8" s="24"/>
      <x:c r="U8" s="24"/>
      <x:c r="V8" s="24"/>
      <x:c r="W8" s="24"/>
      <x:c r="X8" s="24"/>
      <x:c r="Y8" s="24"/>
      <x:c r="Z8" s="24"/>
      <x:c r="AA8" s="24"/>
      <x:c r="AB8" s="24"/>
      <x:c r="AC8" s="24"/>
      <x:c r="AD8" s="24"/>
      <x:c r="AE8" s="24"/>
    </x:row>
    <x:row r="9" ht="34" customHeight="1">
      <x:c r="A9" s="346" t="str">
        <x:v>Fenrid</x:v>
      </x:c>
      <x:c r="B9" s="346" t="str">
        <x:v>E2EE / roadmap</x:v>
      </x:c>
      <x:c r="C9" s="346" t="str">
        <x:v>https://fenrid.com/waitlist</x:v>
      </x:c>
      <x:c r="D9" s="346" t="str">
        <x:v>Published DM encryption flow and planned launch features.</x:v>
      </x:c>
      <x:c r="E9" s="346" t="str">
        <x:v>2026-09-15</x:v>
      </x:c>
      <x:c r="F9" s="346" t="str">
        <x:v>First-party / official or project repository</x:v>
      </x:c>
      <x:c r="G9" s="346" t="str">
        <x:v>Primary</x:v>
      </x:c>
      <x:c r="H9" s="346" t="str">
        <x:v>Multiple</x:v>
      </x:c>
      <x:c r="I9" s="24"/>
      <x:c r="J9" s="24"/>
      <x:c r="K9" s="24"/>
      <x:c r="L9" s="24"/>
      <x:c r="M9" s="24"/>
      <x:c r="N9" s="24"/>
      <x:c r="O9" s="24"/>
      <x:c r="P9" s="24"/>
      <x:c r="Q9" s="24"/>
      <x:c r="R9" s="24"/>
      <x:c r="S9" s="24"/>
      <x:c r="T9" s="24"/>
      <x:c r="U9" s="24"/>
      <x:c r="V9" s="24"/>
      <x:c r="W9" s="24"/>
      <x:c r="X9" s="24"/>
      <x:c r="Y9" s="24"/>
      <x:c r="Z9" s="24"/>
      <x:c r="AA9" s="24"/>
      <x:c r="AB9" s="24"/>
      <x:c r="AC9" s="24"/>
      <x:c r="AD9" s="24"/>
      <x:c r="AE9" s="24"/>
    </x:row>
    <x:row r="10" ht="34" customHeight="1">
      <x:c r="A10" s="346" t="str">
        <x:v>Fluxer</x:v>
      </x:c>
      <x:c r="B10" s="346" t="str">
        <x:v>Privacy / E2EE / AI</x:v>
      </x:c>
      <x:c r="C10" s="346" t="str">
        <x:v>https://fluxer.app/privacy</x:v>
      </x:c>
      <x:c r="D10" s="346" t="str">
        <x:v>No AI training; no E2EE yet; hosting jurisdiction/data practices.</x:v>
      </x:c>
      <x:c r="E10" s="346" t="str">
        <x:v>2026-09-15</x:v>
      </x:c>
      <x:c r="F10" s="346" t="str">
        <x:v>First-party / official or project repository</x:v>
      </x:c>
      <x:c r="G10" s="346" t="str">
        <x:v>Primary</x:v>
      </x:c>
      <x:c r="H10" s="346" t="str">
        <x:v>Multiple</x:v>
      </x:c>
      <x:c r="I10" s="24"/>
      <x:c r="J10" s="24"/>
      <x:c r="K10" s="24"/>
      <x:c r="L10" s="24"/>
      <x:c r="M10" s="24"/>
      <x:c r="N10" s="24"/>
      <x:c r="O10" s="24"/>
      <x:c r="P10" s="24"/>
      <x:c r="Q10" s="24"/>
      <x:c r="R10" s="24"/>
      <x:c r="S10" s="24"/>
      <x:c r="T10" s="24"/>
      <x:c r="U10" s="24"/>
      <x:c r="V10" s="24"/>
      <x:c r="W10" s="24"/>
      <x:c r="X10" s="24"/>
      <x:c r="Y10" s="24"/>
      <x:c r="Z10" s="24"/>
      <x:c r="AA10" s="24"/>
      <x:c r="AB10" s="24"/>
      <x:c r="AC10" s="24"/>
      <x:c r="AD10" s="24"/>
      <x:c r="AE10" s="24"/>
    </x:row>
    <x:row r="11" ht="34" customHeight="1">
      <x:c r="A11" s="346" t="str">
        <x:v>Fluxer</x:v>
      </x:c>
      <x:c r="B11" s="346" t="str">
        <x:v>Client distribution</x:v>
      </x:c>
      <x:c r="C11" s="346" t="str">
        <x:v>https://fluxer.app/download</x:v>
      </x:c>
      <x:c r="D11" s="346" t="str">
        <x:v>Web/desktop, Linux packages, Android/iOS beta status.</x:v>
      </x:c>
      <x:c r="E11" s="346" t="str">
        <x:v>2026-09-15</x:v>
      </x:c>
      <x:c r="F11" s="346" t="str">
        <x:v>First-party / official or project repository</x:v>
      </x:c>
      <x:c r="G11" s="346" t="str">
        <x:v>Primary</x:v>
      </x:c>
      <x:c r="H11" s="346" t="str">
        <x:v>Multiple</x:v>
      </x:c>
      <x:c r="I11" s="24"/>
      <x:c r="J11" s="24"/>
      <x:c r="K11" s="24"/>
      <x:c r="L11" s="24"/>
      <x:c r="M11" s="24"/>
      <x:c r="N11" s="24"/>
      <x:c r="O11" s="24"/>
      <x:c r="P11" s="24"/>
      <x:c r="Q11" s="24"/>
      <x:c r="R11" s="24"/>
      <x:c r="S11" s="24"/>
      <x:c r="T11" s="24"/>
      <x:c r="U11" s="24"/>
      <x:c r="V11" s="24"/>
      <x:c r="W11" s="24"/>
      <x:c r="X11" s="24"/>
      <x:c r="Y11" s="24"/>
      <x:c r="Z11" s="24"/>
      <x:c r="AA11" s="24"/>
      <x:c r="AB11" s="24"/>
      <x:c r="AC11" s="24"/>
      <x:c r="AD11" s="24"/>
      <x:c r="AE11" s="24"/>
    </x:row>
    <x:row r="12" ht="34" customHeight="1">
      <x:c r="A12" s="346" t="str">
        <x:v>Fluxer</x:v>
      </x:c>
      <x:c r="B12" s="346" t="str">
        <x:v>Roadmap / self-host/federation</x:v>
      </x:c>
      <x:c r="C12" s="346" t="str">
        <x:v>https://fluxer.app/blog/roadmap-2026</x:v>
      </x:c>
      <x:c r="D12" s="346" t="str">
        <x:v>Public beta, self-host architecture, mobile, voice/video E2EE and federation roadmap.</x:v>
      </x:c>
      <x:c r="E12" s="346" t="str">
        <x:v>2026-09-15</x:v>
      </x:c>
      <x:c r="F12" s="346" t="str">
        <x:v>First-party / official or project repository</x:v>
      </x:c>
      <x:c r="G12" s="346" t="str">
        <x:v>Primary</x:v>
      </x:c>
      <x:c r="H12" s="346" t="str">
        <x:v>Multiple</x:v>
      </x:c>
      <x:c r="I12" s="24"/>
      <x:c r="J12" s="24"/>
      <x:c r="K12" s="24"/>
      <x:c r="L12" s="24"/>
      <x:c r="M12" s="24"/>
      <x:c r="N12" s="24"/>
      <x:c r="O12" s="24"/>
      <x:c r="P12" s="24"/>
      <x:c r="Q12" s="24"/>
      <x:c r="R12" s="24"/>
      <x:c r="S12" s="24"/>
      <x:c r="T12" s="24"/>
      <x:c r="U12" s="24"/>
      <x:c r="V12" s="24"/>
      <x:c r="W12" s="24"/>
      <x:c r="X12" s="24"/>
      <x:c r="Y12" s="24"/>
      <x:c r="Z12" s="24"/>
      <x:c r="AA12" s="24"/>
      <x:c r="AB12" s="24"/>
      <x:c r="AC12" s="24"/>
      <x:c r="AD12" s="24"/>
      <x:c r="AE12" s="24"/>
    </x:row>
    <x:row r="13" ht="34" customHeight="1">
      <x:c r="A13" s="346" t="str">
        <x:v>Root</x:v>
      </x:c>
      <x:c r="B13" s="346" t="str">
        <x:v>Privacy / AI</x:v>
      </x:c>
      <x:c r="C13" s="346" t="str">
        <x:v>https://www.rootapp.com/privacy-policy</x:v>
      </x:c>
      <x:c r="D13" s="346" t="str">
        <x:v>Closed centralized service; stored message/file data, real-time calls, no AI training, IP collection.</x:v>
      </x:c>
      <x:c r="E13" s="346" t="str">
        <x:v>2026-09-15</x:v>
      </x:c>
      <x:c r="F13" s="346" t="str">
        <x:v>First-party / official or project repository</x:v>
      </x:c>
      <x:c r="G13" s="346" t="str">
        <x:v>Primary</x:v>
      </x:c>
      <x:c r="H13" s="346" t="str">
        <x:v>Multiple</x:v>
      </x:c>
      <x:c r="I13" s="24"/>
      <x:c r="J13" s="24"/>
      <x:c r="K13" s="24"/>
      <x:c r="L13" s="24"/>
      <x:c r="M13" s="24"/>
      <x:c r="N13" s="24"/>
      <x:c r="O13" s="24"/>
      <x:c r="P13" s="24"/>
      <x:c r="Q13" s="24"/>
      <x:c r="R13" s="24"/>
      <x:c r="S13" s="24"/>
      <x:c r="T13" s="24"/>
      <x:c r="U13" s="24"/>
      <x:c r="V13" s="24"/>
      <x:c r="W13" s="24"/>
      <x:c r="X13" s="24"/>
      <x:c r="Y13" s="24"/>
      <x:c r="Z13" s="24"/>
      <x:c r="AA13" s="24"/>
      <x:c r="AB13" s="24"/>
      <x:c r="AC13" s="24"/>
      <x:c r="AD13" s="24"/>
      <x:c r="AE13" s="24"/>
    </x:row>
    <x:row r="14" ht="34" customHeight="1">
      <x:c r="A14" s="346" t="str">
        <x:v>Root</x:v>
      </x:c>
      <x:c r="B14" s="346" t="str">
        <x:v>Discord import</x:v>
      </x:c>
      <x:c r="C14" s="346" t="str">
        <x:v>https://support.rootapp.com/docs/leader/community/import-discord-template/</x:v>
      </x:c>
      <x:c r="D14" s="346" t="str">
        <x:v>Exactly what Discord template import does and does not migrate.</x:v>
      </x:c>
      <x:c r="E14" s="346" t="str">
        <x:v>2026-09-15</x:v>
      </x:c>
      <x:c r="F14" s="346" t="str">
        <x:v>First-party / official or project repository</x:v>
      </x:c>
      <x:c r="G14" s="346" t="str">
        <x:v>Primary</x:v>
      </x:c>
      <x:c r="H14" s="346" t="str">
        <x:v>Multiple</x:v>
      </x:c>
      <x:c r="I14" s="24"/>
      <x:c r="J14" s="24"/>
      <x:c r="K14" s="24"/>
      <x:c r="L14" s="24"/>
      <x:c r="M14" s="24"/>
      <x:c r="N14" s="24"/>
      <x:c r="O14" s="24"/>
      <x:c r="P14" s="24"/>
      <x:c r="Q14" s="24"/>
      <x:c r="R14" s="24"/>
      <x:c r="S14" s="24"/>
      <x:c r="T14" s="24"/>
      <x:c r="U14" s="24"/>
      <x:c r="V14" s="24"/>
      <x:c r="W14" s="24"/>
      <x:c r="X14" s="24"/>
      <x:c r="Y14" s="24"/>
      <x:c r="Z14" s="24"/>
      <x:c r="AA14" s="24"/>
      <x:c r="AB14" s="24"/>
      <x:c r="AC14" s="24"/>
      <x:c r="AD14" s="24"/>
      <x:c r="AE14" s="24"/>
    </x:row>
    <x:row r="15" ht="34" customHeight="1">
      <x:c r="A15" s="346" t="str">
        <x:v>Root</x:v>
      </x:c>
      <x:c r="B15" s="346" t="str">
        <x:v>Screen share</x:v>
      </x:c>
      <x:c r="C15" s="346" t="str">
        <x:v>https://support.rootapp.com/docs/member/voice-video/share-screen/</x:v>
      </x:c>
      <x:c r="D15" s="346" t="str">
        <x:v>720p30 game mode, Source@5fps, audio capture, no mobile sharing.</x:v>
      </x:c>
      <x:c r="E15" s="346" t="str">
        <x:v>2026-09-15</x:v>
      </x:c>
      <x:c r="F15" s="346" t="str">
        <x:v>First-party / official or project repository</x:v>
      </x:c>
      <x:c r="G15" s="346" t="str">
        <x:v>Primary</x:v>
      </x:c>
      <x:c r="H15" s="346" t="str">
        <x:v>Multiple</x:v>
      </x:c>
      <x:c r="I15" s="24"/>
      <x:c r="J15" s="24"/>
      <x:c r="K15" s="24"/>
      <x:c r="L15" s="24"/>
      <x:c r="M15" s="24"/>
      <x:c r="N15" s="24"/>
      <x:c r="O15" s="24"/>
      <x:c r="P15" s="24"/>
      <x:c r="Q15" s="24"/>
      <x:c r="R15" s="24"/>
      <x:c r="S15" s="24"/>
      <x:c r="T15" s="24"/>
      <x:c r="U15" s="24"/>
      <x:c r="V15" s="24"/>
      <x:c r="W15" s="24"/>
      <x:c r="X15" s="24"/>
      <x:c r="Y15" s="24"/>
      <x:c r="Z15" s="24"/>
      <x:c r="AA15" s="24"/>
      <x:c r="AB15" s="24"/>
      <x:c r="AC15" s="24"/>
      <x:c r="AD15" s="24"/>
      <x:c r="AE15" s="24"/>
    </x:row>
    <x:row r="16" ht="34" customHeight="1">
      <x:c r="A16" s="346" t="str">
        <x:v>Root</x:v>
      </x:c>
      <x:c r="B16" s="346" t="str">
        <x:v>Apps/Bots</x:v>
      </x:c>
      <x:c r="C16" s="346" t="str">
        <x:v>https://docs.rootapp.com/docs/overview/choose-app-or-bot/</x:v>
      </x:c>
      <x:c r="D16" s="346" t="str">
        <x:v>Hosted Root Apps with GUIs vs Bots, API access and hosted runtime model.</x:v>
      </x:c>
      <x:c r="E16" s="346" t="str">
        <x:v>2026-09-15</x:v>
      </x:c>
      <x:c r="F16" s="346" t="str">
        <x:v>First-party / official or project repository</x:v>
      </x:c>
      <x:c r="G16" s="346" t="str">
        <x:v>Primary</x:v>
      </x:c>
      <x:c r="H16" s="346" t="str">
        <x:v>Multiple</x:v>
      </x:c>
      <x:c r="I16" s="24"/>
      <x:c r="J16" s="24"/>
      <x:c r="K16" s="24"/>
      <x:c r="L16" s="24"/>
      <x:c r="M16" s="24"/>
      <x:c r="N16" s="24"/>
      <x:c r="O16" s="24"/>
      <x:c r="P16" s="24"/>
      <x:c r="Q16" s="24"/>
      <x:c r="R16" s="24"/>
      <x:c r="S16" s="24"/>
      <x:c r="T16" s="24"/>
      <x:c r="U16" s="24"/>
      <x:c r="V16" s="24"/>
      <x:c r="W16" s="24"/>
      <x:c r="X16" s="24"/>
      <x:c r="Y16" s="24"/>
      <x:c r="Z16" s="24"/>
      <x:c r="AA16" s="24"/>
      <x:c r="AB16" s="24"/>
      <x:c r="AC16" s="24"/>
      <x:c r="AD16" s="24"/>
      <x:c r="AE16" s="24"/>
    </x:row>
    <x:row r="17" ht="34" customHeight="1">
      <x:c r="A17" s="346" t="str">
        <x:v>Root</x:v>
      </x:c>
      <x:c r="B17" s="346" t="str">
        <x:v>File limits</x:v>
      </x:c>
      <x:c r="C17" s="346" t="str">
        <x:v>https://support.rootapp.com/docs/leader/channel-files/overview/</x:v>
      </x:c>
      <x:c r="D17" s="346" t="str">
        <x:v>25 MB max file and 10 files/upload.</x:v>
      </x:c>
      <x:c r="E17" s="346" t="str">
        <x:v>2026-09-15</x:v>
      </x:c>
      <x:c r="F17" s="346" t="str">
        <x:v>First-party / official or project repository</x:v>
      </x:c>
      <x:c r="G17" s="346" t="str">
        <x:v>Primary</x:v>
      </x:c>
      <x:c r="H17" s="346" t="str">
        <x:v>Multiple</x:v>
      </x:c>
      <x:c r="I17" s="24"/>
      <x:c r="J17" s="24"/>
      <x:c r="K17" s="24"/>
      <x:c r="L17" s="24"/>
      <x:c r="M17" s="24"/>
      <x:c r="N17" s="24"/>
      <x:c r="O17" s="24"/>
      <x:c r="P17" s="24"/>
      <x:c r="Q17" s="24"/>
      <x:c r="R17" s="24"/>
      <x:c r="S17" s="24"/>
      <x:c r="T17" s="24"/>
      <x:c r="U17" s="24"/>
      <x:c r="V17" s="24"/>
      <x:c r="W17" s="24"/>
      <x:c r="X17" s="24"/>
      <x:c r="Y17" s="24"/>
      <x:c r="Z17" s="24"/>
      <x:c r="AA17" s="24"/>
      <x:c r="AB17" s="24"/>
      <x:c r="AC17" s="24"/>
      <x:c r="AD17" s="24"/>
      <x:c r="AE17" s="24"/>
    </x:row>
    <x:row r="18" ht="34" customHeight="1">
      <x:c r="A18" s="346" t="str">
        <x:v>Matrix</x:v>
      </x:c>
      <x:c r="B18" s="346" t="str">
        <x:v>Platform model</x:v>
      </x:c>
      <x:c r="C18" s="346" t="str">
        <x:v>https://matrix.org/docs/matrix-concepts/elements-of-matrix/</x:v>
      </x:c>
      <x:c r="D18" s="346" t="str">
        <x:v>Separates homeservers, clients and federation; Matrix is not Element.</x:v>
      </x:c>
      <x:c r="E18" s="346" t="str">
        <x:v>2026-09-15</x:v>
      </x:c>
      <x:c r="F18" s="346" t="str">
        <x:v>First-party / official or project repository</x:v>
      </x:c>
      <x:c r="G18" s="346" t="str">
        <x:v>Primary</x:v>
      </x:c>
      <x:c r="H18" s="346" t="str">
        <x:v>Multiple</x:v>
      </x:c>
      <x:c r="I18" s="24"/>
      <x:c r="J18" s="24"/>
      <x:c r="K18" s="24"/>
      <x:c r="L18" s="24"/>
      <x:c r="M18" s="24"/>
      <x:c r="N18" s="24"/>
      <x:c r="O18" s="24"/>
      <x:c r="P18" s="24"/>
      <x:c r="Q18" s="24"/>
      <x:c r="R18" s="24"/>
      <x:c r="S18" s="24"/>
      <x:c r="T18" s="24"/>
      <x:c r="U18" s="24"/>
      <x:c r="V18" s="24"/>
      <x:c r="W18" s="24"/>
      <x:c r="X18" s="24"/>
      <x:c r="Y18" s="24"/>
      <x:c r="Z18" s="24"/>
      <x:c r="AA18" s="24"/>
      <x:c r="AB18" s="24"/>
      <x:c r="AC18" s="24"/>
      <x:c r="AD18" s="24"/>
      <x:c r="AE18" s="24"/>
    </x:row>
    <x:row r="19" ht="34" customHeight="1">
      <x:c r="A19" s="346" t="str">
        <x:v>Matrix</x:v>
      </x:c>
      <x:c r="B19" s="346" t="str">
        <x:v>Specification</x:v>
      </x:c>
      <x:c r="C19" s="346" t="str">
        <x:v>https://spec.matrix.org/unstable/</x:v>
      </x:c>
      <x:c r="D19" s="346" t="str">
        <x:v>Open client-server/server-server architecture and federation.</x:v>
      </x:c>
      <x:c r="E19" s="346" t="str">
        <x:v>2026-09-15</x:v>
      </x:c>
      <x:c r="F19" s="346" t="str">
        <x:v>First-party / official or project repository</x:v>
      </x:c>
      <x:c r="G19" s="346" t="str">
        <x:v>Primary</x:v>
      </x:c>
      <x:c r="H19" s="346" t="str">
        <x:v>Multiple</x:v>
      </x:c>
      <x:c r="I19" s="24"/>
      <x:c r="J19" s="24"/>
      <x:c r="K19" s="24"/>
      <x:c r="L19" s="24"/>
      <x:c r="M19" s="24"/>
      <x:c r="N19" s="24"/>
      <x:c r="O19" s="24"/>
      <x:c r="P19" s="24"/>
      <x:c r="Q19" s="24"/>
      <x:c r="R19" s="24"/>
      <x:c r="S19" s="24"/>
      <x:c r="T19" s="24"/>
      <x:c r="U19" s="24"/>
      <x:c r="V19" s="24"/>
      <x:c r="W19" s="24"/>
      <x:c r="X19" s="24"/>
      <x:c r="Y19" s="24"/>
      <x:c r="Z19" s="24"/>
      <x:c r="AA19" s="24"/>
      <x:c r="AB19" s="24"/>
      <x:c r="AC19" s="24"/>
      <x:c r="AD19" s="24"/>
      <x:c r="AE19" s="24"/>
    </x:row>
    <x:row r="20" ht="34" customHeight="1">
      <x:c r="A20" s="346" t="str">
        <x:v>Matrix</x:v>
      </x:c>
      <x:c r="B20" s="346" t="str">
        <x:v>Homeserver network</x:v>
      </x:c>
      <x:c r="C20" s="346" t="str">
        <x:v>https://matrix.org/homeserver/about/</x:v>
      </x:c>
      <x:c r="D20" s="346" t="str">
        <x:v>matrix.org is one homeserver in the federated network, not Matrix itself.</x:v>
      </x:c>
      <x:c r="E20" s="346" t="str">
        <x:v>2026-09-15</x:v>
      </x:c>
      <x:c r="F20" s="346" t="str">
        <x:v>First-party / official or project repository</x:v>
      </x:c>
      <x:c r="G20" s="346" t="str">
        <x:v>Primary</x:v>
      </x:c>
      <x:c r="H20" s="346" t="str">
        <x:v>Multiple</x:v>
      </x:c>
      <x:c r="I20" s="24"/>
      <x:c r="J20" s="24"/>
      <x:c r="K20" s="24"/>
      <x:c r="L20" s="24"/>
      <x:c r="M20" s="24"/>
      <x:c r="N20" s="24"/>
      <x:c r="O20" s="24"/>
      <x:c r="P20" s="24"/>
      <x:c r="Q20" s="24"/>
      <x:c r="R20" s="24"/>
      <x:c r="S20" s="24"/>
      <x:c r="T20" s="24"/>
      <x:c r="U20" s="24"/>
      <x:c r="V20" s="24"/>
      <x:c r="W20" s="24"/>
      <x:c r="X20" s="24"/>
      <x:c r="Y20" s="24"/>
      <x:c r="Z20" s="24"/>
      <x:c r="AA20" s="24"/>
      <x:c r="AB20" s="24"/>
      <x:c r="AC20" s="24"/>
      <x:c r="AD20" s="24"/>
      <x:c r="AE20" s="24"/>
    </x:row>
    <x:row r="21" ht="34" customHeight="1">
      <x:c r="A21" s="346" t="str">
        <x:v>Spacebar</x:v>
      </x:c>
      <x:c r="B21" s="346" t="str">
        <x:v>Project definition</x:v>
      </x:c>
      <x:c r="C21" s="346" t="str">
        <x:v>https://docs.spacebar.chat/</x:v>
      </x:c>
      <x:c r="D21" s="346" t="str">
        <x:v>FOSS Discord API reimplementation; self-hosted, separate from Discord.</x:v>
      </x:c>
      <x:c r="E21" s="346" t="str">
        <x:v>2026-09-15</x:v>
      </x:c>
      <x:c r="F21" s="346" t="str">
        <x:v>First-party / official or project repository</x:v>
      </x:c>
      <x:c r="G21" s="346" t="str">
        <x:v>Primary</x:v>
      </x:c>
      <x:c r="H21" s="346" t="str">
        <x:v>Multiple</x:v>
      </x:c>
      <x:c r="I21" s="24"/>
      <x:c r="J21" s="24"/>
      <x:c r="K21" s="24"/>
      <x:c r="L21" s="24"/>
      <x:c r="M21" s="24"/>
      <x:c r="N21" s="24"/>
      <x:c r="O21" s="24"/>
      <x:c r="P21" s="24"/>
      <x:c r="Q21" s="24"/>
      <x:c r="R21" s="24"/>
      <x:c r="S21" s="24"/>
      <x:c r="T21" s="24"/>
      <x:c r="U21" s="24"/>
      <x:c r="V21" s="24"/>
      <x:c r="W21" s="24"/>
      <x:c r="X21" s="24"/>
      <x:c r="Y21" s="24"/>
      <x:c r="Z21" s="24"/>
      <x:c r="AA21" s="24"/>
      <x:c r="AB21" s="24"/>
      <x:c r="AC21" s="24"/>
      <x:c r="AD21" s="24"/>
      <x:c r="AE21" s="24"/>
    </x:row>
    <x:row r="22" ht="34" customHeight="1">
      <x:c r="A22" s="346" t="str">
        <x:v>Spacebar</x:v>
      </x:c>
      <x:c r="B22" s="346" t="str">
        <x:v>Server model</x:v>
      </x:c>
      <x:c r="C22" s="346" t="str">
        <x:v>https://docs.spacebar.chat/setup/server/</x:v>
      </x:c>
      <x:c r="D22" s="346" t="str">
        <x:v>API, Gateway and CDN service layout.</x:v>
      </x:c>
      <x:c r="E22" s="346" t="str">
        <x:v>2026-09-15</x:v>
      </x:c>
      <x:c r="F22" s="346" t="str">
        <x:v>First-party / official or project repository</x:v>
      </x:c>
      <x:c r="G22" s="346" t="str">
        <x:v>Primary</x:v>
      </x:c>
      <x:c r="H22" s="346" t="str">
        <x:v>Multiple</x:v>
      </x:c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24"/>
      <x:c r="T22" s="24"/>
      <x:c r="U22" s="24"/>
      <x:c r="V22" s="24"/>
      <x:c r="W22" s="24"/>
      <x:c r="X22" s="24"/>
      <x:c r="Y22" s="24"/>
      <x:c r="Z22" s="24"/>
      <x:c r="AA22" s="24"/>
      <x:c r="AB22" s="24"/>
      <x:c r="AC22" s="24"/>
      <x:c r="AD22" s="24"/>
      <x:c r="AE22" s="24"/>
    </x:row>
    <x:row r="23" ht="34" customHeight="1">
      <x:c r="A23" s="346" t="str">
        <x:v>Spacebar</x:v>
      </x:c>
      <x:c r="B23" s="346" t="str">
        <x:v>Voice</x:v>
      </x:c>
      <x:c r="C23" s="346" t="str">
        <x:v>https://docs.spacebar.chat/setup/server/installation/generic/voice/</x:v>
      </x:c>
      <x:c r="D23" s="346" t="str">
        <x:v>Optional WebRTC media implementations, audio/video/Go Live capability.</x:v>
      </x:c>
      <x:c r="E23" s="346" t="str">
        <x:v>2026-09-15</x:v>
      </x:c>
      <x:c r="F23" s="346" t="str">
        <x:v>First-party / official or project repository</x:v>
      </x:c>
      <x:c r="G23" s="346" t="str">
        <x:v>Primary</x:v>
      </x:c>
      <x:c r="H23" s="346" t="str">
        <x:v>Multiple</x:v>
      </x:c>
      <x:c r="I23" s="24"/>
      <x:c r="J23" s="24"/>
      <x:c r="K23" s="24"/>
      <x:c r="L23" s="24"/>
      <x:c r="M23" s="24"/>
      <x:c r="N23" s="24"/>
      <x:c r="O23" s="24"/>
      <x:c r="P23" s="24"/>
      <x:c r="Q23" s="24"/>
      <x:c r="R23" s="24"/>
      <x:c r="S23" s="24"/>
      <x:c r="T23" s="24"/>
      <x:c r="U23" s="24"/>
      <x:c r="V23" s="24"/>
      <x:c r="W23" s="24"/>
      <x:c r="X23" s="24"/>
      <x:c r="Y23" s="24"/>
      <x:c r="Z23" s="24"/>
      <x:c r="AA23" s="24"/>
      <x:c r="AB23" s="24"/>
      <x:c r="AC23" s="24"/>
      <x:c r="AD23" s="24"/>
      <x:c r="AE23" s="24"/>
    </x:row>
    <x:row r="24" ht="34" customHeight="1">
      <x:c r="A24" s="346" t="str">
        <x:v>Mumble</x:v>
      </x:c>
      <x:c r="B24" s="346" t="str">
        <x:v>Core project</x:v>
      </x:c>
      <x:c r="C24" s="346" t="str">
        <x:v>https://github.com/mumble-voip/mumble</x:v>
      </x:c>
      <x:c r="D24" s="346" t="str">
        <x:v>Open-source voice client/server, active development and BSD-style license.</x:v>
      </x:c>
      <x:c r="E24" s="346" t="str">
        <x:v>2026-09-15</x:v>
      </x:c>
      <x:c r="F24" s="346" t="str">
        <x:v>First-party / official or project repository</x:v>
      </x:c>
      <x:c r="G24" s="346" t="str">
        <x:v>Primary</x:v>
      </x:c>
      <x:c r="H24" s="346" t="str">
        <x:v>Multiple</x:v>
      </x:c>
      <x:c r="I24" s="24"/>
      <x:c r="J24" s="24"/>
      <x:c r="K24" s="24"/>
      <x:c r="L24" s="24"/>
      <x:c r="M24" s="24"/>
      <x:c r="N24" s="24"/>
      <x:c r="O24" s="24"/>
      <x:c r="P24" s="24"/>
      <x:c r="Q24" s="24"/>
      <x:c r="R24" s="24"/>
      <x:c r="S24" s="24"/>
      <x:c r="T24" s="24"/>
      <x:c r="U24" s="24"/>
      <x:c r="V24" s="24"/>
      <x:c r="W24" s="24"/>
      <x:c r="X24" s="24"/>
      <x:c r="Y24" s="24"/>
      <x:c r="Z24" s="24"/>
      <x:c r="AA24" s="24"/>
      <x:c r="AB24" s="24"/>
      <x:c r="AC24" s="24"/>
      <x:c r="AD24" s="24"/>
      <x:c r="AE24" s="24"/>
    </x:row>
    <x:row r="25" ht="34" customHeight="1">
      <x:c r="A25" s="346" t="str">
        <x:v>TeamSpeak</x:v>
      </x:c>
      <x:c r="B25" s="346" t="str">
        <x:v>Official site</x:v>
      </x:c>
      <x:c r="C25" s="346" t="str">
        <x:v>https://www.teamspeak.com/</x:v>
      </x:c>
      <x:c r="D25" s="346" t="str">
        <x:v>Commercial TeamSpeak client/server ecosystem; TS6 generation.</x:v>
      </x:c>
      <x:c r="E25" s="346" t="str">
        <x:v>2026-09-15</x:v>
      </x:c>
      <x:c r="F25" s="346" t="str">
        <x:v>First-party / official or project repository</x:v>
      </x:c>
      <x:c r="G25" s="346" t="str">
        <x:v>Primary</x:v>
      </x:c>
      <x:c r="H25" s="346" t="str">
        <x:v>Multiple</x:v>
      </x:c>
      <x:c r="I25" s="24"/>
      <x:c r="J25" s="24"/>
      <x:c r="K25" s="24"/>
      <x:c r="L25" s="24"/>
      <x:c r="M25" s="24"/>
      <x:c r="N25" s="24"/>
      <x:c r="O25" s="24"/>
      <x:c r="P25" s="24"/>
      <x:c r="Q25" s="24"/>
      <x:c r="R25" s="24"/>
      <x:c r="S25" s="24"/>
      <x:c r="T25" s="24"/>
      <x:c r="U25" s="24"/>
      <x:c r="V25" s="24"/>
      <x:c r="W25" s="24"/>
      <x:c r="X25" s="24"/>
      <x:c r="Y25" s="24"/>
      <x:c r="Z25" s="24"/>
      <x:c r="AA25" s="24"/>
      <x:c r="AB25" s="24"/>
      <x:c r="AC25" s="24"/>
      <x:c r="AD25" s="24"/>
      <x:c r="AE25" s="24"/>
    </x:row>
    <x:row r="26" ht="34" customHeight="1">
      <x:c r="A26" s="346" t="str">
        <x:v>Zulip</x:v>
      </x:c>
      <x:c r="B26" s="346" t="str">
        <x:v>Core project / license</x:v>
      </x:c>
      <x:c r="C26" s="346" t="str">
        <x:v>https://github.com/zulip/zulip</x:v>
      </x:c>
      <x:c r="D26" s="346" t="str">
        <x:v>Apache-2.0 open-source server/web app and active project.</x:v>
      </x:c>
      <x:c r="E26" s="346" t="str">
        <x:v>2026-09-15</x:v>
      </x:c>
      <x:c r="F26" s="346" t="str">
        <x:v>First-party / official or project repository</x:v>
      </x:c>
      <x:c r="G26" s="346" t="str">
        <x:v>Primary</x:v>
      </x:c>
      <x:c r="H26" s="346" t="str">
        <x:v>Multiple</x:v>
      </x:c>
      <x:c r="I26" s="24"/>
      <x:c r="J26" s="24"/>
      <x:c r="K26" s="24"/>
      <x:c r="L26" s="24"/>
      <x:c r="M26" s="24"/>
      <x:c r="N26" s="24"/>
      <x:c r="O26" s="24"/>
      <x:c r="P26" s="24"/>
      <x:c r="Q26" s="24"/>
      <x:c r="R26" s="24"/>
      <x:c r="S26" s="24"/>
      <x:c r="T26" s="24"/>
      <x:c r="U26" s="24"/>
      <x:c r="V26" s="24"/>
      <x:c r="W26" s="24"/>
      <x:c r="X26" s="24"/>
      <x:c r="Y26" s="24"/>
      <x:c r="Z26" s="24"/>
      <x:c r="AA26" s="24"/>
      <x:c r="AB26" s="24"/>
      <x:c r="AC26" s="24"/>
      <x:c r="AD26" s="24"/>
      <x:c r="AE26" s="24"/>
    </x:row>
    <x:row r="27" ht="34" customHeight="1">
      <x:c r="A27" s="346" t="str">
        <x:v>Mattermost</x:v>
      </x:c>
      <x:c r="B27" s="346" t="str">
        <x:v>Licensing</x:v>
      </x:c>
      <x:c r="C27" s="346" t="str">
        <x:v>https://docs.mattermost.com/product-overview/faq-license</x:v>
      </x:c>
      <x:c r="D27" s="346" t="str">
        <x:v>Team Edition/open-source and commercial licensing model.</x:v>
      </x:c>
      <x:c r="E27" s="346" t="str">
        <x:v>2026-09-15</x:v>
      </x:c>
      <x:c r="F27" s="346" t="str">
        <x:v>First-party / official or project repository</x:v>
      </x:c>
      <x:c r="G27" s="346" t="str">
        <x:v>Primary</x:v>
      </x:c>
      <x:c r="H27" s="346" t="str">
        <x:v>Multiple</x:v>
      </x:c>
      <x:c r="I27" s="24"/>
      <x:c r="J27" s="24"/>
      <x:c r="K27" s="24"/>
      <x:c r="L27" s="24"/>
      <x:c r="M27" s="24"/>
      <x:c r="N27" s="24"/>
      <x:c r="O27" s="24"/>
      <x:c r="P27" s="24"/>
      <x:c r="Q27" s="24"/>
      <x:c r="R27" s="24"/>
      <x:c r="S27" s="24"/>
      <x:c r="T27" s="24"/>
      <x:c r="U27" s="24"/>
      <x:c r="V27" s="24"/>
      <x:c r="W27" s="24"/>
      <x:c r="X27" s="24"/>
      <x:c r="Y27" s="24"/>
      <x:c r="Z27" s="24"/>
      <x:c r="AA27" s="24"/>
      <x:c r="AB27" s="24"/>
      <x:c r="AC27" s="24"/>
      <x:c r="AD27" s="24"/>
      <x:c r="AE27" s="24"/>
    </x:row>
    <x:row r="28" ht="34" customHeight="1">
      <x:c r="A28" s="346" t="str">
        <x:v>Mattermost</x:v>
      </x:c>
      <x:c r="B28" s="346" t="str">
        <x:v>Core project</x:v>
      </x:c>
      <x:c r="C28" s="346" t="str">
        <x:v>https://github.com/mattermost/mattermost</x:v>
      </x:c>
      <x:c r="D28" s="346" t="str">
        <x:v>Go/React self-host platform, monthly release model and deployment model.</x:v>
      </x:c>
      <x:c r="E28" s="346" t="str">
        <x:v>2026-09-15</x:v>
      </x:c>
      <x:c r="F28" s="346" t="str">
        <x:v>First-party / official or project repository</x:v>
      </x:c>
      <x:c r="G28" s="346" t="str">
        <x:v>Primary</x:v>
      </x:c>
      <x:c r="H28" s="346" t="str">
        <x:v>Multiple</x:v>
      </x:c>
      <x:c r="I28" s="24"/>
      <x:c r="J28" s="24"/>
      <x:c r="K28" s="24"/>
      <x:c r="L28" s="24"/>
      <x:c r="M28" s="24"/>
      <x:c r="N28" s="24"/>
      <x:c r="O28" s="24"/>
      <x:c r="P28" s="24"/>
      <x:c r="Q28" s="24"/>
      <x:c r="R28" s="24"/>
      <x:c r="S28" s="24"/>
      <x:c r="T28" s="24"/>
      <x:c r="U28" s="24"/>
      <x:c r="V28" s="24"/>
      <x:c r="W28" s="24"/>
      <x:c r="X28" s="24"/>
      <x:c r="Y28" s="24"/>
      <x:c r="Z28" s="24"/>
      <x:c r="AA28" s="24"/>
      <x:c r="AB28" s="24"/>
      <x:c r="AC28" s="24"/>
      <x:c r="AD28" s="24"/>
      <x:c r="AE28" s="24"/>
    </x:row>
    <x:row r="29" ht="34" customHeight="1">
      <x:c r="A29" s="346" t="str">
        <x:v>Rocket.Chat</x:v>
      </x:c>
      <x:c r="B29" s="346" t="str">
        <x:v>Core project</x:v>
      </x:c>
      <x:c r="C29" s="346" t="str">
        <x:v>https://github.com/RocketChat/Rocket.Chat</x:v>
      </x:c>
      <x:c r="D29" s="346" t="str">
        <x:v>Open-source core, active releases, self-host/cloud platform.</x:v>
      </x:c>
      <x:c r="E29" s="346" t="str">
        <x:v>2026-09-15</x:v>
      </x:c>
      <x:c r="F29" s="346" t="str">
        <x:v>First-party / official or project repository</x:v>
      </x:c>
      <x:c r="G29" s="346" t="str">
        <x:v>Primary</x:v>
      </x:c>
      <x:c r="H29" s="346" t="str">
        <x:v>Multiple</x:v>
      </x:c>
      <x:c r="I29" s="24"/>
      <x:c r="J29" s="24"/>
      <x:c r="K29" s="24"/>
      <x:c r="L29" s="24"/>
      <x:c r="M29" s="24"/>
      <x:c r="N29" s="24"/>
      <x:c r="O29" s="24"/>
      <x:c r="P29" s="24"/>
      <x:c r="Q29" s="24"/>
      <x:c r="R29" s="24"/>
      <x:c r="S29" s="24"/>
      <x:c r="T29" s="24"/>
      <x:c r="U29" s="24"/>
      <x:c r="V29" s="24"/>
      <x:c r="W29" s="24"/>
      <x:c r="X29" s="24"/>
      <x:c r="Y29" s="24"/>
      <x:c r="Z29" s="24"/>
      <x:c r="AA29" s="24"/>
      <x:c r="AB29" s="24"/>
      <x:c r="AC29" s="24"/>
      <x:c r="AD29" s="24"/>
      <x:c r="AE29" s="24"/>
    </x:row>
    <x:row r="30" ht="34" customHeight="1">
      <x:c r="A30" s="346" t="str">
        <x:v>Rocket.Chat</x:v>
      </x:c>
      <x:c r="B30" s="346" t="str">
        <x:v>Federation</x:v>
      </x:c>
      <x:c r="C30" s="346" t="str">
        <x:v>https://docs.rocket.chat/docs/federation-architecture-and-capabilities</x:v>
      </x:c>
      <x:c r="D30" s="346" t="str">
        <x:v>Federation support and explicit limitations, including no E2EE or calls in federated rooms.</x:v>
      </x:c>
      <x:c r="E30" s="346" t="str">
        <x:v>2026-09-15</x:v>
      </x:c>
      <x:c r="F30" s="346" t="str">
        <x:v>First-party / official or project repository</x:v>
      </x:c>
      <x:c r="G30" s="346" t="str">
        <x:v>Primary</x:v>
      </x:c>
      <x:c r="H30" s="346" t="str">
        <x:v>Multiple</x:v>
      </x:c>
      <x:c r="I30" s="24"/>
      <x:c r="J30" s="24"/>
      <x:c r="K30" s="24"/>
      <x:c r="L30" s="24"/>
      <x:c r="M30" s="24"/>
      <x:c r="N30" s="24"/>
      <x:c r="O30" s="24"/>
      <x:c r="P30" s="24"/>
      <x:c r="Q30" s="24"/>
      <x:c r="R30" s="24"/>
      <x:c r="S30" s="24"/>
      <x:c r="T30" s="24"/>
      <x:c r="U30" s="24"/>
      <x:c r="V30" s="24"/>
      <x:c r="W30" s="24"/>
      <x:c r="X30" s="24"/>
      <x:c r="Y30" s="24"/>
      <x:c r="Z30" s="24"/>
      <x:c r="AA30" s="24"/>
      <x:c r="AB30" s="24"/>
      <x:c r="AC30" s="24"/>
      <x:c r="AD30" s="24"/>
      <x:c r="AE30" s="24"/>
    </x:row>
    <x:row r="31" ht="34" customHeight="1">
      <x:c r="A31" s="346" t="str">
        <x:v>GameVox</x:v>
      </x:c>
      <x:c r="B31" s="346" t="str">
        <x:v>Product / importer</x:v>
      </x:c>
      <x:c r="C31" s="346" t="str">
        <x:v>https://gamevox.com/</x:v>
      </x:c>
      <x:c r="D31" s="346" t="str">
        <x:v>Voice/text/screen, self-hosting, Discord importer, 1080p30 free, 500 MB uploads</x:v>
      </x:c>
      <x:c r="E31" s="346" t="str">
        <x:v>2026-09-15</x:v>
      </x:c>
      <x:c r="F31" s="346" t="str">
        <x:v>First-party / official or project repository</x:v>
      </x:c>
      <x:c r="G31" s="346" t="str">
        <x:v>Primary</x:v>
      </x:c>
      <x:c r="H31" s="346" t="str">
        <x:v>Multiple</x:v>
      </x:c>
      <x:c r="I31" s="24"/>
      <x:c r="J31" s="24"/>
      <x:c r="K31" s="24"/>
      <x:c r="L31" s="24"/>
      <x:c r="M31" s="24"/>
      <x:c r="N31" s="24"/>
      <x:c r="O31" s="24"/>
      <x:c r="P31" s="24"/>
      <x:c r="Q31" s="24"/>
      <x:c r="R31" s="24"/>
      <x:c r="S31" s="24"/>
      <x:c r="T31" s="24"/>
      <x:c r="U31" s="24"/>
      <x:c r="V31" s="24"/>
      <x:c r="W31" s="24"/>
      <x:c r="X31" s="24"/>
      <x:c r="Y31" s="24"/>
      <x:c r="Z31" s="24"/>
      <x:c r="AA31" s="24"/>
      <x:c r="AB31" s="24"/>
      <x:c r="AC31" s="24"/>
      <x:c r="AD31" s="24"/>
      <x:c r="AE31" s="24"/>
    </x:row>
    <x:row r="32" ht="34" customHeight="1">
      <x:c r="A32" s="346" t="str">
        <x:v>GameVox</x:v>
      </x:c>
      <x:c r="B32" s="346" t="str">
        <x:v>Press / stack</x:v>
      </x:c>
      <x:c r="C32" s="346" t="str">
        <x:v>https://www.gamevox.com/press/</x:v>
      </x:c>
      <x:c r="D32" s="346" t="str">
        <x:v>2026 launch, Wails v3 native apps, self-funded</x:v>
      </x:c>
      <x:c r="E32" s="346" t="str">
        <x:v>2026-09-15</x:v>
      </x:c>
      <x:c r="F32" s="346" t="str">
        <x:v>First-party / official or project repository</x:v>
      </x:c>
      <x:c r="G32" s="346" t="str">
        <x:v>Primary</x:v>
      </x:c>
      <x:c r="H32" s="346" t="str">
        <x:v>Multiple</x:v>
      </x:c>
      <x:c r="I32" s="24"/>
      <x:c r="J32" s="24"/>
      <x:c r="K32" s="24"/>
      <x:c r="L32" s="24"/>
      <x:c r="M32" s="24"/>
      <x:c r="N32" s="24"/>
      <x:c r="O32" s="24"/>
      <x:c r="P32" s="24"/>
      <x:c r="Q32" s="24"/>
      <x:c r="R32" s="24"/>
      <x:c r="S32" s="24"/>
      <x:c r="T32" s="24"/>
      <x:c r="U32" s="24"/>
      <x:c r="V32" s="24"/>
      <x:c r="W32" s="24"/>
      <x:c r="X32" s="24"/>
      <x:c r="Y32" s="24"/>
      <x:c r="Z32" s="24"/>
      <x:c r="AA32" s="24"/>
      <x:c r="AB32" s="24"/>
      <x:c r="AC32" s="24"/>
      <x:c r="AD32" s="24"/>
      <x:c r="AE32" s="24"/>
    </x:row>
    <x:row r="33" ht="34" customHeight="1">
      <x:c r="A33" s="346" t="str">
        <x:v>Nerimity</x:v>
      </x:c>
      <x:c r="B33" s="346" t="str">
        <x:v>Product</x:v>
      </x:c>
      <x:c r="C33" s="346" t="str">
        <x:v>https://nerimity.com/</x:v>
      </x:c>
      <x:c r="D33" s="346" t="str">
        <x:v>Platforms, open source, community chat</x:v>
      </x:c>
      <x:c r="E33" s="346" t="str">
        <x:v>2026-09-15</x:v>
      </x:c>
      <x:c r="F33" s="346" t="str">
        <x:v>First-party / official or project repository</x:v>
      </x:c>
      <x:c r="G33" s="346" t="str">
        <x:v>Primary</x:v>
      </x:c>
      <x:c r="H33" s="346" t="str">
        <x:v>Multiple</x:v>
      </x:c>
      <x:c r="I33" s="24"/>
      <x:c r="J33" s="24"/>
      <x:c r="K33" s="24"/>
      <x:c r="L33" s="24"/>
      <x:c r="M33" s="24"/>
      <x:c r="N33" s="24"/>
      <x:c r="O33" s="24"/>
      <x:c r="P33" s="24"/>
      <x:c r="Q33" s="24"/>
      <x:c r="R33" s="24"/>
      <x:c r="S33" s="24"/>
      <x:c r="T33" s="24"/>
      <x:c r="U33" s="24"/>
      <x:c r="V33" s="24"/>
      <x:c r="W33" s="24"/>
      <x:c r="X33" s="24"/>
      <x:c r="Y33" s="24"/>
      <x:c r="Z33" s="24"/>
      <x:c r="AA33" s="24"/>
      <x:c r="AB33" s="24"/>
      <x:c r="AC33" s="24"/>
      <x:c r="AD33" s="24"/>
      <x:c r="AE33" s="24"/>
    </x:row>
    <x:row r="34" ht="34" customHeight="1">
      <x:c r="A34" s="346" t="str">
        <x:v>Nerimity</x:v>
      </x:c>
      <x:c r="B34" s="346" t="str">
        <x:v>Source</x:v>
      </x:c>
      <x:c r="C34" s="346" t="str">
        <x:v>https://github.com/Nerimity</x:v>
      </x:c>
      <x:c r="D34" s="346" t="str">
        <x:v>GPL server/web, Electron desktop, Android, API library</x:v>
      </x:c>
      <x:c r="E34" s="346" t="str">
        <x:v>2026-09-15</x:v>
      </x:c>
      <x:c r="F34" s="346" t="str">
        <x:v>First-party / official or project repository</x:v>
      </x:c>
      <x:c r="G34" s="346" t="str">
        <x:v>Primary</x:v>
      </x:c>
      <x:c r="H34" s="346" t="str">
        <x:v>Multiple</x:v>
      </x:c>
      <x:c r="I34" s="24"/>
      <x:c r="J34" s="24"/>
      <x:c r="K34" s="24"/>
      <x:c r="L34" s="24"/>
      <x:c r="M34" s="24"/>
      <x:c r="N34" s="24"/>
      <x:c r="O34" s="24"/>
      <x:c r="P34" s="24"/>
      <x:c r="Q34" s="24"/>
      <x:c r="R34" s="24"/>
      <x:c r="S34" s="24"/>
      <x:c r="T34" s="24"/>
      <x:c r="U34" s="24"/>
      <x:c r="V34" s="24"/>
      <x:c r="W34" s="24"/>
      <x:c r="X34" s="24"/>
      <x:c r="Y34" s="24"/>
      <x:c r="Z34" s="24"/>
      <x:c r="AA34" s="24"/>
      <x:c r="AB34" s="24"/>
      <x:c r="AC34" s="24"/>
      <x:c r="AD34" s="24"/>
      <x:c r="AE34" s="24"/>
    </x:row>
    <x:row r="35" ht="34" customHeight="1">
      <x:c r="A35" s="346" t="str">
        <x:v>Osmium</x:v>
      </x:c>
      <x:c r="B35" s="346" t="str">
        <x:v>Product</x:v>
      </x:c>
      <x:c r="C35" s="346" t="str">
        <x:v>https://osmium.chat/</x:v>
      </x:c>
      <x:c r="D35" s="346" t="str">
        <x:v>Public community platform, regional/global infrastructure, voice/video</x:v>
      </x:c>
      <x:c r="E35" s="346" t="str">
        <x:v>2026-09-15</x:v>
      </x:c>
      <x:c r="F35" s="346" t="str">
        <x:v>First-party / official or project repository</x:v>
      </x:c>
      <x:c r="G35" s="346" t="str">
        <x:v>Primary</x:v>
      </x:c>
      <x:c r="H35" s="346" t="str">
        <x:v>Multiple</x:v>
      </x:c>
      <x:c r="I35" s="24"/>
      <x:c r="J35" s="24"/>
      <x:c r="K35" s="24"/>
      <x:c r="L35" s="24"/>
      <x:c r="M35" s="24"/>
      <x:c r="N35" s="24"/>
      <x:c r="O35" s="24"/>
      <x:c r="P35" s="24"/>
      <x:c r="Q35" s="24"/>
      <x:c r="R35" s="24"/>
      <x:c r="S35" s="24"/>
      <x:c r="T35" s="24"/>
      <x:c r="U35" s="24"/>
      <x:c r="V35" s="24"/>
      <x:c r="W35" s="24"/>
      <x:c r="X35" s="24"/>
      <x:c r="Y35" s="24"/>
      <x:c r="Z35" s="24"/>
      <x:c r="AA35" s="24"/>
      <x:c r="AB35" s="24"/>
      <x:c r="AC35" s="24"/>
      <x:c r="AD35" s="24"/>
      <x:c r="AE35" s="24"/>
    </x:row>
    <x:row r="36" ht="34" customHeight="1">
      <x:c r="A36" s="346" t="str">
        <x:v>Osmium</x:v>
      </x:c>
      <x:c r="B36" s="346" t="str">
        <x:v>Privacy</x:v>
      </x:c>
      <x:c r="C36" s="346" t="str">
        <x:v>https://osmium.chat/privacy/</x:v>
      </x:c>
      <x:c r="D36" s="346" t="str">
        <x:v>Stored content, encrypted real-time calls, account data</x:v>
      </x:c>
      <x:c r="E36" s="346" t="str">
        <x:v>2026-09-15</x:v>
      </x:c>
      <x:c r="F36" s="346" t="str">
        <x:v>First-party / official or project repository</x:v>
      </x:c>
      <x:c r="G36" s="346" t="str">
        <x:v>Primary</x:v>
      </x:c>
      <x:c r="H36" s="346" t="str">
        <x:v>Multiple</x:v>
      </x:c>
      <x:c r="I36" s="24"/>
      <x:c r="J36" s="24"/>
      <x:c r="K36" s="24"/>
      <x:c r="L36" s="24"/>
      <x:c r="M36" s="24"/>
      <x:c r="N36" s="24"/>
      <x:c r="O36" s="24"/>
      <x:c r="P36" s="24"/>
      <x:c r="Q36" s="24"/>
      <x:c r="R36" s="24"/>
      <x:c r="S36" s="24"/>
      <x:c r="T36" s="24"/>
      <x:c r="U36" s="24"/>
      <x:c r="V36" s="24"/>
      <x:c r="W36" s="24"/>
      <x:c r="X36" s="24"/>
      <x:c r="Y36" s="24"/>
      <x:c r="Z36" s="24"/>
      <x:c r="AA36" s="24"/>
      <x:c r="AB36" s="24"/>
      <x:c r="AC36" s="24"/>
      <x:c r="AD36" s="24"/>
      <x:c r="AE36" s="24"/>
    </x:row>
    <x:row r="37" ht="34" customHeight="1">
      <x:c r="A37" s="346" t="str">
        <x:v>Loqa</x:v>
      </x:c>
      <x:c r="B37" s="346" t="str">
        <x:v>Product</x:v>
      </x:c>
      <x:c r="C37" s="346" t="str">
        <x:v>https://loqa.chat/</x:v>
      </x:c>
      <x:c r="D37" s="346" t="str">
        <x:v>Open beta features, LiveKit voice/video, importer, Discord API compatibility</x:v>
      </x:c>
      <x:c r="E37" s="346" t="str">
        <x:v>2026-09-15</x:v>
      </x:c>
      <x:c r="F37" s="346" t="str">
        <x:v>First-party / official or project repository</x:v>
      </x:c>
      <x:c r="G37" s="346" t="str">
        <x:v>Primary</x:v>
      </x:c>
      <x:c r="H37" s="346" t="str">
        <x:v>Multiple</x:v>
      </x:c>
      <x:c r="I37" s="24"/>
      <x:c r="J37" s="24"/>
      <x:c r="K37" s="24"/>
      <x:c r="L37" s="24"/>
      <x:c r="M37" s="24"/>
      <x:c r="N37" s="24"/>
      <x:c r="O37" s="24"/>
      <x:c r="P37" s="24"/>
      <x:c r="Q37" s="24"/>
      <x:c r="R37" s="24"/>
      <x:c r="S37" s="24"/>
      <x:c r="T37" s="24"/>
      <x:c r="U37" s="24"/>
      <x:c r="V37" s="24"/>
      <x:c r="W37" s="24"/>
      <x:c r="X37" s="24"/>
      <x:c r="Y37" s="24"/>
      <x:c r="Z37" s="24"/>
      <x:c r="AA37" s="24"/>
      <x:c r="AB37" s="24"/>
      <x:c r="AC37" s="24"/>
      <x:c r="AD37" s="24"/>
      <x:c r="AE37" s="24"/>
    </x:row>
    <x:row r="38" ht="34" customHeight="1">
      <x:c r="A38" s="346" t="str">
        <x:v>Venta</x:v>
      </x:c>
      <x:c r="B38" s="346" t="str">
        <x:v>Developer announcement</x:v>
      </x:c>
      <x:c r="C38" s="346" t="str">
        <x:v>https://www.reddit.com/r/DiscordAlternatives/comments/1thyt1p/change_of_direction_for_our_discord_alternative/</x:v>
      </x:c>
      <x:c r="D38" s="346" t="str">
        <x:v>Open-source backend, self-host/federation direction, E2EE default status</x:v>
      </x:c>
      <x:c r="E38" s="346" t="str">
        <x:v>2026-09-15</x:v>
      </x:c>
      <x:c r="F38" s="346" t="str">
        <x:v>First-party / official or project repository</x:v>
      </x:c>
      <x:c r="G38" s="346" t="str">
        <x:v>Primary</x:v>
      </x:c>
      <x:c r="H38" s="346" t="str">
        <x:v>Multiple</x:v>
      </x:c>
      <x:c r="I38" s="24"/>
      <x:c r="J38" s="24"/>
      <x:c r="K38" s="24"/>
      <x:c r="L38" s="24"/>
      <x:c r="M38" s="24"/>
      <x:c r="N38" s="24"/>
      <x:c r="O38" s="24"/>
      <x:c r="P38" s="24"/>
      <x:c r="Q38" s="24"/>
      <x:c r="R38" s="24"/>
      <x:c r="S38" s="24"/>
      <x:c r="T38" s="24"/>
      <x:c r="U38" s="24"/>
      <x:c r="V38" s="24"/>
      <x:c r="W38" s="24"/>
      <x:c r="X38" s="24"/>
      <x:c r="Y38" s="24"/>
      <x:c r="Z38" s="24"/>
      <x:c r="AA38" s="24"/>
      <x:c r="AB38" s="24"/>
      <x:c r="AC38" s="24"/>
      <x:c r="AD38" s="24"/>
      <x:c r="AE38" s="24"/>
    </x:row>
    <x:row r="39" ht="34" customHeight="1">
      <x:c r="A39" s="346" t="str">
        <x:v>Mezon</x:v>
      </x:c>
      <x:c r="B39" s="346" t="str">
        <x:v>Docs</x:v>
      </x:c>
      <x:c r="C39" s="346" t="str">
        <x:v>https://mezon.ai/docs/user/resources/FAQ/</x:v>
      </x:c>
      <x:c r="D39" s="346" t="str">
        <x:v>Free voice/video/screen share and community feature claims</x:v>
      </x:c>
      <x:c r="E39" s="346" t="str">
        <x:v>2026-09-15</x:v>
      </x:c>
      <x:c r="F39" s="346" t="str">
        <x:v>First-party / official or project repository</x:v>
      </x:c>
      <x:c r="G39" s="346" t="str">
        <x:v>Primary</x:v>
      </x:c>
      <x:c r="H39" s="346" t="str">
        <x:v>Multiple</x:v>
      </x:c>
      <x:c r="I39" s="24"/>
      <x:c r="J39" s="24"/>
      <x:c r="K39" s="24"/>
      <x:c r="L39" s="24"/>
      <x:c r="M39" s="24"/>
      <x:c r="N39" s="24"/>
      <x:c r="O39" s="24"/>
      <x:c r="P39" s="24"/>
      <x:c r="Q39" s="24"/>
      <x:c r="R39" s="24"/>
      <x:c r="S39" s="24"/>
      <x:c r="T39" s="24"/>
      <x:c r="U39" s="24"/>
      <x:c r="V39" s="24"/>
      <x:c r="W39" s="24"/>
      <x:c r="X39" s="24"/>
      <x:c r="Y39" s="24"/>
      <x:c r="Z39" s="24"/>
      <x:c r="AA39" s="24"/>
      <x:c r="AB39" s="24"/>
      <x:c r="AC39" s="24"/>
      <x:c r="AD39" s="24"/>
      <x:c r="AE39" s="24"/>
    </x:row>
    <x:row r="40" ht="34" customHeight="1">
      <x:c r="A40" s="346" t="str">
        <x:v>Mezon</x:v>
      </x:c>
      <x:c r="B40" s="346" t="str">
        <x:v>Source</x:v>
      </x:c>
      <x:c r="C40" s="346" t="str">
        <x:v>https://github.com/mezonai/mezon</x:v>
      </x:c>
      <x:c r="D40" s="346" t="str">
        <x:v>Native Rust desktop, native mobile, C media/backend stack, AI features</x:v>
      </x:c>
      <x:c r="E40" s="346" t="str">
        <x:v>2026-09-15</x:v>
      </x:c>
      <x:c r="F40" s="346" t="str">
        <x:v>First-party / official or project repository</x:v>
      </x:c>
      <x:c r="G40" s="346" t="str">
        <x:v>Primary</x:v>
      </x:c>
      <x:c r="H40" s="346" t="str">
        <x:v>Multiple</x:v>
      </x:c>
      <x:c r="I40" s="24"/>
      <x:c r="J40" s="24"/>
      <x:c r="K40" s="24"/>
      <x:c r="L40" s="24"/>
      <x:c r="M40" s="24"/>
      <x:c r="N40" s="24"/>
      <x:c r="O40" s="24"/>
      <x:c r="P40" s="24"/>
      <x:c r="Q40" s="24"/>
      <x:c r="R40" s="24"/>
      <x:c r="S40" s="24"/>
      <x:c r="T40" s="24"/>
      <x:c r="U40" s="24"/>
      <x:c r="V40" s="24"/>
      <x:c r="W40" s="24"/>
      <x:c r="X40" s="24"/>
      <x:c r="Y40" s="24"/>
      <x:c r="Z40" s="24"/>
      <x:c r="AA40" s="24"/>
      <x:c r="AB40" s="24"/>
      <x:c r="AC40" s="24"/>
      <x:c r="AD40" s="24"/>
      <x:c r="AE40" s="24"/>
    </x:row>
    <x:row r="41" ht="34" customHeight="1">
      <x:c r="A41" s="346" t="str">
        <x:v>Kloak</x:v>
      </x:c>
      <x:c r="B41" s="346" t="str">
        <x:v>Product</x:v>
      </x:c>
      <x:c r="C41" s="346" t="str">
        <x:v>https://kloak.app/</x:v>
      </x:c>
      <x:c r="D41" s="346" t="str">
        <x:v>No email/phone, voice/forums/tasks/media/calendars</x:v>
      </x:c>
      <x:c r="E41" s="346" t="str">
        <x:v>2026-09-15</x:v>
      </x:c>
      <x:c r="F41" s="346" t="str">
        <x:v>First-party / official or project repository</x:v>
      </x:c>
      <x:c r="G41" s="346" t="str">
        <x:v>Primary</x:v>
      </x:c>
      <x:c r="H41" s="346" t="str">
        <x:v>Multiple</x:v>
      </x:c>
      <x:c r="I41" s="24"/>
      <x:c r="J41" s="24"/>
      <x:c r="K41" s="24"/>
      <x:c r="L41" s="24"/>
      <x:c r="M41" s="24"/>
      <x:c r="N41" s="24"/>
      <x:c r="O41" s="24"/>
      <x:c r="P41" s="24"/>
      <x:c r="Q41" s="24"/>
      <x:c r="R41" s="24"/>
      <x:c r="S41" s="24"/>
      <x:c r="T41" s="24"/>
      <x:c r="U41" s="24"/>
      <x:c r="V41" s="24"/>
      <x:c r="W41" s="24"/>
      <x:c r="X41" s="24"/>
      <x:c r="Y41" s="24"/>
      <x:c r="Z41" s="24"/>
      <x:c r="AA41" s="24"/>
      <x:c r="AB41" s="24"/>
      <x:c r="AC41" s="24"/>
      <x:c r="AD41" s="24"/>
      <x:c r="AE41" s="24"/>
    </x:row>
    <x:row r="42" ht="34" customHeight="1">
      <x:c r="A42" s="346" t="str">
        <x:v>Kloak</x:v>
      </x:c>
      <x:c r="B42" s="346" t="str">
        <x:v>Privacy</x:v>
      </x:c>
      <x:c r="C42" s="346" t="str">
        <x:v>https://kloak.app/privacy</x:v>
      </x:c>
      <x:c r="D42" s="346" t="str">
        <x:v>Minimal-data privacy policy</x:v>
      </x:c>
      <x:c r="E42" s="346" t="str">
        <x:v>2026-09-15</x:v>
      </x:c>
      <x:c r="F42" s="346" t="str">
        <x:v>First-party / official or project repository</x:v>
      </x:c>
      <x:c r="G42" s="346" t="str">
        <x:v>Primary</x:v>
      </x:c>
      <x:c r="H42" s="346" t="str">
        <x:v>Multiple</x:v>
      </x:c>
      <x:c r="I42" s="24"/>
      <x:c r="J42" s="24"/>
      <x:c r="K42" s="24"/>
      <x:c r="L42" s="24"/>
      <x:c r="M42" s="24"/>
      <x:c r="N42" s="24"/>
      <x:c r="O42" s="24"/>
      <x:c r="P42" s="24"/>
      <x:c r="Q42" s="24"/>
      <x:c r="R42" s="24"/>
      <x:c r="S42" s="24"/>
      <x:c r="T42" s="24"/>
      <x:c r="U42" s="24"/>
      <x:c r="V42" s="24"/>
      <x:c r="W42" s="24"/>
      <x:c r="X42" s="24"/>
      <x:c r="Y42" s="24"/>
      <x:c r="Z42" s="24"/>
      <x:c r="AA42" s="24"/>
      <x:c r="AB42" s="24"/>
      <x:c r="AC42" s="24"/>
      <x:c r="AD42" s="24"/>
      <x:c r="AE42" s="24"/>
    </x:row>
    <x:row r="43" ht="34" customHeight="1">
      <x:c r="A43" s="346" t="str">
        <x:v>Yapper</x:v>
      </x:c>
      <x:c r="B43" s="346" t="str">
        <x:v>Product</x:v>
      </x:c>
      <x:c r="C43" s="346" t="str">
        <x:v>https://yapper.gg/</x:v>
      </x:c>
      <x:c r="D43" s="346" t="str">
        <x:v>Self-hosted voice/chat/screen/file/spatial audio</x:v>
      </x:c>
      <x:c r="E43" s="346" t="str">
        <x:v>2026-09-15</x:v>
      </x:c>
      <x:c r="F43" s="346" t="str">
        <x:v>First-party / official or project repository</x:v>
      </x:c>
      <x:c r="G43" s="346" t="str">
        <x:v>Primary</x:v>
      </x:c>
      <x:c r="H43" s="346" t="str">
        <x:v>Multiple</x:v>
      </x:c>
      <x:c r="I43" s="24"/>
      <x:c r="J43" s="24"/>
      <x:c r="K43" s="24"/>
      <x:c r="L43" s="24"/>
      <x:c r="M43" s="24"/>
      <x:c r="N43" s="24"/>
      <x:c r="O43" s="24"/>
      <x:c r="P43" s="24"/>
      <x:c r="Q43" s="24"/>
      <x:c r="R43" s="24"/>
      <x:c r="S43" s="24"/>
      <x:c r="T43" s="24"/>
      <x:c r="U43" s="24"/>
      <x:c r="V43" s="24"/>
      <x:c r="W43" s="24"/>
      <x:c r="X43" s="24"/>
      <x:c r="Y43" s="24"/>
      <x:c r="Z43" s="24"/>
      <x:c r="AA43" s="24"/>
      <x:c r="AB43" s="24"/>
      <x:c r="AC43" s="24"/>
      <x:c r="AD43" s="24"/>
      <x:c r="AE43" s="24"/>
    </x:row>
    <x:row r="44" ht="34" customHeight="1">
      <x:c r="A44" s="346" t="str">
        <x:v>Yapper</x:v>
      </x:c>
      <x:c r="B44" s="346" t="str">
        <x:v>Privacy</x:v>
      </x:c>
      <x:c r="C44" s="346" t="str">
        <x:v>https://yapper.gg/privacy-policy</x:v>
      </x:c>
      <x:c r="D44" s="346" t="str">
        <x:v>Self-host content remains on operator server</x:v>
      </x:c>
      <x:c r="E44" s="346" t="str">
        <x:v>2026-09-15</x:v>
      </x:c>
      <x:c r="F44" s="346" t="str">
        <x:v>First-party / official or project repository</x:v>
      </x:c>
      <x:c r="G44" s="346" t="str">
        <x:v>Primary</x:v>
      </x:c>
      <x:c r="H44" s="346" t="str">
        <x:v>Multiple</x:v>
      </x:c>
      <x:c r="I44" s="24"/>
      <x:c r="J44" s="24"/>
      <x:c r="K44" s="24"/>
      <x:c r="L44" s="24"/>
      <x:c r="M44" s="24"/>
      <x:c r="N44" s="24"/>
      <x:c r="O44" s="24"/>
      <x:c r="P44" s="24"/>
      <x:c r="Q44" s="24"/>
      <x:c r="R44" s="24"/>
      <x:c r="S44" s="24"/>
      <x:c r="T44" s="24"/>
      <x:c r="U44" s="24"/>
      <x:c r="V44" s="24"/>
      <x:c r="W44" s="24"/>
      <x:c r="X44" s="24"/>
      <x:c r="Y44" s="24"/>
      <x:c r="Z44" s="24"/>
      <x:c r="AA44" s="24"/>
      <x:c r="AB44" s="24"/>
      <x:c r="AC44" s="24"/>
      <x:c r="AD44" s="24"/>
      <x:c r="AE44" s="24"/>
    </x:row>
    <x:row r="45" ht="34" customHeight="1">
      <x:c r="A45" s="346" t="str">
        <x:v>Harmony/Fermi</x:v>
      </x:c>
      <x:c r="B45" s="346" t="str">
        <x:v>Client source</x:v>
      </x:c>
      <x:c r="C45" s="346" t="str">
        <x:v>https://github.com/MathMan05/Fermi</x:v>
      </x:c>
      <x:c r="D45" s="346" t="str">
        <x:v>Fermi is a Harmony client, AGPL, instance selector, no AI-generated code policy</x:v>
      </x:c>
      <x:c r="E45" s="346" t="str">
        <x:v>2026-09-15</x:v>
      </x:c>
      <x:c r="F45" s="346" t="str">
        <x:v>First-party / official or project repository</x:v>
      </x:c>
      <x:c r="G45" s="346" t="str">
        <x:v>Primary</x:v>
      </x:c>
      <x:c r="H45" s="346" t="str">
        <x:v>Multiple</x:v>
      </x:c>
      <x:c r="I45" s="24"/>
      <x:c r="J45" s="24"/>
      <x:c r="K45" s="24"/>
      <x:c r="L45" s="24"/>
      <x:c r="M45" s="24"/>
      <x:c r="N45" s="24"/>
      <x:c r="O45" s="24"/>
      <x:c r="P45" s="24"/>
      <x:c r="Q45" s="24"/>
      <x:c r="R45" s="24"/>
      <x:c r="S45" s="24"/>
      <x:c r="T45" s="24"/>
      <x:c r="U45" s="24"/>
      <x:c r="V45" s="24"/>
      <x:c r="W45" s="24"/>
      <x:c r="X45" s="24"/>
      <x:c r="Y45" s="24"/>
      <x:c r="Z45" s="24"/>
      <x:c r="AA45" s="24"/>
      <x:c r="AB45" s="24"/>
      <x:c r="AC45" s="24"/>
      <x:c r="AD45" s="24"/>
      <x:c r="AE45" s="24"/>
    </x:row>
    <x:row r="46" ht="34" customHeight="1">
      <x:c r="A46" s="346" t="str">
        <x:v>Roomy</x:v>
      </x:c>
      <x:c r="B46" s="346" t="str">
        <x:v>Source</x:v>
      </x:c>
      <x:c r="C46" s="346" t="str">
        <x:v>https://github.com/muni-town/roomy</x:v>
      </x:c>
      <x:c r="D46" s="346" t="str">
        <x:v>ATProto group chat, Discord bridge, MPL-2.0</x:v>
      </x:c>
      <x:c r="E46" s="346" t="str">
        <x:v>2026-09-15</x:v>
      </x:c>
      <x:c r="F46" s="346" t="str">
        <x:v>First-party / official or project repository</x:v>
      </x:c>
      <x:c r="G46" s="346" t="str">
        <x:v>Primary</x:v>
      </x:c>
      <x:c r="H46" s="346" t="str">
        <x:v>Multiple</x:v>
      </x:c>
      <x:c r="I46" s="24"/>
      <x:c r="J46" s="24"/>
      <x:c r="K46" s="24"/>
      <x:c r="L46" s="24"/>
      <x:c r="M46" s="24"/>
      <x:c r="N46" s="24"/>
      <x:c r="O46" s="24"/>
      <x:c r="P46" s="24"/>
      <x:c r="Q46" s="24"/>
      <x:c r="R46" s="24"/>
      <x:c r="S46" s="24"/>
      <x:c r="T46" s="24"/>
      <x:c r="U46" s="24"/>
      <x:c r="V46" s="24"/>
      <x:c r="W46" s="24"/>
      <x:c r="X46" s="24"/>
      <x:c r="Y46" s="24"/>
      <x:c r="Z46" s="24"/>
      <x:c r="AA46" s="24"/>
      <x:c r="AB46" s="24"/>
      <x:c r="AC46" s="24"/>
      <x:c r="AD46" s="24"/>
      <x:c r="AE46" s="24"/>
    </x:row>
    <x:row r="47" ht="34" customHeight="1">
      <x:c r="A47" s="346" t="str">
        <x:v>Armada</x:v>
      </x:c>
      <x:c r="B47" s="346" t="str">
        <x:v>Source</x:v>
      </x:c>
      <x:c r="C47" s="346" t="str">
        <x:v>https://github.com/soapbox-pub/armada</x:v>
      </x:c>
      <x:c r="D47" s="346" t="str">
        <x:v>Nostr/Concord serverless E2EE communities</x:v>
      </x:c>
      <x:c r="E47" s="346" t="str">
        <x:v>2026-09-15</x:v>
      </x:c>
      <x:c r="F47" s="346" t="str">
        <x:v>First-party / official or project repository</x:v>
      </x:c>
      <x:c r="G47" s="346" t="str">
        <x:v>Primary</x:v>
      </x:c>
      <x:c r="H47" s="346" t="str">
        <x:v>Multiple</x:v>
      </x:c>
      <x:c r="I47" s="24"/>
      <x:c r="J47" s="24"/>
      <x:c r="K47" s="24"/>
      <x:c r="L47" s="24"/>
      <x:c r="M47" s="24"/>
      <x:c r="N47" s="24"/>
      <x:c r="O47" s="24"/>
      <x:c r="P47" s="24"/>
      <x:c r="Q47" s="24"/>
      <x:c r="R47" s="24"/>
      <x:c r="S47" s="24"/>
      <x:c r="T47" s="24"/>
      <x:c r="U47" s="24"/>
      <x:c r="V47" s="24"/>
      <x:c r="W47" s="24"/>
      <x:c r="X47" s="24"/>
      <x:c r="Y47" s="24"/>
      <x:c r="Z47" s="24"/>
      <x:c r="AA47" s="24"/>
      <x:c r="AB47" s="24"/>
      <x:c r="AC47" s="24"/>
      <x:c r="AD47" s="24"/>
      <x:c r="AE47" s="24"/>
    </x:row>
    <x:row r="48" ht="34" customHeight="1">
      <x:c r="A48" s="346" t="str">
        <x:v>Hollow</x:v>
      </x:c>
      <x:c r="B48" s="346" t="str">
        <x:v>Source</x:v>
      </x:c>
      <x:c r="C48" s="346" t="str">
        <x:v>https://github.com/VitalikPro13/HOLLOW</x:v>
      </x:c>
      <x:c r="D48" s="346" t="str">
        <x:v>Local-first distributed encrypted messenger</x:v>
      </x:c>
      <x:c r="E48" s="346" t="str">
        <x:v>2026-09-15</x:v>
      </x:c>
      <x:c r="F48" s="346" t="str">
        <x:v>First-party / official or project repository</x:v>
      </x:c>
      <x:c r="G48" s="346" t="str">
        <x:v>Primary</x:v>
      </x:c>
      <x:c r="H48" s="346" t="str">
        <x:v>Multiple</x:v>
      </x:c>
      <x:c r="I48" s="24"/>
      <x:c r="J48" s="24"/>
      <x:c r="K48" s="24"/>
      <x:c r="L48" s="24"/>
      <x:c r="M48" s="24"/>
      <x:c r="N48" s="24"/>
      <x:c r="O48" s="24"/>
      <x:c r="P48" s="24"/>
      <x:c r="Q48" s="24"/>
      <x:c r="R48" s="24"/>
      <x:c r="S48" s="24"/>
      <x:c r="T48" s="24"/>
      <x:c r="U48" s="24"/>
      <x:c r="V48" s="24"/>
      <x:c r="W48" s="24"/>
      <x:c r="X48" s="24"/>
      <x:c r="Y48" s="24"/>
      <x:c r="Z48" s="24"/>
      <x:c r="AA48" s="24"/>
      <x:c r="AB48" s="24"/>
      <x:c r="AC48" s="24"/>
      <x:c r="AD48" s="24"/>
      <x:c r="AE48" s="24"/>
    </x:row>
    <x:row r="49" ht="34" customHeight="1">
      <x:c r="A49" s="346" t="str">
        <x:v>Hollow</x:v>
      </x:c>
      <x:c r="B49" s="346" t="str">
        <x:v>Developer update</x:v>
      </x:c>
      <x:c r="C49" s="346" t="str">
        <x:v>https://www.reddit.com/r/DiscordAlternatives/comments/1uaztpl/hollow_opensource_selfhostable_signed_winmac/</x:v>
      </x:c>
      <x:c r="D49" s="346" t="str">
        <x:v>Flutter/Rust, multi-device, local storage, relay model</x:v>
      </x:c>
      <x:c r="E49" s="346" t="str">
        <x:v>2026-09-15</x:v>
      </x:c>
      <x:c r="F49" s="346" t="str">
        <x:v>First-party / official or project repository</x:v>
      </x:c>
      <x:c r="G49" s="346" t="str">
        <x:v>Primary</x:v>
      </x:c>
      <x:c r="H49" s="346" t="str">
        <x:v>Multiple</x:v>
      </x:c>
      <x:c r="I49" s="24"/>
      <x:c r="J49" s="24"/>
      <x:c r="K49" s="24"/>
      <x:c r="L49" s="24"/>
      <x:c r="M49" s="24"/>
      <x:c r="N49" s="24"/>
      <x:c r="O49" s="24"/>
      <x:c r="P49" s="24"/>
      <x:c r="Q49" s="24"/>
      <x:c r="R49" s="24"/>
      <x:c r="S49" s="24"/>
      <x:c r="T49" s="24"/>
      <x:c r="U49" s="24"/>
      <x:c r="V49" s="24"/>
      <x:c r="W49" s="24"/>
      <x:c r="X49" s="24"/>
      <x:c r="Y49" s="24"/>
      <x:c r="Z49" s="24"/>
      <x:c r="AA49" s="24"/>
      <x:c r="AB49" s="24"/>
      <x:c r="AC49" s="24"/>
      <x:c r="AD49" s="24"/>
      <x:c r="AE49" s="24"/>
    </x:row>
    <x:row r="50" ht="34" customHeight="1">
      <x:c r="A50" s="346" t="str">
        <x:v>DCTS</x:v>
      </x:c>
      <x:c r="B50" s="346" t="str">
        <x:v>Features</x:v>
      </x:c>
      <x:c r="C50" s="346" t="str">
        <x:v>https://dcts.community/features.html</x:v>
      </x:c>
      <x:c r="D50" s="346" t="str">
        <x:v>Self-hosting, E2EE messenger, voice/screen, apps</x:v>
      </x:c>
      <x:c r="E50" s="346" t="str">
        <x:v>2026-09-15</x:v>
      </x:c>
      <x:c r="F50" s="346" t="str">
        <x:v>First-party / official or project repository</x:v>
      </x:c>
      <x:c r="G50" s="346" t="str">
        <x:v>Primary</x:v>
      </x:c>
      <x:c r="H50" s="346" t="str">
        <x:v>Multiple</x:v>
      </x:c>
      <x:c r="I50" s="24"/>
      <x:c r="J50" s="24"/>
      <x:c r="K50" s="24"/>
      <x:c r="L50" s="24"/>
      <x:c r="M50" s="24"/>
      <x:c r="N50" s="24"/>
      <x:c r="O50" s="24"/>
      <x:c r="P50" s="24"/>
      <x:c r="Q50" s="24"/>
      <x:c r="R50" s="24"/>
      <x:c r="S50" s="24"/>
      <x:c r="T50" s="24"/>
      <x:c r="U50" s="24"/>
      <x:c r="V50" s="24"/>
      <x:c r="W50" s="24"/>
      <x:c r="X50" s="24"/>
      <x:c r="Y50" s="24"/>
      <x:c r="Z50" s="24"/>
      <x:c r="AA50" s="24"/>
      <x:c r="AB50" s="24"/>
      <x:c r="AC50" s="24"/>
      <x:c r="AD50" s="24"/>
      <x:c r="AE50" s="24"/>
    </x:row>
    <x:row r="51" ht="34" customHeight="1">
      <x:c r="A51" s="346" t="str">
        <x:v>DCTS</x:v>
      </x:c>
      <x:c r="B51" s="346" t="str">
        <x:v>Messenger docs</x:v>
      </x:c>
      <x:c r="C51" s="346" t="str">
        <x:v>https://docs.dcts.community/Messenger/Introduction</x:v>
      </x:c>
      <x:c r="D51" s="346" t="str">
        <x:v>Key-based E2EE cross-home-server messenger</x:v>
      </x:c>
      <x:c r="E51" s="346" t="str">
        <x:v>2026-09-15</x:v>
      </x:c>
      <x:c r="F51" s="346" t="str">
        <x:v>First-party / official or project repository</x:v>
      </x:c>
      <x:c r="G51" s="346" t="str">
        <x:v>Primary</x:v>
      </x:c>
      <x:c r="H51" s="346" t="str">
        <x:v>Multiple</x:v>
      </x:c>
      <x:c r="I51" s="24"/>
      <x:c r="J51" s="24"/>
      <x:c r="K51" s="24"/>
      <x:c r="L51" s="24"/>
      <x:c r="M51" s="24"/>
      <x:c r="N51" s="24"/>
      <x:c r="O51" s="24"/>
      <x:c r="P51" s="24"/>
      <x:c r="Q51" s="24"/>
      <x:c r="R51" s="24"/>
      <x:c r="S51" s="24"/>
      <x:c r="T51" s="24"/>
      <x:c r="U51" s="24"/>
      <x:c r="V51" s="24"/>
      <x:c r="W51" s="24"/>
      <x:c r="X51" s="24"/>
      <x:c r="Y51" s="24"/>
      <x:c r="Z51" s="24"/>
      <x:c r="AA51" s="24"/>
      <x:c r="AB51" s="24"/>
      <x:c r="AC51" s="24"/>
      <x:c r="AD51" s="24"/>
      <x:c r="AE51" s="24"/>
    </x:row>
    <x:row r="52" ht="34" customHeight="1">
      <x:c r="A52" s="346" t="str">
        <x:v>Rift</x:v>
      </x:c>
      <x:c r="B52" s="346" t="str">
        <x:v>Product</x:v>
      </x:c>
      <x:c r="C52" s="346" t="str">
        <x:v>https://therift.chat/</x:v>
      </x:c>
      <x:c r="D52" s="346" t="str">
        <x:v>No email/phone/ID, EXIF stripping, at-rest encryption, no AI training</x:v>
      </x:c>
      <x:c r="E52" s="346" t="str">
        <x:v>2026-09-15</x:v>
      </x:c>
      <x:c r="F52" s="346" t="str">
        <x:v>First-party / official or project repository</x:v>
      </x:c>
      <x:c r="G52" s="346" t="str">
        <x:v>Primary</x:v>
      </x:c>
      <x:c r="H52" s="346" t="str">
        <x:v>Multiple</x:v>
      </x:c>
      <x:c r="I52" s="24"/>
      <x:c r="J52" s="24"/>
      <x:c r="K52" s="24"/>
      <x:c r="L52" s="24"/>
      <x:c r="M52" s="24"/>
      <x:c r="N52" s="24"/>
      <x:c r="O52" s="24"/>
      <x:c r="P52" s="24"/>
      <x:c r="Q52" s="24"/>
      <x:c r="R52" s="24"/>
      <x:c r="S52" s="24"/>
      <x:c r="T52" s="24"/>
      <x:c r="U52" s="24"/>
      <x:c r="V52" s="24"/>
      <x:c r="W52" s="24"/>
      <x:c r="X52" s="24"/>
      <x:c r="Y52" s="24"/>
      <x:c r="Z52" s="24"/>
      <x:c r="AA52" s="24"/>
      <x:c r="AB52" s="24"/>
      <x:c r="AC52" s="24"/>
      <x:c r="AD52" s="24"/>
      <x:c r="AE52" s="24"/>
    </x:row>
    <x:row r="53" ht="34" customHeight="1">
      <x:c r="A53" s="346" t="str">
        <x:v>pqp.gg</x:v>
      </x:c>
      <x:c r="B53" s="346" t="str">
        <x:v>Product</x:v>
      </x:c>
      <x:c r="C53" s="346" t="str">
        <x:v>https://pqp.gg/</x:v>
      </x:c>
      <x:c r="D53" s="346" t="str">
        <x:v>AGPL, self-host, Discord template import, 1080p screen share, multi-share/export</x:v>
      </x:c>
      <x:c r="E53" s="346" t="str">
        <x:v>2026-09-15</x:v>
      </x:c>
      <x:c r="F53" s="346" t="str">
        <x:v>First-party / official or project repository</x:v>
      </x:c>
      <x:c r="G53" s="346" t="str">
        <x:v>Primary</x:v>
      </x:c>
      <x:c r="H53" s="346" t="str">
        <x:v>Multiple</x:v>
      </x:c>
      <x:c r="I53" s="24"/>
      <x:c r="J53" s="24"/>
      <x:c r="K53" s="24"/>
      <x:c r="L53" s="24"/>
      <x:c r="M53" s="24"/>
      <x:c r="N53" s="24"/>
      <x:c r="O53" s="24"/>
      <x:c r="P53" s="24"/>
      <x:c r="Q53" s="24"/>
      <x:c r="R53" s="24"/>
      <x:c r="S53" s="24"/>
      <x:c r="T53" s="24"/>
      <x:c r="U53" s="24"/>
      <x:c r="V53" s="24"/>
      <x:c r="W53" s="24"/>
      <x:c r="X53" s="24"/>
      <x:c r="Y53" s="24"/>
      <x:c r="Z53" s="24"/>
      <x:c r="AA53" s="24"/>
      <x:c r="AB53" s="24"/>
      <x:c r="AC53" s="24"/>
      <x:c r="AD53" s="24"/>
      <x:c r="AE53" s="24"/>
    </x:row>
    <x:row r="54" ht="34" customHeight="1">
      <x:c r="A54" s="346" t="str">
        <x:v>Echon</x:v>
      </x:c>
      <x:c r="B54" s="346" t="str">
        <x:v>Product</x:v>
      </x:c>
      <x:c r="C54" s="346" t="str">
        <x:v>https://echon-voice.com/</x:v>
      </x:c>
      <x:c r="D54" s="346" t="str">
        <x:v>LiveKit voice, channels/roles/DMs, screen share, cross-platform clients</x:v>
      </x:c>
      <x:c r="E54" s="346" t="str">
        <x:v>2026-09-15</x:v>
      </x:c>
      <x:c r="F54" s="346" t="str">
        <x:v>First-party / official or project repository</x:v>
      </x:c>
      <x:c r="G54" s="346" t="str">
        <x:v>Primary</x:v>
      </x:c>
      <x:c r="H54" s="346" t="str">
        <x:v>Multiple</x:v>
      </x:c>
      <x:c r="I54" s="24"/>
      <x:c r="J54" s="24"/>
      <x:c r="K54" s="24"/>
      <x:c r="L54" s="24"/>
      <x:c r="M54" s="24"/>
      <x:c r="N54" s="24"/>
      <x:c r="O54" s="24"/>
      <x:c r="P54" s="24"/>
      <x:c r="Q54" s="24"/>
      <x:c r="R54" s="24"/>
      <x:c r="S54" s="24"/>
      <x:c r="T54" s="24"/>
      <x:c r="U54" s="24"/>
      <x:c r="V54" s="24"/>
      <x:c r="W54" s="24"/>
      <x:c r="X54" s="24"/>
      <x:c r="Y54" s="24"/>
      <x:c r="Z54" s="24"/>
      <x:c r="AA54" s="24"/>
      <x:c r="AB54" s="24"/>
      <x:c r="AC54" s="24"/>
      <x:c r="AD54" s="24"/>
      <x:c r="AE54" s="24"/>
    </x:row>
    <x:row r="55" ht="34" customHeight="1">
      <x:c r="A55" s="346" t="str">
        <x:v>Valour</x:v>
      </x:c>
      <x:c r="B55" s="346" t="str">
        <x:v>FAQ</x:v>
      </x:c>
      <x:c r="C55" s="346" t="str">
        <x:v>https://valour.gg/FAQ</x:v>
      </x:c>
      <x:c r="D55" s="346" t="str">
        <x:v>Open source, self-host, Discord importer, email-only signup</x:v>
      </x:c>
      <x:c r="E55" s="346" t="str">
        <x:v>2026-09-15</x:v>
      </x:c>
      <x:c r="F55" s="346" t="str">
        <x:v>First-party / official or project repository</x:v>
      </x:c>
      <x:c r="G55" s="346" t="str">
        <x:v>Primary</x:v>
      </x:c>
      <x:c r="H55" s="346" t="str">
        <x:v>Multiple</x:v>
      </x:c>
      <x:c r="I55" s="24"/>
      <x:c r="J55" s="24"/>
      <x:c r="K55" s="24"/>
      <x:c r="L55" s="24"/>
      <x:c r="M55" s="24"/>
      <x:c r="N55" s="24"/>
      <x:c r="O55" s="24"/>
      <x:c r="P55" s="24"/>
      <x:c r="Q55" s="24"/>
      <x:c r="R55" s="24"/>
      <x:c r="S55" s="24"/>
      <x:c r="T55" s="24"/>
      <x:c r="U55" s="24"/>
      <x:c r="V55" s="24"/>
      <x:c r="W55" s="24"/>
      <x:c r="X55" s="24"/>
      <x:c r="Y55" s="24"/>
      <x:c r="Z55" s="24"/>
      <x:c r="AA55" s="24"/>
      <x:c r="AB55" s="24"/>
      <x:c r="AC55" s="24"/>
      <x:c r="AD55" s="24"/>
      <x:c r="AE55" s="24"/>
    </x:row>
    <x:row r="56" ht="34" customHeight="1">
      <x:c r="A56" s="346" t="str">
        <x:v>Valour</x:v>
      </x:c>
      <x:c r="B56" s="346" t="str">
        <x:v>Source</x:v>
      </x:c>
      <x:c r="C56" s="346" t="str">
        <x:v>https://github.com/Valour-Software/Valour</x:v>
      </x:c>
      <x:c r="D56" s="346" t="str">
        <x:v>AGPL client/server, Blazor, LiveKit, bots/themes/automod</x:v>
      </x:c>
      <x:c r="E56" s="346" t="str">
        <x:v>2026-09-15</x:v>
      </x:c>
      <x:c r="F56" s="346" t="str">
        <x:v>First-party / official or project repository</x:v>
      </x:c>
      <x:c r="G56" s="346" t="str">
        <x:v>Primary</x:v>
      </x:c>
      <x:c r="H56" s="346" t="str">
        <x:v>Multiple</x:v>
      </x:c>
      <x:c r="I56" s="24"/>
      <x:c r="J56" s="24"/>
      <x:c r="K56" s="24"/>
      <x:c r="L56" s="24"/>
      <x:c r="M56" s="24"/>
      <x:c r="N56" s="24"/>
      <x:c r="O56" s="24"/>
      <x:c r="P56" s="24"/>
      <x:c r="Q56" s="24"/>
      <x:c r="R56" s="24"/>
      <x:c r="S56" s="24"/>
      <x:c r="T56" s="24"/>
      <x:c r="U56" s="24"/>
      <x:c r="V56" s="24"/>
      <x:c r="W56" s="24"/>
      <x:c r="X56" s="24"/>
      <x:c r="Y56" s="24"/>
      <x:c r="Z56" s="24"/>
      <x:c r="AA56" s="24"/>
      <x:c r="AB56" s="24"/>
      <x:c r="AC56" s="24"/>
      <x:c r="AD56" s="24"/>
      <x:c r="AE56" s="24"/>
    </x:row>
    <x:row r="57" ht="34" customHeight="1">
      <x:c r="A57" s="346" t="str">
        <x:v>Weered</x:v>
      </x:c>
      <x:c r="B57" s="346" t="str">
        <x:v>Product</x:v>
      </x:c>
      <x:c r="C57" s="346" t="str">
        <x:v>https://weered.ca/alternatives/discord</x:v>
      </x:c>
      <x:c r="D57" s="346" t="str">
        <x:v>Lobby-first platform, LiveKit voice, Tauri desktop, free/paid model</x:v>
      </x:c>
      <x:c r="E57" s="346" t="str">
        <x:v>2026-09-15</x:v>
      </x:c>
      <x:c r="F57" s="346" t="str">
        <x:v>First-party / official or project repository</x:v>
      </x:c>
      <x:c r="G57" s="346" t="str">
        <x:v>Primary</x:v>
      </x:c>
      <x:c r="H57" s="346" t="str">
        <x:v>Multiple</x:v>
      </x:c>
      <x:c r="I57" s="24"/>
      <x:c r="J57" s="24"/>
      <x:c r="K57" s="24"/>
      <x:c r="L57" s="24"/>
      <x:c r="M57" s="24"/>
      <x:c r="N57" s="24"/>
      <x:c r="O57" s="24"/>
      <x:c r="P57" s="24"/>
      <x:c r="Q57" s="24"/>
      <x:c r="R57" s="24"/>
      <x:c r="S57" s="24"/>
      <x:c r="T57" s="24"/>
      <x:c r="U57" s="24"/>
      <x:c r="V57" s="24"/>
      <x:c r="W57" s="24"/>
      <x:c r="X57" s="24"/>
      <x:c r="Y57" s="24"/>
      <x:c r="Z57" s="24"/>
      <x:c r="AA57" s="24"/>
      <x:c r="AB57" s="24"/>
      <x:c r="AC57" s="24"/>
      <x:c r="AD57" s="24"/>
      <x:c r="AE57" s="24"/>
    </x:row>
    <x:row r="58" ht="34" customHeight="1">
      <x:c r="A58" s="346" t="str">
        <x:v>Weered</x:v>
      </x:c>
      <x:c r="B58" s="346" t="str">
        <x:v>Source</x:v>
      </x:c>
      <x:c r="C58" s="346" t="str">
        <x:v>https://github.com/Weeredjs/Weered</x:v>
      </x:c>
      <x:c r="D58" s="346" t="str">
        <x:v>Public beta/source-available status</x:v>
      </x:c>
      <x:c r="E58" s="346" t="str">
        <x:v>2026-09-15</x:v>
      </x:c>
      <x:c r="F58" s="346" t="str">
        <x:v>First-party / official or project repository</x:v>
      </x:c>
      <x:c r="G58" s="346" t="str">
        <x:v>Primary</x:v>
      </x:c>
      <x:c r="H58" s="346" t="str">
        <x:v>Multiple</x:v>
      </x:c>
      <x:c r="I58" s="24"/>
      <x:c r="J58" s="24"/>
      <x:c r="K58" s="24"/>
      <x:c r="L58" s="24"/>
      <x:c r="M58" s="24"/>
      <x:c r="N58" s="24"/>
      <x:c r="O58" s="24"/>
      <x:c r="P58" s="24"/>
      <x:c r="Q58" s="24"/>
      <x:c r="R58" s="24"/>
      <x:c r="S58" s="24"/>
      <x:c r="T58" s="24"/>
      <x:c r="U58" s="24"/>
      <x:c r="V58" s="24"/>
      <x:c r="W58" s="24"/>
      <x:c r="X58" s="24"/>
      <x:c r="Y58" s="24"/>
      <x:c r="Z58" s="24"/>
      <x:c r="AA58" s="24"/>
      <x:c r="AB58" s="24"/>
      <x:c r="AC58" s="24"/>
      <x:c r="AD58" s="24"/>
      <x:c r="AE58" s="24"/>
    </x:row>
    <x:row r="59" ht="34" customHeight="1">
      <x:c r="A59" s="346" t="str">
        <x:v>Discord</x:v>
      </x:c>
      <x:c r="B59" s="346" t="str">
        <x:v>Current Nitro pricing</x:v>
      </x:c>
      <x:c r="C59" s="346" t="str">
        <x:v>https://support.discord.com/hc/en-us/articles/4407269525911-Nitro-Localized-Pricing-FAQ</x:v>
      </x:c>
      <x:c r="D59" s="346" t="str">
        <x:v>Nitro $9.99/mo or $99.99/yr; Nitro Basic $2.99/mo or $29.99/yr; Server Boost $4.99/mo or $49.99/yr.</x:v>
      </x:c>
      <x:c r="E59" s="346" t="str">
        <x:v>2026-09-15</x:v>
      </x:c>
      <x:c r="F59" s="346" t="str">
        <x:v>First-party / official or project repository</x:v>
      </x:c>
      <x:c r="G59" s="346" t="str">
        <x:v>Primary</x:v>
      </x:c>
      <x:c r="H59" s="346" t="str">
        <x:v>Multiple</x:v>
      </x:c>
      <x:c r="I59" s="24"/>
      <x:c r="J59" s="24"/>
      <x:c r="K59" s="24"/>
      <x:c r="L59" s="24"/>
      <x:c r="M59" s="24"/>
      <x:c r="N59" s="24"/>
      <x:c r="O59" s="24"/>
      <x:c r="P59" s="24"/>
      <x:c r="Q59" s="24"/>
      <x:c r="R59" s="24"/>
      <x:c r="S59" s="24"/>
      <x:c r="T59" s="24"/>
      <x:c r="U59" s="24"/>
      <x:c r="V59" s="24"/>
      <x:c r="W59" s="24"/>
      <x:c r="X59" s="24"/>
      <x:c r="Y59" s="24"/>
      <x:c r="Z59" s="24"/>
      <x:c r="AA59" s="24"/>
      <x:c r="AB59" s="24"/>
      <x:c r="AC59" s="24"/>
      <x:c r="AD59" s="24"/>
      <x:c r="AE59" s="24"/>
    </x:row>
    <x:row r="60" ht="34" customHeight="1">
      <x:c r="A60" s="346" t="str">
        <x:v>Discord</x:v>
      </x:c>
      <x:c r="B60" s="346" t="str">
        <x:v>Current Nitro product</x:v>
      </x:c>
      <x:c r="C60" s="346" t="str">
        <x:v>https://support.discord.com/hc/en-us/articles/115000435108-What-are-Nitro-Nitro-Basic</x:v>
      </x:c>
      <x:c r="D60" s="346" t="str">
        <x:v>Current Nitro/Nitro Basic availability and benefits.</x:v>
      </x:c>
      <x:c r="E60" s="346" t="str">
        <x:v>2026-09-15</x:v>
      </x:c>
      <x:c r="F60" s="346" t="str">
        <x:v>First-party / official or project repository</x:v>
      </x:c>
      <x:c r="G60" s="346" t="str">
        <x:v>Primary</x:v>
      </x:c>
      <x:c r="H60" s="346" t="str">
        <x:v>Multiple</x:v>
      </x:c>
      <x:c r="I60" s="24"/>
      <x:c r="J60" s="24"/>
      <x:c r="K60" s="24"/>
      <x:c r="L60" s="24"/>
      <x:c r="M60" s="24"/>
      <x:c r="N60" s="24"/>
      <x:c r="O60" s="24"/>
      <x:c r="P60" s="24"/>
      <x:c r="Q60" s="24"/>
      <x:c r="R60" s="24"/>
      <x:c r="S60" s="24"/>
      <x:c r="T60" s="24"/>
      <x:c r="U60" s="24"/>
      <x:c r="V60" s="24"/>
      <x:c r="W60" s="24"/>
      <x:c r="X60" s="24"/>
      <x:c r="Y60" s="24"/>
      <x:c r="Z60" s="24"/>
      <x:c r="AA60" s="24"/>
      <x:c r="AB60" s="24"/>
      <x:c r="AC60" s="24"/>
      <x:c r="AD60" s="24"/>
      <x:c r="AE60" s="24"/>
    </x:row>
    <x:row r="61" ht="34" customHeight="1">
      <x:c r="A61" s="346" t="str">
        <x:v>Fenrid</x:v>
      </x:c>
      <x:c r="B61" s="346" t="str">
        <x:v>Planned paid tiers</x:v>
      </x:c>
      <x:c r="C61" s="346" t="str">
        <x:v>https://fenrid.com/waitlist</x:v>
      </x:c>
      <x:c r="D61" s="346" t="str">
        <x:v>Free; Surge $4.99/mo; Flare $9.99/mo; Prime $24.99/mo.</x:v>
      </x:c>
      <x:c r="E61" s="346" t="str">
        <x:v>2026-09-15</x:v>
      </x:c>
      <x:c r="F61" s="346" t="str">
        <x:v>First-party / official or project repository</x:v>
      </x:c>
      <x:c r="G61" s="346" t="str">
        <x:v>Primary</x:v>
      </x:c>
      <x:c r="H61" s="346" t="str">
        <x:v>Multiple</x:v>
      </x:c>
      <x:c r="I61" s="24"/>
      <x:c r="J61" s="24"/>
      <x:c r="K61" s="24"/>
      <x:c r="L61" s="24"/>
      <x:c r="M61" s="24"/>
      <x:c r="N61" s="24"/>
      <x:c r="O61" s="24"/>
      <x:c r="P61" s="24"/>
      <x:c r="Q61" s="24"/>
      <x:c r="R61" s="24"/>
      <x:c r="S61" s="24"/>
      <x:c r="T61" s="24"/>
      <x:c r="U61" s="24"/>
      <x:c r="V61" s="24"/>
      <x:c r="W61" s="24"/>
      <x:c r="X61" s="24"/>
      <x:c r="Y61" s="24"/>
      <x:c r="Z61" s="24"/>
      <x:c r="AA61" s="24"/>
      <x:c r="AB61" s="24"/>
      <x:c r="AC61" s="24"/>
      <x:c r="AD61" s="24"/>
      <x:c r="AE61" s="24"/>
    </x:row>
    <x:row r="62" ht="34" customHeight="1">
      <x:c r="A62" s="346" t="str">
        <x:v>Fluxer</x:v>
      </x:c>
      <x:c r="B62" s="346" t="str">
        <x:v>Plutonium pricing / limits</x:v>
      </x:c>
      <x:c r="C62" s="346" t="str">
        <x:v>https://fluxer.app/plutonium</x:v>
      </x:c>
      <x:c r="D62" s="346" t="str">
        <x:v>$4.99/mo, $49.99/yr; 500 MB uploads; up to 4K60; higher community/message limits.</x:v>
      </x:c>
      <x:c r="E62" s="346" t="str">
        <x:v>2026-09-15</x:v>
      </x:c>
      <x:c r="F62" s="346" t="str">
        <x:v>First-party / official or project repository</x:v>
      </x:c>
      <x:c r="G62" s="346" t="str">
        <x:v>Primary</x:v>
      </x:c>
      <x:c r="H62" s="346" t="str">
        <x:v>Multiple</x:v>
      </x:c>
      <x:c r="I62" s="24"/>
      <x:c r="J62" s="24"/>
      <x:c r="K62" s="24"/>
      <x:c r="L62" s="24"/>
      <x:c r="M62" s="24"/>
      <x:c r="N62" s="24"/>
      <x:c r="O62" s="24"/>
      <x:c r="P62" s="24"/>
      <x:c r="Q62" s="24"/>
      <x:c r="R62" s="24"/>
      <x:c r="S62" s="24"/>
      <x:c r="T62" s="24"/>
      <x:c r="U62" s="24"/>
      <x:c r="V62" s="24"/>
      <x:c r="W62" s="24"/>
      <x:c r="X62" s="24"/>
      <x:c r="Y62" s="24"/>
      <x:c r="Z62" s="24"/>
      <x:c r="AA62" s="24"/>
      <x:c r="AB62" s="24"/>
      <x:c r="AC62" s="24"/>
      <x:c r="AD62" s="24"/>
      <x:c r="AE62" s="24"/>
    </x:row>
    <x:row r="63" ht="34" customHeight="1">
      <x:c r="A63" s="346" t="str">
        <x:v>Root</x:v>
      </x:c>
      <x:c r="B63" s="346" t="str">
        <x:v>Sudo billing / streaming</x:v>
      </x:c>
      <x:c r="C63" s="346" t="str">
        <x:v>https://support.rootapp.com/docs/sudo/get-started/sudo-faqs/</x:v>
      </x:c>
      <x:c r="D63" s="346" t="str">
        <x:v>Monthly/yearly Sudo billing, up to 1440p60; price is shown in-app rather than public help page.</x:v>
      </x:c>
      <x:c r="E63" s="346" t="str">
        <x:v>2026-09-15</x:v>
      </x:c>
      <x:c r="F63" s="346" t="str">
        <x:v>First-party / official or project repository</x:v>
      </x:c>
      <x:c r="G63" s="346" t="str">
        <x:v>Primary</x:v>
      </x:c>
      <x:c r="H63" s="346" t="str">
        <x:v>Multiple</x:v>
      </x:c>
      <x:c r="I63" s="24"/>
      <x:c r="J63" s="24"/>
      <x:c r="K63" s="24"/>
      <x:c r="L63" s="24"/>
      <x:c r="M63" s="24"/>
      <x:c r="N63" s="24"/>
      <x:c r="O63" s="24"/>
      <x:c r="P63" s="24"/>
      <x:c r="Q63" s="24"/>
      <x:c r="R63" s="24"/>
      <x:c r="S63" s="24"/>
      <x:c r="T63" s="24"/>
      <x:c r="U63" s="24"/>
      <x:c r="V63" s="24"/>
      <x:c r="W63" s="24"/>
      <x:c r="X63" s="24"/>
      <x:c r="Y63" s="24"/>
      <x:c r="Z63" s="24"/>
      <x:c r="AA63" s="24"/>
      <x:c r="AB63" s="24"/>
      <x:c r="AC63" s="24"/>
      <x:c r="AD63" s="24"/>
      <x:c r="AE63" s="24"/>
    </x:row>
    <x:row r="64" ht="34" customHeight="1">
      <x:c r="A64" s="346" t="str">
        <x:v>TeamSpeak</x:v>
      </x:c>
      <x:c r="B64" s="346" t="str">
        <x:v>Hosted Community pricing</x:v>
      </x:c>
      <x:c r="C64" s="346" t="str">
        <x:v>https://support.teamspeak.com/hc/en-us/articles/26033099878045-Current-Community-Options</x:v>
      </x:c>
      <x:c r="D64" s="346" t="str">
        <x:v>Crew $4.99/mo, Team $8.99/mo, Faction $17.99/mo with annual pricing and slot counts.</x:v>
      </x:c>
      <x:c r="E64" s="346" t="str">
        <x:v>2026-09-15</x:v>
      </x:c>
      <x:c r="F64" s="346" t="str">
        <x:v>First-party / official or project repository</x:v>
      </x:c>
      <x:c r="G64" s="346" t="str">
        <x:v>Primary</x:v>
      </x:c>
      <x:c r="H64" s="346" t="str">
        <x:v>Multiple</x:v>
      </x:c>
      <x:c r="I64" s="24"/>
      <x:c r="J64" s="24"/>
      <x:c r="K64" s="24"/>
      <x:c r="L64" s="24"/>
      <x:c r="M64" s="24"/>
      <x:c r="N64" s="24"/>
      <x:c r="O64" s="24"/>
      <x:c r="P64" s="24"/>
      <x:c r="Q64" s="24"/>
      <x:c r="R64" s="24"/>
      <x:c r="S64" s="24"/>
      <x:c r="T64" s="24"/>
      <x:c r="U64" s="24"/>
      <x:c r="V64" s="24"/>
      <x:c r="W64" s="24"/>
      <x:c r="X64" s="24"/>
      <x:c r="Y64" s="24"/>
      <x:c r="Z64" s="24"/>
      <x:c r="AA64" s="24"/>
      <x:c r="AB64" s="24"/>
      <x:c r="AC64" s="24"/>
      <x:c r="AD64" s="24"/>
      <x:c r="AE64" s="24"/>
    </x:row>
    <x:row r="65" ht="34" customHeight="1">
      <x:c r="A65" s="346" t="str">
        <x:v>TeamSpeak</x:v>
      </x:c>
      <x:c r="B65" s="346" t="str">
        <x:v>Self-host licensing</x:v>
      </x:c>
      <x:c r="C65" s="346" t="str">
        <x:v>https://support.teamspeak.com/hc/en-us/articles/26269724033181-Current-License-Options</x:v>
      </x:c>
      <x:c r="D65" s="346" t="str">
        <x:v>Paid self-host gamer/server slot licensing through 1024 slots.</x:v>
      </x:c>
      <x:c r="E65" s="346" t="str">
        <x:v>2026-09-15</x:v>
      </x:c>
      <x:c r="F65" s="346" t="str">
        <x:v>First-party / official or project repository</x:v>
      </x:c>
      <x:c r="G65" s="346" t="str">
        <x:v>Primary</x:v>
      </x:c>
      <x:c r="H65" s="346" t="str">
        <x:v>Multiple</x:v>
      </x:c>
      <x:c r="I65" s="24"/>
      <x:c r="J65" s="24"/>
      <x:c r="K65" s="24"/>
      <x:c r="L65" s="24"/>
      <x:c r="M65" s="24"/>
      <x:c r="N65" s="24"/>
      <x:c r="O65" s="24"/>
      <x:c r="P65" s="24"/>
      <x:c r="Q65" s="24"/>
      <x:c r="R65" s="24"/>
      <x:c r="S65" s="24"/>
      <x:c r="T65" s="24"/>
      <x:c r="U65" s="24"/>
      <x:c r="V65" s="24"/>
      <x:c r="W65" s="24"/>
      <x:c r="X65" s="24"/>
      <x:c r="Y65" s="24"/>
      <x:c r="Z65" s="24"/>
      <x:c r="AA65" s="24"/>
      <x:c r="AB65" s="24"/>
      <x:c r="AC65" s="24"/>
      <x:c r="AD65" s="24"/>
      <x:c r="AE65" s="24"/>
    </x:row>
    <x:row r="66" ht="34" customHeight="1">
      <x:c r="A66" s="346" t="str">
        <x:v>Zulip</x:v>
      </x:c>
      <x:c r="B66" s="346" t="str">
        <x:v>Cloud / self-host pricing</x:v>
      </x:c>
      <x:c r="C66" s="346" t="str">
        <x:v>https://zulip.com/plans/</x:v>
      </x:c>
      <x:c r="D66" s="346" t="str">
        <x:v>Cloud Free/Standard/Plus and self-host Free/Basic/Business/Enterprise pricing and storage/history entitlements.</x:v>
      </x:c>
      <x:c r="E66" s="346" t="str">
        <x:v>2026-09-15</x:v>
      </x:c>
      <x:c r="F66" s="346" t="str">
        <x:v>First-party / official or project repository</x:v>
      </x:c>
      <x:c r="G66" s="346" t="str">
        <x:v>Primary</x:v>
      </x:c>
      <x:c r="H66" s="346" t="str">
        <x:v>Multiple</x:v>
      </x:c>
      <x:c r="I66" s="24"/>
      <x:c r="J66" s="24"/>
      <x:c r="K66" s="24"/>
      <x:c r="L66" s="24"/>
      <x:c r="M66" s="24"/>
      <x:c r="N66" s="24"/>
      <x:c r="O66" s="24"/>
      <x:c r="P66" s="24"/>
      <x:c r="Q66" s="24"/>
      <x:c r="R66" s="24"/>
      <x:c r="S66" s="24"/>
      <x:c r="T66" s="24"/>
      <x:c r="U66" s="24"/>
      <x:c r="V66" s="24"/>
      <x:c r="W66" s="24"/>
      <x:c r="X66" s="24"/>
      <x:c r="Y66" s="24"/>
      <x:c r="Z66" s="24"/>
      <x:c r="AA66" s="24"/>
      <x:c r="AB66" s="24"/>
      <x:c r="AC66" s="24"/>
      <x:c r="AD66" s="24"/>
      <x:c r="AE66" s="24"/>
    </x:row>
    <x:row r="67" ht="34" customHeight="1">
      <x:c r="A67" s="346" t="str">
        <x:v>Mattermost</x:v>
      </x:c>
      <x:c r="B67" s="346" t="str">
        <x:v>Current pricing tiers</x:v>
      </x:c>
      <x:c r="C67" s="346" t="str">
        <x:v>https://mattermost.com/pricing/</x:v>
      </x:c>
      <x:c r="D67" s="346" t="str">
        <x:v>Professional, Enterprise, Enterprise Advanced are contact-sales; limited Entry evaluation exists.</x:v>
      </x:c>
      <x:c r="E67" s="346" t="str">
        <x:v>2026-09-15</x:v>
      </x:c>
      <x:c r="F67" s="346" t="str">
        <x:v>First-party / official or project repository</x:v>
      </x:c>
      <x:c r="G67" s="346" t="str">
        <x:v>Primary</x:v>
      </x:c>
      <x:c r="H67" s="346" t="str">
        <x:v>Multiple</x:v>
      </x:c>
      <x:c r="I67" s="24"/>
      <x:c r="J67" s="24"/>
      <x:c r="K67" s="24"/>
      <x:c r="L67" s="24"/>
      <x:c r="M67" s="24"/>
      <x:c r="N67" s="24"/>
      <x:c r="O67" s="24"/>
      <x:c r="P67" s="24"/>
      <x:c r="Q67" s="24"/>
      <x:c r="R67" s="24"/>
      <x:c r="S67" s="24"/>
      <x:c r="T67" s="24"/>
      <x:c r="U67" s="24"/>
      <x:c r="V67" s="24"/>
      <x:c r="W67" s="24"/>
      <x:c r="X67" s="24"/>
      <x:c r="Y67" s="24"/>
      <x:c r="Z67" s="24"/>
      <x:c r="AA67" s="24"/>
      <x:c r="AB67" s="24"/>
      <x:c r="AC67" s="24"/>
      <x:c r="AD67" s="24"/>
      <x:c r="AE67" s="24"/>
    </x:row>
    <x:row r="68" ht="34" customHeight="1">
      <x:c r="A68" s="346" t="str">
        <x:v>Rocket.Chat</x:v>
      </x:c>
      <x:c r="B68" s="346" t="str">
        <x:v>Current plans</x:v>
      </x:c>
      <x:c r="C68" s="346" t="str">
        <x:v>https://docs.rocket.chat/our-plans</x:v>
      </x:c>
      <x:c r="D68" s="346" t="str">
        <x:v>Starter and Community free entry plans; Commercial/Government/Defense sales-led paid plans.</x:v>
      </x:c>
      <x:c r="E68" s="346" t="str">
        <x:v>2026-09-15</x:v>
      </x:c>
      <x:c r="F68" s="346" t="str">
        <x:v>First-party / official or project repository</x:v>
      </x:c>
      <x:c r="G68" s="346" t="str">
        <x:v>Primary</x:v>
      </x:c>
      <x:c r="H68" s="346" t="str">
        <x:v>Multiple</x:v>
      </x:c>
      <x:c r="I68" s="24"/>
      <x:c r="J68" s="24"/>
      <x:c r="K68" s="24"/>
      <x:c r="L68" s="24"/>
      <x:c r="M68" s="24"/>
      <x:c r="N68" s="24"/>
      <x:c r="O68" s="24"/>
      <x:c r="P68" s="24"/>
      <x:c r="Q68" s="24"/>
      <x:c r="R68" s="24"/>
      <x:c r="S68" s="24"/>
      <x:c r="T68" s="24"/>
      <x:c r="U68" s="24"/>
      <x:c r="V68" s="24"/>
      <x:c r="W68" s="24"/>
      <x:c r="X68" s="24"/>
      <x:c r="Y68" s="24"/>
      <x:c r="Z68" s="24"/>
      <x:c r="AA68" s="24"/>
      <x:c r="AB68" s="24"/>
      <x:c r="AC68" s="24"/>
      <x:c r="AD68" s="24"/>
      <x:c r="AE68" s="24"/>
    </x:row>
    <x:row r="69" ht="34" customHeight="1">
      <x:c r="A69" s="346" t="str">
        <x:v>GameVox</x:v>
      </x:c>
      <x:c r="B69" s="346" t="str">
        <x:v>Server tier pricing</x:v>
      </x:c>
      <x:c r="C69" s="346" t="str">
        <x:v>https://gamevox.com/blog/gamevox-vs-discord/</x:v>
      </x:c>
      <x:c r="D69" s="346" t="str">
        <x:v>Standard free; Silver $4.99, Gold $9.99, Diamond $19.99; member/channel/upload/media limits.</x:v>
      </x:c>
      <x:c r="E69" s="346" t="str">
        <x:v>2026-09-15</x:v>
      </x:c>
      <x:c r="F69" s="346" t="str">
        <x:v>First-party / official or project repository</x:v>
      </x:c>
      <x:c r="G69" s="346" t="str">
        <x:v>Primary</x:v>
      </x:c>
      <x:c r="H69" s="346" t="str">
        <x:v>Multiple</x:v>
      </x:c>
      <x:c r="I69" s="24"/>
      <x:c r="J69" s="24"/>
      <x:c r="K69" s="24"/>
      <x:c r="L69" s="24"/>
      <x:c r="M69" s="24"/>
      <x:c r="N69" s="24"/>
      <x:c r="O69" s="24"/>
      <x:c r="P69" s="24"/>
      <x:c r="Q69" s="24"/>
      <x:c r="R69" s="24"/>
      <x:c r="S69" s="24"/>
      <x:c r="T69" s="24"/>
      <x:c r="U69" s="24"/>
      <x:c r="V69" s="24"/>
      <x:c r="W69" s="24"/>
      <x:c r="X69" s="24"/>
      <x:c r="Y69" s="24"/>
      <x:c r="Z69" s="24"/>
      <x:c r="AA69" s="24"/>
      <x:c r="AB69" s="24"/>
      <x:c r="AC69" s="24"/>
      <x:c r="AD69" s="24"/>
      <x:c r="AE69" s="24"/>
    </x:row>
    <x:row r="70" ht="34" customHeight="1">
      <x:c r="A70" s="346" t="str">
        <x:v>GameVox</x:v>
      </x:c>
      <x:c r="B70" s="346" t="str">
        <x:v>Self-host price</x:v>
      </x:c>
      <x:c r="C70" s="346" t="str">
        <x:v>https://gamevox.com/self-host/</x:v>
      </x:c>
      <x:c r="D70" s="346" t="str">
        <x:v>Self-host license $2/month or $15/year after July 1, 2026.</x:v>
      </x:c>
      <x:c r="E70" s="346" t="str">
        <x:v>2026-09-15</x:v>
      </x:c>
      <x:c r="F70" s="346" t="str">
        <x:v>First-party / official or project repository</x:v>
      </x:c>
      <x:c r="G70" s="346" t="str">
        <x:v>Primary</x:v>
      </x:c>
      <x:c r="H70" s="346" t="str">
        <x:v>Multiple</x:v>
      </x:c>
      <x:c r="I70" s="24"/>
      <x:c r="J70" s="24"/>
      <x:c r="K70" s="24"/>
      <x:c r="L70" s="24"/>
      <x:c r="M70" s="24"/>
      <x:c r="N70" s="24"/>
      <x:c r="O70" s="24"/>
      <x:c r="P70" s="24"/>
      <x:c r="Q70" s="24"/>
      <x:c r="R70" s="24"/>
      <x:c r="S70" s="24"/>
      <x:c r="T70" s="24"/>
      <x:c r="U70" s="24"/>
      <x:c r="V70" s="24"/>
      <x:c r="W70" s="24"/>
      <x:c r="X70" s="24"/>
      <x:c r="Y70" s="24"/>
      <x:c r="Z70" s="24"/>
      <x:c r="AA70" s="24"/>
      <x:c r="AB70" s="24"/>
      <x:c r="AC70" s="24"/>
      <x:c r="AD70" s="24"/>
      <x:c r="AE70" s="24"/>
    </x:row>
    <x:row r="71" ht="34" customHeight="1">
      <x:c r="A71" s="346" t="str">
        <x:v>Mezon</x:v>
      </x:c>
      <x:c r="B71" s="346" t="str">
        <x:v>No-premium policy / file limits</x:v>
      </x:c>
      <x:c r="C71" s="346" t="str">
        <x:v>https://mezon.ai/docs/user/resources/FAQ/</x:v>
      </x:c>
      <x:c r="D71" s="346" t="str">
        <x:v>All communication features free; no premium plan; images 50 MB, video/other files 100 MB.</x:v>
      </x:c>
      <x:c r="E71" s="346" t="str">
        <x:v>2026-09-15</x:v>
      </x:c>
      <x:c r="F71" s="346" t="str">
        <x:v>First-party / official or project repository</x:v>
      </x:c>
      <x:c r="G71" s="346" t="str">
        <x:v>Primary</x:v>
      </x:c>
      <x:c r="H71" s="346" t="str">
        <x:v>Multiple</x:v>
      </x:c>
      <x:c r="I71" s="24"/>
      <x:c r="J71" s="24"/>
      <x:c r="K71" s="24"/>
      <x:c r="L71" s="24"/>
      <x:c r="M71" s="24"/>
      <x:c r="N71" s="24"/>
      <x:c r="O71" s="24"/>
      <x:c r="P71" s="24"/>
      <x:c r="Q71" s="24"/>
      <x:c r="R71" s="24"/>
      <x:c r="S71" s="24"/>
      <x:c r="T71" s="24"/>
      <x:c r="U71" s="24"/>
      <x:c r="V71" s="24"/>
      <x:c r="W71" s="24"/>
      <x:c r="X71" s="24"/>
      <x:c r="Y71" s="24"/>
      <x:c r="Z71" s="24"/>
      <x:c r="AA71" s="24"/>
      <x:c r="AB71" s="24"/>
      <x:c r="AC71" s="24"/>
      <x:c r="AD71" s="24"/>
      <x:c r="AE71" s="24"/>
    </x:row>
    <x:row r="72" ht="34" customHeight="1">
      <x:c r="A72" s="346" t="str">
        <x:v>Rift</x:v>
      </x:c>
      <x:c r="B72" s="346" t="str">
        <x:v>Current plans / limits</x:v>
      </x:c>
      <x:c r="C72" s="346" t="str">
        <x:v>https://therift.chat/de/plans/</x:v>
      </x:c>
      <x:c r="D72" s="346" t="str">
        <x:v>Rift+ $7/mo or $70/yr; Ember $10/mo; Forge $25/mo; upload, bitrate, streaming, emoji, soundboard and webhook limits.</x:v>
      </x:c>
      <x:c r="E72" s="346" t="str">
        <x:v>2026-09-15</x:v>
      </x:c>
      <x:c r="F72" s="346" t="str">
        <x:v>First-party / official or project repository</x:v>
      </x:c>
      <x:c r="G72" s="346" t="str">
        <x:v>Primary</x:v>
      </x:c>
      <x:c r="H72" s="346" t="str">
        <x:v>Multiple</x:v>
      </x:c>
      <x:c r="I72" s="24"/>
      <x:c r="J72" s="24"/>
      <x:c r="K72" s="24"/>
      <x:c r="L72" s="24"/>
      <x:c r="M72" s="24"/>
      <x:c r="N72" s="24"/>
      <x:c r="O72" s="24"/>
      <x:c r="P72" s="24"/>
      <x:c r="Q72" s="24"/>
      <x:c r="R72" s="24"/>
      <x:c r="S72" s="24"/>
      <x:c r="T72" s="24"/>
      <x:c r="U72" s="24"/>
      <x:c r="V72" s="24"/>
      <x:c r="W72" s="24"/>
      <x:c r="X72" s="24"/>
      <x:c r="Y72" s="24"/>
      <x:c r="Z72" s="24"/>
      <x:c r="AA72" s="24"/>
      <x:c r="AB72" s="24"/>
      <x:c r="AC72" s="24"/>
      <x:c r="AD72" s="24"/>
      <x:c r="AE72" s="24"/>
    </x:row>
    <x:row r="73" ht="34" customHeight="1">
      <x:c r="A73" s="346" t="str">
        <x:v>Rift</x:v>
      </x:c>
      <x:c r="B73" s="346" t="str">
        <x:v>Company funding</x:v>
      </x:c>
      <x:c r="C73" s="346" t="str">
        <x:v>https://therift.chat/about/</x:v>
      </x:c>
      <x:c r="D73" s="346" t="str">
        <x:v>Three-person team, no investors, subscriptions fund operations.</x:v>
      </x:c>
      <x:c r="E73" s="346" t="str">
        <x:v>2026-09-15</x:v>
      </x:c>
      <x:c r="F73" s="346" t="str">
        <x:v>First-party / official or project repository</x:v>
      </x:c>
      <x:c r="G73" s="346" t="str">
        <x:v>Primary</x:v>
      </x:c>
      <x:c r="H73" s="346" t="str">
        <x:v>Multiple</x:v>
      </x:c>
      <x:c r="I73" s="24"/>
      <x:c r="J73" s="24"/>
      <x:c r="K73" s="24"/>
      <x:c r="L73" s="24"/>
      <x:c r="M73" s="24"/>
      <x:c r="N73" s="24"/>
      <x:c r="O73" s="24"/>
      <x:c r="P73" s="24"/>
      <x:c r="Q73" s="24"/>
      <x:c r="R73" s="24"/>
      <x:c r="S73" s="24"/>
      <x:c r="T73" s="24"/>
      <x:c r="U73" s="24"/>
      <x:c r="V73" s="24"/>
      <x:c r="W73" s="24"/>
      <x:c r="X73" s="24"/>
      <x:c r="Y73" s="24"/>
      <x:c r="Z73" s="24"/>
      <x:c r="AA73" s="24"/>
      <x:c r="AB73" s="24"/>
      <x:c r="AC73" s="24"/>
      <x:c r="AD73" s="24"/>
      <x:c r="AE73" s="24"/>
    </x:row>
    <x:row r="74" ht="34" customHeight="1">
      <x:c r="A74" s="346" t="str">
        <x:v>Weered</x:v>
      </x:c>
      <x:c r="B74" s="346" t="str">
        <x:v>Current pricing</x:v>
      </x:c>
      <x:c r="C74" s="346" t="str">
        <x:v>https://weered.ca/pricing</x:v>
      </x:c>
      <x:c r="D74" s="346" t="str">
        <x:v>Use public lobbies free; run own lobby $6/month; custom community builds quoted.</x:v>
      </x:c>
      <x:c r="E74" s="346" t="str">
        <x:v>2026-09-15</x:v>
      </x:c>
      <x:c r="F74" s="346" t="str">
        <x:v>First-party / official or project repository</x:v>
      </x:c>
      <x:c r="G74" s="346" t="str">
        <x:v>Primary</x:v>
      </x:c>
      <x:c r="H74" s="346" t="str">
        <x:v>Multiple</x:v>
      </x:c>
      <x:c r="I74" s="24"/>
      <x:c r="J74" s="24"/>
      <x:c r="K74" s="24"/>
      <x:c r="L74" s="24"/>
      <x:c r="M74" s="24"/>
      <x:c r="N74" s="24"/>
      <x:c r="O74" s="24"/>
      <x:c r="P74" s="24"/>
      <x:c r="Q74" s="24"/>
      <x:c r="R74" s="24"/>
      <x:c r="S74" s="24"/>
      <x:c r="T74" s="24"/>
      <x:c r="U74" s="24"/>
      <x:c r="V74" s="24"/>
      <x:c r="W74" s="24"/>
      <x:c r="X74" s="24"/>
      <x:c r="Y74" s="24"/>
      <x:c r="Z74" s="24"/>
      <x:c r="AA74" s="24"/>
      <x:c r="AB74" s="24"/>
      <x:c r="AC74" s="24"/>
      <x:c r="AD74" s="24"/>
      <x:c r="AE74" s="24"/>
    </x:row>
    <x:row r="75" ht="34" customHeight="1">
      <x:c r="A75" s="346" t="str">
        <x:v>Rift</x:v>
      </x:c>
      <x:c r="B75" s="346" t="str">
        <x:v>E2EE / privacy</x:v>
      </x:c>
      <x:c r="C75" s="346" t="str">
        <x:v>https://therift.chat/privacy/</x:v>
      </x:c>
      <x:c r="D75" s="346" t="str">
        <x:v>DM text is client-side E2EE using Signal-style X3DH/Double Ratchet; Shard messages are encrypted at rest but not E2EE.</x:v>
      </x:c>
      <x:c r="E75" s="346" t="str">
        <x:v>2026-09-15</x:v>
      </x:c>
      <x:c r="F75" s="346" t="str">
        <x:v>First-party / official or project repository</x:v>
      </x:c>
      <x:c r="G75" s="346" t="str">
        <x:v>Primary</x:v>
      </x:c>
      <x:c r="H75" s="346" t="str">
        <x:v>Multiple</x:v>
      </x:c>
      <x:c r="I75" s="24"/>
      <x:c r="J75" s="24"/>
      <x:c r="K75" s="24"/>
      <x:c r="L75" s="24"/>
      <x:c r="M75" s="24"/>
      <x:c r="N75" s="24"/>
      <x:c r="O75" s="24"/>
      <x:c r="P75" s="24"/>
      <x:c r="Q75" s="24"/>
      <x:c r="R75" s="24"/>
      <x:c r="S75" s="24"/>
      <x:c r="T75" s="24"/>
      <x:c r="U75" s="24"/>
      <x:c r="V75" s="24"/>
      <x:c r="W75" s="24"/>
      <x:c r="X75" s="24"/>
      <x:c r="Y75" s="24"/>
      <x:c r="Z75" s="24"/>
      <x:c r="AA75" s="24"/>
      <x:c r="AB75" s="24"/>
      <x:c r="AC75" s="24"/>
      <x:c r="AD75" s="24"/>
      <x:c r="AE75" s="24"/>
    </x:row>
    <x:row r="76" ht="34" customHeight="1">
      <x:c r="A76" s="346" t="str">
        <x:v>Rift</x:v>
      </x:c>
      <x:c r="B76" s="346" t="str">
        <x:v>Features / encrypted calls</x:v>
      </x:c>
      <x:c r="C76" s="346" t="str">
        <x:v>https://therift.chat/features/</x:v>
      </x:c>
      <x:c r="D76" s="346" t="str">
        <x:v>Encrypted DMs, E2EE direct voice/video/screen calls, Rift Key, and distinction from Splinters/Shard messages.</x:v>
      </x:c>
      <x:c r="E76" s="346" t="str">
        <x:v>2026-09-15</x:v>
      </x:c>
      <x:c r="F76" s="346" t="str">
        <x:v>First-party / official or project repository</x:v>
      </x:c>
      <x:c r="G76" s="346" t="str">
        <x:v>Primary</x:v>
      </x:c>
      <x:c r="H76" s="346" t="str">
        <x:v>Multiple</x:v>
      </x:c>
      <x:c r="I76" s="24"/>
      <x:c r="J76" s="24"/>
      <x:c r="K76" s="24"/>
      <x:c r="L76" s="24"/>
      <x:c r="M76" s="24"/>
      <x:c r="N76" s="24"/>
      <x:c r="O76" s="24"/>
      <x:c r="P76" s="24"/>
      <x:c r="Q76" s="24"/>
      <x:c r="R76" s="24"/>
      <x:c r="S76" s="24"/>
      <x:c r="T76" s="24"/>
      <x:c r="U76" s="24"/>
      <x:c r="V76" s="24"/>
      <x:c r="W76" s="24"/>
      <x:c r="X76" s="24"/>
      <x:c r="Y76" s="24"/>
      <x:c r="Z76" s="24"/>
      <x:c r="AA76" s="24"/>
      <x:c r="AB76" s="24"/>
      <x:c r="AC76" s="24"/>
      <x:c r="AD76" s="24"/>
      <x:c r="AE76" s="24"/>
    </x:row>
    <x:row r="77" ht="34" customHeight="1">
      <x:c r="A77" s="346" t="str">
        <x:v>Rift</x:v>
      </x:c>
      <x:c r="B77" s="346" t="str">
        <x:v>FAQ / AI development</x:v>
      </x:c>
      <x:c r="C77" s="346" t="str">
        <x:v>https://therift.chat/faq/</x:v>
      </x:c>
      <x:c r="D77" s="346" t="str">
        <x:v>Three-person team; AI used for parts of code with developer review; security audits planned.</x:v>
      </x:c>
      <x:c r="E77" s="346" t="str">
        <x:v>2026-09-15</x:v>
      </x:c>
      <x:c r="F77" s="346" t="str">
        <x:v>First-party / official or project repository</x:v>
      </x:c>
      <x:c r="G77" s="346" t="str">
        <x:v>Primary</x:v>
      </x:c>
      <x:c r="H77" s="346" t="str">
        <x:v>Multiple</x:v>
      </x:c>
      <x:c r="I77" s="24"/>
      <x:c r="J77" s="24"/>
      <x:c r="K77" s="24"/>
      <x:c r="L77" s="24"/>
      <x:c r="M77" s="24"/>
      <x:c r="N77" s="24"/>
      <x:c r="O77" s="24"/>
      <x:c r="P77" s="24"/>
      <x:c r="Q77" s="24"/>
      <x:c r="R77" s="24"/>
      <x:c r="S77" s="24"/>
      <x:c r="T77" s="24"/>
      <x:c r="U77" s="24"/>
      <x:c r="V77" s="24"/>
      <x:c r="W77" s="24"/>
      <x:c r="X77" s="24"/>
      <x:c r="Y77" s="24"/>
      <x:c r="Z77" s="24"/>
      <x:c r="AA77" s="24"/>
      <x:c r="AB77" s="24"/>
      <x:c r="AC77" s="24"/>
      <x:c r="AD77" s="24"/>
      <x:c r="AE77" s="24"/>
    </x:row>
    <x:row r="78" ht="34" customHeight="1">
      <x:c r="A78" s="346" t="str">
        <x:v>Rift</x:v>
      </x:c>
      <x:c r="B78" s="346" t="str">
        <x:v>Features / channel types / Portals</x:v>
      </x:c>
      <x:c r="C78" s="346" t="str">
        <x:v>https://therift.chat/features/</x:v>
      </x:c>
      <x:c r="D78" s="346" t="str">
        <x:v>Current first-party list of channel types, Portals, voice launchers, moderation, giveaways, webhooks, Discord import, Studio/Arcade/Tabletop.</x:v>
      </x:c>
      <x:c r="E78" s="346" t="str">
        <x:v>2026-09-15</x:v>
      </x:c>
      <x:c r="F78" s="346" t="str">
        <x:v>First-party / official</x:v>
      </x:c>
      <x:c r="G78" s="346" t="str">
        <x:v>Primary</x:v>
      </x:c>
      <x:c r="H78" s="346" t="str">
        <x:v>Channel Types; Extra Features; Embedded Apps; Moderation; Interop</x:v>
      </x:c>
    </x:row>
    <x:row r="79" ht="34" customHeight="1">
      <x:c r="A79" s="346" t="str">
        <x:v>Rift</x:v>
      </x:c>
      <x:c r="B79" s="346" t="str">
        <x:v>FAQ / product model</x:v>
      </x:c>
      <x:c r="C79" s="346" t="str">
        <x:v>https://therift.chat/faq/</x:v>
      </x:c>
      <x:c r="D79" s="346" t="str">
        <x:v>Defines Shards and Portals and current privacy/product positioning.</x:v>
      </x:c>
      <x:c r="E79" s="346" t="str">
        <x:v>2026-09-15</x:v>
      </x:c>
      <x:c r="F79" s="346" t="str">
        <x:v>First-party / official</x:v>
      </x:c>
      <x:c r="G79" s="346" t="str">
        <x:v>Primary</x:v>
      </x:c>
      <x:c r="H79" s="346" t="str">
        <x:v>At a Glance; Embedded Apps</x:v>
      </x:c>
    </x:row>
    <x:row r="80" ht="34" customHeight="1">
      <x:c r="A80" s="346" t="str">
        <x:v>Mattermost</x:v>
      </x:c>
      <x:c r="B80" s="346" t="str">
        <x:v>Web app plugins</x:v>
      </x:c>
      <x:c r="C80" s="346" t="str">
        <x:v>https://developers.mattermost.com/integrate/plugins/components/webapp/</x:v>
      </x:c>
      <x:c r="D80" s="346" t="str">
        <x:v>Plugins can add React components, root components and custom post types inside the web/desktop client.</x:v>
      </x:c>
      <x:c r="E80" s="346" t="str">
        <x:v>2026-09-15</x:v>
      </x:c>
      <x:c r="F80" s="346" t="str">
        <x:v>First-party developer docs</x:v>
      </x:c>
      <x:c r="G80" s="346" t="str">
        <x:v>Primary</x:v>
      </x:c>
      <x:c r="H80" s="346" t="str">
        <x:v>Embedded Apps; Developer API Detail</x:v>
      </x:c>
    </x:row>
    <x:row r="81" ht="34" customHeight="1">
      <x:c r="A81" s="346" t="str">
        <x:v>Rocket.Chat</x:v>
      </x:c>
      <x:c r="B81" s="346" t="str">
        <x:v>Apps framework / Marketplace</x:v>
      </x:c>
      <x:c r="C81" s="346" t="str">
        <x:v>https://docs.rocket.chat/docs/rocketchat-apps-faq</x:v>
      </x:c>
      <x:c r="D81" s="346" t="str">
        <x:v>Apps-Engine, marketplace and private app model; apps install directly into a workspace.</x:v>
      </x:c>
      <x:c r="E81" s="346" t="str">
        <x:v>2026-09-15</x:v>
      </x:c>
      <x:c r="F81" s="346" t="str">
        <x:v>First-party developer docs</x:v>
      </x:c>
      <x:c r="G81" s="346" t="str">
        <x:v>Primary</x:v>
      </x:c>
      <x:c r="H81" s="346" t="str">
        <x:v>Embedded Apps; Developer API Detail</x:v>
      </x:c>
    </x:row>
    <x:row r="82" ht="34" customHeight="1">
      <x:c r="A82" s="346" t="str">
        <x:v>Zulip</x:v>
      </x:c>
      <x:c r="B82" s="346" t="str">
        <x:v>Integrations overview</x:v>
      </x:c>
      <x:c r="C82" s="346" t="str">
        <x:v>https://zulip.com/help/integrations-overview</x:v>
      </x:c>
      <x:c r="D82" s="346" t="str">
        <x:v>120+ native integrations plus bots/webhooks; strong integration ecosystem but not an embedded-app workspace.</x:v>
      </x:c>
      <x:c r="E82" s="346" t="str">
        <x:v>2026-09-15</x:v>
      </x:c>
      <x:c r="F82" s="346" t="str">
        <x:v>First-party help/docs</x:v>
      </x:c>
      <x:c r="G82" s="346" t="str">
        <x:v>Primary</x:v>
      </x:c>
      <x:c r="H82" s="346" t="str">
        <x:v>Embedded Apps; Developer Extensibility</x:v>
      </x:c>
    </x:row>
    <x:row r="83" ht="34" customHeight="1">
      <x:c r="A83" s="346" t="str">
        <x:v>Matrix / Element</x:v>
      </x:c>
      <x:c r="B83" s="346" t="str">
        <x:v>Custom widgets / integration manager</x:v>
      </x:c>
      <x:c r="C83" s="346" t="str">
        <x:v>https://docs.element.io/latest/element-server-suite-classic/installation-of-core-components/integrator-section/</x:v>
      </x:c>
      <x:c r="D83" s="346" t="str">
        <x:v>Element deployments can enable custom widgets that embed web pages; treated as client-dependent rather than Matrix-wide.</x:v>
      </x:c>
      <x:c r="E83" s="346" t="str">
        <x:v>2026-09-15</x:v>
      </x:c>
      <x:c r="F83" s="346" t="str">
        <x:v>First-party Element docs</x:v>
      </x:c>
      <x:c r="G83" s="346" t="str">
        <x:v>Primary</x:v>
      </x:c>
      <x:c r="H83" s="346" t="str">
        <x:v>Embedded Apps</x:v>
      </x:c>
    </x:row>
  </x:sheetData>
  <x:mergeCells>
    <x:mergeCell ref="A1:E1"/>
    <x:mergeCell ref="A1:H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54" hidden="0" customWidth="1"/>
    <x:col min="4" max="4" width="48" hidden="0" customWidth="1"/>
    <x:col min="5" max="5" width="24" hidden="0" customWidth="1"/>
    <x:col min="6" max="6" width="42" hidden="0" customWidth="1"/>
    <x:col min="7" max="7" width="14" hidden="0" customWidth="1"/>
    <x:col min="8" max="8" width="28" hidden="0" customWidth="1"/>
    <x:col min="9" max="9" width="40" hidden="0" customWidth="1"/>
    <x:col min="10" max="10" width="40" hidden="0" customWidth="1"/>
    <x:col min="11" max="11" width="40" hidden="0" customWidth="1"/>
    <x:col min="12" max="12" width="40" hidden="0" customWidth="1"/>
    <x:col min="13" max="13" width="40" hidden="0" customWidth="1"/>
    <x:col min="14" max="14" width="40" hidden="0" customWidth="1"/>
    <x:col min="15" max="15" width="40" hidden="0" customWidth="1"/>
    <x:col min="16" max="16" width="40" hidden="0" customWidth="1"/>
    <x:col min="17" max="17" width="40" hidden="0" customWidth="1"/>
    <x:col min="18" max="18" width="40" hidden="0" customWidth="1"/>
    <x:col min="19" max="19" width="40" hidden="0" customWidth="1"/>
    <x:col min="20" max="20" width="40" hidden="0" customWidth="1"/>
    <x:col min="21" max="21" width="40" hidden="0" customWidth="1"/>
    <x:col min="22" max="22" width="40" hidden="0" customWidth="1"/>
    <x:col min="23" max="23" width="40" hidden="0" customWidth="1"/>
    <x:col min="24" max="24" width="40" hidden="0" customWidth="1"/>
    <x:col min="25" max="25" width="40" hidden="0" customWidth="1"/>
    <x:col min="26" max="26" width="40" hidden="0" customWidth="1"/>
    <x:col min="27" max="27" width="40" hidden="0" customWidth="1"/>
    <x:col min="28" max="28" width="40" hidden="0" customWidth="1"/>
    <x:col min="29" max="29" width="40" hidden="0" customWidth="1"/>
    <x:col min="30" max="30" width="40" hidden="0" customWidth="1"/>
    <x:col min="31" max="31" width="40" hidden="0" customWidth="1"/>
  </x:cols>
  <x:sheetData>
    <x:row r="1" ht="34" customHeight="1">
      <x:c r="A1" s="420" t="str">
        <x:v>Platform</x:v>
      </x:c>
      <x:c r="B1" s="420" t="str">
        <x:v>Included?</x:v>
      </x:c>
      <x:c r="C1" s="420" t="str">
        <x:v>r/discordalternatives evidence</x:v>
      </x:c>
      <x:c r="D1" s="420" t="str">
        <x:v>Official / primary source</x:v>
      </x:c>
      <x:c r="E1" s="420" t="str">
        <x:v>Status note</x:v>
      </x:c>
      <x:c r="F1" s="420" t="str">
        <x:v>Research treatment</x:v>
      </x:c>
      <x:c r="G1" s="420" t="str">
        <x:v>Last Checked</x:v>
      </x:c>
      <x:c r="H1" s="420" t="str">
        <x:v>Verification Status</x:v>
      </x:c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  <x:c r="V1" s="24"/>
      <x:c r="W1" s="24"/>
      <x:c r="X1" s="24"/>
      <x:c r="Y1" s="24"/>
      <x:c r="Z1" s="24"/>
      <x:c r="AA1" s="24"/>
      <x:c r="AB1" s="24"/>
      <x:c r="AC1" s="24"/>
      <x:c r="AD1" s="24"/>
      <x:c r="AE1" s="24"/>
    </x:row>
    <x:row r="2" ht="34" customHeight="1">
      <x:c r="A2" s="346" t="str">
        <x:v>GameVox</x:v>
      </x:c>
      <x:c r="B2" s="346" t="str">
        <x:v>Yes</x:v>
      </x:c>
      <x:c r="C2" s="346" t="str">
        <x:v>https://www.reddit.com/r/DiscordAlternatives/comments/1tn1js3/discord_alternatives_comparison_sheet/</x:v>
      </x:c>
      <x:c r="D2" s="346" t="str">
        <x:v>https://gamevox.com/</x:v>
      </x:c>
      <x:c r="E2" s="346" t="str">
        <x:v>Open beta</x:v>
      </x:c>
      <x:c r="F2" s="346" t="str">
        <x:v>Filled from official site; U/K where unpublished</x:v>
      </x:c>
      <x:c r="G2" s="346" t="str">
        <x:v>2026-09-15</x:v>
      </x:c>
      <x:c r="H2" s="346" t="str">
        <x:v>Primary source verified</x:v>
      </x:c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 ht="34" customHeight="1">
      <x:c r="A3" s="346" t="str">
        <x:v>Nerimity</x:v>
      </x:c>
      <x:c r="B3" s="346" t="str">
        <x:v>Yes</x:v>
      </x:c>
      <x:c r="C3" s="346" t="str">
        <x:v>https://www.reddit.com/r/DiscordAlternatives/comments/1u916jj/70_of_these_alternatives_are_trash_99_arent_even/</x:v>
      </x:c>
      <x:c r="D3" s="346" t="str">
        <x:v>https://nerimity.com/</x:v>
      </x:c>
      <x:c r="E3" s="346" t="str">
        <x:v>Active</x:v>
      </x:c>
      <x:c r="F3" s="346" t="str">
        <x:v>Official site/GitHub</x:v>
      </x:c>
      <x:c r="G3" s="346" t="str">
        <x:v>2026-09-15</x:v>
      </x:c>
      <x:c r="H3" s="346" t="str">
        <x:v>Primary source verified</x:v>
      </x:c>
      <x:c r="I3" s="24"/>
      <x:c r="J3" s="24"/>
      <x:c r="K3" s="24"/>
      <x:c r="L3" s="24"/>
      <x:c r="M3" s="24"/>
      <x:c r="N3" s="24"/>
      <x:c r="O3" s="24"/>
      <x:c r="P3" s="24"/>
      <x:c r="Q3" s="24"/>
      <x:c r="R3" s="24"/>
      <x:c r="S3" s="24"/>
      <x:c r="T3" s="24"/>
      <x:c r="U3" s="24"/>
      <x:c r="V3" s="24"/>
      <x:c r="W3" s="24"/>
      <x:c r="X3" s="24"/>
      <x:c r="Y3" s="24"/>
      <x:c r="Z3" s="24"/>
      <x:c r="AA3" s="24"/>
      <x:c r="AB3" s="24"/>
      <x:c r="AC3" s="24"/>
      <x:c r="AD3" s="24"/>
      <x:c r="AE3" s="24"/>
    </x:row>
    <x:row r="4" ht="34" customHeight="1">
      <x:c r="A4" s="346" t="str">
        <x:v>Osmium</x:v>
      </x:c>
      <x:c r="B4" s="346" t="str">
        <x:v>Yes</x:v>
      </x:c>
      <x:c r="C4" s="346" t="str">
        <x:v>https://www.reddit.com/r/DiscordAlternatives/comments/1tlqhnd/this_sub_is_full_of_vibecoded_clones_osmium_isnt/</x:v>
      </x:c>
      <x:c r="D4" s="346" t="str">
        <x:v>https://osmium.chat/</x:v>
      </x:c>
      <x:c r="E4" s="346" t="str">
        <x:v>Public beta</x:v>
      </x:c>
      <x:c r="F4" s="346" t="str">
        <x:v>Official site/privacy + Reddit discovery</x:v>
      </x:c>
      <x:c r="G4" s="346" t="str">
        <x:v>2026-09-15</x:v>
      </x:c>
      <x:c r="H4" s="346" t="str">
        <x:v>Primary source verified</x:v>
      </x:c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</x:row>
    <x:row r="5" ht="34" customHeight="1">
      <x:c r="A5" s="346" t="str">
        <x:v>Loqa</x:v>
      </x:c>
      <x:c r="B5" s="346" t="str">
        <x:v>Yes</x:v>
      </x:c>
      <x:c r="C5" s="346" t="str">
        <x:v>https://www.reddit.com/r/DiscordAlternatives/comments/1u916jj/70_of_these_alternatives_are_trash_99_arent_even/</x:v>
      </x:c>
      <x:c r="D5" s="346" t="str">
        <x:v>https://loqa.chat/</x:v>
      </x:c>
      <x:c r="E5" s="346" t="str">
        <x:v>Open beta</x:v>
      </x:c>
      <x:c r="F5" s="346" t="str">
        <x:v>Official site</x:v>
      </x:c>
      <x:c r="G5" s="346" t="str">
        <x:v>2026-09-15</x:v>
      </x:c>
      <x:c r="H5" s="346" t="str">
        <x:v>Primary source verified</x:v>
      </x:c>
      <x:c r="I5" s="24"/>
      <x:c r="J5" s="24"/>
      <x:c r="K5" s="24"/>
      <x:c r="L5" s="24"/>
      <x:c r="M5" s="24"/>
      <x:c r="N5" s="24"/>
      <x:c r="O5" s="24"/>
      <x:c r="P5" s="24"/>
      <x:c r="Q5" s="24"/>
      <x:c r="R5" s="24"/>
      <x:c r="S5" s="24"/>
      <x:c r="T5" s="24"/>
      <x:c r="U5" s="24"/>
      <x:c r="V5" s="24"/>
      <x:c r="W5" s="24"/>
      <x:c r="X5" s="24"/>
      <x:c r="Y5" s="24"/>
      <x:c r="Z5" s="24"/>
      <x:c r="AA5" s="24"/>
      <x:c r="AB5" s="24"/>
      <x:c r="AC5" s="24"/>
      <x:c r="AD5" s="24"/>
      <x:c r="AE5" s="24"/>
    </x:row>
    <x:row r="6" ht="34" customHeight="1">
      <x:c r="A6" s="346" t="str">
        <x:v>Venta</x:v>
      </x:c>
      <x:c r="B6" s="346" t="str">
        <x:v>Yes</x:v>
      </x:c>
      <x:c r="C6" s="346" t="str">
        <x:v>https://www.reddit.com/r/DiscordAlternatives/comments/1thyt1p/change_of_direction_for_our_discord_alternative/</x:v>
      </x:c>
      <x:c r="D6" s="346" t="str">
        <x:v>https://venta.gg/</x:v>
      </x:c>
      <x:c r="E6" s="346" t="str">
        <x:v>Alpha/Beta</x:v>
      </x:c>
      <x:c r="F6" s="346" t="str">
        <x:v>Developer post + public backend</x:v>
      </x:c>
      <x:c r="G6" s="346" t="str">
        <x:v>2026-09-15</x:v>
      </x:c>
      <x:c r="H6" s="346" t="str">
        <x:v>Primary source verified</x:v>
      </x:c>
      <x:c r="I6" s="24"/>
      <x:c r="J6" s="24"/>
      <x:c r="K6" s="24"/>
      <x:c r="L6" s="24"/>
      <x:c r="M6" s="24"/>
      <x:c r="N6" s="24"/>
      <x:c r="O6" s="24"/>
      <x:c r="P6" s="24"/>
      <x:c r="Q6" s="24"/>
      <x:c r="R6" s="24"/>
      <x:c r="S6" s="24"/>
      <x:c r="T6" s="24"/>
      <x:c r="U6" s="24"/>
      <x:c r="V6" s="24"/>
      <x:c r="W6" s="24"/>
      <x:c r="X6" s="24"/>
      <x:c r="Y6" s="24"/>
      <x:c r="Z6" s="24"/>
      <x:c r="AA6" s="24"/>
      <x:c r="AB6" s="24"/>
      <x:c r="AC6" s="24"/>
      <x:c r="AD6" s="24"/>
      <x:c r="AE6" s="24"/>
    </x:row>
    <x:row r="7" ht="34" customHeight="1">
      <x:c r="A7" s="346" t="str">
        <x:v>Mezon</x:v>
      </x:c>
      <x:c r="B7" s="346" t="str">
        <x:v>Yes</x:v>
      </x:c>
      <x:c r="C7" s="346" t="str">
        <x:v>https://www.reddit.com/r/DiscordAlternatives/comments/1tn1js3/discord_alternatives_comparison_sheet/</x:v>
      </x:c>
      <x:c r="D7" s="346" t="str">
        <x:v>https://mezon.ai/</x:v>
      </x:c>
      <x:c r="E7" s="346" t="str">
        <x:v>Active</x:v>
      </x:c>
      <x:c r="F7" s="346" t="str">
        <x:v>Official docs/GitHub</x:v>
      </x:c>
      <x:c r="G7" s="346" t="str">
        <x:v>2026-09-15</x:v>
      </x:c>
      <x:c r="H7" s="346" t="str">
        <x:v>Primary source verified</x:v>
      </x:c>
      <x:c r="I7" s="24"/>
      <x:c r="J7" s="24"/>
      <x:c r="K7" s="24"/>
      <x:c r="L7" s="24"/>
      <x:c r="M7" s="24"/>
      <x:c r="N7" s="24"/>
      <x:c r="O7" s="24"/>
      <x:c r="P7" s="24"/>
      <x:c r="Q7" s="24"/>
      <x:c r="R7" s="24"/>
      <x:c r="S7" s="24"/>
      <x:c r="T7" s="24"/>
      <x:c r="U7" s="24"/>
      <x:c r="V7" s="24"/>
      <x:c r="W7" s="24"/>
      <x:c r="X7" s="24"/>
      <x:c r="Y7" s="24"/>
      <x:c r="Z7" s="24"/>
      <x:c r="AA7" s="24"/>
      <x:c r="AB7" s="24"/>
      <x:c r="AC7" s="24"/>
      <x:c r="AD7" s="24"/>
      <x:c r="AE7" s="24"/>
    </x:row>
    <x:row r="8" ht="34" customHeight="1">
      <x:c r="A8" s="346" t="str">
        <x:v>Kloak</x:v>
      </x:c>
      <x:c r="B8" s="346" t="str">
        <x:v>Yes</x:v>
      </x:c>
      <x:c r="C8" s="346" t="str">
        <x:v>https://www.reddit.com/r/DiscordAlternatives/comments/1sbzjsx/ive_spent_9_years_on_discord_the_next_best_option/</x:v>
      </x:c>
      <x:c r="D8" s="346" t="str">
        <x:v>https://kloak.app/</x:v>
      </x:c>
      <x:c r="E8" s="346" t="str">
        <x:v>Alpha</x:v>
      </x:c>
      <x:c r="F8" s="346" t="str">
        <x:v>Official privacy/product pages</x:v>
      </x:c>
      <x:c r="G8" s="346" t="str">
        <x:v>2026-09-15</x:v>
      </x:c>
      <x:c r="H8" s="346" t="str">
        <x:v>Primary source verified</x:v>
      </x:c>
      <x:c r="I8" s="24"/>
      <x:c r="J8" s="24"/>
      <x:c r="K8" s="24"/>
      <x:c r="L8" s="24"/>
      <x:c r="M8" s="24"/>
      <x:c r="N8" s="24"/>
      <x:c r="O8" s="24"/>
      <x:c r="P8" s="24"/>
      <x:c r="Q8" s="24"/>
      <x:c r="R8" s="24"/>
      <x:c r="S8" s="24"/>
      <x:c r="T8" s="24"/>
      <x:c r="U8" s="24"/>
      <x:c r="V8" s="24"/>
      <x:c r="W8" s="24"/>
      <x:c r="X8" s="24"/>
      <x:c r="Y8" s="24"/>
      <x:c r="Z8" s="24"/>
      <x:c r="AA8" s="24"/>
      <x:c r="AB8" s="24"/>
      <x:c r="AC8" s="24"/>
      <x:c r="AD8" s="24"/>
      <x:c r="AE8" s="24"/>
    </x:row>
    <x:row r="9" ht="34" customHeight="1">
      <x:c r="A9" s="346" t="str">
        <x:v>Yapper</x:v>
      </x:c>
      <x:c r="B9" s="346" t="str">
        <x:v>Yes</x:v>
      </x:c>
      <x:c r="C9" s="346" t="str">
        <x:v>https://www.reddit.com/r/DiscordAlternatives/comments/1tlkuxw/title_ive_been_building_a_selfhosted/</x:v>
      </x:c>
      <x:c r="D9" s="346" t="str">
        <x:v>https://yapper.gg/</x:v>
      </x:c>
      <x:c r="E9" s="346" t="str">
        <x:v>Beta/new</x:v>
      </x:c>
      <x:c r="F9" s="346" t="str">
        <x:v>Official site/privacy</x:v>
      </x:c>
      <x:c r="G9" s="346" t="str">
        <x:v>2026-09-15</x:v>
      </x:c>
      <x:c r="H9" s="346" t="str">
        <x:v>Primary source verified</x:v>
      </x:c>
      <x:c r="I9" s="24"/>
      <x:c r="J9" s="24"/>
      <x:c r="K9" s="24"/>
      <x:c r="L9" s="24"/>
      <x:c r="M9" s="24"/>
      <x:c r="N9" s="24"/>
      <x:c r="O9" s="24"/>
      <x:c r="P9" s="24"/>
      <x:c r="Q9" s="24"/>
      <x:c r="R9" s="24"/>
      <x:c r="S9" s="24"/>
      <x:c r="T9" s="24"/>
      <x:c r="U9" s="24"/>
      <x:c r="V9" s="24"/>
      <x:c r="W9" s="24"/>
      <x:c r="X9" s="24"/>
      <x:c r="Y9" s="24"/>
      <x:c r="Z9" s="24"/>
      <x:c r="AA9" s="24"/>
      <x:c r="AB9" s="24"/>
      <x:c r="AC9" s="24"/>
      <x:c r="AD9" s="24"/>
      <x:c r="AE9" s="24"/>
    </x:row>
    <x:row r="10" ht="34" customHeight="1">
      <x:c r="A10" s="346" t="str">
        <x:v>Harmony</x:v>
      </x:c>
      <x:c r="B10" s="346" t="str">
        <x:v>Yes</x:v>
      </x:c>
      <x:c r="C10" s="346" t="str">
        <x:v>https://www.reddit.com/r/DiscordAlternatives/</x:v>
      </x:c>
      <x:c r="D10" s="346" t="str">
        <x:v>https://codeberg.org/MelodyChat/Harmony</x:v>
      </x:c>
      <x:c r="E10" s="346" t="str">
        <x:v>Early</x:v>
      </x:c>
      <x:c r="F10" s="346" t="str">
        <x:v>Platform is Harmony; Fermi is a client</x:v>
      </x:c>
      <x:c r="G10" s="346" t="str">
        <x:v>2026-09-15</x:v>
      </x:c>
      <x:c r="H10" s="346" t="str">
        <x:v>Primary source verified</x:v>
      </x:c>
      <x:c r="I10" s="24"/>
      <x:c r="J10" s="24"/>
      <x:c r="K10" s="24"/>
      <x:c r="L10" s="24"/>
      <x:c r="M10" s="24"/>
      <x:c r="N10" s="24"/>
      <x:c r="O10" s="24"/>
      <x:c r="P10" s="24"/>
      <x:c r="Q10" s="24"/>
      <x:c r="R10" s="24"/>
      <x:c r="S10" s="24"/>
      <x:c r="T10" s="24"/>
      <x:c r="U10" s="24"/>
      <x:c r="V10" s="24"/>
      <x:c r="W10" s="24"/>
      <x:c r="X10" s="24"/>
      <x:c r="Y10" s="24"/>
      <x:c r="Z10" s="24"/>
      <x:c r="AA10" s="24"/>
      <x:c r="AB10" s="24"/>
      <x:c r="AC10" s="24"/>
      <x:c r="AD10" s="24"/>
      <x:c r="AE10" s="24"/>
    </x:row>
    <x:row r="11" ht="34" customHeight="1">
      <x:c r="A11" s="346" t="str">
        <x:v>Roomy</x:v>
      </x:c>
      <x:c r="B11" s="346" t="str">
        <x:v>Yes</x:v>
      </x:c>
      <x:c r="C11" s="346" t="str">
        <x:v>https://www.reddit.com/r/DiscordAlternatives/comments/1v1ljw0/is_there_any_good_discord_alternative_nowdays/</x:v>
      </x:c>
      <x:c r="D11" s="346" t="str">
        <x:v>https://github.com/muni-town/roomy</x:v>
      </x:c>
      <x:c r="E11" s="346" t="str">
        <x:v>Experimental</x:v>
      </x:c>
      <x:c r="F11" s="346" t="str">
        <x:v>ATProto-based app</x:v>
      </x:c>
      <x:c r="G11" s="346" t="str">
        <x:v>2026-09-15</x:v>
      </x:c>
      <x:c r="H11" s="346" t="str">
        <x:v>Primary source verified</x:v>
      </x:c>
      <x:c r="I11" s="24"/>
      <x:c r="J11" s="24"/>
      <x:c r="K11" s="24"/>
      <x:c r="L11" s="24"/>
      <x:c r="M11" s="24"/>
      <x:c r="N11" s="24"/>
      <x:c r="O11" s="24"/>
      <x:c r="P11" s="24"/>
      <x:c r="Q11" s="24"/>
      <x:c r="R11" s="24"/>
      <x:c r="S11" s="24"/>
      <x:c r="T11" s="24"/>
      <x:c r="U11" s="24"/>
      <x:c r="V11" s="24"/>
      <x:c r="W11" s="24"/>
      <x:c r="X11" s="24"/>
      <x:c r="Y11" s="24"/>
      <x:c r="Z11" s="24"/>
      <x:c r="AA11" s="24"/>
      <x:c r="AB11" s="24"/>
      <x:c r="AC11" s="24"/>
      <x:c r="AD11" s="24"/>
      <x:c r="AE11" s="24"/>
    </x:row>
    <x:row r="12" ht="34" customHeight="1">
      <x:c r="A12" s="346" t="str">
        <x:v>Armada</x:v>
      </x:c>
      <x:c r="B12" s="346" t="str">
        <x:v>Yes</x:v>
      </x:c>
      <x:c r="C12" s="346" t="str">
        <x:v>https://www.reddit.com/r/DiscordAlternatives/comments/1wa1q1w/my_personal_list_of_alternatives_i_reccomend_for/</x:v>
      </x:c>
      <x:c r="D12" s="346" t="str">
        <x:v>https://github.com/soapbox-pub/armada</x:v>
      </x:c>
      <x:c r="E12" s="346" t="str">
        <x:v>Beta/dev</x:v>
      </x:c>
      <x:c r="F12" s="346" t="str">
        <x:v>Nostr/Concord architecture</x:v>
      </x:c>
      <x:c r="G12" s="346" t="str">
        <x:v>2026-09-15</x:v>
      </x:c>
      <x:c r="H12" s="346" t="str">
        <x:v>Primary source verified</x:v>
      </x:c>
      <x:c r="I12" s="24"/>
      <x:c r="J12" s="24"/>
      <x:c r="K12" s="24"/>
      <x:c r="L12" s="24"/>
      <x:c r="M12" s="24"/>
      <x:c r="N12" s="24"/>
      <x:c r="O12" s="24"/>
      <x:c r="P12" s="24"/>
      <x:c r="Q12" s="24"/>
      <x:c r="R12" s="24"/>
      <x:c r="S12" s="24"/>
      <x:c r="T12" s="24"/>
      <x:c r="U12" s="24"/>
      <x:c r="V12" s="24"/>
      <x:c r="W12" s="24"/>
      <x:c r="X12" s="24"/>
      <x:c r="Y12" s="24"/>
      <x:c r="Z12" s="24"/>
      <x:c r="AA12" s="24"/>
      <x:c r="AB12" s="24"/>
      <x:c r="AC12" s="24"/>
      <x:c r="AD12" s="24"/>
      <x:c r="AE12" s="24"/>
    </x:row>
    <x:row r="13" ht="34" customHeight="1">
      <x:c r="A13" s="346" t="str">
        <x:v>Hollow</x:v>
      </x:c>
      <x:c r="B13" s="346" t="str">
        <x:v>Yes</x:v>
      </x:c>
      <x:c r="C13" s="346" t="str">
        <x:v>https://www.reddit.com/r/DiscordAlternatives/comments/1uaztpl/hollow_opensource_selfhostable_signed_winmac/</x:v>
      </x:c>
      <x:c r="D13" s="346" t="str">
        <x:v>https://github.com/VitalikPro13/HOLLOW</x:v>
      </x:c>
      <x:c r="E13" s="346" t="str">
        <x:v>Alpha/Beta</x:v>
      </x:c>
      <x:c r="F13" s="346" t="str">
        <x:v>Developer post + public source/whitepaper</x:v>
      </x:c>
      <x:c r="G13" s="346" t="str">
        <x:v>2026-09-15</x:v>
      </x:c>
      <x:c r="H13" s="346" t="str">
        <x:v>Primary source verified</x:v>
      </x:c>
      <x:c r="I13" s="24"/>
      <x:c r="J13" s="24"/>
      <x:c r="K13" s="24"/>
      <x:c r="L13" s="24"/>
      <x:c r="M13" s="24"/>
      <x:c r="N13" s="24"/>
      <x:c r="O13" s="24"/>
      <x:c r="P13" s="24"/>
      <x:c r="Q13" s="24"/>
      <x:c r="R13" s="24"/>
      <x:c r="S13" s="24"/>
      <x:c r="T13" s="24"/>
      <x:c r="U13" s="24"/>
      <x:c r="V13" s="24"/>
      <x:c r="W13" s="24"/>
      <x:c r="X13" s="24"/>
      <x:c r="Y13" s="24"/>
      <x:c r="Z13" s="24"/>
      <x:c r="AA13" s="24"/>
      <x:c r="AB13" s="24"/>
      <x:c r="AC13" s="24"/>
      <x:c r="AD13" s="24"/>
      <x:c r="AE13" s="24"/>
    </x:row>
    <x:row r="14" ht="34" customHeight="1">
      <x:c r="A14" s="346" t="str">
        <x:v>DCTS</x:v>
      </x:c>
      <x:c r="B14" s="346" t="str">
        <x:v>Yes</x:v>
      </x:c>
      <x:c r="C14" s="346" t="str">
        <x:v>https://www.reddit.com/r/DiscordAlternatives/comments/1uyf7jm/adding_a_discord_bridge_to_dcts_work_in_progress/</x:v>
      </x:c>
      <x:c r="D14" s="346" t="str">
        <x:v>https://dcts.community/</x:v>
      </x:c>
      <x:c r="E14" s="346" t="str">
        <x:v>Beta/dev</x:v>
      </x:c>
      <x:c r="F14" s="346" t="str">
        <x:v>Official docs/GitHub</x:v>
      </x:c>
      <x:c r="G14" s="346" t="str">
        <x:v>2026-09-15</x:v>
      </x:c>
      <x:c r="H14" s="346" t="str">
        <x:v>Primary source verified</x:v>
      </x:c>
      <x:c r="I14" s="24"/>
      <x:c r="J14" s="24"/>
      <x:c r="K14" s="24"/>
      <x:c r="L14" s="24"/>
      <x:c r="M14" s="24"/>
      <x:c r="N14" s="24"/>
      <x:c r="O14" s="24"/>
      <x:c r="P14" s="24"/>
      <x:c r="Q14" s="24"/>
      <x:c r="R14" s="24"/>
      <x:c r="S14" s="24"/>
      <x:c r="T14" s="24"/>
      <x:c r="U14" s="24"/>
      <x:c r="V14" s="24"/>
      <x:c r="W14" s="24"/>
      <x:c r="X14" s="24"/>
      <x:c r="Y14" s="24"/>
      <x:c r="Z14" s="24"/>
      <x:c r="AA14" s="24"/>
      <x:c r="AB14" s="24"/>
      <x:c r="AC14" s="24"/>
      <x:c r="AD14" s="24"/>
      <x:c r="AE14" s="24"/>
    </x:row>
    <x:row r="15" ht="34" customHeight="1">
      <x:c r="A15" s="346" t="str">
        <x:v>Rift</x:v>
      </x:c>
      <x:c r="B15" s="346" t="str">
        <x:v>Yes</x:v>
      </x:c>
      <x:c r="C15" s="346" t="str">
        <x:v>https://www.reddit.com/r/DiscordAlternatives/comments/1wa1q1w/my_personal_list_of_alternatives_i_reccomend_for/</x:v>
      </x:c>
      <x:c r="D15" s="346" t="str">
        <x:v>https://therift.chat/</x:v>
      </x:c>
      <x:c r="E15" s="346" t="str">
        <x:v>Public</x:v>
      </x:c>
      <x:c r="F15" s="346" t="str">
        <x:v>Official site</x:v>
      </x:c>
      <x:c r="G15" s="346" t="str">
        <x:v>2026-09-15</x:v>
      </x:c>
      <x:c r="H15" s="346" t="str">
        <x:v>Primary source verified</x:v>
      </x:c>
      <x:c r="I15" s="24"/>
      <x:c r="J15" s="24"/>
      <x:c r="K15" s="24"/>
      <x:c r="L15" s="24"/>
      <x:c r="M15" s="24"/>
      <x:c r="N15" s="24"/>
      <x:c r="O15" s="24"/>
      <x:c r="P15" s="24"/>
      <x:c r="Q15" s="24"/>
      <x:c r="R15" s="24"/>
      <x:c r="S15" s="24"/>
      <x:c r="T15" s="24"/>
      <x:c r="U15" s="24"/>
      <x:c r="V15" s="24"/>
      <x:c r="W15" s="24"/>
      <x:c r="X15" s="24"/>
      <x:c r="Y15" s="24"/>
      <x:c r="Z15" s="24"/>
      <x:c r="AA15" s="24"/>
      <x:c r="AB15" s="24"/>
      <x:c r="AC15" s="24"/>
      <x:c r="AD15" s="24"/>
      <x:c r="AE15" s="24"/>
    </x:row>
    <x:row r="16" ht="34" customHeight="1">
      <x:c r="A16" s="346" t="str">
        <x:v>pqp.gg</x:v>
      </x:c>
      <x:c r="B16" s="346" t="str">
        <x:v>Yes</x:v>
      </x:c>
      <x:c r="C16" s="346" t="str">
        <x:v>https://www.reddit.com/r/DiscordAlternatives/comments/1wa1q1w/my_personal_list_of_alternatives_i_reccomend_for/</x:v>
      </x:c>
      <x:c r="D16" s="346" t="str">
        <x:v>https://pqp.gg/</x:v>
      </x:c>
      <x:c r="E16" s="346" t="str">
        <x:v>Beta</x:v>
      </x:c>
      <x:c r="F16" s="346" t="str">
        <x:v>Official site/GitHub</x:v>
      </x:c>
      <x:c r="G16" s="346" t="str">
        <x:v>2026-09-15</x:v>
      </x:c>
      <x:c r="H16" s="346" t="str">
        <x:v>Primary source verified</x:v>
      </x:c>
      <x:c r="I16" s="24"/>
      <x:c r="J16" s="24"/>
      <x:c r="K16" s="24"/>
      <x:c r="L16" s="24"/>
      <x:c r="M16" s="24"/>
      <x:c r="N16" s="24"/>
      <x:c r="O16" s="24"/>
      <x:c r="P16" s="24"/>
      <x:c r="Q16" s="24"/>
      <x:c r="R16" s="24"/>
      <x:c r="S16" s="24"/>
      <x:c r="T16" s="24"/>
      <x:c r="U16" s="24"/>
      <x:c r="V16" s="24"/>
      <x:c r="W16" s="24"/>
      <x:c r="X16" s="24"/>
      <x:c r="Y16" s="24"/>
      <x:c r="Z16" s="24"/>
      <x:c r="AA16" s="24"/>
      <x:c r="AB16" s="24"/>
      <x:c r="AC16" s="24"/>
      <x:c r="AD16" s="24"/>
      <x:c r="AE16" s="24"/>
    </x:row>
    <x:row r="17" ht="34" customHeight="1">
      <x:c r="A17" s="346" t="str">
        <x:v>Echon</x:v>
      </x:c>
      <x:c r="B17" s="346" t="str">
        <x:v>Yes</x:v>
      </x:c>
      <x:c r="C17" s="346" t="str">
        <x:v>https://www.reddit.com/r/DiscordAlternatives/comments/1sdj5ki/warning_about_echon_app_and_its_creator/</x:v>
      </x:c>
      <x:c r="D17" s="346" t="str">
        <x:v>https://echon-voice.com/</x:v>
      </x:c>
      <x:c r="E17" s="346" t="str">
        <x:v>Public/new</x:v>
      </x:c>
      <x:c r="F17" s="346" t="str">
        <x:v>Official site; Reddit claims not treated as facts</x:v>
      </x:c>
      <x:c r="G17" s="346" t="str">
        <x:v>2026-09-15</x:v>
      </x:c>
      <x:c r="H17" s="346" t="str">
        <x:v>Primary source verified</x:v>
      </x:c>
      <x:c r="I17" s="24"/>
      <x:c r="J17" s="24"/>
      <x:c r="K17" s="24"/>
      <x:c r="L17" s="24"/>
      <x:c r="M17" s="24"/>
      <x:c r="N17" s="24"/>
      <x:c r="O17" s="24"/>
      <x:c r="P17" s="24"/>
      <x:c r="Q17" s="24"/>
      <x:c r="R17" s="24"/>
      <x:c r="S17" s="24"/>
      <x:c r="T17" s="24"/>
      <x:c r="U17" s="24"/>
      <x:c r="V17" s="24"/>
      <x:c r="W17" s="24"/>
      <x:c r="X17" s="24"/>
      <x:c r="Y17" s="24"/>
      <x:c r="Z17" s="24"/>
      <x:c r="AA17" s="24"/>
      <x:c r="AB17" s="24"/>
      <x:c r="AC17" s="24"/>
      <x:c r="AD17" s="24"/>
      <x:c r="AE17" s="24"/>
    </x:row>
    <x:row r="18" ht="34" customHeight="1">
      <x:c r="A18" s="346" t="str">
        <x:v>Valour</x:v>
      </x:c>
      <x:c r="B18" s="346" t="str">
        <x:v>Yes</x:v>
      </x:c>
      <x:c r="C18" s="346" t="str">
        <x:v>https://www.reddit.com/r/DiscordAlternatives/</x:v>
      </x:c>
      <x:c r="D18" s="346" t="str">
        <x:v>https://valour.gg/</x:v>
      </x:c>
      <x:c r="E18" s="346" t="str">
        <x:v>Alpha</x:v>
      </x:c>
      <x:c r="F18" s="346" t="str">
        <x:v>Official site/GitHub</x:v>
      </x:c>
      <x:c r="G18" s="346" t="str">
        <x:v>2026-09-15</x:v>
      </x:c>
      <x:c r="H18" s="346" t="str">
        <x:v>Primary source verified</x:v>
      </x:c>
      <x:c r="I18" s="24"/>
      <x:c r="J18" s="24"/>
      <x:c r="K18" s="24"/>
      <x:c r="L18" s="24"/>
      <x:c r="M18" s="24"/>
      <x:c r="N18" s="24"/>
      <x:c r="O18" s="24"/>
      <x:c r="P18" s="24"/>
      <x:c r="Q18" s="24"/>
      <x:c r="R18" s="24"/>
      <x:c r="S18" s="24"/>
      <x:c r="T18" s="24"/>
      <x:c r="U18" s="24"/>
      <x:c r="V18" s="24"/>
      <x:c r="W18" s="24"/>
      <x:c r="X18" s="24"/>
      <x:c r="Y18" s="24"/>
      <x:c r="Z18" s="24"/>
      <x:c r="AA18" s="24"/>
      <x:c r="AB18" s="24"/>
      <x:c r="AC18" s="24"/>
      <x:c r="AD18" s="24"/>
      <x:c r="AE18" s="24"/>
    </x:row>
    <x:row r="19" ht="34" customHeight="1">
      <x:c r="A19" s="346" t="str">
        <x:v>Weered</x:v>
      </x:c>
      <x:c r="B19" s="346" t="str">
        <x:v>Yes</x:v>
      </x:c>
      <x:c r="C19" s="346" t="str">
        <x:v>https://www.reddit.com/r/DiscordAlternatives/</x:v>
      </x:c>
      <x:c r="D19" s="346" t="str">
        <x:v>https://weered.ca/alternatives/discord</x:v>
      </x:c>
      <x:c r="E19" s="346" t="str">
        <x:v>Public beta</x:v>
      </x:c>
      <x:c r="F19" s="346" t="str">
        <x:v>Official site/source-available repo</x:v>
      </x:c>
      <x:c r="G19" s="346" t="str">
        <x:v>2026-09-15</x:v>
      </x:c>
      <x:c r="H19" s="346" t="str">
        <x:v>Primary source verified</x:v>
      </x:c>
      <x:c r="I19" s="24"/>
      <x:c r="J19" s="24"/>
      <x:c r="K19" s="24"/>
      <x:c r="L19" s="24"/>
      <x:c r="M19" s="24"/>
      <x:c r="N19" s="24"/>
      <x:c r="O19" s="24"/>
      <x:c r="P19" s="24"/>
      <x:c r="Q19" s="24"/>
      <x:c r="R19" s="24"/>
      <x:c r="S19" s="24"/>
      <x:c r="T19" s="24"/>
      <x:c r="U19" s="24"/>
      <x:c r="V19" s="24"/>
      <x:c r="W19" s="24"/>
      <x:c r="X19" s="24"/>
      <x:c r="Y19" s="24"/>
      <x:c r="Z19" s="24"/>
      <x:c r="AA19" s="24"/>
      <x:c r="AB19" s="24"/>
      <x:c r="AC19" s="24"/>
      <x:c r="AD19" s="24"/>
      <x:c r="AE19" s="24"/>
    </x:row>
    <x:row r="20" ht="34" customHeight="1">
      <x:c r="A20" s="346" t="str">
        <x:v>Nexoria.Chat</x:v>
      </x:c>
      <x:c r="B20" s="346" t="str">
        <x:v>Candidate</x:v>
      </x:c>
      <x:c r="C20" s="346" t="str">
        <x:v>https://www.reddit.com/r/DiscordAlternatives/comments/1tn1js3/discord_alternatives_comparison_sheet/</x:v>
      </x:c>
      <x:c r="D20" s="346" t="str">
        <x:v>U/K</x:v>
      </x:c>
      <x:c r="E20" s="346" t="str">
        <x:v>Early</x:v>
      </x:c>
      <x:c r="F20" s="346" t="str">
        <x:v>Not included in 30 because public technical documentation is sparse</x:v>
      </x:c>
      <x:c r="G20" s="346" t="str">
        <x:v>2026-09-15</x:v>
      </x:c>
      <x:c r="H20" s="346" t="str">
        <x:v>Discovery only / needs primary source</x:v>
      </x:c>
      <x:c r="I20" s="24"/>
      <x:c r="J20" s="24"/>
      <x:c r="K20" s="24"/>
      <x:c r="L20" s="24"/>
      <x:c r="M20" s="24"/>
      <x:c r="N20" s="24"/>
      <x:c r="O20" s="24"/>
      <x:c r="P20" s="24"/>
      <x:c r="Q20" s="24"/>
      <x:c r="R20" s="24"/>
      <x:c r="S20" s="24"/>
      <x:c r="T20" s="24"/>
      <x:c r="U20" s="24"/>
      <x:c r="V20" s="24"/>
      <x:c r="W20" s="24"/>
      <x:c r="X20" s="24"/>
      <x:c r="Y20" s="24"/>
      <x:c r="Z20" s="24"/>
      <x:c r="AA20" s="24"/>
      <x:c r="AB20" s="24"/>
      <x:c r="AC20" s="24"/>
      <x:c r="AD20" s="24"/>
      <x:c r="AE20" s="24"/>
    </x:row>
    <x:row r="21" ht="34" customHeight="1">
      <x:c r="A21" s="346" t="str">
        <x:v>Faction</x:v>
      </x:c>
      <x:c r="B21" s="346" t="str">
        <x:v>Candidate</x:v>
      </x:c>
      <x:c r="C21" s="346" t="str">
        <x:v>https://www.reddit.com/r/DiscordAlternatives/comments/1u916jj/70_of_these_alternatives_are_trash_99_arent_even/</x:v>
      </x:c>
      <x:c r="D21" s="346" t="str">
        <x:v>U/K</x:v>
      </x:c>
      <x:c r="E21" s="346" t="str">
        <x:v>Project reportedly restarting</x:v>
      </x:c>
      <x:c r="F21" s="346" t="str">
        <x:v>Not included; insufficient current primary-source verification</x:v>
      </x:c>
      <x:c r="G21" s="346" t="str">
        <x:v>2026-09-15</x:v>
      </x:c>
      <x:c r="H21" s="346" t="str">
        <x:v>Discovery only / needs primary source</x:v>
      </x:c>
      <x:c r="I21" s="24"/>
      <x:c r="J21" s="24"/>
      <x:c r="K21" s="24"/>
      <x:c r="L21" s="24"/>
      <x:c r="M21" s="24"/>
      <x:c r="N21" s="24"/>
      <x:c r="O21" s="24"/>
      <x:c r="P21" s="24"/>
      <x:c r="Q21" s="24"/>
      <x:c r="R21" s="24"/>
      <x:c r="S21" s="24"/>
      <x:c r="T21" s="24"/>
      <x:c r="U21" s="24"/>
      <x:c r="V21" s="24"/>
      <x:c r="W21" s="24"/>
      <x:c r="X21" s="24"/>
      <x:c r="Y21" s="24"/>
      <x:c r="Z21" s="24"/>
      <x:c r="AA21" s="24"/>
      <x:c r="AB21" s="24"/>
      <x:c r="AC21" s="24"/>
      <x:c r="AD21" s="24"/>
      <x:c r="AE21" s="24"/>
    </x:row>
    <x:row r="22" ht="34" customHeight="1">
      <x:c r="A22" s="346" t="str">
        <x:v>Guilded</x:v>
      </x:c>
      <x:c r="B22" s="346" t="str">
        <x:v>Historical</x:v>
      </x:c>
      <x:c r="C22" s="346" t="str">
        <x:v>https://www.reddit.com/r/DiscordAlternatives/comments/1u916jj/70_of_these_alternatives_are_trash_99_arent_even/</x:v>
      </x:c>
      <x:c r="D22" s="346" t="str">
        <x:v>https://www.guilded.gg/</x:v>
      </x:c>
      <x:c r="E22" s="346" t="str">
        <x:v>Discontinued 2025</x:v>
      </x:c>
      <x:c r="F22" s="346" t="str">
        <x:v>Not a current alternative</x:v>
      </x:c>
      <x:c r="G22" s="346" t="str">
        <x:v>2026-09-15</x:v>
      </x:c>
      <x:c r="H22" s="346" t="str">
        <x:v>Primary source verified</x:v>
      </x:c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24"/>
      <x:c r="T22" s="24"/>
      <x:c r="U22" s="24"/>
      <x:c r="V22" s="24"/>
      <x:c r="W22" s="24"/>
      <x:c r="X22" s="24"/>
      <x:c r="Y22" s="24"/>
      <x:c r="Z22" s="24"/>
      <x:c r="AA22" s="24"/>
      <x:c r="AB22" s="24"/>
      <x:c r="AC22" s="24"/>
      <x:c r="AD22" s="24"/>
      <x:c r="AE22" s="24"/>
    </x:row>
  </x:sheetData>
  <x:pageMargins left="0.7" right="0.7" top="0.75" bottom="0.75" header="0.3" footer="0.3"/>
</x:worksheet>
</file>